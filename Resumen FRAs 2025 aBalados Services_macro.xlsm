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sheets/sheet6.xml" ContentType="application/vnd.openxmlformats-officedocument.spreadsheetml.worksheet+xml"/>
  <Override PartName="/xl/comments/comment6.xml" ContentType="application/vnd.openxmlformats-officedocument.spreadsheetml.comments+xml"/>
  <Override PartName="/xl/worksheets/sheet7.xml" ContentType="application/vnd.openxmlformats-officedocument.spreadsheetml.worksheet+xml"/>
  <Override PartName="/xl/comments/comment7.xml" ContentType="application/vnd.openxmlformats-officedocument.spreadsheetml.comments+xml"/>
  <Override PartName="/xl/worksheets/sheet8.xml" ContentType="application/vnd.openxmlformats-officedocument.spreadsheetml.worksheet+xml"/>
  <Override PartName="/xl/comments/comment8.xml" ContentType="application/vnd.openxmlformats-officedocument.spreadsheetml.comments+xml"/>
  <Override PartName="/xl/worksheets/sheet9.xml" ContentType="application/vnd.openxmlformats-officedocument.spreadsheetml.worksheet+xml"/>
  <Override PartName="/xl/comments/comment9.xml" ContentType="application/vnd.openxmlformats-officedocument.spreadsheetml.comments+xml"/>
  <Override PartName="/xl/worksheets/sheet10.xml" ContentType="application/vnd.openxmlformats-officedocument.spreadsheetml.worksheet+xml"/>
  <Override PartName="/xl/comments/comment10.xml" ContentType="application/vnd.openxmlformats-officedocument.spreadsheetml.comments+xml"/>
  <Override PartName="/xl/worksheets/sheet11.xml" ContentType="application/vnd.openxmlformats-officedocument.spreadsheetml.worksheet+xml"/>
  <Override PartName="/xl/comments/comment11.xml" ContentType="application/vnd.openxmlformats-officedocument.spreadsheetml.comments+xml"/>
  <Override PartName="/xl/worksheets/sheet12.xml" ContentType="application/vnd.openxmlformats-officedocument.spreadsheetml.worksheet+xml"/>
  <Override PartName="/xl/comments/comment12.xml" ContentType="application/vnd.openxmlformats-officedocument.spreadsheetml.comment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omments/comment16.xml" ContentType="application/vnd.openxmlformats-officedocument.spreadsheetml.comments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omments/comment17.xml" ContentType="application/vnd.openxmlformats-officedocument.spreadsheetml.comments+xml"/>
  <Override PartName="/xl/worksheets/sheet24.xml" ContentType="application/vnd.openxmlformats-officedocument.spreadsheetml.worksheet+xml"/>
  <Override PartName="/xl/comments/comment18.xml" ContentType="application/vnd.openxmlformats-officedocument.spreadsheetml.comments+xml"/>
  <Override PartName="/xl/worksheets/sheet25.xml" ContentType="application/vnd.openxmlformats-officedocument.spreadsheetml.worksheet+xml"/>
  <Override PartName="/xl/comments/comment19.xml" ContentType="application/vnd.openxmlformats-officedocument.spreadsheetml.comment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3" yWindow="-103" windowWidth="24892" windowHeight="15943" tabRatio="876" firstSheet="0" activeTab="0" autoFilterDateGrouping="1"/>
  </bookViews>
  <sheets>
    <sheet xmlns:r="http://schemas.openxmlformats.org/officeDocument/2006/relationships" name="Macro" sheetId="1" state="visible" r:id="rId1"/>
    <sheet xmlns:r="http://schemas.openxmlformats.org/officeDocument/2006/relationships" name="Tarifas 2013" sheetId="2" state="hidden" r:id="rId2"/>
    <sheet xmlns:r="http://schemas.openxmlformats.org/officeDocument/2006/relationships" name="Tarifas 2014" sheetId="3" state="hidden" r:id="rId3"/>
    <sheet xmlns:r="http://schemas.openxmlformats.org/officeDocument/2006/relationships" name="Tarifa 2016 BC" sheetId="4" state="hidden" r:id="rId4"/>
    <sheet xmlns:r="http://schemas.openxmlformats.org/officeDocument/2006/relationships" name="Tarifas 2016" sheetId="5" state="hidden" r:id="rId5"/>
    <sheet xmlns:r="http://schemas.openxmlformats.org/officeDocument/2006/relationships" name="Tarifa 2019 BC" sheetId="6" state="hidden" r:id="rId6"/>
    <sheet xmlns:r="http://schemas.openxmlformats.org/officeDocument/2006/relationships" name="Tarifa 2018 BC" sheetId="7" state="hidden" r:id="rId7"/>
    <sheet xmlns:r="http://schemas.openxmlformats.org/officeDocument/2006/relationships" name="Tarifa 2025" sheetId="8" state="visible" r:id="rId8"/>
    <sheet xmlns:r="http://schemas.openxmlformats.org/officeDocument/2006/relationships" name="Resumen" sheetId="9" state="visible" r:id="rId9"/>
    <sheet xmlns:r="http://schemas.openxmlformats.org/officeDocument/2006/relationships" name="Numeración A_Intracomunitarias" sheetId="10" state="visible" r:id="rId10"/>
    <sheet xmlns:r="http://schemas.openxmlformats.org/officeDocument/2006/relationships" name="Numeración  NOComunitaria" sheetId="11" state="visible" r:id="rId11"/>
    <sheet xmlns:r="http://schemas.openxmlformats.org/officeDocument/2006/relationships" name="Suplidos" sheetId="12" state="visible" r:id="rId12"/>
    <sheet xmlns:r="http://schemas.openxmlformats.org/officeDocument/2006/relationships" name="Numeración ISP" sheetId="13" state="visible" r:id="rId13"/>
    <sheet xmlns:r="http://schemas.openxmlformats.org/officeDocument/2006/relationships" name="aBonos ISP" sheetId="14" state="visible" r:id="rId14"/>
    <sheet xmlns:r="http://schemas.openxmlformats.org/officeDocument/2006/relationships" name="Num int_Finan_Chatarra_Sin IVA" sheetId="15" state="visible" r:id="rId15"/>
    <sheet xmlns:r="http://schemas.openxmlformats.org/officeDocument/2006/relationships" name="Proforma" sheetId="16" state="visible" r:id="rId16"/>
    <sheet xmlns:r="http://schemas.openxmlformats.org/officeDocument/2006/relationships" name="Tarifas 2015" sheetId="17" state="hidden" r:id="rId17"/>
    <sheet xmlns:r="http://schemas.openxmlformats.org/officeDocument/2006/relationships" name="aBonos A" sheetId="18" state="hidden" r:id="rId18"/>
    <sheet xmlns:r="http://schemas.openxmlformats.org/officeDocument/2006/relationships" name="aBonos AB" sheetId="19" state="visible" r:id="rId19"/>
    <sheet xmlns:r="http://schemas.openxmlformats.org/officeDocument/2006/relationships" name="Análisis" sheetId="20" state="visible" r:id="rId20"/>
    <sheet xmlns:r="http://schemas.openxmlformats.org/officeDocument/2006/relationships" name="CLIENTES" sheetId="21" state="visible" r:id="rId21"/>
    <sheet xmlns:r="http://schemas.openxmlformats.org/officeDocument/2006/relationships" name="DATOS" sheetId="22" state="visible" r:id="rId22"/>
    <sheet xmlns:r="http://schemas.openxmlformats.org/officeDocument/2006/relationships" name="Tarifas 2011" sheetId="23" state="hidden" r:id="rId23"/>
    <sheet xmlns:r="http://schemas.openxmlformats.org/officeDocument/2006/relationships" name="Tarifas 2010" sheetId="24" state="hidden" r:id="rId24"/>
    <sheet xmlns:r="http://schemas.openxmlformats.org/officeDocument/2006/relationships" name="Tarifas 2012" sheetId="25" state="hidden" r:id="rId25"/>
  </sheets>
  <externalReferences>
    <externalReference xmlns:r="http://schemas.openxmlformats.org/officeDocument/2006/relationships" r:id="rId26"/>
    <externalReference xmlns:r="http://schemas.openxmlformats.org/officeDocument/2006/relationships" r:id="rId27"/>
    <externalReference xmlns:r="http://schemas.openxmlformats.org/officeDocument/2006/relationships" r:id="rId28"/>
    <externalReference xmlns:r="http://schemas.openxmlformats.org/officeDocument/2006/relationships" r:id="rId29"/>
  </externalReferences>
  <definedNames>
    <definedName name="_xlnm._FilterDatabase" localSheetId="8" hidden="1">'Resumen'!$A$1:$AN$1151</definedName>
    <definedName name="_xlnm.Print_Area" localSheetId="8">'Resumen'!$A$1:$AH$1471</definedName>
    <definedName name="_xlnm._FilterDatabase" localSheetId="9" hidden="1">'Numeración A_Intracomunitarias'!$A$1:$AK$35</definedName>
    <definedName name="_xlnm._FilterDatabase" localSheetId="10" hidden="1">'Numeración  NOComunitaria'!$A$1:$AK$32</definedName>
    <definedName name="_xlnm._FilterDatabase" localSheetId="11" hidden="1">'Suplidos'!$A$1:$AK$103</definedName>
    <definedName name="_xlnm._FilterDatabase" localSheetId="12" hidden="1">'Numeración ISP'!$A$1:$AK$22</definedName>
    <definedName name="_xlnm._FilterDatabase" localSheetId="13" hidden="1">'aBonos ISP'!$A$1:$AK$16</definedName>
    <definedName name="_xlnm._FilterDatabase" localSheetId="14" hidden="1">'Num int_Finan_Chatarra_Sin IVA'!$A$1:$AK$19</definedName>
    <definedName name="_xlnm.Print_Area" localSheetId="14">'Num int_Finan_Chatarra_Sin IVA'!$A$1:$L$20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#,##0.00\ &quot;€&quot;"/>
    <numFmt numFmtId="165" formatCode="_-* #,##0.00\ [$€-C0A]_-;\-* #,##0.00\ [$€-C0A]_-;_-* &quot;-&quot;??\ [$€-C0A]_-;_-@_-"/>
    <numFmt numFmtId="166" formatCode="#,##0.00\ &quot;€/SPV&quot;"/>
    <numFmt numFmtId="167" formatCode="0.00000"/>
    <numFmt numFmtId="168" formatCode="_-* #,##0.00\ &quot;€&quot;_-;\-* #,##0.00\ &quot;€&quot;_-;_-* &quot;-&quot;??\ &quot;€&quot;_-;_-@_-"/>
    <numFmt numFmtId="169" formatCode="_-[$EUR]\ * #,##0.00_-;\-[$EUR]\ * #,##0.00_-;_-[$EUR]\ * &quot;-&quot;??_-;_-@_-"/>
    <numFmt numFmtId="170" formatCode="0.0000%"/>
    <numFmt numFmtId="171" formatCode="_-* #,##0\ &quot;años&quot;_-;\-* #,##0\ &quot;€&quot;_-;_-* &quot;-&quot;\ &quot;€&quot;_-;_-@_-"/>
    <numFmt numFmtId="172" formatCode="#,##0.00000\ &quot;MWp&quot;;\-#,##0.00\ &quot;€&quot;"/>
  </numFmts>
  <fonts count="95">
    <font>
      <name val="Calibri"/>
      <family val="2"/>
      <color theme="1"/>
      <sz val="11"/>
      <scheme val="minor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sz val="10"/>
    </font>
    <font>
      <name val="Arial"/>
      <family val="2"/>
      <b val="1"/>
      <sz val="14"/>
    </font>
    <font>
      <name val="Calibri"/>
      <family val="2"/>
      <color theme="1"/>
      <sz val="8"/>
      <scheme val="minor"/>
    </font>
    <font>
      <name val="Calibri"/>
      <family val="2"/>
      <color theme="0" tint="-0.3499862666707358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 tint="-0.249977111117893"/>
      <sz val="11"/>
      <scheme val="minor"/>
    </font>
    <font>
      <name val="Arial"/>
      <family val="2"/>
      <color theme="1"/>
      <sz val="10"/>
    </font>
    <font>
      <name val="Arial"/>
      <family val="2"/>
      <color theme="0" tint="-0.499984740745262"/>
      <sz val="10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i val="1"/>
      <color theme="1" tint="0.499984740745262"/>
      <sz val="11"/>
      <scheme val="minor"/>
    </font>
    <font>
      <name val="Calibri"/>
      <family val="2"/>
      <b val="1"/>
      <i val="1"/>
      <color theme="1" tint="0.499984740745262"/>
      <sz val="11"/>
      <scheme val="minor"/>
    </font>
    <font>
      <name val="Arial"/>
      <family val="2"/>
      <color theme="1"/>
      <sz val="11"/>
    </font>
    <font>
      <name val="Arial"/>
      <family val="2"/>
      <b val="1"/>
      <color theme="0"/>
      <sz val="11"/>
    </font>
    <font>
      <name val="Arial"/>
      <family val="2"/>
      <b val="1"/>
      <color theme="1"/>
      <sz val="14"/>
    </font>
    <font>
      <name val="Arial"/>
      <family val="2"/>
      <color theme="0"/>
      <sz val="11"/>
    </font>
    <font>
      <name val="Arial"/>
      <family val="2"/>
      <b val="1"/>
      <color theme="1"/>
      <sz val="11"/>
    </font>
    <font>
      <name val="Arial"/>
      <family val="2"/>
      <color theme="0" tint="-0.249977111117893"/>
      <sz val="11"/>
    </font>
    <font>
      <name val="Arial"/>
      <family val="2"/>
      <color theme="1"/>
      <sz val="8"/>
    </font>
    <font>
      <name val="Arial"/>
      <family val="2"/>
      <color theme="0" tint="-0.3499862666707358"/>
      <sz val="11"/>
    </font>
    <font>
      <name val="Arial"/>
      <family val="2"/>
      <i val="1"/>
      <color theme="1" tint="0.499984740745262"/>
      <sz val="11"/>
    </font>
    <font>
      <name val="Arial"/>
      <family val="2"/>
      <b val="1"/>
      <i val="1"/>
      <color theme="1" tint="0.499984740745262"/>
      <sz val="11"/>
    </font>
    <font>
      <name val="Calibri"/>
      <family val="2"/>
      <color theme="0" tint="-0.499984740745262"/>
      <sz val="11"/>
      <scheme val="minor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FF0000"/>
      <sz val="11"/>
      <scheme val="minor"/>
    </font>
    <font>
      <name val="Arial"/>
      <family val="2"/>
      <color theme="0" tint="-0.3499862666707358"/>
      <sz val="10"/>
    </font>
    <font>
      <name val="Arial"/>
      <family val="2"/>
      <color theme="0" tint="-0.249977111117893"/>
      <sz val="10"/>
    </font>
    <font>
      <name val="Arial"/>
      <family val="2"/>
      <b val="1"/>
      <color theme="0"/>
      <sz val="10"/>
    </font>
    <font>
      <name val="Arial"/>
      <family val="2"/>
      <b val="1"/>
      <color theme="1"/>
      <sz val="10"/>
    </font>
    <font>
      <name val="Arial"/>
      <family val="2"/>
      <b val="1"/>
      <color theme="1"/>
      <sz val="9"/>
    </font>
    <font>
      <name val="Arial"/>
      <family val="2"/>
      <i val="1"/>
      <color theme="1"/>
      <sz val="11"/>
    </font>
    <font>
      <name val="Arial"/>
      <family val="2"/>
      <sz val="9"/>
    </font>
    <font>
      <name val="Arial"/>
      <family val="2"/>
      <b val="1"/>
      <color theme="9" tint="-0.249977111117893"/>
      <sz val="11"/>
    </font>
    <font>
      <name val="Arial"/>
      <family val="2"/>
      <color theme="0" tint="-0.1499984740745262"/>
      <sz val="10"/>
    </font>
    <font>
      <name val="Calibri"/>
      <family val="2"/>
      <color theme="0" tint="-0.1499984740745262"/>
      <sz val="11"/>
      <scheme val="minor"/>
    </font>
    <font>
      <name val="Arial"/>
      <family val="2"/>
      <b val="1"/>
      <color theme="1"/>
      <sz val="8"/>
    </font>
    <font>
      <name val="Arial"/>
      <family val="2"/>
      <b val="1"/>
      <color theme="0"/>
      <sz val="8"/>
    </font>
    <font>
      <name val="Arial"/>
      <family val="2"/>
      <color rgb="FFFF0000"/>
      <sz val="10"/>
    </font>
    <font>
      <name val="Arial"/>
      <family val="2"/>
      <b val="1"/>
      <color theme="0"/>
      <sz val="9"/>
    </font>
    <font>
      <name val="Arial"/>
      <family val="2"/>
      <strike val="1"/>
      <color theme="0" tint="-0.249977111117893"/>
      <sz val="10"/>
    </font>
    <font>
      <name val="Arial"/>
      <family val="2"/>
      <b val="1"/>
      <color theme="0" tint="-0.249977111117893"/>
      <sz val="11"/>
    </font>
    <font>
      <name val="Arial"/>
      <family val="2"/>
      <i val="1"/>
      <color theme="0" tint="-0.249977111117893"/>
      <sz val="11"/>
    </font>
    <font>
      <name val="Arial"/>
      <family val="2"/>
      <color rgb="FFFF0000"/>
      <sz val="11"/>
    </font>
    <font>
      <name val="Arial"/>
      <family val="2"/>
      <b val="1"/>
      <strike val="1"/>
      <color theme="0" tint="-0.1498764000366222"/>
      <sz val="11"/>
    </font>
    <font>
      <name val="Arial"/>
      <family val="2"/>
      <b val="1"/>
      <strike val="1"/>
      <color theme="0" tint="-0.249977111117893"/>
      <sz val="11"/>
    </font>
    <font>
      <name val="Arial"/>
      <family val="2"/>
      <b val="1"/>
      <sz val="10"/>
    </font>
    <font>
      <name val="Arial"/>
      <family val="2"/>
      <color theme="0" tint="-0.1499984740745262"/>
      <sz val="11"/>
    </font>
    <font>
      <name val="Arial"/>
      <family val="2"/>
      <sz val="11"/>
    </font>
    <font>
      <name val="Arial"/>
      <family val="2"/>
      <b val="1"/>
      <color theme="0"/>
      <sz val="6"/>
    </font>
    <font>
      <name val="Arial"/>
      <family val="2"/>
      <sz val="8"/>
    </font>
    <font>
      <name val="Arial"/>
      <family val="2"/>
      <b val="1"/>
      <color theme="0"/>
      <sz val="7"/>
    </font>
    <font>
      <name val="Arial"/>
      <family val="2"/>
      <b val="1"/>
      <color theme="0" tint="-0.249977111117893"/>
      <sz val="14"/>
    </font>
    <font>
      <name val="Arial"/>
      <family val="2"/>
      <b val="1"/>
      <color rgb="FFFF0000"/>
      <sz val="11"/>
    </font>
    <font>
      <name val="Arial"/>
      <family val="2"/>
      <color rgb="FF007BB8"/>
      <sz val="11"/>
    </font>
    <font>
      <name val="Arial"/>
      <family val="2"/>
      <b val="1"/>
      <color rgb="FF007BB8"/>
      <sz val="8"/>
    </font>
    <font>
      <name val="Arial"/>
      <family val="2"/>
      <b val="1"/>
      <color theme="0" tint="-0.249977111117893"/>
      <sz val="10"/>
      <u val="single"/>
    </font>
    <font>
      <name val="Arial"/>
      <family val="2"/>
      <b val="1"/>
      <color theme="0" tint="-0.249977111117893"/>
      <sz val="10"/>
    </font>
    <font>
      <name val="Arial"/>
      <family val="2"/>
      <color theme="5" tint="0.5999938962981048"/>
      <sz val="11"/>
    </font>
    <font>
      <name val="Arial"/>
      <family val="2"/>
      <strike val="1"/>
      <color theme="1"/>
      <sz val="11"/>
    </font>
    <font>
      <name val="Arial"/>
      <family val="2"/>
      <b val="1"/>
      <strike val="1"/>
      <color theme="5" tint="0.5999938962981048"/>
      <sz val="8"/>
    </font>
    <font>
      <name val="Arial"/>
      <family val="2"/>
      <b val="1"/>
      <strike val="1"/>
      <color theme="5" tint="0.5999938962981048"/>
      <sz val="14"/>
    </font>
    <font>
      <name val="Arial"/>
      <family val="2"/>
      <b val="1"/>
      <strike val="1"/>
      <color theme="5" tint="0.5999938962981048"/>
      <sz val="9"/>
    </font>
    <font>
      <name val="Arial"/>
      <family val="2"/>
      <strike val="1"/>
      <color theme="5" tint="0.5999938962981048"/>
      <sz val="11"/>
    </font>
    <font>
      <name val="Arial"/>
      <family val="2"/>
      <strike val="1"/>
      <color rgb="FF007BB8"/>
      <sz val="11"/>
    </font>
    <font>
      <name val="Arial"/>
      <family val="2"/>
      <b val="1"/>
      <strike val="1"/>
      <color theme="5" tint="0.5999938962981048"/>
      <sz val="11"/>
    </font>
    <font>
      <name val="Calibri"/>
      <family val="2"/>
      <b val="1"/>
      <strike val="1"/>
      <color theme="5" tint="0.5999938962981048"/>
      <sz val="11"/>
      <scheme val="minor"/>
    </font>
    <font>
      <name val="Arial"/>
      <family val="2"/>
      <i val="1"/>
      <strike val="1"/>
      <color theme="5" tint="0.5999938962981048"/>
      <sz val="11"/>
    </font>
    <font>
      <name val="Arial"/>
      <family val="2"/>
      <b val="1"/>
      <color theme="1"/>
      <sz val="12"/>
    </font>
    <font>
      <name val="Arial"/>
      <family val="2"/>
      <b val="1"/>
      <color theme="0" tint="-0.3499862666707358"/>
      <sz val="12"/>
    </font>
    <font>
      <name val="Arial"/>
      <family val="2"/>
      <b val="1"/>
      <strike val="1"/>
      <color theme="0" tint="-0.3499862666707358"/>
      <sz val="11"/>
    </font>
    <font>
      <name val="Arial"/>
      <family val="2"/>
      <b val="1"/>
      <color theme="0" tint="-0.499984740745262"/>
      <sz val="14"/>
    </font>
    <font>
      <name val="Arial"/>
      <family val="2"/>
      <b val="1"/>
      <color theme="0" tint="-0.499984740745262"/>
      <sz val="11"/>
    </font>
    <font>
      <name val="Arial"/>
      <family val="2"/>
      <b val="1"/>
      <sz val="8"/>
    </font>
    <font>
      <name val="Arial"/>
      <family val="2"/>
      <b val="1"/>
      <color theme="0" tint="-0.3499862666707358"/>
      <sz val="14"/>
    </font>
    <font>
      <name val="Calibri"/>
      <family val="2"/>
      <color theme="10"/>
      <sz val="11"/>
      <u val="single"/>
      <scheme val="minor"/>
    </font>
    <font>
      <name val="Arial"/>
      <family val="2"/>
      <strike val="1"/>
      <sz val="10"/>
    </font>
    <font>
      <name val="Arial"/>
      <family val="2"/>
      <strike val="1"/>
      <color theme="1"/>
      <sz val="10"/>
    </font>
    <font>
      <name val="Arial"/>
      <family val="2"/>
      <color rgb="FF00B050"/>
      <sz val="10"/>
    </font>
    <font>
      <name val="Calibri"/>
      <family val="2"/>
      <color theme="10"/>
      <sz val="8"/>
      <u val="single"/>
      <scheme val="minor"/>
    </font>
    <font>
      <name val="Arial"/>
      <family val="2"/>
      <strike val="1"/>
      <sz val="8"/>
    </font>
    <font>
      <name val="Calibri"/>
      <family val="2"/>
      <strike val="1"/>
      <color theme="1"/>
      <sz val="8"/>
      <scheme val="minor"/>
    </font>
    <font>
      <name val="Calibri"/>
      <family val="2"/>
      <strike val="1"/>
      <color theme="1"/>
      <sz val="11"/>
      <scheme val="minor"/>
    </font>
    <font>
      <name val="Calibri"/>
      <family val="2"/>
      <strike val="1"/>
      <color theme="10"/>
      <sz val="8"/>
      <u val="single"/>
      <scheme val="minor"/>
    </font>
    <font>
      <name val="Arial"/>
      <family val="2"/>
      <strike val="1"/>
      <color theme="1"/>
      <sz val="8"/>
    </font>
    <font>
      <name val="Calibri"/>
      <family val="2"/>
      <color rgb="FF000000"/>
      <sz val="11"/>
      <scheme val="minor"/>
    </font>
  </fonts>
  <fills count="2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 tint="-0.249946592608417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theme="0" tint="-0.1498764000366222"/>
      </top>
      <bottom/>
      <diagonal/>
    </border>
    <border>
      <left/>
      <right/>
      <top/>
      <bottom style="medium">
        <color theme="0" tint="-0.1498764000366222"/>
      </bottom>
      <diagonal/>
    </border>
    <border>
      <left/>
      <right style="medium">
        <color theme="0" tint="-0.249946592608417"/>
      </right>
      <top style="medium">
        <color theme="0" tint="-0.249946592608417"/>
      </top>
      <bottom style="medium">
        <color theme="0" tint="-0.249946592608417"/>
      </bottom>
      <diagonal/>
    </border>
    <border>
      <left/>
      <right/>
      <top/>
      <bottom style="medium">
        <color theme="0" tint="-0.249946592608417"/>
      </bottom>
      <diagonal/>
    </border>
    <border>
      <left/>
      <right/>
      <top style="medium">
        <color theme="0" tint="-0.249946592608417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18" fillId="0" borderId="0"/>
    <xf numFmtId="9" fontId="18" fillId="0" borderId="0"/>
    <xf numFmtId="44" fontId="18" fillId="0" borderId="0"/>
    <xf numFmtId="0" fontId="84" fillId="0" borderId="0"/>
  </cellStyleXfs>
  <cellXfs count="723">
    <xf numFmtId="0" fontId="0" fillId="0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wrapText="1"/>
    </xf>
    <xf numFmtId="49" fontId="8" fillId="0" borderId="0" applyAlignment="1" pivotButton="0" quotePrefix="0" xfId="0">
      <alignment wrapText="1"/>
    </xf>
    <xf numFmtId="49" fontId="8" fillId="0" borderId="0" pivotButton="0" quotePrefix="0" xfId="0"/>
    <xf numFmtId="164" fontId="8" fillId="0" borderId="0" pivotButton="0" quotePrefix="0" xfId="0"/>
    <xf numFmtId="2" fontId="8" fillId="0" borderId="0" pivotButton="0" quotePrefix="0" xfId="0"/>
    <xf numFmtId="0" fontId="0" fillId="0" borderId="1" pivotButton="0" quotePrefix="0" xfId="0"/>
    <xf numFmtId="0" fontId="0" fillId="3" borderId="1" applyAlignment="1" pivotButton="0" quotePrefix="0" xfId="0">
      <alignment horizontal="center"/>
    </xf>
    <xf numFmtId="9" fontId="0" fillId="4" borderId="1" applyAlignment="1" pivotButton="0" quotePrefix="0" xfId="0">
      <alignment horizontal="center"/>
    </xf>
    <xf numFmtId="0" fontId="0" fillId="4" borderId="1" applyAlignment="1" pivotButton="0" quotePrefix="0" xfId="0">
      <alignment horizontal="center"/>
    </xf>
    <xf numFmtId="0" fontId="0" fillId="5" borderId="1" pivotButton="0" quotePrefix="0" xfId="0"/>
    <xf numFmtId="0" fontId="0" fillId="0" borderId="1" applyAlignment="1" pivotButton="0" quotePrefix="0" xfId="0">
      <alignment horizontal="center"/>
    </xf>
    <xf numFmtId="9" fontId="0" fillId="0" borderId="1" applyAlignment="1" pivotButton="0" quotePrefix="0" xfId="0">
      <alignment horizontal="center"/>
    </xf>
    <xf numFmtId="165" fontId="0" fillId="0" borderId="1" pivotButton="0" quotePrefix="0" xfId="0"/>
    <xf numFmtId="165" fontId="0" fillId="2" borderId="1" pivotButton="0" quotePrefix="0" xfId="0"/>
    <xf numFmtId="0" fontId="11" fillId="0" borderId="1" pivotButton="0" quotePrefix="0" xfId="0"/>
    <xf numFmtId="165" fontId="11" fillId="0" borderId="1" pivotButton="0" quotePrefix="0" xfId="0"/>
    <xf numFmtId="165" fontId="13" fillId="0" borderId="1" pivotButton="0" quotePrefix="0" xfId="0"/>
    <xf numFmtId="0" fontId="9" fillId="0" borderId="0" applyAlignment="1" pivotButton="0" quotePrefix="0" xfId="0">
      <alignment horizontal="center" vertical="center" wrapText="1"/>
    </xf>
    <xf numFmtId="49" fontId="9" fillId="0" borderId="0" applyAlignment="1" pivotButton="0" quotePrefix="0" xfId="0">
      <alignment horizontal="center" vertical="center" wrapText="1"/>
    </xf>
    <xf numFmtId="164" fontId="9" fillId="0" borderId="0" applyAlignment="1" pivotButton="0" quotePrefix="0" xfId="0">
      <alignment horizontal="center" vertical="center" wrapText="1"/>
    </xf>
    <xf numFmtId="0" fontId="14" fillId="0" borderId="1" pivotButton="0" quotePrefix="0" xfId="0"/>
    <xf numFmtId="165" fontId="14" fillId="0" borderId="1" pivotButton="0" quotePrefix="0" xfId="0"/>
    <xf numFmtId="0" fontId="14" fillId="0" borderId="0" pivotButton="0" quotePrefix="0" xfId="0"/>
    <xf numFmtId="0" fontId="15" fillId="0" borderId="0" pivotButton="0" quotePrefix="0" xfId="0"/>
    <xf numFmtId="14" fontId="8" fillId="0" borderId="0" pivotButton="0" quotePrefix="0" xfId="0"/>
    <xf numFmtId="164" fontId="16" fillId="0" borderId="0" pivotButton="0" quotePrefix="0" xfId="0"/>
    <xf numFmtId="0" fontId="0" fillId="9" borderId="0" pivotButton="0" quotePrefix="0" xfId="0"/>
    <xf numFmtId="165" fontId="0" fillId="9" borderId="0" pivotButton="0" quotePrefix="0" xfId="0"/>
    <xf numFmtId="0" fontId="14" fillId="0" borderId="1" applyAlignment="1" pivotButton="0" quotePrefix="0" xfId="0">
      <alignment horizontal="center"/>
    </xf>
    <xf numFmtId="0" fontId="13" fillId="9" borderId="0" pivotButton="0" quotePrefix="0" xfId="0"/>
    <xf numFmtId="0" fontId="0" fillId="3" borderId="2" applyAlignment="1" pivotButton="0" quotePrefix="0" xfId="0">
      <alignment horizontal="center" vertical="center" wrapText="1"/>
    </xf>
    <xf numFmtId="9" fontId="0" fillId="4" borderId="2" applyAlignment="1" pivotButton="0" quotePrefix="0" xfId="0">
      <alignment horizontal="center" vertical="center" wrapText="1"/>
    </xf>
    <xf numFmtId="0" fontId="0" fillId="4" borderId="2" applyAlignment="1" pivotButton="0" quotePrefix="0" xfId="0">
      <alignment horizontal="center" vertical="center" wrapText="1"/>
    </xf>
    <xf numFmtId="165" fontId="13" fillId="0" borderId="3" pivotButton="0" quotePrefix="0" xfId="0"/>
    <xf numFmtId="0" fontId="14" fillId="0" borderId="3" applyAlignment="1" pivotButton="0" quotePrefix="0" xfId="0">
      <alignment horizontal="center"/>
    </xf>
    <xf numFmtId="0" fontId="17" fillId="11" borderId="5" pivotButton="0" quotePrefix="0" xfId="0"/>
    <xf numFmtId="0" fontId="17" fillId="11" borderId="1" pivotButton="0" quotePrefix="0" xfId="0"/>
    <xf numFmtId="0" fontId="0" fillId="12" borderId="0" pivotButton="0" quotePrefix="0" xfId="0"/>
    <xf numFmtId="10" fontId="0" fillId="12" borderId="0" pivotButton="0" quotePrefix="0" xfId="0"/>
    <xf numFmtId="9" fontId="0" fillId="9" borderId="0" pivotButton="0" quotePrefix="0" xfId="1"/>
    <xf numFmtId="0" fontId="19" fillId="0" borderId="1" pivotButton="0" quotePrefix="0" xfId="0"/>
    <xf numFmtId="165" fontId="19" fillId="0" borderId="1" pivotButton="0" quotePrefix="0" xfId="0"/>
    <xf numFmtId="165" fontId="20" fillId="0" borderId="1" pivotButton="0" quotePrefix="0" xfId="0"/>
    <xf numFmtId="0" fontId="19" fillId="0" borderId="1" applyAlignment="1" pivotButton="0" quotePrefix="0" xfId="0">
      <alignment horizontal="center"/>
    </xf>
    <xf numFmtId="0" fontId="21" fillId="9" borderId="0" pivotButton="0" quotePrefix="0" xfId="0"/>
    <xf numFmtId="0" fontId="21" fillId="0" borderId="0" pivotButton="0" quotePrefix="0" xfId="0"/>
    <xf numFmtId="0" fontId="21" fillId="3" borderId="2" applyAlignment="1" pivotButton="0" quotePrefix="0" xfId="0">
      <alignment horizontal="center" vertical="center" wrapText="1"/>
    </xf>
    <xf numFmtId="9" fontId="21" fillId="4" borderId="2" applyAlignment="1" pivotButton="0" quotePrefix="0" xfId="0">
      <alignment horizontal="center" vertical="center" wrapText="1"/>
    </xf>
    <xf numFmtId="0" fontId="21" fillId="4" borderId="2" applyAlignment="1" pivotButton="0" quotePrefix="0" xfId="0">
      <alignment horizontal="center" vertical="center" wrapText="1"/>
    </xf>
    <xf numFmtId="0" fontId="22" fillId="11" borderId="5" pivotButton="0" quotePrefix="0" xfId="0"/>
    <xf numFmtId="10" fontId="24" fillId="0" borderId="0" pivotButton="0" quotePrefix="0" xfId="0"/>
    <xf numFmtId="10" fontId="21" fillId="9" borderId="0" pivotButton="0" quotePrefix="0" xfId="0"/>
    <xf numFmtId="0" fontId="21" fillId="0" borderId="1" pivotButton="0" quotePrefix="0" xfId="0"/>
    <xf numFmtId="165" fontId="25" fillId="0" borderId="3" pivotButton="0" quotePrefix="0" xfId="0"/>
    <xf numFmtId="0" fontId="26" fillId="0" borderId="3" applyAlignment="1" pivotButton="0" quotePrefix="0" xfId="0">
      <alignment horizontal="center"/>
    </xf>
    <xf numFmtId="10" fontId="21" fillId="12" borderId="0" pivotButton="0" quotePrefix="0" xfId="0"/>
    <xf numFmtId="165" fontId="25" fillId="0" borderId="1" pivotButton="0" quotePrefix="0" xfId="0"/>
    <xf numFmtId="0" fontId="26" fillId="0" borderId="1" applyAlignment="1" pivotButton="0" quotePrefix="0" xfId="0">
      <alignment horizontal="center"/>
    </xf>
    <xf numFmtId="165" fontId="21" fillId="9" borderId="0" pivotButton="0" quotePrefix="0" xfId="0"/>
    <xf numFmtId="165" fontId="28" fillId="0" borderId="1" pivotButton="0" quotePrefix="0" xfId="0"/>
    <xf numFmtId="165" fontId="21" fillId="0" borderId="1" pivotButton="0" quotePrefix="0" xfId="0"/>
    <xf numFmtId="0" fontId="22" fillId="11" borderId="1" pivotButton="0" quotePrefix="0" xfId="0"/>
    <xf numFmtId="0" fontId="28" fillId="0" borderId="1" pivotButton="0" quotePrefix="0" xfId="0"/>
    <xf numFmtId="165" fontId="25" fillId="0" borderId="2" applyAlignment="1" pivotButton="0" quotePrefix="0" xfId="0">
      <alignment vertical="center"/>
    </xf>
    <xf numFmtId="165" fontId="25" fillId="0" borderId="7" applyAlignment="1" pivotButton="0" quotePrefix="0" xfId="0">
      <alignment vertical="center"/>
    </xf>
    <xf numFmtId="165" fontId="25" fillId="0" borderId="3" applyAlignment="1" pivotButton="0" quotePrefix="0" xfId="0">
      <alignment vertical="center"/>
    </xf>
    <xf numFmtId="0" fontId="29" fillId="0" borderId="1" pivotButton="0" quotePrefix="0" xfId="0"/>
    <xf numFmtId="165" fontId="29" fillId="0" borderId="1" pivotButton="0" quotePrefix="0" xfId="0"/>
    <xf numFmtId="165" fontId="30" fillId="0" borderId="1" pivotButton="0" quotePrefix="0" xfId="0"/>
    <xf numFmtId="0" fontId="29" fillId="0" borderId="1" applyAlignment="1" pivotButton="0" quotePrefix="0" xfId="0">
      <alignment horizontal="center"/>
    </xf>
    <xf numFmtId="0" fontId="25" fillId="9" borderId="0" pivotButton="0" quotePrefix="0" xfId="0"/>
    <xf numFmtId="0" fontId="7" fillId="9" borderId="0" pivotButton="0" quotePrefix="0" xfId="0"/>
    <xf numFmtId="10" fontId="21" fillId="9" borderId="0" pivotButton="0" quotePrefix="0" xfId="1"/>
    <xf numFmtId="0" fontId="7" fillId="0" borderId="0" pivotButton="0" quotePrefix="0" xfId="0"/>
    <xf numFmtId="0" fontId="6" fillId="9" borderId="0" pivotButton="0" quotePrefix="0" xfId="0"/>
    <xf numFmtId="10" fontId="24" fillId="9" borderId="0" pivotButton="0" quotePrefix="0" xfId="1"/>
    <xf numFmtId="10" fontId="21" fillId="2" borderId="0" pivotButton="0" quotePrefix="0" xfId="0"/>
    <xf numFmtId="1" fontId="21" fillId="9" borderId="0" pivotButton="0" quotePrefix="0" xfId="0"/>
    <xf numFmtId="1" fontId="25" fillId="9" borderId="0" pivotButton="0" quotePrefix="0" xfId="0"/>
    <xf numFmtId="0" fontId="9" fillId="0" borderId="0" applyAlignment="1" pivotButton="0" quotePrefix="0" xfId="0">
      <alignment horizontal="center" vertical="center"/>
    </xf>
    <xf numFmtId="0" fontId="5" fillId="9" borderId="0" pivotButton="0" quotePrefix="0" xfId="0"/>
    <xf numFmtId="166" fontId="21" fillId="9" borderId="0" pivotButton="0" quotePrefix="0" xfId="0"/>
    <xf numFmtId="0" fontId="4" fillId="9" borderId="0" pivotButton="0" quotePrefix="0" xfId="0"/>
    <xf numFmtId="10" fontId="21" fillId="13" borderId="0" pivotButton="0" quotePrefix="0" xfId="0"/>
    <xf numFmtId="10" fontId="8" fillId="0" borderId="0" pivotButton="0" quotePrefix="0" xfId="1"/>
    <xf numFmtId="0" fontId="21" fillId="4" borderId="0" applyAlignment="1" pivotButton="0" quotePrefix="0" xfId="0">
      <alignment horizontal="center" vertical="center" wrapText="1"/>
    </xf>
    <xf numFmtId="0" fontId="23" fillId="10" borderId="0" applyAlignment="1" pivotButton="0" quotePrefix="0" xfId="0">
      <alignment horizontal="center"/>
    </xf>
    <xf numFmtId="0" fontId="26" fillId="0" borderId="4" applyAlignment="1" pivotButton="0" quotePrefix="0" xfId="0">
      <alignment horizontal="center"/>
    </xf>
    <xf numFmtId="0" fontId="29" fillId="0" borderId="4" applyAlignment="1" pivotButton="0" quotePrefix="0" xfId="0">
      <alignment horizontal="center"/>
    </xf>
    <xf numFmtId="165" fontId="21" fillId="0" borderId="0" pivotButton="0" quotePrefix="0" xfId="0"/>
    <xf numFmtId="1" fontId="21" fillId="0" borderId="0" pivotButton="0" quotePrefix="0" xfId="0"/>
    <xf numFmtId="14" fontId="9" fillId="0" borderId="0" applyAlignment="1" pivotButton="0" quotePrefix="0" xfId="0">
      <alignment horizontal="center" vertical="center" wrapText="1"/>
    </xf>
    <xf numFmtId="0" fontId="3" fillId="0" borderId="0" pivotButton="0" quotePrefix="0" xfId="0"/>
    <xf numFmtId="1" fontId="3" fillId="2" borderId="0" pivotButton="0" quotePrefix="0" xfId="0"/>
    <xf numFmtId="0" fontId="2" fillId="9" borderId="0" pivotButton="0" quotePrefix="0" xfId="0"/>
    <xf numFmtId="10" fontId="21" fillId="0" borderId="0" pivotButton="0" quotePrefix="0" xfId="0"/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 wrapText="1"/>
    </xf>
    <xf numFmtId="0" fontId="8" fillId="0" borderId="0" applyAlignment="1" pivotButton="0" quotePrefix="0" xfId="0">
      <alignment vertical="center"/>
    </xf>
    <xf numFmtId="49" fontId="8" fillId="0" borderId="0" applyAlignment="1" pivotButton="0" quotePrefix="0" xfId="0">
      <alignment vertical="center" wrapText="1"/>
    </xf>
    <xf numFmtId="49" fontId="8" fillId="0" borderId="0" applyAlignment="1" pivotButton="0" quotePrefix="0" xfId="0">
      <alignment vertical="center"/>
    </xf>
    <xf numFmtId="1" fontId="21" fillId="9" borderId="1" pivotButton="0" quotePrefix="0" xfId="0"/>
    <xf numFmtId="1" fontId="21" fillId="0" borderId="1" pivotButton="0" quotePrefix="0" xfId="0"/>
    <xf numFmtId="0" fontId="25" fillId="9" borderId="1" pivotButton="0" quotePrefix="0" xfId="0"/>
    <xf numFmtId="1" fontId="21" fillId="9" borderId="8" pivotButton="0" quotePrefix="0" xfId="0"/>
    <xf numFmtId="1" fontId="21" fillId="9" borderId="9" pivotButton="0" quotePrefix="0" xfId="0"/>
    <xf numFmtId="1" fontId="21" fillId="0" borderId="9" pivotButton="0" quotePrefix="0" xfId="0"/>
    <xf numFmtId="0" fontId="25" fillId="9" borderId="10" pivotButton="0" quotePrefix="0" xfId="0"/>
    <xf numFmtId="1" fontId="21" fillId="9" borderId="11" pivotButton="0" quotePrefix="0" xfId="0"/>
    <xf numFmtId="0" fontId="25" fillId="9" borderId="12" pivotButton="0" quotePrefix="0" xfId="0"/>
    <xf numFmtId="1" fontId="21" fillId="9" borderId="13" pivotButton="0" quotePrefix="0" xfId="0"/>
    <xf numFmtId="1" fontId="21" fillId="9" borderId="14" pivotButton="0" quotePrefix="0" xfId="0"/>
    <xf numFmtId="1" fontId="21" fillId="0" borderId="14" pivotButton="0" quotePrefix="0" xfId="0"/>
    <xf numFmtId="0" fontId="25" fillId="9" borderId="15" pivotButton="0" quotePrefix="0" xfId="0"/>
    <xf numFmtId="1" fontId="25" fillId="9" borderId="16" pivotButton="0" quotePrefix="0" xfId="0"/>
    <xf numFmtId="1" fontId="25" fillId="9" borderId="17" pivotButton="0" quotePrefix="0" xfId="0"/>
    <xf numFmtId="0" fontId="25" fillId="9" borderId="18" pivotButton="0" quotePrefix="0" xfId="0"/>
    <xf numFmtId="0" fontId="22" fillId="11" borderId="8" pivotButton="0" quotePrefix="0" xfId="0"/>
    <xf numFmtId="0" fontId="23" fillId="10" borderId="9" applyAlignment="1" pivotButton="0" quotePrefix="0" xfId="0">
      <alignment horizontal="center"/>
    </xf>
    <xf numFmtId="0" fontId="23" fillId="10" borderId="10" applyAlignment="1" pivotButton="0" quotePrefix="0" xfId="0">
      <alignment horizontal="center"/>
    </xf>
    <xf numFmtId="0" fontId="21" fillId="0" borderId="11" pivotButton="0" quotePrefix="0" xfId="0"/>
    <xf numFmtId="165" fontId="25" fillId="0" borderId="12" pivotButton="0" quotePrefix="0" xfId="0"/>
    <xf numFmtId="0" fontId="21" fillId="0" borderId="13" pivotButton="0" quotePrefix="0" xfId="0"/>
    <xf numFmtId="165" fontId="25" fillId="0" borderId="14" pivotButton="0" quotePrefix="0" xfId="0"/>
    <xf numFmtId="165" fontId="28" fillId="0" borderId="14" pivotButton="0" quotePrefix="0" xfId="0"/>
    <xf numFmtId="0" fontId="26" fillId="0" borderId="14" applyAlignment="1" pivotButton="0" quotePrefix="0" xfId="0">
      <alignment horizontal="center"/>
    </xf>
    <xf numFmtId="165" fontId="25" fillId="0" borderId="15" pivotButton="0" quotePrefix="0" xfId="0"/>
    <xf numFmtId="165" fontId="25" fillId="0" borderId="14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" fillId="9" borderId="0" pivotButton="0" quotePrefix="0" xfId="0"/>
    <xf numFmtId="2" fontId="0" fillId="0" borderId="0" pivotButton="0" quotePrefix="0" xfId="0"/>
    <xf numFmtId="14" fontId="0" fillId="0" borderId="0" pivotButton="0" quotePrefix="0" xfId="0"/>
    <xf numFmtId="165" fontId="25" fillId="2" borderId="1" pivotButton="0" quotePrefix="0" xfId="0"/>
    <xf numFmtId="165" fontId="25" fillId="2" borderId="12" pivotButton="0" quotePrefix="0" xfId="0"/>
    <xf numFmtId="0" fontId="23" fillId="5" borderId="9" applyAlignment="1" pivotButton="0" quotePrefix="0" xfId="0">
      <alignment horizontal="center"/>
    </xf>
    <xf numFmtId="0" fontId="23" fillId="7" borderId="9" applyAlignment="1" pivotButton="0" quotePrefix="0" xfId="0">
      <alignment horizontal="center"/>
    </xf>
    <xf numFmtId="0" fontId="25" fillId="3" borderId="2" applyAlignment="1" pivotButton="0" quotePrefix="0" xfId="0">
      <alignment horizontal="center" vertical="center" wrapText="1"/>
    </xf>
    <xf numFmtId="1" fontId="21" fillId="9" borderId="1" applyAlignment="1" pivotButton="0" quotePrefix="0" xfId="0">
      <alignment vertical="center"/>
    </xf>
    <xf numFmtId="0" fontId="27" fillId="4" borderId="21" applyAlignment="1" pivotButton="0" quotePrefix="0" xfId="0">
      <alignment vertical="center" wrapText="1"/>
    </xf>
    <xf numFmtId="0" fontId="31" fillId="0" borderId="0" pivotButton="0" quotePrefix="0" xfId="0"/>
    <xf numFmtId="0" fontId="13" fillId="0" borderId="0" pivotButton="0" quotePrefix="0" xfId="0"/>
    <xf numFmtId="167" fontId="13" fillId="13" borderId="0" pivotButton="0" quotePrefix="0" xfId="1"/>
    <xf numFmtId="10" fontId="0" fillId="0" borderId="0" pivotButton="0" quotePrefix="0" xfId="1"/>
    <xf numFmtId="0" fontId="1" fillId="0" borderId="0" pivotButton="0" quotePrefix="0" xfId="0"/>
    <xf numFmtId="0" fontId="8" fillId="0" borderId="20" pivotButton="0" quotePrefix="0" xfId="0"/>
    <xf numFmtId="164" fontId="8" fillId="0" borderId="20" pivotButton="0" quotePrefix="0" xfId="0"/>
    <xf numFmtId="2" fontId="8" fillId="0" borderId="20" pivotButton="0" quotePrefix="0" xfId="0"/>
    <xf numFmtId="14" fontId="8" fillId="0" borderId="20" pivotButton="0" quotePrefix="0" xfId="0"/>
    <xf numFmtId="0" fontId="32" fillId="0" borderId="0" pivotButton="0" quotePrefix="0" xfId="0"/>
    <xf numFmtId="0" fontId="0" fillId="7" borderId="0" pivotButton="0" quotePrefix="0" xfId="0"/>
    <xf numFmtId="0" fontId="0" fillId="2" borderId="0" pivotButton="0" quotePrefix="0" xfId="0"/>
    <xf numFmtId="14" fontId="32" fillId="0" borderId="0" pivotButton="0" quotePrefix="0" xfId="0"/>
    <xf numFmtId="164" fontId="32" fillId="0" borderId="0" pivotButton="0" quotePrefix="0" xfId="0"/>
    <xf numFmtId="2" fontId="32" fillId="0" borderId="0" pivotButton="0" quotePrefix="0" xfId="0"/>
    <xf numFmtId="10" fontId="32" fillId="0" borderId="0" pivotButton="0" quotePrefix="0" xfId="1"/>
    <xf numFmtId="0" fontId="33" fillId="0" borderId="0" applyAlignment="1" pivotButton="0" quotePrefix="0" xfId="0">
      <alignment horizontal="center" vertical="center" wrapText="1"/>
    </xf>
    <xf numFmtId="14" fontId="33" fillId="0" borderId="0" applyAlignment="1" pivotButton="0" quotePrefix="0" xfId="0">
      <alignment horizontal="center" vertical="center" wrapText="1"/>
    </xf>
    <xf numFmtId="164" fontId="33" fillId="0" borderId="0" applyAlignment="1" pivotButton="0" quotePrefix="0" xfId="0">
      <alignment horizontal="center" vertical="center" wrapText="1"/>
    </xf>
    <xf numFmtId="0" fontId="33" fillId="0" borderId="0" applyAlignment="1" pivotButton="0" quotePrefix="0" xfId="0">
      <alignment horizontal="center" vertical="center"/>
    </xf>
    <xf numFmtId="49" fontId="33" fillId="0" borderId="0" applyAlignment="1" pivotButton="0" quotePrefix="0" xfId="0">
      <alignment horizontal="center" vertical="center" wrapText="1"/>
    </xf>
    <xf numFmtId="0" fontId="32" fillId="0" borderId="0" applyAlignment="1" pivotButton="0" quotePrefix="0" xfId="0">
      <alignment wrapText="1"/>
    </xf>
    <xf numFmtId="0" fontId="35" fillId="0" borderId="0" pivotButton="0" quotePrefix="0" xfId="0"/>
    <xf numFmtId="14" fontId="35" fillId="0" borderId="0" pivotButton="0" quotePrefix="0" xfId="0"/>
    <xf numFmtId="0" fontId="11" fillId="0" borderId="0" pivotButton="0" quotePrefix="0" xfId="0"/>
    <xf numFmtId="164" fontId="35" fillId="0" borderId="0" pivotButton="0" quotePrefix="0" xfId="0"/>
    <xf numFmtId="2" fontId="35" fillId="0" borderId="0" pivotButton="0" quotePrefix="0" xfId="0"/>
    <xf numFmtId="10" fontId="35" fillId="0" borderId="0" pivotButton="0" quotePrefix="0" xfId="1"/>
    <xf numFmtId="14" fontId="16" fillId="0" borderId="0" pivotButton="0" quotePrefix="0" xfId="0"/>
    <xf numFmtId="0" fontId="16" fillId="0" borderId="0" pivotButton="0" quotePrefix="0" xfId="0"/>
    <xf numFmtId="2" fontId="16" fillId="0" borderId="0" pivotButton="0" quotePrefix="0" xfId="0"/>
    <xf numFmtId="10" fontId="16" fillId="0" borderId="0" pivotButton="0" quotePrefix="0" xfId="1"/>
    <xf numFmtId="0" fontId="13" fillId="2" borderId="0" pivotButton="0" quotePrefix="0" xfId="0"/>
    <xf numFmtId="0" fontId="1" fillId="0" borderId="11" pivotButton="0" quotePrefix="0" xfId="0"/>
    <xf numFmtId="165" fontId="25" fillId="0" borderId="1" applyAlignment="1" pivotButton="0" quotePrefix="0" xfId="0">
      <alignment horizontal="center"/>
    </xf>
    <xf numFmtId="0" fontId="1" fillId="0" borderId="13" pivotButton="0" quotePrefix="0" xfId="0"/>
    <xf numFmtId="165" fontId="25" fillId="0" borderId="14" applyAlignment="1" pivotButton="0" quotePrefix="0" xfId="0">
      <alignment horizontal="center"/>
    </xf>
    <xf numFmtId="0" fontId="9" fillId="12" borderId="0" applyAlignment="1" pivotButton="0" quotePrefix="0" xfId="0">
      <alignment horizontal="center" vertical="center" wrapText="1"/>
    </xf>
    <xf numFmtId="14" fontId="9" fillId="12" borderId="0" applyAlignment="1" pivotButton="0" quotePrefix="0" xfId="0">
      <alignment horizontal="center" vertical="center" wrapText="1"/>
    </xf>
    <xf numFmtId="164" fontId="9" fillId="12" borderId="0" applyAlignment="1" pivotButton="0" quotePrefix="0" xfId="0">
      <alignment horizontal="center" vertical="center" wrapText="1"/>
    </xf>
    <xf numFmtId="0" fontId="9" fillId="12" borderId="0" applyAlignment="1" pivotButton="0" quotePrefix="0" xfId="0">
      <alignment horizontal="center" vertical="center"/>
    </xf>
    <xf numFmtId="49" fontId="9" fillId="12" borderId="0" applyAlignment="1" pivotButton="0" quotePrefix="0" xfId="0">
      <alignment horizontal="center" vertical="center" wrapText="1"/>
    </xf>
    <xf numFmtId="0" fontId="8" fillId="12" borderId="0" applyAlignment="1" pivotButton="0" quotePrefix="0" xfId="0">
      <alignment wrapText="1"/>
    </xf>
    <xf numFmtId="0" fontId="13" fillId="12" borderId="0" pivotButton="0" quotePrefix="0" xfId="0"/>
    <xf numFmtId="165" fontId="25" fillId="0" borderId="24" applyAlignment="1" pivotButton="0" quotePrefix="0" xfId="0">
      <alignment vertical="center"/>
    </xf>
    <xf numFmtId="165" fontId="25" fillId="0" borderId="26" applyAlignment="1" pivotButton="0" quotePrefix="0" xfId="0">
      <alignment vertical="center"/>
    </xf>
    <xf numFmtId="0" fontId="27" fillId="0" borderId="0" applyAlignment="1" pivotButton="0" quotePrefix="0" xfId="0">
      <alignment horizontal="left"/>
    </xf>
    <xf numFmtId="14" fontId="36" fillId="0" borderId="23" pivotButton="0" quotePrefix="0" xfId="0"/>
    <xf numFmtId="0" fontId="36" fillId="0" borderId="23" pivotButton="0" quotePrefix="0" xfId="0"/>
    <xf numFmtId="164" fontId="36" fillId="0" borderId="23" pivotButton="0" quotePrefix="0" xfId="0"/>
    <xf numFmtId="2" fontId="36" fillId="0" borderId="23" pivotButton="0" quotePrefix="0" xfId="0"/>
    <xf numFmtId="0" fontId="36" fillId="0" borderId="20" pivotButton="0" quotePrefix="0" xfId="0"/>
    <xf numFmtId="10" fontId="36" fillId="0" borderId="23" pivotButton="0" quotePrefix="0" xfId="1"/>
    <xf numFmtId="14" fontId="36" fillId="0" borderId="22" pivotButton="0" quotePrefix="0" xfId="0"/>
    <xf numFmtId="0" fontId="36" fillId="0" borderId="22" pivotButton="0" quotePrefix="0" xfId="0"/>
    <xf numFmtId="164" fontId="36" fillId="0" borderId="22" pivotButton="0" quotePrefix="0" xfId="0"/>
    <xf numFmtId="2" fontId="36" fillId="0" borderId="22" pivotButton="0" quotePrefix="0" xfId="0"/>
    <xf numFmtId="10" fontId="36" fillId="0" borderId="22" pivotButton="0" quotePrefix="0" xfId="1"/>
    <xf numFmtId="14" fontId="36" fillId="0" borderId="20" pivotButton="0" quotePrefix="0" xfId="0"/>
    <xf numFmtId="164" fontId="36" fillId="0" borderId="20" pivotButton="0" quotePrefix="0" xfId="0"/>
    <xf numFmtId="2" fontId="36" fillId="0" borderId="20" pivotButton="0" quotePrefix="0" xfId="0"/>
    <xf numFmtId="10" fontId="36" fillId="0" borderId="20" pivotButton="0" quotePrefix="0" xfId="1"/>
    <xf numFmtId="165" fontId="25" fillId="0" borderId="25" applyAlignment="1" pivotButton="0" quotePrefix="0" xfId="0">
      <alignment vertical="center"/>
    </xf>
    <xf numFmtId="0" fontId="23" fillId="15" borderId="9" applyAlignment="1" pivotButton="0" quotePrefix="0" xfId="0">
      <alignment horizontal="center"/>
    </xf>
    <xf numFmtId="0" fontId="39" fillId="10" borderId="10" applyAlignment="1" pivotButton="0" quotePrefix="0" xfId="0">
      <alignment horizontal="center" vertical="center"/>
    </xf>
    <xf numFmtId="0" fontId="1" fillId="0" borderId="29" pivotButton="0" quotePrefix="0" xfId="0"/>
    <xf numFmtId="165" fontId="25" fillId="0" borderId="6" applyAlignment="1" pivotButton="0" quotePrefix="0" xfId="0">
      <alignment horizontal="center"/>
    </xf>
    <xf numFmtId="0" fontId="37" fillId="11" borderId="30" pivotButton="0" quotePrefix="0" xfId="0"/>
    <xf numFmtId="0" fontId="23" fillId="10" borderId="28" applyAlignment="1" pivotButton="0" quotePrefix="0" xfId="0">
      <alignment horizontal="center"/>
    </xf>
    <xf numFmtId="165" fontId="25" fillId="0" borderId="32" applyAlignment="1" pivotButton="0" quotePrefix="0" xfId="0">
      <alignment vertical="center"/>
    </xf>
    <xf numFmtId="165" fontId="25" fillId="0" borderId="33" applyAlignment="1" pivotButton="0" quotePrefix="0" xfId="0">
      <alignment vertical="center"/>
    </xf>
    <xf numFmtId="0" fontId="40" fillId="9" borderId="34" applyAlignment="1" pivotButton="0" quotePrefix="0" xfId="0">
      <alignment horizontal="right"/>
    </xf>
    <xf numFmtId="168" fontId="40" fillId="9" borderId="35" pivotButton="0" quotePrefix="0" xfId="2"/>
    <xf numFmtId="0" fontId="21" fillId="9" borderId="36" pivotButton="0" quotePrefix="0" xfId="0"/>
    <xf numFmtId="0" fontId="41" fillId="0" borderId="0" pivotButton="0" quotePrefix="0" xfId="0"/>
    <xf numFmtId="165" fontId="42" fillId="14" borderId="15" pivotButton="0" quotePrefix="0" xfId="0"/>
    <xf numFmtId="0" fontId="43" fillId="0" borderId="0" pivotButton="0" quotePrefix="0" xfId="0"/>
    <xf numFmtId="0" fontId="43" fillId="0" borderId="20" pivotButton="0" quotePrefix="0" xfId="0"/>
    <xf numFmtId="14" fontId="43" fillId="0" borderId="0" pivotButton="0" quotePrefix="0" xfId="0"/>
    <xf numFmtId="164" fontId="43" fillId="0" borderId="0" pivotButton="0" quotePrefix="0" xfId="0"/>
    <xf numFmtId="2" fontId="43" fillId="0" borderId="0" pivotButton="0" quotePrefix="0" xfId="0"/>
    <xf numFmtId="10" fontId="43" fillId="0" borderId="0" pivotButton="0" quotePrefix="0" xfId="1"/>
    <xf numFmtId="14" fontId="43" fillId="0" borderId="23" pivotButton="0" quotePrefix="0" xfId="0"/>
    <xf numFmtId="0" fontId="43" fillId="0" borderId="23" pivotButton="0" quotePrefix="0" xfId="0"/>
    <xf numFmtId="164" fontId="43" fillId="0" borderId="23" pivotButton="0" quotePrefix="0" xfId="0"/>
    <xf numFmtId="2" fontId="43" fillId="0" borderId="23" pivotButton="0" quotePrefix="0" xfId="0"/>
    <xf numFmtId="10" fontId="43" fillId="0" borderId="23" pivotButton="0" quotePrefix="0" xfId="1"/>
    <xf numFmtId="0" fontId="44" fillId="0" borderId="23" pivotButton="0" quotePrefix="0" xfId="0"/>
    <xf numFmtId="9" fontId="43" fillId="0" borderId="23" pivotButton="0" quotePrefix="0" xfId="0"/>
    <xf numFmtId="0" fontId="44" fillId="0" borderId="0" pivotButton="0" quotePrefix="0" xfId="0"/>
    <xf numFmtId="9" fontId="43" fillId="0" borderId="0" pivotButton="0" quotePrefix="0" xfId="0"/>
    <xf numFmtId="10" fontId="0" fillId="2" borderId="0" pivotButton="0" quotePrefix="0" xfId="1"/>
    <xf numFmtId="0" fontId="1" fillId="2" borderId="0" pivotButton="0" quotePrefix="0" xfId="0"/>
    <xf numFmtId="0" fontId="16" fillId="0" borderId="20" pivotButton="0" quotePrefix="0" xfId="0"/>
    <xf numFmtId="14" fontId="16" fillId="0" borderId="20" pivotButton="0" quotePrefix="0" xfId="0"/>
    <xf numFmtId="164" fontId="16" fillId="0" borderId="20" pivotButton="0" quotePrefix="0" xfId="0"/>
    <xf numFmtId="2" fontId="16" fillId="0" borderId="20" pivotButton="0" quotePrefix="0" xfId="0"/>
    <xf numFmtId="10" fontId="16" fillId="0" borderId="20" pivotButton="0" quotePrefix="0" xfId="1"/>
    <xf numFmtId="14" fontId="16" fillId="0" borderId="23" pivotButton="0" quotePrefix="0" xfId="0"/>
    <xf numFmtId="0" fontId="16" fillId="0" borderId="23" pivotButton="0" quotePrefix="0" xfId="0"/>
    <xf numFmtId="164" fontId="16" fillId="0" borderId="23" pivotButton="0" quotePrefix="0" xfId="0"/>
    <xf numFmtId="2" fontId="16" fillId="0" borderId="23" pivotButton="0" quotePrefix="0" xfId="0"/>
    <xf numFmtId="10" fontId="16" fillId="0" borderId="23" pivotButton="0" quotePrefix="0" xfId="1"/>
    <xf numFmtId="0" fontId="16" fillId="0" borderId="16" pivotButton="0" quotePrefix="0" xfId="0"/>
    <xf numFmtId="14" fontId="16" fillId="0" borderId="17" pivotButton="0" quotePrefix="0" xfId="0"/>
    <xf numFmtId="0" fontId="16" fillId="0" borderId="17" pivotButton="0" quotePrefix="0" xfId="0"/>
    <xf numFmtId="164" fontId="16" fillId="0" borderId="17" pivotButton="0" quotePrefix="0" xfId="0"/>
    <xf numFmtId="2" fontId="16" fillId="0" borderId="17" pivotButton="0" quotePrefix="0" xfId="0"/>
    <xf numFmtId="10" fontId="16" fillId="0" borderId="17" pivotButton="0" quotePrefix="0" xfId="1"/>
    <xf numFmtId="0" fontId="16" fillId="0" borderId="18" pivotButton="0" quotePrefix="0" xfId="0"/>
    <xf numFmtId="0" fontId="16" fillId="0" borderId="22" pivotButton="0" quotePrefix="0" xfId="0"/>
    <xf numFmtId="14" fontId="16" fillId="0" borderId="22" pivotButton="0" quotePrefix="0" xfId="0"/>
    <xf numFmtId="164" fontId="16" fillId="0" borderId="22" pivotButton="0" quotePrefix="0" xfId="0"/>
    <xf numFmtId="2" fontId="16" fillId="0" borderId="22" pivotButton="0" quotePrefix="0" xfId="0"/>
    <xf numFmtId="10" fontId="16" fillId="0" borderId="22" pivotButton="0" quotePrefix="0" xfId="1"/>
    <xf numFmtId="14" fontId="45" fillId="0" borderId="0" applyAlignment="1" pivotButton="0" quotePrefix="0" xfId="0">
      <alignment horizontal="center" vertical="center"/>
    </xf>
    <xf numFmtId="10" fontId="8" fillId="0" borderId="20" applyAlignment="1" pivotButton="0" quotePrefix="0" xfId="1">
      <alignment horizontal="left"/>
    </xf>
    <xf numFmtId="0" fontId="8" fillId="0" borderId="22" pivotButton="0" quotePrefix="0" xfId="0"/>
    <xf numFmtId="164" fontId="8" fillId="0" borderId="22" pivotButton="0" quotePrefix="0" xfId="0"/>
    <xf numFmtId="2" fontId="8" fillId="0" borderId="22" pivotButton="0" quotePrefix="0" xfId="0"/>
    <xf numFmtId="10" fontId="8" fillId="0" borderId="0" applyAlignment="1" pivotButton="0" quotePrefix="0" xfId="1">
      <alignment horizontal="left"/>
    </xf>
    <xf numFmtId="0" fontId="46" fillId="11" borderId="30" pivotButton="0" quotePrefix="0" xfId="0"/>
    <xf numFmtId="0" fontId="47" fillId="0" borderId="0" pivotButton="0" quotePrefix="0" xfId="0"/>
    <xf numFmtId="10" fontId="8" fillId="0" borderId="22" applyAlignment="1" pivotButton="0" quotePrefix="0" xfId="1">
      <alignment horizontal="left"/>
    </xf>
    <xf numFmtId="0" fontId="48" fillId="11" borderId="30" pivotButton="0" quotePrefix="0" xfId="0"/>
    <xf numFmtId="49" fontId="0" fillId="0" borderId="0" applyAlignment="1" pivotButton="0" quotePrefix="0" xfId="0">
      <alignment wrapText="1"/>
    </xf>
    <xf numFmtId="0" fontId="9" fillId="16" borderId="1" applyAlignment="1" pivotButton="0" quotePrefix="0" xfId="0">
      <alignment horizontal="center" vertical="center" wrapText="1"/>
    </xf>
    <xf numFmtId="164" fontId="9" fillId="16" borderId="1" applyAlignment="1" pivotButton="0" quotePrefix="0" xfId="0">
      <alignment horizontal="center" vertical="center" wrapText="1"/>
    </xf>
    <xf numFmtId="0" fontId="9" fillId="16" borderId="1" applyAlignment="1" pivotButton="0" quotePrefix="0" xfId="0">
      <alignment horizontal="center" vertical="center"/>
    </xf>
    <xf numFmtId="49" fontId="9" fillId="16" borderId="1" applyAlignment="1" pivotButton="0" quotePrefix="0" xfId="0">
      <alignment horizontal="center" vertical="center" wrapText="1"/>
    </xf>
    <xf numFmtId="0" fontId="8" fillId="16" borderId="1" applyAlignment="1" pivotButton="0" quotePrefix="0" xfId="0">
      <alignment wrapText="1"/>
    </xf>
    <xf numFmtId="0" fontId="45" fillId="10" borderId="16" pivotButton="0" quotePrefix="0" xfId="0"/>
    <xf numFmtId="0" fontId="45" fillId="0" borderId="18" pivotButton="0" quotePrefix="1" xfId="0"/>
    <xf numFmtId="14" fontId="43" fillId="0" borderId="20" pivotButton="0" quotePrefix="0" xfId="0"/>
    <xf numFmtId="0" fontId="43" fillId="0" borderId="22" pivotButton="0" quotePrefix="0" xfId="0"/>
    <xf numFmtId="14" fontId="43" fillId="0" borderId="22" pivotButton="0" quotePrefix="0" xfId="0"/>
    <xf numFmtId="14" fontId="44" fillId="0" borderId="0" pivotButton="0" quotePrefix="0" xfId="0"/>
    <xf numFmtId="0" fontId="36" fillId="0" borderId="0" pivotButton="0" quotePrefix="0" xfId="0"/>
    <xf numFmtId="14" fontId="36" fillId="0" borderId="0" pivotButton="0" quotePrefix="0" xfId="0"/>
    <xf numFmtId="164" fontId="36" fillId="0" borderId="0" pivotButton="0" quotePrefix="0" xfId="0"/>
    <xf numFmtId="2" fontId="36" fillId="0" borderId="0" pivotButton="0" quotePrefix="0" xfId="0"/>
    <xf numFmtId="10" fontId="36" fillId="0" borderId="0" pivotButton="0" quotePrefix="0" xfId="1"/>
    <xf numFmtId="10" fontId="36" fillId="0" borderId="20" applyAlignment="1" pivotButton="0" quotePrefix="0" xfId="1">
      <alignment horizontal="left"/>
    </xf>
    <xf numFmtId="10" fontId="36" fillId="0" borderId="0" applyAlignment="1" pivotButton="0" quotePrefix="0" xfId="1">
      <alignment horizontal="left"/>
    </xf>
    <xf numFmtId="10" fontId="36" fillId="0" borderId="22" applyAlignment="1" pivotButton="0" quotePrefix="0" xfId="1">
      <alignment horizontal="left"/>
    </xf>
    <xf numFmtId="0" fontId="36" fillId="6" borderId="0" pivotButton="0" quotePrefix="0" xfId="0"/>
    <xf numFmtId="0" fontId="36" fillId="0" borderId="23" applyAlignment="1" pivotButton="0" quotePrefix="0" xfId="0">
      <alignment wrapText="1"/>
    </xf>
    <xf numFmtId="49" fontId="36" fillId="0" borderId="0" pivotButton="0" quotePrefix="0" xfId="0"/>
    <xf numFmtId="10" fontId="36" fillId="0" borderId="23" applyAlignment="1" pivotButton="0" quotePrefix="0" xfId="1">
      <alignment horizontal="left"/>
    </xf>
    <xf numFmtId="16" fontId="36" fillId="0" borderId="0" pivotButton="0" quotePrefix="0" xfId="0"/>
    <xf numFmtId="0" fontId="36" fillId="17" borderId="20" pivotButton="0" quotePrefix="0" xfId="0"/>
    <xf numFmtId="0" fontId="49" fillId="0" borderId="0" pivotButton="0" quotePrefix="0" xfId="0"/>
    <xf numFmtId="14" fontId="49" fillId="0" borderId="0" pivotButton="0" quotePrefix="0" xfId="0"/>
    <xf numFmtId="164" fontId="49" fillId="0" borderId="0" pivotButton="0" quotePrefix="0" xfId="0"/>
    <xf numFmtId="2" fontId="49" fillId="0" borderId="0" pivotButton="0" quotePrefix="0" xfId="0"/>
    <xf numFmtId="10" fontId="49" fillId="0" borderId="0" applyAlignment="1" pivotButton="0" quotePrefix="0" xfId="1">
      <alignment horizontal="left"/>
    </xf>
    <xf numFmtId="2" fontId="36" fillId="18" borderId="0" pivotButton="0" quotePrefix="0" xfId="0"/>
    <xf numFmtId="2" fontId="36" fillId="18" borderId="20" pivotButton="0" quotePrefix="0" xfId="0"/>
    <xf numFmtId="14" fontId="8" fillId="0" borderId="22" pivotButton="0" quotePrefix="0" xfId="0"/>
    <xf numFmtId="168" fontId="25" fillId="9" borderId="16" pivotButton="0" quotePrefix="0" xfId="2"/>
    <xf numFmtId="168" fontId="26" fillId="9" borderId="0" pivotButton="0" quotePrefix="0" xfId="2"/>
    <xf numFmtId="0" fontId="26" fillId="0" borderId="0" pivotButton="0" quotePrefix="1" xfId="0"/>
    <xf numFmtId="0" fontId="26" fillId="0" borderId="0" pivotButton="0" quotePrefix="0" xfId="0"/>
    <xf numFmtId="168" fontId="50" fillId="9" borderId="0" pivotButton="0" quotePrefix="0" xfId="2"/>
    <xf numFmtId="0" fontId="1" fillId="0" borderId="1" applyAlignment="1" pivotButton="0" quotePrefix="0" xfId="0">
      <alignment horizontal="center" vertical="center"/>
    </xf>
    <xf numFmtId="165" fontId="1" fillId="0" borderId="1" applyAlignment="1" pivotButton="0" quotePrefix="0" xfId="0">
      <alignment horizontal="center" vertical="center"/>
    </xf>
    <xf numFmtId="0" fontId="51" fillId="0" borderId="0" pivotButton="0" quotePrefix="0" xfId="0"/>
    <xf numFmtId="10" fontId="1" fillId="0" borderId="1" applyAlignment="1" pivotButton="0" quotePrefix="0" xfId="1">
      <alignment horizontal="center" vertical="center"/>
    </xf>
    <xf numFmtId="168" fontId="40" fillId="10" borderId="35" pivotButton="0" quotePrefix="0" xfId="2"/>
    <xf numFmtId="14" fontId="14" fillId="0" borderId="0" pivotButton="0" quotePrefix="0" xfId="0"/>
    <xf numFmtId="2" fontId="14" fillId="0" borderId="0" pivotButton="0" quotePrefix="0" xfId="0"/>
    <xf numFmtId="165" fontId="25" fillId="10" borderId="25" applyAlignment="1" pivotButton="0" quotePrefix="0" xfId="0">
      <alignment vertical="center"/>
    </xf>
    <xf numFmtId="165" fontId="53" fillId="10" borderId="32" applyAlignment="1" pivotButton="0" quotePrefix="0" xfId="0">
      <alignment vertical="center"/>
    </xf>
    <xf numFmtId="16" fontId="21" fillId="9" borderId="0" pivotButton="0" quotePrefix="0" xfId="0"/>
    <xf numFmtId="165" fontId="54" fillId="10" borderId="32" applyAlignment="1" pivotButton="0" quotePrefix="0" xfId="0">
      <alignment vertical="center"/>
    </xf>
    <xf numFmtId="165" fontId="1" fillId="9" borderId="0" pivotButton="0" quotePrefix="0" xfId="0"/>
    <xf numFmtId="0" fontId="0" fillId="0" borderId="20" pivotButton="0" quotePrefix="0" xfId="0"/>
    <xf numFmtId="1" fontId="0" fillId="0" borderId="20" pivotButton="0" quotePrefix="0" xfId="0"/>
    <xf numFmtId="0" fontId="0" fillId="9" borderId="20" applyAlignment="1" pivotButton="0" quotePrefix="0" xfId="0">
      <alignment wrapText="1"/>
    </xf>
    <xf numFmtId="1" fontId="0" fillId="2" borderId="20" pivotButton="0" quotePrefix="0" xfId="0"/>
    <xf numFmtId="0" fontId="34" fillId="0" borderId="20" applyAlignment="1" pivotButton="0" quotePrefix="0" xfId="0">
      <alignment horizontal="center" vertical="center"/>
    </xf>
    <xf numFmtId="2" fontId="0" fillId="0" borderId="20" pivotButton="0" quotePrefix="0" xfId="0"/>
    <xf numFmtId="14" fontId="0" fillId="17" borderId="20" applyAlignment="1" pivotButton="0" quotePrefix="0" xfId="0">
      <alignment horizontal="center" vertical="center" wrapText="1"/>
    </xf>
    <xf numFmtId="0" fontId="27" fillId="0" borderId="29" pivotButton="0" quotePrefix="0" xfId="0"/>
    <xf numFmtId="0" fontId="15" fillId="0" borderId="29" pivotButton="0" quotePrefix="0" xfId="0"/>
    <xf numFmtId="0" fontId="13" fillId="0" borderId="0" applyAlignment="1" pivotButton="0" quotePrefix="0" xfId="0">
      <alignment horizontal="center"/>
    </xf>
    <xf numFmtId="3" fontId="0" fillId="0" borderId="39" pivotButton="0" quotePrefix="0" xfId="0"/>
    <xf numFmtId="3" fontId="0" fillId="0" borderId="19" pivotButton="0" quotePrefix="0" xfId="0"/>
    <xf numFmtId="3" fontId="0" fillId="0" borderId="40" pivotButton="0" quotePrefix="0" xfId="0"/>
    <xf numFmtId="3" fontId="0" fillId="0" borderId="41" pivotButton="0" quotePrefix="0" xfId="0"/>
    <xf numFmtId="3" fontId="0" fillId="0" borderId="0" pivotButton="0" quotePrefix="0" xfId="0"/>
    <xf numFmtId="3" fontId="0" fillId="0" borderId="42" pivotButton="0" quotePrefix="0" xfId="0"/>
    <xf numFmtId="3" fontId="0" fillId="0" borderId="34" pivotButton="0" quotePrefix="0" xfId="0"/>
    <xf numFmtId="3" fontId="0" fillId="0" borderId="35" pivotButton="0" quotePrefix="0" xfId="0"/>
    <xf numFmtId="3" fontId="0" fillId="0" borderId="36" pivotButton="0" quotePrefix="0" xfId="0"/>
    <xf numFmtId="3" fontId="0" fillId="19" borderId="37" pivotButton="0" quotePrefix="0" xfId="0"/>
    <xf numFmtId="3" fontId="0" fillId="19" borderId="21" pivotButton="0" quotePrefix="0" xfId="0"/>
    <xf numFmtId="3" fontId="0" fillId="19" borderId="38" pivotButton="0" quotePrefix="0" xfId="0"/>
    <xf numFmtId="0" fontId="8" fillId="0" borderId="0" applyAlignment="1" pivotButton="0" quotePrefix="0" xfId="0">
      <alignment horizontal="center"/>
    </xf>
    <xf numFmtId="0" fontId="55" fillId="0" borderId="37" pivotButton="0" quotePrefix="0" xfId="0"/>
    <xf numFmtId="0" fontId="55" fillId="0" borderId="21" pivotButton="0" quotePrefix="0" xfId="0"/>
    <xf numFmtId="0" fontId="55" fillId="0" borderId="38" pivotButton="0" quotePrefix="0" xfId="0"/>
    <xf numFmtId="9" fontId="0" fillId="0" borderId="0" pivotButton="0" quotePrefix="0" xfId="0"/>
    <xf numFmtId="169" fontId="13" fillId="0" borderId="0" pivotButton="0" quotePrefix="0" xfId="0"/>
    <xf numFmtId="169" fontId="0" fillId="0" borderId="0" pivotButton="0" quotePrefix="0" xfId="0"/>
    <xf numFmtId="2" fontId="13" fillId="13" borderId="0" pivotButton="0" quotePrefix="0" xfId="1"/>
    <xf numFmtId="0" fontId="1" fillId="0" borderId="0" applyAlignment="1" pivotButton="0" quotePrefix="0" xfId="0">
      <alignment horizontal="centerContinuous" vertical="center"/>
    </xf>
    <xf numFmtId="0" fontId="21" fillId="0" borderId="0" applyAlignment="1" pivotButton="0" quotePrefix="0" xfId="0">
      <alignment horizontal="centerContinuous" vertical="center"/>
    </xf>
    <xf numFmtId="0" fontId="36" fillId="2" borderId="22" pivotButton="0" quotePrefix="0" xfId="0"/>
    <xf numFmtId="0" fontId="36" fillId="2" borderId="20" pivotButton="0" quotePrefix="0" xfId="0"/>
    <xf numFmtId="0" fontId="49" fillId="2" borderId="0" pivotButton="0" quotePrefix="0" xfId="0"/>
    <xf numFmtId="2" fontId="49" fillId="0" borderId="20" pivotButton="0" quotePrefix="0" xfId="0"/>
    <xf numFmtId="164" fontId="49" fillId="0" borderId="20" pivotButton="0" quotePrefix="0" xfId="0"/>
    <xf numFmtId="10" fontId="49" fillId="0" borderId="20" applyAlignment="1" pivotButton="0" quotePrefix="0" xfId="1">
      <alignment horizontal="left"/>
    </xf>
    <xf numFmtId="0" fontId="49" fillId="0" borderId="20" pivotButton="0" quotePrefix="0" xfId="0"/>
    <xf numFmtId="15" fontId="36" fillId="0" borderId="0" pivotButton="0" quotePrefix="0" xfId="0"/>
    <xf numFmtId="10" fontId="56" fillId="9" borderId="0" pivotButton="0" quotePrefix="0" xfId="0"/>
    <xf numFmtId="0" fontId="40" fillId="9" borderId="0" applyAlignment="1" pivotButton="0" quotePrefix="0" xfId="0">
      <alignment horizontal="right"/>
    </xf>
    <xf numFmtId="168" fontId="40" fillId="9" borderId="0" pivotButton="0" quotePrefix="0" xfId="2"/>
    <xf numFmtId="10" fontId="1" fillId="0" borderId="0" applyAlignment="1" pivotButton="0" quotePrefix="0" xfId="1">
      <alignment horizontal="center" vertical="center"/>
    </xf>
    <xf numFmtId="0" fontId="57" fillId="0" borderId="1" applyAlignment="1" pivotButton="0" quotePrefix="0" xfId="0">
      <alignment horizontal="center" vertical="center"/>
    </xf>
    <xf numFmtId="10" fontId="57" fillId="0" borderId="1" applyAlignment="1" pivotButton="0" quotePrefix="0" xfId="1">
      <alignment horizontal="center" vertical="center"/>
    </xf>
    <xf numFmtId="0" fontId="58" fillId="11" borderId="30" pivotButton="0" quotePrefix="0" xfId="0"/>
    <xf numFmtId="0" fontId="38" fillId="0" borderId="29" pivotButton="0" quotePrefix="0" xfId="0"/>
    <xf numFmtId="0" fontId="59" fillId="0" borderId="0" pivotButton="0" quotePrefix="0" xfId="0"/>
    <xf numFmtId="0" fontId="0" fillId="0" borderId="0" applyAlignment="1" pivotButton="0" quotePrefix="0" xfId="0">
      <alignment wrapText="1"/>
    </xf>
    <xf numFmtId="0" fontId="50" fillId="0" borderId="0" applyAlignment="1" pivotButton="0" quotePrefix="0" xfId="0">
      <alignment horizontal="center" vertical="center"/>
    </xf>
    <xf numFmtId="0" fontId="8" fillId="0" borderId="20" applyAlignment="1" pivotButton="0" quotePrefix="0" xfId="0">
      <alignment wrapText="1"/>
    </xf>
    <xf numFmtId="0" fontId="11" fillId="2" borderId="0" pivotButton="0" quotePrefix="0" xfId="0"/>
    <xf numFmtId="14" fontId="11" fillId="2" borderId="0" pivotButton="0" quotePrefix="0" xfId="0"/>
    <xf numFmtId="164" fontId="11" fillId="0" borderId="0" pivotButton="0" quotePrefix="0" xfId="0"/>
    <xf numFmtId="164" fontId="11" fillId="2" borderId="0" pivotButton="0" quotePrefix="0" xfId="0"/>
    <xf numFmtId="2" fontId="11" fillId="0" borderId="0" pivotButton="0" quotePrefix="0" xfId="0"/>
    <xf numFmtId="10" fontId="11" fillId="0" borderId="0" pivotButton="0" quotePrefix="0" xfId="1"/>
    <xf numFmtId="0" fontId="10" fillId="0" borderId="0" pivotButton="0" quotePrefix="0" xfId="0"/>
    <xf numFmtId="0" fontId="60" fillId="11" borderId="30" pivotButton="0" quotePrefix="0" xfId="0"/>
    <xf numFmtId="165" fontId="25" fillId="10" borderId="1" applyAlignment="1" pivotButton="0" quotePrefix="0" xfId="0">
      <alignment horizontal="center"/>
    </xf>
    <xf numFmtId="0" fontId="1" fillId="0" borderId="1" applyAlignment="1" pivotButton="0" quotePrefix="1" xfId="0">
      <alignment horizontal="center" vertical="center"/>
    </xf>
    <xf numFmtId="165" fontId="25" fillId="0" borderId="32" applyAlignment="1" pivotButton="0" quotePrefix="0" xfId="0">
      <alignment horizontal="center"/>
    </xf>
    <xf numFmtId="0" fontId="39" fillId="10" borderId="31" applyAlignment="1" pivotButton="0" quotePrefix="0" xfId="0">
      <alignment horizontal="center" vertical="center"/>
    </xf>
    <xf numFmtId="165" fontId="25" fillId="0" borderId="33" pivotButton="0" quotePrefix="0" xfId="0"/>
    <xf numFmtId="0" fontId="23" fillId="10" borderId="43" applyAlignment="1" pivotButton="0" quotePrefix="0" xfId="0">
      <alignment horizontal="center"/>
    </xf>
    <xf numFmtId="165" fontId="25" fillId="0" borderId="44" pivotButton="0" quotePrefix="0" xfId="0"/>
    <xf numFmtId="0" fontId="9" fillId="0" borderId="20" applyAlignment="1" pivotButton="0" quotePrefix="0" xfId="0">
      <alignment horizontal="center" vertical="center" wrapText="1"/>
    </xf>
    <xf numFmtId="14" fontId="9" fillId="0" borderId="20" applyAlignment="1" pivotButton="0" quotePrefix="0" xfId="0">
      <alignment horizontal="center" vertical="center" wrapText="1"/>
    </xf>
    <xf numFmtId="49" fontId="9" fillId="0" borderId="20" applyAlignment="1" pivotButton="0" quotePrefix="0" xfId="0">
      <alignment horizontal="center" vertical="center" wrapText="1"/>
    </xf>
    <xf numFmtId="164" fontId="9" fillId="0" borderId="20" applyAlignment="1" pivotButton="0" quotePrefix="0" xfId="0">
      <alignment horizontal="center" vertical="center" wrapText="1"/>
    </xf>
    <xf numFmtId="0" fontId="9" fillId="0" borderId="20" applyAlignment="1" pivotButton="0" quotePrefix="0" xfId="0">
      <alignment horizontal="center" vertical="center"/>
    </xf>
    <xf numFmtId="0" fontId="32" fillId="0" borderId="0" applyAlignment="1" pivotButton="0" quotePrefix="0" xfId="0">
      <alignment horizontal="left" vertical="center" wrapText="1"/>
    </xf>
    <xf numFmtId="14" fontId="32" fillId="0" borderId="0" applyAlignment="1" pivotButton="0" quotePrefix="0" xfId="0">
      <alignment horizontal="left" vertical="center" wrapText="1"/>
    </xf>
    <xf numFmtId="49" fontId="32" fillId="0" borderId="0" applyAlignment="1" pivotButton="0" quotePrefix="0" xfId="0">
      <alignment horizontal="left" vertical="center" wrapText="1"/>
    </xf>
    <xf numFmtId="49" fontId="32" fillId="0" borderId="0" applyAlignment="1" pivotButton="0" quotePrefix="0" xfId="0">
      <alignment horizontal="left" vertical="center"/>
    </xf>
    <xf numFmtId="164" fontId="32" fillId="0" borderId="0" applyAlignment="1" pivotButton="0" quotePrefix="0" xfId="0">
      <alignment horizontal="left" vertical="center" wrapText="1"/>
    </xf>
    <xf numFmtId="0" fontId="32" fillId="0" borderId="0" applyAlignment="1" pivotButton="0" quotePrefix="0" xfId="0">
      <alignment horizontal="left" vertical="center"/>
    </xf>
    <xf numFmtId="0" fontId="32" fillId="0" borderId="0" applyAlignment="1" pivotButton="0" quotePrefix="0" xfId="0">
      <alignment horizontal="left" wrapText="1"/>
    </xf>
    <xf numFmtId="0" fontId="52" fillId="2" borderId="1" applyAlignment="1" pivotButton="0" quotePrefix="0" xfId="0">
      <alignment horizontal="center" vertical="center"/>
    </xf>
    <xf numFmtId="2" fontId="36" fillId="18" borderId="22" pivotButton="0" quotePrefix="0" xfId="0"/>
    <xf numFmtId="2" fontId="36" fillId="2" borderId="0" pivotButton="0" quotePrefix="0" xfId="0"/>
    <xf numFmtId="0" fontId="36" fillId="2" borderId="0" pivotButton="0" quotePrefix="0" xfId="0"/>
    <xf numFmtId="2" fontId="36" fillId="20" borderId="23" pivotButton="0" quotePrefix="0" xfId="0"/>
    <xf numFmtId="2" fontId="36" fillId="20" borderId="22" pivotButton="0" quotePrefix="0" xfId="0"/>
    <xf numFmtId="2" fontId="36" fillId="20" borderId="0" pivotButton="0" quotePrefix="0" xfId="0"/>
    <xf numFmtId="2" fontId="36" fillId="20" borderId="20" pivotButton="0" quotePrefix="0" xfId="0"/>
    <xf numFmtId="0" fontId="36" fillId="0" borderId="22" applyAlignment="1" pivotButton="0" quotePrefix="0" xfId="0">
      <alignment wrapText="1"/>
    </xf>
    <xf numFmtId="0" fontId="36" fillId="0" borderId="20" applyAlignment="1" pivotButton="0" quotePrefix="0" xfId="0">
      <alignment wrapText="1"/>
    </xf>
    <xf numFmtId="0" fontId="36" fillId="0" borderId="20" pivotButton="0" quotePrefix="1" xfId="0"/>
    <xf numFmtId="0" fontId="36" fillId="0" borderId="0" pivotButton="0" quotePrefix="1" xfId="0"/>
    <xf numFmtId="0" fontId="36" fillId="0" borderId="0" applyAlignment="1" pivotButton="0" quotePrefix="0" xfId="0">
      <alignment wrapText="1"/>
    </xf>
    <xf numFmtId="0" fontId="36" fillId="0" borderId="45" pivotButton="0" quotePrefix="0" xfId="0"/>
    <xf numFmtId="14" fontId="36" fillId="0" borderId="45" pivotButton="0" quotePrefix="0" xfId="0"/>
    <xf numFmtId="164" fontId="36" fillId="0" borderId="45" pivotButton="0" quotePrefix="0" xfId="0"/>
    <xf numFmtId="2" fontId="36" fillId="20" borderId="45" pivotButton="0" quotePrefix="0" xfId="0"/>
    <xf numFmtId="2" fontId="36" fillId="0" borderId="45" pivotButton="0" quotePrefix="0" xfId="0"/>
    <xf numFmtId="10" fontId="36" fillId="0" borderId="45" applyAlignment="1" pivotButton="0" quotePrefix="0" xfId="1">
      <alignment horizontal="left"/>
    </xf>
    <xf numFmtId="0" fontId="36" fillId="0" borderId="46" pivotButton="0" quotePrefix="0" xfId="0"/>
    <xf numFmtId="14" fontId="36" fillId="0" borderId="46" pivotButton="0" quotePrefix="0" xfId="0"/>
    <xf numFmtId="164" fontId="36" fillId="0" borderId="46" pivotButton="0" quotePrefix="0" xfId="0"/>
    <xf numFmtId="2" fontId="36" fillId="20" borderId="46" pivotButton="0" quotePrefix="0" xfId="0"/>
    <xf numFmtId="2" fontId="36" fillId="0" borderId="46" pivotButton="0" quotePrefix="0" xfId="0"/>
    <xf numFmtId="10" fontId="36" fillId="0" borderId="46" applyAlignment="1" pivotButton="0" quotePrefix="0" xfId="1">
      <alignment horizontal="left"/>
    </xf>
    <xf numFmtId="0" fontId="8" fillId="4" borderId="0" pivotButton="0" quotePrefix="0" xfId="0"/>
    <xf numFmtId="14" fontId="8" fillId="4" borderId="0" pivotButton="0" quotePrefix="0" xfId="0"/>
    <xf numFmtId="164" fontId="8" fillId="4" borderId="0" pivotButton="0" quotePrefix="0" xfId="0"/>
    <xf numFmtId="2" fontId="8" fillId="4" borderId="0" pivotButton="0" quotePrefix="0" xfId="0"/>
    <xf numFmtId="10" fontId="8" fillId="4" borderId="0" applyAlignment="1" pivotButton="0" quotePrefix="0" xfId="1">
      <alignment horizontal="left"/>
    </xf>
    <xf numFmtId="0" fontId="14" fillId="0" borderId="20" pivotButton="0" quotePrefix="0" xfId="0"/>
    <xf numFmtId="0" fontId="61" fillId="0" borderId="0" applyAlignment="1" pivotButton="0" quotePrefix="0" xfId="0">
      <alignment horizontal="center" vertical="center" wrapText="1"/>
    </xf>
    <xf numFmtId="14" fontId="61" fillId="0" borderId="0" applyAlignment="1" pivotButton="0" quotePrefix="0" xfId="0">
      <alignment horizontal="center" vertical="center" wrapText="1"/>
    </xf>
    <xf numFmtId="49" fontId="61" fillId="0" borderId="0" applyAlignment="1" pivotButton="0" quotePrefix="0" xfId="0">
      <alignment horizontal="center" vertical="center" wrapText="1"/>
    </xf>
    <xf numFmtId="164" fontId="61" fillId="0" borderId="0" applyAlignment="1" pivotButton="0" quotePrefix="0" xfId="0">
      <alignment horizontal="center" vertical="center" wrapText="1"/>
    </xf>
    <xf numFmtId="0" fontId="61" fillId="0" borderId="0" applyAlignment="1" pivotButton="0" quotePrefix="0" xfId="0">
      <alignment horizontal="center" vertical="center"/>
    </xf>
    <xf numFmtId="14" fontId="36" fillId="0" borderId="23" applyAlignment="1" pivotButton="0" quotePrefix="0" xfId="0">
      <alignment horizontal="center"/>
    </xf>
    <xf numFmtId="0" fontId="14" fillId="0" borderId="23" pivotButton="0" quotePrefix="0" xfId="0"/>
    <xf numFmtId="14" fontId="36" fillId="0" borderId="0" applyAlignment="1" pivotButton="0" quotePrefix="0" xfId="0">
      <alignment horizontal="center"/>
    </xf>
    <xf numFmtId="14" fontId="36" fillId="0" borderId="22" applyAlignment="1" pivotButton="0" quotePrefix="0" xfId="0">
      <alignment horizontal="center"/>
    </xf>
    <xf numFmtId="0" fontId="14" fillId="0" borderId="22" pivotButton="0" quotePrefix="0" xfId="0"/>
    <xf numFmtId="14" fontId="36" fillId="0" borderId="20" applyAlignment="1" pivotButton="0" quotePrefix="0" xfId="0">
      <alignment horizontal="center"/>
    </xf>
    <xf numFmtId="2" fontId="8" fillId="20" borderId="0" pivotButton="0" quotePrefix="0" xfId="0"/>
    <xf numFmtId="0" fontId="9" fillId="16" borderId="0" applyAlignment="1" pivotButton="0" quotePrefix="0" xfId="0">
      <alignment horizontal="center" vertical="center" wrapText="1"/>
    </xf>
    <xf numFmtId="49" fontId="9" fillId="16" borderId="0" applyAlignment="1" pivotButton="0" quotePrefix="0" xfId="0">
      <alignment horizontal="center" vertical="center" wrapText="1"/>
    </xf>
    <xf numFmtId="164" fontId="9" fillId="16" borderId="0" applyAlignment="1" pivotButton="0" quotePrefix="0" xfId="0">
      <alignment horizontal="center" vertical="center" wrapText="1"/>
    </xf>
    <xf numFmtId="0" fontId="9" fillId="16" borderId="0" applyAlignment="1" pivotButton="0" quotePrefix="0" xfId="0">
      <alignment horizontal="center" vertical="center"/>
    </xf>
    <xf numFmtId="0" fontId="8" fillId="16" borderId="0" applyAlignment="1" pivotButton="0" quotePrefix="0" xfId="0">
      <alignment wrapText="1"/>
    </xf>
    <xf numFmtId="0" fontId="61" fillId="16" borderId="0" applyAlignment="1" pivotButton="0" quotePrefix="0" xfId="0">
      <alignment horizontal="center" vertical="center" wrapText="1"/>
    </xf>
    <xf numFmtId="14" fontId="61" fillId="16" borderId="0" applyAlignment="1" pivotButton="0" quotePrefix="0" xfId="0">
      <alignment horizontal="center" vertical="center" wrapText="1"/>
    </xf>
    <xf numFmtId="49" fontId="61" fillId="16" borderId="0" applyAlignment="1" pivotButton="0" quotePrefix="0" xfId="0">
      <alignment horizontal="center" vertical="center" wrapText="1"/>
    </xf>
    <xf numFmtId="164" fontId="61" fillId="16" borderId="0" applyAlignment="1" pivotButton="0" quotePrefix="0" xfId="0">
      <alignment horizontal="center" vertical="center" wrapText="1"/>
    </xf>
    <xf numFmtId="0" fontId="61" fillId="16" borderId="0" applyAlignment="1" pivotButton="0" quotePrefix="0" xfId="0">
      <alignment horizontal="center" vertical="center"/>
    </xf>
    <xf numFmtId="0" fontId="36" fillId="16" borderId="0" applyAlignment="1" pivotButton="0" quotePrefix="0" xfId="0">
      <alignment wrapText="1"/>
    </xf>
    <xf numFmtId="9" fontId="36" fillId="0" borderId="23" pivotButton="0" quotePrefix="0" xfId="0"/>
    <xf numFmtId="0" fontId="14" fillId="0" borderId="22" applyAlignment="1" pivotButton="0" quotePrefix="0" xfId="0">
      <alignment horizontal="left" vertical="center" wrapText="1"/>
    </xf>
    <xf numFmtId="14" fontId="14" fillId="0" borderId="22" applyAlignment="1" pivotButton="0" quotePrefix="0" xfId="0">
      <alignment horizontal="left" vertical="center" wrapText="1"/>
    </xf>
    <xf numFmtId="49" fontId="14" fillId="0" borderId="22" applyAlignment="1" pivotButton="0" quotePrefix="0" xfId="0">
      <alignment horizontal="left" vertical="center" wrapText="1"/>
    </xf>
    <xf numFmtId="49" fontId="14" fillId="0" borderId="22" applyAlignment="1" pivotButton="0" quotePrefix="0" xfId="0">
      <alignment horizontal="left" vertical="center"/>
    </xf>
    <xf numFmtId="164" fontId="14" fillId="0" borderId="22" applyAlignment="1" pivotButton="0" quotePrefix="0" xfId="0">
      <alignment horizontal="left" vertical="center" wrapText="1"/>
    </xf>
    <xf numFmtId="0" fontId="14" fillId="0" borderId="22" applyAlignment="1" pivotButton="0" quotePrefix="0" xfId="0">
      <alignment horizontal="left" vertical="center"/>
    </xf>
    <xf numFmtId="164" fontId="14" fillId="0" borderId="22" pivotButton="0" quotePrefix="0" xfId="0"/>
    <xf numFmtId="2" fontId="14" fillId="0" borderId="22" pivotButton="0" quotePrefix="0" xfId="0"/>
    <xf numFmtId="10" fontId="14" fillId="0" borderId="22" pivotButton="0" quotePrefix="0" xfId="1"/>
    <xf numFmtId="0" fontId="14" fillId="0" borderId="22" applyAlignment="1" pivotButton="0" quotePrefix="0" xfId="0">
      <alignment horizontal="left" wrapText="1"/>
    </xf>
    <xf numFmtId="168" fontId="14" fillId="0" borderId="23" applyAlignment="1" pivotButton="0" quotePrefix="0" xfId="2">
      <alignment horizontal="center"/>
    </xf>
    <xf numFmtId="0" fontId="36" fillId="2" borderId="23" pivotButton="0" quotePrefix="0" xfId="0"/>
    <xf numFmtId="0" fontId="14" fillId="2" borderId="23" pivotButton="0" quotePrefix="0" xfId="0"/>
    <xf numFmtId="168" fontId="40" fillId="0" borderId="35" pivotButton="0" quotePrefix="0" xfId="2"/>
    <xf numFmtId="2" fontId="8" fillId="18" borderId="22" pivotButton="0" quotePrefix="0" xfId="0"/>
    <xf numFmtId="2" fontId="8" fillId="18" borderId="0" pivotButton="0" quotePrefix="0" xfId="0"/>
    <xf numFmtId="2" fontId="8" fillId="18" borderId="20" pivotButton="0" quotePrefix="0" xfId="0"/>
    <xf numFmtId="170" fontId="8" fillId="0" borderId="22" pivotButton="0" quotePrefix="0" xfId="1"/>
    <xf numFmtId="164" fontId="8" fillId="10" borderId="22" pivotButton="0" quotePrefix="0" xfId="0"/>
    <xf numFmtId="164" fontId="8" fillId="10" borderId="0" pivotButton="0" quotePrefix="0" xfId="0"/>
    <xf numFmtId="164" fontId="8" fillId="10" borderId="20" pivotButton="0" quotePrefix="0" xfId="0"/>
    <xf numFmtId="0" fontId="62" fillId="0" borderId="0" pivotButton="0" quotePrefix="0" xfId="0"/>
    <xf numFmtId="49" fontId="8" fillId="0" borderId="20" pivotButton="0" quotePrefix="0" xfId="0"/>
    <xf numFmtId="168" fontId="21" fillId="9" borderId="0" pivotButton="0" quotePrefix="0" xfId="0"/>
    <xf numFmtId="0" fontId="8" fillId="0" borderId="23" pivotButton="0" quotePrefix="0" xfId="0"/>
    <xf numFmtId="14" fontId="8" fillId="0" borderId="23" pivotButton="0" quotePrefix="0" xfId="0"/>
    <xf numFmtId="164" fontId="8" fillId="0" borderId="23" pivotButton="0" quotePrefix="0" xfId="0"/>
    <xf numFmtId="2" fontId="8" fillId="0" borderId="23" pivotButton="0" quotePrefix="0" xfId="0"/>
    <xf numFmtId="10" fontId="8" fillId="0" borderId="23" applyAlignment="1" pivotButton="0" quotePrefix="0" xfId="1">
      <alignment horizontal="left"/>
    </xf>
    <xf numFmtId="0" fontId="32" fillId="0" borderId="23" pivotButton="0" quotePrefix="0" xfId="0"/>
    <xf numFmtId="2" fontId="8" fillId="20" borderId="20" pivotButton="0" quotePrefix="0" xfId="0"/>
    <xf numFmtId="0" fontId="8" fillId="0" borderId="0" pivotButton="0" quotePrefix="1" xfId="0"/>
    <xf numFmtId="1" fontId="43" fillId="0" borderId="0" applyAlignment="1" pivotButton="0" quotePrefix="0" xfId="0">
      <alignment horizontal="center" vertical="center"/>
    </xf>
    <xf numFmtId="14" fontId="63" fillId="0" borderId="0" pivotButton="0" quotePrefix="0" xfId="0"/>
    <xf numFmtId="0" fontId="63" fillId="0" borderId="0" pivotButton="0" quotePrefix="0" xfId="0"/>
    <xf numFmtId="0" fontId="64" fillId="0" borderId="0" applyAlignment="1" pivotButton="0" quotePrefix="0" xfId="0">
      <alignment horizontal="center" vertical="center"/>
    </xf>
    <xf numFmtId="0" fontId="66" fillId="0" borderId="48" applyAlignment="1" pivotButton="0" quotePrefix="0" xfId="0">
      <alignment vertical="center"/>
    </xf>
    <xf numFmtId="171" fontId="66" fillId="0" borderId="48" applyAlignment="1" pivotButton="0" quotePrefix="0" xfId="2">
      <alignment horizontal="center" vertical="center"/>
    </xf>
    <xf numFmtId="0" fontId="50" fillId="0" borderId="47" applyAlignment="1" pivotButton="0" quotePrefix="0" xfId="0">
      <alignment horizontal="center" vertical="center"/>
    </xf>
    <xf numFmtId="10" fontId="57" fillId="0" borderId="0" applyAlignment="1" pivotButton="0" quotePrefix="0" xfId="1">
      <alignment horizontal="center" vertical="center"/>
    </xf>
    <xf numFmtId="0" fontId="13" fillId="10" borderId="0" pivotButton="0" quotePrefix="0" xfId="0"/>
    <xf numFmtId="0" fontId="67" fillId="9" borderId="0" pivotButton="0" quotePrefix="0" xfId="0"/>
    <xf numFmtId="0" fontId="67" fillId="0" borderId="0" pivotButton="0" quotePrefix="0" xfId="0"/>
    <xf numFmtId="0" fontId="69" fillId="11" borderId="30" pivotButton="0" quotePrefix="0" xfId="0"/>
    <xf numFmtId="0" fontId="70" fillId="10" borderId="28" applyAlignment="1" pivotButton="0" quotePrefix="0" xfId="0">
      <alignment horizontal="center"/>
    </xf>
    <xf numFmtId="0" fontId="70" fillId="10" borderId="9" applyAlignment="1" pivotButton="0" quotePrefix="0" xfId="0">
      <alignment horizontal="center"/>
    </xf>
    <xf numFmtId="0" fontId="71" fillId="10" borderId="10" applyAlignment="1" pivotButton="0" quotePrefix="0" xfId="0">
      <alignment horizontal="center" vertical="center"/>
    </xf>
    <xf numFmtId="0" fontId="72" fillId="9" borderId="0" pivotButton="0" quotePrefix="0" xfId="0"/>
    <xf numFmtId="0" fontId="68" fillId="9" borderId="0" pivotButton="0" quotePrefix="0" xfId="0"/>
    <xf numFmtId="0" fontId="73" fillId="0" borderId="0" pivotButton="0" quotePrefix="0" xfId="0"/>
    <xf numFmtId="0" fontId="68" fillId="0" borderId="0" pivotButton="0" quotePrefix="0" xfId="0"/>
    <xf numFmtId="0" fontId="72" fillId="0" borderId="29" pivotButton="0" quotePrefix="0" xfId="0"/>
    <xf numFmtId="165" fontId="74" fillId="0" borderId="32" applyAlignment="1" pivotButton="0" quotePrefix="0" xfId="0">
      <alignment vertical="center"/>
    </xf>
    <xf numFmtId="165" fontId="74" fillId="0" borderId="25" applyAlignment="1" pivotButton="0" quotePrefix="0" xfId="0">
      <alignment vertical="center"/>
    </xf>
    <xf numFmtId="165" fontId="74" fillId="0" borderId="33" applyAlignment="1" pivotButton="0" quotePrefix="0" xfId="0">
      <alignment vertical="center"/>
    </xf>
    <xf numFmtId="165" fontId="74" fillId="0" borderId="6" applyAlignment="1" pivotButton="0" quotePrefix="0" xfId="0">
      <alignment horizontal="center"/>
    </xf>
    <xf numFmtId="165" fontId="74" fillId="0" borderId="1" pivotButton="0" quotePrefix="0" xfId="0"/>
    <xf numFmtId="165" fontId="74" fillId="0" borderId="12" pivotButton="0" quotePrefix="0" xfId="0"/>
    <xf numFmtId="0" fontId="69" fillId="0" borderId="0" applyAlignment="1" pivotButton="0" quotePrefix="0" xfId="0">
      <alignment horizontal="center" vertical="center"/>
    </xf>
    <xf numFmtId="0" fontId="72" fillId="0" borderId="0" pivotButton="0" quotePrefix="0" xfId="0"/>
    <xf numFmtId="0" fontId="75" fillId="0" borderId="0" pivotButton="0" quotePrefix="0" xfId="0"/>
    <xf numFmtId="167" fontId="75" fillId="13" borderId="0" pivotButton="0" quotePrefix="0" xfId="1"/>
    <xf numFmtId="0" fontId="72" fillId="0" borderId="1" applyAlignment="1" pivotButton="0" quotePrefix="0" xfId="0">
      <alignment horizontal="center" vertical="center"/>
    </xf>
    <xf numFmtId="0" fontId="76" fillId="9" borderId="34" applyAlignment="1" pivotButton="0" quotePrefix="0" xfId="0">
      <alignment horizontal="right"/>
    </xf>
    <xf numFmtId="168" fontId="76" fillId="0" borderId="35" pivotButton="0" quotePrefix="0" xfId="2"/>
    <xf numFmtId="0" fontId="72" fillId="9" borderId="36" pivotButton="0" quotePrefix="0" xfId="0"/>
    <xf numFmtId="10" fontId="72" fillId="9" borderId="0" pivotButton="0" quotePrefix="0" xfId="0"/>
    <xf numFmtId="14" fontId="69" fillId="0" borderId="0" applyAlignment="1" pivotButton="0" quotePrefix="0" xfId="0">
      <alignment horizontal="center" vertical="center"/>
    </xf>
    <xf numFmtId="10" fontId="72" fillId="0" borderId="1" applyAlignment="1" pivotButton="0" quotePrefix="0" xfId="1">
      <alignment horizontal="center" vertical="center"/>
    </xf>
    <xf numFmtId="164" fontId="8" fillId="0" borderId="0" applyAlignment="1" pivotButton="0" quotePrefix="0" xfId="0">
      <alignment horizontal="right"/>
    </xf>
    <xf numFmtId="14" fontId="8" fillId="0" borderId="49" pivotButton="0" quotePrefix="0" xfId="0"/>
    <xf numFmtId="0" fontId="8" fillId="0" borderId="49" pivotButton="0" quotePrefix="0" xfId="0"/>
    <xf numFmtId="49" fontId="8" fillId="0" borderId="49" pivotButton="0" quotePrefix="0" xfId="0"/>
    <xf numFmtId="164" fontId="8" fillId="0" borderId="49" pivotButton="0" quotePrefix="0" xfId="0"/>
    <xf numFmtId="2" fontId="8" fillId="0" borderId="49" pivotButton="0" quotePrefix="0" xfId="0"/>
    <xf numFmtId="10" fontId="8" fillId="0" borderId="49" applyAlignment="1" pivotButton="0" quotePrefix="0" xfId="1">
      <alignment horizontal="left"/>
    </xf>
    <xf numFmtId="0" fontId="8" fillId="0" borderId="48" pivotButton="0" quotePrefix="0" xfId="0"/>
    <xf numFmtId="164" fontId="8" fillId="0" borderId="48" pivotButton="0" quotePrefix="0" xfId="0"/>
    <xf numFmtId="14" fontId="8" fillId="0" borderId="48" pivotButton="0" quotePrefix="0" xfId="0"/>
    <xf numFmtId="49" fontId="8" fillId="0" borderId="48" pivotButton="0" quotePrefix="0" xfId="0"/>
    <xf numFmtId="2" fontId="8" fillId="0" borderId="48" pivotButton="0" quotePrefix="0" xfId="0"/>
    <xf numFmtId="10" fontId="8" fillId="0" borderId="48" applyAlignment="1" pivotButton="0" quotePrefix="0" xfId="1">
      <alignment horizontal="left"/>
    </xf>
    <xf numFmtId="0" fontId="32" fillId="0" borderId="20" pivotButton="0" quotePrefix="0" xfId="0"/>
    <xf numFmtId="10" fontId="8" fillId="0" borderId="20" pivotButton="0" quotePrefix="0" xfId="1"/>
    <xf numFmtId="164" fontId="8" fillId="9" borderId="22" pivotButton="0" quotePrefix="0" xfId="0"/>
    <xf numFmtId="164" fontId="8" fillId="9" borderId="0" pivotButton="0" quotePrefix="0" xfId="0"/>
    <xf numFmtId="164" fontId="8" fillId="9" borderId="20" pivotButton="0" quotePrefix="0" xfId="0"/>
    <xf numFmtId="0" fontId="32" fillId="0" borderId="22" applyAlignment="1" pivotButton="0" quotePrefix="0" xfId="0">
      <alignment horizontal="left" vertical="center" wrapText="1"/>
    </xf>
    <xf numFmtId="14" fontId="32" fillId="0" borderId="22" applyAlignment="1" pivotButton="0" quotePrefix="0" xfId="0">
      <alignment horizontal="left" vertical="center" wrapText="1"/>
    </xf>
    <xf numFmtId="49" fontId="32" fillId="0" borderId="22" applyAlignment="1" pivotButton="0" quotePrefix="0" xfId="0">
      <alignment horizontal="left" vertical="center" wrapText="1"/>
    </xf>
    <xf numFmtId="49" fontId="32" fillId="0" borderId="22" applyAlignment="1" pivotButton="0" quotePrefix="0" xfId="0">
      <alignment horizontal="left" vertical="center"/>
    </xf>
    <xf numFmtId="164" fontId="32" fillId="0" borderId="22" applyAlignment="1" pivotButton="0" quotePrefix="0" xfId="0">
      <alignment horizontal="left" vertical="center" wrapText="1"/>
    </xf>
    <xf numFmtId="0" fontId="32" fillId="0" borderId="22" applyAlignment="1" pivotButton="0" quotePrefix="0" xfId="0">
      <alignment horizontal="left" vertical="center"/>
    </xf>
    <xf numFmtId="0" fontId="32" fillId="0" borderId="22" pivotButton="0" quotePrefix="0" xfId="0"/>
    <xf numFmtId="164" fontId="32" fillId="0" borderId="22" pivotButton="0" quotePrefix="0" xfId="0"/>
    <xf numFmtId="2" fontId="32" fillId="0" borderId="22" pivotButton="0" quotePrefix="0" xfId="0"/>
    <xf numFmtId="10" fontId="32" fillId="0" borderId="22" pivotButton="0" quotePrefix="0" xfId="1"/>
    <xf numFmtId="0" fontId="32" fillId="0" borderId="22" applyAlignment="1" pivotButton="0" quotePrefix="0" xfId="0">
      <alignment horizontal="left" wrapText="1"/>
    </xf>
    <xf numFmtId="0" fontId="23" fillId="15" borderId="30" applyAlignment="1" pivotButton="0" quotePrefix="0" xfId="0">
      <alignment horizontal="center"/>
    </xf>
    <xf numFmtId="0" fontId="77" fillId="15" borderId="28" applyAlignment="1" pivotButton="0" quotePrefix="0" xfId="0">
      <alignment horizontal="center" vertical="center"/>
    </xf>
    <xf numFmtId="165" fontId="79" fillId="0" borderId="25" applyAlignment="1" pivotButton="0" quotePrefix="0" xfId="0">
      <alignment vertical="center"/>
    </xf>
    <xf numFmtId="0" fontId="22" fillId="11" borderId="30" pivotButton="0" quotePrefix="0" xfId="0"/>
    <xf numFmtId="172" fontId="28" fillId="0" borderId="29" applyAlignment="1" pivotButton="0" quotePrefix="0" xfId="0">
      <alignment horizontal="left" vertical="center"/>
    </xf>
    <xf numFmtId="0" fontId="23" fillId="7" borderId="10" applyAlignment="1" pivotButton="0" quotePrefix="0" xfId="0">
      <alignment horizontal="center"/>
    </xf>
    <xf numFmtId="165" fontId="25" fillId="0" borderId="6" pivotButton="0" quotePrefix="0" xfId="0"/>
    <xf numFmtId="165" fontId="25" fillId="0" borderId="15" applyAlignment="1" pivotButton="0" quotePrefix="0" xfId="0">
      <alignment horizontal="center"/>
    </xf>
    <xf numFmtId="0" fontId="38" fillId="7" borderId="31" applyAlignment="1" pivotButton="0" quotePrefix="1" xfId="0">
      <alignment horizontal="center"/>
    </xf>
    <xf numFmtId="0" fontId="80" fillId="7" borderId="8" applyAlignment="1" pivotButton="0" quotePrefix="0" xfId="0">
      <alignment horizontal="center"/>
    </xf>
    <xf numFmtId="165" fontId="81" fillId="0" borderId="13" pivotButton="0" quotePrefix="0" xfId="0"/>
    <xf numFmtId="165" fontId="81" fillId="0" borderId="32" applyAlignment="1" pivotButton="0" quotePrefix="0" xfId="0">
      <alignment horizontal="center"/>
    </xf>
    <xf numFmtId="0" fontId="1" fillId="9" borderId="0" applyAlignment="1" pivotButton="0" quotePrefix="0" xfId="0">
      <alignment horizontal="center"/>
    </xf>
    <xf numFmtId="0" fontId="21" fillId="9" borderId="0" applyAlignment="1" pivotButton="0" quotePrefix="0" xfId="0">
      <alignment horizontal="center"/>
    </xf>
    <xf numFmtId="164" fontId="8" fillId="9" borderId="23" pivotButton="0" quotePrefix="0" xfId="0"/>
    <xf numFmtId="0" fontId="1" fillId="21" borderId="0" applyAlignment="1" pivotButton="0" quotePrefix="0" xfId="0">
      <alignment horizontal="center"/>
    </xf>
    <xf numFmtId="0" fontId="68" fillId="6" borderId="0" applyAlignment="1" pivotButton="0" quotePrefix="0" xfId="0">
      <alignment horizontal="center"/>
    </xf>
    <xf numFmtId="0" fontId="68" fillId="9" borderId="0" applyAlignment="1" pivotButton="0" quotePrefix="0" xfId="0">
      <alignment horizontal="center"/>
    </xf>
    <xf numFmtId="0" fontId="21" fillId="0" borderId="0" applyAlignment="1" pivotButton="0" quotePrefix="0" xfId="0">
      <alignment horizontal="center"/>
    </xf>
    <xf numFmtId="49" fontId="8" fillId="0" borderId="22" pivotButton="0" quotePrefix="0" xfId="0"/>
    <xf numFmtId="0" fontId="8" fillId="0" borderId="46" pivotButton="0" quotePrefix="0" xfId="0"/>
    <xf numFmtId="14" fontId="8" fillId="0" borderId="46" pivotButton="0" quotePrefix="0" xfId="0"/>
    <xf numFmtId="49" fontId="8" fillId="0" borderId="46" pivotButton="0" quotePrefix="0" xfId="0"/>
    <xf numFmtId="164" fontId="8" fillId="0" borderId="46" pivotButton="0" quotePrefix="0" xfId="0"/>
    <xf numFmtId="2" fontId="8" fillId="0" borderId="46" pivotButton="0" quotePrefix="0" xfId="0"/>
    <xf numFmtId="10" fontId="8" fillId="0" borderId="46" applyAlignment="1" pivotButton="0" quotePrefix="0" xfId="1">
      <alignment horizontal="left"/>
    </xf>
    <xf numFmtId="165" fontId="79" fillId="9" borderId="0" applyAlignment="1" pivotButton="0" quotePrefix="0" xfId="0">
      <alignment vertical="center"/>
    </xf>
    <xf numFmtId="165" fontId="25" fillId="9" borderId="0" applyAlignment="1" pivotButton="0" quotePrefix="0" xfId="0">
      <alignment vertical="center"/>
    </xf>
    <xf numFmtId="165" fontId="25" fillId="9" borderId="0" applyAlignment="1" pivotButton="0" quotePrefix="0" xfId="0">
      <alignment horizontal="center"/>
    </xf>
    <xf numFmtId="165" fontId="25" fillId="9" borderId="0" pivotButton="0" quotePrefix="0" xfId="0"/>
    <xf numFmtId="165" fontId="62" fillId="0" borderId="25" applyAlignment="1" pivotButton="0" quotePrefix="0" xfId="0">
      <alignment vertical="center"/>
    </xf>
    <xf numFmtId="0" fontId="32" fillId="2" borderId="22" applyAlignment="1" pivotButton="0" quotePrefix="0" xfId="0">
      <alignment horizontal="left" vertical="center" wrapText="1"/>
    </xf>
    <xf numFmtId="49" fontId="8" fillId="0" borderId="23" pivotButton="0" quotePrefix="0" xfId="0"/>
    <xf numFmtId="0" fontId="8" fillId="2" borderId="0" pivotButton="0" quotePrefix="0" xfId="0"/>
    <xf numFmtId="14" fontId="8" fillId="2" borderId="0" pivotButton="0" quotePrefix="0" xfId="0"/>
    <xf numFmtId="0" fontId="33" fillId="0" borderId="0" pivotButton="0" quotePrefix="0" xfId="0"/>
    <xf numFmtId="14" fontId="82" fillId="0" borderId="0" applyAlignment="1" pivotButton="0" quotePrefix="0" xfId="0">
      <alignment horizontal="center" vertical="center"/>
    </xf>
    <xf numFmtId="165" fontId="25" fillId="0" borderId="13" applyAlignment="1" pivotButton="0" quotePrefix="0" xfId="0">
      <alignment vertical="center"/>
    </xf>
    <xf numFmtId="10" fontId="26" fillId="0" borderId="0" pivotButton="0" quotePrefix="0" xfId="1"/>
    <xf numFmtId="0" fontId="21" fillId="2" borderId="0" applyAlignment="1" pivotButton="0" quotePrefix="0" xfId="0">
      <alignment horizontal="center"/>
    </xf>
    <xf numFmtId="4" fontId="33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82" fillId="16" borderId="0" applyAlignment="1" pivotButton="0" quotePrefix="0" xfId="0">
      <alignment horizontal="center" vertical="center"/>
    </xf>
    <xf numFmtId="0" fontId="82" fillId="18" borderId="0" applyAlignment="1" pivotButton="0" quotePrefix="0" xfId="0">
      <alignment horizontal="left" vertical="center"/>
    </xf>
    <xf numFmtId="0" fontId="82" fillId="16" borderId="0" applyAlignment="1" pivotButton="0" quotePrefix="0" xfId="0">
      <alignment horizontal="left" vertical="center"/>
    </xf>
    <xf numFmtId="0" fontId="85" fillId="0" borderId="0" pivotButton="0" quotePrefix="0" xfId="0"/>
    <xf numFmtId="0" fontId="86" fillId="0" borderId="0" pivotButton="0" quotePrefix="0" xfId="0"/>
    <xf numFmtId="0" fontId="32" fillId="0" borderId="0" applyAlignment="1" pivotButton="0" quotePrefix="0" xfId="0">
      <alignment vertical="center"/>
    </xf>
    <xf numFmtId="0" fontId="15" fillId="0" borderId="0" applyAlignment="1" pivotButton="0" quotePrefix="0" xfId="0">
      <alignment horizontal="center"/>
    </xf>
    <xf numFmtId="0" fontId="86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8" fillId="22" borderId="0" pivotButton="0" quotePrefix="0" xfId="0"/>
    <xf numFmtId="0" fontId="59" fillId="22" borderId="0" pivotButton="0" quotePrefix="0" xfId="0"/>
    <xf numFmtId="0" fontId="59" fillId="22" borderId="0" applyAlignment="1" pivotButton="0" quotePrefix="0" xfId="0">
      <alignment horizontal="left"/>
    </xf>
    <xf numFmtId="0" fontId="59" fillId="0" borderId="0" applyAlignment="1" pivotButton="0" quotePrefix="0" xfId="0">
      <alignment horizontal="left"/>
    </xf>
    <xf numFmtId="0" fontId="59" fillId="0" borderId="0" applyAlignment="1" pivotButton="0" quotePrefix="0" xfId="0">
      <alignment horizontal="right"/>
    </xf>
    <xf numFmtId="0" fontId="8" fillId="22" borderId="0" applyAlignment="1" pivotButton="0" quotePrefix="0" xfId="0">
      <alignment horizontal="center"/>
    </xf>
    <xf numFmtId="0" fontId="87" fillId="0" borderId="0" applyAlignment="1" pivotButton="0" quotePrefix="0" xfId="0">
      <alignment horizontal="center"/>
    </xf>
    <xf numFmtId="0" fontId="10" fillId="22" borderId="0" pivotButton="0" quotePrefix="0" xfId="0"/>
    <xf numFmtId="0" fontId="0" fillId="22" borderId="0" pivotButton="0" quotePrefix="0" xfId="0"/>
    <xf numFmtId="0" fontId="88" fillId="22" borderId="0" pivotButton="0" quotePrefix="0" xfId="3"/>
    <xf numFmtId="0" fontId="85" fillId="0" borderId="0" applyAlignment="1" pivotButton="0" quotePrefix="0" xfId="0">
      <alignment horizontal="center"/>
    </xf>
    <xf numFmtId="0" fontId="85" fillId="22" borderId="0" pivotButton="0" quotePrefix="0" xfId="0"/>
    <xf numFmtId="0" fontId="89" fillId="22" borderId="0" pivotButton="0" quotePrefix="0" xfId="0"/>
    <xf numFmtId="0" fontId="89" fillId="22" borderId="0" applyAlignment="1" pivotButton="0" quotePrefix="0" xfId="0">
      <alignment horizontal="left"/>
    </xf>
    <xf numFmtId="0" fontId="85" fillId="22" borderId="0" applyAlignment="1" pivotButton="0" quotePrefix="0" xfId="0">
      <alignment horizontal="center"/>
    </xf>
    <xf numFmtId="0" fontId="90" fillId="22" borderId="0" pivotButton="0" quotePrefix="0" xfId="0"/>
    <xf numFmtId="0" fontId="91" fillId="22" borderId="0" pivotButton="0" quotePrefix="0" xfId="0"/>
    <xf numFmtId="0" fontId="92" fillId="22" borderId="0" pivotButton="0" quotePrefix="0" xfId="3"/>
    <xf numFmtId="0" fontId="27" fillId="0" borderId="0" pivotButton="0" quotePrefix="0" xfId="0"/>
    <xf numFmtId="0" fontId="93" fillId="0" borderId="0" pivotButton="0" quotePrefix="0" xfId="0"/>
    <xf numFmtId="0" fontId="89" fillId="0" borderId="0" pivotButton="0" quotePrefix="0" xfId="0"/>
    <xf numFmtId="14" fontId="82" fillId="2" borderId="0" applyAlignment="1" pivotButton="0" quotePrefix="0" xfId="0">
      <alignment horizontal="center" vertical="center"/>
    </xf>
    <xf numFmtId="14" fontId="8" fillId="0" borderId="0" applyAlignment="1" pivotButton="0" quotePrefix="0" xfId="0">
      <alignment horizontal="center"/>
    </xf>
    <xf numFmtId="14" fontId="8" fillId="10" borderId="0" applyAlignment="1" pivotButton="0" quotePrefix="0" xfId="0">
      <alignment horizontal="center"/>
    </xf>
    <xf numFmtId="14" fontId="15" fillId="10" borderId="0" applyAlignment="1" pivotButton="0" quotePrefix="0" xfId="0">
      <alignment horizontal="center"/>
    </xf>
    <xf numFmtId="14" fontId="86" fillId="10" borderId="0" applyAlignment="1" pivotButton="0" quotePrefix="0" xfId="0">
      <alignment horizontal="center"/>
    </xf>
    <xf numFmtId="14" fontId="85" fillId="10" borderId="0" applyAlignment="1" pivotButton="0" quotePrefix="0" xfId="0">
      <alignment horizontal="center"/>
    </xf>
    <xf numFmtId="0" fontId="27" fillId="0" borderId="0" pivotButton="0" quotePrefix="1" xfId="0"/>
    <xf numFmtId="0" fontId="93" fillId="0" borderId="0" pivotButton="0" quotePrefix="1" xfId="0"/>
    <xf numFmtId="165" fontId="25" fillId="10" borderId="32" applyAlignment="1" pivotButton="0" quotePrefix="0" xfId="0">
      <alignment vertical="center"/>
    </xf>
    <xf numFmtId="165" fontId="25" fillId="0" borderId="44" applyAlignment="1" pivotButton="0" quotePrefix="0" xfId="0">
      <alignment horizontal="center"/>
    </xf>
    <xf numFmtId="0" fontId="45" fillId="15" borderId="43" applyAlignment="1" pivotButton="0" quotePrefix="0" xfId="0">
      <alignment horizontal="left"/>
    </xf>
    <xf numFmtId="0" fontId="59" fillId="0" borderId="0" pivotButton="0" quotePrefix="1" xfId="0"/>
    <xf numFmtId="0" fontId="89" fillId="0" borderId="0" pivotButton="0" quotePrefix="1" xfId="0"/>
    <xf numFmtId="0" fontId="8" fillId="10" borderId="0" applyAlignment="1" pivotButton="0" quotePrefix="0" xfId="0">
      <alignment horizontal="center"/>
    </xf>
    <xf numFmtId="0" fontId="8" fillId="2" borderId="0" applyAlignment="1" pivotButton="0" quotePrefix="0" xfId="0">
      <alignment horizontal="center"/>
    </xf>
    <xf numFmtId="0" fontId="8" fillId="23" borderId="0" applyAlignment="1" pivotButton="0" quotePrefix="0" xfId="0">
      <alignment horizontal="center"/>
    </xf>
    <xf numFmtId="0" fontId="52" fillId="9" borderId="0" pivotButton="0" quotePrefix="1" xfId="0"/>
    <xf numFmtId="0" fontId="59" fillId="0" borderId="0" applyAlignment="1" pivotButton="0" quotePrefix="0" xfId="0">
      <alignment wrapText="1"/>
    </xf>
    <xf numFmtId="49" fontId="8" fillId="22" borderId="0" applyAlignment="1" pivotButton="0" quotePrefix="0" xfId="0">
      <alignment horizontal="center"/>
    </xf>
    <xf numFmtId="0" fontId="13" fillId="2" borderId="20" applyAlignment="1" pivotButton="0" quotePrefix="0" xfId="0">
      <alignment horizontal="center" vertical="center"/>
    </xf>
    <xf numFmtId="16" fontId="8" fillId="0" borderId="0" pivotButton="0" quotePrefix="0" xfId="0"/>
    <xf numFmtId="0" fontId="23" fillId="10" borderId="1" applyAlignment="1" pivotButton="0" quotePrefix="0" xfId="0">
      <alignment horizontal="center"/>
    </xf>
    <xf numFmtId="0" fontId="0" fillId="0" borderId="6" pivotButton="0" quotePrefix="0" xfId="0"/>
    <xf numFmtId="165" fontId="25" fillId="0" borderId="3" applyAlignment="1" pivotButton="0" quotePrefix="0" xfId="0">
      <alignment horizontal="center" vertical="center"/>
    </xf>
    <xf numFmtId="0" fontId="0" fillId="0" borderId="7" pivotButton="0" quotePrefix="0" xfId="0"/>
    <xf numFmtId="0" fontId="0" fillId="0" borderId="3" pivotButton="0" quotePrefix="0" xfId="0"/>
    <xf numFmtId="0" fontId="27" fillId="4" borderId="4" applyAlignment="1" pivotButton="0" quotePrefix="0" xfId="0">
      <alignment horizontal="center" vertical="center" wrapText="1"/>
    </xf>
    <xf numFmtId="0" fontId="0" fillId="0" borderId="4" pivotButton="0" quotePrefix="0" xfId="0"/>
    <xf numFmtId="0" fontId="23" fillId="5" borderId="1" applyAlignment="1" pivotButton="0" quotePrefix="0" xfId="0">
      <alignment horizontal="center"/>
    </xf>
    <xf numFmtId="0" fontId="0" fillId="0" borderId="23" pivotButton="0" quotePrefix="0" xfId="0"/>
    <xf numFmtId="0" fontId="23" fillId="7" borderId="1" applyAlignment="1" pivotButton="0" quotePrefix="0" xfId="0">
      <alignment horizontal="center"/>
    </xf>
    <xf numFmtId="165" fontId="26" fillId="0" borderId="3" applyAlignment="1" pivotButton="0" quotePrefix="0" xfId="0">
      <alignment horizontal="center" vertical="center"/>
    </xf>
    <xf numFmtId="0" fontId="21" fillId="0" borderId="0" applyAlignment="1" pivotButton="0" quotePrefix="0" xfId="0">
      <alignment horizontal="center" vertical="center" textRotation="90"/>
    </xf>
    <xf numFmtId="0" fontId="21" fillId="0" borderId="0" pivotButton="0" quotePrefix="0" xfId="0"/>
    <xf numFmtId="0" fontId="25" fillId="0" borderId="0" applyAlignment="1" pivotButton="0" quotePrefix="0" xfId="0">
      <alignment horizontal="center"/>
    </xf>
    <xf numFmtId="0" fontId="1" fillId="2" borderId="19" applyAlignment="1" pivotButton="0" quotePrefix="0" xfId="0">
      <alignment horizontal="center"/>
    </xf>
    <xf numFmtId="0" fontId="0" fillId="0" borderId="19" pivotButton="0" quotePrefix="0" xfId="0"/>
    <xf numFmtId="0" fontId="25" fillId="9" borderId="1" applyAlignment="1" pivotButton="0" quotePrefix="0" xfId="0">
      <alignment horizontal="center" vertical="center"/>
    </xf>
    <xf numFmtId="0" fontId="27" fillId="4" borderId="0" applyAlignment="1" pivotButton="0" quotePrefix="0" xfId="0">
      <alignment horizontal="center" vertical="center" wrapText="1"/>
    </xf>
    <xf numFmtId="165" fontId="25" fillId="0" borderId="1" applyAlignment="1" pivotButton="0" quotePrefix="0" xfId="0">
      <alignment horizontal="center" vertical="center"/>
    </xf>
    <xf numFmtId="0" fontId="23" fillId="10" borderId="9" applyAlignment="1" pivotButton="0" quotePrefix="0" xfId="0">
      <alignment horizontal="center"/>
    </xf>
    <xf numFmtId="0" fontId="0" fillId="0" borderId="28" pivotButton="0" quotePrefix="0" xfId="0"/>
    <xf numFmtId="1" fontId="21" fillId="9" borderId="1" applyAlignment="1" pivotButton="0" quotePrefix="0" xfId="0">
      <alignment horizontal="right" vertical="center"/>
    </xf>
    <xf numFmtId="165" fontId="26" fillId="0" borderId="1" applyAlignment="1" pivotButton="0" quotePrefix="0" xfId="0">
      <alignment horizontal="center" vertical="center"/>
    </xf>
    <xf numFmtId="0" fontId="23" fillId="5" borderId="9" applyAlignment="1" pivotButton="0" quotePrefix="0" xfId="0">
      <alignment horizontal="center"/>
    </xf>
    <xf numFmtId="0" fontId="0" fillId="0" borderId="27" pivotButton="0" quotePrefix="0" xfId="0"/>
    <xf numFmtId="0" fontId="23" fillId="7" borderId="9" applyAlignment="1" pivotButton="0" quotePrefix="0" xfId="0">
      <alignment horizontal="center"/>
    </xf>
    <xf numFmtId="1" fontId="21" fillId="0" borderId="1" applyAlignment="1" pivotButton="0" quotePrefix="0" xfId="0">
      <alignment horizontal="center" vertical="center"/>
    </xf>
    <xf numFmtId="10" fontId="0" fillId="0" borderId="0" applyAlignment="1" pivotButton="0" quotePrefix="0" xfId="1">
      <alignment horizontal="center" vertical="center"/>
    </xf>
    <xf numFmtId="0" fontId="23" fillId="15" borderId="43" applyAlignment="1" pivotButton="0" quotePrefix="0" xfId="0">
      <alignment horizontal="center"/>
    </xf>
    <xf numFmtId="0" fontId="0" fillId="0" borderId="31" pivotButton="0" quotePrefix="0" xfId="0"/>
    <xf numFmtId="0" fontId="23" fillId="15" borderId="9" applyAlignment="1" pivotButton="0" quotePrefix="0" xfId="0">
      <alignment horizontal="center"/>
    </xf>
    <xf numFmtId="0" fontId="70" fillId="15" borderId="43" applyAlignment="1" pivotButton="0" quotePrefix="0" xfId="0">
      <alignment horizontal="center"/>
    </xf>
    <xf numFmtId="0" fontId="1" fillId="0" borderId="19" applyAlignment="1" pivotButton="0" quotePrefix="0" xfId="0">
      <alignment horizontal="center"/>
    </xf>
    <xf numFmtId="0" fontId="23" fillId="15" borderId="50" applyAlignment="1" pivotButton="0" quotePrefix="0" xfId="0">
      <alignment horizontal="center"/>
    </xf>
    <xf numFmtId="0" fontId="0" fillId="0" borderId="18" pivotButton="0" quotePrefix="0" xfId="0"/>
    <xf numFmtId="0" fontId="65" fillId="0" borderId="0" applyAlignment="1" pivotButton="0" quotePrefix="0" xfId="0">
      <alignment vertical="center"/>
    </xf>
    <xf numFmtId="0" fontId="23" fillId="7" borderId="50" applyAlignment="1" pivotButton="0" quotePrefix="0" xfId="0">
      <alignment horizontal="center"/>
    </xf>
    <xf numFmtId="0" fontId="83" fillId="15" borderId="50" applyAlignment="1" pivotButton="0" quotePrefix="0" xfId="0">
      <alignment horizontal="center"/>
    </xf>
    <xf numFmtId="0" fontId="21" fillId="0" borderId="0" applyAlignment="1" pivotButton="0" quotePrefix="0" xfId="0">
      <alignment horizontal="center"/>
    </xf>
    <xf numFmtId="0" fontId="78" fillId="15" borderId="9" applyAlignment="1" pivotButton="0" quotePrefix="0" xfId="0">
      <alignment horizontal="center" vertical="center"/>
    </xf>
    <xf numFmtId="0" fontId="23" fillId="10" borderId="43" applyAlignment="1" pivotButton="0" quotePrefix="0" xfId="0">
      <alignment horizontal="center"/>
    </xf>
    <xf numFmtId="49" fontId="9" fillId="0" borderId="0" applyAlignment="1" pivotButton="0" quotePrefix="0" xfId="0">
      <alignment horizontal="center" vertical="center" wrapText="1"/>
    </xf>
    <xf numFmtId="0" fontId="8" fillId="0" borderId="0" applyAlignment="1" pivotButton="0" quotePrefix="0" xfId="0">
      <alignment wrapText="1"/>
    </xf>
    <xf numFmtId="49" fontId="9" fillId="0" borderId="20" applyAlignment="1" pivotButton="0" quotePrefix="0" xfId="0">
      <alignment horizontal="center" vertical="center" wrapText="1"/>
    </xf>
    <xf numFmtId="0" fontId="0" fillId="0" borderId="20" pivotButton="0" quotePrefix="0" xfId="0"/>
    <xf numFmtId="49" fontId="9" fillId="12" borderId="0" applyAlignment="1" pivotButton="0" quotePrefix="0" xfId="0">
      <alignment horizontal="center" vertical="center" wrapText="1"/>
    </xf>
    <xf numFmtId="0" fontId="8" fillId="12" borderId="0" applyAlignment="1" pivotButton="0" quotePrefix="0" xfId="0">
      <alignment wrapText="1"/>
    </xf>
    <xf numFmtId="49" fontId="33" fillId="0" borderId="0" applyAlignment="1" pivotButton="0" quotePrefix="0" xfId="0">
      <alignment horizontal="center" vertical="center" wrapText="1"/>
    </xf>
    <xf numFmtId="0" fontId="32" fillId="0" borderId="0" applyAlignment="1" pivotButton="0" quotePrefix="0" xfId="0">
      <alignment wrapText="1"/>
    </xf>
    <xf numFmtId="0" fontId="1" fillId="9" borderId="0" applyAlignment="1" pivotButton="0" quotePrefix="0" xfId="0">
      <alignment horizontal="center"/>
    </xf>
    <xf numFmtId="49" fontId="9" fillId="16" borderId="1" applyAlignment="1" pivotButton="0" quotePrefix="0" xfId="0">
      <alignment horizontal="center" vertical="center" wrapText="1"/>
    </xf>
    <xf numFmtId="0" fontId="12" fillId="10" borderId="1" applyAlignment="1" pivotButton="0" quotePrefix="0" xfId="0">
      <alignment horizontal="center"/>
    </xf>
    <xf numFmtId="165" fontId="13" fillId="0" borderId="3" applyAlignment="1" pivotButton="0" quotePrefix="0" xfId="0">
      <alignment horizontal="center" vertical="center"/>
    </xf>
    <xf numFmtId="0" fontId="10" fillId="4" borderId="4" applyAlignment="1" pivotButton="0" quotePrefix="0" xfId="0">
      <alignment horizontal="center" vertical="center" wrapText="1"/>
    </xf>
    <xf numFmtId="0" fontId="12" fillId="5" borderId="1" applyAlignment="1" pivotButton="0" quotePrefix="0" xfId="0">
      <alignment horizontal="center"/>
    </xf>
    <xf numFmtId="0" fontId="12" fillId="7" borderId="1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 textRotation="90"/>
    </xf>
    <xf numFmtId="0" fontId="0" fillId="0" borderId="0" pivotButton="0" quotePrefix="0" xfId="0"/>
    <xf numFmtId="165" fontId="14" fillId="0" borderId="3" applyAlignment="1" pivotButton="0" quotePrefix="0" xfId="0">
      <alignment horizontal="center" vertical="center"/>
    </xf>
    <xf numFmtId="165" fontId="0" fillId="0" borderId="1" applyAlignment="1" pivotButton="0" quotePrefix="0" xfId="0">
      <alignment horizontal="center" vertical="center"/>
    </xf>
    <xf numFmtId="165" fontId="14" fillId="0" borderId="1" applyAlignment="1" pivotButton="0" quotePrefix="0" xfId="0">
      <alignment horizontal="center" vertical="center"/>
    </xf>
    <xf numFmtId="0" fontId="12" fillId="6" borderId="1" applyAlignment="1" pivotButton="0" quotePrefix="0" xfId="0">
      <alignment horizontal="center"/>
    </xf>
    <xf numFmtId="0" fontId="10" fillId="4" borderId="0" applyAlignment="1" pivotButton="0" quotePrefix="0" xfId="0">
      <alignment horizontal="center" vertical="center" wrapText="1"/>
    </xf>
    <xf numFmtId="0" fontId="14" fillId="0" borderId="0" pivotButton="0" quotePrefix="0" xfId="0"/>
    <xf numFmtId="0" fontId="12" fillId="8" borderId="1" applyAlignment="1" pivotButton="0" quotePrefix="0" xfId="0">
      <alignment horizontal="center"/>
    </xf>
    <xf numFmtId="171" fontId="66" fillId="0" borderId="48" applyAlignment="1" pivotButton="0" quotePrefix="0" xfId="2">
      <alignment horizontal="center" vertical="center"/>
    </xf>
    <xf numFmtId="168" fontId="25" fillId="9" borderId="16" pivotButton="0" quotePrefix="0" xfId="2"/>
    <xf numFmtId="168" fontId="26" fillId="9" borderId="0" pivotButton="0" quotePrefix="0" xfId="2"/>
    <xf numFmtId="168" fontId="21" fillId="9" borderId="0" pivotButton="0" quotePrefix="0" xfId="0"/>
    <xf numFmtId="168" fontId="50" fillId="9" borderId="0" pivotButton="0" quotePrefix="0" xfId="2"/>
    <xf numFmtId="172" fontId="28" fillId="0" borderId="29" applyAlignment="1" pivotButton="0" quotePrefix="0" xfId="0">
      <alignment horizontal="left" vertical="center"/>
    </xf>
    <xf numFmtId="168" fontId="40" fillId="10" borderId="35" pivotButton="0" quotePrefix="0" xfId="2"/>
    <xf numFmtId="168" fontId="76" fillId="0" borderId="35" pivotButton="0" quotePrefix="0" xfId="2"/>
    <xf numFmtId="168" fontId="40" fillId="0" borderId="35" pivotButton="0" quotePrefix="0" xfId="2"/>
    <xf numFmtId="168" fontId="40" fillId="9" borderId="0" pivotButton="0" quotePrefix="0" xfId="2"/>
    <xf numFmtId="168" fontId="40" fillId="9" borderId="35" pivotButton="0" quotePrefix="0" xfId="2"/>
    <xf numFmtId="170" fontId="8" fillId="0" borderId="22" pivotButton="0" quotePrefix="0" xfId="1"/>
    <xf numFmtId="168" fontId="14" fillId="0" borderId="23" applyAlignment="1" pivotButton="0" quotePrefix="0" xfId="2">
      <alignment horizontal="center"/>
    </xf>
    <xf numFmtId="169" fontId="13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orcentaje" xfId="1" builtinId="5"/>
    <cellStyle name="Moneda" xfId="2" builtinId="4"/>
    <cellStyle name="Hipervínculo" xfId="3" builtinId="8"/>
  </cellStyles>
  <dxfs count="2958"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externalLink" Target="/xl/externalLinks/externalLink1.xml" Id="rId26"/><Relationship Type="http://schemas.openxmlformats.org/officeDocument/2006/relationships/externalLink" Target="/xl/externalLinks/externalLink2.xml" Id="rId27"/><Relationship Type="http://schemas.openxmlformats.org/officeDocument/2006/relationships/externalLink" Target="/xl/externalLinks/externalLink3.xml" Id="rId28"/><Relationship Type="http://schemas.openxmlformats.org/officeDocument/2006/relationships/externalLink" Target="/xl/externalLinks/externalLink4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Dpto Técnico</author>
    <author>javier.fernandez</author>
  </authors>
  <commentList>
    <comment ref="B1" authorId="0" shapeId="0">
      <text>
        <t>Dpto Técnico:
En plantilla facturas hay que quitar el total (fuera iva), e igualar suplido a resultado.
Luego, aquí D1 lo apuntamos a B:B.
Y por último, cambiar en la macro el nombre (que no meta al final valor+iva): AH2 --&gt; AD2</t>
      </text>
    </comment>
    <comment ref="AN1" authorId="1" shapeId="0">
      <text>
        <t xml:space="preserve">javier.fernandez:
Introducir el nº Factura a la que va a rectificar
</t>
      </text>
    </comment>
  </commentList>
</comments>
</file>

<file path=xl/comments/comment2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E16" authorId="0" shapeId="0">
      <text>
        <t>Katja Kaiser:
desde junio</t>
      </text>
    </comment>
    <comment ref="H16" authorId="0" shapeId="0">
      <text>
        <t>Katja Kaiser:
desde junio</t>
      </text>
    </comment>
    <comment ref="B25" authorId="0" shapeId="0">
      <text>
        <t>Katja Kaiser:
Solar Photo Collect
1400/5991,8</t>
      </text>
    </comment>
    <comment ref="C25" authorId="1" shapeId="0">
      <text>
        <t>JVR:
Aplicable desde 01.01.2012
(tarifa única para el conjunto de proyectos)</t>
      </text>
    </comment>
    <comment ref="F25" authorId="1" shapeId="0">
      <text>
        <t>JVR:
Aplicable desde 01.01.2012</t>
      </text>
    </comment>
    <comment ref="I25" authorId="1" shapeId="0">
      <text>
        <t>JVR:
Aplicable desde 01.01.2012</t>
      </text>
    </comment>
    <comment ref="B26" authorId="0" shapeId="0">
      <text>
        <t>Katja Kaiser:
Amberg V
1000/5991,8</t>
      </text>
    </comment>
    <comment ref="B27" authorId="0" shapeId="0">
      <text>
        <t>Katja Kaiser:
Rasteding
690/5991,8</t>
      </text>
    </comment>
    <comment ref="E27" authorId="0" shapeId="0">
      <text>
        <t>Katja Kaiser:
a partir de Mayo 11</t>
      </text>
    </comment>
    <comment ref="H27" authorId="0" shapeId="0">
      <text>
        <t>Katja Kaiser:
a partir de Mayo 11</t>
      </text>
    </comment>
    <comment ref="B28" authorId="1" shapeId="0">
      <text>
        <t>JVR:
Alcarrás - Amberg II S.L.
570/5991,8</t>
      </text>
    </comment>
    <comment ref="B29" authorId="1" shapeId="0">
      <text>
        <t>JVR:
Fruilar - Tiksi PV II S.L.
800/5991,8</t>
      </text>
    </comment>
    <comment ref="E29" authorId="1" shapeId="0">
      <text>
        <t>JVR:
A partir 1 de julio</t>
      </text>
    </comment>
    <comment ref="H29" authorId="1" shapeId="0">
      <text>
        <t>JVR:
A partir 1 de julio</t>
      </text>
    </comment>
    <comment ref="B30" authorId="1" shapeId="0">
      <text>
        <t>JVR:
La Senia - Solar Photo Corp S.L.U.
1531,8/5991,8</t>
      </text>
    </comment>
    <comment ref="D30" authorId="1" shapeId="0">
      <text>
        <t>JVR:
A partir de 01.11.2011</t>
      </text>
    </comment>
    <comment ref="E30" authorId="1" shapeId="0">
      <text>
        <t>JVR:
A partir 1 de julio</t>
      </text>
    </comment>
    <comment ref="G30" authorId="1" shapeId="0">
      <text>
        <t>JVR:
A partir de 01.11.2011</t>
      </text>
    </comment>
    <comment ref="H30" authorId="1" shapeId="0">
      <text>
        <t>JVR:
A partir 1 de julio</t>
      </text>
    </comment>
  </commentList>
</comments>
</file>

<file path=xl/comments/comment3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AA11" authorId="1" shapeId="0">
      <text>
        <t>JVR:
Dependiendo de cómo se interprete el contrato</t>
      </text>
    </comment>
    <comment ref="E16" authorId="0" shapeId="0">
      <text>
        <t>Katja Kaiser:
desde junio</t>
      </text>
    </comment>
    <comment ref="H16" authorId="0" shapeId="0">
      <text>
        <t>Katja Kaiser:
desde junio</t>
      </text>
    </comment>
    <comment ref="B25" authorId="0" shapeId="0">
      <text>
        <t>Katja Kaiser:
Solar Photo Collect
1400/5991,8</t>
      </text>
    </comment>
    <comment ref="C25" authorId="1" shapeId="0">
      <text>
        <t>JVR:
Aplicable desde 01.01.2012
(tarifa única para el conjunto de proyectos)</t>
      </text>
    </comment>
    <comment ref="F25" authorId="1" shapeId="0">
      <text>
        <t>JVR:
Aplicable desde 01.01.2012</t>
      </text>
    </comment>
    <comment ref="I25" authorId="1" shapeId="0">
      <text>
        <t>JVR:
Aplicable desde 01.01.2012</t>
      </text>
    </comment>
    <comment ref="B26" authorId="0" shapeId="0">
      <text>
        <t>Katja Kaiser:
Amberg V
1000/5991,8</t>
      </text>
    </comment>
    <comment ref="B27" authorId="0" shapeId="0">
      <text>
        <t>Katja Kaiser:
Rasteding
690/5991,8</t>
      </text>
    </comment>
    <comment ref="E27" authorId="0" shapeId="0">
      <text>
        <t>Katja Kaiser:
a partir de Mayo 11</t>
      </text>
    </comment>
    <comment ref="H27" authorId="0" shapeId="0">
      <text>
        <t>Katja Kaiser:
a partir de Mayo 11</t>
      </text>
    </comment>
    <comment ref="B28" authorId="1" shapeId="0">
      <text>
        <t>JVR:
Alcarrás - Amberg II S.L.
570/5991,8</t>
      </text>
    </comment>
    <comment ref="B29" authorId="1" shapeId="0">
      <text>
        <t>JVR:
Fruilar - Tiksi PV II S.L.
800/5991,8</t>
      </text>
    </comment>
    <comment ref="E29" authorId="1" shapeId="0">
      <text>
        <t>JVR:
A partir 1 de julio</t>
      </text>
    </comment>
    <comment ref="H29" authorId="1" shapeId="0">
      <text>
        <t>JVR:
A partir 1 de julio</t>
      </text>
    </comment>
    <comment ref="B30" authorId="1" shapeId="0">
      <text>
        <t>JVR:
La Senia - Solar Photo Corp S.L.U.
1531,8/5991,8</t>
      </text>
    </comment>
    <comment ref="D30" authorId="1" shapeId="0">
      <text>
        <t>JVR:
A partir de 01.11.2011</t>
      </text>
    </comment>
    <comment ref="E30" authorId="1" shapeId="0">
      <text>
        <t>JVR:
A partir 1 de julio</t>
      </text>
    </comment>
    <comment ref="G30" authorId="1" shapeId="0">
      <text>
        <t>JVR:
A partir de 01.11.2011</t>
      </text>
    </comment>
    <comment ref="H30" authorId="1" shapeId="0">
      <text>
        <t>JVR:
A partir 1 de julio</t>
      </text>
    </comment>
  </commentList>
</comments>
</file>

<file path=xl/comments/comment4.xml><?xml version="1.0" encoding="utf-8"?>
<comments xmlns="http://schemas.openxmlformats.org/spreadsheetml/2006/main">
  <authors>
    <author>JVR</author>
  </authors>
  <commentList>
    <comment ref="C18" authorId="0" shapeId="0">
      <text>
        <t>JVR:
Aplicable desde 01.01.2012</t>
      </text>
    </comment>
    <comment ref="D18" authorId="0" shapeId="0">
      <text>
        <t>JVR:
Aplicable desde 01.01.2012
(tarifa única para el conjunto de proyectos)</t>
      </text>
    </comment>
    <comment ref="E18" authorId="0" shapeId="0">
      <text>
        <t>JVR:
Aplicable desde 01.01.2012</t>
      </text>
    </comment>
  </commentList>
</comments>
</file>

<file path=xl/comments/comment5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B18" authorId="0" shapeId="0">
      <text>
        <t>Katja Kaiser:
Solar Photo Collect
1400/5991,8</t>
      </text>
    </comment>
    <comment ref="C18" authorId="1" shapeId="0">
      <text>
        <t>JVR:
Aplicable desde 01.01.2012
(tarifa única para el conjunto de proyectos)</t>
      </text>
    </comment>
    <comment ref="F18" authorId="1" shapeId="0">
      <text>
        <t>JVR:
Aplicable desde 01.01.2012</t>
      </text>
    </comment>
    <comment ref="I18" authorId="1" shapeId="0">
      <text>
        <t>JVR:
Aplicable desde 01.01.2012</t>
      </text>
    </comment>
  </commentList>
</comments>
</file>

<file path=xl/comments/comment6.xml><?xml version="1.0" encoding="utf-8"?>
<comments xmlns="http://schemas.openxmlformats.org/spreadsheetml/2006/main">
  <authors>
    <author>JVR</author>
  </authors>
  <commentList>
    <comment ref="C18" authorId="0" shapeId="0">
      <text>
        <t>JVR:
Aplicable desde 01.01.2012</t>
      </text>
    </comment>
    <comment ref="D18" authorId="0" shapeId="0">
      <text>
        <t>JVR:
Aplicable desde 01.01.2012
(tarifa única para el conjunto de proyectos)</t>
      </text>
    </comment>
    <comment ref="E18" authorId="0" shapeId="0">
      <text>
        <t>JVR:
Aplicable desde 01.01.2012</t>
      </text>
    </comment>
  </commentList>
</comments>
</file>

<file path=xl/comments/comment7.xml><?xml version="1.0" encoding="utf-8"?>
<comments xmlns="http://schemas.openxmlformats.org/spreadsheetml/2006/main">
  <authors>
    <author>JVR</author>
  </authors>
  <commentList>
    <comment ref="C18" authorId="0" shapeId="0">
      <text>
        <t>JVR:
Aplicable desde 01.01.2012</t>
      </text>
    </comment>
    <comment ref="D18" authorId="0" shapeId="0">
      <text>
        <t>JVR:
Aplicable desde 01.01.2012
(tarifa única para el conjunto de proyectos)</t>
      </text>
    </comment>
    <comment ref="E18" authorId="0" shapeId="0">
      <text>
        <t>JVR:
Aplicable desde 01.01.2012</t>
      </text>
    </comment>
  </commentList>
</comments>
</file>

<file path=xl/comments/comment8.xml><?xml version="1.0" encoding="utf-8"?>
<comments xmlns="http://schemas.openxmlformats.org/spreadsheetml/2006/main">
  <authors>
    <author>Ignacio Luque</author>
    <author>Javier Valladares</author>
    <author>ignacio.luque</author>
    <author>Dpto Técnico</author>
    <author>ILC (aBalados)</author>
  </authors>
  <commentList>
    <comment ref="E23" authorId="0" shapeId="0">
      <text>
        <t>Ignacio Luque:
Cláusula 6A.
Los 5 primeros años, el fee es 6350E/MWp, con su IPC correspondiente.
A partir de ahí, el fee se incrementa a 7200E/MWp, aplicando el IPC correspondiente dsd la fecha del contrato.
Fecha de cambio: 31 Julio (contrato O&amp;M activado con FAC)</t>
      </text>
    </comment>
    <comment ref="M24" authorId="0" shapeId="0">
      <text>
        <t>Ignacio Luque:
ACTUALIZAMOS IPC DE DICIEMBRE A DICIEMBRE PARA AM Y O&amp;M
Nuevo contrato AM con fecha comienzo 1Ene22</t>
      </text>
    </comment>
    <comment ref="H32" authorId="1" shapeId="0">
      <text>
        <t>Javier Valladares:
domicilio social no aplica porque está domiciliada en el Cortijo</t>
      </text>
    </comment>
    <comment ref="M32" authorId="1" shapeId="0">
      <text>
        <t>Javier Valladares:
actualización 04/20 - 01/21 --&gt; 0,7%</t>
      </text>
    </comment>
    <comment ref="B34" authorId="0" shapeId="0">
      <text>
        <t>Ignacio Luque:
Contratos firmados el 1 de julio.
C2C y MdB entran en juego un mes más tarde.</t>
      </text>
    </comment>
    <comment ref="E35" authorId="0" shapeId="0">
      <text>
        <t>Ignacio Luque:
Franquicia 5K</t>
      </text>
    </comment>
    <comment ref="E36" authorId="0" shapeId="0">
      <text>
        <t>Ignacio Luque:
Franquicia 5K</t>
      </text>
    </comment>
    <comment ref="E37" authorId="0" shapeId="0">
      <text>
        <t>Ignacio Luque:
Franquicia 750E</t>
      </text>
    </comment>
    <comment ref="E43" authorId="0" shapeId="0">
      <text>
        <t>Ignacio Luque:
Correctivos excluidos.
155EUR servicio mínimo 1h.</t>
      </text>
    </comment>
    <comment ref="B45" authorId="2" shapeId="0">
      <text>
        <t>ignacio.luque:
Fecha contrato AM
22 Marzo 2021.
Firmado el 24 &amp; 25 Marzo</t>
      </text>
    </comment>
    <comment ref="C46" authorId="3" shapeId="0">
      <text>
        <t>Dpto Técnico:
Fee before cod</t>
      </text>
    </comment>
    <comment ref="D46" authorId="2" shapeId="0">
      <text>
        <t>ignacio.luque:
Se activa explotación en
8 septiembre 2023</t>
      </text>
    </comment>
    <comment ref="C47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49" authorId="2" shapeId="0">
      <text>
        <t xml:space="preserve">ignacio.luque:
Fecha contrato AM
12 Julio 2021.
</t>
      </text>
    </comment>
    <comment ref="C50" authorId="3" shapeId="0">
      <text>
        <t>Dpto Técnico:
Fee before cod</t>
      </text>
    </comment>
    <comment ref="D50" authorId="2" shapeId="0">
      <text>
        <t>ignacio.luque:
Se activa explotación el 26 de mayo de 2025</t>
      </text>
    </comment>
    <comment ref="C51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53" authorId="2" shapeId="0">
      <text>
        <t xml:space="preserve">ignacio.luque:
Fecha contrato AM
1 Agosto 2021.
</t>
      </text>
    </comment>
    <comment ref="C54" authorId="3" shapeId="0">
      <text>
        <t>Dpto Técnico:
Fee before cod</t>
      </text>
    </comment>
    <comment ref="D54" authorId="2" shapeId="0">
      <text>
        <t>ignacio.luque:
Se activa explotación en
13 octubre 2023</t>
      </text>
    </comment>
    <comment ref="C55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57" authorId="2" shapeId="0">
      <text>
        <t xml:space="preserve">ignacio.luque:
Fecha contrato AM
8 Octubre 2021.
</t>
      </text>
    </comment>
    <comment ref="D58" authorId="2" shapeId="0">
      <text>
        <t>ignacio.luque:
En fase de explotación pasamos a 2.925E/mes</t>
      </text>
    </comment>
    <comment ref="C59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61" authorId="2" shapeId="0">
      <text>
        <t xml:space="preserve">ignacio.luque:
Fecha contrato AM
10 Octubre 2021.
</t>
      </text>
    </comment>
    <comment ref="D62" authorId="2" shapeId="0">
      <text>
        <t>ignacio.luque:
En fase de explotación pasamos a 3.295E/mes</t>
      </text>
    </comment>
    <comment ref="C63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65" authorId="2" shapeId="0">
      <text>
        <t xml:space="preserve">ignacio.luque:
Fecha contrato AM
24 Noviembre 2021.
</t>
      </text>
    </comment>
    <comment ref="D66" authorId="2" shapeId="0">
      <text>
        <t>ignacio.luque:
En fase de explotación pasamos a 3.075E/mes</t>
      </text>
    </comment>
    <comment ref="C67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69" authorId="2" shapeId="0">
      <text>
        <t xml:space="preserve">ignacio.luque:
Fecha contrato AM
18 Noviembre 2021.
</t>
      </text>
    </comment>
    <comment ref="C70" authorId="3" shapeId="0">
      <text>
        <t>Dpto Técnico:
Fee before cod</t>
      </text>
    </comment>
    <comment ref="D70" authorId="2" shapeId="0">
      <text>
        <t>ignacio.luque:
Se activa fase explotación el 12 Septiembre 2023</t>
      </text>
    </comment>
    <comment ref="C71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73" authorId="2" shapeId="0">
      <text>
        <t xml:space="preserve">ignacio.luque:
Fecha contrato AM
20 Enero 2022.
</t>
      </text>
    </comment>
    <comment ref="D74" authorId="2" shapeId="0">
      <text>
        <t>ignacio.luque:
En fase de explotación pasamos a 2.675E/mes</t>
      </text>
    </comment>
    <comment ref="C75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77" authorId="2" shapeId="0">
      <text>
        <t xml:space="preserve">ignacio.luque:
Fecha contrato AM
22 Febrero 2022.
ENTRADA EN VIGOR:
2 FEBRERO 2022
</t>
      </text>
    </comment>
    <comment ref="D78" authorId="2" shapeId="0">
      <text>
        <t>ignacio.luque:
OFERTADO para fase de explotación: 2.900E/mes</t>
      </text>
    </comment>
    <comment ref="C79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81" authorId="2" shapeId="0">
      <text>
        <t>ignacio.luque:
Fecha contrato AM 8 Febrero 2022.
Durante el desarrollo, se modifica sustancialmente las infraestructuras y ahora T3 es una subestación:
Fecha adenda al AM 8 Noviembre 2023.</t>
      </text>
    </comment>
    <comment ref="D82" authorId="2" shapeId="0">
      <text>
        <t>ignacio.luque:
En fase de explotación, con la adenda, ahora pasamos a 2.875E/mes</t>
      </text>
    </comment>
    <comment ref="C83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85" authorId="2" shapeId="0">
      <text>
        <t xml:space="preserve">ignacio.luque:
Fecha contrato AM
22 Abril 2022.
ENTRADA EN VIGOR:
8 FEBRERO 2022
</t>
      </text>
    </comment>
    <comment ref="C86" authorId="3" shapeId="0">
      <text>
        <t>Dpto Técnico:
Fee before cod</t>
      </text>
    </comment>
    <comment ref="D86" authorId="2" shapeId="0">
      <text>
        <t>ignacio.luque:
Se activa fase explotación en 31ocubre2023, mediante CdA del 23 Noviembre 2023</t>
      </text>
    </comment>
    <comment ref="C87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89" authorId="2" shapeId="0">
      <text>
        <t xml:space="preserve">ignacio.luque:
Fecha contrato AM
9 Febrero 2022.
ENTRADA EN VIGOR:
25 ENERO 2022
</t>
      </text>
    </comment>
    <comment ref="D90" authorId="2" shapeId="0">
      <text>
        <t>ignacio.luque:
OFERTADO para fase de explotación: 2.675E/mes</t>
      </text>
    </comment>
    <comment ref="C91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93" authorId="2" shapeId="0">
      <text>
        <t xml:space="preserve">ignacio.luque:
Fecha contrato AM
20 Julio 2022.
ENTRADA EN VIGOR:
21 ABRIL 2022
</t>
      </text>
    </comment>
    <comment ref="D94" authorId="2" shapeId="0">
      <text>
        <t>ignacio.luque:
En fase de explotación pasamos a 2.850E/mes</t>
      </text>
    </comment>
    <comment ref="C95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97" authorId="2" shapeId="0">
      <text>
        <t xml:space="preserve">ignacio.luque:
Fecha contrato AM
21 junio 2022.
ENTRADA EN VIGOR:
24 MAYO 2022
</t>
      </text>
    </comment>
    <comment ref="C98" authorId="3" shapeId="0">
      <text>
        <t>Dpto Técnico:
Fee before cod</t>
      </text>
    </comment>
    <comment ref="D98" authorId="2" shapeId="0">
      <text>
        <t>ignacio.luque:
Se activa explotación en el 20/06/2024</t>
      </text>
    </comment>
    <comment ref="C99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01" authorId="2" shapeId="0">
      <text>
        <t xml:space="preserve">ignacio.luque:
Fecha contrato AM
13 septiembre 2022.
ENTRADA EN VIGOR:
23 JUNIO 2022
</t>
      </text>
    </comment>
    <comment ref="D102" authorId="2" shapeId="0">
      <text>
        <t>ignacio.luque:
En fase de explotación pasamos a 2.875E/mes</t>
      </text>
    </comment>
    <comment ref="C103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05" authorId="2" shapeId="0">
      <text>
        <t xml:space="preserve">ignacio.luque:
Fecha contrato AM
12 diciembre 2022.
ENTRADA EN VIGOR:
22 NOVIEMBRE 2022
</t>
      </text>
    </comment>
    <comment ref="C106" authorId="4" shapeId="0">
      <text>
        <t>ILC (aBalados):
Fee beforeCod</t>
      </text>
    </comment>
    <comment ref="D106" authorId="4" shapeId="0">
      <text>
        <t>ILC (aBalados):
Se activa explotación 17 abril 2023</t>
      </text>
    </comment>
    <comment ref="C107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09" authorId="2" shapeId="0">
      <text>
        <t xml:space="preserve">ignacio.luque:
Fecha contrato AM
23 noviembre 2022.
ENTRADA EN VIGOR:
19 SEPTIEMBRE 2022
</t>
      </text>
    </comment>
    <comment ref="C110" authorId="4" shapeId="0">
      <text>
        <t>ILC (aBalados):
Fee beforeCod</t>
      </text>
    </comment>
    <comment ref="D110" authorId="0" shapeId="0">
      <text>
        <t>Ignacio Luque:
Se activa explotación en el 23/05/2024</t>
      </text>
    </comment>
    <comment ref="C111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13" authorId="2" shapeId="0">
      <text>
        <t xml:space="preserve">ignacio.luque:
Fecha contrato AM
14 diciembre 2022.
ENTRADA EN VIGOR:
8 NOVIEMBRE 2022
</t>
      </text>
    </comment>
    <comment ref="C114" authorId="4" shapeId="0">
      <text>
        <t>ILC (aBalados):
Fee beforeCod</t>
      </text>
    </comment>
    <comment ref="D114" authorId="0" shapeId="0">
      <text>
        <t>Ignacio Luque:
Se activa explotación el 11 de diciembre 2023</t>
      </text>
    </comment>
    <comment ref="C115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17" authorId="2" shapeId="0">
      <text>
        <t xml:space="preserve">ignacio.luque:
Fecha contrato AM
16 febrero 2023.
ENTRADA EN VIGOR:
10 FEBRERO 2023
</t>
      </text>
    </comment>
    <comment ref="C118" authorId="4" shapeId="0">
      <text>
        <t>ILC (aBalados):
Fee beforeCod</t>
      </text>
    </comment>
    <comment ref="D118" authorId="2" shapeId="0">
      <text>
        <t>ignacio.luque:
Se activa explotación en el 05/03/2024</t>
      </text>
    </comment>
    <comment ref="C119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21" authorId="2" shapeId="0">
      <text>
        <t xml:space="preserve">ignacio.luque:
Fecha contrato AM
8 marzo 2023.
ENTRADA EN VIGOR:
5 DICIEMBRE 2022
</t>
      </text>
    </comment>
    <comment ref="C122" authorId="4" shapeId="0">
      <text>
        <t>ILC (aBalados):
Fee beforeCod</t>
      </text>
    </comment>
    <comment ref="D122" authorId="0" shapeId="0">
      <text>
        <t>Ignacio Luque:
Se activa explotación el 4 de diciembre 2023</t>
      </text>
    </comment>
    <comment ref="C123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25" authorId="2" shapeId="0">
      <text>
        <t xml:space="preserve">ignacio.luque:
Fecha contrato AM
4 mayo 2023.
ENTRADA EN VIGOR:
3 MARZO 2023
</t>
      </text>
    </comment>
    <comment ref="D126" authorId="2" shapeId="0">
      <text>
        <t>ignacio.luque:
En fase de explotación pasamos a 825 E/mes</t>
      </text>
    </comment>
    <comment ref="B128" authorId="2" shapeId="0">
      <text>
        <t xml:space="preserve">ignacio.luque:
Fecha contrato AM
13 marzo 2023.
ENTRADA EN VIGOR: 
24 NOVIEMBRE 2022
</t>
      </text>
    </comment>
    <comment ref="C129" authorId="4" shapeId="0">
      <text>
        <t>ILC (aBalados):
Fee beforeCod</t>
      </text>
    </comment>
    <comment ref="D129" authorId="2" shapeId="0">
      <text>
        <t>ignacio.luque:
Se activa explotación el 1 de abril de 2025</t>
      </text>
    </comment>
    <comment ref="C13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32" authorId="2" shapeId="0">
      <text>
        <t xml:space="preserve">ignacio.luque:
Fecha contrato AM
20 junio 2023.
ENTRADA EN VIGOR: 
1 MAYO 2023
</t>
      </text>
    </comment>
    <comment ref="C133" authorId="4" shapeId="0">
      <text>
        <t>ILC (aBalados):
Fee before COD</t>
      </text>
    </comment>
    <comment ref="D133" authorId="4" shapeId="0">
      <text>
        <t>ILC (aBalados):
Se activa explotación 18 julio 2023</t>
      </text>
    </comment>
    <comment ref="C13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36" authorId="2" shapeId="0">
      <text>
        <t xml:space="preserve">ignacio.luque:
Fecha contrato AM
16 mayo 2023.
ENTRADA EN VIGOR: 
7 NOVIEMBRE 2022
</t>
      </text>
    </comment>
    <comment ref="C137" authorId="4" shapeId="0">
      <text>
        <t>ILC (aBalados):
Fee beforeCod</t>
      </text>
    </comment>
    <comment ref="D137" authorId="0" shapeId="0">
      <text>
        <t>Ignacio Luque:
Se activa explotación en el 23/05/2024</t>
      </text>
    </comment>
    <comment ref="C13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40" authorId="2" shapeId="0">
      <text>
        <t>ignacio.luque:
Fecha contrato AM
10 julio 2023.
ENTRADA EN VIGOR: 
23 MARZO 2023</t>
      </text>
    </comment>
    <comment ref="D141" authorId="2" shapeId="0">
      <text>
        <t>ignacio.luque:
En fase de explotación pasamos a 2.960 E/mes</t>
      </text>
    </comment>
    <comment ref="C14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A144" authorId="0" shapeId="0">
      <text>
        <t>Ignacio Luque:
Soltamos proyecto 30Sept2025 por desavenencias con SSE (quieren meter otra empresa para gestión técnica)</t>
      </text>
    </comment>
    <comment ref="B144" authorId="2" shapeId="0">
      <text>
        <t>ignacio.luque:
Fecha contrato AM
21 junio 2023.
ENTRADA EN VIGOR: 
11 ABRIL 2023</t>
      </text>
    </comment>
    <comment ref="C14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48" authorId="2" shapeId="0">
      <text>
        <t>ignacio.luque:
Fecha contrato AM
4julio 2023.
ENTRADA EN VIGOR: 
17 FEBRERO 2023</t>
      </text>
    </comment>
    <comment ref="C149" authorId="4" shapeId="0">
      <text>
        <t>ILC (aBalados):
Fee beforeCod</t>
      </text>
    </comment>
    <comment ref="D149" authorId="0" shapeId="0">
      <text>
        <t>Ignacio Luque:
Cambio a explotación el 20 de mayo de 2025</t>
      </text>
    </comment>
    <comment ref="C15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A152" authorId="0" shapeId="0">
      <text>
        <t xml:space="preserve">Ignacio Luque:
Formalismos pdtes </t>
      </text>
    </comment>
    <comment ref="B152" authorId="2" shapeId="0">
      <text>
        <t>ignacio.luque:
Fecha contrato AM
29marzo 2023.
ENTRADA EN VIGOR: 
17 NOVIEMBRE 2022</t>
      </text>
    </comment>
    <comment ref="A153" authorId="0" shapeId="0">
      <text>
        <t>Ignacio Luque:
Formalismo pdte… se factura más adelante la explotación</t>
      </text>
    </comment>
    <comment ref="C153" authorId="4" shapeId="0">
      <text>
        <t>ILC (aBalados):
Fee beforeCod</t>
      </text>
    </comment>
    <comment ref="D153" authorId="0" shapeId="0">
      <text>
        <t>Ignacio Luque:
Cuándo cambia?
Notifican por correo aceptación el 3 julio25</t>
      </text>
    </comment>
    <comment ref="C15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56" authorId="2" shapeId="0">
      <text>
        <t>ignacio.luque:
Fecha contrato AM
12junio 2023
ENTRADA EN VIGOR: 
1 marzo 2023</t>
      </text>
    </comment>
    <comment ref="C157" authorId="4" shapeId="0">
      <text>
        <t>ILC (aBalados):
Fee before COD</t>
      </text>
    </comment>
    <comment ref="D157" authorId="0" shapeId="0">
      <text>
        <t>Ignacio Luque:
Se activa explotación el 16 de abril de 2025, según noti.
La adenda está mal fechada por error</t>
      </text>
    </comment>
    <comment ref="C15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60" authorId="2" shapeId="0">
      <text>
        <t>ignacio.luque:
Fecha contrato AM
17octubre 2023
ENTRADA EN VIGOR: 
27 junio 2023</t>
      </text>
    </comment>
    <comment ref="C16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A164" authorId="0" shapeId="0">
      <text>
        <t>Ignacio Luque:
Se cae proyecto.
Terminación 31/01/25</t>
      </text>
    </comment>
    <comment ref="B164" authorId="2" shapeId="0">
      <text>
        <t>ignacio.luque:
Fecha contrato AM
23 octubre 2023.
ENTRADA EN VIGOR: 
11 abril 2023</t>
      </text>
    </comment>
    <comment ref="D165" authorId="2" shapeId="0">
      <text>
        <t>ignacio.luque:
En fase de explotación pasamos a 2.850 E/mes</t>
      </text>
    </comment>
    <comment ref="C16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68" authorId="2" shapeId="0">
      <text>
        <t>ignacio.luque:
Fecha contrato AM
27 octubre 2023.
ENTRADA EN VIGOR: 
11 SEPTIEMBRE 2023</t>
      </text>
    </comment>
    <comment ref="D169" authorId="2" shapeId="0">
      <text>
        <t>ignacio.luque:
En fase de explotación pasamos a 2.905 E/mes</t>
      </text>
    </comment>
    <comment ref="C17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72" authorId="2" shapeId="0">
      <text>
        <t>ignacio.luque:
Fecha contrato AM
05 octubre 2023.
ENTRADA EN VIGOR: 
19 ENERO 2023</t>
      </text>
    </comment>
    <comment ref="D173" authorId="2" shapeId="0">
      <text>
        <t>ignacio.luque:
En fase de explotación pasamos a 3.075 E/mes</t>
      </text>
    </comment>
    <comment ref="C17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76" authorId="2" shapeId="0">
      <text>
        <t>ignacio.luque:
Fecha contrato AM
23 octubre 2023.
ENTRADA EN VIGOR: 
23 marzo 2023</t>
      </text>
    </comment>
    <comment ref="D177" authorId="2" shapeId="0">
      <text>
        <t>ignacio.luque:
En fase de explotación pasamos a 3.075 E/mes</t>
      </text>
    </comment>
    <comment ref="C17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80" authorId="2" shapeId="0">
      <text>
        <t>ignacio.luque:
Fecha contrato AM
14 diciembre 2023.
ENTRADA EN VIGOR: 
14 noviembre 2023</t>
      </text>
    </comment>
    <comment ref="C181" authorId="4" shapeId="0">
      <text>
        <t>ILC (aBalados):
Fee before COD</t>
      </text>
    </comment>
    <comment ref="D181" authorId="0" shapeId="0">
      <text>
        <t>Ignacio Luque:
Se activa explotación el 20 de diciembre 2023</t>
      </text>
    </comment>
    <comment ref="C18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84" authorId="2" shapeId="0">
      <text>
        <t>ignacio.luque:
Fecha contrato AM
27 octubre 2023.
ENTRADA EN VIGOR: 
13 septiembre 2023</t>
      </text>
    </comment>
    <comment ref="D185" authorId="2" shapeId="0">
      <text>
        <t>ignacio.luque:
En fase de explotación pasamos a 3.075 E/mes</t>
      </text>
    </comment>
    <comment ref="C18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88" authorId="2" shapeId="0">
      <text>
        <t>ignacio.luque:
Fecha contrato AM
29 diciembre 2023.
ENTRADA EN VIGOR: 
11 octubre 2023</t>
      </text>
    </comment>
    <comment ref="D189" authorId="2" shapeId="0">
      <text>
        <t>ignacio.luque:
ESTO ES UN NUDO CON 2 SETS.
- SET (tras cesión), en fase pre-COD: 1.350 E/mes
- NUDO en fase de explotación: 5.460 E/mes
- SET (tras cesión), en explotac.: 2.905 E/mes</t>
      </text>
    </comment>
    <comment ref="C19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92" authorId="2" shapeId="0">
      <text>
        <t>ignacio.luque:
Fecha contrato AM
14 febrero 2024.
ENTRADA EN VIGOR: 
23 octubre 2023</t>
      </text>
    </comment>
    <comment ref="C193" authorId="4" shapeId="0">
      <text>
        <t>ILC (aBalados):
Fee before COD</t>
      </text>
    </comment>
    <comment ref="D193" authorId="0" shapeId="0">
      <text>
        <t>Ignacio Luque:
Se activa explotación el 14 de febrero 2024</t>
      </text>
    </comment>
    <comment ref="C19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96" authorId="2" shapeId="0">
      <text>
        <t>ignacio.luque:
Fecha contrato AM
8 febrero 2024.
ENTRADA EN VIGOR: 
11 diciembre 2023</t>
      </text>
    </comment>
    <comment ref="C19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00" authorId="2" shapeId="0">
      <text>
        <t>ignacio.luque:
Fecha contrato AM
29 enero 2024.
ENTRADA EN VIGOR: 
31 octubre 2023</t>
      </text>
    </comment>
    <comment ref="D201" authorId="2" shapeId="0">
      <text>
        <t>ignacio.luque:
En fase de explotación pasamos a 2.930 E/mes</t>
      </text>
    </comment>
    <comment ref="C20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04" authorId="2" shapeId="0">
      <text>
        <t>ignacio.luque:
Fecha contrato AM
29 enero 2024.
ENTRADA EN VIGOR: 
31 octubre 2023</t>
      </text>
    </comment>
    <comment ref="D205" authorId="2" shapeId="0">
      <text>
        <t>ignacio.luque:
En fase de explotación pasamos a 2.990 E/mes</t>
      </text>
    </comment>
    <comment ref="C20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08" authorId="2" shapeId="0">
      <text>
        <t>ignacio.luque:
Fecha contrato AM
26 febrero 2024.
ENTRADA EN VIGOR: 
19 febrero 2024</t>
      </text>
    </comment>
    <comment ref="D209" authorId="2" shapeId="0">
      <text>
        <t>ignacio.luque:
En fase de explotación pasamos a 2.915 E/mes</t>
      </text>
    </comment>
    <comment ref="C21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12" authorId="2" shapeId="0">
      <text>
        <t>ignacio.luque:
Fecha contrato AM
29 febrero 2024.
ENTRADA EN VIGOR: 
9 febrero 2024</t>
      </text>
    </comment>
    <comment ref="C213" authorId="4" shapeId="0">
      <text>
        <t>ILC (aBalados):
Fee before COD</t>
      </text>
    </comment>
    <comment ref="D213" authorId="2" shapeId="0">
      <text>
        <t>ignacio.luque:
Se activa explotación el 12 de diciembre del 2024</t>
      </text>
    </comment>
    <comment ref="C21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16" authorId="2" shapeId="0">
      <text>
        <t>ignacio.luque:
Fecha contrato AM
12 febrero 2024.
ENTRADA EN VIGOR: 
8 febrero 2024</t>
      </text>
    </comment>
    <comment ref="D217" authorId="2" shapeId="0">
      <text>
        <t>ignacio.luque:
En fase de explotación pasamos a 2.875 E/mes</t>
      </text>
    </comment>
    <comment ref="C21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20" authorId="2" shapeId="0">
      <text>
        <t>ignacio.luque:
Fecha contrato AM
1 Agosto 2024.
ENTRADA EN VIGOR: 
1 Agosto 2024</t>
      </text>
    </comment>
    <comment ref="C221" authorId="4" shapeId="0">
      <text>
        <t>ILC (aBalados):
Fee before COD</t>
      </text>
    </comment>
    <comment ref="D221" authorId="2" shapeId="0">
      <text>
        <t>ignacio.luque:
Se formaliza cambio a explotación el 20agosto2025,  activo desde el 16 de abril de 2025</t>
      </text>
    </comment>
    <comment ref="C22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24" authorId="2" shapeId="0">
      <text>
        <t>ignacio.luque:
Fecha contrato AM
24 septiembre 2024.
ENTRADA EN VIGOR: 
11 Julio 2024</t>
      </text>
    </comment>
    <comment ref="D225" authorId="2" shapeId="0">
      <text>
        <t>ignacio.luque:
En fase de explotación pasamos a 2.960 E/mes</t>
      </text>
    </comment>
    <comment ref="C22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28" authorId="2" shapeId="0">
      <text>
        <t>ignacio.luque:
Fecha contrato AM
22 octubre 2024.
ENTRADA EN VIGOR: 
17 Septiembre 2024</t>
      </text>
    </comment>
    <comment ref="D229" authorId="2" shapeId="0">
      <text>
        <t>ignacio.luque:
En fase de explotación pasamos a 3.075 E/mes</t>
      </text>
    </comment>
    <comment ref="C23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32" authorId="2" shapeId="0">
      <text>
        <t>ignacio.luque:
Fecha contrato AM
24 febrero 2025.
ENTRADA EN VIGOR: 
16 enero 2025</t>
      </text>
    </comment>
    <comment ref="D233" authorId="2" shapeId="0">
      <text>
        <t>ignacio.luque:
En fase de explotación pasamos a 3.075 E/mes</t>
      </text>
    </comment>
    <comment ref="C23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36" authorId="2" shapeId="0">
      <text>
        <t>ignacio.luque:
Fecha contrato y entrada en vigor AM
29 abril 2025.</t>
      </text>
    </comment>
    <comment ref="B237" authorId="0" shapeId="0">
      <text>
        <t>Ignacio Luque:
Subestación Los Cerros 30/132 kV Subestación Pozuelo 30/132 kV
Subestación Peral 30/132/400 kV
Línea soterrada 132 kV, que conecta SET Los Cerros con SET Pozuelo, y de este modo SET Pozuelo con SET Peral.
Línea aérea de 400 kV, que conecta SET Peral con la subestación Tábara de 400 kV de REE.</t>
      </text>
    </comment>
    <comment ref="D237" authorId="2" shapeId="0">
      <text>
        <t>ignacio.luque:
En fase de explotación pasamos a 6.640 E/mes</t>
      </text>
    </comment>
    <comment ref="C23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40" authorId="2" shapeId="0">
      <text>
        <t>ignacio.luque:
Fecha contrato AM
17 octubre 2025.
ENTRADA EN VIGOR: 
2 octubre 2025</t>
      </text>
    </comment>
    <comment ref="F240" authorId="0" shapeId="0">
      <text>
        <t>Ignacio Luque:
Se factura junto al AM, desde aBalados Services.</t>
      </text>
    </comment>
    <comment ref="C24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45" authorId="2" shapeId="0">
      <text>
        <t>ignacio.luque:
En fase de explotación pasamos a 1.870 E/mes</t>
      </text>
    </comment>
    <comment ref="C24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49" authorId="2" shapeId="0">
      <text>
        <t>ignacio.luque:
En fase de explotación pasamos a 1.870 E/mes</t>
      </text>
    </comment>
    <comment ref="C25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53" authorId="2" shapeId="0">
      <text>
        <t>ignacio.luque:
En fase de explotación pasamos a 1.870 E/mes</t>
      </text>
    </comment>
    <comment ref="C25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57" authorId="2" shapeId="0">
      <text>
        <t>ignacio.luque:
En fase de explotación pasamos a 1.870 E/mes</t>
      </text>
    </comment>
    <comment ref="C25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61" authorId="2" shapeId="0">
      <text>
        <t>ignacio.luque:
En fase de explotación pasamos a 1.870 E/mes</t>
      </text>
    </comment>
    <comment ref="C26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65" authorId="2" shapeId="0">
      <text>
        <t>ignacio.luque:
En fase de explotación pasamos a 1.870 E/mes</t>
      </text>
    </comment>
    <comment ref="C26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69" authorId="2" shapeId="0">
      <text>
        <t>ignacio.luque:
En fase de explotación pasamos a 1.870 E/mes</t>
      </text>
    </comment>
    <comment ref="C27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73" authorId="2" shapeId="0">
      <text>
        <t>ignacio.luque:
En fase de explotación pasamos a 2.750 E/mes</t>
      </text>
    </comment>
    <comment ref="C27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77" authorId="2" shapeId="0">
      <text>
        <t>ignacio.luque:
En fase de explotación pasamos a 2.750 E/mes</t>
      </text>
    </comment>
    <comment ref="C27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81" authorId="2" shapeId="0">
      <text>
        <t>ignacio.luque:
En fase de explotación pasamos a 2.750 E/mes</t>
      </text>
    </comment>
    <comment ref="C28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84" authorId="2" shapeId="0">
      <text>
        <t>ignacio.luque:
Fecha contrato AM
8 octubre 2024.
ENTRADA EN VIGOR: 
22 Julio 2024
Adenda prolongación: 22/07/25</t>
      </text>
    </comment>
  </commentList>
</comments>
</file>

<file path=xl/comments/comment9.xml><?xml version="1.0" encoding="utf-8"?>
<comments xmlns="http://schemas.openxmlformats.org/spreadsheetml/2006/main">
  <authors>
    <author>javier.valladares</author>
    <author>administracionaba</author>
    <author>daniel.borrego</author>
    <author>Ignacio Luque</author>
    <author>tc={D487EA3C-6A42-45BC-B34B-4CB929A2961F}</author>
    <author>ILC (aBalados)</author>
  </authors>
  <commentList>
    <comment ref="L2" authorId="0" shapeId="0">
      <text>
        <t>javier.valladares:
Dejo números a capón orque había errores de actualización que se resuelven 2T2025</t>
      </text>
    </comment>
    <comment ref="N2" authorId="0" shapeId="0">
      <text>
        <t>javier.valladares:
Dejo números a capón orque había errores de actualización que se resuelven 2T2025</t>
      </text>
    </comment>
    <comment ref="P2" authorId="0" shapeId="0">
      <text>
        <t>javier.valladares:
Dejo números a capón orque había errores de actualización que se resuelven 2T2025</t>
      </text>
    </comment>
    <comment ref="R2" authorId="0" shapeId="0">
      <text>
        <t>javier.valladares:
Dejo números a capón orque había errores de actualización que se resuelven 2T2025</t>
      </text>
    </comment>
    <comment ref="A89" authorId="1" shapeId="0">
      <text>
        <t>administracionaba:
1702,20e  de la 25088 y 25131 el 05/06/25</t>
      </text>
    </comment>
    <comment ref="A132" authorId="1" shapeId="0">
      <text>
        <t>administracionaba:
1702,20e de la 25088 y 25131 el 05/06</t>
      </text>
    </comment>
    <comment ref="A225" authorId="2" shapeId="0">
      <text>
        <t>daniel.borrego:
pagago 1.682,84e el 25/08 y 3.364,68e el 02/09</t>
      </text>
    </comment>
    <comment ref="A326" authorId="3" shapeId="0">
      <text>
        <t>Ignacio Luque:
FRA de abono AB25001</t>
      </text>
    </comment>
    <comment ref="N448" authorId="4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Incluir nuevo precio
Respuesta:
    Se incluye el nuevo precio 7200 por MWp</t>
      </text>
    </comment>
    <comment ref="AB479" authorId="3" shapeId="0">
      <text>
        <t>Ignacio Luque:
Meto ya Abanca!</t>
      </text>
    </comment>
    <comment ref="AB480" authorId="3" shapeId="0">
      <text>
        <t>Ignacio Luque:
Meto ya Abanca!</t>
      </text>
    </comment>
    <comment ref="AB481" authorId="3" shapeId="0">
      <text>
        <t>Ignacio Luque:
Meto ya Abanca!</t>
      </text>
    </comment>
    <comment ref="AB482" authorId="3" shapeId="0">
      <text>
        <t>Ignacio Luque:
Meto ya Abanca!</t>
      </text>
    </comment>
    <comment ref="AB483" authorId="3" shapeId="0">
      <text>
        <t>Ignacio Luque:
Meto ya Abanca!</t>
      </text>
    </comment>
    <comment ref="AB484" authorId="3" shapeId="0">
      <text>
        <t>Ignacio Luque:
Meto ya Abanca!</t>
      </text>
    </comment>
    <comment ref="AB485" authorId="3" shapeId="0">
      <text>
        <t>Ignacio Luque:
Meto ya Abanca!</t>
      </text>
    </comment>
    <comment ref="AB486" authorId="3" shapeId="0">
      <text>
        <t>Ignacio Luque:
Meto ya Abanca!</t>
      </text>
    </comment>
    <comment ref="AB487" authorId="3" shapeId="0">
      <text>
        <t>Ignacio Luque:
Meto ya Abanca!</t>
      </text>
    </comment>
    <comment ref="AB488" authorId="3" shapeId="0">
      <text>
        <t>Ignacio Luque:
Meto ya Abanca!</t>
      </text>
    </comment>
    <comment ref="AB498" authorId="3" shapeId="0">
      <text>
        <t>Ignacio Luque:
Meto ya Abanca!</t>
      </text>
    </comment>
    <comment ref="AB499" authorId="3" shapeId="0">
      <text>
        <t>Ignacio Luque:
Meto ya Abanca!</t>
      </text>
    </comment>
    <comment ref="AB500" authorId="3" shapeId="0">
      <text>
        <t>Ignacio Luque:
Meto ya Abanca!</t>
      </text>
    </comment>
    <comment ref="AB501" authorId="3" shapeId="0">
      <text>
        <t>Ignacio Luque:
Meto ya Abanca!</t>
      </text>
    </comment>
    <comment ref="AB502" authorId="3" shapeId="0">
      <text>
        <t>Ignacio Luque:
Meto ya Abanca!</t>
      </text>
    </comment>
    <comment ref="AB503" authorId="3" shapeId="0">
      <text>
        <t>Ignacio Luque:
Meto ya Abanca!</t>
      </text>
    </comment>
    <comment ref="AB504" authorId="3" shapeId="0">
      <text>
        <t>Ignacio Luque:
Meto ya Abanca!</t>
      </text>
    </comment>
    <comment ref="AB505" authorId="3" shapeId="0">
      <text>
        <t>Ignacio Luque:
Meto ya Abanca!</t>
      </text>
    </comment>
    <comment ref="AB506" authorId="3" shapeId="0">
      <text>
        <t>Ignacio Luque:
Meto ya Abanca!</t>
      </text>
    </comment>
    <comment ref="AB507" authorId="3" shapeId="0">
      <text>
        <t>Ignacio Luque:
Meto ya Abanca!</t>
      </text>
    </comment>
    <comment ref="AB508" authorId="3" shapeId="0">
      <text>
        <t>Ignacio Luque:
Meto ya Abanca!</t>
      </text>
    </comment>
    <comment ref="AB509" authorId="3" shapeId="0">
      <text>
        <t>Ignacio Luque:
Meto ya Abanca!</t>
      </text>
    </comment>
    <comment ref="AB510" authorId="3" shapeId="0">
      <text>
        <t>Ignacio Luque:
Meto ya Abanca!</t>
      </text>
    </comment>
    <comment ref="AB511" authorId="3" shapeId="0">
      <text>
        <t>Ignacio Luque:
Meto ya Abanca!</t>
      </text>
    </comment>
    <comment ref="AB512" authorId="3" shapeId="0">
      <text>
        <t>Ignacio Luque:
Meto ya Abanca!</t>
      </text>
    </comment>
    <comment ref="AB513" authorId="3" shapeId="0">
      <text>
        <t>Ignacio Luque:
Meto ya Abanca!</t>
      </text>
    </comment>
    <comment ref="AB514" authorId="3" shapeId="0">
      <text>
        <t>Ignacio Luque:
Meto ya Abanca!</t>
      </text>
    </comment>
    <comment ref="AB515" authorId="3" shapeId="0">
      <text>
        <t>Ignacio Luque:
Meto ya Abanca!</t>
      </text>
    </comment>
    <comment ref="AB516" authorId="3" shapeId="0">
      <text>
        <t>Ignacio Luque:
Meto ya Abanca!</t>
      </text>
    </comment>
    <comment ref="AB517" authorId="3" shapeId="0">
      <text>
        <t>Ignacio Luque:
Meto ya Abanca!</t>
      </text>
    </comment>
    <comment ref="AB518" authorId="3" shapeId="0">
      <text>
        <t>Ignacio Luque:
Meto ya Abanca!</t>
      </text>
    </comment>
    <comment ref="AB519" authorId="3" shapeId="0">
      <text>
        <t>Ignacio Luque:
Meto ya Abanca!</t>
      </text>
    </comment>
    <comment ref="AB520" authorId="3" shapeId="0">
      <text>
        <t>Ignacio Luque:
Meto ya Abanca!</t>
      </text>
    </comment>
    <comment ref="AB521" authorId="3" shapeId="0">
      <text>
        <t>Ignacio Luque:
Meto ya Abanca!</t>
      </text>
    </comment>
    <comment ref="AB522" authorId="3" shapeId="0">
      <text>
        <t>Ignacio Luque:
Meto ya Abanca!</t>
      </text>
    </comment>
    <comment ref="AB523" authorId="3" shapeId="0">
      <text>
        <t>Ignacio Luque:
Meto ya Abanca!</t>
      </text>
    </comment>
    <comment ref="AB524" authorId="3" shapeId="0">
      <text>
        <t>Ignacio Luque:
Meto ya Abanca!</t>
      </text>
    </comment>
    <comment ref="AB525" authorId="3" shapeId="0">
      <text>
        <t>Ignacio Luque:
Meto ya Abanca!</t>
      </text>
    </comment>
    <comment ref="AB526" authorId="3" shapeId="0">
      <text>
        <t>Ignacio Luque:
Meto ya Abanca!</t>
      </text>
    </comment>
    <comment ref="AB527" authorId="3" shapeId="0">
      <text>
        <t>Ignacio Luque:
Meto ya Abanca!</t>
      </text>
    </comment>
    <comment ref="AB528" authorId="3" shapeId="0">
      <text>
        <t>Ignacio Luque:
Meto ya Abanca!</t>
      </text>
    </comment>
    <comment ref="AB529" authorId="3" shapeId="0">
      <text>
        <t>Ignacio Luque:
Meto ya Abanca!</t>
      </text>
    </comment>
    <comment ref="AB530" authorId="3" shapeId="0">
      <text>
        <t>Ignacio Luque:
Meto ya Abanca!</t>
      </text>
    </comment>
    <comment ref="AB531" authorId="3" shapeId="0">
      <text>
        <t>Ignacio Luque:
Meto ya Abanca!</t>
      </text>
    </comment>
    <comment ref="AB532" authorId="3" shapeId="0">
      <text>
        <t>Ignacio Luque:
Meto ya Abanca!</t>
      </text>
    </comment>
    <comment ref="AB533" authorId="3" shapeId="0">
      <text>
        <t>Ignacio Luque:
Meto ya Abanca!</t>
      </text>
    </comment>
    <comment ref="AB534" authorId="3" shapeId="0">
      <text>
        <t>Ignacio Luque:
Meto ya Abanca!</t>
      </text>
    </comment>
    <comment ref="AB535" authorId="3" shapeId="0">
      <text>
        <t>Ignacio Luque:
Meto ya Abanca!</t>
      </text>
    </comment>
    <comment ref="AB536" authorId="3" shapeId="0">
      <text>
        <t>Ignacio Luque:
Meto ya Abanca!</t>
      </text>
    </comment>
    <comment ref="AB537" authorId="3" shapeId="0">
      <text>
        <t>Ignacio Luque:
Meto ya Abanca!</t>
      </text>
    </comment>
    <comment ref="AB538" authorId="3" shapeId="0">
      <text>
        <t>Ignacio Luque:
Meto ya Abanca!</t>
      </text>
    </comment>
    <comment ref="A539" authorId="1" shapeId="0">
      <text>
        <t>administracionaba:
pagado 1.633,83e 18/11</t>
      </text>
    </comment>
    <comment ref="AB539" authorId="3" shapeId="0">
      <text>
        <t>Ignacio Luque:
Meto ya Abanca!</t>
      </text>
    </comment>
    <comment ref="AB540" authorId="3" shapeId="0">
      <text>
        <t>Ignacio Luque:
Meto ya Abanca!</t>
      </text>
    </comment>
    <comment ref="AB541" authorId="3" shapeId="0">
      <text>
        <t>Ignacio Luque:
Meto ya Abanca!</t>
      </text>
    </comment>
    <comment ref="AB542" authorId="3" shapeId="0">
      <text>
        <t>Ignacio Luque:
Meto ya Abanca!</t>
      </text>
    </comment>
    <comment ref="AB543" authorId="3" shapeId="0">
      <text>
        <t>Ignacio Luque:
Meto ya Abanca!</t>
      </text>
    </comment>
    <comment ref="AB544" authorId="3" shapeId="0">
      <text>
        <t>Ignacio Luque:
Meto ya Abanca!</t>
      </text>
    </comment>
    <comment ref="AB545" authorId="3" shapeId="0">
      <text>
        <t>Ignacio Luque:
Meto ya Abanca!</t>
      </text>
    </comment>
    <comment ref="AB546" authorId="3" shapeId="0">
      <text>
        <t>Ignacio Luque:
Meto ya Abanca!</t>
      </text>
    </comment>
    <comment ref="AB547" authorId="3" shapeId="0">
      <text>
        <t>Ignacio Luque:
Meto ya Abanca!</t>
      </text>
    </comment>
    <comment ref="AB548" authorId="3" shapeId="0">
      <text>
        <t>Ignacio Luque:
Meto ya Abanca!</t>
      </text>
    </comment>
    <comment ref="AB549" authorId="3" shapeId="0">
      <text>
        <t>Ignacio Luque:
Meto ya Abanca!</t>
      </text>
    </comment>
    <comment ref="AH550" authorId="1" shapeId="0">
      <text>
        <t xml:space="preserve">administracionaba:
Aplicado el 50% de IVA
</t>
      </text>
    </comment>
    <comment ref="A626" authorId="1" shapeId="0">
      <text>
        <t>administracionaba:
pagado 5,13e 18/11</t>
      </text>
    </comment>
    <comment ref="AB630" authorId="3" shapeId="0">
      <text>
        <t>Ignacio Luque:
Meto ya Abanca!</t>
      </text>
    </comment>
    <comment ref="AB631" authorId="3" shapeId="0">
      <text>
        <t>Ignacio Luque:
Meto ya Abanca!</t>
      </text>
    </comment>
    <comment ref="AB646" authorId="3" shapeId="0">
      <text>
        <t>Ignacio Luque:
Meto ya Abanca!</t>
      </text>
    </comment>
    <comment ref="AB647" authorId="3" shapeId="0">
      <text>
        <t>Ignacio Luque:
Meto ya Abanca!</t>
      </text>
    </comment>
    <comment ref="AB648" authorId="3" shapeId="0">
      <text>
        <t>Ignacio Luque:
Meto ya Abanca!</t>
      </text>
    </comment>
    <comment ref="AB649" authorId="3" shapeId="0">
      <text>
        <t>Ignacio Luque:
Meto ya Abanca!</t>
      </text>
    </comment>
    <comment ref="AB650" authorId="3" shapeId="0">
      <text>
        <t>Ignacio Luque:
Meto ya Abanca!</t>
      </text>
    </comment>
    <comment ref="AB651" authorId="3" shapeId="0">
      <text>
        <t>Ignacio Luque:
Meto ya Abanca!</t>
      </text>
    </comment>
    <comment ref="AB652" authorId="3" shapeId="0">
      <text>
        <t>Ignacio Luque:
Meto ya Abanca!</t>
      </text>
    </comment>
    <comment ref="AB653" authorId="3" shapeId="0">
      <text>
        <t>Ignacio Luque:
Meto ya Abanca!</t>
      </text>
    </comment>
    <comment ref="AB654" authorId="3" shapeId="0">
      <text>
        <t>Ignacio Luque:
Meto ya Abanca!</t>
      </text>
    </comment>
    <comment ref="AB655" authorId="3" shapeId="0">
      <text>
        <t>Ignacio Luque:
Meto ya Abanca!</t>
      </text>
    </comment>
    <comment ref="AB656" authorId="3" shapeId="0">
      <text>
        <t>Ignacio Luque:
Meto ya Abanca!</t>
      </text>
    </comment>
    <comment ref="AB657" authorId="3" shapeId="0">
      <text>
        <t>Ignacio Luque:
Meto ya Abanca!</t>
      </text>
    </comment>
    <comment ref="AB658" authorId="3" shapeId="0">
      <text>
        <t>Ignacio Luque:
Meto ya Abanca!</t>
      </text>
    </comment>
    <comment ref="AB659" authorId="3" shapeId="0">
      <text>
        <t>Ignacio Luque:
Meto ya Abanca!</t>
      </text>
    </comment>
    <comment ref="AB660" authorId="3" shapeId="0">
      <text>
        <t>Ignacio Luque:
Meto ya Abanca!</t>
      </text>
    </comment>
    <comment ref="AB661" authorId="3" shapeId="0">
      <text>
        <t>Ignacio Luque:
Meto ya Abanca!</t>
      </text>
    </comment>
    <comment ref="AB662" authorId="3" shapeId="0">
      <text>
        <t>Ignacio Luque:
Meto ya Abanca!</t>
      </text>
    </comment>
    <comment ref="AB663" authorId="3" shapeId="0">
      <text>
        <t>Ignacio Luque:
Meto ya Abanca!</t>
      </text>
    </comment>
    <comment ref="AB664" authorId="3" shapeId="0">
      <text>
        <t>Ignacio Luque:
Meto ya Abanca!</t>
      </text>
    </comment>
    <comment ref="AB665" authorId="3" shapeId="0">
      <text>
        <t>Ignacio Luque:
Meto ya Abanca!</t>
      </text>
    </comment>
    <comment ref="AB666" authorId="3" shapeId="0">
      <text>
        <t>Ignacio Luque:
Meto ya Abanca!</t>
      </text>
    </comment>
    <comment ref="AB667" authorId="3" shapeId="0">
      <text>
        <t>Ignacio Luque:
Meto ya Abanca!</t>
      </text>
    </comment>
    <comment ref="AB668" authorId="3" shapeId="0">
      <text>
        <t>Ignacio Luque:
Meto ya Abanca!</t>
      </text>
    </comment>
    <comment ref="AB669" authorId="3" shapeId="0">
      <text>
        <t>Ignacio Luque:
Meto ya Abanca!</t>
      </text>
    </comment>
    <comment ref="AB670" authorId="3" shapeId="0">
      <text>
        <t>Ignacio Luque:
Meto ya Abanca!</t>
      </text>
    </comment>
    <comment ref="AB671" authorId="3" shapeId="0">
      <text>
        <t>Ignacio Luque:
Meto ya Abanca!</t>
      </text>
    </comment>
    <comment ref="AB672" authorId="3" shapeId="0">
      <text>
        <t>Ignacio Luque:
Meto ya Abanca!</t>
      </text>
    </comment>
    <comment ref="AB673" authorId="3" shapeId="0">
      <text>
        <t>Ignacio Luque:
Meto ya Abanca!</t>
      </text>
    </comment>
    <comment ref="AB674" authorId="3" shapeId="0">
      <text>
        <t>Ignacio Luque:
Meto ya Abanca!</t>
      </text>
    </comment>
    <comment ref="AB675" authorId="3" shapeId="0">
      <text>
        <t>Ignacio Luque:
Meto ya Abanca!</t>
      </text>
    </comment>
    <comment ref="AB676" authorId="3" shapeId="0">
      <text>
        <t>Ignacio Luque:
Meto ya Abanca!</t>
      </text>
    </comment>
    <comment ref="AB677" authorId="3" shapeId="0">
      <text>
        <t>Ignacio Luque:
Meto ya Abanca!</t>
      </text>
    </comment>
    <comment ref="AB678" authorId="3" shapeId="0">
      <text>
        <t>Ignacio Luque:
Meto ya Abanca!</t>
      </text>
    </comment>
    <comment ref="AB679" authorId="3" shapeId="0">
      <text>
        <t>Ignacio Luque:
Meto ya Abanca!</t>
      </text>
    </comment>
    <comment ref="AB680" authorId="3" shapeId="0">
      <text>
        <t>Ignacio Luque:
Meto ya Abanca!</t>
      </text>
    </comment>
    <comment ref="AB681" authorId="3" shapeId="0">
      <text>
        <t>Ignacio Luque:
Meto ya Abanca!</t>
      </text>
    </comment>
    <comment ref="AB682" authorId="3" shapeId="0">
      <text>
        <t>Ignacio Luque:
Meto ya Abanca!</t>
      </text>
    </comment>
    <comment ref="AB683" authorId="3" shapeId="0">
      <text>
        <t>Ignacio Luque:
Meto ya Abanca!</t>
      </text>
    </comment>
    <comment ref="AB684" authorId="3" shapeId="0">
      <text>
        <t>Ignacio Luque:
Meto ya Abanca!</t>
      </text>
    </comment>
    <comment ref="AB685" authorId="3" shapeId="0">
      <text>
        <t>Ignacio Luque:
Meto ya Abanca!</t>
      </text>
    </comment>
    <comment ref="AB686" authorId="3" shapeId="0">
      <text>
        <t>Ignacio Luque:
Meto ya Abanca!</t>
      </text>
    </comment>
    <comment ref="AB687" authorId="3" shapeId="0">
      <text>
        <t>Ignacio Luque:
Meto ya Abanca!</t>
      </text>
    </comment>
    <comment ref="AB688" authorId="3" shapeId="0">
      <text>
        <t>Ignacio Luque:
Meto ya Abanca!</t>
      </text>
    </comment>
    <comment ref="AB689" authorId="3" shapeId="0">
      <text>
        <t>Ignacio Luque:
Meto ya Abanca!</t>
      </text>
    </comment>
    <comment ref="AB690" authorId="3" shapeId="0">
      <text>
        <t>Ignacio Luque:
Meto ya Abanca!</t>
      </text>
    </comment>
    <comment ref="AB691" authorId="3" shapeId="0">
      <text>
        <t>Ignacio Luque:
Meto ya Abanca!</t>
      </text>
    </comment>
    <comment ref="AB692" authorId="3" shapeId="0">
      <text>
        <t>Ignacio Luque:
Meto ya Abanca!</t>
      </text>
    </comment>
    <comment ref="AB694" authorId="3" shapeId="0">
      <text>
        <t>Ignacio Luque:
Meto ya Abanca!</t>
      </text>
    </comment>
    <comment ref="AB695" authorId="3" shapeId="0">
      <text>
        <t>Ignacio Luque:
Meto ya Abanca!</t>
      </text>
    </comment>
    <comment ref="AB699" authorId="3" shapeId="0">
      <text>
        <t>Ignacio Luque:
Meto ya Abanca!</t>
      </text>
    </comment>
    <comment ref="AB700" authorId="3" shapeId="0">
      <text>
        <t>Ignacio Luque:
Meto ya Abanca!</t>
      </text>
    </comment>
    <comment ref="AB701" authorId="3" shapeId="0">
      <text>
        <t>Ignacio Luque:
Meto ya Abanca!</t>
      </text>
    </comment>
    <comment ref="AB702" authorId="3" shapeId="0">
      <text>
        <t>Ignacio Luque:
Meto ya Abanca!</t>
      </text>
    </comment>
    <comment ref="AB703" authorId="3" shapeId="0">
      <text>
        <t>Ignacio Luque:
Meto ya Abanca!</t>
      </text>
    </comment>
    <comment ref="AB704" authorId="3" shapeId="0">
      <text>
        <t>Ignacio Luque:
Meto ya Abanca!</t>
      </text>
    </comment>
    <comment ref="AB705" authorId="3" shapeId="0">
      <text>
        <t>Ignacio Luque:
Meto ya Abanca!</t>
      </text>
    </comment>
    <comment ref="T709" authorId="1" shapeId="0">
      <text>
        <t>administracionaba:
62 intervenciones en remoto * 1/4 h por cada intervención * €/h ingeniero</t>
      </text>
    </comment>
    <comment ref="A738" authorId="3" shapeId="0">
      <text>
        <t>Ignacio Luque:
Nota de abono 17/04/23</t>
      </text>
    </comment>
    <comment ref="A742" authorId="5" shapeId="0">
      <text>
        <t>ILC (aBalados):
Nota de abono 01/06/23</t>
      </text>
    </comment>
    <comment ref="R812" authorId="0" shapeId="0">
      <text>
        <t>javier.valladares:
se quita fórmula por error en 2016. Se modifican valores en tabla de tarifas</t>
      </text>
    </comment>
    <comment ref="M838" authorId="0" shapeId="0">
      <text>
        <t>javier.valladares:
Para que no sea negativa, lo divido en 1º y 2º trimestre</t>
      </text>
    </comment>
    <comment ref="A864" authorId="0" shapeId="0">
      <text>
        <t>javier.valladares:
Se emite a finales de trimetre</t>
      </text>
    </comment>
    <comment ref="B919" authorId="5" shapeId="0">
      <text>
        <t>ILC (aBalados):
Se retrasa en demasía la modificación del alcance y contrato. Emitimos FRA mientras tanto y ya hacemos cuentas a la firma de la DOA.</t>
      </text>
    </comment>
    <comment ref="R920" authorId="0" shapeId="0">
      <text>
        <t>javier.valladares:
se quita fórmula por error en 2016. Se modifican valores en tabla de tarifas</t>
      </text>
    </comment>
    <comment ref="B963" authorId="0" shapeId="0">
      <text>
        <t>javier.valladares:
Pendiente de confirmación de contrato?</t>
      </text>
    </comment>
    <comment ref="A965" authorId="1" shapeId="0">
      <text>
        <t>administracionaba:
pagado 50%</t>
      </text>
    </comment>
    <comment ref="A971" authorId="5" shapeId="0">
      <text>
        <t>ILC (aBalados):
Nota de abono 17/10/23</t>
      </text>
    </comment>
    <comment ref="A1208" authorId="3" shapeId="0">
      <text>
        <t xml:space="preserve">Ignacio Luque:
Sacamos abono y nueva factura, a fecha correcta.
</t>
      </text>
    </comment>
    <comment ref="A1214" authorId="3" shapeId="0">
      <text>
        <t>Ignacio Luque:
Error; se sacó FRA abono...</t>
      </text>
    </comment>
    <comment ref="I1242" authorId="3" shapeId="0">
      <text>
        <t>Ignacio Luque:
Correo Holly Sun 
ma. 07/06/2022 5:31
Nos piden cambio dirección fiscal.</t>
      </text>
    </comment>
    <comment ref="I1311" authorId="3" shapeId="0">
      <text>
        <t>Ignacio Luque:
Estaba mal. No es "31", sino "3 1".
Y es en pozuelo.</t>
      </text>
    </comment>
    <comment ref="A1322" authorId="3" shapeId="0">
      <text>
        <t>Ignacio Luque:
FRA sale más tarde por recibir CIF el 4/oct.</t>
      </text>
    </comment>
    <comment ref="AC1363" authorId="3" shapeId="0">
      <text>
        <t>Ignacio Luque:
Descontado del precio de compra en la nueva</t>
      </text>
    </comment>
    <comment ref="A1368" authorId="3" shapeId="0">
      <text>
        <t>Ignacio Luque:
Correo 09/01/2023 10:32
Nos piden separar FRA en 2 conceptos.</t>
      </text>
    </comment>
    <comment ref="A1409" authorId="3" shapeId="0">
      <text>
        <t>Ignacio Luque:
Correo 09/01/2023 10:32
Nos piden separar FRA en 2 conceptos.</t>
      </text>
    </comment>
  </commentList>
</comments>
</file>

<file path=xl/comments/comment10.xml><?xml version="1.0" encoding="utf-8"?>
<comments xmlns="http://schemas.openxmlformats.org/spreadsheetml/2006/main">
  <authors>
    <author>Ignacio Luque</author>
  </authors>
  <commentList>
    <comment ref="AB21" authorId="0" shapeId="0">
      <text>
        <t>Ignacio Luque:
Meto ya Abanca!</t>
      </text>
    </comment>
  </commentList>
</comments>
</file>

<file path=xl/comments/comment11.xml><?xml version="1.0" encoding="utf-8"?>
<comments xmlns="http://schemas.openxmlformats.org/spreadsheetml/2006/main">
  <authors>
    <author>Ignacio Luque</author>
  </authors>
  <commentList>
    <comment ref="AB24" authorId="0" shapeId="0">
      <text>
        <t>Ignacio Luque:
Meto ya Abanca!</t>
      </text>
    </comment>
  </commentList>
</comments>
</file>

<file path=xl/comments/comment12.xml><?xml version="1.0" encoding="utf-8"?>
<comments xmlns="http://schemas.openxmlformats.org/spreadsheetml/2006/main">
  <authors>
    <author>Ignacio Luque</author>
    <author>daniel.borrego</author>
    <author>administracionaba</author>
  </authors>
  <commentList>
    <comment ref="AB2" authorId="0" shapeId="0">
      <text>
        <t>Ignacio Luque:
Meto ya Abanca!</t>
      </text>
    </comment>
    <comment ref="AB3" authorId="0" shapeId="0">
      <text>
        <t>Ignacio Luque:
Meto ya Abanca!</t>
      </text>
    </comment>
    <comment ref="AB4" authorId="0" shapeId="0">
      <text>
        <t>Ignacio Luque:
Meto ya Abanca!</t>
      </text>
    </comment>
    <comment ref="AB5" authorId="0" shapeId="0">
      <text>
        <t>Ignacio Luque:
Meto ya Abanca!</t>
      </text>
    </comment>
    <comment ref="A6" authorId="1" shapeId="0">
      <text>
        <t>daniel.borrego:
26,84e del 12/06
53,65 del 31/07</t>
      </text>
    </comment>
    <comment ref="AB6" authorId="0" shapeId="0">
      <text>
        <t>Ignacio Luque:
Meto ya Abanca!</t>
      </text>
    </comment>
    <comment ref="AB7" authorId="0" shapeId="0">
      <text>
        <t>Ignacio Luque:
Meto ya Abanca!</t>
      </text>
    </comment>
    <comment ref="AB8" authorId="0" shapeId="0">
      <text>
        <t>Ignacio Luque:
Meto ya Abanca!</t>
      </text>
    </comment>
    <comment ref="AB9" authorId="0" shapeId="0">
      <text>
        <t>Ignacio Luque:
Meto ya Abanca!</t>
      </text>
    </comment>
    <comment ref="AB10" authorId="0" shapeId="0">
      <text>
        <t>Ignacio Luque:
Meto ya Abanca!</t>
      </text>
    </comment>
    <comment ref="AB11" authorId="0" shapeId="0">
      <text>
        <t>Ignacio Luque:
Meto ya Abanca!</t>
      </text>
    </comment>
    <comment ref="AB12" authorId="0" shapeId="0">
      <text>
        <t>Ignacio Luque:
Meto ya Abanca!</t>
      </text>
    </comment>
    <comment ref="AB13" authorId="0" shapeId="0">
      <text>
        <t>Ignacio Luque:
Meto ya Abanca!</t>
      </text>
    </comment>
    <comment ref="AB14" authorId="0" shapeId="0">
      <text>
        <t>Ignacio Luque:
Meto ya Abanca!</t>
      </text>
    </comment>
    <comment ref="AB15" authorId="0" shapeId="0">
      <text>
        <t>Ignacio Luque:
Meto ya Abanca!</t>
      </text>
    </comment>
    <comment ref="AB16" authorId="0" shapeId="0">
      <text>
        <t>Ignacio Luque:
Meto ya Abanca!</t>
      </text>
    </comment>
    <comment ref="AB17" authorId="0" shapeId="0">
      <text>
        <t>Ignacio Luque:
Meto ya Abanca!</t>
      </text>
    </comment>
    <comment ref="AB18" authorId="0" shapeId="0">
      <text>
        <t>Ignacio Luque:
Meto ya Abanca!</t>
      </text>
    </comment>
    <comment ref="AB19" authorId="0" shapeId="0">
      <text>
        <t>Ignacio Luque:
Meto ya Abanca!</t>
      </text>
    </comment>
    <comment ref="AB20" authorId="0" shapeId="0">
      <text>
        <t>Ignacio Luque:
Meto ya Abanca!</t>
      </text>
    </comment>
    <comment ref="AB21" authorId="0" shapeId="0">
      <text>
        <t>Ignacio Luque:
Meto ya Abanca!</t>
      </text>
    </comment>
    <comment ref="AB22" authorId="0" shapeId="0">
      <text>
        <t>Ignacio Luque:
Meto ya Abanca!</t>
      </text>
    </comment>
    <comment ref="AB23" authorId="0" shapeId="0">
      <text>
        <t>Ignacio Luque:
Meto ya Abanca!</t>
      </text>
    </comment>
    <comment ref="AB24" authorId="0" shapeId="0">
      <text>
        <t>Ignacio Luque:
Meto ya Abanca!</t>
      </text>
    </comment>
    <comment ref="AB25" authorId="0" shapeId="0">
      <text>
        <t>Ignacio Luque:
Meto ya Abanca!</t>
      </text>
    </comment>
    <comment ref="AB26" authorId="0" shapeId="0">
      <text>
        <t>Ignacio Luque:
Meto ya Abanca!</t>
      </text>
    </comment>
    <comment ref="AB27" authorId="0" shapeId="0">
      <text>
        <t>Ignacio Luque:
Meto ya Abanca!</t>
      </text>
    </comment>
    <comment ref="AB28" authorId="0" shapeId="0">
      <text>
        <t>Ignacio Luque:
Meto ya Abanca!</t>
      </text>
    </comment>
    <comment ref="AB29" authorId="0" shapeId="0">
      <text>
        <t>Ignacio Luque:
Meto ya Abanca!</t>
      </text>
    </comment>
    <comment ref="AB30" authorId="0" shapeId="0">
      <text>
        <t>Ignacio Luque:
Meto ya Abanca!</t>
      </text>
    </comment>
    <comment ref="AB31" authorId="0" shapeId="0">
      <text>
        <t>Ignacio Luque:
Meto ya Abanca!</t>
      </text>
    </comment>
    <comment ref="AB32" authorId="0" shapeId="0">
      <text>
        <t>Ignacio Luque:
Meto ya Abanca!</t>
      </text>
    </comment>
    <comment ref="AB33" authorId="0" shapeId="0">
      <text>
        <t>Ignacio Luque:
Meto ya Abanca!</t>
      </text>
    </comment>
    <comment ref="AB34" authorId="0" shapeId="0">
      <text>
        <t>Ignacio Luque:
Meto ya Abanca!</t>
      </text>
    </comment>
    <comment ref="AB35" authorId="0" shapeId="0">
      <text>
        <t>Ignacio Luque:
Meto ya Abanca!</t>
      </text>
    </comment>
    <comment ref="AB36" authorId="0" shapeId="0">
      <text>
        <t>Ignacio Luque:
Meto ya Abanca!</t>
      </text>
    </comment>
    <comment ref="AB37" authorId="0" shapeId="0">
      <text>
        <t>Ignacio Luque:
Meto ya Abanca!</t>
      </text>
    </comment>
    <comment ref="AB38" authorId="0" shapeId="0">
      <text>
        <t>Ignacio Luque:
Meto ya Abanca!</t>
      </text>
    </comment>
    <comment ref="AB39" authorId="0" shapeId="0">
      <text>
        <t>Ignacio Luque:
Meto ya Abanca!</t>
      </text>
    </comment>
    <comment ref="AB40" authorId="0" shapeId="0">
      <text>
        <t>Ignacio Luque:
Meto ya Abanca!</t>
      </text>
    </comment>
    <comment ref="AB41" authorId="0" shapeId="0">
      <text>
        <t>Ignacio Luque:
Meto ya Abanca!</t>
      </text>
    </comment>
    <comment ref="AB42" authorId="0" shapeId="0">
      <text>
        <t>Ignacio Luque:
Meto ya Abanca!</t>
      </text>
    </comment>
    <comment ref="AB43" authorId="0" shapeId="0">
      <text>
        <t>Ignacio Luque:
Meto ya Abanca!</t>
      </text>
    </comment>
    <comment ref="AB44" authorId="0" shapeId="0">
      <text>
        <t>Ignacio Luque:
Meto ya Abanca!</t>
      </text>
    </comment>
    <comment ref="AB45" authorId="0" shapeId="0">
      <text>
        <t>Ignacio Luque:
Meto ya Abanca!</t>
      </text>
    </comment>
    <comment ref="AB46" authorId="0" shapeId="0">
      <text>
        <t>Ignacio Luque:
Meto ya Abanca!</t>
      </text>
    </comment>
    <comment ref="AB47" authorId="0" shapeId="0">
      <text>
        <t>Ignacio Luque:
Meto ya Abanca!</t>
      </text>
    </comment>
    <comment ref="AB48" authorId="0" shapeId="0">
      <text>
        <t>Ignacio Luque:
Meto ya Abanca!</t>
      </text>
    </comment>
    <comment ref="AB49" authorId="0" shapeId="0">
      <text>
        <t>Ignacio Luque:
Meto ya Abanca!</t>
      </text>
    </comment>
    <comment ref="AB50" authorId="0" shapeId="0">
      <text>
        <t>Ignacio Luque:
Meto ya Abanca!</t>
      </text>
    </comment>
    <comment ref="AB65" authorId="0" shapeId="0">
      <text>
        <t>Ignacio Luque:
Meto ya Abanca!</t>
      </text>
    </comment>
    <comment ref="AB66" authorId="0" shapeId="0">
      <text>
        <t>Ignacio Luque:
Meto ya Abanca!</t>
      </text>
    </comment>
    <comment ref="AB67" authorId="0" shapeId="0">
      <text>
        <t>Ignacio Luque:
Meto ya Abanca!</t>
      </text>
    </comment>
    <comment ref="AB68" authorId="0" shapeId="0">
      <text>
        <t>Ignacio Luque:
Meto ya Abanca!</t>
      </text>
    </comment>
    <comment ref="AB69" authorId="0" shapeId="0">
      <text>
        <t>Ignacio Luque:
Meto ya Abanca!</t>
      </text>
    </comment>
    <comment ref="AB70" authorId="0" shapeId="0">
      <text>
        <t>Ignacio Luque:
Meto ya Abanca!</t>
      </text>
    </comment>
    <comment ref="AB71" authorId="0" shapeId="0">
      <text>
        <t>Ignacio Luque:
Meto ya Abanca!</t>
      </text>
    </comment>
    <comment ref="AB72" authorId="0" shapeId="0">
      <text>
        <t>Ignacio Luque:
Meto ya Abanca!</t>
      </text>
    </comment>
    <comment ref="AB73" authorId="0" shapeId="0">
      <text>
        <t>Ignacio Luque:
Meto ya Abanca!</t>
      </text>
    </comment>
    <comment ref="AB74" authorId="0" shapeId="0">
      <text>
        <t>Ignacio Luque:
Meto ya Abanca!</t>
      </text>
    </comment>
    <comment ref="AB75" authorId="0" shapeId="0">
      <text>
        <t>Ignacio Luque:
Meto ya Abanca!</t>
      </text>
    </comment>
    <comment ref="AB76" authorId="0" shapeId="0">
      <text>
        <t>Ignacio Luque:
Meto ya Abanca!</t>
      </text>
    </comment>
    <comment ref="AB77" authorId="0" shapeId="0">
      <text>
        <t>Ignacio Luque:
Meto ya Abanca!</t>
      </text>
    </comment>
    <comment ref="AB78" authorId="0" shapeId="0">
      <text>
        <t>Ignacio Luque:
Meto ya Abanca!</t>
      </text>
    </comment>
    <comment ref="AB79" authorId="0" shapeId="0">
      <text>
        <t>Ignacio Luque:
Meto ya Abanca!</t>
      </text>
    </comment>
    <comment ref="AB80" authorId="0" shapeId="0">
      <text>
        <t>Ignacio Luque:
Meto ya Abanca!</t>
      </text>
    </comment>
    <comment ref="AB81" authorId="0" shapeId="0">
      <text>
        <t>Ignacio Luque:
Meto ya Abanca!</t>
      </text>
    </comment>
    <comment ref="AB82" authorId="0" shapeId="0">
      <text>
        <t>Ignacio Luque:
Meto ya Abanca!</t>
      </text>
    </comment>
    <comment ref="AB83" authorId="0" shapeId="0">
      <text>
        <t>Ignacio Luque:
Meto ya Abanca!</t>
      </text>
    </comment>
    <comment ref="AB84" authorId="0" shapeId="0">
      <text>
        <t>Ignacio Luque:
Meto ya Abanca!</t>
      </text>
    </comment>
    <comment ref="AB85" authorId="0" shapeId="0">
      <text>
        <t>Ignacio Luque:
Meto ya Abanca!</t>
      </text>
    </comment>
    <comment ref="AB86" authorId="0" shapeId="0">
      <text>
        <t>Ignacio Luque:
Meto ya Abanca!</t>
      </text>
    </comment>
    <comment ref="AB87" authorId="0" shapeId="0">
      <text>
        <t>Ignacio Luque:
Meto ya Abanca!</t>
      </text>
    </comment>
    <comment ref="AB88" authorId="0" shapeId="0">
      <text>
        <t>Ignacio Luque:
Meto ya Abanca!</t>
      </text>
    </comment>
    <comment ref="AB89" authorId="0" shapeId="0">
      <text>
        <t>Ignacio Luque:
Meto ya Abanca!</t>
      </text>
    </comment>
    <comment ref="AB90" authorId="0" shapeId="0">
      <text>
        <t>Ignacio Luque:
Meto ya Abanca!</t>
      </text>
    </comment>
    <comment ref="AB91" authorId="0" shapeId="0">
      <text>
        <t>Ignacio Luque:
Meto ya Abanca!</t>
      </text>
    </comment>
    <comment ref="AB92" authorId="0" shapeId="0">
      <text>
        <t>Ignacio Luque:
Meto ya Abanca!</t>
      </text>
    </comment>
    <comment ref="AB93" authorId="0" shapeId="0">
      <text>
        <t>Ignacio Luque:
Meto ya Abanca!</t>
      </text>
    </comment>
    <comment ref="AB94" authorId="0" shapeId="0">
      <text>
        <t>Ignacio Luque:
Meto ya Abanca!</t>
      </text>
    </comment>
    <comment ref="AB95" authorId="0" shapeId="0">
      <text>
        <t>Ignacio Luque:
Meto ya Abanca!</t>
      </text>
    </comment>
    <comment ref="AB96" authorId="0" shapeId="0">
      <text>
        <t>Ignacio Luque:
Meto ya Abanca!</t>
      </text>
    </comment>
    <comment ref="AB97" authorId="0" shapeId="0">
      <text>
        <t>Ignacio Luque:
Meto ya Abanca!</t>
      </text>
    </comment>
    <comment ref="AB98" authorId="0" shapeId="0">
      <text>
        <t>Ignacio Luque:
Meto ya Abanca!</t>
      </text>
    </comment>
    <comment ref="AB99" authorId="0" shapeId="0">
      <text>
        <t>Ignacio Luque:
Meto ya Abanca!</t>
      </text>
    </comment>
    <comment ref="AB100" authorId="0" shapeId="0">
      <text>
        <t>Ignacio Luque:
Meto ya Abanca!</t>
      </text>
    </comment>
    <comment ref="AB101" authorId="0" shapeId="0">
      <text>
        <t>Ignacio Luque:
Meto ya Abanca!</t>
      </text>
    </comment>
    <comment ref="AB102" authorId="0" shapeId="0">
      <text>
        <t>Ignacio Luque:
Meto ya Abanca!</t>
      </text>
    </comment>
    <comment ref="A103" authorId="2" shapeId="0">
      <text>
        <t>administracionaba:
pagado 23,93e 18/11</t>
      </text>
    </comment>
    <comment ref="AB103" authorId="0" shapeId="0">
      <text>
        <t>Ignacio Luque:
Meto ya Abanca!</t>
      </text>
    </comment>
    <comment ref="AB104" authorId="0" shapeId="0">
      <text>
        <t>Ignacio Luque:
Meto ya Abanca!</t>
      </text>
    </comment>
    <comment ref="AB105" authorId="0" shapeId="0">
      <text>
        <t>Ignacio Luque:
Meto ya Abanca!</t>
      </text>
    </comment>
    <comment ref="AB106" authorId="0" shapeId="0">
      <text>
        <t>Ignacio Luque:
Meto ya Abanca!</t>
      </text>
    </comment>
    <comment ref="AB107" authorId="0" shapeId="0">
      <text>
        <t>Ignacio Luque:
Meto ya Abanca!</t>
      </text>
    </comment>
    <comment ref="AB108" authorId="0" shapeId="0">
      <text>
        <t>Ignacio Luque:
Meto ya Abanca!</t>
      </text>
    </comment>
    <comment ref="AB109" authorId="0" shapeId="0">
      <text>
        <t>Ignacio Luque:
Meto ya Abanca!</t>
      </text>
    </comment>
    <comment ref="AB110" authorId="0" shapeId="0">
      <text>
        <t>Ignacio Luque:
Meto ya Abanca!</t>
      </text>
    </comment>
    <comment ref="AB111" authorId="0" shapeId="0">
      <text>
        <t>Ignacio Luque:
Meto ya Abanca!</t>
      </text>
    </comment>
    <comment ref="AB112" authorId="0" shapeId="0">
      <text>
        <t>Ignacio Luque:
Meto ya Abanca!</t>
      </text>
    </comment>
    <comment ref="AB113" authorId="0" shapeId="0">
      <text>
        <t>Ignacio Luque:
Meto ya Abanca!</t>
      </text>
    </comment>
    <comment ref="AB114" authorId="0" shapeId="0">
      <text>
        <t>Ignacio Luque:
Meto ya Abanca!</t>
      </text>
    </comment>
    <comment ref="AB115" authorId="0" shapeId="0">
      <text>
        <t>Ignacio Luque:
Meto ya Abanca!</t>
      </text>
    </comment>
    <comment ref="AB116" authorId="0" shapeId="0">
      <text>
        <t>Ignacio Luque:
Meto ya Abanca!</t>
      </text>
    </comment>
    <comment ref="AB117" authorId="0" shapeId="0">
      <text>
        <t>Ignacio Luque:
Meto ya Abanca!</t>
      </text>
    </comment>
    <comment ref="AB118" authorId="0" shapeId="0">
      <text>
        <t>Ignacio Luque:
Meto ya Abanca!</t>
      </text>
    </comment>
  </commentList>
</comments>
</file>

<file path=xl/comments/comment13.xml><?xml version="1.0" encoding="utf-8"?>
<comments xmlns="http://schemas.openxmlformats.org/spreadsheetml/2006/main">
  <authors>
    <author>tc={08400583-B52E-47D6-ADF5-DCF483DAF2C7}</author>
    <author>javier.valladares</author>
  </authors>
  <commentList>
    <comment ref="A5" authorId="0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facturra del 2T consideraba los n´ñumeros del 1T y eran diferentes. Siguiendo el cuadro de amortización, hacemos el ajuste del 3T para que 2T+3T sumen lo mismo y no enfollonamos más
Respuesta:
    La diferencia de intereses pagados de más eran 17,55 EUR. Bajo los intereses en el 3T y subo el capital en ese importe; asi, queda todo cuadrado en los dos trimestres</t>
      </text>
    </comment>
    <comment ref="A21" authorId="1" shapeId="0">
      <text>
        <t>javier.valladares:
Archivo de cálculo en:
\\192.168.0.240\Piquito Ole\02 - Documentos legales\02 - Contratos</t>
      </text>
    </comment>
  </commentList>
</comments>
</file>

<file path=xl/comments/comment14.xml><?xml version="1.0" encoding="utf-8"?>
<comments xmlns="http://schemas.openxmlformats.org/spreadsheetml/2006/main">
  <authors>
    <author>Ignacio Luque</author>
    <author>ILC (aBalados)</author>
  </authors>
  <commentList>
    <comment ref="AB2" authorId="0" shapeId="0">
      <text>
        <t>Ignacio Luque:
Meto ya Abanca!</t>
      </text>
    </comment>
    <comment ref="AB3" authorId="0" shapeId="0">
      <text>
        <t>Ignacio Luque:
Meto ya Abanca!</t>
      </text>
    </comment>
    <comment ref="AB4" authorId="0" shapeId="0">
      <text>
        <t>Ignacio Luque:
Meto ya Abanca!</t>
      </text>
    </comment>
    <comment ref="P27" authorId="1" shapeId="0">
      <text>
        <t>ILC (aBalados):
Horas * tarifa
Acreditación inicial + seguimiento/coordinación camiones</t>
      </text>
    </comment>
    <comment ref="T27" authorId="1" shapeId="0">
      <text>
        <t>ILC (aBalados):
Sinergia; aprovechamos visita para otros asuntos, pero hacemos acto de presencia.</t>
      </text>
    </comment>
    <comment ref="X29" authorId="0" shapeId="0">
      <text>
        <t>Ignacio Luque:
Coste transporte
Coste recepción
MO manipulación (sin torito)
Coste palets</t>
      </text>
    </comment>
    <comment ref="AB30" authorId="0" shapeId="0">
      <text>
        <t>Ignacio Luque:
Meto ya Abanca!</t>
      </text>
    </comment>
  </commentList>
</comments>
</file>

<file path=xl/comments/comment15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B18" authorId="0" shapeId="0">
      <text>
        <t>Katja Kaiser:
Solar Photo Collect
1400/5991,8</t>
      </text>
    </comment>
    <comment ref="C18" authorId="1" shapeId="0">
      <text>
        <t>JVR:
Aplicable desde 01.01.2012
(tarifa única para el conjunto de proyectos)</t>
      </text>
    </comment>
    <comment ref="F18" authorId="1" shapeId="0">
      <text>
        <t>JVR:
Aplicable desde 01.01.2012</t>
      </text>
    </comment>
    <comment ref="I18" authorId="1" shapeId="0">
      <text>
        <t>JVR:
Aplicable desde 01.01.2012</t>
      </text>
    </comment>
  </commentList>
</comments>
</file>

<file path=xl/comments/comment16.xml><?xml version="1.0" encoding="utf-8"?>
<comments xmlns="http://schemas.openxmlformats.org/spreadsheetml/2006/main">
  <authors>
    <author>Ignacio Luque</author>
    <author>JVR</author>
  </authors>
  <commentList>
    <comment ref="A1" authorId="0" shapeId="0">
      <text>
        <t>Ignacio Luque:
En salmón se marcan los campos requeridos para Facturantia</t>
      </text>
    </comment>
    <comment ref="Z1" authorId="0" shapeId="0">
      <text>
        <t>Ignacio Luque:
Fecha en la que se apunta la cuenta corriente.
En caso de cambio, actualizar y señalar de alguna forma</t>
      </text>
    </comment>
    <comment ref="A44" authorId="0" shapeId="0">
      <text>
        <t>Ignacio Luque:
Amarillo=Falta meter banco</t>
      </text>
    </comment>
    <comment ref="A51" authorId="0" shapeId="0">
      <text>
        <t>Ignacio Luque:
Falta banco y firma digital (Jesús)</t>
      </text>
    </comment>
    <comment ref="E53" authorId="1" shapeId="0">
      <text>
        <t>JVR:
Se factura el doble por aBalados Management. A AP Asesores, se le pasa una cuarta parte.</t>
      </text>
    </comment>
    <comment ref="E85" authorId="1" shapeId="0">
      <text>
        <t>JVR:
Se factura el doble por aBalados Management. A AP Asesores, se le pasa una cuarta parte.</t>
      </text>
    </comment>
    <comment ref="E86" authorId="1" shapeId="0">
      <text>
        <t>JVR:
Se factura el doble por aBalados Management. A AP Asesores, se le pasa una cuarta parte.</t>
      </text>
    </comment>
    <comment ref="E87" authorId="1" shapeId="0">
      <text>
        <t>JVR:
Se factura el doble por aBalados Management. A AP Asesores, se le pasa una cuarta parte.</t>
      </text>
    </comment>
    <comment ref="D102" authorId="0" shapeId="0">
      <text>
        <t>Ignacio Luque:
Antes tenía "2015-002" entiendo que por error</t>
      </text>
    </comment>
    <comment ref="B133" authorId="0" shapeId="0">
      <text>
        <t>Ignacio Luque:
Antes
Inver Generación 1, SL</t>
      </text>
    </comment>
    <comment ref="D140" authorId="0" shapeId="0">
      <text>
        <t>Ignacio Luque:
Repetición Correcta por cambio de Denominación Social
Antigua Alectoris Energía Sostenible 5, S.L.</t>
      </text>
    </comment>
    <comment ref="D193" authorId="0" shapeId="0">
      <text>
        <t>Ignacio Luque:
Repetición Correcta por cambio de Denominación Social
Antigua LAAT 132 kV Doble Circuito-Tordesillas 400 kV, S.L.</t>
      </text>
    </comment>
  </commentList>
</comments>
</file>

<file path=xl/comments/comment17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E16" authorId="0" shapeId="0">
      <text>
        <t>Katja Kaiser:
desde junio</t>
      </text>
    </comment>
    <comment ref="H16" authorId="0" shapeId="0">
      <text>
        <t>Katja Kaiser:
desde junio</t>
      </text>
    </comment>
    <comment ref="D22" authorId="1" shapeId="0">
      <text>
        <t>JVR:
Desde 01.11.2011</t>
      </text>
    </comment>
    <comment ref="G22" authorId="1" shapeId="0">
      <text>
        <t>JVR:
Desde 01.11.2011</t>
      </text>
    </comment>
    <comment ref="D23" authorId="1" shapeId="0">
      <text>
        <t>JVR:
Desde 01.11.2011</t>
      </text>
    </comment>
    <comment ref="G23" authorId="1" shapeId="0">
      <text>
        <t>JVR:
Desde 01.11.2011</t>
      </text>
    </comment>
    <comment ref="B25" authorId="0" shapeId="0">
      <text>
        <t>Katja Kaiser:
Solar Photo Collect
1400/5991,8</t>
      </text>
    </comment>
    <comment ref="I25" authorId="0" shapeId="0">
      <text>
        <t>Katja Kaiser:
a partir de Mayo 11</t>
      </text>
    </comment>
    <comment ref="B26" authorId="0" shapeId="0">
      <text>
        <t>Katja Kaiser:
Amberg V
1000/5991,8</t>
      </text>
    </comment>
    <comment ref="C26" authorId="1" shapeId="0">
      <text>
        <t>JVR:
A partir de 01.11.11</t>
      </text>
    </comment>
    <comment ref="F26" authorId="1" shapeId="0">
      <text>
        <t>JVR:
A partir de 01.11.11</t>
      </text>
    </comment>
    <comment ref="I26" authorId="0" shapeId="0">
      <text>
        <t>Katja Kaiser:
a partir de 1-7</t>
      </text>
    </comment>
    <comment ref="B27" authorId="0" shapeId="0">
      <text>
        <t>Katja Kaiser:
Rasteding
690/5991,8</t>
      </text>
    </comment>
    <comment ref="C27" authorId="0" shapeId="0">
      <text>
        <t>Katja Kaiser:
a partir de 01/07/2011</t>
      </text>
    </comment>
    <comment ref="E27" authorId="0" shapeId="0">
      <text>
        <t>Katja Kaiser:
a partir de Mayo 11</t>
      </text>
    </comment>
    <comment ref="F27" authorId="0" shapeId="0">
      <text>
        <t>Katja Kaiser:
a partir de 01/07/2011</t>
      </text>
    </comment>
    <comment ref="H27" authorId="0" shapeId="0">
      <text>
        <t>Katja Kaiser:
a partir de Mayo 11</t>
      </text>
    </comment>
    <comment ref="I27" authorId="0" shapeId="0">
      <text>
        <t>Katja Kaiser:
a partir de 1/7</t>
      </text>
    </comment>
    <comment ref="B28" authorId="1" shapeId="0">
      <text>
        <t>JVR:
Alcarrás - Amberg II S.L.
570/5991,8</t>
      </text>
    </comment>
    <comment ref="C28" authorId="0" shapeId="0">
      <text>
        <t>Katja Kaiser:
a partir de 01/07/2011</t>
      </text>
    </comment>
    <comment ref="F28" authorId="0" shapeId="0">
      <text>
        <t>Katja Kaiser:
a partir de 01/07/2011</t>
      </text>
    </comment>
    <comment ref="I28" authorId="1" shapeId="0">
      <text>
        <t>JVR:
A partir de 01.11.2011</t>
      </text>
    </comment>
    <comment ref="B29" authorId="1" shapeId="0">
      <text>
        <t>JVR:
Fruilar - Tiksi PV II S.L.
800/5991,8</t>
      </text>
    </comment>
    <comment ref="C29" authorId="1" shapeId="0">
      <text>
        <t>JVR:
A partir de 01.11.2011</t>
      </text>
    </comment>
    <comment ref="E29" authorId="1" shapeId="0">
      <text>
        <t>JVR:
A partir 1 de julio</t>
      </text>
    </comment>
    <comment ref="F29" authorId="1" shapeId="0">
      <text>
        <t>JVR:
A partir de 01.11.2011</t>
      </text>
    </comment>
    <comment ref="H29" authorId="1" shapeId="0">
      <text>
        <t>JVR:
A partir 1 de julio</t>
      </text>
    </comment>
    <comment ref="I29" authorId="1" shapeId="0">
      <text>
        <t>JVR:
A partir de 01.11.2011</t>
      </text>
    </comment>
    <comment ref="B30" authorId="1" shapeId="0">
      <text>
        <t>JVR:
La Senia - Solar Photo Corp S.L.U.
1531,8/5991,8</t>
      </text>
    </comment>
    <comment ref="D30" authorId="1" shapeId="0">
      <text>
        <t>JVR:
A partir de 01.11.2011</t>
      </text>
    </comment>
    <comment ref="E30" authorId="1" shapeId="0">
      <text>
        <t>JVR:
A partir 1 de julio</t>
      </text>
    </comment>
    <comment ref="G30" authorId="1" shapeId="0">
      <text>
        <t>JVR:
A partir de 01.11.2011</t>
      </text>
    </comment>
    <comment ref="H30" authorId="1" shapeId="0">
      <text>
        <t>JVR:
A partir 1 de julio</t>
      </text>
    </comment>
    <comment ref="I30" authorId="1" shapeId="0">
      <text>
        <t>JVR:
A partir de 01.11.2011</t>
      </text>
    </comment>
  </commentList>
</comments>
</file>

<file path=xl/comments/comment18.xml><?xml version="1.0" encoding="utf-8"?>
<comments xmlns="http://schemas.openxmlformats.org/spreadsheetml/2006/main">
  <authors>
    <author>Katja Kaiser</author>
  </authors>
  <commentList>
    <comment ref="D2" authorId="0" shapeId="0">
      <text>
        <t>Katja Kaiser:
previo de puesta en marcha o en negociacion o ejecución</t>
      </text>
    </comment>
    <comment ref="E2" authorId="0" shapeId="0">
      <text>
        <t>Katja Kaiser:
sociedades en cartera</t>
      </text>
    </comment>
    <comment ref="G2" authorId="0" shapeId="0">
      <text>
        <t>Katja Kaiser:
previo de puesta en marcha o en negociacion o ejecución</t>
      </text>
    </comment>
    <comment ref="H2" authorId="0" shapeId="0">
      <text>
        <t>Katja Kaiser:
sociedades en cartera</t>
      </text>
    </comment>
    <comment ref="J2" authorId="0" shapeId="0">
      <text>
        <t>Katja Kaiser:
variable! 15% de la diferencia entre produccion nominal y real!</t>
      </text>
    </comment>
    <comment ref="C9" authorId="0" shapeId="0">
      <text>
        <t>Katja Kaiser:
SPV + ACC</t>
      </text>
    </comment>
    <comment ref="F9" authorId="0" shapeId="0">
      <text>
        <t>Katja Kaiser:
SPV + ACC</t>
      </text>
    </comment>
  </commentList>
</comments>
</file>

<file path=xl/comments/comment19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E16" authorId="0" shapeId="0">
      <text>
        <t>Katja Kaiser:
desde junio</t>
      </text>
    </comment>
    <comment ref="H16" authorId="0" shapeId="0">
      <text>
        <t>Katja Kaiser:
desde junio</t>
      </text>
    </comment>
    <comment ref="B25" authorId="0" shapeId="0">
      <text>
        <t>Katja Kaiser:
Solar Photo Collect
1400/5991,8</t>
      </text>
    </comment>
    <comment ref="C25" authorId="1" shapeId="0">
      <text>
        <t>JVR:
Aplicable desde 01.01.2012
(tarifa única para el conjunto de proyectos)</t>
      </text>
    </comment>
    <comment ref="F25" authorId="1" shapeId="0">
      <text>
        <t>JVR:
Aplicable desde 01.01.2012</t>
      </text>
    </comment>
    <comment ref="I25" authorId="1" shapeId="0">
      <text>
        <t>JVR:
Aplicable desde 01.01.2012</t>
      </text>
    </comment>
    <comment ref="B26" authorId="0" shapeId="0">
      <text>
        <t>Katja Kaiser:
Amberg V
1000/5991,8</t>
      </text>
    </comment>
    <comment ref="B27" authorId="0" shapeId="0">
      <text>
        <t>Katja Kaiser:
Rasteding
690/5991,8</t>
      </text>
    </comment>
    <comment ref="E27" authorId="0" shapeId="0">
      <text>
        <t>Katja Kaiser:
a partir de Mayo 11</t>
      </text>
    </comment>
    <comment ref="H27" authorId="0" shapeId="0">
      <text>
        <t>Katja Kaiser:
a partir de Mayo 11</t>
      </text>
    </comment>
    <comment ref="B28" authorId="1" shapeId="0">
      <text>
        <t>JVR:
Alcarrás - Amberg II S.L.
570/5991,8</t>
      </text>
    </comment>
    <comment ref="B29" authorId="1" shapeId="0">
      <text>
        <t>JVR:
Fruilar - Tiksi PV II S.L.
800/5991,8</t>
      </text>
    </comment>
    <comment ref="E29" authorId="1" shapeId="0">
      <text>
        <t>JVR:
A partir 1 de julio</t>
      </text>
    </comment>
    <comment ref="H29" authorId="1" shapeId="0">
      <text>
        <t>JVR:
A partir 1 de julio</t>
      </text>
    </comment>
    <comment ref="B30" authorId="1" shapeId="0">
      <text>
        <t>JVR:
La Senia - Solar Photo Corp S.L.U.
1531,8/5991,8</t>
      </text>
    </comment>
    <comment ref="D30" authorId="1" shapeId="0">
      <text>
        <t>JVR:
A partir de 01.11.2011</t>
      </text>
    </comment>
    <comment ref="E30" authorId="1" shapeId="0">
      <text>
        <t>JVR:
A partir 1 de julio</t>
      </text>
    </comment>
    <comment ref="G30" authorId="1" shapeId="0">
      <text>
        <t>JVR:
A partir de 01.11.2011</t>
      </text>
    </comment>
    <comment ref="H30" authorId="1" shapeId="0">
      <text>
        <t>JVR:
A partir 1 de julio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microsoft.com/office/2006/relationships/xlExternalLinkPath/xlPathMissing" Target="V&#237;nculoExternoRecuperado1" TargetMode="External" Id="rId1"/></Relationships>
</file>

<file path=xl/externalLinks/_rels/externalLink2.xml.rels><Relationships xmlns="http://schemas.openxmlformats.org/package/2006/relationships"><Relationship Type="http://schemas.microsoft.com/office/2006/relationships/xlExternalLinkPath/xlPathMissing" Target="V&#237;nculoExternoRecuperado2" TargetMode="External" Id="rId1"/></Relationships>
</file>

<file path=xl/externalLinks/_rels/externalLink3.xml.rels><Relationships xmlns="http://schemas.openxmlformats.org/package/2006/relationships"><Relationship Type="http://schemas.microsoft.com/office/2006/relationships/xlExternalLinkPath/xlPathMissing" Target="V&#237;nculoExternoRecuperado3" TargetMode="External" Id="rId1"/></Relationships>
</file>

<file path=xl/externalLinks/_rels/externalLink4.xml.rels><Relationships xmlns="http://schemas.openxmlformats.org/package/2006/relationships"><Relationship Type="http://schemas.openxmlformats.org/officeDocument/2006/relationships/externalLinkPath" Target="file:///\\Servidorhp\datos\Facturaci&#243;n%20aBalados\Facturaci&#243;n\aBalados%20Services\Facturas%20Emitidas\2020%20Fras%20Emitidas\21323.xlsm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"/>
      <sheetName val="Tarifas 2013"/>
      <sheetName val="Tarifas 2014"/>
      <sheetName val="Tarifa 2016 BC"/>
      <sheetName val="Tarifas 2016"/>
      <sheetName val="Tarifa 2022 BC"/>
      <sheetName val="Resumen"/>
      <sheetName val="Análisis"/>
      <sheetName val="Tarifa 2019 BC"/>
      <sheetName val="Tarifa 2018 BC"/>
      <sheetName val="Numeración A_Intracomunitarias"/>
      <sheetName val="Numeración  NOComunitaria"/>
      <sheetName val="Suplidos"/>
      <sheetName val="Numeración ISP"/>
      <sheetName val="aBonos ISP"/>
      <sheetName val="Num B_Finan_Chatarra_Sin IVA"/>
      <sheetName val="Proforma"/>
      <sheetName val="Tarifas 2015"/>
      <sheetName val="aBonos A"/>
      <sheetName val="aBonos AB"/>
      <sheetName val="Clientes"/>
      <sheetName val="Datos"/>
      <sheetName val="Tarifas 2011"/>
      <sheetName val="Tarifas 2010"/>
      <sheetName val="Tarifas 20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SAS</v>
          </cell>
          <cell r="B118" t="str">
            <v>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0.1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  <row r="132">
          <cell r="A132" t="str">
            <v>NOVASOL INVEST LA ISLA S.L.</v>
          </cell>
          <cell r="B132" t="str">
            <v>NIF B91822882</v>
          </cell>
          <cell r="C132" t="str">
            <v>2020-007</v>
          </cell>
          <cell r="D132">
            <v>0</v>
          </cell>
        </row>
        <row r="133">
          <cell r="A133" t="str">
            <v>China Triumph International Engineering Co.,Ltd.</v>
          </cell>
          <cell r="B133" t="str">
            <v>91310000102016281D</v>
          </cell>
          <cell r="C133" t="str">
            <v>2020-008</v>
          </cell>
          <cell r="D133">
            <v>0</v>
          </cell>
        </row>
        <row r="134">
          <cell r="A134" t="str">
            <v>ALMIRANS, S.L.U.</v>
          </cell>
          <cell r="B134" t="str">
            <v>CIF B21390463</v>
          </cell>
          <cell r="C134" t="str">
            <v>2021-001</v>
          </cell>
          <cell r="D134">
            <v>0</v>
          </cell>
        </row>
        <row r="135">
          <cell r="A135" t="str">
            <v>BayWa r.e. España S.L.U.</v>
          </cell>
          <cell r="B135" t="str">
            <v>CIF B65415762</v>
          </cell>
          <cell r="C135" t="str">
            <v>2021-002</v>
          </cell>
          <cell r="D135">
            <v>0</v>
          </cell>
        </row>
        <row r="136">
          <cell r="A136" t="str">
            <v>Valcabado Renovables 220 kV, S.L.</v>
          </cell>
          <cell r="B136" t="str">
            <v>CIF B42768697</v>
          </cell>
          <cell r="C136" t="str">
            <v>2021-003</v>
          </cell>
          <cell r="D136">
            <v>0.08</v>
          </cell>
        </row>
        <row r="137">
          <cell r="A137" t="str">
            <v>Langsyne Spain S.L.U.</v>
          </cell>
          <cell r="B137" t="str">
            <v>CIF B85277762</v>
          </cell>
          <cell r="C137" t="str">
            <v>2021-004</v>
          </cell>
          <cell r="D137">
            <v>0</v>
          </cell>
        </row>
        <row r="138">
          <cell r="A138" t="str">
            <v>FP LUX REIO PV ZARAGOZA SL.</v>
          </cell>
          <cell r="B138" t="str">
            <v>CIF B99453326</v>
          </cell>
          <cell r="C138" t="str">
            <v>2019-005</v>
          </cell>
          <cell r="D138">
            <v>0</v>
          </cell>
        </row>
        <row r="139">
          <cell r="A139" t="str">
            <v>Grijota Renovables, S.L.</v>
          </cell>
          <cell r="B139" t="str">
            <v>CIF B02963767</v>
          </cell>
          <cell r="C139" t="str">
            <v>2021-005</v>
          </cell>
          <cell r="D139">
            <v>0.08</v>
          </cell>
        </row>
        <row r="140">
          <cell r="A140" t="str">
            <v>Cubillos Renovables, S.L.</v>
          </cell>
          <cell r="B140" t="str">
            <v>CIF B05457049</v>
          </cell>
          <cell r="C140" t="str">
            <v>2021-006</v>
          </cell>
          <cell r="D140">
            <v>0.08</v>
          </cell>
        </row>
        <row r="141">
          <cell r="A141" t="str">
            <v>Sun Tol I, S.L.U.</v>
          </cell>
          <cell r="B141" t="str">
            <v>CIF B88187612</v>
          </cell>
          <cell r="C141" t="str">
            <v>2021-007</v>
          </cell>
          <cell r="D141">
            <v>0</v>
          </cell>
        </row>
        <row r="142">
          <cell r="A142" t="str">
            <v>SAECO de la dirección de infraestructura del E.T.</v>
          </cell>
          <cell r="B142" t="str">
            <v>NIF S2830108C</v>
          </cell>
          <cell r="C142" t="str">
            <v>2021-008</v>
          </cell>
          <cell r="D142">
            <v>0</v>
          </cell>
        </row>
        <row r="143">
          <cell r="A143" t="str">
            <v>China Triumph International Engineering Co., LTD EP EN SPAIN</v>
          </cell>
          <cell r="B143" t="str">
            <v>CIF W7203013C</v>
          </cell>
          <cell r="C143" t="str">
            <v>2021-009</v>
          </cell>
          <cell r="D143">
            <v>0</v>
          </cell>
        </row>
        <row r="144">
          <cell r="A144" t="str">
            <v>SMP Power GmbH</v>
          </cell>
          <cell r="B144" t="str">
            <v>DE345388995</v>
          </cell>
          <cell r="C144" t="str">
            <v>2021-010</v>
          </cell>
          <cell r="D144">
            <v>0</v>
          </cell>
        </row>
        <row r="145">
          <cell r="A145" t="str">
            <v>Tordesillas Renovables, S.L.</v>
          </cell>
          <cell r="B145" t="str">
            <v>CIF B02750818</v>
          </cell>
          <cell r="C145" t="str">
            <v>2021-011</v>
          </cell>
          <cell r="D145">
            <v>0.08</v>
          </cell>
        </row>
        <row r="146">
          <cell r="A146" t="str">
            <v>Monte Reina Renovables, S.L.</v>
          </cell>
          <cell r="B146" t="str">
            <v>CIF B06879290</v>
          </cell>
          <cell r="C146" t="str">
            <v>2021-012</v>
          </cell>
          <cell r="D146">
            <v>0.08</v>
          </cell>
        </row>
        <row r="147">
          <cell r="A147" t="str">
            <v>Gazules Renovables, S.L.</v>
          </cell>
          <cell r="B147" t="str">
            <v>CIF B67864884</v>
          </cell>
          <cell r="C147" t="str">
            <v>2021-013</v>
          </cell>
          <cell r="D147">
            <v>0.08</v>
          </cell>
        </row>
        <row r="148">
          <cell r="A148" t="str">
            <v>LAAT 132 kV Doble Circuito-Tordesillas 400 kV, S.L.</v>
          </cell>
          <cell r="B148" t="str">
            <v>CIF B06808273</v>
          </cell>
          <cell r="C148" t="str">
            <v>2022-001</v>
          </cell>
          <cell r="D148">
            <v>0.08</v>
          </cell>
        </row>
        <row r="149">
          <cell r="A149" t="str">
            <v>Herrera Renovables 400, A.I.E.</v>
          </cell>
          <cell r="B149" t="str">
            <v>CIF V06775555</v>
          </cell>
          <cell r="C149" t="str">
            <v>2021-014</v>
          </cell>
          <cell r="D149">
            <v>0.08</v>
          </cell>
        </row>
        <row r="150">
          <cell r="A150" t="str">
            <v>Energías Limpias de Carmona, S.L.</v>
          </cell>
          <cell r="B150" t="str">
            <v>CIF B09828153</v>
          </cell>
          <cell r="C150" t="str">
            <v>2022-002</v>
          </cell>
          <cell r="D150">
            <v>0.08</v>
          </cell>
        </row>
        <row r="151">
          <cell r="A151" t="str">
            <v>Evacuación Tordesillas 400 kV, S.L.</v>
          </cell>
          <cell r="B151" t="str">
            <v>CIF B16747685</v>
          </cell>
          <cell r="C151" t="str">
            <v>2022-003</v>
          </cell>
          <cell r="D151">
            <v>0.08</v>
          </cell>
        </row>
        <row r="152">
          <cell r="A152" t="str">
            <v>Jerez Motor S.A.</v>
          </cell>
          <cell r="B152" t="str">
            <v>CIF A11621448</v>
          </cell>
          <cell r="C152" t="str">
            <v>2022-004</v>
          </cell>
          <cell r="D152">
            <v>0</v>
          </cell>
        </row>
        <row r="153">
          <cell r="A153" t="str">
            <v>Planta Solar Niebla I, S.L.</v>
          </cell>
          <cell r="B153" t="str">
            <v>CIF B44506038</v>
          </cell>
          <cell r="C153" t="str">
            <v>2022-005</v>
          </cell>
          <cell r="D153">
            <v>0</v>
          </cell>
        </row>
        <row r="154">
          <cell r="A154" t="str">
            <v>SET Carmona 400 kV Renovables, S.L.</v>
          </cell>
          <cell r="B154" t="str">
            <v>CIF B09862491</v>
          </cell>
          <cell r="C154" t="str">
            <v>2022-006</v>
          </cell>
          <cell r="D154">
            <v>0.08</v>
          </cell>
        </row>
        <row r="155">
          <cell r="A155" t="str">
            <v>Evacuación Carmona 400-220 kV Renovables, S.L.</v>
          </cell>
          <cell r="B155" t="str">
            <v>CIF B09744517</v>
          </cell>
          <cell r="C155" t="str">
            <v>2022-007</v>
          </cell>
          <cell r="D155">
            <v>0.08</v>
          </cell>
        </row>
        <row r="156">
          <cell r="A156" t="str">
            <v>Línea Covatillas, A.I.E.</v>
          </cell>
          <cell r="B156" t="str">
            <v>CIF V09962655</v>
          </cell>
          <cell r="C156" t="str">
            <v>2022-008</v>
          </cell>
          <cell r="D156">
            <v>0.08</v>
          </cell>
        </row>
        <row r="157">
          <cell r="A157" t="str">
            <v>Novasol Invest La Isla, S.L.U</v>
          </cell>
          <cell r="B157" t="str">
            <v>CIF B91822882</v>
          </cell>
          <cell r="C157" t="str">
            <v>2022-009</v>
          </cell>
          <cell r="D157">
            <v>0</v>
          </cell>
        </row>
        <row r="158">
          <cell r="A158" t="str">
            <v>La Serranilla Renovables 132 kV, A.I.E.</v>
          </cell>
          <cell r="B158" t="str">
            <v>CIF V01683150</v>
          </cell>
          <cell r="C158" t="str">
            <v>2022-010</v>
          </cell>
          <cell r="D158">
            <v>0.08</v>
          </cell>
        </row>
        <row r="159">
          <cell r="A159" t="str">
            <v>Herrera Sotillo Renovables, A.I.E.</v>
          </cell>
          <cell r="B159" t="str">
            <v>CIF V72553548</v>
          </cell>
          <cell r="C159" t="str">
            <v>2022-011</v>
          </cell>
          <cell r="D159">
            <v>0.08</v>
          </cell>
        </row>
        <row r="160">
          <cell r="A160" t="str">
            <v>Automares, S.L.</v>
          </cell>
          <cell r="B160" t="str">
            <v>CIF B41261330</v>
          </cell>
          <cell r="C160" t="str">
            <v>2022-012</v>
          </cell>
        </row>
        <row r="161">
          <cell r="A161" t="str">
            <v>OTRAS PRODUCCIONES DE ENERGÍA FOTOVOLTAICA, S.A.</v>
          </cell>
          <cell r="B161" t="str">
            <v>CIF B71004378</v>
          </cell>
          <cell r="C161" t="str">
            <v>2022-013</v>
          </cell>
        </row>
        <row r="162">
          <cell r="A162" t="str">
            <v>ENEL GREEN POWER ESPAÑA, S.L.</v>
          </cell>
          <cell r="B162" t="str">
            <v>CIF B61234613</v>
          </cell>
          <cell r="C162" t="str">
            <v>2022-014</v>
          </cell>
        </row>
      </sheetData>
      <sheetData sheetId="21">
        <row r="1">
          <cell r="B1" t="str">
            <v>WOC Fotovoltaica España, S.L S.Com.</v>
          </cell>
          <cell r="C1" t="str">
            <v>CIF D65068439</v>
          </cell>
          <cell r="D1" t="str">
            <v>c/ Las Cruzadas 3A, local D</v>
          </cell>
          <cell r="E1" t="str">
            <v>Sevilla 41004</v>
          </cell>
        </row>
        <row r="2">
          <cell r="B2" t="str">
            <v>Locaba Solar S.L.U.</v>
          </cell>
          <cell r="C2" t="str">
            <v>CIF B85045607</v>
          </cell>
          <cell r="D2" t="str">
            <v>c/ Las Cruzadas 3A, local D</v>
          </cell>
          <cell r="E2" t="str">
            <v>Sevilla 41004</v>
          </cell>
        </row>
        <row r="3">
          <cell r="B3" t="str">
            <v>Inversión Cubiertas Solares S.L.U.</v>
          </cell>
          <cell r="C3" t="str">
            <v>CIF B97996219</v>
          </cell>
          <cell r="D3" t="str">
            <v>c/ Las Cruzadas 3A, local D</v>
          </cell>
          <cell r="E3" t="str">
            <v>Sevilla 41004</v>
          </cell>
        </row>
        <row r="4">
          <cell r="B4" t="str">
            <v>Dehesa Asomadilla Inversiones S.L.U.</v>
          </cell>
          <cell r="C4" t="str">
            <v>CIF B97996201</v>
          </cell>
          <cell r="D4" t="str">
            <v>c/ Las Cruzadas 3A, local D</v>
          </cell>
          <cell r="E4" t="str">
            <v>Sevilla 41004</v>
          </cell>
        </row>
        <row r="5">
          <cell r="B5" t="str">
            <v>Asomadilla Solar 2007 S.L.U.</v>
          </cell>
          <cell r="C5" t="str">
            <v>CIF B97932743</v>
          </cell>
          <cell r="D5" t="str">
            <v>c/ Las Cruzadas 3A, local D</v>
          </cell>
          <cell r="E5" t="str">
            <v>Sevilla 41004</v>
          </cell>
        </row>
        <row r="6">
          <cell r="B6" t="str">
            <v>Lugec Inversión Solar S.L.U.</v>
          </cell>
          <cell r="C6" t="str">
            <v>CIF B97932768</v>
          </cell>
          <cell r="D6" t="str">
            <v>c/ Las Cruzadas 3A, local D</v>
          </cell>
          <cell r="E6" t="str">
            <v>Sevilla 41004</v>
          </cell>
        </row>
        <row r="7">
          <cell r="B7" t="str">
            <v>WOC Fotovoltaica España Proyecto Villamartín S.L. S. Com.</v>
          </cell>
          <cell r="C7" t="str">
            <v>CIF D91858167</v>
          </cell>
          <cell r="D7" t="str">
            <v>c/ Las Cruzadas 3A, local D</v>
          </cell>
          <cell r="E7" t="str">
            <v>Sevilla 41004</v>
          </cell>
        </row>
        <row r="8">
          <cell r="B8" t="str">
            <v>Agrupación Solar el Algarrobo I, S.L.U.</v>
          </cell>
          <cell r="C8" t="str">
            <v>CIF B91815001</v>
          </cell>
          <cell r="D8" t="str">
            <v>c/ Las Cruzadas 3A, local D</v>
          </cell>
          <cell r="E8" t="str">
            <v>Sevilla 41004</v>
          </cell>
        </row>
        <row r="9">
          <cell r="B9" t="str">
            <v>Agrupación Solar el Algarrobo II, S.L.U.</v>
          </cell>
          <cell r="C9" t="str">
            <v>CIF B91815019</v>
          </cell>
          <cell r="D9" t="str">
            <v>c/ Las Cruzadas 3A, local D</v>
          </cell>
          <cell r="E9" t="str">
            <v>Sevilla 41004</v>
          </cell>
        </row>
        <row r="10">
          <cell r="B10" t="str">
            <v>Agrupación Solar el Algarrobo III, S.L.U.</v>
          </cell>
          <cell r="C10" t="str">
            <v>CIF B91815027</v>
          </cell>
          <cell r="D10" t="str">
            <v>c/ Las Cruzadas 3A, local D</v>
          </cell>
          <cell r="E10" t="str">
            <v>Sevilla 41004</v>
          </cell>
        </row>
        <row r="11">
          <cell r="B11" t="str">
            <v>Astrom Technical Advisors S.L.</v>
          </cell>
          <cell r="C11" t="str">
            <v>CIF B84304872</v>
          </cell>
          <cell r="D11" t="str">
            <v>c/ Serrano 8, 31 Izda</v>
          </cell>
          <cell r="E11" t="str">
            <v>28001 Madrid</v>
          </cell>
        </row>
        <row r="12">
          <cell r="B12" t="str">
            <v>aBalados S.L.</v>
          </cell>
          <cell r="C12" t="str">
            <v>CIF B91559971</v>
          </cell>
          <cell r="D12" t="str">
            <v>c/ Las Cruzadas 3A, local D</v>
          </cell>
          <cell r="E12" t="str">
            <v>Sevilla 41004</v>
          </cell>
        </row>
        <row r="13">
          <cell r="B13" t="str">
            <v>Gehrlicher Solar España S.L.</v>
          </cell>
          <cell r="C13" t="str">
            <v>CIF B73116634</v>
          </cell>
          <cell r="D13" t="str">
            <v>c/ Valle del Guadalentín, 2 2ª planta
P.I. Marimingo C.N. Noroeste</v>
          </cell>
          <cell r="E13" t="str">
            <v>30180 Bullas (Murcia)</v>
          </cell>
        </row>
        <row r="14">
          <cell r="B14" t="str">
            <v>WOC FOTOVOLTAICA ESPAÑA SL 2 S.COM</v>
          </cell>
          <cell r="C14" t="str">
            <v>CIF D65098626</v>
          </cell>
          <cell r="D14" t="str">
            <v>c/ Las Cruzadas 3A, local D</v>
          </cell>
          <cell r="E14" t="str">
            <v>Sevilla 41004</v>
          </cell>
        </row>
        <row r="15">
          <cell r="B15" t="str">
            <v>WOC Fotovoltaica España 2.1 S.L. S. Com.</v>
          </cell>
          <cell r="C15" t="str">
            <v>CIF D91845669</v>
          </cell>
          <cell r="D15" t="str">
            <v>c/ Las Cruzadas 3A, local D</v>
          </cell>
          <cell r="E15" t="str">
            <v>Sevilla 41004</v>
          </cell>
        </row>
        <row r="16">
          <cell r="B16" t="str">
            <v>WOC Fotovoltaica España 2.1 S.L.U.</v>
          </cell>
          <cell r="C16" t="str">
            <v>CIF B91845560</v>
          </cell>
          <cell r="D16" t="str">
            <v>c/ Las Cruzadas 3A, local D</v>
          </cell>
          <cell r="E16" t="str">
            <v>Sevilla 41004</v>
          </cell>
        </row>
        <row r="17">
          <cell r="B17" t="str">
            <v>WOC Fotovoltaica España Proyecto Sollana S.L.U.</v>
          </cell>
          <cell r="C17" t="str">
            <v>CIF B91849190</v>
          </cell>
          <cell r="D17" t="str">
            <v>c/ Las Cruzadas 3A, local D</v>
          </cell>
          <cell r="E17" t="str">
            <v>Sevilla 41004</v>
          </cell>
        </row>
        <row r="18">
          <cell r="B18" t="str">
            <v>WOC Fotovoltaica España 2.2 S.L. S. Com.</v>
          </cell>
          <cell r="C18" t="str">
            <v>CIF D91879916</v>
          </cell>
          <cell r="D18" t="str">
            <v>c/ Las Cruzadas 3A, local D</v>
          </cell>
          <cell r="E18" t="str">
            <v>Sevilla 41004</v>
          </cell>
        </row>
        <row r="19">
          <cell r="B19" t="str">
            <v>WOC Fotovoltaica España 2.2 S.L.U.</v>
          </cell>
          <cell r="C19" t="str">
            <v>CIF B91878892</v>
          </cell>
          <cell r="D19" t="str">
            <v>c/ Las Cruzadas 3A, local D</v>
          </cell>
          <cell r="E19" t="str">
            <v>Sevilla 41004</v>
          </cell>
        </row>
        <row r="20">
          <cell r="B20" t="str">
            <v>WOC Fotovoltaica España 2.3 S.L. S. Com.</v>
          </cell>
          <cell r="C20" t="str">
            <v>CIF D91879924</v>
          </cell>
          <cell r="D20" t="str">
            <v>c/ Las Cruzadas 3A, local D</v>
          </cell>
          <cell r="E20" t="str">
            <v>Sevilla 41004</v>
          </cell>
        </row>
        <row r="21">
          <cell r="B21" t="str">
            <v>WOC Fotovoltaica España 2.3 S.L.U.</v>
          </cell>
          <cell r="C21" t="str">
            <v>CIF B91878900</v>
          </cell>
          <cell r="D21" t="str">
            <v>c/ Las Cruzadas 3A, local D</v>
          </cell>
          <cell r="E21" t="str">
            <v>Sevilla 41004</v>
          </cell>
        </row>
        <row r="22">
          <cell r="B22" t="str">
            <v>ES Garrovers Energía Solar S.L.U.</v>
          </cell>
          <cell r="C22" t="str">
            <v>CIF B57463663</v>
          </cell>
          <cell r="D22" t="str">
            <v>c/ Las Cruzadas 3A, local D</v>
          </cell>
          <cell r="E22" t="str">
            <v>Sevilla 41004</v>
          </cell>
        </row>
        <row r="23">
          <cell r="B23" t="str">
            <v>WOC Fotovoltaica España 2.4 S.L. S. Com.</v>
          </cell>
          <cell r="C23" t="str">
            <v>CIF D91882142</v>
          </cell>
          <cell r="D23" t="str">
            <v>c/ Las Cruzadas 3A, local D</v>
          </cell>
          <cell r="E23" t="str">
            <v>Sevilla 41004</v>
          </cell>
        </row>
        <row r="24">
          <cell r="B24" t="str">
            <v>WOC Fotovoltaica España 2.4 S.L.U.</v>
          </cell>
          <cell r="C24" t="str">
            <v>CIF B91881870</v>
          </cell>
          <cell r="D24" t="str">
            <v>c/ Las Cruzadas 3A, local D</v>
          </cell>
          <cell r="E24" t="str">
            <v>Sevilla 41004</v>
          </cell>
        </row>
        <row r="25">
          <cell r="B25" t="str">
            <v>WOC Fotovoltaica España 2.5 S.L. S. Com.</v>
          </cell>
          <cell r="C25" t="str">
            <v>CIF D91882167</v>
          </cell>
          <cell r="D25" t="str">
            <v>c/ Las Cruzadas 3A, local D</v>
          </cell>
          <cell r="E25" t="str">
            <v>Sevilla 41004</v>
          </cell>
        </row>
        <row r="26">
          <cell r="B26" t="str">
            <v>WOC Fotovoltaica España 2.5 S.L.U.</v>
          </cell>
          <cell r="C26" t="str">
            <v>CIF B91881854</v>
          </cell>
          <cell r="D26" t="str">
            <v>c/ Las Cruzadas 3A, local D</v>
          </cell>
          <cell r="E26" t="str">
            <v>Sevilla 41004</v>
          </cell>
        </row>
        <row r="27">
          <cell r="B27" t="str">
            <v>Contreras Parque Solar S.L.U.</v>
          </cell>
          <cell r="C27" t="str">
            <v>CIF B85978294</v>
          </cell>
          <cell r="D27" t="str">
            <v>c/ Las Cruzadas 3A, local D</v>
          </cell>
          <cell r="E27" t="str">
            <v>Sevilla 41004</v>
          </cell>
        </row>
        <row r="28">
          <cell r="B28" t="str">
            <v>Lo Illán  Parque Solar S.L.U.</v>
          </cell>
          <cell r="C28" t="str">
            <v>CIF B85978302</v>
          </cell>
          <cell r="D28" t="str">
            <v>c/ Las Cruzadas 3A, local D</v>
          </cell>
          <cell r="E28" t="str">
            <v>Sevilla 41004</v>
          </cell>
        </row>
        <row r="29">
          <cell r="B29" t="str">
            <v>Turbinto Parque Solar S.L.U.</v>
          </cell>
          <cell r="C29" t="str">
            <v>CIF B85978393</v>
          </cell>
          <cell r="D29" t="str">
            <v>c/ Las Cruzadas 3A, local D</v>
          </cell>
          <cell r="E29" t="str">
            <v>Sevilla 41004</v>
          </cell>
        </row>
        <row r="30">
          <cell r="B30" t="str">
            <v>Rodríguez I Parque Solar S.L.U.</v>
          </cell>
          <cell r="C30" t="str">
            <v>CIF B85978328</v>
          </cell>
          <cell r="D30" t="str">
            <v>c/ Las Cruzadas 3A, local D</v>
          </cell>
          <cell r="E30" t="str">
            <v>Sevilla 41004</v>
          </cell>
        </row>
        <row r="31">
          <cell r="B31" t="str">
            <v>Rodríguez II Parque Solar S.L.U.</v>
          </cell>
          <cell r="C31" t="str">
            <v>CIF B85978369</v>
          </cell>
          <cell r="D31" t="str">
            <v>c/ Las Cruzadas 3A, local D</v>
          </cell>
          <cell r="E31" t="str">
            <v>Sevilla 41004</v>
          </cell>
        </row>
        <row r="32">
          <cell r="B32" t="str">
            <v>WOC Fotovoltaica España 2.6 S.L. S. Com.</v>
          </cell>
          <cell r="C32" t="str">
            <v>CIF D91882167</v>
          </cell>
          <cell r="D32" t="str">
            <v>c/ Las Cruzadas 3A, local D</v>
          </cell>
          <cell r="E32" t="str">
            <v>Sevilla 41004</v>
          </cell>
        </row>
        <row r="33">
          <cell r="B33" t="str">
            <v>WOC Fotovoltaica España 2.6 S.L.U.</v>
          </cell>
          <cell r="C33" t="str">
            <v>CIF B91881854</v>
          </cell>
          <cell r="D33" t="str">
            <v>c/ Las Cruzadas 3A, local D</v>
          </cell>
          <cell r="E33" t="str">
            <v>Sevilla 41004</v>
          </cell>
        </row>
        <row r="34">
          <cell r="B34" t="str">
            <v xml:space="preserve">WOC Fotovoltaica España, 2.7, S.L.U. </v>
          </cell>
          <cell r="C34" t="str">
            <v>CIF B91902007</v>
          </cell>
          <cell r="D34" t="str">
            <v>c/ Las Cruzadas 3A, local D</v>
          </cell>
          <cell r="E34" t="str">
            <v>Sevilla 41004</v>
          </cell>
        </row>
        <row r="35">
          <cell r="B35" t="str">
            <v>WOC Fotovoltaica España, 2.7, S.L, S.Com</v>
          </cell>
          <cell r="C35" t="str">
            <v>CIF D91902031</v>
          </cell>
          <cell r="D35" t="str">
            <v>c/ Las Cruzadas 3A, local D</v>
          </cell>
          <cell r="E35" t="str">
            <v>Sevilla 41004</v>
          </cell>
        </row>
        <row r="36">
          <cell r="B36" t="str">
            <v>Amberg V S.L.U.</v>
          </cell>
          <cell r="C36" t="str">
            <v>CIF B25703653</v>
          </cell>
          <cell r="D36" t="str">
            <v>c/ Las Cruzadas 3A, local D</v>
          </cell>
          <cell r="E36" t="str">
            <v>Sevilla 41004</v>
          </cell>
        </row>
        <row r="37">
          <cell r="B37" t="str">
            <v>Solar Photo Collect S.L.U.</v>
          </cell>
          <cell r="C37" t="str">
            <v>CIF B98133861</v>
          </cell>
          <cell r="D37" t="str">
            <v>c/ Las Cruzadas 3A, local D</v>
          </cell>
          <cell r="E37" t="str">
            <v>Sevilla 41004</v>
          </cell>
        </row>
        <row r="38">
          <cell r="B38" t="str">
            <v xml:space="preserve">Rasteding PV I, S.L.U. </v>
          </cell>
          <cell r="C38" t="str">
            <v>CIF B25690827</v>
          </cell>
          <cell r="D38" t="str">
            <v>c/ Las Cruzadas 3A, local D</v>
          </cell>
          <cell r="E38" t="str">
            <v>Sevilla 41004</v>
          </cell>
        </row>
        <row r="39">
          <cell r="B39" t="str">
            <v>Amberg II S.L.U.</v>
          </cell>
          <cell r="C39" t="str">
            <v>CIF B25703596</v>
          </cell>
          <cell r="D39" t="str">
            <v>c/ Las Cruzadas 3A, local D</v>
          </cell>
          <cell r="E39" t="str">
            <v>Sevilla 41004</v>
          </cell>
        </row>
        <row r="40">
          <cell r="B40" t="str">
            <v>Tiksi PV II S.L.U.</v>
          </cell>
          <cell r="C40" t="str">
            <v>CIF B25680067</v>
          </cell>
          <cell r="D40" t="str">
            <v>c/ Las Cruzadas 3A, local D</v>
          </cell>
          <cell r="E40" t="str">
            <v>Sevilla 41004</v>
          </cell>
        </row>
        <row r="41">
          <cell r="B41" t="str">
            <v>Solar Photo Corp S.L.U.</v>
          </cell>
          <cell r="C41" t="str">
            <v>CIF B98174642</v>
          </cell>
          <cell r="D41" t="str">
            <v>c/ Las Cruzadas 3A, local D</v>
          </cell>
          <cell r="E41" t="str">
            <v>Sevilla 41004</v>
          </cell>
        </row>
        <row r="42">
          <cell r="B42" t="str">
            <v xml:space="preserve">WOC Fotovoltaica España, 2.8, S.L.U. </v>
          </cell>
          <cell r="C42" t="str">
            <v>CIF B91902049</v>
          </cell>
          <cell r="D42" t="str">
            <v>c/ Las Cruzadas 3A, local D</v>
          </cell>
          <cell r="E42" t="str">
            <v>Sevilla 41004</v>
          </cell>
        </row>
        <row r="43">
          <cell r="B43" t="str">
            <v>WOC Fotovoltaica España, 2.8, S.L, S.Com</v>
          </cell>
          <cell r="C43" t="str">
            <v>CIF D91902064</v>
          </cell>
          <cell r="D43" t="str">
            <v>c/ Las Cruzadas 3A, local D</v>
          </cell>
          <cell r="E43" t="str">
            <v>Sevilla 41004</v>
          </cell>
        </row>
        <row r="44">
          <cell r="B44" t="str">
            <v xml:space="preserve">WOC Fotovoltaica España, 2.9, S.L.U. </v>
          </cell>
          <cell r="C44" t="str">
            <v>CIF B91902072</v>
          </cell>
          <cell r="D44" t="str">
            <v>c/ Las Cruzadas 3A, local D</v>
          </cell>
          <cell r="E44" t="str">
            <v>Sevilla 41004</v>
          </cell>
        </row>
        <row r="45">
          <cell r="B45" t="str">
            <v>WOC Fotovoltaica España 2.9 S.L. S. Com.</v>
          </cell>
          <cell r="C45" t="str">
            <v>CIF D91902098</v>
          </cell>
          <cell r="D45" t="str">
            <v>c/ Las Cruzadas 3A, local D</v>
          </cell>
          <cell r="E45" t="str">
            <v>Sevilla 41004</v>
          </cell>
        </row>
        <row r="46">
          <cell r="B46" t="str">
            <v xml:space="preserve">WOC Fotovoltaica España, 2.10, S.L.U. </v>
          </cell>
          <cell r="C46" t="str">
            <v>CIF B91902114</v>
          </cell>
          <cell r="D46" t="str">
            <v>c/ Las Cruzadas 3A, local D</v>
          </cell>
          <cell r="E46" t="str">
            <v>Sevilla 41004</v>
          </cell>
        </row>
        <row r="47">
          <cell r="B47" t="str">
            <v>WOC Fotovoltaica España, 2.10, S.L, S.Com</v>
          </cell>
          <cell r="C47" t="str">
            <v>CIF D91902130</v>
          </cell>
          <cell r="D47" t="str">
            <v>c/ Las Cruzadas 3A, local D</v>
          </cell>
          <cell r="E47" t="str">
            <v>Sevilla 41004</v>
          </cell>
        </row>
        <row r="48">
          <cell r="B48" t="str">
            <v>Golf de El Puerto, S.A.</v>
          </cell>
          <cell r="C48" t="str">
            <v>CIF A11454345</v>
          </cell>
          <cell r="D48" t="str">
            <v>Avda. Ramón de Carranza</v>
          </cell>
          <cell r="E48" t="str">
            <v>11006 Cádiz</v>
          </cell>
        </row>
        <row r="49">
          <cell r="B49" t="str">
            <v>Tractebel Engineering S.A. (Dubai Branch)</v>
          </cell>
          <cell r="C49"/>
          <cell r="D49" t="str">
            <v>2502, Al-Shafar Tower 1, Al-Barsha Area - Tecom</v>
          </cell>
          <cell r="E49" t="str">
            <v>P.O. Box 191795, Dubai, U.A.E.</v>
          </cell>
        </row>
        <row r="50">
          <cell r="B50" t="str">
            <v>Agrupación  Solar Valverde S.L.U.</v>
          </cell>
          <cell r="C50" t="str">
            <v>CIF B98041171</v>
          </cell>
          <cell r="D50" t="str">
            <v>c/ Las Cruzadas 3A, local D</v>
          </cell>
          <cell r="E50" t="str">
            <v>Sevilla 41004</v>
          </cell>
        </row>
        <row r="51">
          <cell r="B51" t="str">
            <v>Badsolar Inversión 2008 S.L.U.</v>
          </cell>
          <cell r="C51" t="str">
            <v>CIF B98041429</v>
          </cell>
          <cell r="D51" t="str">
            <v>c/ Las Cruzadas 3A, local D</v>
          </cell>
          <cell r="E51" t="str">
            <v>Sevilla 41004</v>
          </cell>
        </row>
        <row r="52">
          <cell r="B52" t="str">
            <v>Benefits de Valverde 2008 S.L.U.</v>
          </cell>
          <cell r="C52" t="str">
            <v>CIF B98041270</v>
          </cell>
          <cell r="D52" t="str">
            <v>c/ Las Cruzadas 3A, local D</v>
          </cell>
          <cell r="E52" t="str">
            <v>Sevilla 41004</v>
          </cell>
        </row>
        <row r="53">
          <cell r="B53" t="str">
            <v>Deasom Solar de Valverde S.L.U.</v>
          </cell>
          <cell r="C53" t="str">
            <v>CIF B98041387</v>
          </cell>
          <cell r="D53" t="str">
            <v>c/ Las Cruzadas 3A, local D</v>
          </cell>
          <cell r="E53" t="str">
            <v>Sevilla 41004</v>
          </cell>
        </row>
        <row r="54">
          <cell r="B54" t="str">
            <v>Dehesa Solar 2008 S.L.U.</v>
          </cell>
          <cell r="C54" t="str">
            <v>CIF B98041262</v>
          </cell>
          <cell r="D54" t="str">
            <v>c/ Las Cruzadas 3A, local D</v>
          </cell>
          <cell r="E54" t="str">
            <v>Sevilla 41004</v>
          </cell>
        </row>
        <row r="55">
          <cell r="B55" t="str">
            <v>Explotación Olivenza 1 S.L.U.</v>
          </cell>
          <cell r="C55" t="str">
            <v>CIF B98041221</v>
          </cell>
          <cell r="D55" t="str">
            <v>c/ Las Cruzadas 3A, local D</v>
          </cell>
          <cell r="E55" t="str">
            <v>Sevilla 41004</v>
          </cell>
        </row>
        <row r="56">
          <cell r="B56" t="str">
            <v>Explotación Solar Valverde 1S.L.U.</v>
          </cell>
          <cell r="C56" t="str">
            <v>CIF B98041379</v>
          </cell>
          <cell r="D56" t="str">
            <v>c/ Las Cruzadas 3A, local D</v>
          </cell>
          <cell r="E56" t="str">
            <v>Sevilla 41004</v>
          </cell>
        </row>
        <row r="57">
          <cell r="B57" t="str">
            <v>Inlugesc Inversiones Solares S.L.U.</v>
          </cell>
          <cell r="C57" t="str">
            <v>CIF B98041346</v>
          </cell>
          <cell r="D57" t="str">
            <v>c/ Las Cruzadas 3A, local D</v>
          </cell>
          <cell r="E57" t="str">
            <v>Sevilla 41004</v>
          </cell>
        </row>
        <row r="58">
          <cell r="B58" t="str">
            <v>Insolia Extremadura S.L.U.</v>
          </cell>
          <cell r="C58" t="str">
            <v>CIF B98041411</v>
          </cell>
          <cell r="D58" t="str">
            <v>c/ Las Cruzadas 3A, local D</v>
          </cell>
          <cell r="E58" t="str">
            <v>Sevilla 41004</v>
          </cell>
        </row>
        <row r="59">
          <cell r="B59" t="str">
            <v>Invesolar Vale 2008 S.L.U.</v>
          </cell>
          <cell r="C59" t="str">
            <v>CIF B98041486</v>
          </cell>
          <cell r="D59" t="str">
            <v>c/ Las Cruzadas 3A, local D</v>
          </cell>
          <cell r="E59" t="str">
            <v>Sevilla 41004</v>
          </cell>
        </row>
        <row r="60">
          <cell r="B60" t="str">
            <v>Invren Solar 2008 S.L.U.</v>
          </cell>
          <cell r="C60" t="str">
            <v xml:space="preserve">CIF B98041460                                 </v>
          </cell>
          <cell r="D60" t="str">
            <v>c/ Las Cruzadas 3A, local D</v>
          </cell>
          <cell r="E60" t="str">
            <v>Sevilla 41004</v>
          </cell>
        </row>
        <row r="61">
          <cell r="B61" t="str">
            <v>Línea Olivenza 25 S.L.U.</v>
          </cell>
          <cell r="C61" t="str">
            <v>CIF B98041437</v>
          </cell>
          <cell r="D61" t="str">
            <v>c/ Las Cruzadas 3A, local D</v>
          </cell>
          <cell r="E61" t="str">
            <v>Sevilla 41004</v>
          </cell>
        </row>
        <row r="62">
          <cell r="B62" t="str">
            <v>Línea Olivenza Solar S.L.U.</v>
          </cell>
          <cell r="C62" t="str">
            <v>CIF B98041239</v>
          </cell>
          <cell r="D62" t="str">
            <v>c/ Las Cruzadas 3A, local D</v>
          </cell>
          <cell r="E62" t="str">
            <v>Sevilla 41004</v>
          </cell>
        </row>
        <row r="63">
          <cell r="B63" t="str">
            <v>Olival Solar 2008 S.L.U.</v>
          </cell>
          <cell r="C63" t="str">
            <v>CIF B98041338</v>
          </cell>
          <cell r="D63" t="str">
            <v>c/ Las Cruzadas 3A, local D</v>
          </cell>
          <cell r="E63" t="str">
            <v>Sevilla 41004</v>
          </cell>
        </row>
        <row r="64">
          <cell r="B64" t="str">
            <v>Polígono 1 Parcela 37 Solar S.L.U.</v>
          </cell>
          <cell r="C64" t="str">
            <v>CIF B98041395</v>
          </cell>
          <cell r="D64" t="str">
            <v>c/ Las Cruzadas 3A, local D</v>
          </cell>
          <cell r="E64" t="str">
            <v>Sevilla 41004</v>
          </cell>
        </row>
        <row r="65">
          <cell r="B65" t="str">
            <v>Pozomasa Solar 2008 S.L.U.</v>
          </cell>
          <cell r="C65" t="str">
            <v>CIF B98041452</v>
          </cell>
          <cell r="D65" t="str">
            <v>c/ Las Cruzadas 3A, local D</v>
          </cell>
          <cell r="E65" t="str">
            <v>Sevilla 41004</v>
          </cell>
        </row>
        <row r="66">
          <cell r="B66" t="str">
            <v>Rad Solar 2008 S.L.U.</v>
          </cell>
          <cell r="C66" t="str">
            <v>CIF B98041254</v>
          </cell>
          <cell r="D66" t="str">
            <v>c/ Las Cruzadas 3A, local D</v>
          </cell>
          <cell r="E66" t="str">
            <v>Sevilla 41004</v>
          </cell>
        </row>
        <row r="67">
          <cell r="B67" t="str">
            <v>Renex de Inversiones S.L.U.</v>
          </cell>
          <cell r="C67" t="str">
            <v>CIF B98041130</v>
          </cell>
          <cell r="D67" t="str">
            <v>c/ Las Cruzadas 3A, local D</v>
          </cell>
          <cell r="E67" t="str">
            <v>Sevilla 41004</v>
          </cell>
        </row>
        <row r="68">
          <cell r="B68" t="str">
            <v>Renova Valverde Leganés S.L.U.</v>
          </cell>
          <cell r="C68" t="str">
            <v>CIF B98041445</v>
          </cell>
          <cell r="D68" t="str">
            <v>c/ Las Cruzadas 3A, local D</v>
          </cell>
          <cell r="E68" t="str">
            <v>Sevilla 41004</v>
          </cell>
        </row>
        <row r="69">
          <cell r="B69" t="str">
            <v>San Rafael Solar S.L.U.</v>
          </cell>
          <cell r="C69" t="str">
            <v>CIF B98041247</v>
          </cell>
          <cell r="D69" t="str">
            <v>c/ Las Cruzadas 3A, local D</v>
          </cell>
          <cell r="E69" t="str">
            <v>Sevilla 41004</v>
          </cell>
        </row>
        <row r="70">
          <cell r="B70" t="str">
            <v>Solar Trading 2008 S.L.U.</v>
          </cell>
          <cell r="C70" t="str">
            <v>CIF B98041353</v>
          </cell>
          <cell r="D70" t="str">
            <v>c/ Las Cruzadas 3A, local D</v>
          </cell>
          <cell r="E70" t="str">
            <v>Sevilla 41004</v>
          </cell>
        </row>
        <row r="71">
          <cell r="B71" t="str">
            <v>Sun Garden 27 S.L.U.</v>
          </cell>
          <cell r="C71" t="str">
            <v>CIF B98041197</v>
          </cell>
          <cell r="D71" t="str">
            <v>c/ Las Cruzadas 3A, local D</v>
          </cell>
          <cell r="E71" t="str">
            <v>Sevilla 41004</v>
          </cell>
        </row>
        <row r="72">
          <cell r="B72" t="str">
            <v>Valega de Inversión Solar S.L.U.</v>
          </cell>
          <cell r="C72" t="str">
            <v>CIF B98041478</v>
          </cell>
          <cell r="D72" t="str">
            <v>c/ Las Cruzadas 3A, local D</v>
          </cell>
          <cell r="E72" t="str">
            <v>Sevilla 41004</v>
          </cell>
        </row>
        <row r="73">
          <cell r="B73" t="str">
            <v>Valex 2033 S.L.U.</v>
          </cell>
          <cell r="C73" t="str">
            <v>CIF B98041163</v>
          </cell>
          <cell r="D73" t="str">
            <v>c/ Las Cruzadas 3A, local D</v>
          </cell>
          <cell r="E73" t="str">
            <v>Sevilla 41004</v>
          </cell>
        </row>
        <row r="74">
          <cell r="B74" t="str">
            <v>Valverde Bussines 2008 S.L.U.</v>
          </cell>
          <cell r="C74" t="str">
            <v>CIF B98041098</v>
          </cell>
          <cell r="D74" t="str">
            <v>c/ Las Cruzadas 3A, local D</v>
          </cell>
          <cell r="E74" t="str">
            <v>Sevilla 41004</v>
          </cell>
        </row>
        <row r="75">
          <cell r="B75" t="str">
            <v>Asoma Solar 16 S.L.U.</v>
          </cell>
          <cell r="C75" t="str">
            <v>CIF B97966436</v>
          </cell>
          <cell r="D75" t="str">
            <v>c/ Las Cruzadas 3A, local D</v>
          </cell>
          <cell r="E75" t="str">
            <v>Sevilla 41004</v>
          </cell>
        </row>
        <row r="76">
          <cell r="B76" t="str">
            <v>Avoner PS Castuera S.L.U.</v>
          </cell>
          <cell r="C76" t="str">
            <v>CIF B97966428</v>
          </cell>
          <cell r="D76" t="str">
            <v>c/ Las Cruzadas 3A, local D</v>
          </cell>
          <cell r="E76" t="str">
            <v>Sevilla 41004</v>
          </cell>
        </row>
        <row r="77">
          <cell r="B77" t="str">
            <v>BLC Pasol de Energias S.L.U.</v>
          </cell>
          <cell r="C77" t="str">
            <v>CIF B97966444</v>
          </cell>
          <cell r="D77" t="str">
            <v>c/ Las Cruzadas 3A, local D</v>
          </cell>
          <cell r="E77" t="str">
            <v>Sevilla 41004</v>
          </cell>
        </row>
        <row r="78">
          <cell r="B78" t="str">
            <v>Energias PCRV de la Serna S.L.U.</v>
          </cell>
          <cell r="C78" t="str">
            <v>CIF B97966451</v>
          </cell>
          <cell r="D78" t="str">
            <v>c/ Las Cruzadas 3A, local D</v>
          </cell>
          <cell r="E78" t="str">
            <v>Sevilla 41004</v>
          </cell>
        </row>
        <row r="79">
          <cell r="B79" t="str">
            <v>Explotación Solar Planta Asomadilla S.L.U.</v>
          </cell>
          <cell r="C79" t="str">
            <v>CIF B97966311</v>
          </cell>
          <cell r="D79" t="str">
            <v>c/ Las Cruzadas 3A, local D</v>
          </cell>
          <cell r="E79" t="str">
            <v>Sevilla 41004</v>
          </cell>
        </row>
        <row r="80">
          <cell r="B80" t="str">
            <v>Expoinver Castuera 2007 S.L.U.</v>
          </cell>
          <cell r="C80" t="str">
            <v>CIF B97966303</v>
          </cell>
          <cell r="D80" t="str">
            <v>c/ Las Cruzadas 3A, local D</v>
          </cell>
          <cell r="E80" t="str">
            <v>Sevilla 41004</v>
          </cell>
        </row>
        <row r="81">
          <cell r="B81" t="str">
            <v>Finca Asomadilla 16 S.L.U.</v>
          </cell>
          <cell r="C81" t="str">
            <v>CIF B97966279</v>
          </cell>
          <cell r="D81" t="str">
            <v>c/ Las Cruzadas 3A, local D</v>
          </cell>
          <cell r="E81" t="str">
            <v>Sevilla 41004</v>
          </cell>
        </row>
        <row r="82">
          <cell r="B82" t="str">
            <v>ILCG Inversiones Solares de Levante S.L.U.</v>
          </cell>
          <cell r="C82" t="str">
            <v>CIF B97966295</v>
          </cell>
          <cell r="D82" t="str">
            <v>c/ Las Cruzadas 3A, local D</v>
          </cell>
          <cell r="E82" t="str">
            <v>Sevilla 41004</v>
          </cell>
        </row>
        <row r="83">
          <cell r="B83" t="str">
            <v>Invallalb Energia del Mediterraneo S.L.U.</v>
          </cell>
          <cell r="C83" t="str">
            <v>CIF B97966329</v>
          </cell>
          <cell r="D83" t="str">
            <v>c/ Las Cruzadas 3A, local D</v>
          </cell>
          <cell r="E83" t="str">
            <v>Sevilla 41004</v>
          </cell>
        </row>
        <row r="84">
          <cell r="B84" t="str">
            <v>Inversiones Energeticas RN de Levante S.L.U.</v>
          </cell>
          <cell r="C84" t="str">
            <v>CIF B97966345</v>
          </cell>
          <cell r="D84" t="str">
            <v>c/ Las Cruzadas 3A, local D</v>
          </cell>
          <cell r="E84" t="str">
            <v>Sevilla 41004</v>
          </cell>
        </row>
        <row r="85">
          <cell r="B85" t="str">
            <v>Inversiones RENVA3 Extremadura S.L.U.</v>
          </cell>
          <cell r="C85" t="str">
            <v>CIF B97966410</v>
          </cell>
          <cell r="D85" t="str">
            <v>c/ Las Cruzadas 3A, local D</v>
          </cell>
          <cell r="E85" t="str">
            <v>Sevilla 41004</v>
          </cell>
        </row>
        <row r="86">
          <cell r="B86" t="str">
            <v>Inversiones Renovables Valverde S.L.U.</v>
          </cell>
          <cell r="C86" t="str">
            <v>CIF B97966394</v>
          </cell>
          <cell r="D86" t="str">
            <v>c/ Las Cruzadas 3A, local D</v>
          </cell>
          <cell r="E86" t="str">
            <v>Sevilla 41004</v>
          </cell>
        </row>
        <row r="87">
          <cell r="B87" t="str">
            <v>Planta Dehesa Asomadillas Solar S.L.U.</v>
          </cell>
          <cell r="C87" t="str">
            <v>CIF B97966360</v>
          </cell>
          <cell r="D87" t="str">
            <v>c/ Las Cruzadas 3A, local D</v>
          </cell>
          <cell r="E87" t="str">
            <v>Sevilla 41004</v>
          </cell>
        </row>
        <row r="88">
          <cell r="B88" t="str">
            <v>Polígono 39 Castuera S.L.U.</v>
          </cell>
          <cell r="C88" t="str">
            <v>CIF B97966378</v>
          </cell>
          <cell r="D88" t="str">
            <v>c/ Las Cruzadas 3A, local D</v>
          </cell>
          <cell r="E88" t="str">
            <v>Sevilla 41004</v>
          </cell>
        </row>
        <row r="89">
          <cell r="B89" t="str">
            <v>RNSR Invest 2007 de la Serena S.L.U.</v>
          </cell>
          <cell r="C89" t="str">
            <v>CIF B97966337</v>
          </cell>
          <cell r="D89" t="str">
            <v>c/ Las Cruzadas 3A, local D</v>
          </cell>
          <cell r="E89" t="str">
            <v>Sevilla 41004</v>
          </cell>
        </row>
        <row r="90">
          <cell r="B90" t="str">
            <v>Valcast Solar 2007 S.L.U.</v>
          </cell>
          <cell r="C90" t="str">
            <v>CIF B97966352</v>
          </cell>
          <cell r="D90" t="str">
            <v>c/ Las Cruzadas 3A, local D</v>
          </cell>
          <cell r="E90" t="str">
            <v>Sevilla 41004</v>
          </cell>
        </row>
        <row r="91">
          <cell r="B91" t="str">
            <v>Bonsolar de Levante S.L.U.</v>
          </cell>
          <cell r="C91" t="str">
            <v>CIF B97959845</v>
          </cell>
          <cell r="D91" t="str">
            <v>c/ Las Cruzadas 3A, local D</v>
          </cell>
          <cell r="E91" t="str">
            <v>Sevilla 41004</v>
          </cell>
        </row>
        <row r="92">
          <cell r="B92" t="str">
            <v>Invercubiertas de Levante S.L.U.</v>
          </cell>
          <cell r="C92" t="str">
            <v>CIF B97959860</v>
          </cell>
          <cell r="D92" t="str">
            <v>c/ Las Cruzadas 3A, local D</v>
          </cell>
          <cell r="E92" t="str">
            <v>Sevilla 41004</v>
          </cell>
        </row>
        <row r="93">
          <cell r="B93" t="str">
            <v>Watios Pico de Levante S.L.U.</v>
          </cell>
          <cell r="C93" t="str">
            <v>CIF B97959878</v>
          </cell>
          <cell r="D93" t="str">
            <v>c/ Las Cruzadas 3A, local D</v>
          </cell>
          <cell r="E93" t="str">
            <v>Sevilla 41004</v>
          </cell>
        </row>
        <row r="94">
          <cell r="B94" t="str">
            <v>Astrom aBalados S.L.</v>
          </cell>
          <cell r="C94" t="str">
            <v>CIF B85978393</v>
          </cell>
          <cell r="D94" t="str">
            <v>c/ Las Cruzadas 3A, local D</v>
          </cell>
          <cell r="E94" t="str">
            <v>Sevilla 41004</v>
          </cell>
        </row>
        <row r="95">
          <cell r="B95" t="str">
            <v>Boralex Solaire Lauragais SAS</v>
          </cell>
          <cell r="C95" t="str">
            <v>FR62520618158</v>
          </cell>
          <cell r="D95" t="str">
            <v>71, rue Jean Jaures</v>
          </cell>
          <cell r="E95" t="str">
            <v>62575 Blendecques (France)</v>
          </cell>
        </row>
        <row r="96">
          <cell r="B96" t="str">
            <v>Generacio Fotovoltaica SL</v>
          </cell>
          <cell r="C96" t="str">
            <v>CIF B57240939</v>
          </cell>
          <cell r="D96" t="str">
            <v>C/ Parellades, 6 1º Pta B</v>
          </cell>
          <cell r="E96" t="str">
            <v>Palma de Mallorca 07003</v>
          </cell>
        </row>
        <row r="97">
          <cell r="B97" t="str">
            <v xml:space="preserve">Progetti FV 6 di Progetti FV 6 SRL &amp; C. SAS </v>
          </cell>
          <cell r="C97" t="str">
            <v>07479180965</v>
          </cell>
          <cell r="D97" t="str">
            <v>Via Buenos Aires 64a (1st Floor)</v>
          </cell>
          <cell r="E97" t="str">
            <v>20124 Milano (Italia)</v>
          </cell>
        </row>
        <row r="98">
          <cell r="B98" t="str">
            <v xml:space="preserve">Progetti FV 4 di Progetti FV 4 SRL &amp; C. SAS </v>
          </cell>
          <cell r="C98" t="str">
            <v>07479130960</v>
          </cell>
          <cell r="D98" t="str">
            <v>Via Buenos Aires 64a (1st Floor)</v>
          </cell>
          <cell r="E98" t="str">
            <v>20124 Milano (Italia)</v>
          </cell>
        </row>
        <row r="99">
          <cell r="B99" t="str">
            <v xml:space="preserve">Progetti FV 5 di Progetti FV 5 SRL &amp; C. SAS </v>
          </cell>
          <cell r="C99" t="str">
            <v>07479160967</v>
          </cell>
          <cell r="D99" t="str">
            <v>Via Buenos Aires 64a (1st Floor)</v>
          </cell>
          <cell r="E99" t="str">
            <v>20124 Milano (Italia)</v>
          </cell>
        </row>
        <row r="100">
          <cell r="B100" t="str">
            <v xml:space="preserve">Progetti FV 8 di Progetti FV 8 SRL &amp; C. SAS </v>
          </cell>
          <cell r="C100" t="str">
            <v>07479260965</v>
          </cell>
          <cell r="D100" t="str">
            <v>Via Buenos Aires 64a (1st Floor)</v>
          </cell>
          <cell r="E100" t="str">
            <v>20124 Milano (Italia)</v>
          </cell>
        </row>
        <row r="101">
          <cell r="B101" t="str">
            <v>Progetti FV 9 di Progetti FV 9 SRL &amp; C. SAS</v>
          </cell>
          <cell r="C101" t="str">
            <v>07479270964</v>
          </cell>
          <cell r="D101" t="str">
            <v>Via Buenos Aires 64a (1st Floor)</v>
          </cell>
          <cell r="E101" t="str">
            <v>20124 Milano (Italia)</v>
          </cell>
        </row>
        <row r="102">
          <cell r="B102" t="str">
            <v>WOC Asset Management GmbH</v>
          </cell>
          <cell r="C102" t="str">
            <v>DE270589072</v>
          </cell>
          <cell r="D102" t="str">
            <v>Ida-Ehre-Platz 12</v>
          </cell>
          <cell r="E102" t="str">
            <v>20095 Hamburg</v>
          </cell>
        </row>
        <row r="103">
          <cell r="B103" t="str">
            <v>The World Bank</v>
          </cell>
          <cell r="D103" t="str">
            <v>1818 H Street, N. W</v>
          </cell>
          <cell r="E103" t="str">
            <v>Washington, DC 20433</v>
          </cell>
        </row>
        <row r="104">
          <cell r="B104" t="str">
            <v>Universidad Politécnica de Madrid. Instituto de Energía Solar</v>
          </cell>
          <cell r="C104" t="str">
            <v>Q2818015F</v>
          </cell>
          <cell r="D104" t="str">
            <v>Campus Sur. Ctra. de Valencia, km. 7</v>
          </cell>
          <cell r="E104" t="str">
            <v>28031 Madrid</v>
          </cell>
        </row>
        <row r="105">
          <cell r="B105" t="str">
            <v>KRK Energy Service S.r.l.</v>
          </cell>
          <cell r="C105" t="str">
            <v>IT03872700160</v>
          </cell>
          <cell r="D105" t="str">
            <v xml:space="preserve">Via Trieste, 37 </v>
          </cell>
          <cell r="E105" t="str">
            <v>24057 Martinengo (BG) (Italia)</v>
          </cell>
        </row>
        <row r="106">
          <cell r="B106" t="str">
            <v>Álvaro Pérez San Segundo</v>
          </cell>
          <cell r="C106" t="str">
            <v>28.910.474-A</v>
          </cell>
          <cell r="D106" t="str">
            <v>c/ Virgen de Luján 3-2F</v>
          </cell>
          <cell r="E106" t="str">
            <v>41011 Sevilla</v>
          </cell>
        </row>
        <row r="107">
          <cell r="B107" t="str">
            <v>Cintia Martínez Prieto</v>
          </cell>
          <cell r="C107" t="str">
            <v>28.622.802-S</v>
          </cell>
          <cell r="D107" t="str">
            <v>Plaza Nueva 13, esc. B Planta 2ª</v>
          </cell>
          <cell r="E107" t="str">
            <v>41001 Sevilla</v>
          </cell>
        </row>
        <row r="108">
          <cell r="B108" t="str">
            <v>Pedro Mañas Escorza</v>
          </cell>
          <cell r="C108" t="str">
            <v>28.640.173-K</v>
          </cell>
          <cell r="D108" t="str">
            <v>San Salvador 32, bl3 2ºA</v>
          </cell>
          <cell r="E108" t="str">
            <v>41013 Sevilla</v>
          </cell>
        </row>
        <row r="109">
          <cell r="B109" t="str">
            <v>Schletter GmbH</v>
          </cell>
          <cell r="C109" t="str">
            <v>DE 129257294</v>
          </cell>
          <cell r="D109" t="str">
            <v>Alustraße 1</v>
          </cell>
          <cell r="E109" t="str">
            <v>83527 Kirchdorf</v>
          </cell>
        </row>
        <row r="110">
          <cell r="B110" t="str">
            <v>C.P. PUENTE Y PELLON 14</v>
          </cell>
          <cell r="C110" t="str">
            <v>CIF H90017989</v>
          </cell>
          <cell r="D110" t="str">
            <v>Puente y Pellón 14</v>
          </cell>
          <cell r="E110" t="str">
            <v>41004 Sevilla</v>
          </cell>
        </row>
        <row r="111">
          <cell r="B111" t="str">
            <v>Javier Valladares Ruiz</v>
          </cell>
          <cell r="C111" t="str">
            <v>NIF 45658133M</v>
          </cell>
          <cell r="D111" t="str">
            <v>c/ Barrau 1 2ºD</v>
          </cell>
          <cell r="E111" t="str">
            <v>41018 Sevilla</v>
          </cell>
        </row>
        <row r="112">
          <cell r="B112" t="str">
            <v>KGAL ESPF 4 Holding SARL</v>
          </cell>
          <cell r="C112" t="str">
            <v>LU30260606</v>
          </cell>
          <cell r="D112" t="str">
            <v>1c rue Gabriel Lippmann</v>
          </cell>
          <cell r="E112" t="str">
            <v>5356 Munsbach (LUX)</v>
          </cell>
        </row>
        <row r="113">
          <cell r="B113" t="str">
            <v>aBalados Management S.L.</v>
          </cell>
          <cell r="C113" t="str">
            <v>CIF B90029729</v>
          </cell>
          <cell r="D113" t="str">
            <v>c/ Las Cruzadas 3A, local D</v>
          </cell>
          <cell r="E113" t="str">
            <v>41004 Sevilla</v>
          </cell>
        </row>
        <row r="114">
          <cell r="B114" t="str">
            <v>Transportes Apiche S.L.</v>
          </cell>
          <cell r="C114" t="str">
            <v>CIF B73149965</v>
          </cell>
          <cell r="D114" t="str">
            <v>Crta Granada s/n Apdo 491</v>
          </cell>
          <cell r="E114" t="str">
            <v>30800 Lorca (MU)</v>
          </cell>
        </row>
        <row r="115">
          <cell r="B115" t="str">
            <v>Reciclados Llorca S.L.</v>
          </cell>
          <cell r="C115" t="str">
            <v>CIF B91610709</v>
          </cell>
          <cell r="D115" t="str">
            <v>c/ Leonardo Da Vinci 51</v>
          </cell>
          <cell r="E115" t="str">
            <v>41300 San José de la Rinconada</v>
          </cell>
        </row>
        <row r="116">
          <cell r="B116" t="str">
            <v>Elecnor S.A.</v>
          </cell>
          <cell r="C116" t="str">
            <v>CIF A48027056</v>
          </cell>
          <cell r="D116" t="str">
            <v>c/ Marqués Mondéjar, 33</v>
          </cell>
          <cell r="E116" t="str">
            <v>28028 Madrid</v>
          </cell>
        </row>
        <row r="117">
          <cell r="B117" t="str">
            <v>TCO SOLAR SAS</v>
          </cell>
          <cell r="C117" t="str">
            <v>FR25 533 970 034</v>
          </cell>
          <cell r="D117" t="str">
            <v>7 rue des mauvestis</v>
          </cell>
          <cell r="E117" t="str">
            <v>13002 Marseille (Francia)</v>
          </cell>
        </row>
        <row r="118">
          <cell r="B118" t="str">
            <v>Aneltia Trading S.L.U</v>
          </cell>
          <cell r="C118" t="str">
            <v>CIF B99413403</v>
          </cell>
          <cell r="D118" t="str">
            <v>Paseo de Sagasta 17, 3º Izquierda B</v>
          </cell>
          <cell r="E118" t="str">
            <v>Zaragoza 50008</v>
          </cell>
        </row>
        <row r="119">
          <cell r="B119" t="str">
            <v>FLP Renewables Promotion S.L.U.</v>
          </cell>
          <cell r="C119" t="str">
            <v>CIF B85726297</v>
          </cell>
          <cell r="D119" t="str">
            <v>c/ Las Cruzadas 3A, local D</v>
          </cell>
          <cell r="E119" t="str">
            <v>41004 Sevilla</v>
          </cell>
        </row>
        <row r="120">
          <cell r="B120" t="str">
            <v>GCE Invest Renewable GmbH</v>
          </cell>
          <cell r="C120" t="str">
            <v>DE313956702</v>
          </cell>
          <cell r="D120" t="str">
            <v>Zirkus-Krone-Strasse 10</v>
          </cell>
          <cell r="E120" t="str">
            <v>80335 München (Alemania)</v>
          </cell>
        </row>
        <row r="121">
          <cell r="B121" t="str">
            <v>Alectoris Energía Sostenible 5, S.L.</v>
          </cell>
          <cell r="C121" t="str">
            <v>CIF B99453326</v>
          </cell>
          <cell r="D121" t="str">
            <v>c/ Las Cruzadas 3A, local D</v>
          </cell>
          <cell r="E121" t="str">
            <v>41004 Sevilla</v>
          </cell>
        </row>
        <row r="122">
          <cell r="B122" t="str">
            <v>Kurt Beer</v>
          </cell>
          <cell r="C122" t="str">
            <v>NIE X1516030P</v>
          </cell>
          <cell r="D122" t="str">
            <v>Loma Los Lirios, Los Llanos, 252</v>
          </cell>
          <cell r="E122" t="str">
            <v>29680 Estepona (Málaga)</v>
          </cell>
        </row>
        <row r="123">
          <cell r="B123" t="str">
            <v>José Antonio Salazar Murillo</v>
          </cell>
          <cell r="C123" t="str">
            <v>NIF 28250865B</v>
          </cell>
          <cell r="D123" t="str">
            <v>c/ Las Cruzadas 3A</v>
          </cell>
          <cell r="E123" t="str">
            <v>41004 Sevilla</v>
          </cell>
        </row>
        <row r="124">
          <cell r="B124" t="str">
            <v>Evergy Engineering GmbH</v>
          </cell>
          <cell r="C124" t="str">
            <v>DE813934801</v>
          </cell>
          <cell r="D124" t="str">
            <v>Malsenstrasse 84</v>
          </cell>
          <cell r="E124" t="str">
            <v>80638 München (Alemania)</v>
          </cell>
        </row>
        <row r="125">
          <cell r="B125" t="str">
            <v>PLANTA SOLAR EL CALAVERÓN A.I.E.</v>
          </cell>
          <cell r="C125" t="str">
            <v>CIF V13471149</v>
          </cell>
          <cell r="D125" t="str">
            <v>C/ Serrano 27, 3º izq.</v>
          </cell>
          <cell r="E125" t="str">
            <v>28001 Madrid</v>
          </cell>
        </row>
        <row r="126">
          <cell r="B126" t="str">
            <v>White Summit Capital Asesores, S.L.</v>
          </cell>
          <cell r="C126" t="str">
            <v>CIF B87779468</v>
          </cell>
          <cell r="D126" t="str">
            <v>c/ Serrano 41 4º</v>
          </cell>
          <cell r="E126" t="str">
            <v>28001 Madrid</v>
          </cell>
        </row>
        <row r="127">
          <cell r="B127" t="str">
            <v>Gestora del kiosko SL</v>
          </cell>
          <cell r="C127" t="str">
            <v>CIF B90316266</v>
          </cell>
          <cell r="D127" t="str">
            <v>Virgen de la Oliva - Quiosco</v>
          </cell>
          <cell r="E127" t="str">
            <v>41011 Sevilla</v>
          </cell>
        </row>
        <row r="128">
          <cell r="B128" t="str">
            <v>Watio Capital</v>
          </cell>
          <cell r="C128" t="str">
            <v>CIF B87036521</v>
          </cell>
          <cell r="D128" t="str">
            <v>c/ Fernández de la Hoz 70, 1B</v>
          </cell>
          <cell r="E128" t="str">
            <v>28003 Madrid</v>
          </cell>
        </row>
        <row r="129">
          <cell r="B129" t="str">
            <v>Soluciones Aeconova S.L.</v>
          </cell>
          <cell r="C129" t="str">
            <v>CIF B90418427</v>
          </cell>
          <cell r="D129" t="str">
            <v>Avda. de La Raza 1A mód 18</v>
          </cell>
          <cell r="E129" t="str">
            <v>41012 Sevilla</v>
          </cell>
        </row>
        <row r="130">
          <cell r="B130" t="str">
            <v>Inver Generación 1, S.L.</v>
          </cell>
          <cell r="C130" t="str">
            <v>CIF B71334833</v>
          </cell>
          <cell r="D130" t="str">
            <v>c/ Las Cruzadas 3A, local D</v>
          </cell>
          <cell r="E130" t="str">
            <v>41004 Sevilla</v>
          </cell>
        </row>
        <row r="131">
          <cell r="B131" t="str">
            <v>NOVASOL INVEST LA ISLA S.L.</v>
          </cell>
          <cell r="C131" t="str">
            <v>NIF B91822882</v>
          </cell>
          <cell r="D131" t="str">
            <v>CL/FEDERICO SANCHEZ BEDOYA,2-I 7</v>
          </cell>
          <cell r="E131" t="str">
            <v>41013 SEVILLA</v>
          </cell>
        </row>
        <row r="132">
          <cell r="B132" t="str">
            <v>China Triumph International Engineering Co.,Ltd.</v>
          </cell>
          <cell r="C132" t="str">
            <v>91310000102016281D</v>
          </cell>
          <cell r="D132" t="str">
            <v>27fl Zhongqi building, 2000 North Zhongshan Road</v>
          </cell>
          <cell r="E132" t="str">
            <v>200063 Shanghai (China)</v>
          </cell>
        </row>
        <row r="133">
          <cell r="B133" t="str">
            <v>ALMIRANS, S.L.U.</v>
          </cell>
          <cell r="C133" t="str">
            <v>CIF B21390463</v>
          </cell>
          <cell r="D133" t="str">
            <v>C/Almirante Hernández-Pinzón número 1</v>
          </cell>
          <cell r="E133" t="str">
            <v>Moguer (Huelva)</v>
          </cell>
        </row>
        <row r="134">
          <cell r="B134" t="str">
            <v>BayWa r.e. España S.L.U.</v>
          </cell>
          <cell r="C134" t="str">
            <v>CIF B65415762</v>
          </cell>
          <cell r="D134" t="str">
            <v>Gran Vía de les Corts Catalanes 657, Entresuelo</v>
          </cell>
          <cell r="E134" t="str">
            <v>08010 Barcelona</v>
          </cell>
        </row>
        <row r="135">
          <cell r="B135" t="str">
            <v>Valcabado Renovables 220 kV, S.L.</v>
          </cell>
          <cell r="C135" t="str">
            <v>CIF B42768697</v>
          </cell>
          <cell r="D135" t="str">
            <v>c/ Princesa 2</v>
          </cell>
          <cell r="E135" t="str">
            <v>28008 Madrid</v>
          </cell>
        </row>
        <row r="136">
          <cell r="B136" t="str">
            <v>Langsyne Spain S.L.U.</v>
          </cell>
          <cell r="C136" t="str">
            <v>CIF B85277762</v>
          </cell>
          <cell r="D136" t="str">
            <v>Calle Serrano, 27. Piso 4 IZQ</v>
          </cell>
          <cell r="E136" t="str">
            <v>28001 Madrid</v>
          </cell>
        </row>
        <row r="137">
          <cell r="B137" t="str">
            <v>FP LUX REIO PV ZARAGOZA SL.</v>
          </cell>
          <cell r="C137" t="str">
            <v>CIF B99453326</v>
          </cell>
          <cell r="D137" t="str">
            <v>c/ Las Cruzadas 3A, local D</v>
          </cell>
          <cell r="E137" t="str">
            <v>41004 Sevilla</v>
          </cell>
        </row>
        <row r="138">
          <cell r="B138" t="str">
            <v>Grijota Renovables, S.L.</v>
          </cell>
          <cell r="C138" t="str">
            <v>CIF B02963767</v>
          </cell>
          <cell r="D138" t="str">
            <v>c/ Princesa 2</v>
          </cell>
          <cell r="E138" t="str">
            <v>28008 Madrid</v>
          </cell>
        </row>
        <row r="139">
          <cell r="B139" t="str">
            <v>Cubillos Renovables, S.L.</v>
          </cell>
          <cell r="C139" t="str">
            <v>CIF B05457049</v>
          </cell>
          <cell r="D139" t="str">
            <v>c/ Princesa 2</v>
          </cell>
          <cell r="E139" t="str">
            <v>28008 Madrid</v>
          </cell>
        </row>
        <row r="140">
          <cell r="B140" t="str">
            <v>Sun Tol I, S.L.U.</v>
          </cell>
          <cell r="C140" t="str">
            <v>CIF B88187612</v>
          </cell>
          <cell r="D140" t="str">
            <v>c/ Serrano 27, 3º derecha</v>
          </cell>
          <cell r="E140" t="str">
            <v>28008 Madrid</v>
          </cell>
        </row>
        <row r="141">
          <cell r="B141" t="str">
            <v>SAECO de la Dirección de infraestructura del E.T.</v>
          </cell>
          <cell r="C141" t="str">
            <v>NIF S2830108C</v>
          </cell>
          <cell r="D141" t="str">
            <v>c/ Prim, 4-6. Cuarter General del Ejército.</v>
          </cell>
          <cell r="E141" t="str">
            <v>28071 Madrid</v>
          </cell>
        </row>
        <row r="142">
          <cell r="B142" t="str">
            <v>China Triumph International Engineering Co., LTD EP EN SPAIN</v>
          </cell>
          <cell r="C142" t="str">
            <v>CIF W7203013C</v>
          </cell>
          <cell r="D142" t="str">
            <v>c/ Arturo Soria 263, escalera D, Puerta B</v>
          </cell>
          <cell r="E142" t="str">
            <v>28033 Madrid</v>
          </cell>
        </row>
        <row r="143">
          <cell r="B143" t="str">
            <v>SMP Power GmbH</v>
          </cell>
          <cell r="C143" t="str">
            <v>DE345388995</v>
          </cell>
          <cell r="D143" t="str">
            <v>Nobistor 16</v>
          </cell>
          <cell r="E143" t="str">
            <v>22767 Hamburg (Alemania)</v>
          </cell>
        </row>
        <row r="144">
          <cell r="B144" t="str">
            <v>Tordesillas Renovables, S.L.</v>
          </cell>
          <cell r="C144" t="str">
            <v>CIF B02750818</v>
          </cell>
          <cell r="D144" t="str">
            <v>c/ Ombú 3, planta 10</v>
          </cell>
          <cell r="E144" t="str">
            <v>28045 Madrid</v>
          </cell>
        </row>
        <row r="145">
          <cell r="B145" t="str">
            <v>Monte Reina Renovables, S.L.</v>
          </cell>
          <cell r="C145" t="str">
            <v>CIF B06879290</v>
          </cell>
          <cell r="D145" t="str">
            <v>c/ Ombú 3, planta 6</v>
          </cell>
          <cell r="E145" t="str">
            <v>28045 Madrid</v>
          </cell>
        </row>
        <row r="146">
          <cell r="B146" t="str">
            <v>Gazules Renovables, S.L.</v>
          </cell>
          <cell r="C146" t="str">
            <v>CIF B67864884</v>
          </cell>
          <cell r="D146" t="str">
            <v>c/ Las Cruzadas 3A, local D</v>
          </cell>
          <cell r="E146" t="str">
            <v>41004 Sevilla</v>
          </cell>
        </row>
        <row r="147">
          <cell r="B147" t="str">
            <v>LAAT 132 kV Doble Circuito-Tordesillas 400 kV, S.L.</v>
          </cell>
          <cell r="C147" t="str">
            <v>CIF B06808273</v>
          </cell>
          <cell r="D147" t="str">
            <v>c/ Cardenal Marcelo Spínola 42, planta 5</v>
          </cell>
          <cell r="E147" t="str">
            <v>28016 Madrid</v>
          </cell>
        </row>
        <row r="148">
          <cell r="B148" t="str">
            <v>Herrera Renovables 400, A.I.E.</v>
          </cell>
          <cell r="C148" t="str">
            <v>CIF V06775555</v>
          </cell>
          <cell r="D148" t="str">
            <v>Avda. de la Carrera 3 1, Oficina 1</v>
          </cell>
          <cell r="E148" t="str">
            <v>28223 Pozuelo de Alarcón</v>
          </cell>
        </row>
        <row r="149">
          <cell r="B149" t="str">
            <v>Energías Limpias de Carmona, S.L.</v>
          </cell>
          <cell r="C149" t="str">
            <v>CIF B09828153</v>
          </cell>
          <cell r="D149" t="str">
            <v>c/ Las Cruzadas 3A, local D</v>
          </cell>
          <cell r="E149" t="str">
            <v>41004 Sevilla</v>
          </cell>
        </row>
        <row r="150">
          <cell r="B150" t="str">
            <v>Evacuación Tordesillas 400 kV, S.L.</v>
          </cell>
          <cell r="C150" t="str">
            <v>CIF B16747685</v>
          </cell>
          <cell r="D150" t="str">
            <v>Avda. General Perón 27, 6º planta</v>
          </cell>
          <cell r="E150" t="str">
            <v>28020 Madrid</v>
          </cell>
        </row>
        <row r="151">
          <cell r="B151" t="str">
            <v>Jerez Motor S.A.</v>
          </cell>
          <cell r="C151" t="str">
            <v>CIF A11621448</v>
          </cell>
          <cell r="D151" t="str">
            <v>Avda. Tio Pepe 35</v>
          </cell>
          <cell r="E151" t="str">
            <v>11407 Jerez</v>
          </cell>
        </row>
        <row r="152">
          <cell r="B152" t="str">
            <v>Planta Solar Niebla I, S.L.</v>
          </cell>
          <cell r="C152" t="str">
            <v>CIF B44506038</v>
          </cell>
          <cell r="D152" t="str">
            <v>c/ Suero de Quiñones 34-36, 1a Planta</v>
          </cell>
          <cell r="E152" t="str">
            <v>28002 Madrid</v>
          </cell>
        </row>
        <row r="153">
          <cell r="B153" t="str">
            <v>SET Carmona 400 kV Renovables, S.L.</v>
          </cell>
          <cell r="C153" t="str">
            <v>CIF B09862491</v>
          </cell>
          <cell r="D153" t="str">
            <v>c/ Las Cruzadas 3A, local D</v>
          </cell>
          <cell r="E153" t="str">
            <v>41004 Sevilla</v>
          </cell>
        </row>
        <row r="154">
          <cell r="B154" t="str">
            <v>Evacuación Carmona 400-220 kV Renovables, S.L.</v>
          </cell>
          <cell r="C154" t="str">
            <v>CIF B09744517</v>
          </cell>
          <cell r="D154" t="str">
            <v>c/ Las Cruzadas 3A, local D</v>
          </cell>
          <cell r="E154" t="str">
            <v>41004 Sevilla</v>
          </cell>
        </row>
        <row r="155">
          <cell r="B155" t="str">
            <v>Línea Covatillas, A.I.E.</v>
          </cell>
          <cell r="C155" t="str">
            <v>CIF V09962655</v>
          </cell>
          <cell r="D155" t="str">
            <v>c/ Cardenal Marcelo Spínola 42, planta 5</v>
          </cell>
          <cell r="E155" t="str">
            <v>28016 Madrid</v>
          </cell>
        </row>
        <row r="156">
          <cell r="B156" t="str">
            <v>Novasol Invest La Isla, S.L.U</v>
          </cell>
          <cell r="C156" t="str">
            <v>CIF B91822882</v>
          </cell>
          <cell r="D156" t="str">
            <v>C/ Las Cruzadas 3 A Local D</v>
          </cell>
          <cell r="E156" t="str">
            <v>41004 Sevilla</v>
          </cell>
        </row>
        <row r="157">
          <cell r="B157" t="str">
            <v>La Serranilla Renovables 132 kV, A.I.E.</v>
          </cell>
          <cell r="C157" t="str">
            <v>CIF V01683150</v>
          </cell>
          <cell r="D157" t="str">
            <v>c/ Cardenal Marcelo Spínola 42</v>
          </cell>
          <cell r="E157" t="str">
            <v>28016 Madrid</v>
          </cell>
        </row>
        <row r="158">
          <cell r="B158" t="str">
            <v>Herrera Sotillo Renovables, A.I.E.</v>
          </cell>
          <cell r="C158" t="str">
            <v>CIF V72553548</v>
          </cell>
          <cell r="D158" t="str">
            <v>c/ Cardenal Marcelo Spínola 10</v>
          </cell>
          <cell r="E158" t="str">
            <v>28016 Madrid</v>
          </cell>
        </row>
        <row r="159">
          <cell r="B159" t="str">
            <v>Automares, S.L.</v>
          </cell>
          <cell r="C159" t="str">
            <v>CIF B41261330</v>
          </cell>
          <cell r="D159" t="str">
            <v>Ctra. de Su Eminencia, S/N</v>
          </cell>
          <cell r="E159" t="str">
            <v>41006 Sevilla</v>
          </cell>
        </row>
        <row r="160">
          <cell r="B160" t="str">
            <v>OTRAS PRODUCCIONES DE ENERGÍA FOTOVOLTAICA, S.A.</v>
          </cell>
          <cell r="C160" t="str">
            <v>CIF B71004378</v>
          </cell>
          <cell r="D160" t="str">
            <v>c/ Cardenal Marcelo Spínola 42</v>
          </cell>
          <cell r="E160" t="str">
            <v>28016 Madrid</v>
          </cell>
        </row>
        <row r="161">
          <cell r="B161" t="str">
            <v>ENEL GREEN POWER ESPAÑA, S.L.</v>
          </cell>
          <cell r="C161" t="str">
            <v>CIF B61234613</v>
          </cell>
          <cell r="D161" t="str">
            <v>c/ Ribera del Loira, num.60</v>
          </cell>
          <cell r="E161" t="str">
            <v>28042 Madrid</v>
          </cell>
        </row>
      </sheetData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acro"/>
      <sheetName val="Resumen"/>
      <sheetName val="Tarifas 2013"/>
      <sheetName val="Tarifas 2014"/>
      <sheetName val="Tarifa 2016 BC"/>
      <sheetName val="Tarifas 2016"/>
      <sheetName val="Tarifa 2020 BC"/>
      <sheetName val="Tarifa 2019 BC"/>
      <sheetName val="Tarifa 2018 BC"/>
      <sheetName val="Numeración A_Intracomunitarias"/>
      <sheetName val="Numeración  NOComunitaria"/>
      <sheetName val="Numeración ISP"/>
      <sheetName val="aBonos ISP"/>
      <sheetName val="Num B_Finan_Chatarra_Sin IVA"/>
      <sheetName val="Proforma"/>
      <sheetName val="Tarifas 2015"/>
      <sheetName val="aBonos A"/>
      <sheetName val="Clientes"/>
      <sheetName val="Datos"/>
      <sheetName val="aBonos AB"/>
      <sheetName val="Tarifas 2011"/>
      <sheetName val="Tarifas 2010"/>
      <sheetName val="Tarifas 201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SARL</v>
          </cell>
          <cell r="B118" t="str">
            <v>VAT-ID: 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0.1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  <row r="132">
          <cell r="A132" t="str">
            <v>NOVASOL INVEST LA ISLA S.L.</v>
          </cell>
          <cell r="B132" t="str">
            <v>NIF B91822882</v>
          </cell>
          <cell r="C132" t="str">
            <v>2020-007</v>
          </cell>
          <cell r="D132">
            <v>0</v>
          </cell>
        </row>
        <row r="133">
          <cell r="A133" t="str">
            <v>China Triumph International Engineering Co.,Ltd.</v>
          </cell>
          <cell r="B133" t="str">
            <v>91310000102016281D</v>
          </cell>
          <cell r="C133" t="str">
            <v>2020-008</v>
          </cell>
          <cell r="D133">
            <v>0</v>
          </cell>
        </row>
      </sheetData>
      <sheetData sheetId="18">
        <row r="1">
          <cell r="B1" t="str">
            <v>WOC Fotovoltaica España, S.L S.Com.</v>
          </cell>
          <cell r="C1" t="str">
            <v>CIF D65068439</v>
          </cell>
          <cell r="D1" t="str">
            <v>c/ Las Cruzadas 3A, local D</v>
          </cell>
          <cell r="E1" t="str">
            <v>Sevilla 41004</v>
          </cell>
        </row>
        <row r="2">
          <cell r="B2" t="str">
            <v>Locaba Solar S.L.U.</v>
          </cell>
          <cell r="C2" t="str">
            <v>CIF B85045607</v>
          </cell>
          <cell r="D2" t="str">
            <v>c/ Las Cruzadas 3A, local D</v>
          </cell>
          <cell r="E2" t="str">
            <v>Sevilla 41004</v>
          </cell>
        </row>
        <row r="3">
          <cell r="B3" t="str">
            <v>Inversión Cubiertas Solares S.L.U.</v>
          </cell>
          <cell r="C3" t="str">
            <v>CIF B97996219</v>
          </cell>
          <cell r="D3" t="str">
            <v>c/ Las Cruzadas 3A, local D</v>
          </cell>
          <cell r="E3" t="str">
            <v>Sevilla 41004</v>
          </cell>
        </row>
        <row r="4">
          <cell r="B4" t="str">
            <v>Dehesa Asomadilla Inversiones S.L.U.</v>
          </cell>
          <cell r="C4" t="str">
            <v>CIF B97996201</v>
          </cell>
          <cell r="D4" t="str">
            <v>c/ Las Cruzadas 3A, local D</v>
          </cell>
          <cell r="E4" t="str">
            <v>Sevilla 41004</v>
          </cell>
        </row>
        <row r="5">
          <cell r="B5" t="str">
            <v>Asomadilla Solar 2007 S.L.U.</v>
          </cell>
          <cell r="C5" t="str">
            <v>CIF B97932743</v>
          </cell>
          <cell r="D5" t="str">
            <v>c/ Las Cruzadas 3A, local D</v>
          </cell>
          <cell r="E5" t="str">
            <v>Sevilla 41004</v>
          </cell>
        </row>
        <row r="6">
          <cell r="B6" t="str">
            <v>Lugec Inversión Solar S.L.U.</v>
          </cell>
          <cell r="C6" t="str">
            <v>CIF B97932768</v>
          </cell>
          <cell r="D6" t="str">
            <v>c/ Las Cruzadas 3A, local D</v>
          </cell>
          <cell r="E6" t="str">
            <v>Sevilla 41004</v>
          </cell>
        </row>
        <row r="7">
          <cell r="B7" t="str">
            <v>WOC Fotovoltaica España Proyecto Villamartín S.L. S. Com.</v>
          </cell>
          <cell r="C7" t="str">
            <v>CIF D91858167</v>
          </cell>
          <cell r="D7" t="str">
            <v>c/ Las Cruzadas 3A, local D</v>
          </cell>
          <cell r="E7" t="str">
            <v>Sevilla 41004</v>
          </cell>
        </row>
        <row r="8">
          <cell r="B8" t="str">
            <v>Agrupación Solar el Algarrobo I, S.L.U.</v>
          </cell>
          <cell r="C8" t="str">
            <v>CIF B91815001</v>
          </cell>
          <cell r="D8" t="str">
            <v>c/ Las Cruzadas 3A, local D</v>
          </cell>
          <cell r="E8" t="str">
            <v>Sevilla 41004</v>
          </cell>
        </row>
        <row r="9">
          <cell r="B9" t="str">
            <v>Agrupación Solar el Algarrobo II, S.L.U.</v>
          </cell>
          <cell r="C9" t="str">
            <v>CIF B91815019</v>
          </cell>
          <cell r="D9" t="str">
            <v>c/ Las Cruzadas 3A, local D</v>
          </cell>
          <cell r="E9" t="str">
            <v>Sevilla 41004</v>
          </cell>
        </row>
        <row r="10">
          <cell r="B10" t="str">
            <v>Agrupación Solar el Algarrobo III, S.L.U.</v>
          </cell>
          <cell r="C10" t="str">
            <v>CIF B91815027</v>
          </cell>
          <cell r="D10" t="str">
            <v>c/ Las Cruzadas 3A, local D</v>
          </cell>
          <cell r="E10" t="str">
            <v>Sevilla 41004</v>
          </cell>
        </row>
        <row r="11">
          <cell r="B11" t="str">
            <v>Astrom Technical Advisors S.L.</v>
          </cell>
          <cell r="C11" t="str">
            <v>CIF B84304872</v>
          </cell>
          <cell r="D11" t="str">
            <v>c/ Serrano 8, 31 Izda</v>
          </cell>
          <cell r="E11" t="str">
            <v>28001 Madrid</v>
          </cell>
        </row>
        <row r="12">
          <cell r="B12" t="str">
            <v>aBalados S.L.</v>
          </cell>
          <cell r="C12" t="str">
            <v>CIF B91559971</v>
          </cell>
          <cell r="D12" t="str">
            <v>c/ Las Cruzadas 3A, local D</v>
          </cell>
          <cell r="E12" t="str">
            <v>Sevilla 41004</v>
          </cell>
        </row>
        <row r="13">
          <cell r="B13" t="str">
            <v>Gehrlicher Solar España S.L.</v>
          </cell>
          <cell r="C13" t="str">
            <v>CIF B73116634</v>
          </cell>
          <cell r="D13" t="str">
            <v>c/ Valle del Guadalentín, 2 2ª planta
P.I. Marimingo C.N. Noroeste</v>
          </cell>
          <cell r="E13" t="str">
            <v>30180 Bullas (Murcia)</v>
          </cell>
        </row>
        <row r="14">
          <cell r="B14" t="str">
            <v>WOC FOTOVOLTAICA ESPAÑA SL 2 S.COM</v>
          </cell>
          <cell r="C14" t="str">
            <v>CIF D65098626</v>
          </cell>
          <cell r="D14" t="str">
            <v>c/ Las Cruzadas 3A, local D</v>
          </cell>
          <cell r="E14" t="str">
            <v>Sevilla 41004</v>
          </cell>
        </row>
        <row r="15">
          <cell r="B15" t="str">
            <v>WOC Fotovoltaica España 2.1 S.L. S. Com.</v>
          </cell>
          <cell r="C15" t="str">
            <v>CIF D91845669</v>
          </cell>
          <cell r="D15" t="str">
            <v>c/ Las Cruzadas 3A, local D</v>
          </cell>
          <cell r="E15" t="str">
            <v>Sevilla 41004</v>
          </cell>
        </row>
        <row r="16">
          <cell r="B16" t="str">
            <v>WOC Fotovoltaica España 2.1 S.L.U.</v>
          </cell>
          <cell r="C16" t="str">
            <v>CIF B91845560</v>
          </cell>
          <cell r="D16" t="str">
            <v>c/ Las Cruzadas 3A, local D</v>
          </cell>
          <cell r="E16" t="str">
            <v>Sevilla 41004</v>
          </cell>
        </row>
        <row r="17">
          <cell r="B17" t="str">
            <v>WOC Fotovoltaica España Proyecto Sollana S.L.U.</v>
          </cell>
          <cell r="C17" t="str">
            <v>CIF B91849190</v>
          </cell>
          <cell r="D17" t="str">
            <v>c/ Las Cruzadas 3A, local D</v>
          </cell>
          <cell r="E17" t="str">
            <v>Sevilla 41004</v>
          </cell>
        </row>
        <row r="18">
          <cell r="B18" t="str">
            <v>WOC Fotovoltaica España 2.2 S.L. S. Com.</v>
          </cell>
          <cell r="C18" t="str">
            <v>CIF D91879916</v>
          </cell>
          <cell r="D18" t="str">
            <v>c/ Las Cruzadas 3A, local D</v>
          </cell>
          <cell r="E18" t="str">
            <v>Sevilla 41004</v>
          </cell>
        </row>
        <row r="19">
          <cell r="B19" t="str">
            <v>WOC Fotovoltaica España 2.2 S.L.U.</v>
          </cell>
          <cell r="C19" t="str">
            <v>CIF B91878892</v>
          </cell>
          <cell r="D19" t="str">
            <v>c/ Las Cruzadas 3A, local D</v>
          </cell>
          <cell r="E19" t="str">
            <v>Sevilla 41004</v>
          </cell>
        </row>
        <row r="20">
          <cell r="B20" t="str">
            <v>WOC Fotovoltaica España 2.3 S.L. S. Com.</v>
          </cell>
          <cell r="C20" t="str">
            <v>CIF D91879924</v>
          </cell>
          <cell r="D20" t="str">
            <v>c/ Las Cruzadas 3A, local D</v>
          </cell>
          <cell r="E20" t="str">
            <v>Sevilla 41004</v>
          </cell>
        </row>
        <row r="21">
          <cell r="B21" t="str">
            <v>WOC Fotovoltaica España 2.3 S.L.U.</v>
          </cell>
          <cell r="C21" t="str">
            <v>CIF B91878900</v>
          </cell>
          <cell r="D21" t="str">
            <v>c/ Las Cruzadas 3A, local D</v>
          </cell>
          <cell r="E21" t="str">
            <v>Sevilla 41004</v>
          </cell>
        </row>
        <row r="22">
          <cell r="B22" t="str">
            <v>ES Garrovers Energía Solar S.L.U.</v>
          </cell>
          <cell r="C22" t="str">
            <v>CIF B57463663</v>
          </cell>
          <cell r="D22" t="str">
            <v>c/ Las Cruzadas 3A, local D</v>
          </cell>
          <cell r="E22" t="str">
            <v>Sevilla 41004</v>
          </cell>
        </row>
        <row r="23">
          <cell r="B23" t="str">
            <v>WOC Fotovoltaica España 2.4 S.L. S. Com.</v>
          </cell>
          <cell r="C23" t="str">
            <v>CIF D91882142</v>
          </cell>
          <cell r="D23" t="str">
            <v>c/ Las Cruzadas 3A, local D</v>
          </cell>
          <cell r="E23" t="str">
            <v>Sevilla 41004</v>
          </cell>
        </row>
        <row r="24">
          <cell r="B24" t="str">
            <v>WOC Fotovoltaica España 2.4 S.L.U.</v>
          </cell>
          <cell r="C24" t="str">
            <v>CIF B91881870</v>
          </cell>
          <cell r="D24" t="str">
            <v>c/ Las Cruzadas 3A, local D</v>
          </cell>
          <cell r="E24" t="str">
            <v>Sevilla 41004</v>
          </cell>
        </row>
        <row r="25">
          <cell r="B25" t="str">
            <v>WOC Fotovoltaica España 2.5 S.L. S. Com.</v>
          </cell>
          <cell r="C25" t="str">
            <v>CIF D91882167</v>
          </cell>
          <cell r="D25" t="str">
            <v>c/ Las Cruzadas 3A, local D</v>
          </cell>
          <cell r="E25" t="str">
            <v>Sevilla 41004</v>
          </cell>
        </row>
        <row r="26">
          <cell r="B26" t="str">
            <v>WOC Fotovoltaica España 2.5 S.L.U.</v>
          </cell>
          <cell r="C26" t="str">
            <v>CIF B91881854</v>
          </cell>
          <cell r="D26" t="str">
            <v>c/ Las Cruzadas 3A, local D</v>
          </cell>
          <cell r="E26" t="str">
            <v>Sevilla 41004</v>
          </cell>
        </row>
        <row r="27">
          <cell r="B27" t="str">
            <v>Contreras Parque Solar S.L.U.</v>
          </cell>
          <cell r="C27" t="str">
            <v>CIF B85978294</v>
          </cell>
          <cell r="D27" t="str">
            <v>c/ Las Cruzadas 3A, local D</v>
          </cell>
          <cell r="E27" t="str">
            <v>Sevilla 41004</v>
          </cell>
        </row>
        <row r="28">
          <cell r="B28" t="str">
            <v>Lo Illán  Parque Solar S.L.U.</v>
          </cell>
          <cell r="C28" t="str">
            <v>CIF B85978302</v>
          </cell>
          <cell r="D28" t="str">
            <v>c/ Las Cruzadas 3A, local D</v>
          </cell>
          <cell r="E28" t="str">
            <v>Sevilla 41004</v>
          </cell>
        </row>
        <row r="29">
          <cell r="B29" t="str">
            <v>Turbinto Parque Solar S.L.U.</v>
          </cell>
          <cell r="C29" t="str">
            <v>CIF B85978393</v>
          </cell>
          <cell r="D29" t="str">
            <v>c/ Las Cruzadas 3A, local D</v>
          </cell>
          <cell r="E29" t="str">
            <v>Sevilla 41004</v>
          </cell>
        </row>
        <row r="30">
          <cell r="B30" t="str">
            <v>Rodríguez I Parque Solar S.L.U.</v>
          </cell>
          <cell r="C30" t="str">
            <v>CIF B85978328</v>
          </cell>
          <cell r="D30" t="str">
            <v>c/ Las Cruzadas 3A, local D</v>
          </cell>
          <cell r="E30" t="str">
            <v>Sevilla 41004</v>
          </cell>
        </row>
        <row r="31">
          <cell r="B31" t="str">
            <v>Rodríguez II Parque Solar S.L.U.</v>
          </cell>
          <cell r="C31" t="str">
            <v>CIF B85978369</v>
          </cell>
          <cell r="D31" t="str">
            <v>c/ Las Cruzadas 3A, local D</v>
          </cell>
          <cell r="E31" t="str">
            <v>Sevilla 41004</v>
          </cell>
        </row>
        <row r="32">
          <cell r="B32" t="str">
            <v>WOC Fotovoltaica España 2.6 S.L. S. Com.</v>
          </cell>
          <cell r="C32" t="str">
            <v>CIF D91882167</v>
          </cell>
          <cell r="D32" t="str">
            <v>c/ Las Cruzadas 3A, local D</v>
          </cell>
          <cell r="E32" t="str">
            <v>Sevilla 41004</v>
          </cell>
        </row>
        <row r="33">
          <cell r="B33" t="str">
            <v>WOC Fotovoltaica España 2.6 S.L.U.</v>
          </cell>
          <cell r="C33" t="str">
            <v>CIF B91881854</v>
          </cell>
          <cell r="D33" t="str">
            <v>c/ Las Cruzadas 3A, local D</v>
          </cell>
          <cell r="E33" t="str">
            <v>Sevilla 41004</v>
          </cell>
        </row>
        <row r="34">
          <cell r="B34" t="str">
            <v xml:space="preserve">WOC Fotovoltaica España, 2.7, S.L.U. </v>
          </cell>
          <cell r="C34" t="str">
            <v>CIF B91902007</v>
          </cell>
          <cell r="D34" t="str">
            <v>c/ Las Cruzadas 3A, local D</v>
          </cell>
          <cell r="E34" t="str">
            <v>Sevilla 41004</v>
          </cell>
        </row>
        <row r="35">
          <cell r="B35" t="str">
            <v>WOC Fotovoltaica España, 2.7, S.L, S.Com</v>
          </cell>
          <cell r="C35" t="str">
            <v>CIF D91902031</v>
          </cell>
          <cell r="D35" t="str">
            <v>c/ Las Cruzadas 3A, local D</v>
          </cell>
          <cell r="E35" t="str">
            <v>Sevilla 41004</v>
          </cell>
        </row>
        <row r="36">
          <cell r="B36" t="str">
            <v>Amberg V S.L.U.</v>
          </cell>
          <cell r="C36" t="str">
            <v>CIF B25703653</v>
          </cell>
          <cell r="D36" t="str">
            <v>c/ Las Cruzadas 3A, local D</v>
          </cell>
          <cell r="E36" t="str">
            <v>Sevilla 41004</v>
          </cell>
        </row>
        <row r="37">
          <cell r="B37" t="str">
            <v>Solar Photo Collect S.L.U.</v>
          </cell>
          <cell r="C37" t="str">
            <v>CIF B98133861</v>
          </cell>
          <cell r="D37" t="str">
            <v>c/ Las Cruzadas 3A, local D</v>
          </cell>
          <cell r="E37" t="str">
            <v>Sevilla 41004</v>
          </cell>
        </row>
        <row r="38">
          <cell r="B38" t="str">
            <v xml:space="preserve">Rasteding PV I, S.L.U. </v>
          </cell>
          <cell r="C38" t="str">
            <v>CIF B25690827</v>
          </cell>
          <cell r="D38" t="str">
            <v>c/ Las Cruzadas 3A, local D</v>
          </cell>
          <cell r="E38" t="str">
            <v>Sevilla 41004</v>
          </cell>
        </row>
        <row r="39">
          <cell r="B39" t="str">
            <v>Amberg II S.L.U.</v>
          </cell>
          <cell r="C39" t="str">
            <v>CIF B25703596</v>
          </cell>
          <cell r="D39" t="str">
            <v>c/ Las Cruzadas 3A, local D</v>
          </cell>
          <cell r="E39" t="str">
            <v>Sevilla 41004</v>
          </cell>
        </row>
        <row r="40">
          <cell r="B40" t="str">
            <v>Tiksi PV II S.L.U.</v>
          </cell>
          <cell r="C40" t="str">
            <v>CIF B25680067</v>
          </cell>
          <cell r="D40" t="str">
            <v>c/ Las Cruzadas 3A, local D</v>
          </cell>
          <cell r="E40" t="str">
            <v>Sevilla 41004</v>
          </cell>
        </row>
        <row r="41">
          <cell r="B41" t="str">
            <v>Solar Photo Corp S.L.U.</v>
          </cell>
          <cell r="C41" t="str">
            <v>CIF B98174642</v>
          </cell>
          <cell r="D41" t="str">
            <v>c/ Las Cruzadas 3A, local D</v>
          </cell>
          <cell r="E41" t="str">
            <v>Sevilla 41004</v>
          </cell>
        </row>
        <row r="42">
          <cell r="B42" t="str">
            <v xml:space="preserve">WOC Fotovoltaica España, 2.8, S.L.U. </v>
          </cell>
          <cell r="C42" t="str">
            <v>CIF B91902049</v>
          </cell>
          <cell r="D42" t="str">
            <v>c/ Las Cruzadas 3A, local D</v>
          </cell>
          <cell r="E42" t="str">
            <v>Sevilla 41004</v>
          </cell>
        </row>
        <row r="43">
          <cell r="B43" t="str">
            <v>WOC Fotovoltaica España, 2.8, S.L, S.Com</v>
          </cell>
          <cell r="C43" t="str">
            <v>CIF D91902064</v>
          </cell>
          <cell r="D43" t="str">
            <v>c/ Las Cruzadas 3A, local D</v>
          </cell>
          <cell r="E43" t="str">
            <v>Sevilla 41004</v>
          </cell>
        </row>
        <row r="44">
          <cell r="B44" t="str">
            <v xml:space="preserve">WOC Fotovoltaica España, 2.9, S.L.U. </v>
          </cell>
          <cell r="C44" t="str">
            <v>CIF B91902072</v>
          </cell>
          <cell r="D44" t="str">
            <v>c/ Las Cruzadas 3A, local D</v>
          </cell>
          <cell r="E44" t="str">
            <v>Sevilla 41004</v>
          </cell>
        </row>
        <row r="45">
          <cell r="B45" t="str">
            <v>WOC Fotovoltaica España 2.9 S.L. S. Com.</v>
          </cell>
          <cell r="C45" t="str">
            <v>CIF D91902098</v>
          </cell>
          <cell r="D45" t="str">
            <v>c/ Las Cruzadas 3A, local D</v>
          </cell>
          <cell r="E45" t="str">
            <v>Sevilla 41004</v>
          </cell>
        </row>
        <row r="46">
          <cell r="B46" t="str">
            <v xml:space="preserve">WOC Fotovoltaica España, 2.10, S.L.U. </v>
          </cell>
          <cell r="C46" t="str">
            <v>CIF B91902114</v>
          </cell>
          <cell r="D46" t="str">
            <v>c/ Las Cruzadas 3A, local D</v>
          </cell>
          <cell r="E46" t="str">
            <v>Sevilla 41004</v>
          </cell>
        </row>
        <row r="47">
          <cell r="B47" t="str">
            <v>WOC Fotovoltaica España, 2.10, S.L, S.Com</v>
          </cell>
          <cell r="C47" t="str">
            <v>CIF D91902130</v>
          </cell>
          <cell r="D47" t="str">
            <v>c/ Las Cruzadas 3A, local D</v>
          </cell>
          <cell r="E47" t="str">
            <v>Sevilla 41004</v>
          </cell>
        </row>
        <row r="48">
          <cell r="B48" t="str">
            <v>Golf de El Puerto, S.A.</v>
          </cell>
          <cell r="C48" t="str">
            <v>CIF A11454345</v>
          </cell>
          <cell r="D48" t="str">
            <v>Avda. Ramón de Carranza</v>
          </cell>
          <cell r="E48" t="str">
            <v>11006 Cádiz</v>
          </cell>
        </row>
        <row r="49">
          <cell r="B49" t="str">
            <v>Tractebel Engineering S.A. (Dubai Branch)</v>
          </cell>
          <cell r="C49"/>
          <cell r="D49" t="str">
            <v>2502, Al-Shafar Tower 1, Al-Barsha Area - Tecom</v>
          </cell>
          <cell r="E49" t="str">
            <v>P.O. Box 191795, Dubai, U.A.E.</v>
          </cell>
        </row>
        <row r="50">
          <cell r="B50" t="str">
            <v>Agrupación  Solar Valverde S.L.U.</v>
          </cell>
          <cell r="C50" t="str">
            <v>CIF B98041171</v>
          </cell>
          <cell r="D50" t="str">
            <v>c/ Las Cruzadas 3A, local D</v>
          </cell>
          <cell r="E50" t="str">
            <v>Sevilla 41004</v>
          </cell>
        </row>
        <row r="51">
          <cell r="B51" t="str">
            <v>Badsolar Inversión 2008 S.L.U.</v>
          </cell>
          <cell r="C51" t="str">
            <v>CIF B98041429</v>
          </cell>
          <cell r="D51" t="str">
            <v>c/ Las Cruzadas 3A, local D</v>
          </cell>
          <cell r="E51" t="str">
            <v>Sevilla 41004</v>
          </cell>
        </row>
        <row r="52">
          <cell r="B52" t="str">
            <v>Benefits de Valverde 2008 S.L.U.</v>
          </cell>
          <cell r="C52" t="str">
            <v>CIF B98041270</v>
          </cell>
          <cell r="D52" t="str">
            <v>c/ Las Cruzadas 3A, local D</v>
          </cell>
          <cell r="E52" t="str">
            <v>Sevilla 41004</v>
          </cell>
        </row>
        <row r="53">
          <cell r="B53" t="str">
            <v>Deasom Solar de Valverde S.L.U.</v>
          </cell>
          <cell r="C53" t="str">
            <v>CIF B98041387</v>
          </cell>
          <cell r="D53" t="str">
            <v>c/ Las Cruzadas 3A, local D</v>
          </cell>
          <cell r="E53" t="str">
            <v>Sevilla 41004</v>
          </cell>
        </row>
        <row r="54">
          <cell r="B54" t="str">
            <v>Dehesa Solar 2008 S.L.U.</v>
          </cell>
          <cell r="C54" t="str">
            <v>CIF B98041262</v>
          </cell>
          <cell r="D54" t="str">
            <v>c/ Las Cruzadas 3A, local D</v>
          </cell>
          <cell r="E54" t="str">
            <v>Sevilla 41004</v>
          </cell>
        </row>
        <row r="55">
          <cell r="B55" t="str">
            <v>Explotación Olivenza 1 S.L.U.</v>
          </cell>
          <cell r="C55" t="str">
            <v>CIF B98041221</v>
          </cell>
          <cell r="D55" t="str">
            <v>c/ Las Cruzadas 3A, local D</v>
          </cell>
          <cell r="E55" t="str">
            <v>Sevilla 41004</v>
          </cell>
        </row>
        <row r="56">
          <cell r="B56" t="str">
            <v>Explotación Solar Valverde 1S.L.U.</v>
          </cell>
          <cell r="C56" t="str">
            <v>CIF B98041379</v>
          </cell>
          <cell r="D56" t="str">
            <v>c/ Las Cruzadas 3A, local D</v>
          </cell>
          <cell r="E56" t="str">
            <v>Sevilla 41004</v>
          </cell>
        </row>
        <row r="57">
          <cell r="B57" t="str">
            <v>Inlugesc Inversiones Solares S.L.U.</v>
          </cell>
          <cell r="C57" t="str">
            <v>CIF B98041346</v>
          </cell>
          <cell r="D57" t="str">
            <v>c/ Las Cruzadas 3A, local D</v>
          </cell>
          <cell r="E57" t="str">
            <v>Sevilla 41004</v>
          </cell>
        </row>
        <row r="58">
          <cell r="B58" t="str">
            <v>Insolia Extremadura S.L.U.</v>
          </cell>
          <cell r="C58" t="str">
            <v>CIF B98041411</v>
          </cell>
          <cell r="D58" t="str">
            <v>c/ Las Cruzadas 3A, local D</v>
          </cell>
          <cell r="E58" t="str">
            <v>Sevilla 41004</v>
          </cell>
        </row>
        <row r="59">
          <cell r="B59" t="str">
            <v>Invesolar Vale 2008 S.L.U.</v>
          </cell>
          <cell r="C59" t="str">
            <v>CIF B98041486</v>
          </cell>
          <cell r="D59" t="str">
            <v>c/ Las Cruzadas 3A, local D</v>
          </cell>
          <cell r="E59" t="str">
            <v>Sevilla 41004</v>
          </cell>
        </row>
        <row r="60">
          <cell r="B60" t="str">
            <v>Invren Solar 2008 S.L.U.</v>
          </cell>
          <cell r="C60" t="str">
            <v xml:space="preserve">CIF B98041460                                 </v>
          </cell>
          <cell r="D60" t="str">
            <v>c/ Las Cruzadas 3A, local D</v>
          </cell>
          <cell r="E60" t="str">
            <v>Sevilla 41004</v>
          </cell>
        </row>
        <row r="61">
          <cell r="B61" t="str">
            <v>Línea Olivenza 25 S.L.U.</v>
          </cell>
          <cell r="C61" t="str">
            <v>CIF B98041437</v>
          </cell>
          <cell r="D61" t="str">
            <v>c/ Las Cruzadas 3A, local D</v>
          </cell>
          <cell r="E61" t="str">
            <v>Sevilla 41004</v>
          </cell>
        </row>
        <row r="62">
          <cell r="B62" t="str">
            <v>Línea Olivenza Solar S.L.U.</v>
          </cell>
          <cell r="C62" t="str">
            <v>CIF B98041239</v>
          </cell>
          <cell r="D62" t="str">
            <v>c/ Las Cruzadas 3A, local D</v>
          </cell>
          <cell r="E62" t="str">
            <v>Sevilla 41004</v>
          </cell>
        </row>
        <row r="63">
          <cell r="B63" t="str">
            <v>Olival Solar 2008 S.L.U.</v>
          </cell>
          <cell r="C63" t="str">
            <v>CIF B98041338</v>
          </cell>
          <cell r="D63" t="str">
            <v>c/ Las Cruzadas 3A, local D</v>
          </cell>
          <cell r="E63" t="str">
            <v>Sevilla 41004</v>
          </cell>
        </row>
        <row r="64">
          <cell r="B64" t="str">
            <v>Polígono 1 Parcela 37 Solar S.L.U.</v>
          </cell>
          <cell r="C64" t="str">
            <v>CIF B98041395</v>
          </cell>
          <cell r="D64" t="str">
            <v>c/ Las Cruzadas 3A, local D</v>
          </cell>
          <cell r="E64" t="str">
            <v>Sevilla 41004</v>
          </cell>
        </row>
        <row r="65">
          <cell r="B65" t="str">
            <v>Pozomasa Solar 2008 S.L.U.</v>
          </cell>
          <cell r="C65" t="str">
            <v>CIF B98041452</v>
          </cell>
          <cell r="D65" t="str">
            <v>c/ Las Cruzadas 3A, local D</v>
          </cell>
          <cell r="E65" t="str">
            <v>Sevilla 41004</v>
          </cell>
        </row>
        <row r="66">
          <cell r="B66" t="str">
            <v>Rad Solar 2008 S.L.U.</v>
          </cell>
          <cell r="C66" t="str">
            <v>CIF B98041254</v>
          </cell>
          <cell r="D66" t="str">
            <v>c/ Las Cruzadas 3A, local D</v>
          </cell>
          <cell r="E66" t="str">
            <v>Sevilla 41004</v>
          </cell>
        </row>
        <row r="67">
          <cell r="B67" t="str">
            <v>Renex de Inversiones S.L.U.</v>
          </cell>
          <cell r="C67" t="str">
            <v>CIF B98041130</v>
          </cell>
          <cell r="D67" t="str">
            <v>c/ Las Cruzadas 3A, local D</v>
          </cell>
          <cell r="E67" t="str">
            <v>Sevilla 41004</v>
          </cell>
        </row>
        <row r="68">
          <cell r="B68" t="str">
            <v>Renova Valverde Leganés S.L.U.</v>
          </cell>
          <cell r="C68" t="str">
            <v>CIF B98041445</v>
          </cell>
          <cell r="D68" t="str">
            <v>c/ Las Cruzadas 3A, local D</v>
          </cell>
          <cell r="E68" t="str">
            <v>Sevilla 41004</v>
          </cell>
        </row>
        <row r="69">
          <cell r="B69" t="str">
            <v>San Rafael Solar S.L.U.</v>
          </cell>
          <cell r="C69" t="str">
            <v>CIF B98041247</v>
          </cell>
          <cell r="D69" t="str">
            <v>c/ Las Cruzadas 3A, local D</v>
          </cell>
          <cell r="E69" t="str">
            <v>Sevilla 41004</v>
          </cell>
        </row>
        <row r="70">
          <cell r="B70" t="str">
            <v>Solar Trading 2008 S.L.U.</v>
          </cell>
          <cell r="C70" t="str">
            <v>CIF B98041353</v>
          </cell>
          <cell r="D70" t="str">
            <v>c/ Las Cruzadas 3A, local D</v>
          </cell>
          <cell r="E70" t="str">
            <v>Sevilla 41004</v>
          </cell>
        </row>
        <row r="71">
          <cell r="B71" t="str">
            <v>Sun Garden 27 S.L.U.</v>
          </cell>
          <cell r="C71" t="str">
            <v>CIF B98041197</v>
          </cell>
          <cell r="D71" t="str">
            <v>c/ Las Cruzadas 3A, local D</v>
          </cell>
          <cell r="E71" t="str">
            <v>Sevilla 41004</v>
          </cell>
        </row>
        <row r="72">
          <cell r="B72" t="str">
            <v>Valega de Inversión Solar S.L.U.</v>
          </cell>
          <cell r="C72" t="str">
            <v>CIF B98041478</v>
          </cell>
          <cell r="D72" t="str">
            <v>c/ Las Cruzadas 3A, local D</v>
          </cell>
          <cell r="E72" t="str">
            <v>Sevilla 41004</v>
          </cell>
        </row>
        <row r="73">
          <cell r="B73" t="str">
            <v>Valex 2033 S.L.U.</v>
          </cell>
          <cell r="C73" t="str">
            <v>CIF B98041163</v>
          </cell>
          <cell r="D73" t="str">
            <v>c/ Las Cruzadas 3A, local D</v>
          </cell>
          <cell r="E73" t="str">
            <v>Sevilla 41004</v>
          </cell>
        </row>
        <row r="74">
          <cell r="B74" t="str">
            <v>Valverde Bussines 2008 S.L.U.</v>
          </cell>
          <cell r="C74" t="str">
            <v>CIF B98041098</v>
          </cell>
          <cell r="D74" t="str">
            <v>c/ Las Cruzadas 3A, local D</v>
          </cell>
          <cell r="E74" t="str">
            <v>Sevilla 41004</v>
          </cell>
        </row>
        <row r="75">
          <cell r="B75" t="str">
            <v>Asoma Solar 16 S.L.U.</v>
          </cell>
          <cell r="C75" t="str">
            <v>CIF B97966436</v>
          </cell>
          <cell r="D75" t="str">
            <v>c/ Las Cruzadas 3A, local D</v>
          </cell>
          <cell r="E75" t="str">
            <v>Sevilla 41004</v>
          </cell>
        </row>
        <row r="76">
          <cell r="B76" t="str">
            <v>Avoner PS Castuera S.L.U.</v>
          </cell>
          <cell r="C76" t="str">
            <v>CIF B97966428</v>
          </cell>
          <cell r="D76" t="str">
            <v>c/ Las Cruzadas 3A, local D</v>
          </cell>
          <cell r="E76" t="str">
            <v>Sevilla 41004</v>
          </cell>
        </row>
        <row r="77">
          <cell r="B77" t="str">
            <v>BLC Pasol de Energias S.L.U.</v>
          </cell>
          <cell r="C77" t="str">
            <v>CIF B97966444</v>
          </cell>
          <cell r="D77" t="str">
            <v>c/ Las Cruzadas 3A, local D</v>
          </cell>
          <cell r="E77" t="str">
            <v>Sevilla 41004</v>
          </cell>
        </row>
        <row r="78">
          <cell r="B78" t="str">
            <v>Energias PCRV de la Serna S.L.U.</v>
          </cell>
          <cell r="C78" t="str">
            <v>CIF B97966451</v>
          </cell>
          <cell r="D78" t="str">
            <v>c/ Las Cruzadas 3A, local D</v>
          </cell>
          <cell r="E78" t="str">
            <v>Sevilla 41004</v>
          </cell>
        </row>
        <row r="79">
          <cell r="B79" t="str">
            <v>Explotación Solar Planta Asomadilla S.L.U.</v>
          </cell>
          <cell r="C79" t="str">
            <v>CIF B97966311</v>
          </cell>
          <cell r="D79" t="str">
            <v>c/ Las Cruzadas 3A, local D</v>
          </cell>
          <cell r="E79" t="str">
            <v>Sevilla 41004</v>
          </cell>
        </row>
        <row r="80">
          <cell r="B80" t="str">
            <v>Expoinver Castuera 2007 S.L.U.</v>
          </cell>
          <cell r="C80" t="str">
            <v>CIF B97966303</v>
          </cell>
          <cell r="D80" t="str">
            <v>c/ Las Cruzadas 3A, local D</v>
          </cell>
          <cell r="E80" t="str">
            <v>Sevilla 41004</v>
          </cell>
        </row>
        <row r="81">
          <cell r="B81" t="str">
            <v>Finca Asomadilla 16 S.L.U.</v>
          </cell>
          <cell r="C81" t="str">
            <v>CIF B97966279</v>
          </cell>
          <cell r="D81" t="str">
            <v>c/ Las Cruzadas 3A, local D</v>
          </cell>
          <cell r="E81" t="str">
            <v>Sevilla 41004</v>
          </cell>
        </row>
        <row r="82">
          <cell r="B82" t="str">
            <v>ILCG Inversiones Solares de Levante S.L.U.</v>
          </cell>
          <cell r="C82" t="str">
            <v>CIF B97966295</v>
          </cell>
          <cell r="D82" t="str">
            <v>c/ Las Cruzadas 3A, local D</v>
          </cell>
          <cell r="E82" t="str">
            <v>Sevilla 41004</v>
          </cell>
        </row>
        <row r="83">
          <cell r="B83" t="str">
            <v>Invallalb Energia del Mediterraneo S.L.U.</v>
          </cell>
          <cell r="C83" t="str">
            <v>CIF B97966329</v>
          </cell>
          <cell r="D83" t="str">
            <v>c/ Las Cruzadas 3A, local D</v>
          </cell>
          <cell r="E83" t="str">
            <v>Sevilla 41004</v>
          </cell>
        </row>
        <row r="84">
          <cell r="B84" t="str">
            <v>Inversiones Energeticas RN de Levante S.L.U.</v>
          </cell>
          <cell r="C84" t="str">
            <v>CIF B97966345</v>
          </cell>
          <cell r="D84" t="str">
            <v>c/ Las Cruzadas 3A, local D</v>
          </cell>
          <cell r="E84" t="str">
            <v>Sevilla 41004</v>
          </cell>
        </row>
        <row r="85">
          <cell r="B85" t="str">
            <v>Inversiones RENVA3 Extremadura S.L.U.</v>
          </cell>
          <cell r="C85" t="str">
            <v>CIF B97966410</v>
          </cell>
          <cell r="D85" t="str">
            <v>c/ Las Cruzadas 3A, local D</v>
          </cell>
          <cell r="E85" t="str">
            <v>Sevilla 41004</v>
          </cell>
        </row>
        <row r="86">
          <cell r="B86" t="str">
            <v>Inversiones Renovables Valverde S.L.U.</v>
          </cell>
          <cell r="C86" t="str">
            <v>CIF B97966394</v>
          </cell>
          <cell r="D86" t="str">
            <v>c/ Las Cruzadas 3A, local D</v>
          </cell>
          <cell r="E86" t="str">
            <v>Sevilla 41004</v>
          </cell>
        </row>
        <row r="87">
          <cell r="B87" t="str">
            <v>Planta Dehesa Asomadillas Solar S.L.U.</v>
          </cell>
          <cell r="C87" t="str">
            <v>CIF B97966360</v>
          </cell>
          <cell r="D87" t="str">
            <v>c/ Las Cruzadas 3A, local D</v>
          </cell>
          <cell r="E87" t="str">
            <v>Sevilla 41004</v>
          </cell>
        </row>
        <row r="88">
          <cell r="B88" t="str">
            <v>Polígono 39 Castuera S.L.U.</v>
          </cell>
          <cell r="C88" t="str">
            <v>CIF B97966378</v>
          </cell>
          <cell r="D88" t="str">
            <v>c/ Las Cruzadas 3A, local D</v>
          </cell>
          <cell r="E88" t="str">
            <v>Sevilla 41004</v>
          </cell>
        </row>
        <row r="89">
          <cell r="B89" t="str">
            <v>RNSR Invest 2007 de la Serena S.L.U.</v>
          </cell>
          <cell r="C89" t="str">
            <v>CIF B97966337</v>
          </cell>
          <cell r="D89" t="str">
            <v>c/ Las Cruzadas 3A, local D</v>
          </cell>
          <cell r="E89" t="str">
            <v>Sevilla 41004</v>
          </cell>
        </row>
        <row r="90">
          <cell r="B90" t="str">
            <v>Valcast Solar 2007 S.L.U.</v>
          </cell>
          <cell r="C90" t="str">
            <v>CIF B97966352</v>
          </cell>
          <cell r="D90" t="str">
            <v>c/ Las Cruzadas 3A, local D</v>
          </cell>
          <cell r="E90" t="str">
            <v>Sevilla 41004</v>
          </cell>
        </row>
        <row r="91">
          <cell r="B91" t="str">
            <v>Bonsolar de Levante S.L.U.</v>
          </cell>
          <cell r="C91" t="str">
            <v>CIF B97959845</v>
          </cell>
          <cell r="D91" t="str">
            <v>c/ Las Cruzadas 3A, local D</v>
          </cell>
          <cell r="E91" t="str">
            <v>Sevilla 41004</v>
          </cell>
        </row>
        <row r="92">
          <cell r="B92" t="str">
            <v>Invercubiertas de Levante S.L.U.</v>
          </cell>
          <cell r="C92" t="str">
            <v>CIF B97959860</v>
          </cell>
          <cell r="D92" t="str">
            <v>c/ Las Cruzadas 3A, local D</v>
          </cell>
          <cell r="E92" t="str">
            <v>Sevilla 41004</v>
          </cell>
        </row>
        <row r="93">
          <cell r="B93" t="str">
            <v>Watios Pico de Levante S.L.U.</v>
          </cell>
          <cell r="C93" t="str">
            <v>CIF B97959878</v>
          </cell>
          <cell r="D93" t="str">
            <v>c/ Las Cruzadas 3A, local D</v>
          </cell>
          <cell r="E93" t="str">
            <v>Sevilla 41004</v>
          </cell>
        </row>
        <row r="94">
          <cell r="B94" t="str">
            <v>Astrom aBalados S.L.</v>
          </cell>
          <cell r="C94" t="str">
            <v>CIF B85978393</v>
          </cell>
          <cell r="D94" t="str">
            <v>c/ Las Cruzadas 3A, local D</v>
          </cell>
          <cell r="E94" t="str">
            <v>Sevilla 41004</v>
          </cell>
        </row>
        <row r="95">
          <cell r="B95" t="str">
            <v>Boralex Solaire Lauragais SAS</v>
          </cell>
          <cell r="C95" t="str">
            <v>FR62520618158</v>
          </cell>
          <cell r="D95" t="str">
            <v>71, rue Jean Jaures</v>
          </cell>
          <cell r="E95" t="str">
            <v>62575 Blendecques (France)</v>
          </cell>
        </row>
        <row r="96">
          <cell r="B96" t="str">
            <v>Generacio Fotovoltaica SL</v>
          </cell>
          <cell r="C96" t="str">
            <v>CIF B57240939</v>
          </cell>
          <cell r="D96" t="str">
            <v>C/ Parellades, 6 1º Pta B</v>
          </cell>
          <cell r="E96" t="str">
            <v>Palma de Mallorca 07003</v>
          </cell>
        </row>
        <row r="97">
          <cell r="B97" t="str">
            <v xml:space="preserve">Progetti FV 6 di Progetti FV 6 SRL &amp; C. SAS </v>
          </cell>
          <cell r="C97" t="str">
            <v>07479180965</v>
          </cell>
          <cell r="D97" t="str">
            <v>Via Buenos Aires 64a (1st Floor)</v>
          </cell>
          <cell r="E97" t="str">
            <v>20124 Milano (Italia)</v>
          </cell>
        </row>
        <row r="98">
          <cell r="B98" t="str">
            <v xml:space="preserve">Progetti FV 4 di Progetti FV 4 SRL &amp; C. SAS </v>
          </cell>
          <cell r="C98" t="str">
            <v>07479130960</v>
          </cell>
          <cell r="D98" t="str">
            <v>Via Buenos Aires 64a (1st Floor)</v>
          </cell>
          <cell r="E98" t="str">
            <v>20124 Milano (Italia)</v>
          </cell>
        </row>
        <row r="99">
          <cell r="B99" t="str">
            <v xml:space="preserve">Progetti FV 5 di Progetti FV 5 SRL &amp; C. SAS </v>
          </cell>
          <cell r="C99" t="str">
            <v>07479160967</v>
          </cell>
          <cell r="D99" t="str">
            <v>Via Buenos Aires 64a (1st Floor)</v>
          </cell>
          <cell r="E99" t="str">
            <v>20124 Milano (Italia)</v>
          </cell>
        </row>
        <row r="100">
          <cell r="B100" t="str">
            <v xml:space="preserve">Progetti FV 8 di Progetti FV 8 SRL &amp; C. SAS </v>
          </cell>
          <cell r="C100" t="str">
            <v>07479260965</v>
          </cell>
          <cell r="D100" t="str">
            <v>Via Buenos Aires 64a (1st Floor)</v>
          </cell>
          <cell r="E100" t="str">
            <v>20124 Milano (Italia)</v>
          </cell>
        </row>
        <row r="101">
          <cell r="B101" t="str">
            <v>Progetti FV 9 di Progetti FV 9 SRL &amp; C. SAS</v>
          </cell>
          <cell r="C101" t="str">
            <v>07479270964</v>
          </cell>
          <cell r="D101" t="str">
            <v>Via Buenos Aires 64a (1st Floor)</v>
          </cell>
          <cell r="E101" t="str">
            <v>20124 Milano (Italia)</v>
          </cell>
        </row>
        <row r="102">
          <cell r="B102" t="str">
            <v>WOC Asset Management GmbH</v>
          </cell>
          <cell r="C102" t="str">
            <v>DE270589072</v>
          </cell>
          <cell r="D102" t="str">
            <v>Ida-Ehre-Platz 12</v>
          </cell>
          <cell r="E102" t="str">
            <v>20095 Hamburg</v>
          </cell>
        </row>
        <row r="103">
          <cell r="B103" t="str">
            <v>The World Bank</v>
          </cell>
          <cell r="D103" t="str">
            <v>1818 H Street, N. W</v>
          </cell>
          <cell r="E103" t="str">
            <v>Washington, DC 20433</v>
          </cell>
        </row>
        <row r="104">
          <cell r="B104" t="str">
            <v>Universidad Politécnica de Madrid. Instituto de Energía Solar</v>
          </cell>
          <cell r="C104" t="str">
            <v>Q2818015F</v>
          </cell>
          <cell r="D104" t="str">
            <v>Campus Sur. Ctra. de Valencia, km. 7</v>
          </cell>
          <cell r="E104" t="str">
            <v>28031 Madrid</v>
          </cell>
        </row>
        <row r="105">
          <cell r="B105" t="str">
            <v>KRK Energy Service S.r.l.</v>
          </cell>
          <cell r="C105" t="str">
            <v>IT03872700160</v>
          </cell>
          <cell r="D105" t="str">
            <v xml:space="preserve">Via Trieste, 37 </v>
          </cell>
          <cell r="E105" t="str">
            <v>24057 Martinengo (BG) (Italia)</v>
          </cell>
        </row>
        <row r="106">
          <cell r="B106" t="str">
            <v>Álvaro Pérez San Segundo</v>
          </cell>
          <cell r="C106" t="str">
            <v>28.910.474-A</v>
          </cell>
          <cell r="D106" t="str">
            <v>c/ Virgen de Luján 3-2F</v>
          </cell>
          <cell r="E106" t="str">
            <v>41011 Sevilla</v>
          </cell>
        </row>
        <row r="107">
          <cell r="B107" t="str">
            <v>Cintia Martínez Prieto</v>
          </cell>
          <cell r="C107" t="str">
            <v>28.622.802-S</v>
          </cell>
          <cell r="D107" t="str">
            <v>Plaza Nueva 13, esc. B Planta 2ª</v>
          </cell>
          <cell r="E107" t="str">
            <v>41001 Sevilla</v>
          </cell>
        </row>
        <row r="108">
          <cell r="B108" t="str">
            <v>Pedro Mañas Escorza</v>
          </cell>
          <cell r="C108" t="str">
            <v>28.640.173-K</v>
          </cell>
          <cell r="D108" t="str">
            <v>San Salvador 32, bl3 2ºA</v>
          </cell>
          <cell r="E108" t="str">
            <v>41013 Sevilla</v>
          </cell>
        </row>
        <row r="109">
          <cell r="B109" t="str">
            <v>Schletter GmbH</v>
          </cell>
          <cell r="C109" t="str">
            <v>DE 129257294</v>
          </cell>
          <cell r="D109" t="str">
            <v>Alustraße 1</v>
          </cell>
          <cell r="E109" t="str">
            <v>83527 Kirchdorf</v>
          </cell>
        </row>
        <row r="110">
          <cell r="B110" t="str">
            <v>C.P. PUENTE Y PELLON 14</v>
          </cell>
          <cell r="C110" t="str">
            <v>CIF H90017989</v>
          </cell>
          <cell r="D110" t="str">
            <v>Puente y Pellón 14</v>
          </cell>
          <cell r="E110" t="str">
            <v>41004 Sevilla</v>
          </cell>
        </row>
        <row r="111">
          <cell r="B111" t="str">
            <v>Javier Valladares Ruiz</v>
          </cell>
          <cell r="C111" t="str">
            <v>NIF 45658133M</v>
          </cell>
          <cell r="D111" t="str">
            <v>c/ Barrau 1 2ºD</v>
          </cell>
          <cell r="E111" t="str">
            <v>41018 Sevilla</v>
          </cell>
        </row>
        <row r="112">
          <cell r="B112" t="str">
            <v>KGAL ESPF 4 Holding SARL</v>
          </cell>
          <cell r="C112" t="str">
            <v>LU30260606</v>
          </cell>
          <cell r="D112" t="str">
            <v>1c rue Gabriel Lippmann</v>
          </cell>
          <cell r="E112" t="str">
            <v>5356 Munsbach (LUX)</v>
          </cell>
        </row>
        <row r="113">
          <cell r="B113" t="str">
            <v>aBalados Management S.L.</v>
          </cell>
          <cell r="C113" t="str">
            <v>CIF B90029729</v>
          </cell>
          <cell r="D113" t="str">
            <v>c/ Las Cruzadas 3A, local D</v>
          </cell>
          <cell r="E113" t="str">
            <v>41004 Sevilla</v>
          </cell>
        </row>
        <row r="114">
          <cell r="B114" t="str">
            <v>Transportes Apiche S.L.</v>
          </cell>
          <cell r="C114" t="str">
            <v>CIF B73149965</v>
          </cell>
          <cell r="D114" t="str">
            <v>Crta Granada s/n Apdo 491</v>
          </cell>
          <cell r="E114" t="str">
            <v>30800 Lorca (MU)</v>
          </cell>
        </row>
        <row r="115">
          <cell r="B115" t="str">
            <v>Reciclados Llorca S.L.</v>
          </cell>
          <cell r="C115" t="str">
            <v>CIF B91610709</v>
          </cell>
          <cell r="D115" t="str">
            <v>c/ Leonardo Da Vinci 51</v>
          </cell>
          <cell r="E115" t="str">
            <v>41300 San José de la Rinconada</v>
          </cell>
        </row>
        <row r="116">
          <cell r="B116" t="str">
            <v>Elecnor S.A.</v>
          </cell>
          <cell r="C116" t="str">
            <v>CIF A48027056</v>
          </cell>
          <cell r="D116" t="str">
            <v>c/ Marqués Mondéjar, 33</v>
          </cell>
          <cell r="E116" t="str">
            <v>28028 Madrid</v>
          </cell>
        </row>
        <row r="117">
          <cell r="B117" t="str">
            <v>TCO SOLAR SARL</v>
          </cell>
          <cell r="C117" t="str">
            <v>VAT-ID: FR25 533 970 034</v>
          </cell>
          <cell r="D117" t="str">
            <v>63 rue de Forbin</v>
          </cell>
          <cell r="E117" t="str">
            <v>13002 Marseille</v>
          </cell>
        </row>
        <row r="118">
          <cell r="B118" t="str">
            <v>Aneltia Trading S.L.U</v>
          </cell>
          <cell r="C118" t="str">
            <v>CIF B99413403</v>
          </cell>
          <cell r="D118" t="str">
            <v>Paseo de Sagasta 17, 3º Izquierda B</v>
          </cell>
          <cell r="E118" t="str">
            <v>Zaragoza 50008</v>
          </cell>
        </row>
        <row r="119">
          <cell r="B119" t="str">
            <v>FLP Renewables Promotion S.L.U.</v>
          </cell>
          <cell r="C119" t="str">
            <v>CIF B85726297</v>
          </cell>
          <cell r="D119" t="str">
            <v>c/ Las Cruzadas 3A, local D</v>
          </cell>
          <cell r="E119" t="str">
            <v>41004 Sevilla</v>
          </cell>
        </row>
        <row r="120">
          <cell r="B120" t="str">
            <v>GCE Invest Renewable GmbH</v>
          </cell>
          <cell r="C120" t="str">
            <v>DE313956702</v>
          </cell>
          <cell r="D120" t="str">
            <v>Zirkus-Krone-Strasse 10</v>
          </cell>
          <cell r="E120" t="str">
            <v>80335 München (Alemania)</v>
          </cell>
        </row>
        <row r="121">
          <cell r="B121" t="str">
            <v>Alectoris Energía Sostenible 5, S.L.</v>
          </cell>
          <cell r="C121" t="str">
            <v>CIF B99453326</v>
          </cell>
          <cell r="D121" t="str">
            <v>c/ Las Cruzadas 3A, local D</v>
          </cell>
          <cell r="E121" t="str">
            <v>41004 Sevilla</v>
          </cell>
        </row>
        <row r="122">
          <cell r="B122" t="str">
            <v>Kurt Beer</v>
          </cell>
          <cell r="C122" t="str">
            <v>NIE X1516030P</v>
          </cell>
          <cell r="D122" t="str">
            <v>Loma Los Lirios, Los Llanos, 252</v>
          </cell>
          <cell r="E122" t="str">
            <v>29680 Estepona (Málaga)</v>
          </cell>
        </row>
        <row r="123">
          <cell r="B123" t="str">
            <v>José Antonio Salazar Murillo</v>
          </cell>
          <cell r="C123" t="str">
            <v>NIF 28250865B</v>
          </cell>
          <cell r="D123" t="str">
            <v>c/ Las Cruzadas 3A</v>
          </cell>
          <cell r="E123" t="str">
            <v>41004 Sevilla</v>
          </cell>
        </row>
        <row r="124">
          <cell r="B124" t="str">
            <v>Evergy Engineering GmbH</v>
          </cell>
          <cell r="C124" t="str">
            <v>DE813934801</v>
          </cell>
          <cell r="D124" t="str">
            <v>Malsenstrasse 84</v>
          </cell>
          <cell r="E124" t="str">
            <v>80638 München (Alemania)</v>
          </cell>
        </row>
        <row r="125">
          <cell r="B125" t="str">
            <v>PLANTA SOLAR EL CALAVERÓN A.I.E.</v>
          </cell>
          <cell r="C125" t="str">
            <v>CIF V13471149</v>
          </cell>
          <cell r="D125" t="str">
            <v>C/ Serrano 27, 3º izq.</v>
          </cell>
          <cell r="E125" t="str">
            <v>28001 Madrid</v>
          </cell>
        </row>
        <row r="126">
          <cell r="B126" t="str">
            <v>White Summit Capital Asesores, S.L.</v>
          </cell>
          <cell r="C126" t="str">
            <v>CIF B87779468</v>
          </cell>
          <cell r="D126" t="str">
            <v>c/ Serrano 41 4º</v>
          </cell>
          <cell r="E126" t="str">
            <v>28001 Madrid</v>
          </cell>
        </row>
        <row r="127">
          <cell r="B127" t="str">
            <v>Gestora del kiosko SL</v>
          </cell>
          <cell r="C127" t="str">
            <v>CIF B90316266</v>
          </cell>
          <cell r="D127" t="str">
            <v>Virgen de la Oliva - Quiosco</v>
          </cell>
          <cell r="E127" t="str">
            <v>41011 Sevilla</v>
          </cell>
        </row>
        <row r="128">
          <cell r="B128" t="str">
            <v>Watio Capital</v>
          </cell>
          <cell r="C128" t="str">
            <v>CIF B87036521</v>
          </cell>
          <cell r="D128" t="str">
            <v>c/ Fernández de la Hoz 70, 1B</v>
          </cell>
          <cell r="E128" t="str">
            <v>28003 Madrid</v>
          </cell>
        </row>
        <row r="129">
          <cell r="B129" t="str">
            <v>Soluciones Aeconova S.L.</v>
          </cell>
          <cell r="C129" t="str">
            <v>CIF B90418427</v>
          </cell>
          <cell r="D129" t="str">
            <v>Avda. de La Raza 1A mód 18</v>
          </cell>
          <cell r="E129" t="str">
            <v>41012 Sevilla</v>
          </cell>
        </row>
        <row r="130">
          <cell r="B130" t="str">
            <v>Inver Generación 1, S.L.</v>
          </cell>
          <cell r="C130" t="str">
            <v>CIF B71334833</v>
          </cell>
          <cell r="D130" t="str">
            <v>c/ Las Cruzadas 3A, local D</v>
          </cell>
          <cell r="E130" t="str">
            <v>41004 Sevilla</v>
          </cell>
        </row>
        <row r="131">
          <cell r="B131" t="str">
            <v>NOVASOL INVEST LA ISLA S.L.</v>
          </cell>
          <cell r="C131" t="str">
            <v>NIF B91822882</v>
          </cell>
          <cell r="D131" t="str">
            <v>CL/FEDERICO SANCHEZ BEDOYA,2-I 7</v>
          </cell>
          <cell r="E131" t="str">
            <v>41013 SEVILLA</v>
          </cell>
        </row>
        <row r="132">
          <cell r="B132" t="str">
            <v>China Triumph International Engineering Co.,Ltd.</v>
          </cell>
          <cell r="C132" t="str">
            <v>91310000102016281D</v>
          </cell>
          <cell r="D132" t="str">
            <v>27fl Zhongqi building, 2000 North Zhongshan Road</v>
          </cell>
          <cell r="E132" t="str">
            <v>200063 Shanghai (China)</v>
          </cell>
        </row>
      </sheetData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Macro"/>
      <sheetName val="Tarifas 2013"/>
      <sheetName val="Tarifas 2014"/>
      <sheetName val="Tarifa 2016 BC"/>
      <sheetName val="Tarifas 2016"/>
      <sheetName val="Tarifa 2021 BC"/>
      <sheetName val="Resumen"/>
      <sheetName val="Tarifa 2019 BC"/>
      <sheetName val="Tarifa 2018 BC"/>
      <sheetName val="Numeración A_Intracomunitarias"/>
      <sheetName val="Numeración  NOComunitaria"/>
      <sheetName val="Numeración ISP"/>
      <sheetName val="aBonos ISP"/>
      <sheetName val="Num B_Finan_Chatarra_Sin IVA"/>
      <sheetName val="Proforma"/>
      <sheetName val="Tarifas 2015"/>
      <sheetName val="aBonos A"/>
      <sheetName val="aBonos AB"/>
      <sheetName val="Clientes"/>
      <sheetName val="Datos"/>
      <sheetName val="Tarifas 2011"/>
      <sheetName val="Tarifas 2010"/>
      <sheetName val="Tarifas 20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SARL</v>
          </cell>
          <cell r="B118" t="str">
            <v>VAT-ID: 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0.1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  <row r="132">
          <cell r="A132" t="str">
            <v>NOVASOL INVEST LA ISLA S.L.</v>
          </cell>
          <cell r="B132" t="str">
            <v>NIF B91822882</v>
          </cell>
          <cell r="C132" t="str">
            <v>2020-007</v>
          </cell>
          <cell r="D132">
            <v>0</v>
          </cell>
        </row>
        <row r="133">
          <cell r="A133" t="str">
            <v>China Triumph International Engineering Co.,Ltd.</v>
          </cell>
          <cell r="B133" t="str">
            <v>91310000102016281D</v>
          </cell>
          <cell r="C133" t="str">
            <v>2020-008</v>
          </cell>
          <cell r="D133">
            <v>0</v>
          </cell>
        </row>
        <row r="134">
          <cell r="A134" t="str">
            <v>ALMIRANS, S.L.U.</v>
          </cell>
          <cell r="B134" t="str">
            <v>CIF B21390463</v>
          </cell>
          <cell r="C134" t="str">
            <v>2021-001</v>
          </cell>
          <cell r="D134">
            <v>0</v>
          </cell>
        </row>
        <row r="135">
          <cell r="A135" t="str">
            <v>BayWa r.e. España S.L.U.</v>
          </cell>
          <cell r="B135" t="str">
            <v>CIF B65415762</v>
          </cell>
          <cell r="C135" t="str">
            <v>2021-002</v>
          </cell>
          <cell r="D135">
            <v>0</v>
          </cell>
        </row>
        <row r="136">
          <cell r="A136" t="str">
            <v>Valcabado Renovables 220 kV, S.L.</v>
          </cell>
          <cell r="B136" t="str">
            <v>CIF B42768697</v>
          </cell>
          <cell r="C136" t="str">
            <v>2021-003</v>
          </cell>
          <cell r="D136">
            <v>0</v>
          </cell>
        </row>
        <row r="137">
          <cell r="A137" t="str">
            <v>Langsyne Spain S.L.U.</v>
          </cell>
          <cell r="B137" t="str">
            <v>CIF B85277762</v>
          </cell>
          <cell r="C137" t="str">
            <v>2021-004</v>
          </cell>
          <cell r="D137">
            <v>0</v>
          </cell>
        </row>
        <row r="138">
          <cell r="A138" t="str">
            <v>FP LUX REIO PV ZARAGOZA SL.</v>
          </cell>
          <cell r="B138" t="str">
            <v>CIF B99453326</v>
          </cell>
          <cell r="C138" t="str">
            <v>2019-005</v>
          </cell>
          <cell r="D138">
            <v>0</v>
          </cell>
        </row>
        <row r="139">
          <cell r="A139" t="str">
            <v>Grijota Renovables, S.L.</v>
          </cell>
          <cell r="B139" t="str">
            <v>CIF B02963767</v>
          </cell>
          <cell r="C139" t="str">
            <v>2021-005</v>
          </cell>
          <cell r="D139">
            <v>0</v>
          </cell>
        </row>
        <row r="140">
          <cell r="A140" t="str">
            <v>Cubillos Renovables 66kV, S.L.</v>
          </cell>
          <cell r="B140" t="str">
            <v>CIF B05457049</v>
          </cell>
          <cell r="C140" t="str">
            <v>2021-006</v>
          </cell>
          <cell r="D140">
            <v>0</v>
          </cell>
        </row>
        <row r="141">
          <cell r="A141" t="str">
            <v>Sun Tol I, S.L.U.</v>
          </cell>
          <cell r="B141" t="str">
            <v>CIF B88187612</v>
          </cell>
          <cell r="C141" t="str">
            <v>2021-007</v>
          </cell>
          <cell r="D141">
            <v>0</v>
          </cell>
        </row>
        <row r="142">
          <cell r="A142" t="str">
            <v>SAECO de la dirección de infraestructura del E.T.</v>
          </cell>
          <cell r="B142" t="str">
            <v>NIF S2830108C</v>
          </cell>
          <cell r="C142" t="str">
            <v>2021-008</v>
          </cell>
          <cell r="D142">
            <v>0</v>
          </cell>
        </row>
        <row r="143">
          <cell r="A143" t="str">
            <v>China Triumph International Engineering Co., LTD EP EN SPAIN</v>
          </cell>
          <cell r="B143" t="str">
            <v>CIF W7203013C</v>
          </cell>
          <cell r="C143" t="str">
            <v>2021-009</v>
          </cell>
          <cell r="D143">
            <v>0</v>
          </cell>
        </row>
        <row r="144">
          <cell r="A144" t="str">
            <v>SMP Power GmbH</v>
          </cell>
          <cell r="B144" t="str">
            <v>DE345388995</v>
          </cell>
          <cell r="C144" t="str">
            <v>2021-010</v>
          </cell>
          <cell r="D144">
            <v>0</v>
          </cell>
        </row>
        <row r="145">
          <cell r="A145" t="str">
            <v>Tordesillas Renovables, S.L.</v>
          </cell>
          <cell r="B145" t="str">
            <v>CIF B02750818</v>
          </cell>
          <cell r="C145" t="str">
            <v>2021-011</v>
          </cell>
          <cell r="D145">
            <v>0</v>
          </cell>
        </row>
        <row r="146">
          <cell r="A146" t="str">
            <v xml:space="preserve">Piquito Ole </v>
          </cell>
          <cell r="B146" t="str">
            <v>CIF B90482050</v>
          </cell>
          <cell r="C146" t="str">
            <v>2021-012</v>
          </cell>
        </row>
      </sheetData>
      <sheetData sheetId="19"/>
      <sheetData sheetId="20"/>
      <sheetData sheetId="21"/>
      <sheetData sheetId="2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Macro"/>
      <sheetName val="Resumen"/>
      <sheetName val="Tarifas 2013"/>
      <sheetName val="Tarifas 2014"/>
      <sheetName val="Tarifa 2016 BC"/>
      <sheetName val="Tarifas 2016"/>
      <sheetName val="Tarifa 2020 BC"/>
      <sheetName val="Tarifa 2019 BC"/>
      <sheetName val="Tarifa 2018 BC"/>
      <sheetName val="Numeración A_Intracomunitarias"/>
      <sheetName val="Num A_Intr Pendientes otros año"/>
      <sheetName val="Num B_Finan_Chatarra_Sin IVA"/>
      <sheetName val="Proforma"/>
      <sheetName val="Tarifas 2015"/>
      <sheetName val="aBonos A"/>
      <sheetName val="Clientes"/>
      <sheetName val="Datos"/>
      <sheetName val="aBonos AB"/>
      <sheetName val="Tarifas 2011"/>
      <sheetName val="Tarifas 2010"/>
      <sheetName val="Tarifas 201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SARL</v>
          </cell>
          <cell r="B118" t="str">
            <v>VAT-ID: 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hyperlink" Target="mailto:aBalados@abalados.es" TargetMode="External" Id="rId1"/><Relationship Type="http://schemas.openxmlformats.org/officeDocument/2006/relationships/hyperlink" Target="mailto:aBalados@abalados.es" TargetMode="External" Id="rId2"/><Relationship Type="http://schemas.openxmlformats.org/officeDocument/2006/relationships/hyperlink" Target="mailto:aBalados@abalados.es" TargetMode="External" Id="rId3"/><Relationship Type="http://schemas.openxmlformats.org/officeDocument/2006/relationships/hyperlink" Target="mailto:aBalados@abalados.es" TargetMode="External" Id="rId4"/><Relationship Type="http://schemas.openxmlformats.org/officeDocument/2006/relationships/hyperlink" Target="mailto:aBalados@abalados.es" TargetMode="External" Id="rId5"/><Relationship Type="http://schemas.openxmlformats.org/officeDocument/2006/relationships/hyperlink" Target="mailto:aBalados@abalados.es" TargetMode="External" Id="rId6"/><Relationship Type="http://schemas.openxmlformats.org/officeDocument/2006/relationships/hyperlink" Target="mailto:aBalados@abalados.es" TargetMode="External" Id="rId7"/><Relationship Type="http://schemas.openxmlformats.org/officeDocument/2006/relationships/hyperlink" Target="mailto:aBalados@abalados.es" TargetMode="External" Id="rId8"/><Relationship Type="http://schemas.openxmlformats.org/officeDocument/2006/relationships/hyperlink" Target="mailto:aBalados@abalados.es" TargetMode="External" Id="rId9"/><Relationship Type="http://schemas.openxmlformats.org/officeDocument/2006/relationships/hyperlink" Target="mailto:aBalados@abalados.es" TargetMode="External" Id="rId10"/><Relationship Type="http://schemas.openxmlformats.org/officeDocument/2006/relationships/hyperlink" Target="mailto:aBalados@abalados.es" TargetMode="External" Id="rId11"/><Relationship Type="http://schemas.openxmlformats.org/officeDocument/2006/relationships/hyperlink" Target="mailto:aBalados@abalados.es" TargetMode="External" Id="rId12"/><Relationship Type="http://schemas.openxmlformats.org/officeDocument/2006/relationships/hyperlink" Target="mailto:aBalados@abalados.es" TargetMode="External" Id="rId13"/><Relationship Type="http://schemas.openxmlformats.org/officeDocument/2006/relationships/hyperlink" Target="mailto:aBalados@abalados.es" TargetMode="External" Id="rId14"/><Relationship Type="http://schemas.openxmlformats.org/officeDocument/2006/relationships/hyperlink" Target="mailto:aBalados@abalados.es" TargetMode="External" Id="rId15"/><Relationship Type="http://schemas.openxmlformats.org/officeDocument/2006/relationships/hyperlink" Target="mailto:aBalados@abalados.es" TargetMode="External" Id="rId16"/><Relationship Type="http://schemas.openxmlformats.org/officeDocument/2006/relationships/hyperlink" Target="mailto:aBalados@abalados.es" TargetMode="External" Id="rId17"/><Relationship Type="http://schemas.openxmlformats.org/officeDocument/2006/relationships/hyperlink" Target="mailto:aBalados@abalados.es" TargetMode="External" Id="rId18"/><Relationship Type="http://schemas.openxmlformats.org/officeDocument/2006/relationships/hyperlink" Target="mailto:aBalados@abalados.es" TargetMode="External" Id="rId19"/><Relationship Type="http://schemas.openxmlformats.org/officeDocument/2006/relationships/hyperlink" Target="mailto:aBalados@abalados.es" TargetMode="External" Id="rId20"/><Relationship Type="http://schemas.openxmlformats.org/officeDocument/2006/relationships/hyperlink" Target="mailto:aBalados@abalados.es" TargetMode="External" Id="rId21"/><Relationship Type="http://schemas.openxmlformats.org/officeDocument/2006/relationships/hyperlink" Target="mailto:aBalados@abalados.es" TargetMode="External" Id="rId22"/><Relationship Type="http://schemas.openxmlformats.org/officeDocument/2006/relationships/hyperlink" Target="mailto:aBalados@abalados.es" TargetMode="External" Id="rId23"/><Relationship Type="http://schemas.openxmlformats.org/officeDocument/2006/relationships/hyperlink" Target="mailto:aBalados@abalados.es" TargetMode="External" Id="rId24"/><Relationship Type="http://schemas.openxmlformats.org/officeDocument/2006/relationships/hyperlink" Target="mailto:aBalados@abalados.es" TargetMode="External" Id="rId25"/><Relationship Type="http://schemas.openxmlformats.org/officeDocument/2006/relationships/hyperlink" Target="mailto:aBalados@abalados.es" TargetMode="External" Id="rId26"/><Relationship Type="http://schemas.openxmlformats.org/officeDocument/2006/relationships/hyperlink" Target="mailto:aBalados@abalados.es" TargetMode="External" Id="rId27"/><Relationship Type="http://schemas.openxmlformats.org/officeDocument/2006/relationships/hyperlink" Target="mailto:aBalados@abalados.es" TargetMode="External" Id="rId28"/><Relationship Type="http://schemas.openxmlformats.org/officeDocument/2006/relationships/hyperlink" Target="mailto:aBalados@abalados.es" TargetMode="External" Id="rId29"/><Relationship Type="http://schemas.openxmlformats.org/officeDocument/2006/relationships/hyperlink" Target="mailto:aBalados@abalados.es" TargetMode="External" Id="rId30"/><Relationship Type="http://schemas.openxmlformats.org/officeDocument/2006/relationships/hyperlink" Target="mailto:aBalados@abalados.es" TargetMode="External" Id="rId31"/><Relationship Type="http://schemas.openxmlformats.org/officeDocument/2006/relationships/hyperlink" Target="mailto:aBalados@abalados.es" TargetMode="External" Id="rId32"/><Relationship Type="http://schemas.openxmlformats.org/officeDocument/2006/relationships/hyperlink" Target="mailto:aBalados@abalados.es" TargetMode="External" Id="rId33"/><Relationship Type="http://schemas.openxmlformats.org/officeDocument/2006/relationships/hyperlink" Target="mailto:aBalados@abalados.es" TargetMode="External" Id="rId34"/><Relationship Type="http://schemas.openxmlformats.org/officeDocument/2006/relationships/hyperlink" Target="mailto:aBalados@abalados.es" TargetMode="External" Id="rId35"/><Relationship Type="http://schemas.openxmlformats.org/officeDocument/2006/relationships/hyperlink" Target="mailto:aBalados@abalados.es" TargetMode="External" Id="rId36"/><Relationship Type="http://schemas.openxmlformats.org/officeDocument/2006/relationships/hyperlink" Target="mailto:aBalados@abalados.es" TargetMode="External" Id="rId37"/><Relationship Type="http://schemas.openxmlformats.org/officeDocument/2006/relationships/hyperlink" Target="mailto:aBalados@abalados.es" TargetMode="External" Id="rId38"/><Relationship Type="http://schemas.openxmlformats.org/officeDocument/2006/relationships/hyperlink" Target="mailto:aBalados@abalados.es" TargetMode="External" Id="rId39"/><Relationship Type="http://schemas.openxmlformats.org/officeDocument/2006/relationships/hyperlink" Target="mailto:aBalados@abalados.es" TargetMode="External" Id="rId40"/><Relationship Type="http://schemas.openxmlformats.org/officeDocument/2006/relationships/hyperlink" Target="mailto:aBalados@abalados.es" TargetMode="External" Id="rId41"/><Relationship Type="http://schemas.openxmlformats.org/officeDocument/2006/relationships/hyperlink" Target="mailto:aBalados@abalados.es" TargetMode="External" Id="rId42"/><Relationship Type="http://schemas.openxmlformats.org/officeDocument/2006/relationships/hyperlink" Target="mailto:aBalados@abalados.es" TargetMode="External" Id="rId43"/><Relationship Type="http://schemas.openxmlformats.org/officeDocument/2006/relationships/hyperlink" Target="mailto:aBalados@abalados.es" TargetMode="External" Id="rId44"/><Relationship Type="http://schemas.openxmlformats.org/officeDocument/2006/relationships/hyperlink" Target="mailto:aBalados@abalados.es" TargetMode="External" Id="rId45"/><Relationship Type="http://schemas.openxmlformats.org/officeDocument/2006/relationships/hyperlink" Target="mailto:aBalados@abalados.es" TargetMode="External" Id="rId46"/><Relationship Type="http://schemas.openxmlformats.org/officeDocument/2006/relationships/hyperlink" Target="mailto:aBalados@abalados.es" TargetMode="External" Id="rId47"/><Relationship Type="http://schemas.openxmlformats.org/officeDocument/2006/relationships/hyperlink" Target="mailto:aBalados@abalados.es" TargetMode="External" Id="rId48"/><Relationship Type="http://schemas.openxmlformats.org/officeDocument/2006/relationships/hyperlink" Target="mailto:aBalados@abalados.es" TargetMode="External" Id="rId49"/><Relationship Type="http://schemas.openxmlformats.org/officeDocument/2006/relationships/hyperlink" Target="mailto:aBalados@abalados.es" TargetMode="External" Id="rId50"/><Relationship Type="http://schemas.openxmlformats.org/officeDocument/2006/relationships/hyperlink" Target="mailto:aBalados@abalados.es" TargetMode="External" Id="rId51"/><Relationship Type="http://schemas.openxmlformats.org/officeDocument/2006/relationships/hyperlink" Target="mailto:aBalados@abalados.es" TargetMode="External" Id="rId52"/><Relationship Type="http://schemas.openxmlformats.org/officeDocument/2006/relationships/hyperlink" Target="mailto:aBalados@abalados.es" TargetMode="External" Id="rId53"/><Relationship Type="http://schemas.openxmlformats.org/officeDocument/2006/relationships/hyperlink" Target="mailto:aBalados@abalados.es" TargetMode="External" Id="rId54"/><Relationship Type="http://schemas.openxmlformats.org/officeDocument/2006/relationships/hyperlink" Target="mailto:aBalados@abalados.es" TargetMode="External" Id="rId55"/><Relationship Type="http://schemas.openxmlformats.org/officeDocument/2006/relationships/hyperlink" Target="mailto:aBalados@abalados.es" TargetMode="External" Id="rId56"/><Relationship Type="http://schemas.openxmlformats.org/officeDocument/2006/relationships/hyperlink" Target="mailto:aBalados@abalados.es" TargetMode="External" Id="rId57"/><Relationship Type="http://schemas.openxmlformats.org/officeDocument/2006/relationships/hyperlink" Target="mailto:aBalados@abalados.es" TargetMode="External" Id="rId58"/><Relationship Type="http://schemas.openxmlformats.org/officeDocument/2006/relationships/hyperlink" Target="mailto:aBalados@abalados.es" TargetMode="External" Id="rId59"/><Relationship Type="http://schemas.openxmlformats.org/officeDocument/2006/relationships/hyperlink" Target="mailto:aBalados@abalados.es" TargetMode="External" Id="rId60"/><Relationship Type="http://schemas.openxmlformats.org/officeDocument/2006/relationships/hyperlink" Target="mailto:aBalados@abalados.es" TargetMode="External" Id="rId61"/><Relationship Type="http://schemas.openxmlformats.org/officeDocument/2006/relationships/hyperlink" Target="mailto:aBalados@abalados.es" TargetMode="External" Id="rId62"/><Relationship Type="http://schemas.openxmlformats.org/officeDocument/2006/relationships/hyperlink" Target="mailto:aBalados@abalados.es" TargetMode="External" Id="rId63"/><Relationship Type="http://schemas.openxmlformats.org/officeDocument/2006/relationships/hyperlink" Target="mailto:aBalados@abalados.es" TargetMode="External" Id="rId64"/><Relationship Type="http://schemas.openxmlformats.org/officeDocument/2006/relationships/hyperlink" Target="mailto:aBalados@abalados.es" TargetMode="External" Id="rId65"/><Relationship Type="http://schemas.openxmlformats.org/officeDocument/2006/relationships/hyperlink" Target="mailto:aBalados@abalados.es" TargetMode="External" Id="rId66"/><Relationship Type="http://schemas.openxmlformats.org/officeDocument/2006/relationships/hyperlink" Target="mailto:aBalados@abalados.es" TargetMode="External" Id="rId67"/><Relationship Type="http://schemas.openxmlformats.org/officeDocument/2006/relationships/hyperlink" Target="mailto:aBalados@abalados.es" TargetMode="External" Id="rId68"/><Relationship Type="http://schemas.openxmlformats.org/officeDocument/2006/relationships/hyperlink" Target="mailto:aBalados@abalados.es" TargetMode="External" Id="rId69"/><Relationship Type="http://schemas.openxmlformats.org/officeDocument/2006/relationships/hyperlink" Target="mailto:aBalados@abalados.es" TargetMode="External" Id="rId70"/><Relationship Type="http://schemas.openxmlformats.org/officeDocument/2006/relationships/hyperlink" Target="mailto:aBalados@abalados.es" TargetMode="External" Id="rId71"/><Relationship Type="http://schemas.openxmlformats.org/officeDocument/2006/relationships/hyperlink" Target="mailto:aBalados@abalados.es" TargetMode="External" Id="rId72"/><Relationship Type="http://schemas.openxmlformats.org/officeDocument/2006/relationships/hyperlink" Target="mailto:aBalados@abalados.es" TargetMode="External" Id="rId73"/><Relationship Type="http://schemas.openxmlformats.org/officeDocument/2006/relationships/hyperlink" Target="mailto:aBalados@abalados.es" TargetMode="External" Id="rId74"/><Relationship Type="http://schemas.openxmlformats.org/officeDocument/2006/relationships/hyperlink" Target="mailto:aBalados@abalados.es" TargetMode="External" Id="rId75"/><Relationship Type="http://schemas.openxmlformats.org/officeDocument/2006/relationships/hyperlink" Target="mailto:aBalados@abalados.es" TargetMode="External" Id="rId76"/><Relationship Type="http://schemas.openxmlformats.org/officeDocument/2006/relationships/hyperlink" Target="mailto:aBalados@abalados.es" TargetMode="External" Id="rId77"/><Relationship Type="http://schemas.openxmlformats.org/officeDocument/2006/relationships/hyperlink" Target="mailto:aBalados@abalados.es" TargetMode="External" Id="rId78"/><Relationship Type="http://schemas.openxmlformats.org/officeDocument/2006/relationships/hyperlink" Target="mailto:aBalados@abalados.es" TargetMode="External" Id="rId79"/><Relationship Type="http://schemas.openxmlformats.org/officeDocument/2006/relationships/hyperlink" Target="mailto:aBalados@abalados.es" TargetMode="External" Id="rId80"/><Relationship Type="http://schemas.openxmlformats.org/officeDocument/2006/relationships/hyperlink" Target="mailto:aBalados@abalados.es" TargetMode="External" Id="rId81"/><Relationship Type="http://schemas.openxmlformats.org/officeDocument/2006/relationships/hyperlink" Target="mailto:aBalados@abalados.es" TargetMode="External" Id="rId82"/><Relationship Type="http://schemas.openxmlformats.org/officeDocument/2006/relationships/hyperlink" Target="mailto:aBalados@abalados.es" TargetMode="External" Id="rId83"/><Relationship Type="http://schemas.openxmlformats.org/officeDocument/2006/relationships/hyperlink" Target="mailto:aBalados@abalados.es" TargetMode="External" Id="rId84"/><Relationship Type="http://schemas.openxmlformats.org/officeDocument/2006/relationships/hyperlink" Target="mailto:aBalados@abalados.es" TargetMode="External" Id="rId85"/><Relationship Type="http://schemas.openxmlformats.org/officeDocument/2006/relationships/hyperlink" Target="mailto:aBalados@abalados.es" TargetMode="External" Id="rId86"/><Relationship Type="http://schemas.openxmlformats.org/officeDocument/2006/relationships/hyperlink" Target="mailto:aBalados@abalados.es" TargetMode="External" Id="rId87"/><Relationship Type="http://schemas.openxmlformats.org/officeDocument/2006/relationships/hyperlink" Target="mailto:aBalados@abalados.es" TargetMode="External" Id="rId88"/><Relationship Type="http://schemas.openxmlformats.org/officeDocument/2006/relationships/hyperlink" Target="mailto:aBalados@abalados.es" TargetMode="External" Id="rId89"/><Relationship Type="http://schemas.openxmlformats.org/officeDocument/2006/relationships/hyperlink" Target="mailto:aBalados@abalados.es" TargetMode="External" Id="rId90"/><Relationship Type="http://schemas.openxmlformats.org/officeDocument/2006/relationships/hyperlink" Target="mailto:aBalados@abalados.es" TargetMode="External" Id="rId91"/><Relationship Type="http://schemas.openxmlformats.org/officeDocument/2006/relationships/hyperlink" Target="mailto:aBalados@abalados.es" TargetMode="External" Id="rId92"/><Relationship Type="http://schemas.openxmlformats.org/officeDocument/2006/relationships/hyperlink" Target="mailto:aBalados@abalados.es" TargetMode="External" Id="rId93"/><Relationship Type="http://schemas.openxmlformats.org/officeDocument/2006/relationships/hyperlink" Target="mailto:aBalados@abalados.es" TargetMode="External" Id="rId94"/><Relationship Type="http://schemas.openxmlformats.org/officeDocument/2006/relationships/hyperlink" Target="mailto:aBalados@abalados.es" TargetMode="External" Id="rId95"/><Relationship Type="http://schemas.openxmlformats.org/officeDocument/2006/relationships/hyperlink" Target="mailto:aBalados@abalados.es" TargetMode="External" Id="rId96"/><Relationship Type="http://schemas.openxmlformats.org/officeDocument/2006/relationships/hyperlink" Target="mailto:aBalados@abalados.es" TargetMode="External" Id="rId97"/><Relationship Type="http://schemas.openxmlformats.org/officeDocument/2006/relationships/hyperlink" Target="mailto:aBalados@abalados.es" TargetMode="External" Id="rId98"/><Relationship Type="http://schemas.openxmlformats.org/officeDocument/2006/relationships/hyperlink" Target="mailto:aBalados@abalados.es" TargetMode="External" Id="rId99"/><Relationship Type="http://schemas.openxmlformats.org/officeDocument/2006/relationships/hyperlink" Target="mailto:aBalados@abalados.es" TargetMode="External" Id="rId100"/><Relationship Type="http://schemas.openxmlformats.org/officeDocument/2006/relationships/hyperlink" Target="mailto:aBalados@abalados.es" TargetMode="External" Id="rId101"/><Relationship Type="http://schemas.openxmlformats.org/officeDocument/2006/relationships/hyperlink" Target="mailto:aBalados@abalados.es" TargetMode="External" Id="rId102"/><Relationship Type="http://schemas.openxmlformats.org/officeDocument/2006/relationships/hyperlink" Target="mailto:aBalados@abalados.es" TargetMode="External" Id="rId103"/><Relationship Type="http://schemas.openxmlformats.org/officeDocument/2006/relationships/hyperlink" Target="mailto:aBalados@abalados.es" TargetMode="External" Id="rId104"/><Relationship Type="http://schemas.openxmlformats.org/officeDocument/2006/relationships/hyperlink" Target="mailto:aBalados@abalados.es" TargetMode="External" Id="rId105"/><Relationship Type="http://schemas.openxmlformats.org/officeDocument/2006/relationships/hyperlink" Target="mailto:aBalados@abalados.es" TargetMode="External" Id="rId106"/><Relationship Type="http://schemas.openxmlformats.org/officeDocument/2006/relationships/hyperlink" Target="mailto:aBalados@abalados.es" TargetMode="External" Id="rId107"/><Relationship Type="http://schemas.openxmlformats.org/officeDocument/2006/relationships/hyperlink" Target="mailto:aBalados@abalados.es" TargetMode="External" Id="rId108"/><Relationship Type="http://schemas.openxmlformats.org/officeDocument/2006/relationships/hyperlink" Target="mailto:aBalados@abalados.es" TargetMode="External" Id="rId109"/><Relationship Type="http://schemas.openxmlformats.org/officeDocument/2006/relationships/hyperlink" Target="mailto:aBalados@abalados.es" TargetMode="External" Id="rId110"/><Relationship Type="http://schemas.openxmlformats.org/officeDocument/2006/relationships/hyperlink" Target="mailto:aBalados@abalados.es" TargetMode="External" Id="rId111"/><Relationship Type="http://schemas.openxmlformats.org/officeDocument/2006/relationships/hyperlink" Target="mailto:aBalados@abalados.es" TargetMode="External" Id="rId112"/><Relationship Type="http://schemas.openxmlformats.org/officeDocument/2006/relationships/hyperlink" Target="mailto:aBalados@abalados.es" TargetMode="External" Id="rId113"/><Relationship Type="http://schemas.openxmlformats.org/officeDocument/2006/relationships/hyperlink" Target="mailto:aBalados@abalados.es" TargetMode="External" Id="rId114"/><Relationship Type="http://schemas.openxmlformats.org/officeDocument/2006/relationships/hyperlink" Target="mailto:aBalados@abalados.es" TargetMode="External" Id="rId115"/><Relationship Type="http://schemas.openxmlformats.org/officeDocument/2006/relationships/hyperlink" Target="mailto:aBalados@abalados.es" TargetMode="External" Id="rId116"/><Relationship Type="http://schemas.openxmlformats.org/officeDocument/2006/relationships/hyperlink" Target="mailto:aBalados@abalados.es" TargetMode="External" Id="rId117"/><Relationship Type="http://schemas.openxmlformats.org/officeDocument/2006/relationships/hyperlink" Target="mailto:aBalados@abalados.es" TargetMode="External" Id="rId118"/><Relationship Type="http://schemas.openxmlformats.org/officeDocument/2006/relationships/hyperlink" Target="mailto:aBalados@abalados.es" TargetMode="External" Id="rId119"/><Relationship Type="http://schemas.openxmlformats.org/officeDocument/2006/relationships/hyperlink" Target="mailto:aBalados@abalados.es" TargetMode="External" Id="rId120"/><Relationship Type="http://schemas.openxmlformats.org/officeDocument/2006/relationships/hyperlink" Target="mailto:aBalados@abalados.es" TargetMode="External" Id="rId121"/><Relationship Type="http://schemas.openxmlformats.org/officeDocument/2006/relationships/hyperlink" Target="mailto:aBalados@abalados.es" TargetMode="External" Id="rId122"/><Relationship Type="http://schemas.openxmlformats.org/officeDocument/2006/relationships/hyperlink" Target="mailto:aBalados@abalados.es" TargetMode="External" Id="rId123"/><Relationship Type="http://schemas.openxmlformats.org/officeDocument/2006/relationships/hyperlink" Target="mailto:aBalados@abalados.es" TargetMode="External" Id="rId124"/><Relationship Type="http://schemas.openxmlformats.org/officeDocument/2006/relationships/hyperlink" Target="mailto:aBalados@abalados.es" TargetMode="External" Id="rId125"/><Relationship Type="http://schemas.openxmlformats.org/officeDocument/2006/relationships/hyperlink" Target="mailto:aBalados@abalados.es" TargetMode="External" Id="rId126"/><Relationship Type="http://schemas.openxmlformats.org/officeDocument/2006/relationships/hyperlink" Target="mailto:aBalados@abalados.es" TargetMode="External" Id="rId127"/><Relationship Type="http://schemas.openxmlformats.org/officeDocument/2006/relationships/hyperlink" Target="mailto:aBalados@abalados.es" TargetMode="External" Id="rId128"/><Relationship Type="http://schemas.openxmlformats.org/officeDocument/2006/relationships/hyperlink" Target="mailto:aBalados@abalados.es" TargetMode="External" Id="rId129"/><Relationship Type="http://schemas.openxmlformats.org/officeDocument/2006/relationships/hyperlink" Target="mailto:aBalados@abalados.es" TargetMode="External" Id="rId130"/><Relationship Type="http://schemas.openxmlformats.org/officeDocument/2006/relationships/hyperlink" Target="mailto:aBalados@abalados.es" TargetMode="External" Id="rId131"/><Relationship Type="http://schemas.openxmlformats.org/officeDocument/2006/relationships/hyperlink" Target="mailto:aBalados@abalados.es" TargetMode="External" Id="rId132"/><Relationship Type="http://schemas.openxmlformats.org/officeDocument/2006/relationships/hyperlink" Target="mailto:aBalados@abalados.es" TargetMode="External" Id="rId133"/><Relationship Type="http://schemas.openxmlformats.org/officeDocument/2006/relationships/hyperlink" Target="mailto:aBalados@abalados.es" TargetMode="External" Id="rId134"/><Relationship Type="http://schemas.openxmlformats.org/officeDocument/2006/relationships/hyperlink" Target="mailto:aBalados@abalados.es" TargetMode="External" Id="rId135"/><Relationship Type="http://schemas.openxmlformats.org/officeDocument/2006/relationships/hyperlink" Target="mailto:aBalados@abalados.es" TargetMode="External" Id="rId136"/><Relationship Type="http://schemas.openxmlformats.org/officeDocument/2006/relationships/hyperlink" Target="mailto:aBalados@abalados.es" TargetMode="External" Id="rId137"/><Relationship Type="http://schemas.openxmlformats.org/officeDocument/2006/relationships/hyperlink" Target="mailto:aBalados@abalados.es" TargetMode="External" Id="rId138"/><Relationship Type="http://schemas.openxmlformats.org/officeDocument/2006/relationships/hyperlink" Target="mailto:aBalados@abalados.es" TargetMode="External" Id="rId139"/><Relationship Type="http://schemas.openxmlformats.org/officeDocument/2006/relationships/hyperlink" Target="mailto:aBalados@abalados.es" TargetMode="External" Id="rId140"/><Relationship Type="http://schemas.openxmlformats.org/officeDocument/2006/relationships/hyperlink" Target="mailto:aBalados@abalados.es" TargetMode="External" Id="rId141"/><Relationship Type="http://schemas.openxmlformats.org/officeDocument/2006/relationships/hyperlink" Target="mailto:aBalados@abalados.es" TargetMode="External" Id="rId142"/><Relationship Type="http://schemas.openxmlformats.org/officeDocument/2006/relationships/hyperlink" Target="mailto:aBalados@abalados.es" TargetMode="External" Id="rId143"/><Relationship Type="http://schemas.openxmlformats.org/officeDocument/2006/relationships/hyperlink" Target="mailto:aBalados@abalados.es" TargetMode="External" Id="rId144"/><Relationship Type="http://schemas.openxmlformats.org/officeDocument/2006/relationships/hyperlink" Target="mailto:aBalados@abalados.es" TargetMode="External" Id="rId145"/><Relationship Type="http://schemas.openxmlformats.org/officeDocument/2006/relationships/hyperlink" Target="mailto:aBalados@abalados.es" TargetMode="External" Id="rId146"/><Relationship Type="http://schemas.openxmlformats.org/officeDocument/2006/relationships/hyperlink" Target="mailto:aBalados@abalados.es" TargetMode="External" Id="rId147"/><Relationship Type="http://schemas.openxmlformats.org/officeDocument/2006/relationships/hyperlink" Target="mailto:aBalados@abalados.es" TargetMode="External" Id="rId148"/><Relationship Type="http://schemas.openxmlformats.org/officeDocument/2006/relationships/hyperlink" Target="mailto:aBalados@abalados.es" TargetMode="External" Id="rId149"/><Relationship Type="http://schemas.openxmlformats.org/officeDocument/2006/relationships/hyperlink" Target="mailto:aBalados@abalados.es" TargetMode="External" Id="rId150"/><Relationship Type="http://schemas.openxmlformats.org/officeDocument/2006/relationships/hyperlink" Target="mailto:aBalados@abalados.es" TargetMode="External" Id="rId151"/><Relationship Type="http://schemas.openxmlformats.org/officeDocument/2006/relationships/hyperlink" Target="mailto:aBalados@abalados.es" TargetMode="External" Id="rId152"/><Relationship Type="http://schemas.openxmlformats.org/officeDocument/2006/relationships/hyperlink" Target="mailto:aBalados@abalados.es" TargetMode="External" Id="rId153"/><Relationship Type="http://schemas.openxmlformats.org/officeDocument/2006/relationships/hyperlink" Target="mailto:aBalados@abalados.es" TargetMode="External" Id="rId154"/><Relationship Type="http://schemas.openxmlformats.org/officeDocument/2006/relationships/hyperlink" Target="mailto:aBalados@abalados.es" TargetMode="External" Id="rId155"/><Relationship Type="http://schemas.openxmlformats.org/officeDocument/2006/relationships/hyperlink" Target="mailto:aBalados@abalados.es" TargetMode="External" Id="rId156"/><Relationship Type="http://schemas.openxmlformats.org/officeDocument/2006/relationships/hyperlink" Target="mailto:aBalados@abalados.es" TargetMode="External" Id="rId157"/><Relationship Type="http://schemas.openxmlformats.org/officeDocument/2006/relationships/hyperlink" Target="mailto:aBalados@abalados.es" TargetMode="External" Id="rId158"/><Relationship Type="http://schemas.openxmlformats.org/officeDocument/2006/relationships/hyperlink" Target="mailto:aBalados@abalados.es" TargetMode="External" Id="rId159"/><Relationship Type="http://schemas.openxmlformats.org/officeDocument/2006/relationships/hyperlink" Target="mailto:aBalados@abalados.es" TargetMode="External" Id="rId160"/><Relationship Type="http://schemas.openxmlformats.org/officeDocument/2006/relationships/hyperlink" Target="mailto:aBalados@abalados.es" TargetMode="External" Id="rId161"/><Relationship Type="http://schemas.openxmlformats.org/officeDocument/2006/relationships/hyperlink" Target="mailto:aBalados@abalados.es" TargetMode="External" Id="rId162"/><Relationship Type="http://schemas.openxmlformats.org/officeDocument/2006/relationships/hyperlink" Target="mailto:aBalados@abalados.es" TargetMode="External" Id="rId163"/><Relationship Type="http://schemas.openxmlformats.org/officeDocument/2006/relationships/hyperlink" Target="mailto:aBalados@abalados.es" TargetMode="External" Id="rId164"/><Relationship Type="http://schemas.openxmlformats.org/officeDocument/2006/relationships/hyperlink" Target="mailto:aBalados@abalados.es" TargetMode="External" Id="rId165"/><Relationship Type="http://schemas.openxmlformats.org/officeDocument/2006/relationships/hyperlink" Target="mailto:aBalados@abalados.es" TargetMode="External" Id="rId166"/><Relationship Type="http://schemas.openxmlformats.org/officeDocument/2006/relationships/hyperlink" Target="mailto:aBalados@abalados.es" TargetMode="External" Id="rId167"/><Relationship Type="http://schemas.openxmlformats.org/officeDocument/2006/relationships/hyperlink" Target="mailto:aBalados@abalados.es" TargetMode="External" Id="rId168"/><Relationship Type="http://schemas.openxmlformats.org/officeDocument/2006/relationships/hyperlink" Target="mailto:aBalados@abalados.es" TargetMode="External" Id="rId169"/><Relationship Type="http://schemas.openxmlformats.org/officeDocument/2006/relationships/hyperlink" Target="mailto:aBalados@abalados.es" TargetMode="External" Id="rId170"/><Relationship Type="http://schemas.openxmlformats.org/officeDocument/2006/relationships/hyperlink" Target="mailto:aBalados@abalados.es" TargetMode="External" Id="rId171"/><Relationship Type="http://schemas.openxmlformats.org/officeDocument/2006/relationships/hyperlink" Target="mailto:aBalados@abalados.es" TargetMode="External" Id="rId172"/><Relationship Type="http://schemas.openxmlformats.org/officeDocument/2006/relationships/hyperlink" Target="mailto:aBalados@abalados.es" TargetMode="External" Id="rId173"/><Relationship Type="http://schemas.openxmlformats.org/officeDocument/2006/relationships/hyperlink" Target="mailto:aBalados@abalados.es" TargetMode="External" Id="rId174"/><Relationship Type="http://schemas.openxmlformats.org/officeDocument/2006/relationships/hyperlink" Target="mailto:aBalados@abalados.es" TargetMode="External" Id="rId175"/><Relationship Type="http://schemas.openxmlformats.org/officeDocument/2006/relationships/hyperlink" Target="mailto:aBalados@abalados.es" TargetMode="External" Id="rId176"/><Relationship Type="http://schemas.openxmlformats.org/officeDocument/2006/relationships/hyperlink" Target="mailto:aBalados@abalados.es" TargetMode="External" Id="rId177"/><Relationship Type="http://schemas.openxmlformats.org/officeDocument/2006/relationships/hyperlink" Target="mailto:aBalados@abalados.es" TargetMode="External" Id="rId178"/><Relationship Type="http://schemas.openxmlformats.org/officeDocument/2006/relationships/hyperlink" Target="mailto:aBalados@abalados.es" TargetMode="External" Id="rId179"/><Relationship Type="http://schemas.openxmlformats.org/officeDocument/2006/relationships/hyperlink" Target="mailto:aBalados@abalados.es" TargetMode="External" Id="rId180"/><Relationship Type="http://schemas.openxmlformats.org/officeDocument/2006/relationships/hyperlink" Target="mailto:aBalados@abalados.es" TargetMode="External" Id="rId181"/><Relationship Type="http://schemas.openxmlformats.org/officeDocument/2006/relationships/hyperlink" Target="mailto:aBalados@abalados.es" TargetMode="External" Id="rId182"/><Relationship Type="http://schemas.openxmlformats.org/officeDocument/2006/relationships/hyperlink" Target="mailto:aBalados@abalados.es" TargetMode="External" Id="rId183"/><Relationship Type="http://schemas.openxmlformats.org/officeDocument/2006/relationships/hyperlink" Target="mailto:aBalados@abalados.es" TargetMode="External" Id="rId184"/><Relationship Type="http://schemas.openxmlformats.org/officeDocument/2006/relationships/hyperlink" Target="mailto:aBalados@abalados.es" TargetMode="External" Id="rId185"/><Relationship Type="http://schemas.openxmlformats.org/officeDocument/2006/relationships/hyperlink" Target="mailto:aBalados@abalados.es" TargetMode="External" Id="rId186"/><Relationship Type="http://schemas.openxmlformats.org/officeDocument/2006/relationships/hyperlink" Target="mailto:aBalados@abalados.es" TargetMode="External" Id="rId187"/><Relationship Type="http://schemas.openxmlformats.org/officeDocument/2006/relationships/hyperlink" Target="mailto:aBalados@abalados.es" TargetMode="External" Id="rId188"/><Relationship Type="http://schemas.openxmlformats.org/officeDocument/2006/relationships/hyperlink" Target="mailto:aBalados@abalados.es" TargetMode="External" Id="rId189"/><Relationship Type="http://schemas.openxmlformats.org/officeDocument/2006/relationships/hyperlink" Target="mailto:aBalados@abalados.es" TargetMode="External" Id="rId190"/><Relationship Type="http://schemas.openxmlformats.org/officeDocument/2006/relationships/hyperlink" Target="mailto:aBalados@abalados.es" TargetMode="External" Id="rId191"/><Relationship Type="http://schemas.openxmlformats.org/officeDocument/2006/relationships/hyperlink" Target="mailto:aBalados@abalados.es" TargetMode="External" Id="rId192"/><Relationship Type="http://schemas.openxmlformats.org/officeDocument/2006/relationships/hyperlink" Target="mailto:aBalados@abalados.es" TargetMode="External" Id="rId193"/><Relationship Type="http://schemas.openxmlformats.org/officeDocument/2006/relationships/hyperlink" Target="mailto:aBalados@abalados.es" TargetMode="External" Id="rId194"/><Relationship Type="http://schemas.openxmlformats.org/officeDocument/2006/relationships/hyperlink" Target="mailto:aBalados@abalados.es" TargetMode="External" Id="rId195"/><Relationship Type="http://schemas.openxmlformats.org/officeDocument/2006/relationships/hyperlink" Target="mailto:aBalados@abalados.es" TargetMode="External" Id="rId196"/><Relationship Type="http://schemas.openxmlformats.org/officeDocument/2006/relationships/hyperlink" Target="mailto:aBalados@abalados.es" TargetMode="External" Id="rId197"/><Relationship Type="http://schemas.openxmlformats.org/officeDocument/2006/relationships/hyperlink" Target="mailto:aBalados@abalados.es" TargetMode="External" Id="rId198"/><Relationship Type="http://schemas.openxmlformats.org/officeDocument/2006/relationships/hyperlink" Target="mailto:aBalados@abalados.es" TargetMode="External" Id="rId199"/><Relationship Type="http://schemas.openxmlformats.org/officeDocument/2006/relationships/hyperlink" Target="mailto:aBalados@abalados.es" TargetMode="External" Id="rId200"/><Relationship Type="http://schemas.openxmlformats.org/officeDocument/2006/relationships/hyperlink" Target="mailto:aBalados@abalados.es" TargetMode="External" Id="rId201"/><Relationship Type="http://schemas.openxmlformats.org/officeDocument/2006/relationships/hyperlink" Target="mailto:aBalados@abalados.es" TargetMode="External" Id="rId202"/><Relationship Type="http://schemas.openxmlformats.org/officeDocument/2006/relationships/hyperlink" Target="mailto:aBalados@abalados.es" TargetMode="External" Id="rId203"/><Relationship Type="http://schemas.openxmlformats.org/officeDocument/2006/relationships/hyperlink" Target="mailto:aBalados@abalados.es" TargetMode="External" Id="rId204"/><Relationship Type="http://schemas.openxmlformats.org/officeDocument/2006/relationships/hyperlink" Target="mailto:aBalados@abalados.es" TargetMode="External" Id="rId205"/><Relationship Type="http://schemas.openxmlformats.org/officeDocument/2006/relationships/hyperlink" Target="mailto:aBalados@abalados.es" TargetMode="External" Id="rId206"/><Relationship Type="http://schemas.openxmlformats.org/officeDocument/2006/relationships/hyperlink" Target="mailto:aBalados@abalados.es" TargetMode="External" Id="rId207"/><Relationship Type="http://schemas.openxmlformats.org/officeDocument/2006/relationships/hyperlink" Target="mailto:aBalados@abalados.es" TargetMode="External" Id="rId208"/><Relationship Type="http://schemas.openxmlformats.org/officeDocument/2006/relationships/hyperlink" Target="mailto:aBalados@abalados.es" TargetMode="External" Id="rId209"/><Relationship Type="http://schemas.openxmlformats.org/officeDocument/2006/relationships/hyperlink" Target="mailto:aBalados@abalados.es" TargetMode="External" Id="rId210"/><Relationship Type="http://schemas.openxmlformats.org/officeDocument/2006/relationships/hyperlink" Target="mailto:aBalados@abalados.es" TargetMode="External" Id="rId211"/><Relationship Type="http://schemas.openxmlformats.org/officeDocument/2006/relationships/hyperlink" Target="mailto:aBalados@abalados.es" TargetMode="External" Id="rId212"/><Relationship Type="http://schemas.openxmlformats.org/officeDocument/2006/relationships/hyperlink" Target="mailto:aBalados@abalados.es" TargetMode="External" Id="rId213"/><Relationship Type="http://schemas.openxmlformats.org/officeDocument/2006/relationships/hyperlink" Target="mailto:aBalados@abalados.es" TargetMode="External" Id="rId214"/><Relationship Type="http://schemas.openxmlformats.org/officeDocument/2006/relationships/hyperlink" Target="mailto:aBalados@abalados.es" TargetMode="External" Id="rId215"/><Relationship Type="http://schemas.openxmlformats.org/officeDocument/2006/relationships/hyperlink" Target="mailto:aBalados@abalados.es" TargetMode="External" Id="rId216"/><Relationship Type="http://schemas.openxmlformats.org/officeDocument/2006/relationships/hyperlink" Target="mailto:aBalados@abalados.es" TargetMode="External" Id="rId217"/><Relationship Type="http://schemas.openxmlformats.org/officeDocument/2006/relationships/hyperlink" Target="mailto:aBalados@abalados.es" TargetMode="External" Id="rId218"/><Relationship Type="http://schemas.openxmlformats.org/officeDocument/2006/relationships/hyperlink" Target="mailto:aBalados@abalados.es" TargetMode="External" Id="rId219"/><Relationship Type="http://schemas.openxmlformats.org/officeDocument/2006/relationships/hyperlink" Target="mailto:aBalados@abalados.es" TargetMode="External" Id="rId220"/><Relationship Type="http://schemas.openxmlformats.org/officeDocument/2006/relationships/hyperlink" Target="mailto:aBalados@abalados.es" TargetMode="External" Id="rId221"/><Relationship Type="http://schemas.openxmlformats.org/officeDocument/2006/relationships/hyperlink" Target="mailto:aBalados@abalados.es" TargetMode="External" Id="rId222"/><Relationship Type="http://schemas.openxmlformats.org/officeDocument/2006/relationships/hyperlink" Target="mailto:aBalados@abalados.es" TargetMode="External" Id="rId223"/><Relationship Type="http://schemas.openxmlformats.org/officeDocument/2006/relationships/hyperlink" Target="mailto:aBalados@abalados.es" TargetMode="External" Id="rId224"/><Relationship Type="http://schemas.openxmlformats.org/officeDocument/2006/relationships/hyperlink" Target="mailto:aBalados@abalados.es" TargetMode="External" Id="rId225"/><Relationship Type="http://schemas.openxmlformats.org/officeDocument/2006/relationships/hyperlink" Target="mailto:aBalados@abalados.es" TargetMode="External" Id="rId226"/><Relationship Type="http://schemas.openxmlformats.org/officeDocument/2006/relationships/hyperlink" Target="mailto:aBalados@abalados.es" TargetMode="External" Id="rId227"/><Relationship Type="http://schemas.openxmlformats.org/officeDocument/2006/relationships/hyperlink" Target="mailto:aBalados@abalados.es" TargetMode="External" Id="rId228"/><Relationship Type="http://schemas.openxmlformats.org/officeDocument/2006/relationships/hyperlink" Target="mailto:aBalados@abalados.es" TargetMode="External" Id="rId229"/><Relationship Type="http://schemas.openxmlformats.org/officeDocument/2006/relationships/hyperlink" Target="mailto:aBalados@abalados.es" TargetMode="External" Id="rId230"/><Relationship Type="http://schemas.openxmlformats.org/officeDocument/2006/relationships/hyperlink" Target="mailto:aBalados@abalados.es" TargetMode="External" Id="rId231"/><Relationship Type="http://schemas.openxmlformats.org/officeDocument/2006/relationships/hyperlink" Target="mailto:aBalados@abalados.es" TargetMode="External" Id="rId232"/><Relationship Type="http://schemas.openxmlformats.org/officeDocument/2006/relationships/hyperlink" Target="mailto:aBalados@abalados.es" TargetMode="External" Id="rId233"/><Relationship Type="http://schemas.openxmlformats.org/officeDocument/2006/relationships/hyperlink" Target="mailto:aBalados@abalados.es" TargetMode="External" Id="rId234"/><Relationship Type="http://schemas.openxmlformats.org/officeDocument/2006/relationships/hyperlink" Target="mailto:aBalados@abalados.es" TargetMode="External" Id="rId235"/><Relationship Type="http://schemas.openxmlformats.org/officeDocument/2006/relationships/hyperlink" Target="mailto:aBalados@abalados.es" TargetMode="External" Id="rId236"/><Relationship Type="http://schemas.openxmlformats.org/officeDocument/2006/relationships/hyperlink" Target="mailto:aBalados@abalados.es" TargetMode="External" Id="rId237"/><Relationship Type="http://schemas.openxmlformats.org/officeDocument/2006/relationships/hyperlink" Target="mailto:aBalados@abalados.es" TargetMode="External" Id="rId238"/><Relationship Type="http://schemas.openxmlformats.org/officeDocument/2006/relationships/hyperlink" Target="mailto:aBalados@abalados.es" TargetMode="External" Id="rId239"/><Relationship Type="http://schemas.openxmlformats.org/officeDocument/2006/relationships/hyperlink" Target="mailto:aBalados@abalados.es" TargetMode="External" Id="rId240"/><Relationship Type="http://schemas.openxmlformats.org/officeDocument/2006/relationships/hyperlink" Target="mailto:aBalados@abalados.es" TargetMode="External" Id="rId241"/><Relationship Type="http://schemas.openxmlformats.org/officeDocument/2006/relationships/hyperlink" Target="mailto:aBalados@abalados.es" TargetMode="External" Id="rId242"/><Relationship Type="http://schemas.openxmlformats.org/officeDocument/2006/relationships/hyperlink" Target="mailto:aBalados@abalados.es" TargetMode="External" Id="rId243"/><Relationship Type="http://schemas.openxmlformats.org/officeDocument/2006/relationships/hyperlink" Target="mailto:aBalados@abalados.es" TargetMode="External" Id="rId244"/><Relationship Type="http://schemas.openxmlformats.org/officeDocument/2006/relationships/hyperlink" Target="mailto:aBalados@abalados.es" TargetMode="External" Id="rId245"/><Relationship Type="http://schemas.openxmlformats.org/officeDocument/2006/relationships/hyperlink" Target="mailto:aBalados@abalados.es" TargetMode="External" Id="rId246"/><Relationship Type="http://schemas.openxmlformats.org/officeDocument/2006/relationships/hyperlink" Target="mailto:aBalados@abalados.es" TargetMode="External" Id="rId247"/><Relationship Type="http://schemas.openxmlformats.org/officeDocument/2006/relationships/hyperlink" Target="mailto:aBalados@abalados.es" TargetMode="External" Id="rId248"/><Relationship Type="http://schemas.openxmlformats.org/officeDocument/2006/relationships/hyperlink" Target="mailto:aBalados@abalados.es" TargetMode="External" Id="rId249"/><Relationship Type="http://schemas.openxmlformats.org/officeDocument/2006/relationships/hyperlink" Target="mailto:aBalados@abalados.es" TargetMode="External" Id="rId250"/><Relationship Type="http://schemas.openxmlformats.org/officeDocument/2006/relationships/hyperlink" Target="mailto:aBalados@abalados.es" TargetMode="External" Id="rId251"/><Relationship Type="http://schemas.openxmlformats.org/officeDocument/2006/relationships/hyperlink" Target="mailto:aBalados@abalados.es" TargetMode="External" Id="rId252"/><Relationship Type="http://schemas.openxmlformats.org/officeDocument/2006/relationships/hyperlink" Target="mailto:aBalados@abalados.es" TargetMode="External" Id="rId253"/><Relationship Type="http://schemas.openxmlformats.org/officeDocument/2006/relationships/hyperlink" Target="mailto:aBalados@abalados.es" TargetMode="External" Id="rId254"/><Relationship Type="http://schemas.openxmlformats.org/officeDocument/2006/relationships/hyperlink" Target="mailto:aBalados@abalados.es" TargetMode="External" Id="rId255"/><Relationship Type="http://schemas.openxmlformats.org/officeDocument/2006/relationships/hyperlink" Target="mailto:aBalados@abalados.es" TargetMode="External" Id="rId256"/><Relationship Type="http://schemas.openxmlformats.org/officeDocument/2006/relationships/hyperlink" Target="mailto:aBalados@abalados.es" TargetMode="External" Id="rId257"/><Relationship Type="http://schemas.openxmlformats.org/officeDocument/2006/relationships/hyperlink" Target="mailto:aBalados@abalados.es" TargetMode="External" Id="rId258"/><Relationship Type="http://schemas.openxmlformats.org/officeDocument/2006/relationships/hyperlink" Target="mailto:aBalados@abalados.es" TargetMode="External" Id="rId259"/><Relationship Type="http://schemas.openxmlformats.org/officeDocument/2006/relationships/hyperlink" Target="mailto:aBalados@abalados.es" TargetMode="External" Id="rId260"/><Relationship Type="http://schemas.openxmlformats.org/officeDocument/2006/relationships/hyperlink" Target="mailto:aBalados@abalados.es" TargetMode="External" Id="rId261"/><Relationship Type="http://schemas.openxmlformats.org/officeDocument/2006/relationships/hyperlink" Target="mailto:aBalados@abalados.es" TargetMode="External" Id="rId262"/><Relationship Type="http://schemas.openxmlformats.org/officeDocument/2006/relationships/hyperlink" Target="mailto:aBalados@abalados.es" TargetMode="External" Id="rId263"/><Relationship Type="http://schemas.openxmlformats.org/officeDocument/2006/relationships/hyperlink" Target="mailto:aBalados@abalados.es" TargetMode="External" Id="rId264"/><Relationship Type="http://schemas.openxmlformats.org/officeDocument/2006/relationships/hyperlink" Target="mailto:aBalados@abalados.es" TargetMode="External" Id="rId265"/><Relationship Type="http://schemas.openxmlformats.org/officeDocument/2006/relationships/hyperlink" Target="mailto:aBalados@abalados.es" TargetMode="External" Id="rId266"/><Relationship Type="http://schemas.openxmlformats.org/officeDocument/2006/relationships/hyperlink" Target="mailto:aBalados@abalados.es" TargetMode="External" Id="rId267"/><Relationship Type="http://schemas.openxmlformats.org/officeDocument/2006/relationships/hyperlink" Target="mailto:aBalados@abalados.es" TargetMode="External" Id="rId268"/><Relationship Type="http://schemas.openxmlformats.org/officeDocument/2006/relationships/hyperlink" Target="mailto:aBalados@abalados.es" TargetMode="External" Id="rId269"/><Relationship Type="http://schemas.openxmlformats.org/officeDocument/2006/relationships/hyperlink" Target="mailto:aBalados@abalados.es" TargetMode="External" Id="rId270"/><Relationship Type="http://schemas.openxmlformats.org/officeDocument/2006/relationships/hyperlink" Target="mailto:aBalados@abalados.es" TargetMode="External" Id="rId271"/><Relationship Type="http://schemas.openxmlformats.org/officeDocument/2006/relationships/hyperlink" Target="mailto:aBalados@abalados.es" TargetMode="External" Id="rId272"/><Relationship Type="http://schemas.openxmlformats.org/officeDocument/2006/relationships/hyperlink" Target="mailto:aBalados@abalados.es" TargetMode="External" Id="rId273"/><Relationship Type="http://schemas.openxmlformats.org/officeDocument/2006/relationships/hyperlink" Target="mailto:aBalados@abalados.es" TargetMode="External" Id="rId274"/><Relationship Type="http://schemas.openxmlformats.org/officeDocument/2006/relationships/hyperlink" Target="mailto:aBalados@abalados.es" TargetMode="External" Id="rId275"/><Relationship Type="http://schemas.openxmlformats.org/officeDocument/2006/relationships/hyperlink" Target="mailto:aBalados@abalados.es" TargetMode="External" Id="rId276"/><Relationship Type="http://schemas.openxmlformats.org/officeDocument/2006/relationships/hyperlink" Target="mailto:aBalados@abalados.es" TargetMode="External" Id="rId277"/><Relationship Type="http://schemas.openxmlformats.org/officeDocument/2006/relationships/hyperlink" Target="mailto:aBalados@abalados.es" TargetMode="External" Id="rId278"/><Relationship Type="http://schemas.openxmlformats.org/officeDocument/2006/relationships/hyperlink" Target="mailto:aBalados@abalados.es" TargetMode="External" Id="rId279"/><Relationship Type="http://schemas.openxmlformats.org/officeDocument/2006/relationships/hyperlink" Target="mailto:aBalados@abalados.es" TargetMode="External" Id="rId280"/><Relationship Type="http://schemas.openxmlformats.org/officeDocument/2006/relationships/hyperlink" Target="mailto:aBalados@abalados.es" TargetMode="External" Id="rId281"/><Relationship Type="http://schemas.openxmlformats.org/officeDocument/2006/relationships/hyperlink" Target="mailto:aBalados@abalados.es" TargetMode="External" Id="rId282"/><Relationship Type="http://schemas.openxmlformats.org/officeDocument/2006/relationships/hyperlink" Target="mailto:aBalados@abalados.es" TargetMode="External" Id="rId283"/><Relationship Type="http://schemas.openxmlformats.org/officeDocument/2006/relationships/hyperlink" Target="mailto:aBalados@abalados.es" TargetMode="External" Id="rId284"/><Relationship Type="http://schemas.openxmlformats.org/officeDocument/2006/relationships/hyperlink" Target="mailto:aBalados@abalados.es" TargetMode="External" Id="rId285"/><Relationship Type="http://schemas.openxmlformats.org/officeDocument/2006/relationships/hyperlink" Target="mailto:aBalados@abalados.es" TargetMode="External" Id="rId286"/><Relationship Type="http://schemas.openxmlformats.org/officeDocument/2006/relationships/hyperlink" Target="mailto:aBalados@abalados.es" TargetMode="External" Id="rId287"/><Relationship Type="http://schemas.openxmlformats.org/officeDocument/2006/relationships/hyperlink" Target="mailto:aBalados@abalados.es" TargetMode="External" Id="rId288"/><Relationship Type="http://schemas.openxmlformats.org/officeDocument/2006/relationships/hyperlink" Target="mailto:aBalados@abalados.es" TargetMode="External" Id="rId289"/><Relationship Type="http://schemas.openxmlformats.org/officeDocument/2006/relationships/hyperlink" Target="mailto:aBalados@abalados.es" TargetMode="External" Id="rId290"/><Relationship Type="http://schemas.openxmlformats.org/officeDocument/2006/relationships/hyperlink" Target="mailto:aBalados@abalados.es" TargetMode="External" Id="rId291"/><Relationship Type="http://schemas.openxmlformats.org/officeDocument/2006/relationships/hyperlink" Target="mailto:aBalados@abalados.es" TargetMode="External" Id="rId292"/><Relationship Type="http://schemas.openxmlformats.org/officeDocument/2006/relationships/hyperlink" Target="mailto:aBalados@abalados.es" TargetMode="External" Id="rId293"/><Relationship Type="http://schemas.openxmlformats.org/officeDocument/2006/relationships/hyperlink" Target="mailto:aBalados@abalados.es" TargetMode="External" Id="rId294"/><Relationship Type="http://schemas.openxmlformats.org/officeDocument/2006/relationships/hyperlink" Target="mailto:aBalados@abalados.es" TargetMode="External" Id="rId295"/><Relationship Type="http://schemas.openxmlformats.org/officeDocument/2006/relationships/hyperlink" Target="mailto:aBalados@abalados.es" TargetMode="External" Id="rId296"/><Relationship Type="http://schemas.openxmlformats.org/officeDocument/2006/relationships/hyperlink" Target="mailto:aBalados@abalados.es" TargetMode="External" Id="rId297"/><Relationship Type="http://schemas.openxmlformats.org/officeDocument/2006/relationships/hyperlink" Target="mailto:aBalados@abalados.es" TargetMode="External" Id="rId298"/><Relationship Type="http://schemas.openxmlformats.org/officeDocument/2006/relationships/hyperlink" Target="mailto:aBalados@abalados.es" TargetMode="External" Id="rId299"/><Relationship Type="http://schemas.openxmlformats.org/officeDocument/2006/relationships/hyperlink" Target="mailto:aBalados@abalados.es" TargetMode="External" Id="rId300"/><Relationship Type="http://schemas.openxmlformats.org/officeDocument/2006/relationships/hyperlink" Target="mailto:aBalados@abalados.es" TargetMode="External" Id="rId301"/><Relationship Type="http://schemas.openxmlformats.org/officeDocument/2006/relationships/hyperlink" Target="mailto:aBalados@abalados.es" TargetMode="External" Id="rId302"/><Relationship Type="http://schemas.openxmlformats.org/officeDocument/2006/relationships/hyperlink" Target="mailto:aBalados@abalados.es" TargetMode="External" Id="rId303"/><Relationship Type="http://schemas.openxmlformats.org/officeDocument/2006/relationships/hyperlink" Target="mailto:aBalados@abalados.es" TargetMode="External" Id="rId304"/><Relationship Type="http://schemas.openxmlformats.org/officeDocument/2006/relationships/hyperlink" Target="mailto:aBalados@abalados.es" TargetMode="External" Id="rId305"/><Relationship Type="http://schemas.openxmlformats.org/officeDocument/2006/relationships/hyperlink" Target="mailto:aBalados@abalados.es" TargetMode="External" Id="rId306"/><Relationship Type="http://schemas.openxmlformats.org/officeDocument/2006/relationships/hyperlink" Target="mailto:aBalados@abalados.es" TargetMode="External" Id="rId307"/><Relationship Type="http://schemas.openxmlformats.org/officeDocument/2006/relationships/hyperlink" Target="mailto:aBalados@abalados.es" TargetMode="External" Id="rId308"/><Relationship Type="http://schemas.openxmlformats.org/officeDocument/2006/relationships/hyperlink" Target="mailto:aBalados@abalados.es" TargetMode="External" Id="rId309"/><Relationship Type="http://schemas.openxmlformats.org/officeDocument/2006/relationships/hyperlink" Target="mailto:aBalados@abalados.es" TargetMode="External" Id="rId310"/><Relationship Type="http://schemas.openxmlformats.org/officeDocument/2006/relationships/hyperlink" Target="mailto:aBalados@abalados.es" TargetMode="External" Id="rId311"/><Relationship Type="http://schemas.openxmlformats.org/officeDocument/2006/relationships/hyperlink" Target="mailto:aBalados@abalados.es" TargetMode="External" Id="rId312"/><Relationship Type="http://schemas.openxmlformats.org/officeDocument/2006/relationships/hyperlink" Target="mailto:aBalados@abalados.es" TargetMode="External" Id="rId313"/><Relationship Type="http://schemas.openxmlformats.org/officeDocument/2006/relationships/hyperlink" Target="mailto:aBalados@abalados.es" TargetMode="External" Id="rId314"/><Relationship Type="http://schemas.openxmlformats.org/officeDocument/2006/relationships/hyperlink" Target="mailto:aBalados@abalados.es" TargetMode="External" Id="rId315"/><Relationship Type="http://schemas.openxmlformats.org/officeDocument/2006/relationships/hyperlink" Target="mailto:aBalados@abalados.es" TargetMode="External" Id="rId316"/><Relationship Type="http://schemas.openxmlformats.org/officeDocument/2006/relationships/hyperlink" Target="mailto:aBalados@abalados.es" TargetMode="External" Id="rId317"/><Relationship Type="http://schemas.openxmlformats.org/officeDocument/2006/relationships/hyperlink" Target="mailto:aBalados@abalados.es" TargetMode="External" Id="rId318"/><Relationship Type="http://schemas.openxmlformats.org/officeDocument/2006/relationships/hyperlink" Target="mailto:aBalados@abalados.es" TargetMode="External" Id="rId319"/><Relationship Type="http://schemas.openxmlformats.org/officeDocument/2006/relationships/hyperlink" Target="mailto:aBalados@abalados.es" TargetMode="External" Id="rId320"/><Relationship Type="http://schemas.openxmlformats.org/officeDocument/2006/relationships/hyperlink" Target="mailto:aBalados@abalados.es" TargetMode="External" Id="rId321"/><Relationship Type="http://schemas.openxmlformats.org/officeDocument/2006/relationships/hyperlink" Target="mailto:aBalados@abalados.es" TargetMode="External" Id="rId322"/><Relationship Type="http://schemas.openxmlformats.org/officeDocument/2006/relationships/hyperlink" Target="mailto:aBalados@abalados.es" TargetMode="External" Id="rId323"/><Relationship Type="http://schemas.openxmlformats.org/officeDocument/2006/relationships/hyperlink" Target="mailto:aBalados@abalados.es" TargetMode="External" Id="rId324"/><Relationship Type="http://schemas.openxmlformats.org/officeDocument/2006/relationships/hyperlink" Target="mailto:aBalados@abalados.es" TargetMode="External" Id="rId325"/><Relationship Type="http://schemas.openxmlformats.org/officeDocument/2006/relationships/hyperlink" Target="mailto:aBalados@abalados.es" TargetMode="External" Id="rId326"/><Relationship Type="http://schemas.openxmlformats.org/officeDocument/2006/relationships/hyperlink" Target="mailto:aBalados@abalados.es" TargetMode="External" Id="rId327"/><Relationship Type="http://schemas.openxmlformats.org/officeDocument/2006/relationships/hyperlink" Target="mailto:aBalados@abalados.es" TargetMode="External" Id="rId328"/><Relationship Type="http://schemas.openxmlformats.org/officeDocument/2006/relationships/hyperlink" Target="mailto:aBalados@abalados.es" TargetMode="External" Id="rId329"/><Relationship Type="http://schemas.openxmlformats.org/officeDocument/2006/relationships/hyperlink" Target="mailto:aBalados@abalados.es" TargetMode="External" Id="rId330"/><Relationship Type="http://schemas.openxmlformats.org/officeDocument/2006/relationships/hyperlink" Target="mailto:aBalados@abalados.es" TargetMode="External" Id="rId331"/><Relationship Type="http://schemas.openxmlformats.org/officeDocument/2006/relationships/hyperlink" Target="mailto:aBalados@abalados.es" TargetMode="External" Id="rId332"/><Relationship Type="http://schemas.openxmlformats.org/officeDocument/2006/relationships/hyperlink" Target="mailto:aBalados@abalados.es" TargetMode="External" Id="rId333"/><Relationship Type="http://schemas.openxmlformats.org/officeDocument/2006/relationships/hyperlink" Target="mailto:aBalados@abalados.es" TargetMode="External" Id="rId334"/><Relationship Type="http://schemas.openxmlformats.org/officeDocument/2006/relationships/hyperlink" Target="mailto:aBalados@abalados.es" TargetMode="External" Id="rId335"/><Relationship Type="http://schemas.openxmlformats.org/officeDocument/2006/relationships/hyperlink" Target="mailto:aBalados@abalados.es" TargetMode="External" Id="rId336"/><Relationship Type="http://schemas.openxmlformats.org/officeDocument/2006/relationships/hyperlink" Target="mailto:aBalados@abalados.es" TargetMode="External" Id="rId337"/><Relationship Type="http://schemas.openxmlformats.org/officeDocument/2006/relationships/hyperlink" Target="mailto:aBalados@abalados.es" TargetMode="External" Id="rId338"/><Relationship Type="http://schemas.openxmlformats.org/officeDocument/2006/relationships/hyperlink" Target="mailto:aBalados@abalados.es" TargetMode="External" Id="rId339"/><Relationship Type="http://schemas.openxmlformats.org/officeDocument/2006/relationships/hyperlink" Target="mailto:aBalados@abalados.es" TargetMode="External" Id="rId340"/><Relationship Type="http://schemas.openxmlformats.org/officeDocument/2006/relationships/hyperlink" Target="mailto:aBalados@abalados.es" TargetMode="External" Id="rId341"/><Relationship Type="http://schemas.openxmlformats.org/officeDocument/2006/relationships/hyperlink" Target="mailto:aBalados@abalados.es" TargetMode="External" Id="rId342"/><Relationship Type="http://schemas.openxmlformats.org/officeDocument/2006/relationships/hyperlink" Target="mailto:aBalados@abalados.es" TargetMode="External" Id="rId343"/><Relationship Type="http://schemas.openxmlformats.org/officeDocument/2006/relationships/hyperlink" Target="mailto:aBalados@abalados.es" TargetMode="External" Id="rId344"/><Relationship Type="http://schemas.openxmlformats.org/officeDocument/2006/relationships/hyperlink" Target="mailto:aBalados@abalados.es" TargetMode="External" Id="rId345"/><Relationship Type="http://schemas.openxmlformats.org/officeDocument/2006/relationships/hyperlink" Target="mailto:aBalados@abalados.es" TargetMode="External" Id="rId346"/><Relationship Type="http://schemas.openxmlformats.org/officeDocument/2006/relationships/hyperlink" Target="mailto:aBalados@abalados.es" TargetMode="External" Id="rId347"/><Relationship Type="http://schemas.openxmlformats.org/officeDocument/2006/relationships/hyperlink" Target="mailto:aBalados@abalados.es" TargetMode="External" Id="rId348"/><Relationship Type="http://schemas.openxmlformats.org/officeDocument/2006/relationships/hyperlink" Target="mailto:aBalados@abalados.es" TargetMode="External" Id="rId349"/><Relationship Type="http://schemas.openxmlformats.org/officeDocument/2006/relationships/hyperlink" Target="mailto:aBalados@abalados.es" TargetMode="External" Id="rId350"/><Relationship Type="http://schemas.openxmlformats.org/officeDocument/2006/relationships/hyperlink" Target="mailto:aBalados@abalados.es" TargetMode="External" Id="rId351"/><Relationship Type="http://schemas.openxmlformats.org/officeDocument/2006/relationships/hyperlink" Target="mailto:aBalados@abalados.es" TargetMode="External" Id="rId352"/><Relationship Type="http://schemas.openxmlformats.org/officeDocument/2006/relationships/hyperlink" Target="mailto:aBalados@abalados.es" TargetMode="External" Id="rId353"/><Relationship Type="http://schemas.openxmlformats.org/officeDocument/2006/relationships/hyperlink" Target="mailto:aBalados@abalados.es" TargetMode="External" Id="rId354"/><Relationship Type="http://schemas.openxmlformats.org/officeDocument/2006/relationships/hyperlink" Target="mailto:aBalados@abalados.es" TargetMode="External" Id="rId355"/><Relationship Type="http://schemas.openxmlformats.org/officeDocument/2006/relationships/hyperlink" Target="mailto:aBalados@abalados.es" TargetMode="External" Id="rId356"/><Relationship Type="http://schemas.openxmlformats.org/officeDocument/2006/relationships/hyperlink" Target="mailto:aBalados@abalados.es" TargetMode="External" Id="rId357"/><Relationship Type="http://schemas.openxmlformats.org/officeDocument/2006/relationships/hyperlink" Target="mailto:aBalados@abalados.es" TargetMode="External" Id="rId358"/><Relationship Type="http://schemas.openxmlformats.org/officeDocument/2006/relationships/hyperlink" Target="mailto:aBalados@abalados.es" TargetMode="External" Id="rId359"/><Relationship Type="http://schemas.openxmlformats.org/officeDocument/2006/relationships/hyperlink" Target="mailto:aBalados@abalados.es" TargetMode="External" Id="rId360"/><Relationship Type="http://schemas.openxmlformats.org/officeDocument/2006/relationships/hyperlink" Target="mailto:aBalados@abalados.es" TargetMode="External" Id="rId361"/><Relationship Type="http://schemas.openxmlformats.org/officeDocument/2006/relationships/hyperlink" Target="mailto:aBalados@abalados.es" TargetMode="External" Id="rId362"/><Relationship Type="http://schemas.openxmlformats.org/officeDocument/2006/relationships/hyperlink" Target="mailto:aBalados@abalados.es" TargetMode="External" Id="rId363"/><Relationship Type="http://schemas.openxmlformats.org/officeDocument/2006/relationships/hyperlink" Target="mailto:aBalados@abalados.es" TargetMode="External" Id="rId364"/><Relationship Type="http://schemas.openxmlformats.org/officeDocument/2006/relationships/hyperlink" Target="mailto:aBalados@abalados.es" TargetMode="External" Id="rId365"/><Relationship Type="http://schemas.openxmlformats.org/officeDocument/2006/relationships/hyperlink" Target="mailto:aBalados@abalados.es" TargetMode="External" Id="rId366"/><Relationship Type="http://schemas.openxmlformats.org/officeDocument/2006/relationships/hyperlink" Target="mailto:aBalados@abalados.es" TargetMode="External" Id="rId367"/><Relationship Type="http://schemas.openxmlformats.org/officeDocument/2006/relationships/hyperlink" Target="mailto:aBalados@abalados.es" TargetMode="External" Id="rId368"/><Relationship Type="http://schemas.openxmlformats.org/officeDocument/2006/relationships/hyperlink" Target="mailto:aBalados@abalados.es" TargetMode="External" Id="rId369"/><Relationship Type="http://schemas.openxmlformats.org/officeDocument/2006/relationships/hyperlink" Target="mailto:aBalados@abalados.es" TargetMode="External" Id="rId370"/><Relationship Type="http://schemas.openxmlformats.org/officeDocument/2006/relationships/hyperlink" Target="mailto:aBalados@abalados.es" TargetMode="External" Id="rId371"/><Relationship Type="http://schemas.openxmlformats.org/officeDocument/2006/relationships/hyperlink" Target="mailto:aBalados@abalados.es" TargetMode="External" Id="rId372"/><Relationship Type="http://schemas.openxmlformats.org/officeDocument/2006/relationships/hyperlink" Target="mailto:aBalados@abalados.es" TargetMode="External" Id="rId373"/><Relationship Type="http://schemas.openxmlformats.org/officeDocument/2006/relationships/hyperlink" Target="mailto:aBalados@abalados.es" TargetMode="External" Id="rId374"/><Relationship Type="http://schemas.openxmlformats.org/officeDocument/2006/relationships/hyperlink" Target="mailto:aBalados@abalados.es" TargetMode="External" Id="rId375"/><Relationship Type="http://schemas.openxmlformats.org/officeDocument/2006/relationships/hyperlink" Target="mailto:aBalados@abalados.es" TargetMode="External" Id="rId376"/><Relationship Type="http://schemas.openxmlformats.org/officeDocument/2006/relationships/hyperlink" Target="mailto:aBalados@abalados.es" TargetMode="External" Id="rId377"/><Relationship Type="http://schemas.openxmlformats.org/officeDocument/2006/relationships/hyperlink" Target="mailto:aBalados@abalados.es" TargetMode="External" Id="rId378"/><Relationship Type="http://schemas.openxmlformats.org/officeDocument/2006/relationships/hyperlink" Target="mailto:aBalados@abalados.es" TargetMode="External" Id="rId379"/><Relationship Type="http://schemas.openxmlformats.org/officeDocument/2006/relationships/hyperlink" Target="mailto:aBalados@abalados.es" TargetMode="External" Id="rId380"/><Relationship Type="http://schemas.openxmlformats.org/officeDocument/2006/relationships/hyperlink" Target="mailto:aBalados@abalados.es" TargetMode="External" Id="rId381"/><Relationship Type="http://schemas.openxmlformats.org/officeDocument/2006/relationships/hyperlink" Target="mailto:aBalados@abalados.es" TargetMode="External" Id="rId382"/><Relationship Type="http://schemas.openxmlformats.org/officeDocument/2006/relationships/hyperlink" Target="mailto:aBalados@abalados.es" TargetMode="External" Id="rId383"/><Relationship Type="http://schemas.openxmlformats.org/officeDocument/2006/relationships/hyperlink" Target="mailto:aBalados@abalados.es" TargetMode="External" Id="rId384"/><Relationship Type="http://schemas.openxmlformats.org/officeDocument/2006/relationships/hyperlink" Target="mailto:aBalados@abalados.es" TargetMode="External" Id="rId385"/><Relationship Type="http://schemas.openxmlformats.org/officeDocument/2006/relationships/hyperlink" Target="mailto:aBalados@abalados.es" TargetMode="External" Id="rId386"/><Relationship Type="http://schemas.openxmlformats.org/officeDocument/2006/relationships/hyperlink" Target="mailto:aBalados@abalados.es" TargetMode="External" Id="rId387"/><Relationship Type="http://schemas.openxmlformats.org/officeDocument/2006/relationships/hyperlink" Target="mailto:aBalados@abalados.es" TargetMode="External" Id="rId388"/><Relationship Type="http://schemas.openxmlformats.org/officeDocument/2006/relationships/hyperlink" Target="mailto:aBalados@abalados.es" TargetMode="External" Id="rId389"/><Relationship Type="http://schemas.openxmlformats.org/officeDocument/2006/relationships/hyperlink" Target="mailto:aBalados@abalados.es" TargetMode="External" Id="rId390"/><Relationship Type="http://schemas.openxmlformats.org/officeDocument/2006/relationships/hyperlink" Target="mailto:aBalados@abalados.es" TargetMode="External" Id="rId391"/><Relationship Type="http://schemas.openxmlformats.org/officeDocument/2006/relationships/hyperlink" Target="mailto:aBalados@abalados.es" TargetMode="External" Id="rId392"/><Relationship Type="http://schemas.openxmlformats.org/officeDocument/2006/relationships/hyperlink" Target="mailto:aBalados@abalados.es" TargetMode="External" Id="rId393"/><Relationship Type="http://schemas.openxmlformats.org/officeDocument/2006/relationships/hyperlink" Target="mailto:aBalados@abalados.es" TargetMode="External" Id="rId394"/><Relationship Type="http://schemas.openxmlformats.org/officeDocument/2006/relationships/hyperlink" Target="mailto:aBalados@abalados.es" TargetMode="External" Id="rId395"/><Relationship Type="http://schemas.openxmlformats.org/officeDocument/2006/relationships/hyperlink" Target="mailto:aBalados@abalados.es" TargetMode="External" Id="rId396"/><Relationship Type="http://schemas.openxmlformats.org/officeDocument/2006/relationships/hyperlink" Target="mailto:aBalados@abalados.es" TargetMode="External" Id="rId397"/><Relationship Type="http://schemas.openxmlformats.org/officeDocument/2006/relationships/hyperlink" Target="mailto:aBalados@abalados.es" TargetMode="External" Id="rId398"/><Relationship Type="http://schemas.openxmlformats.org/officeDocument/2006/relationships/hyperlink" Target="mailto:aBalados@abalados.es" TargetMode="External" Id="rId399"/><Relationship Type="http://schemas.openxmlformats.org/officeDocument/2006/relationships/hyperlink" Target="mailto:aBalados@abalados.es" TargetMode="External" Id="rId400"/><Relationship Type="http://schemas.openxmlformats.org/officeDocument/2006/relationships/hyperlink" Target="mailto:aBalados@abalados.es" TargetMode="External" Id="rId401"/><Relationship Type="http://schemas.openxmlformats.org/officeDocument/2006/relationships/hyperlink" Target="mailto:aBalados@abalados.es" TargetMode="External" Id="rId402"/><Relationship Type="http://schemas.openxmlformats.org/officeDocument/2006/relationships/hyperlink" Target="mailto:aBalados@abalados.es" TargetMode="External" Id="rId403"/><Relationship Type="http://schemas.openxmlformats.org/officeDocument/2006/relationships/hyperlink" Target="mailto:aBalados@abalados.es" TargetMode="External" Id="rId404"/><Relationship Type="http://schemas.openxmlformats.org/officeDocument/2006/relationships/hyperlink" Target="mailto:aBalados@abalados.es" TargetMode="External" Id="rId405"/><Relationship Type="http://schemas.openxmlformats.org/officeDocument/2006/relationships/hyperlink" Target="mailto:aBalados@abalados.es" TargetMode="External" Id="rId406"/><Relationship Type="http://schemas.openxmlformats.org/officeDocument/2006/relationships/hyperlink" Target="mailto:aBalados@abalados.es" TargetMode="External" Id="rId407"/><Relationship Type="http://schemas.openxmlformats.org/officeDocument/2006/relationships/hyperlink" Target="mailto:aBalados@abalados.es" TargetMode="External" Id="rId408"/><Relationship Type="http://schemas.openxmlformats.org/officeDocument/2006/relationships/hyperlink" Target="mailto:aBalados@abalados.es" TargetMode="External" Id="rId409"/><Relationship Type="http://schemas.openxmlformats.org/officeDocument/2006/relationships/hyperlink" Target="mailto:aBalados@abalados.es" TargetMode="External" Id="rId410"/><Relationship Type="http://schemas.openxmlformats.org/officeDocument/2006/relationships/hyperlink" Target="mailto:aBalados@abalados.es" TargetMode="External" Id="rId411"/><Relationship Type="http://schemas.openxmlformats.org/officeDocument/2006/relationships/hyperlink" Target="mailto:aBalados@abalados.es" TargetMode="External" Id="rId412"/><Relationship Type="http://schemas.openxmlformats.org/officeDocument/2006/relationships/hyperlink" Target="mailto:aBalados@abalados.es" TargetMode="External" Id="rId413"/><Relationship Type="http://schemas.openxmlformats.org/officeDocument/2006/relationships/hyperlink" Target="mailto:aBalados@abalados.es" TargetMode="External" Id="rId414"/><Relationship Type="http://schemas.openxmlformats.org/officeDocument/2006/relationships/hyperlink" Target="mailto:aBalados@abalados.es" TargetMode="External" Id="rId415"/><Relationship Type="http://schemas.openxmlformats.org/officeDocument/2006/relationships/hyperlink" Target="mailto:aBalados@abalados.es" TargetMode="External" Id="rId416"/><Relationship Type="http://schemas.openxmlformats.org/officeDocument/2006/relationships/hyperlink" Target="mailto:aBalados@abalados.es" TargetMode="External" Id="rId417"/><Relationship Type="http://schemas.openxmlformats.org/officeDocument/2006/relationships/hyperlink" Target="mailto:aBalados@abalados.es" TargetMode="External" Id="rId418"/><Relationship Type="http://schemas.openxmlformats.org/officeDocument/2006/relationships/hyperlink" Target="mailto:aBalados@abalados.es" TargetMode="External" Id="rId419"/><Relationship Type="http://schemas.openxmlformats.org/officeDocument/2006/relationships/hyperlink" Target="mailto:aBalados@abalados.es" TargetMode="External" Id="rId420"/><Relationship Type="http://schemas.openxmlformats.org/officeDocument/2006/relationships/hyperlink" Target="mailto:aBalados@abalados.es" TargetMode="External" Id="rId421"/><Relationship Type="http://schemas.openxmlformats.org/officeDocument/2006/relationships/hyperlink" Target="mailto:aBalados@abalados.es" TargetMode="External" Id="rId422"/><Relationship Type="http://schemas.openxmlformats.org/officeDocument/2006/relationships/hyperlink" Target="mailto:aBalados@abalados.es" TargetMode="External" Id="rId423"/><Relationship Type="http://schemas.openxmlformats.org/officeDocument/2006/relationships/hyperlink" Target="mailto:aBalados@abalados.es" TargetMode="External" Id="rId424"/><Relationship Type="http://schemas.openxmlformats.org/officeDocument/2006/relationships/hyperlink" Target="mailto:aBalados@abalados.es" TargetMode="External" Id="rId425"/><Relationship Type="http://schemas.openxmlformats.org/officeDocument/2006/relationships/hyperlink" Target="mailto:aBalados@abalados.es" TargetMode="External" Id="rId426"/><Relationship Type="http://schemas.openxmlformats.org/officeDocument/2006/relationships/hyperlink" Target="mailto:aBalados@abalados.es" TargetMode="External" Id="rId427"/><Relationship Type="http://schemas.openxmlformats.org/officeDocument/2006/relationships/hyperlink" Target="mailto:aBalados@abalados.es" TargetMode="External" Id="rId428"/><Relationship Type="http://schemas.openxmlformats.org/officeDocument/2006/relationships/hyperlink" Target="mailto:aBalados@abalados.es" TargetMode="External" Id="rId429"/><Relationship Type="http://schemas.openxmlformats.org/officeDocument/2006/relationships/hyperlink" Target="mailto:aBalados@abalados.es" TargetMode="External" Id="rId430"/><Relationship Type="http://schemas.openxmlformats.org/officeDocument/2006/relationships/hyperlink" Target="mailto:aBalados@abalados.es" TargetMode="External" Id="rId431"/><Relationship Type="http://schemas.openxmlformats.org/officeDocument/2006/relationships/hyperlink" Target="mailto:aBalados@abalados.es" TargetMode="External" Id="rId432"/><Relationship Type="http://schemas.openxmlformats.org/officeDocument/2006/relationships/hyperlink" Target="mailto:aBalados@abalados.es" TargetMode="External" Id="rId433"/><Relationship Type="http://schemas.openxmlformats.org/officeDocument/2006/relationships/hyperlink" Target="mailto:aBalados@abalados.es" TargetMode="External" Id="rId434"/><Relationship Type="http://schemas.openxmlformats.org/officeDocument/2006/relationships/hyperlink" Target="mailto:aBalados@abalados.es" TargetMode="External" Id="rId435"/><Relationship Type="http://schemas.openxmlformats.org/officeDocument/2006/relationships/hyperlink" Target="mailto:aBalados@abalados.es" TargetMode="External" Id="rId436"/><Relationship Type="http://schemas.openxmlformats.org/officeDocument/2006/relationships/hyperlink" Target="mailto:aBalados@abalados.es" TargetMode="External" Id="rId437"/><Relationship Type="http://schemas.openxmlformats.org/officeDocument/2006/relationships/hyperlink" Target="mailto:aBalados@abalados.es" TargetMode="External" Id="rId438"/><Relationship Type="http://schemas.openxmlformats.org/officeDocument/2006/relationships/hyperlink" Target="mailto:aBalados@abalados.es" TargetMode="External" Id="rId439"/><Relationship Type="http://schemas.openxmlformats.org/officeDocument/2006/relationships/hyperlink" Target="mailto:aBalados@abalados.es" TargetMode="External" Id="rId440"/><Relationship Type="http://schemas.openxmlformats.org/officeDocument/2006/relationships/hyperlink" Target="mailto:aBalados@abalados.es" TargetMode="External" Id="rId441"/><Relationship Type="http://schemas.openxmlformats.org/officeDocument/2006/relationships/hyperlink" Target="mailto:aBalados@abalados.es" TargetMode="External" Id="rId442"/><Relationship Type="http://schemas.openxmlformats.org/officeDocument/2006/relationships/hyperlink" Target="mailto:aBalados@abalados.es" TargetMode="External" Id="rId443"/><Relationship Type="http://schemas.openxmlformats.org/officeDocument/2006/relationships/hyperlink" Target="mailto:aBalados@abalados.es" TargetMode="External" Id="rId444"/><Relationship Type="http://schemas.openxmlformats.org/officeDocument/2006/relationships/hyperlink" Target="mailto:aBalados@abalados.es" TargetMode="External" Id="rId445"/><Relationship Type="http://schemas.openxmlformats.org/officeDocument/2006/relationships/hyperlink" Target="mailto:aBalados@abalados.es" TargetMode="External" Id="rId446"/><Relationship Type="http://schemas.openxmlformats.org/officeDocument/2006/relationships/hyperlink" Target="mailto:aBalados@abalados.es" TargetMode="External" Id="rId447"/><Relationship Type="http://schemas.openxmlformats.org/officeDocument/2006/relationships/hyperlink" Target="mailto:aBalados@abalados.es" TargetMode="External" Id="rId448"/><Relationship Type="http://schemas.openxmlformats.org/officeDocument/2006/relationships/hyperlink" Target="mailto:aBalados@abalados.es" TargetMode="External" Id="rId449"/><Relationship Type="http://schemas.openxmlformats.org/officeDocument/2006/relationships/hyperlink" Target="mailto:aBalados@abalados.es" TargetMode="External" Id="rId450"/><Relationship Type="http://schemas.openxmlformats.org/officeDocument/2006/relationships/hyperlink" Target="mailto:aBalados@abalados.es" TargetMode="External" Id="rId451"/><Relationship Type="http://schemas.openxmlformats.org/officeDocument/2006/relationships/hyperlink" Target="mailto:aBalados@abalados.es" TargetMode="External" Id="rId452"/><Relationship Type="http://schemas.openxmlformats.org/officeDocument/2006/relationships/hyperlink" Target="mailto:aBalados@abalados.es" TargetMode="External" Id="rId453"/><Relationship Type="http://schemas.openxmlformats.org/officeDocument/2006/relationships/hyperlink" Target="mailto:aBalados@abalados.es" TargetMode="External" Id="rId454"/><Relationship Type="http://schemas.openxmlformats.org/officeDocument/2006/relationships/hyperlink" Target="mailto:aBalados@abalados.es" TargetMode="External" Id="rId455"/><Relationship Type="http://schemas.openxmlformats.org/officeDocument/2006/relationships/hyperlink" Target="mailto:aBalados@abalados.es" TargetMode="External" Id="rId456"/><Relationship Type="http://schemas.openxmlformats.org/officeDocument/2006/relationships/hyperlink" Target="mailto:aBalados@abalados.es" TargetMode="External" Id="rId457"/><Relationship Type="http://schemas.openxmlformats.org/officeDocument/2006/relationships/hyperlink" Target="mailto:aBalados@abalados.es" TargetMode="External" Id="rId458"/><Relationship Type="http://schemas.openxmlformats.org/officeDocument/2006/relationships/hyperlink" Target="mailto:aBalados@abalados.es" TargetMode="External" Id="rId459"/><Relationship Type="http://schemas.openxmlformats.org/officeDocument/2006/relationships/hyperlink" Target="mailto:aBalados@abalados.es" TargetMode="External" Id="rId460"/><Relationship Type="http://schemas.openxmlformats.org/officeDocument/2006/relationships/hyperlink" Target="mailto:aBalados@abalados.es" TargetMode="External" Id="rId461"/><Relationship Type="http://schemas.openxmlformats.org/officeDocument/2006/relationships/hyperlink" Target="mailto:aBalados@abalados.es" TargetMode="External" Id="rId462"/><Relationship Type="http://schemas.openxmlformats.org/officeDocument/2006/relationships/hyperlink" Target="mailto:aBalados@abalados.es" TargetMode="External" Id="rId463"/><Relationship Type="http://schemas.openxmlformats.org/officeDocument/2006/relationships/hyperlink" Target="mailto:aBalados@abalados.es" TargetMode="External" Id="rId464"/><Relationship Type="http://schemas.openxmlformats.org/officeDocument/2006/relationships/hyperlink" Target="mailto:aBalados@abalados.es" TargetMode="External" Id="rId465"/><Relationship Type="http://schemas.openxmlformats.org/officeDocument/2006/relationships/hyperlink" Target="mailto:aBalados@abalados.es" TargetMode="External" Id="rId466"/><Relationship Type="http://schemas.openxmlformats.org/officeDocument/2006/relationships/hyperlink" Target="mailto:aBalados@abalados.es" TargetMode="External" Id="rId467"/><Relationship Type="http://schemas.openxmlformats.org/officeDocument/2006/relationships/hyperlink" Target="mailto:aBalados@abalados.es" TargetMode="External" Id="rId468"/><Relationship Type="http://schemas.openxmlformats.org/officeDocument/2006/relationships/hyperlink" Target="mailto:aBalados@abalados.es" TargetMode="External" Id="rId469"/><Relationship Type="http://schemas.openxmlformats.org/officeDocument/2006/relationships/hyperlink" Target="mailto:aBalados@abalados.es" TargetMode="External" Id="rId470"/><Relationship Type="http://schemas.openxmlformats.org/officeDocument/2006/relationships/hyperlink" Target="mailto:aBalados@abalados.es" TargetMode="External" Id="rId471"/><Relationship Type="http://schemas.openxmlformats.org/officeDocument/2006/relationships/hyperlink" Target="mailto:aBalados@abalados.es" TargetMode="External" Id="rId472"/><Relationship Type="http://schemas.openxmlformats.org/officeDocument/2006/relationships/hyperlink" Target="mailto:aBalados@abalados.es" TargetMode="External" Id="rId473"/><Relationship Type="http://schemas.openxmlformats.org/officeDocument/2006/relationships/hyperlink" Target="mailto:aBalados@abalados.es" TargetMode="External" Id="rId474"/><Relationship Type="http://schemas.openxmlformats.org/officeDocument/2006/relationships/hyperlink" Target="mailto:aBalados@abalados.es" TargetMode="External" Id="rId475"/><Relationship Type="http://schemas.openxmlformats.org/officeDocument/2006/relationships/hyperlink" Target="mailto:aBalados@abalados.es" TargetMode="External" Id="rId476"/><Relationship Type="http://schemas.openxmlformats.org/officeDocument/2006/relationships/hyperlink" Target="mailto:aBalados@abalados.es" TargetMode="External" Id="rId477"/><Relationship Type="http://schemas.openxmlformats.org/officeDocument/2006/relationships/hyperlink" Target="mailto:aBalados@abalados.es" TargetMode="External" Id="rId478"/><Relationship Type="http://schemas.openxmlformats.org/officeDocument/2006/relationships/hyperlink" Target="mailto:aBalados@abalados.es" TargetMode="External" Id="rId479"/><Relationship Type="http://schemas.openxmlformats.org/officeDocument/2006/relationships/hyperlink" Target="mailto:aBalados@abalados.es" TargetMode="External" Id="rId480"/><Relationship Type="http://schemas.openxmlformats.org/officeDocument/2006/relationships/hyperlink" Target="mailto:aBalados@abalados.es" TargetMode="External" Id="rId481"/><Relationship Type="http://schemas.openxmlformats.org/officeDocument/2006/relationships/hyperlink" Target="mailto:aBalados@abalados.es" TargetMode="External" Id="rId482"/><Relationship Type="http://schemas.openxmlformats.org/officeDocument/2006/relationships/hyperlink" Target="mailto:aBalados@abalados.es" TargetMode="External" Id="rId483"/><Relationship Type="http://schemas.openxmlformats.org/officeDocument/2006/relationships/hyperlink" Target="mailto:aBalados@abalados.es" TargetMode="External" Id="rId484"/><Relationship Type="http://schemas.openxmlformats.org/officeDocument/2006/relationships/hyperlink" Target="mailto:aBalados@abalados.es" TargetMode="External" Id="rId485"/><Relationship Type="http://schemas.openxmlformats.org/officeDocument/2006/relationships/hyperlink" Target="mailto:aBalados@abalados.es" TargetMode="External" Id="rId486"/><Relationship Type="http://schemas.openxmlformats.org/officeDocument/2006/relationships/hyperlink" Target="mailto:aBalados@abalados.es" TargetMode="External" Id="rId487"/><Relationship Type="http://schemas.openxmlformats.org/officeDocument/2006/relationships/hyperlink" Target="mailto:aBalados@abalados.es" TargetMode="External" Id="rId488"/><Relationship Type="http://schemas.openxmlformats.org/officeDocument/2006/relationships/hyperlink" Target="mailto:aBalados@abalados.es" TargetMode="External" Id="rId489"/><Relationship Type="http://schemas.openxmlformats.org/officeDocument/2006/relationships/hyperlink" Target="mailto:aBalados@abalados.es" TargetMode="External" Id="rId490"/><Relationship Type="http://schemas.openxmlformats.org/officeDocument/2006/relationships/hyperlink" Target="mailto:aBalados@abalados.es" TargetMode="External" Id="rId491"/><Relationship Type="http://schemas.openxmlformats.org/officeDocument/2006/relationships/hyperlink" Target="mailto:aBalados@abalados.es" TargetMode="External" Id="rId492"/><Relationship Type="http://schemas.openxmlformats.org/officeDocument/2006/relationships/hyperlink" Target="mailto:aBalados@abalados.es" TargetMode="External" Id="rId493"/><Relationship Type="http://schemas.openxmlformats.org/officeDocument/2006/relationships/hyperlink" Target="mailto:aBalados@abalados.es" TargetMode="External" Id="rId494"/><Relationship Type="http://schemas.openxmlformats.org/officeDocument/2006/relationships/hyperlink" Target="mailto:aBalados@abalados.es" TargetMode="External" Id="rId495"/><Relationship Type="http://schemas.openxmlformats.org/officeDocument/2006/relationships/hyperlink" Target="mailto:aBalados@abalados.es" TargetMode="External" Id="rId496"/><Relationship Type="http://schemas.openxmlformats.org/officeDocument/2006/relationships/hyperlink" Target="mailto:aBalados@abalados.es" TargetMode="External" Id="rId497"/><Relationship Type="http://schemas.openxmlformats.org/officeDocument/2006/relationships/hyperlink" Target="mailto:aBalados@abalados.es" TargetMode="External" Id="rId498"/><Relationship Type="http://schemas.openxmlformats.org/officeDocument/2006/relationships/hyperlink" Target="mailto:aBalados@abalados.es" TargetMode="External" Id="rId499"/><Relationship Type="http://schemas.openxmlformats.org/officeDocument/2006/relationships/hyperlink" Target="mailto:aBalados@abalados.es" TargetMode="External" Id="rId500"/><Relationship Type="http://schemas.openxmlformats.org/officeDocument/2006/relationships/hyperlink" Target="mailto:aBalados@abalados.es" TargetMode="External" Id="rId501"/><Relationship Type="http://schemas.openxmlformats.org/officeDocument/2006/relationships/hyperlink" Target="mailto:aBalados@abalados.es" TargetMode="External" Id="rId502"/><Relationship Type="http://schemas.openxmlformats.org/officeDocument/2006/relationships/hyperlink" Target="mailto:aBalados@abalados.es" TargetMode="External" Id="rId503"/><Relationship Type="http://schemas.openxmlformats.org/officeDocument/2006/relationships/hyperlink" Target="mailto:aBalados@abalados.es" TargetMode="External" Id="rId504"/><Relationship Type="http://schemas.openxmlformats.org/officeDocument/2006/relationships/hyperlink" Target="mailto:aBalados@abalados.es" TargetMode="External" Id="rId505"/><Relationship Type="http://schemas.openxmlformats.org/officeDocument/2006/relationships/hyperlink" Target="mailto:aBalados@abalados.es" TargetMode="External" Id="rId506"/><Relationship Type="http://schemas.openxmlformats.org/officeDocument/2006/relationships/hyperlink" Target="mailto:aBalados@abalados.es" TargetMode="External" Id="rId507"/><Relationship Type="http://schemas.openxmlformats.org/officeDocument/2006/relationships/hyperlink" Target="mailto:aBalados@abalados.es" TargetMode="External" Id="rId508"/><Relationship Type="http://schemas.openxmlformats.org/officeDocument/2006/relationships/hyperlink" Target="mailto:aBalados@abalados.es" TargetMode="External" Id="rId509"/><Relationship Type="http://schemas.openxmlformats.org/officeDocument/2006/relationships/hyperlink" Target="mailto:aBalados@abalados.es" TargetMode="External" Id="rId510"/><Relationship Type="http://schemas.openxmlformats.org/officeDocument/2006/relationships/hyperlink" Target="mailto:aBalados@abalados.es" TargetMode="External" Id="rId511"/><Relationship Type="http://schemas.openxmlformats.org/officeDocument/2006/relationships/hyperlink" Target="mailto:aBalados@abalados.es" TargetMode="External" Id="rId512"/><Relationship Type="http://schemas.openxmlformats.org/officeDocument/2006/relationships/hyperlink" Target="mailto:aBalados@abalados.es" TargetMode="External" Id="rId513"/><Relationship Type="http://schemas.openxmlformats.org/officeDocument/2006/relationships/hyperlink" Target="mailto:aBalados@abalados.es" TargetMode="External" Id="rId514"/><Relationship Type="http://schemas.openxmlformats.org/officeDocument/2006/relationships/hyperlink" Target="mailto:aBalados@abalados.es" TargetMode="External" Id="rId515"/><Relationship Type="http://schemas.openxmlformats.org/officeDocument/2006/relationships/hyperlink" Target="mailto:aBalados@abalados.es" TargetMode="External" Id="rId516"/><Relationship Type="http://schemas.openxmlformats.org/officeDocument/2006/relationships/hyperlink" Target="mailto:aBalados@abalados.es" TargetMode="External" Id="rId517"/><Relationship Type="http://schemas.openxmlformats.org/officeDocument/2006/relationships/hyperlink" Target="mailto:aBalados@abalados.es" TargetMode="External" Id="rId518"/><Relationship Type="http://schemas.openxmlformats.org/officeDocument/2006/relationships/hyperlink" Target="mailto:aBalados@abalados.es" TargetMode="External" Id="rId519"/><Relationship Type="http://schemas.openxmlformats.org/officeDocument/2006/relationships/hyperlink" Target="mailto:aBalados@abalados.es" TargetMode="External" Id="rId520"/><Relationship Type="http://schemas.openxmlformats.org/officeDocument/2006/relationships/hyperlink" Target="mailto:aBalados@abalados.es" TargetMode="External" Id="rId521"/><Relationship Type="http://schemas.openxmlformats.org/officeDocument/2006/relationships/hyperlink" Target="mailto:aBalados@abalados.es" TargetMode="External" Id="rId522"/><Relationship Type="http://schemas.openxmlformats.org/officeDocument/2006/relationships/hyperlink" Target="mailto:aBalados@abalados.es" TargetMode="External" Id="rId523"/><Relationship Type="http://schemas.openxmlformats.org/officeDocument/2006/relationships/hyperlink" Target="mailto:aBalados@abalados.es" TargetMode="External" Id="rId524"/><Relationship Type="http://schemas.openxmlformats.org/officeDocument/2006/relationships/hyperlink" Target="mailto:aBalados@abalados.es" TargetMode="External" Id="rId525"/><Relationship Type="http://schemas.openxmlformats.org/officeDocument/2006/relationships/hyperlink" Target="mailto:aBalados@abalados.es" TargetMode="External" Id="rId526"/><Relationship Type="http://schemas.openxmlformats.org/officeDocument/2006/relationships/hyperlink" Target="mailto:aBalados@abalados.es" TargetMode="External" Id="rId527"/><Relationship Type="http://schemas.openxmlformats.org/officeDocument/2006/relationships/hyperlink" Target="mailto:aBalados@abalados.es" TargetMode="External" Id="rId528"/><Relationship Type="http://schemas.openxmlformats.org/officeDocument/2006/relationships/hyperlink" Target="mailto:aBalados@abalados.es" TargetMode="External" Id="rId529"/><Relationship Type="http://schemas.openxmlformats.org/officeDocument/2006/relationships/hyperlink" Target="mailto:aBalados@abalados.es" TargetMode="External" Id="rId530"/><Relationship Type="http://schemas.openxmlformats.org/officeDocument/2006/relationships/hyperlink" Target="mailto:aBalados@abalados.es" TargetMode="External" Id="rId531"/><Relationship Type="http://schemas.openxmlformats.org/officeDocument/2006/relationships/hyperlink" Target="mailto:aBalados@abalados.es" TargetMode="External" Id="rId532"/><Relationship Type="http://schemas.openxmlformats.org/officeDocument/2006/relationships/hyperlink" Target="mailto:aBalados@abalados.es" TargetMode="External" Id="rId533"/><Relationship Type="http://schemas.openxmlformats.org/officeDocument/2006/relationships/hyperlink" Target="mailto:aBalados@abalados.es" TargetMode="External" Id="rId534"/><Relationship Type="http://schemas.openxmlformats.org/officeDocument/2006/relationships/hyperlink" Target="mailto:aBalados@abalados.es" TargetMode="External" Id="rId535"/><Relationship Type="http://schemas.openxmlformats.org/officeDocument/2006/relationships/hyperlink" Target="mailto:aBalados@abalados.es" TargetMode="External" Id="rId536"/><Relationship Type="http://schemas.openxmlformats.org/officeDocument/2006/relationships/hyperlink" Target="mailto:aBalados@abalados.es" TargetMode="External" Id="rId537"/><Relationship Type="http://schemas.openxmlformats.org/officeDocument/2006/relationships/hyperlink" Target="mailto:aBalados@abalados.es" TargetMode="External" Id="rId538"/><Relationship Type="http://schemas.openxmlformats.org/officeDocument/2006/relationships/hyperlink" Target="mailto:aBalados@abalados.es" TargetMode="External" Id="rId539"/><Relationship Type="http://schemas.openxmlformats.org/officeDocument/2006/relationships/hyperlink" Target="mailto:aBalados@abalados.es" TargetMode="External" Id="rId540"/><Relationship Type="http://schemas.openxmlformats.org/officeDocument/2006/relationships/hyperlink" Target="mailto:aBalados@abalados.es" TargetMode="External" Id="rId541"/><Relationship Type="http://schemas.openxmlformats.org/officeDocument/2006/relationships/hyperlink" Target="mailto:aBalados@abalados.es" TargetMode="External" Id="rId542"/><Relationship Type="http://schemas.openxmlformats.org/officeDocument/2006/relationships/hyperlink" Target="mailto:aBalados@abalados.es" TargetMode="External" Id="rId543"/><Relationship Type="http://schemas.openxmlformats.org/officeDocument/2006/relationships/hyperlink" Target="mailto:aBalados@abalados.es" TargetMode="External" Id="rId544"/><Relationship Type="http://schemas.openxmlformats.org/officeDocument/2006/relationships/hyperlink" Target="mailto:aBalados@abalados.es" TargetMode="External" Id="rId545"/><Relationship Type="http://schemas.openxmlformats.org/officeDocument/2006/relationships/hyperlink" Target="mailto:aBalados@abalados.es" TargetMode="External" Id="rId546"/><Relationship Type="http://schemas.openxmlformats.org/officeDocument/2006/relationships/hyperlink" Target="mailto:aBalados@abalados.es" TargetMode="External" Id="rId547"/><Relationship Type="http://schemas.openxmlformats.org/officeDocument/2006/relationships/hyperlink" Target="mailto:aBalados@abalados.es" TargetMode="External" Id="rId548"/><Relationship Type="http://schemas.openxmlformats.org/officeDocument/2006/relationships/hyperlink" Target="mailto:aBalados@abalados.es" TargetMode="External" Id="rId549"/><Relationship Type="http://schemas.openxmlformats.org/officeDocument/2006/relationships/hyperlink" Target="mailto:aBalados@abalados.es" TargetMode="External" Id="rId550"/><Relationship Type="http://schemas.openxmlformats.org/officeDocument/2006/relationships/hyperlink" Target="mailto:aBalados@abalados.es" TargetMode="External" Id="rId551"/><Relationship Type="http://schemas.openxmlformats.org/officeDocument/2006/relationships/hyperlink" Target="mailto:aBalados@abalados.es" TargetMode="External" Id="rId552"/><Relationship Type="http://schemas.openxmlformats.org/officeDocument/2006/relationships/hyperlink" Target="mailto:aBalados@abalados.es" TargetMode="External" Id="rId553"/><Relationship Type="http://schemas.openxmlformats.org/officeDocument/2006/relationships/hyperlink" Target="mailto:aBalados@abalados.es" TargetMode="External" Id="rId554"/><Relationship Type="http://schemas.openxmlformats.org/officeDocument/2006/relationships/hyperlink" Target="mailto:aBalados@abalados.es" TargetMode="External" Id="rId555"/><Relationship Type="http://schemas.openxmlformats.org/officeDocument/2006/relationships/hyperlink" Target="mailto:aBalados@abalados.es" TargetMode="External" Id="rId556"/><Relationship Type="http://schemas.openxmlformats.org/officeDocument/2006/relationships/hyperlink" Target="mailto:aBalados@abalados.es" TargetMode="External" Id="rId557"/><Relationship Type="http://schemas.openxmlformats.org/officeDocument/2006/relationships/hyperlink" Target="mailto:aBalados@abalados.es" TargetMode="External" Id="rId558"/><Relationship Type="http://schemas.openxmlformats.org/officeDocument/2006/relationships/hyperlink" Target="mailto:aBalados@abalados.es" TargetMode="External" Id="rId559"/><Relationship Type="http://schemas.openxmlformats.org/officeDocument/2006/relationships/hyperlink" Target="mailto:aBalados@abalados.es" TargetMode="External" Id="rId560"/><Relationship Type="http://schemas.openxmlformats.org/officeDocument/2006/relationships/hyperlink" Target="mailto:aBalados@abalados.es" TargetMode="External" Id="rId561"/><Relationship Type="http://schemas.openxmlformats.org/officeDocument/2006/relationships/hyperlink" Target="mailto:aBalados@abalados.es" TargetMode="External" Id="rId562"/><Relationship Type="http://schemas.openxmlformats.org/officeDocument/2006/relationships/hyperlink" Target="mailto:aBalados@abalados.es" TargetMode="External" Id="rId563"/><Relationship Type="http://schemas.openxmlformats.org/officeDocument/2006/relationships/hyperlink" Target="mailto:aBalados@abalados.es" TargetMode="External" Id="rId564"/><Relationship Type="http://schemas.openxmlformats.org/officeDocument/2006/relationships/hyperlink" Target="mailto:aBalados@abalados.es" TargetMode="External" Id="rId565"/><Relationship Type="http://schemas.openxmlformats.org/officeDocument/2006/relationships/hyperlink" Target="mailto:aBalados@abalados.es" TargetMode="External" Id="rId566"/><Relationship Type="http://schemas.openxmlformats.org/officeDocument/2006/relationships/hyperlink" Target="mailto:aBalados@abalados.es" TargetMode="External" Id="rId567"/><Relationship Type="http://schemas.openxmlformats.org/officeDocument/2006/relationships/hyperlink" Target="mailto:aBalados@abalados.es" TargetMode="External" Id="rId568"/><Relationship Type="http://schemas.openxmlformats.org/officeDocument/2006/relationships/hyperlink" Target="mailto:aBalados@abalados.es" TargetMode="External" Id="rId569"/><Relationship Type="http://schemas.openxmlformats.org/officeDocument/2006/relationships/hyperlink" Target="mailto:aBalados@abalados.es" TargetMode="External" Id="rId570"/><Relationship Type="http://schemas.openxmlformats.org/officeDocument/2006/relationships/hyperlink" Target="mailto:aBalados@abalados.es" TargetMode="External" Id="rId571"/><Relationship Type="http://schemas.openxmlformats.org/officeDocument/2006/relationships/hyperlink" Target="mailto:aBalados@abalados.es" TargetMode="External" Id="rId572"/><Relationship Type="http://schemas.openxmlformats.org/officeDocument/2006/relationships/hyperlink" Target="mailto:aBalados@abalados.es" TargetMode="External" Id="rId573"/><Relationship Type="http://schemas.openxmlformats.org/officeDocument/2006/relationships/hyperlink" Target="mailto:aBalados@abalados.es" TargetMode="External" Id="rId574"/><Relationship Type="http://schemas.openxmlformats.org/officeDocument/2006/relationships/hyperlink" Target="mailto:aBalados@abalados.es" TargetMode="External" Id="rId575"/><Relationship Type="http://schemas.openxmlformats.org/officeDocument/2006/relationships/hyperlink" Target="mailto:aBalados@abalados.es" TargetMode="External" Id="rId576"/><Relationship Type="http://schemas.openxmlformats.org/officeDocument/2006/relationships/hyperlink" Target="mailto:aBalados@abalados.es" TargetMode="External" Id="rId577"/><Relationship Type="http://schemas.openxmlformats.org/officeDocument/2006/relationships/hyperlink" Target="mailto:aBalados@abalados.es" TargetMode="External" Id="rId578"/><Relationship Type="http://schemas.openxmlformats.org/officeDocument/2006/relationships/hyperlink" Target="mailto:aBalados@abalados.es" TargetMode="External" Id="rId579"/><Relationship Type="http://schemas.openxmlformats.org/officeDocument/2006/relationships/hyperlink" Target="mailto:aBalados@abalados.es" TargetMode="External" Id="rId580"/><Relationship Type="http://schemas.openxmlformats.org/officeDocument/2006/relationships/hyperlink" Target="mailto:aBalados@abalados.es" TargetMode="External" Id="rId581"/><Relationship Type="http://schemas.openxmlformats.org/officeDocument/2006/relationships/hyperlink" Target="mailto:aBalados@abalados.es" TargetMode="External" Id="rId582"/><Relationship Type="http://schemas.openxmlformats.org/officeDocument/2006/relationships/hyperlink" Target="mailto:aBalados@abalados.es" TargetMode="External" Id="rId583"/><Relationship Type="http://schemas.openxmlformats.org/officeDocument/2006/relationships/hyperlink" Target="mailto:aBalados@abalados.es" TargetMode="External" Id="rId584"/><Relationship Type="http://schemas.openxmlformats.org/officeDocument/2006/relationships/hyperlink" Target="mailto:aBalados@abalados.es" TargetMode="External" Id="rId585"/><Relationship Type="http://schemas.openxmlformats.org/officeDocument/2006/relationships/hyperlink" Target="mailto:aBalados@abalados.es" TargetMode="External" Id="rId586"/><Relationship Type="http://schemas.openxmlformats.org/officeDocument/2006/relationships/hyperlink" Target="mailto:aBalados@abalados.es" TargetMode="External" Id="rId587"/><Relationship Type="http://schemas.openxmlformats.org/officeDocument/2006/relationships/hyperlink" Target="mailto:aBalados@abalados.es" TargetMode="External" Id="rId588"/><Relationship Type="http://schemas.openxmlformats.org/officeDocument/2006/relationships/hyperlink" Target="mailto:aBalados@abalados.es" TargetMode="External" Id="rId589"/><Relationship Type="http://schemas.openxmlformats.org/officeDocument/2006/relationships/hyperlink" Target="mailto:aBalados@abalados.es" TargetMode="External" Id="rId590"/><Relationship Type="http://schemas.openxmlformats.org/officeDocument/2006/relationships/hyperlink" Target="mailto:aBalados@abalados.es" TargetMode="External" Id="rId591"/><Relationship Type="http://schemas.openxmlformats.org/officeDocument/2006/relationships/hyperlink" Target="mailto:aBalados@abalados.es" TargetMode="External" Id="rId592"/><Relationship Type="http://schemas.openxmlformats.org/officeDocument/2006/relationships/hyperlink" Target="mailto:aBalados@abalados.es" TargetMode="External" Id="rId593"/><Relationship Type="http://schemas.openxmlformats.org/officeDocument/2006/relationships/hyperlink" Target="mailto:aBalados@abalados.es" TargetMode="External" Id="rId594"/><Relationship Type="http://schemas.openxmlformats.org/officeDocument/2006/relationships/hyperlink" Target="mailto:aBalados@abalados.es" TargetMode="External" Id="rId595"/><Relationship Type="http://schemas.openxmlformats.org/officeDocument/2006/relationships/hyperlink" Target="mailto:aBalados@abalados.es" TargetMode="External" Id="rId596"/><Relationship Type="http://schemas.openxmlformats.org/officeDocument/2006/relationships/hyperlink" Target="mailto:aBalados@abalados.es" TargetMode="External" Id="rId597"/><Relationship Type="http://schemas.openxmlformats.org/officeDocument/2006/relationships/hyperlink" Target="mailto:aBalados@abalados.es" TargetMode="External" Id="rId598"/><Relationship Type="http://schemas.openxmlformats.org/officeDocument/2006/relationships/hyperlink" Target="mailto:aBalados@abalados.es" TargetMode="External" Id="rId599"/><Relationship Type="http://schemas.openxmlformats.org/officeDocument/2006/relationships/hyperlink" Target="mailto:aBalados@abalados.es" TargetMode="External" Id="rId600"/><Relationship Type="http://schemas.openxmlformats.org/officeDocument/2006/relationships/hyperlink" Target="mailto:aBalados@abalados.es" TargetMode="External" Id="rId601"/><Relationship Type="http://schemas.openxmlformats.org/officeDocument/2006/relationships/hyperlink" Target="mailto:aBalados@abalados.es" TargetMode="External" Id="rId602"/><Relationship Type="http://schemas.openxmlformats.org/officeDocument/2006/relationships/hyperlink" Target="mailto:aBalados@abalados.es" TargetMode="External" Id="rId603"/><Relationship Type="http://schemas.openxmlformats.org/officeDocument/2006/relationships/hyperlink" Target="mailto:aBalados@abalados.es" TargetMode="External" Id="rId604"/><Relationship Type="http://schemas.openxmlformats.org/officeDocument/2006/relationships/hyperlink" Target="mailto:aBalados@abalados.es" TargetMode="External" Id="rId605"/><Relationship Type="http://schemas.openxmlformats.org/officeDocument/2006/relationships/hyperlink" Target="mailto:aBalados@abalados.es" TargetMode="External" Id="rId606"/><Relationship Type="http://schemas.openxmlformats.org/officeDocument/2006/relationships/hyperlink" Target="mailto:aBalados@abalados.es" TargetMode="External" Id="rId607"/><Relationship Type="http://schemas.openxmlformats.org/officeDocument/2006/relationships/hyperlink" Target="mailto:aBalados@abalados.es" TargetMode="External" Id="rId608"/><Relationship Type="http://schemas.openxmlformats.org/officeDocument/2006/relationships/hyperlink" Target="mailto:aBalados@abalados.es" TargetMode="External" Id="rId609"/><Relationship Type="http://schemas.openxmlformats.org/officeDocument/2006/relationships/hyperlink" Target="mailto:aBalados@abalados.es" TargetMode="External" Id="rId610"/><Relationship Type="http://schemas.openxmlformats.org/officeDocument/2006/relationships/hyperlink" Target="mailto:aBalados@abalados.es" TargetMode="External" Id="rId611"/><Relationship Type="http://schemas.openxmlformats.org/officeDocument/2006/relationships/hyperlink" Target="mailto:aBalados@abalados.es" TargetMode="External" Id="rId612"/><Relationship Type="http://schemas.openxmlformats.org/officeDocument/2006/relationships/hyperlink" Target="mailto:aBalados@abalados.es" TargetMode="External" Id="rId613"/><Relationship Type="http://schemas.openxmlformats.org/officeDocument/2006/relationships/hyperlink" Target="mailto:aBalados@abalados.es" TargetMode="External" Id="rId614"/><Relationship Type="http://schemas.openxmlformats.org/officeDocument/2006/relationships/hyperlink" Target="mailto:aBalados@abalados.es" TargetMode="External" Id="rId615"/><Relationship Type="http://schemas.openxmlformats.org/officeDocument/2006/relationships/hyperlink" Target="mailto:aBalados@abalados.es" TargetMode="External" Id="rId616"/><Relationship Type="http://schemas.openxmlformats.org/officeDocument/2006/relationships/hyperlink" Target="mailto:aBalados@abalados.es" TargetMode="External" Id="rId617"/><Relationship Type="http://schemas.openxmlformats.org/officeDocument/2006/relationships/hyperlink" Target="mailto:aBalados@abalados.es" TargetMode="External" Id="rId618"/><Relationship Type="http://schemas.openxmlformats.org/officeDocument/2006/relationships/hyperlink" Target="mailto:aBalados@abalados.es" TargetMode="External" Id="rId619"/><Relationship Type="http://schemas.openxmlformats.org/officeDocument/2006/relationships/hyperlink" Target="mailto:aBalados@abalados.es" TargetMode="External" Id="rId620"/><Relationship Type="http://schemas.openxmlformats.org/officeDocument/2006/relationships/hyperlink" Target="mailto:aBalados@abalados.es" TargetMode="External" Id="rId621"/><Relationship Type="http://schemas.openxmlformats.org/officeDocument/2006/relationships/hyperlink" Target="mailto:aBalados@abalados.es" TargetMode="External" Id="rId622"/><Relationship Type="http://schemas.openxmlformats.org/officeDocument/2006/relationships/hyperlink" Target="mailto:aBalados@abalados.es" TargetMode="External" Id="rId623"/><Relationship Type="http://schemas.openxmlformats.org/officeDocument/2006/relationships/hyperlink" Target="mailto:aBalados@abalados.es" TargetMode="External" Id="rId624"/><Relationship Type="http://schemas.openxmlformats.org/officeDocument/2006/relationships/hyperlink" Target="mailto:aBalados@abalados.es" TargetMode="External" Id="rId625"/><Relationship Type="http://schemas.openxmlformats.org/officeDocument/2006/relationships/hyperlink" Target="mailto:aBalados@abalados.es" TargetMode="External" Id="rId626"/><Relationship Type="http://schemas.openxmlformats.org/officeDocument/2006/relationships/hyperlink" Target="mailto:aBalados@abalados.es" TargetMode="External" Id="rId627"/><Relationship Type="http://schemas.openxmlformats.org/officeDocument/2006/relationships/hyperlink" Target="mailto:aBalados@abalados.es" TargetMode="External" Id="rId628"/><Relationship Type="http://schemas.openxmlformats.org/officeDocument/2006/relationships/hyperlink" Target="mailto:aBalados@abalados.es" TargetMode="External" Id="rId629"/><Relationship Type="http://schemas.openxmlformats.org/officeDocument/2006/relationships/hyperlink" Target="mailto:aBalados@abalados.es" TargetMode="External" Id="rId630"/><Relationship Type="http://schemas.openxmlformats.org/officeDocument/2006/relationships/hyperlink" Target="mailto:aBalados@abalados.es" TargetMode="External" Id="rId631"/><Relationship Type="http://schemas.openxmlformats.org/officeDocument/2006/relationships/hyperlink" Target="mailto:aBalados@abalados.es" TargetMode="External" Id="rId632"/><Relationship Type="http://schemas.openxmlformats.org/officeDocument/2006/relationships/hyperlink" Target="mailto:aBalados@abalados.es" TargetMode="External" Id="rId633"/><Relationship Type="http://schemas.openxmlformats.org/officeDocument/2006/relationships/hyperlink" Target="mailto:aBalados@abalados.es" TargetMode="External" Id="rId634"/><Relationship Type="http://schemas.openxmlformats.org/officeDocument/2006/relationships/hyperlink" Target="mailto:aBalados@abalados.es" TargetMode="External" Id="rId635"/><Relationship Type="http://schemas.openxmlformats.org/officeDocument/2006/relationships/hyperlink" Target="mailto:aBalados@abalados.es" TargetMode="External" Id="rId636"/><Relationship Type="http://schemas.openxmlformats.org/officeDocument/2006/relationships/hyperlink" Target="mailto:aBalados@abalados.es" TargetMode="External" Id="rId637"/><Relationship Type="http://schemas.openxmlformats.org/officeDocument/2006/relationships/hyperlink" Target="mailto:aBalados@abalados.es" TargetMode="External" Id="rId638"/><Relationship Type="http://schemas.openxmlformats.org/officeDocument/2006/relationships/hyperlink" Target="mailto:aBalados@abalados.es" TargetMode="External" Id="rId639"/><Relationship Type="http://schemas.openxmlformats.org/officeDocument/2006/relationships/hyperlink" Target="mailto:aBalados@abalados.es" TargetMode="External" Id="rId640"/><Relationship Type="http://schemas.openxmlformats.org/officeDocument/2006/relationships/hyperlink" Target="mailto:aBalados@abalados.es" TargetMode="External" Id="rId641"/><Relationship Type="http://schemas.openxmlformats.org/officeDocument/2006/relationships/hyperlink" Target="mailto:aBalados@abalados.es" TargetMode="External" Id="rId642"/><Relationship Type="http://schemas.openxmlformats.org/officeDocument/2006/relationships/hyperlink" Target="mailto:aBalados@abalados.es" TargetMode="External" Id="rId643"/><Relationship Type="http://schemas.openxmlformats.org/officeDocument/2006/relationships/hyperlink" Target="mailto:aBalados@abalados.es" TargetMode="External" Id="rId644"/><Relationship Type="http://schemas.openxmlformats.org/officeDocument/2006/relationships/hyperlink" Target="mailto:aBalados@abalados.es" TargetMode="External" Id="rId645"/><Relationship Type="http://schemas.openxmlformats.org/officeDocument/2006/relationships/hyperlink" Target="mailto:aBalados@abalados.es" TargetMode="External" Id="rId646"/><Relationship Type="http://schemas.openxmlformats.org/officeDocument/2006/relationships/hyperlink" Target="mailto:aBalados@abalados.es" TargetMode="External" Id="rId647"/><Relationship Type="http://schemas.openxmlformats.org/officeDocument/2006/relationships/hyperlink" Target="mailto:aBalados@abalados.es" TargetMode="External" Id="rId648"/><Relationship Type="http://schemas.openxmlformats.org/officeDocument/2006/relationships/hyperlink" Target="mailto:aBalados@abalados.es" TargetMode="External" Id="rId649"/><Relationship Type="http://schemas.openxmlformats.org/officeDocument/2006/relationships/hyperlink" Target="mailto:aBalados@abalados.es" TargetMode="External" Id="rId650"/><Relationship Type="http://schemas.openxmlformats.org/officeDocument/2006/relationships/hyperlink" Target="mailto:aBalados@abalados.es" TargetMode="External" Id="rId651"/><Relationship Type="http://schemas.openxmlformats.org/officeDocument/2006/relationships/hyperlink" Target="mailto:aBalados@abalados.es" TargetMode="External" Id="rId652"/><Relationship Type="http://schemas.openxmlformats.org/officeDocument/2006/relationships/hyperlink" Target="mailto:aBalados@abalados.es" TargetMode="External" Id="rId653"/><Relationship Type="http://schemas.openxmlformats.org/officeDocument/2006/relationships/hyperlink" Target="mailto:aBalados@abalados.es" TargetMode="External" Id="rId654"/><Relationship Type="http://schemas.openxmlformats.org/officeDocument/2006/relationships/hyperlink" Target="mailto:aBalados@abalados.es" TargetMode="External" Id="rId655"/><Relationship Type="http://schemas.openxmlformats.org/officeDocument/2006/relationships/hyperlink" Target="mailto:aBalados@abalados.es" TargetMode="External" Id="rId656"/><Relationship Type="http://schemas.openxmlformats.org/officeDocument/2006/relationships/hyperlink" Target="mailto:aBalados@abalados.es" TargetMode="External" Id="rId657"/><Relationship Type="http://schemas.openxmlformats.org/officeDocument/2006/relationships/hyperlink" Target="mailto:aBalados@abalados.es" TargetMode="External" Id="rId658"/><Relationship Type="http://schemas.openxmlformats.org/officeDocument/2006/relationships/hyperlink" Target="mailto:aBalados@abalados.es" TargetMode="External" Id="rId659"/><Relationship Type="http://schemas.openxmlformats.org/officeDocument/2006/relationships/hyperlink" Target="mailto:aBalados@abalados.es" TargetMode="External" Id="rId660"/><Relationship Type="http://schemas.openxmlformats.org/officeDocument/2006/relationships/hyperlink" Target="mailto:aBalados@abalados.es" TargetMode="External" Id="rId661"/><Relationship Type="http://schemas.openxmlformats.org/officeDocument/2006/relationships/hyperlink" Target="mailto:aBalados@abalados.es" TargetMode="External" Id="rId662"/><Relationship Type="http://schemas.openxmlformats.org/officeDocument/2006/relationships/hyperlink" Target="mailto:aBalados@abalados.es" TargetMode="External" Id="rId663"/><Relationship Type="http://schemas.openxmlformats.org/officeDocument/2006/relationships/hyperlink" Target="mailto:aBalados@abalados.es" TargetMode="External" Id="rId664"/><Relationship Type="http://schemas.openxmlformats.org/officeDocument/2006/relationships/hyperlink" Target="mailto:aBalados@abalados.es" TargetMode="External" Id="rId665"/><Relationship Type="http://schemas.openxmlformats.org/officeDocument/2006/relationships/hyperlink" Target="mailto:aBalados@abalados.es" TargetMode="External" Id="rId666"/><Relationship Type="http://schemas.openxmlformats.org/officeDocument/2006/relationships/hyperlink" Target="mailto:aBalados@abalados.es" TargetMode="External" Id="rId667"/><Relationship Type="http://schemas.openxmlformats.org/officeDocument/2006/relationships/hyperlink" Target="mailto:aBalados@abalados.es" TargetMode="External" Id="rId668"/><Relationship Type="http://schemas.openxmlformats.org/officeDocument/2006/relationships/hyperlink" Target="mailto:aBalados@abalados.es" TargetMode="External" Id="rId669"/><Relationship Type="http://schemas.openxmlformats.org/officeDocument/2006/relationships/hyperlink" Target="mailto:aBalados@abalados.es" TargetMode="External" Id="rId670"/><Relationship Type="http://schemas.openxmlformats.org/officeDocument/2006/relationships/hyperlink" Target="mailto:aBalados@abalados.es" TargetMode="External" Id="rId671"/><Relationship Type="http://schemas.openxmlformats.org/officeDocument/2006/relationships/hyperlink" Target="mailto:aBalados@abalados.es" TargetMode="External" Id="rId672"/><Relationship Type="http://schemas.openxmlformats.org/officeDocument/2006/relationships/hyperlink" Target="mailto:aBalados@abalados.es" TargetMode="External" Id="rId673"/><Relationship Type="http://schemas.openxmlformats.org/officeDocument/2006/relationships/hyperlink" Target="mailto:aBalados@abalados.es" TargetMode="External" Id="rId674"/><Relationship Type="http://schemas.openxmlformats.org/officeDocument/2006/relationships/hyperlink" Target="mailto:aBalados@abalados.es" TargetMode="External" Id="rId675"/><Relationship Type="http://schemas.openxmlformats.org/officeDocument/2006/relationships/hyperlink" Target="mailto:aBalados@abalados.es" TargetMode="External" Id="rId676"/><Relationship Type="http://schemas.openxmlformats.org/officeDocument/2006/relationships/hyperlink" Target="mailto:aBalados@abalados.es" TargetMode="External" Id="rId677"/><Relationship Type="http://schemas.openxmlformats.org/officeDocument/2006/relationships/hyperlink" Target="mailto:aBalados@abalados.es" TargetMode="External" Id="rId678"/><Relationship Type="http://schemas.openxmlformats.org/officeDocument/2006/relationships/hyperlink" Target="mailto:aBalados@abalados.es" TargetMode="External" Id="rId679"/><Relationship Type="http://schemas.openxmlformats.org/officeDocument/2006/relationships/hyperlink" Target="mailto:aBalados@abalados.es" TargetMode="External" Id="rId680"/><Relationship Type="http://schemas.openxmlformats.org/officeDocument/2006/relationships/hyperlink" Target="mailto:aBalados@abalados.es" TargetMode="External" Id="rId681"/><Relationship Type="http://schemas.openxmlformats.org/officeDocument/2006/relationships/hyperlink" Target="mailto:aBalados@abalados.es" TargetMode="External" Id="rId682"/><Relationship Type="http://schemas.openxmlformats.org/officeDocument/2006/relationships/hyperlink" Target="mailto:aBalados@abalados.es" TargetMode="External" Id="rId683"/><Relationship Type="http://schemas.openxmlformats.org/officeDocument/2006/relationships/hyperlink" Target="mailto:aBalados@abalados.es" TargetMode="External" Id="rId684"/><Relationship Type="http://schemas.openxmlformats.org/officeDocument/2006/relationships/hyperlink" Target="mailto:aBalados@abalados.es" TargetMode="External" Id="rId685"/><Relationship Type="http://schemas.openxmlformats.org/officeDocument/2006/relationships/hyperlink" Target="mailto:aBalados@abalados.es" TargetMode="External" Id="rId686"/><Relationship Type="http://schemas.openxmlformats.org/officeDocument/2006/relationships/hyperlink" Target="mailto:aBalados@abalados.es" TargetMode="External" Id="rId687"/><Relationship Type="http://schemas.openxmlformats.org/officeDocument/2006/relationships/hyperlink" Target="mailto:aBalados@abalados.es" TargetMode="External" Id="rId688"/><Relationship Type="http://schemas.openxmlformats.org/officeDocument/2006/relationships/hyperlink" Target="mailto:aBalados@abalados.es" TargetMode="External" Id="rId689"/><Relationship Type="http://schemas.openxmlformats.org/officeDocument/2006/relationships/hyperlink" Target="mailto:aBalados@abalados.es" TargetMode="External" Id="rId690"/><Relationship Type="http://schemas.openxmlformats.org/officeDocument/2006/relationships/hyperlink" Target="mailto:aBalados@abalados.es" TargetMode="External" Id="rId691"/><Relationship Type="http://schemas.openxmlformats.org/officeDocument/2006/relationships/hyperlink" Target="mailto:aBalados@abalados.es" TargetMode="External" Id="rId692"/><Relationship Type="http://schemas.openxmlformats.org/officeDocument/2006/relationships/hyperlink" Target="mailto:aBalados@abalados.es" TargetMode="External" Id="rId693"/><Relationship Type="http://schemas.openxmlformats.org/officeDocument/2006/relationships/hyperlink" Target="mailto:aBalados@abalados.es" TargetMode="External" Id="rId694"/><Relationship Type="http://schemas.openxmlformats.org/officeDocument/2006/relationships/hyperlink" Target="mailto:aBalados@abalados.es" TargetMode="External" Id="rId695"/><Relationship Type="http://schemas.openxmlformats.org/officeDocument/2006/relationships/hyperlink" Target="mailto:aBalados@abalados.es" TargetMode="External" Id="rId696"/><Relationship Type="http://schemas.openxmlformats.org/officeDocument/2006/relationships/hyperlink" Target="mailto:aBalados@abalados.es" TargetMode="External" Id="rId697"/><Relationship Type="http://schemas.openxmlformats.org/officeDocument/2006/relationships/hyperlink" Target="mailto:aBalados@abalados.es" TargetMode="External" Id="rId698"/><Relationship Type="http://schemas.openxmlformats.org/officeDocument/2006/relationships/hyperlink" Target="mailto:aBalados@abalados.es" TargetMode="External" Id="rId699"/><Relationship Type="http://schemas.openxmlformats.org/officeDocument/2006/relationships/hyperlink" Target="mailto:aBalados@abalados.es" TargetMode="External" Id="rId700"/><Relationship Type="http://schemas.openxmlformats.org/officeDocument/2006/relationships/hyperlink" Target="mailto:aBalados@abalados.es" TargetMode="External" Id="rId701"/><Relationship Type="http://schemas.openxmlformats.org/officeDocument/2006/relationships/hyperlink" Target="mailto:aBalados@abalados.es" TargetMode="External" Id="rId702"/><Relationship Type="http://schemas.openxmlformats.org/officeDocument/2006/relationships/hyperlink" Target="mailto:aBalados@abalados.es" TargetMode="External" Id="rId703"/><Relationship Type="http://schemas.openxmlformats.org/officeDocument/2006/relationships/hyperlink" Target="mailto:aBalados@abalados.es" TargetMode="External" Id="rId704"/><Relationship Type="http://schemas.openxmlformats.org/officeDocument/2006/relationships/hyperlink" Target="mailto:aBalados@abalados.es" TargetMode="External" Id="rId705"/><Relationship Type="http://schemas.openxmlformats.org/officeDocument/2006/relationships/hyperlink" Target="mailto:aBalados@abalados.es" TargetMode="External" Id="rId706"/><Relationship Type="http://schemas.openxmlformats.org/officeDocument/2006/relationships/hyperlink" Target="mailto:aBalados@abalados.es" TargetMode="External" Id="rId707"/><Relationship Type="http://schemas.openxmlformats.org/officeDocument/2006/relationships/hyperlink" Target="mailto:aBalados@abalados.es" TargetMode="External" Id="rId708"/><Relationship Type="http://schemas.openxmlformats.org/officeDocument/2006/relationships/hyperlink" Target="mailto:aBalados@abalados.es" TargetMode="External" Id="rId709"/><Relationship Type="http://schemas.openxmlformats.org/officeDocument/2006/relationships/hyperlink" Target="mailto:aBalados@abalados.es" TargetMode="External" Id="rId710"/><Relationship Type="http://schemas.openxmlformats.org/officeDocument/2006/relationships/hyperlink" Target="mailto:aBalados@abalados.es" TargetMode="External" Id="rId711"/><Relationship Type="http://schemas.openxmlformats.org/officeDocument/2006/relationships/hyperlink" Target="mailto:aBalados@abalados.es" TargetMode="External" Id="rId712"/><Relationship Type="http://schemas.openxmlformats.org/officeDocument/2006/relationships/hyperlink" Target="mailto:aBalados@abalados.es" TargetMode="External" Id="rId713"/><Relationship Type="http://schemas.openxmlformats.org/officeDocument/2006/relationships/hyperlink" Target="mailto:aBalados@abalados.es" TargetMode="External" Id="rId714"/><Relationship Type="http://schemas.openxmlformats.org/officeDocument/2006/relationships/hyperlink" Target="mailto:aBalados@abalados.es" TargetMode="External" Id="rId715"/><Relationship Type="http://schemas.openxmlformats.org/officeDocument/2006/relationships/hyperlink" Target="mailto:aBalados@abalados.es" TargetMode="External" Id="rId716"/><Relationship Type="http://schemas.openxmlformats.org/officeDocument/2006/relationships/hyperlink" Target="mailto:aBalados@abalados.es" TargetMode="External" Id="rId717"/><Relationship Type="http://schemas.openxmlformats.org/officeDocument/2006/relationships/hyperlink" Target="mailto:aBalados@abalados.es" TargetMode="External" Id="rId718"/><Relationship Type="http://schemas.openxmlformats.org/officeDocument/2006/relationships/hyperlink" Target="mailto:aBalados@abalados.es" TargetMode="External" Id="rId719"/><Relationship Type="http://schemas.openxmlformats.org/officeDocument/2006/relationships/hyperlink" Target="mailto:aBalados@abalados.es" TargetMode="External" Id="rId720"/><Relationship Type="http://schemas.openxmlformats.org/officeDocument/2006/relationships/hyperlink" Target="mailto:aBalados@abalados.es" TargetMode="External" Id="rId721"/><Relationship Type="http://schemas.openxmlformats.org/officeDocument/2006/relationships/hyperlink" Target="mailto:aBalados@abalados.es" TargetMode="External" Id="rId722"/><Relationship Type="http://schemas.openxmlformats.org/officeDocument/2006/relationships/hyperlink" Target="mailto:aBalados@abalados.es" TargetMode="External" Id="rId723"/><Relationship Type="http://schemas.openxmlformats.org/officeDocument/2006/relationships/hyperlink" Target="mailto:aBalados@abalados.es" TargetMode="External" Id="rId724"/><Relationship Type="http://schemas.openxmlformats.org/officeDocument/2006/relationships/hyperlink" Target="mailto:aBalados@abalados.es" TargetMode="External" Id="rId725"/><Relationship Type="http://schemas.openxmlformats.org/officeDocument/2006/relationships/hyperlink" Target="mailto:aBalados@abalados.es" TargetMode="External" Id="rId726"/><Relationship Type="http://schemas.openxmlformats.org/officeDocument/2006/relationships/hyperlink" Target="mailto:aBalados@abalados.es" TargetMode="External" Id="rId727"/><Relationship Type="http://schemas.openxmlformats.org/officeDocument/2006/relationships/hyperlink" Target="mailto:aBalados@abalados.es" TargetMode="External" Id="rId728"/><Relationship Type="http://schemas.openxmlformats.org/officeDocument/2006/relationships/hyperlink" Target="mailto:aBalados@abalados.es" TargetMode="External" Id="rId729"/><Relationship Type="http://schemas.openxmlformats.org/officeDocument/2006/relationships/hyperlink" Target="mailto:aBalados@abalados.es" TargetMode="External" Id="rId730"/><Relationship Type="http://schemas.openxmlformats.org/officeDocument/2006/relationships/hyperlink" Target="mailto:aBalados@abalados.es" TargetMode="External" Id="rId731"/><Relationship Type="http://schemas.openxmlformats.org/officeDocument/2006/relationships/hyperlink" Target="mailto:aBalados@abalados.es" TargetMode="External" Id="rId732"/><Relationship Type="http://schemas.openxmlformats.org/officeDocument/2006/relationships/hyperlink" Target="mailto:aBalados@abalados.es" TargetMode="External" Id="rId733"/><Relationship Type="http://schemas.openxmlformats.org/officeDocument/2006/relationships/hyperlink" Target="mailto:aBalados@abalados.es" TargetMode="External" Id="rId734"/><Relationship Type="http://schemas.openxmlformats.org/officeDocument/2006/relationships/hyperlink" Target="mailto:aBalados@abalados.es" TargetMode="External" Id="rId735"/><Relationship Type="http://schemas.openxmlformats.org/officeDocument/2006/relationships/hyperlink" Target="mailto:aBalados@abalados.es" TargetMode="External" Id="rId736"/><Relationship Type="http://schemas.openxmlformats.org/officeDocument/2006/relationships/hyperlink" Target="mailto:aBalados@abalados.es" TargetMode="External" Id="rId737"/><Relationship Type="http://schemas.openxmlformats.org/officeDocument/2006/relationships/hyperlink" Target="mailto:aBalados@abalados.es" TargetMode="External" Id="rId738"/><Relationship Type="http://schemas.openxmlformats.org/officeDocument/2006/relationships/hyperlink" Target="mailto:aBalados@abalados.es" TargetMode="External" Id="rId739"/><Relationship Type="http://schemas.openxmlformats.org/officeDocument/2006/relationships/hyperlink" Target="mailto:aBalados@abalados.es" TargetMode="External" Id="rId740"/><Relationship Type="http://schemas.openxmlformats.org/officeDocument/2006/relationships/hyperlink" Target="mailto:aBalados@abalados.es" TargetMode="External" Id="rId741"/><Relationship Type="http://schemas.openxmlformats.org/officeDocument/2006/relationships/hyperlink" Target="mailto:aBalados@abalados.es" TargetMode="External" Id="rId742"/><Relationship Type="http://schemas.openxmlformats.org/officeDocument/2006/relationships/hyperlink" Target="mailto:aBalados@abalados.es" TargetMode="External" Id="rId743"/><Relationship Type="http://schemas.openxmlformats.org/officeDocument/2006/relationships/hyperlink" Target="mailto:aBalados@abalados.es" TargetMode="External" Id="rId744"/><Relationship Type="http://schemas.openxmlformats.org/officeDocument/2006/relationships/hyperlink" Target="mailto:aBalados@abalados.es" TargetMode="External" Id="rId745"/><Relationship Type="http://schemas.openxmlformats.org/officeDocument/2006/relationships/hyperlink" Target="mailto:aBalados@abalados.es" TargetMode="External" Id="rId746"/><Relationship Type="http://schemas.openxmlformats.org/officeDocument/2006/relationships/hyperlink" Target="mailto:aBalados@abalados.es" TargetMode="External" Id="rId747"/><Relationship Type="http://schemas.openxmlformats.org/officeDocument/2006/relationships/hyperlink" Target="mailto:aBalados@abalados.es" TargetMode="External" Id="rId748"/><Relationship Type="http://schemas.openxmlformats.org/officeDocument/2006/relationships/hyperlink" Target="mailto:aBalados@abalados.es" TargetMode="External" Id="rId749"/><Relationship Type="http://schemas.openxmlformats.org/officeDocument/2006/relationships/hyperlink" Target="mailto:aBalados@abalados.es" TargetMode="External" Id="rId750"/><Relationship Type="http://schemas.openxmlformats.org/officeDocument/2006/relationships/hyperlink" Target="mailto:aBalados@abalados.es" TargetMode="External" Id="rId751"/><Relationship Type="http://schemas.openxmlformats.org/officeDocument/2006/relationships/hyperlink" Target="mailto:aBalados@abalados.es" TargetMode="External" Id="rId752"/><Relationship Type="http://schemas.openxmlformats.org/officeDocument/2006/relationships/hyperlink" Target="mailto:aBalados@abalados.es" TargetMode="External" Id="rId753"/><Relationship Type="http://schemas.openxmlformats.org/officeDocument/2006/relationships/hyperlink" Target="mailto:aBalados@abalados.es" TargetMode="External" Id="rId754"/><Relationship Type="http://schemas.openxmlformats.org/officeDocument/2006/relationships/hyperlink" Target="mailto:aBalados@abalados.es" TargetMode="External" Id="rId755"/><Relationship Type="http://schemas.openxmlformats.org/officeDocument/2006/relationships/hyperlink" Target="mailto:aBalados@abalados.es" TargetMode="External" Id="rId756"/><Relationship Type="http://schemas.openxmlformats.org/officeDocument/2006/relationships/hyperlink" Target="mailto:aBalados@abalados.es" TargetMode="External" Id="rId757"/><Relationship Type="http://schemas.openxmlformats.org/officeDocument/2006/relationships/hyperlink" Target="mailto:aBalados@abalados.es" TargetMode="External" Id="rId758"/><Relationship Type="http://schemas.openxmlformats.org/officeDocument/2006/relationships/hyperlink" Target="mailto:aBalados@abalados.es" TargetMode="External" Id="rId759"/><Relationship Type="http://schemas.openxmlformats.org/officeDocument/2006/relationships/hyperlink" Target="mailto:aBalados@abalados.es" TargetMode="External" Id="rId760"/><Relationship Type="http://schemas.openxmlformats.org/officeDocument/2006/relationships/hyperlink" Target="mailto:aBalados@abalados.es" TargetMode="External" Id="rId761"/><Relationship Type="http://schemas.openxmlformats.org/officeDocument/2006/relationships/hyperlink" Target="mailto:aBalados@abalados.es" TargetMode="External" Id="rId762"/><Relationship Type="http://schemas.openxmlformats.org/officeDocument/2006/relationships/hyperlink" Target="mailto:aBalados@abalados.es" TargetMode="External" Id="rId763"/><Relationship Type="http://schemas.openxmlformats.org/officeDocument/2006/relationships/hyperlink" Target="mailto:aBalados@abalados.es" TargetMode="External" Id="rId764"/><Relationship Type="http://schemas.openxmlformats.org/officeDocument/2006/relationships/hyperlink" Target="mailto:aBalados@abalados.es" TargetMode="External" Id="rId765"/><Relationship Type="http://schemas.openxmlformats.org/officeDocument/2006/relationships/hyperlink" Target="mailto:aBalados@abalados.es" TargetMode="External" Id="rId766"/><Relationship Type="http://schemas.openxmlformats.org/officeDocument/2006/relationships/hyperlink" Target="mailto:aBalados@abalados.es" TargetMode="External" Id="rId767"/><Relationship Type="http://schemas.openxmlformats.org/officeDocument/2006/relationships/hyperlink" Target="mailto:aBalados@abalados.es" TargetMode="External" Id="rId768"/><Relationship Type="http://schemas.openxmlformats.org/officeDocument/2006/relationships/hyperlink" Target="mailto:aBalados@abalados.es" TargetMode="External" Id="rId769"/><Relationship Type="http://schemas.openxmlformats.org/officeDocument/2006/relationships/hyperlink" Target="mailto:aBalados@abalados.es" TargetMode="External" Id="rId770"/><Relationship Type="http://schemas.openxmlformats.org/officeDocument/2006/relationships/hyperlink" Target="mailto:aBalados@abalados.es" TargetMode="External" Id="rId771"/><Relationship Type="http://schemas.openxmlformats.org/officeDocument/2006/relationships/hyperlink" Target="mailto:aBalados@abalados.es" TargetMode="External" Id="rId772"/><Relationship Type="http://schemas.openxmlformats.org/officeDocument/2006/relationships/hyperlink" Target="mailto:aBalados@abalados.es" TargetMode="External" Id="rId773"/><Relationship Type="http://schemas.openxmlformats.org/officeDocument/2006/relationships/hyperlink" Target="mailto:aBalados@abalados.es" TargetMode="External" Id="rId774"/><Relationship Type="http://schemas.openxmlformats.org/officeDocument/2006/relationships/hyperlink" Target="mailto:aBalados@abalados.es" TargetMode="External" Id="rId775"/><Relationship Type="http://schemas.openxmlformats.org/officeDocument/2006/relationships/hyperlink" Target="mailto:aBalados@abalados.es" TargetMode="External" Id="rId776"/><Relationship Type="http://schemas.openxmlformats.org/officeDocument/2006/relationships/hyperlink" Target="mailto:aBalados@abalados.es" TargetMode="External" Id="rId777"/><Relationship Type="http://schemas.openxmlformats.org/officeDocument/2006/relationships/hyperlink" Target="mailto:aBalados@abalados.es" TargetMode="External" Id="rId778"/><Relationship Type="http://schemas.openxmlformats.org/officeDocument/2006/relationships/hyperlink" Target="mailto:aBalados@abalados.es" TargetMode="External" Id="rId779"/><Relationship Type="http://schemas.openxmlformats.org/officeDocument/2006/relationships/hyperlink" Target="mailto:aBalados@abalados.es" TargetMode="External" Id="rId780"/><Relationship Type="http://schemas.openxmlformats.org/officeDocument/2006/relationships/hyperlink" Target="mailto:aBalados@abalados.es" TargetMode="External" Id="rId781"/><Relationship Type="http://schemas.openxmlformats.org/officeDocument/2006/relationships/hyperlink" Target="mailto:aBalados@abalados.es" TargetMode="External" Id="rId782"/><Relationship Type="http://schemas.openxmlformats.org/officeDocument/2006/relationships/hyperlink" Target="mailto:aBalados@abalados.es" TargetMode="External" Id="rId783"/><Relationship Type="http://schemas.openxmlformats.org/officeDocument/2006/relationships/hyperlink" Target="mailto:aBalados@abalados.es" TargetMode="External" Id="rId784"/><Relationship Type="http://schemas.openxmlformats.org/officeDocument/2006/relationships/hyperlink" Target="mailto:aBalados@abalados.es" TargetMode="External" Id="rId785"/><Relationship Type="http://schemas.openxmlformats.org/officeDocument/2006/relationships/hyperlink" Target="mailto:aBalados@abalados.es" TargetMode="External" Id="rId786"/><Relationship Type="http://schemas.openxmlformats.org/officeDocument/2006/relationships/hyperlink" Target="mailto:aBalados@abalados.es" TargetMode="External" Id="rId787"/><Relationship Type="http://schemas.openxmlformats.org/officeDocument/2006/relationships/hyperlink" Target="mailto:aBalados@abalados.es" TargetMode="External" Id="rId788"/><Relationship Type="http://schemas.openxmlformats.org/officeDocument/2006/relationships/hyperlink" Target="mailto:aBalados@abalados.es" TargetMode="External" Id="rId789"/><Relationship Type="http://schemas.openxmlformats.org/officeDocument/2006/relationships/hyperlink" Target="mailto:aBalados@abalados.es" TargetMode="External" Id="rId790"/><Relationship Type="http://schemas.openxmlformats.org/officeDocument/2006/relationships/hyperlink" Target="mailto:aBalados@abalados.es" TargetMode="External" Id="rId791"/><Relationship Type="http://schemas.openxmlformats.org/officeDocument/2006/relationships/hyperlink" Target="mailto:aBalados@abalados.es" TargetMode="External" Id="rId792"/><Relationship Type="http://schemas.openxmlformats.org/officeDocument/2006/relationships/hyperlink" Target="mailto:aBalados@abalados.es" TargetMode="External" Id="rId793"/><Relationship Type="http://schemas.openxmlformats.org/officeDocument/2006/relationships/hyperlink" Target="mailto:aBalados@abalados.es" TargetMode="External" Id="rId794"/><Relationship Type="http://schemas.openxmlformats.org/officeDocument/2006/relationships/hyperlink" Target="mailto:aBalados@abalados.es" TargetMode="External" Id="rId795"/><Relationship Type="http://schemas.openxmlformats.org/officeDocument/2006/relationships/hyperlink" Target="mailto:aBalados@abalados.es" TargetMode="External" Id="rId796"/><Relationship Type="http://schemas.openxmlformats.org/officeDocument/2006/relationships/hyperlink" Target="mailto:aBalados@abalados.es" TargetMode="External" Id="rId797"/><Relationship Type="http://schemas.openxmlformats.org/officeDocument/2006/relationships/hyperlink" Target="mailto:aBalados@abalados.es" TargetMode="External" Id="rId798"/><Relationship Type="http://schemas.openxmlformats.org/officeDocument/2006/relationships/hyperlink" Target="mailto:aBalados@abalados.es" TargetMode="External" Id="rId799"/><Relationship Type="http://schemas.openxmlformats.org/officeDocument/2006/relationships/hyperlink" Target="mailto:aBalados@abalados.es" TargetMode="External" Id="rId800"/><Relationship Type="http://schemas.openxmlformats.org/officeDocument/2006/relationships/hyperlink" Target="mailto:aBalados@abalados.es" TargetMode="External" Id="rId801"/><Relationship Type="http://schemas.openxmlformats.org/officeDocument/2006/relationships/hyperlink" Target="mailto:aBalados@abalados.es" TargetMode="External" Id="rId802"/><Relationship Type="http://schemas.openxmlformats.org/officeDocument/2006/relationships/hyperlink" Target="mailto:aBalados@abalados.es" TargetMode="External" Id="rId803"/><Relationship Type="http://schemas.openxmlformats.org/officeDocument/2006/relationships/hyperlink" Target="mailto:aBalados@abalados.es" TargetMode="External" Id="rId804"/><Relationship Type="http://schemas.openxmlformats.org/officeDocument/2006/relationships/hyperlink" Target="mailto:aBalados@abalados.es" TargetMode="External" Id="rId805"/><Relationship Type="http://schemas.openxmlformats.org/officeDocument/2006/relationships/hyperlink" Target="mailto:aBalados@abalados.es" TargetMode="External" Id="rId806"/><Relationship Type="http://schemas.openxmlformats.org/officeDocument/2006/relationships/hyperlink" Target="mailto:aBalados@abalados.es" TargetMode="External" Id="rId807"/><Relationship Type="http://schemas.openxmlformats.org/officeDocument/2006/relationships/hyperlink" Target="mailto:aBalados@abalados.es" TargetMode="External" Id="rId808"/><Relationship Type="http://schemas.openxmlformats.org/officeDocument/2006/relationships/hyperlink" Target="mailto:aBalados@abalados.es" TargetMode="External" Id="rId809"/><Relationship Type="http://schemas.openxmlformats.org/officeDocument/2006/relationships/hyperlink" Target="mailto:aBalados@abalados.es" TargetMode="External" Id="rId810"/><Relationship Type="http://schemas.openxmlformats.org/officeDocument/2006/relationships/hyperlink" Target="mailto:aBalados@abalados.es" TargetMode="External" Id="rId811"/><Relationship Type="http://schemas.openxmlformats.org/officeDocument/2006/relationships/hyperlink" Target="mailto:aBalados@abalados.es" TargetMode="External" Id="rId812"/><Relationship Type="http://schemas.openxmlformats.org/officeDocument/2006/relationships/hyperlink" Target="mailto:aBalados@abalados.es" TargetMode="External" Id="rId813"/><Relationship Type="http://schemas.openxmlformats.org/officeDocument/2006/relationships/hyperlink" Target="mailto:aBalados@abalados.es" TargetMode="External" Id="rId814"/><Relationship Type="http://schemas.openxmlformats.org/officeDocument/2006/relationships/hyperlink" Target="mailto:aBalados@abalados.es" TargetMode="External" Id="rId815"/><Relationship Type="http://schemas.openxmlformats.org/officeDocument/2006/relationships/hyperlink" Target="mailto:aBalados@abalados.es" TargetMode="External" Id="rId816"/><Relationship Type="http://schemas.openxmlformats.org/officeDocument/2006/relationships/hyperlink" Target="mailto:aBalados@abalados.es" TargetMode="External" Id="rId817"/><Relationship Type="http://schemas.openxmlformats.org/officeDocument/2006/relationships/hyperlink" Target="mailto:aBalados@abalados.es" TargetMode="External" Id="rId818"/><Relationship Type="http://schemas.openxmlformats.org/officeDocument/2006/relationships/hyperlink" Target="mailto:aBalados@abalados.es" TargetMode="External" Id="rId819"/><Relationship Type="http://schemas.openxmlformats.org/officeDocument/2006/relationships/hyperlink" Target="mailto:aBalados@abalados.es" TargetMode="External" Id="rId820"/><Relationship Type="http://schemas.openxmlformats.org/officeDocument/2006/relationships/hyperlink" Target="mailto:aBalados@abalados.es" TargetMode="External" Id="rId821"/><Relationship Type="http://schemas.openxmlformats.org/officeDocument/2006/relationships/hyperlink" Target="mailto:aBalados@abalados.es" TargetMode="External" Id="rId822"/><Relationship Type="http://schemas.openxmlformats.org/officeDocument/2006/relationships/hyperlink" Target="mailto:aBalados@abalados.es" TargetMode="External" Id="rId823"/><Relationship Type="http://schemas.openxmlformats.org/officeDocument/2006/relationships/hyperlink" Target="mailto:aBalados@abalados.es" TargetMode="External" Id="rId824"/><Relationship Type="http://schemas.openxmlformats.org/officeDocument/2006/relationships/hyperlink" Target="mailto:aBalados@abalados.es" TargetMode="External" Id="rId825"/><Relationship Type="http://schemas.openxmlformats.org/officeDocument/2006/relationships/hyperlink" Target="mailto:aBalados@abalados.es" TargetMode="External" Id="rId826"/><Relationship Type="http://schemas.openxmlformats.org/officeDocument/2006/relationships/hyperlink" Target="mailto:aBalados@abalados.es" TargetMode="External" Id="rId827"/><Relationship Type="http://schemas.openxmlformats.org/officeDocument/2006/relationships/hyperlink" Target="mailto:aBalados@abalados.es" TargetMode="External" Id="rId828"/><Relationship Type="http://schemas.openxmlformats.org/officeDocument/2006/relationships/hyperlink" Target="mailto:aBalados@abalados.es" TargetMode="External" Id="rId829"/><Relationship Type="http://schemas.openxmlformats.org/officeDocument/2006/relationships/hyperlink" Target="mailto:aBalados@abalados.es" TargetMode="External" Id="rId830"/><Relationship Type="http://schemas.openxmlformats.org/officeDocument/2006/relationships/hyperlink" Target="mailto:aBalados@abalados.es" TargetMode="External" Id="rId831"/><Relationship Type="http://schemas.openxmlformats.org/officeDocument/2006/relationships/hyperlink" Target="mailto:aBalados@abalados.es" TargetMode="External" Id="rId832"/><Relationship Type="http://schemas.openxmlformats.org/officeDocument/2006/relationships/hyperlink" Target="mailto:aBalados@abalados.es" TargetMode="External" Id="rId833"/><Relationship Type="http://schemas.openxmlformats.org/officeDocument/2006/relationships/hyperlink" Target="mailto:aBalados@abalados.es" TargetMode="External" Id="rId834"/><Relationship Type="http://schemas.openxmlformats.org/officeDocument/2006/relationships/hyperlink" Target="mailto:aBalados@abalados.es" TargetMode="External" Id="rId835"/><Relationship Type="http://schemas.openxmlformats.org/officeDocument/2006/relationships/hyperlink" Target="mailto:aBalados@abalados.es" TargetMode="External" Id="rId836"/><Relationship Type="http://schemas.openxmlformats.org/officeDocument/2006/relationships/hyperlink" Target="mailto:aBalados@abalados.es" TargetMode="External" Id="rId837"/><Relationship Type="http://schemas.openxmlformats.org/officeDocument/2006/relationships/hyperlink" Target="mailto:aBalados@abalados.es" TargetMode="External" Id="rId838"/><Relationship Type="http://schemas.openxmlformats.org/officeDocument/2006/relationships/hyperlink" Target="mailto:aBalados@abalados.es" TargetMode="External" Id="rId839"/><Relationship Type="http://schemas.openxmlformats.org/officeDocument/2006/relationships/hyperlink" Target="mailto:aBalados@abalados.es" TargetMode="External" Id="rId840"/><Relationship Type="http://schemas.openxmlformats.org/officeDocument/2006/relationships/hyperlink" Target="mailto:aBalados@abalados.es" TargetMode="External" Id="rId841"/><Relationship Type="http://schemas.openxmlformats.org/officeDocument/2006/relationships/hyperlink" Target="mailto:aBalados@abalados.es" TargetMode="External" Id="rId842"/><Relationship Type="http://schemas.openxmlformats.org/officeDocument/2006/relationships/hyperlink" Target="mailto:aBalados@abalados.es" TargetMode="External" Id="rId843"/><Relationship Type="http://schemas.openxmlformats.org/officeDocument/2006/relationships/hyperlink" Target="mailto:aBalados@abalados.es" TargetMode="External" Id="rId844"/><Relationship Type="http://schemas.openxmlformats.org/officeDocument/2006/relationships/hyperlink" Target="mailto:aBalados@abalados.es" TargetMode="External" Id="rId845"/><Relationship Type="http://schemas.openxmlformats.org/officeDocument/2006/relationships/hyperlink" Target="mailto:aBalados@abalados.es" TargetMode="External" Id="rId846"/><Relationship Type="http://schemas.openxmlformats.org/officeDocument/2006/relationships/hyperlink" Target="mailto:aBalados@abalados.es" TargetMode="External" Id="rId847"/><Relationship Type="http://schemas.openxmlformats.org/officeDocument/2006/relationships/hyperlink" Target="mailto:aBalados@abalados.es" TargetMode="External" Id="rId848"/><Relationship Type="http://schemas.openxmlformats.org/officeDocument/2006/relationships/hyperlink" Target="mailto:aBalados@abalados.es" TargetMode="External" Id="rId849"/><Relationship Type="http://schemas.openxmlformats.org/officeDocument/2006/relationships/hyperlink" Target="mailto:aBalados@abalados.es" TargetMode="External" Id="rId850"/><Relationship Type="http://schemas.openxmlformats.org/officeDocument/2006/relationships/hyperlink" Target="mailto:aBalados@abalados.es" TargetMode="External" Id="rId851"/><Relationship Type="http://schemas.openxmlformats.org/officeDocument/2006/relationships/hyperlink" Target="mailto:aBalados@abalados.es" TargetMode="External" Id="rId852"/><Relationship Type="http://schemas.openxmlformats.org/officeDocument/2006/relationships/hyperlink" Target="mailto:aBalados@abalados.es" TargetMode="External" Id="rId853"/><Relationship Type="http://schemas.openxmlformats.org/officeDocument/2006/relationships/hyperlink" Target="mailto:aBalados@abalados.es" TargetMode="External" Id="rId854"/><Relationship Type="http://schemas.openxmlformats.org/officeDocument/2006/relationships/hyperlink" Target="mailto:aBalados@abalados.es" TargetMode="External" Id="rId855"/><Relationship Type="http://schemas.openxmlformats.org/officeDocument/2006/relationships/hyperlink" Target="mailto:aBalados@abalados.es" TargetMode="External" Id="rId856"/><Relationship Type="http://schemas.openxmlformats.org/officeDocument/2006/relationships/hyperlink" Target="mailto:aBalados@abalados.es" TargetMode="External" Id="rId857"/><Relationship Type="http://schemas.openxmlformats.org/officeDocument/2006/relationships/hyperlink" Target="mailto:aBalados@abalados.es" TargetMode="External" Id="rId858"/><Relationship Type="http://schemas.openxmlformats.org/officeDocument/2006/relationships/hyperlink" Target="mailto:aBalados@abalados.es" TargetMode="External" Id="rId859"/><Relationship Type="http://schemas.openxmlformats.org/officeDocument/2006/relationships/hyperlink" Target="mailto:aBalados@abalados.es" TargetMode="External" Id="rId860"/><Relationship Type="http://schemas.openxmlformats.org/officeDocument/2006/relationships/hyperlink" Target="mailto:aBalados@abalados.es" TargetMode="External" Id="rId861"/><Relationship Type="http://schemas.openxmlformats.org/officeDocument/2006/relationships/hyperlink" Target="mailto:aBalados@abalados.es" TargetMode="External" Id="rId862"/><Relationship Type="http://schemas.openxmlformats.org/officeDocument/2006/relationships/hyperlink" Target="mailto:aBalados@abalados.es" TargetMode="External" Id="rId863"/><Relationship Type="http://schemas.openxmlformats.org/officeDocument/2006/relationships/hyperlink" Target="mailto:aBalados@abalados.es" TargetMode="External" Id="rId864"/><Relationship Type="http://schemas.openxmlformats.org/officeDocument/2006/relationships/hyperlink" Target="mailto:aBalados@abalados.es" TargetMode="External" Id="rId865"/><Relationship Type="http://schemas.openxmlformats.org/officeDocument/2006/relationships/hyperlink" Target="mailto:aBalados@abalados.es" TargetMode="External" Id="rId866"/><Relationship Type="http://schemas.openxmlformats.org/officeDocument/2006/relationships/hyperlink" Target="mailto:aBalados@abalados.es" TargetMode="External" Id="rId867"/><Relationship Type="http://schemas.openxmlformats.org/officeDocument/2006/relationships/hyperlink" Target="mailto:aBalados@abalados.es" TargetMode="External" Id="rId868"/><Relationship Type="http://schemas.openxmlformats.org/officeDocument/2006/relationships/hyperlink" Target="mailto:aBalados@abalados.es" TargetMode="External" Id="rId869"/><Relationship Type="http://schemas.openxmlformats.org/officeDocument/2006/relationships/hyperlink" Target="mailto:aBalados@abalados.es" TargetMode="External" Id="rId870"/><Relationship Type="http://schemas.openxmlformats.org/officeDocument/2006/relationships/hyperlink" Target="mailto:aBalados@abalados.es" TargetMode="External" Id="rId871"/><Relationship Type="http://schemas.openxmlformats.org/officeDocument/2006/relationships/hyperlink" Target="mailto:aBalados@abalados.es" TargetMode="External" Id="rId872"/><Relationship Type="http://schemas.openxmlformats.org/officeDocument/2006/relationships/hyperlink" Target="mailto:aBalados@abalados.es" TargetMode="External" Id="rId873"/><Relationship Type="http://schemas.openxmlformats.org/officeDocument/2006/relationships/hyperlink" Target="mailto:aBalados@abalados.es" TargetMode="External" Id="rId874"/><Relationship Type="http://schemas.openxmlformats.org/officeDocument/2006/relationships/hyperlink" Target="mailto:aBalados@abalados.es" TargetMode="External" Id="rId875"/><Relationship Type="http://schemas.openxmlformats.org/officeDocument/2006/relationships/hyperlink" Target="mailto:aBalados@abalados.es" TargetMode="External" Id="rId876"/><Relationship Type="http://schemas.openxmlformats.org/officeDocument/2006/relationships/hyperlink" Target="mailto:aBalados@abalados.es" TargetMode="External" Id="rId877"/><Relationship Type="http://schemas.openxmlformats.org/officeDocument/2006/relationships/hyperlink" Target="mailto:aBalados@abalados.es" TargetMode="External" Id="rId878"/><Relationship Type="http://schemas.openxmlformats.org/officeDocument/2006/relationships/hyperlink" Target="mailto:aBalados@abalados.es" TargetMode="External" Id="rId879"/><Relationship Type="http://schemas.openxmlformats.org/officeDocument/2006/relationships/hyperlink" Target="mailto:aBalados@abalados.es" TargetMode="External" Id="rId880"/><Relationship Type="http://schemas.openxmlformats.org/officeDocument/2006/relationships/hyperlink" Target="mailto:aBalados@abalados.es" TargetMode="External" Id="rId881"/><Relationship Type="http://schemas.openxmlformats.org/officeDocument/2006/relationships/hyperlink" Target="mailto:aBalados@abalados.es" TargetMode="External" Id="rId882"/><Relationship Type="http://schemas.openxmlformats.org/officeDocument/2006/relationships/hyperlink" Target="mailto:aBalados@abalados.es" TargetMode="External" Id="rId883"/><Relationship Type="http://schemas.openxmlformats.org/officeDocument/2006/relationships/hyperlink" Target="mailto:aBalados@abalados.es" TargetMode="External" Id="rId884"/><Relationship Type="http://schemas.openxmlformats.org/officeDocument/2006/relationships/hyperlink" Target="mailto:aBalados@abalados.es" TargetMode="External" Id="rId885"/><Relationship Type="http://schemas.openxmlformats.org/officeDocument/2006/relationships/hyperlink" Target="mailto:aBalados@abalados.es" TargetMode="External" Id="rId886"/><Relationship Type="http://schemas.openxmlformats.org/officeDocument/2006/relationships/hyperlink" Target="mailto:aBalados@abalados.es" TargetMode="External" Id="rId887"/><Relationship Type="http://schemas.openxmlformats.org/officeDocument/2006/relationships/hyperlink" Target="mailto:aBalados@abalados.es" TargetMode="External" Id="rId888"/><Relationship Type="http://schemas.openxmlformats.org/officeDocument/2006/relationships/hyperlink" Target="mailto:aBalados@abalados.es" TargetMode="External" Id="rId889"/><Relationship Type="http://schemas.openxmlformats.org/officeDocument/2006/relationships/hyperlink" Target="mailto:aBalados@abalados.es" TargetMode="External" Id="rId890"/><Relationship Type="http://schemas.openxmlformats.org/officeDocument/2006/relationships/hyperlink" Target="mailto:aBalados@abalados.es" TargetMode="External" Id="rId891"/><Relationship Type="http://schemas.openxmlformats.org/officeDocument/2006/relationships/hyperlink" Target="mailto:aBalados@abalados.es" TargetMode="External" Id="rId892"/><Relationship Type="http://schemas.openxmlformats.org/officeDocument/2006/relationships/hyperlink" Target="mailto:aBalados@abalados.es" TargetMode="External" Id="rId893"/><Relationship Type="http://schemas.openxmlformats.org/officeDocument/2006/relationships/hyperlink" Target="mailto:aBalados@abalados.es" TargetMode="External" Id="rId894"/><Relationship Type="http://schemas.openxmlformats.org/officeDocument/2006/relationships/hyperlink" Target="mailto:aBalados@abalados.es" TargetMode="External" Id="rId895"/><Relationship Type="http://schemas.openxmlformats.org/officeDocument/2006/relationships/hyperlink" Target="mailto:aBalados@abalados.es" TargetMode="External" Id="rId896"/><Relationship Type="http://schemas.openxmlformats.org/officeDocument/2006/relationships/hyperlink" Target="mailto:aBalados@abalados.es" TargetMode="External" Id="rId897"/><Relationship Type="http://schemas.openxmlformats.org/officeDocument/2006/relationships/hyperlink" Target="mailto:aBalados@abalados.es" TargetMode="External" Id="rId898"/><Relationship Type="http://schemas.openxmlformats.org/officeDocument/2006/relationships/hyperlink" Target="mailto:aBalados@abalados.es" TargetMode="External" Id="rId899"/><Relationship Type="http://schemas.openxmlformats.org/officeDocument/2006/relationships/hyperlink" Target="mailto:aBalados@abalados.es" TargetMode="External" Id="rId900"/><Relationship Type="http://schemas.openxmlformats.org/officeDocument/2006/relationships/hyperlink" Target="mailto:aBalados@abalados.es" TargetMode="External" Id="rId901"/><Relationship Type="http://schemas.openxmlformats.org/officeDocument/2006/relationships/hyperlink" Target="mailto:aBalados@abalados.es" TargetMode="External" Id="rId902"/><Relationship Type="http://schemas.openxmlformats.org/officeDocument/2006/relationships/hyperlink" Target="mailto:aBalados@abalados.es" TargetMode="External" Id="rId903"/><Relationship Type="http://schemas.openxmlformats.org/officeDocument/2006/relationships/hyperlink" Target="mailto:aBalados@abalados.es" TargetMode="External" Id="rId904"/><Relationship Type="http://schemas.openxmlformats.org/officeDocument/2006/relationships/hyperlink" Target="mailto:aBalados@abalados.es" TargetMode="External" Id="rId905"/><Relationship Type="http://schemas.openxmlformats.org/officeDocument/2006/relationships/hyperlink" Target="mailto:aBalados@abalados.es" TargetMode="External" Id="rId906"/><Relationship Type="http://schemas.openxmlformats.org/officeDocument/2006/relationships/hyperlink" Target="mailto:aBalados@abalados.es" TargetMode="External" Id="rId907"/><Relationship Type="http://schemas.openxmlformats.org/officeDocument/2006/relationships/hyperlink" Target="mailto:aBalados@abalados.es" TargetMode="External" Id="rId908"/><Relationship Type="http://schemas.openxmlformats.org/officeDocument/2006/relationships/hyperlink" Target="mailto:aBalados@abalados.es" TargetMode="External" Id="rId909"/><Relationship Type="http://schemas.openxmlformats.org/officeDocument/2006/relationships/hyperlink" Target="mailto:aBalados@abalados.es" TargetMode="External" Id="rId910"/><Relationship Type="http://schemas.openxmlformats.org/officeDocument/2006/relationships/hyperlink" Target="mailto:aBalados@abalados.es" TargetMode="External" Id="rId911"/><Relationship Type="http://schemas.openxmlformats.org/officeDocument/2006/relationships/hyperlink" Target="mailto:aBalados@abalados.es" TargetMode="External" Id="rId912"/><Relationship Type="http://schemas.openxmlformats.org/officeDocument/2006/relationships/hyperlink" Target="mailto:aBalados@abalados.es" TargetMode="External" Id="rId913"/><Relationship Type="http://schemas.openxmlformats.org/officeDocument/2006/relationships/hyperlink" Target="mailto:aBalados@abalados.es" TargetMode="External" Id="rId914"/><Relationship Type="http://schemas.openxmlformats.org/officeDocument/2006/relationships/hyperlink" Target="mailto:aBalados@abalados.es" TargetMode="External" Id="rId915"/><Relationship Type="http://schemas.openxmlformats.org/officeDocument/2006/relationships/hyperlink" Target="mailto:aBalados@abalados.es" TargetMode="External" Id="rId916"/><Relationship Type="http://schemas.openxmlformats.org/officeDocument/2006/relationships/hyperlink" Target="mailto:aBalados@abalados.es" TargetMode="External" Id="rId917"/><Relationship Type="http://schemas.openxmlformats.org/officeDocument/2006/relationships/hyperlink" Target="mailto:aBalados@abalados.es" TargetMode="External" Id="rId918"/><Relationship Type="http://schemas.openxmlformats.org/officeDocument/2006/relationships/hyperlink" Target="mailto:aBalados@abalados.es" TargetMode="External" Id="rId919"/><Relationship Type="http://schemas.openxmlformats.org/officeDocument/2006/relationships/hyperlink" Target="mailto:aBalados@abalados.es" TargetMode="External" Id="rId920"/><Relationship Type="http://schemas.openxmlformats.org/officeDocument/2006/relationships/hyperlink" Target="mailto:aBalados@abalados.es" TargetMode="External" Id="rId921"/><Relationship Type="http://schemas.openxmlformats.org/officeDocument/2006/relationships/hyperlink" Target="mailto:aBalados@abalados.es" TargetMode="External" Id="rId922"/><Relationship Type="http://schemas.openxmlformats.org/officeDocument/2006/relationships/hyperlink" Target="mailto:aBalados@abalados.es" TargetMode="External" Id="rId923"/><Relationship Type="http://schemas.openxmlformats.org/officeDocument/2006/relationships/hyperlink" Target="mailto:aBalados@abalados.es" TargetMode="External" Id="rId924"/><Relationship Type="http://schemas.openxmlformats.org/officeDocument/2006/relationships/hyperlink" Target="mailto:aBalados@abalados.es" TargetMode="External" Id="rId925"/><Relationship Type="http://schemas.openxmlformats.org/officeDocument/2006/relationships/hyperlink" Target="mailto:aBalados@abalados.es" TargetMode="External" Id="rId926"/><Relationship Type="http://schemas.openxmlformats.org/officeDocument/2006/relationships/hyperlink" Target="mailto:aBalados@abalados.es" TargetMode="External" Id="rId927"/><Relationship Type="http://schemas.openxmlformats.org/officeDocument/2006/relationships/hyperlink" Target="mailto:aBalados@abalados.es" TargetMode="External" Id="rId928"/><Relationship Type="http://schemas.openxmlformats.org/officeDocument/2006/relationships/hyperlink" Target="mailto:aBalados@abalados.es" TargetMode="External" Id="rId929"/><Relationship Type="http://schemas.openxmlformats.org/officeDocument/2006/relationships/hyperlink" Target="mailto:aBalados@abalados.es" TargetMode="External" Id="rId930"/><Relationship Type="http://schemas.openxmlformats.org/officeDocument/2006/relationships/hyperlink" Target="mailto:aBalados@abalados.es" TargetMode="External" Id="rId931"/><Relationship Type="http://schemas.openxmlformats.org/officeDocument/2006/relationships/hyperlink" Target="mailto:aBalados@abalados.es" TargetMode="External" Id="rId932"/><Relationship Type="http://schemas.openxmlformats.org/officeDocument/2006/relationships/hyperlink" Target="mailto:aBalados@abalados.es" TargetMode="External" Id="rId933"/><Relationship Type="http://schemas.openxmlformats.org/officeDocument/2006/relationships/hyperlink" Target="mailto:aBalados@abalados.es" TargetMode="External" Id="rId934"/><Relationship Type="http://schemas.openxmlformats.org/officeDocument/2006/relationships/hyperlink" Target="mailto:aBalados@abalados.es" TargetMode="External" Id="rId935"/><Relationship Type="http://schemas.openxmlformats.org/officeDocument/2006/relationships/hyperlink" Target="mailto:aBalados@abalados.es" TargetMode="External" Id="rId936"/><Relationship Type="http://schemas.openxmlformats.org/officeDocument/2006/relationships/hyperlink" Target="mailto:aBalados@abalados.es" TargetMode="External" Id="rId937"/><Relationship Type="http://schemas.openxmlformats.org/officeDocument/2006/relationships/hyperlink" Target="mailto:aBalados@abalados.es" TargetMode="External" Id="rId938"/><Relationship Type="http://schemas.openxmlformats.org/officeDocument/2006/relationships/hyperlink" Target="mailto:aBalados@abalados.es" TargetMode="External" Id="rId939"/><Relationship Type="http://schemas.openxmlformats.org/officeDocument/2006/relationships/hyperlink" Target="mailto:aBalados@abalados.es" TargetMode="External" Id="rId940"/><Relationship Type="http://schemas.openxmlformats.org/officeDocument/2006/relationships/hyperlink" Target="mailto:aBalados@abalados.es" TargetMode="External" Id="rId941"/><Relationship Type="http://schemas.openxmlformats.org/officeDocument/2006/relationships/hyperlink" Target="mailto:aBalados@abalados.es" TargetMode="External" Id="rId942"/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hyperlink" Target="mailto:aBalados@abalados.es" TargetMode="External" Id="rId1"/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hyperlink" Target="mailto:aBalados@abalados.es" TargetMode="External" Id="rId1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16.xml.rels><Relationships xmlns="http://schemas.openxmlformats.org/package/2006/relationships"><Relationship Type="http://schemas.openxmlformats.org/officeDocument/2006/relationships/hyperlink" Target="mailto:aBalados@abalados.es" TargetMode="External" Id="rId1"/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4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5.vml" Id="anysvml"/></Relationships>
</file>

<file path=xl/worksheets/_rels/sheet21.xml.rels><Relationships xmlns="http://schemas.openxmlformats.org/package/2006/relationships"><Relationship Type="http://schemas.openxmlformats.org/officeDocument/2006/relationships/hyperlink" Target="mailto:facturacion@abalados.es" TargetMode="External" Id="rId1"/><Relationship Type="http://schemas.openxmlformats.org/officeDocument/2006/relationships/hyperlink" Target="mailto:facturacion@abalados.es" TargetMode="External" Id="rId2"/><Relationship Type="http://schemas.openxmlformats.org/officeDocument/2006/relationships/hyperlink" Target="mailto:facturacion@abalados.es" TargetMode="External" Id="rId3"/><Relationship Type="http://schemas.openxmlformats.org/officeDocument/2006/relationships/hyperlink" Target="mailto:facturacion@abalados.es" TargetMode="External" Id="rId4"/><Relationship Type="http://schemas.openxmlformats.org/officeDocument/2006/relationships/hyperlink" Target="mailto:facturacion@abalados.es" TargetMode="External" Id="rId5"/><Relationship Type="http://schemas.openxmlformats.org/officeDocument/2006/relationships/hyperlink" Target="mailto:facturacion@abalados.es" TargetMode="External" Id="rId6"/><Relationship Type="http://schemas.openxmlformats.org/officeDocument/2006/relationships/hyperlink" Target="mailto:facturacion@abalados.es" TargetMode="External" Id="rId7"/><Relationship Type="http://schemas.openxmlformats.org/officeDocument/2006/relationships/hyperlink" Target="mailto:facturacion@abalados.es" TargetMode="External" Id="rId8"/><Relationship Type="http://schemas.openxmlformats.org/officeDocument/2006/relationships/hyperlink" Target="mailto:facturacion@abalados.es" TargetMode="External" Id="rId9"/><Relationship Type="http://schemas.openxmlformats.org/officeDocument/2006/relationships/hyperlink" Target="mailto:facturacion@abalados.es" TargetMode="External" Id="rId10"/><Relationship Type="http://schemas.openxmlformats.org/officeDocument/2006/relationships/hyperlink" Target="mailto:facturacion@abalados.es" TargetMode="External" Id="rId11"/><Relationship Type="http://schemas.openxmlformats.org/officeDocument/2006/relationships/hyperlink" Target="mailto:facturacion@abalados.es" TargetMode="External" Id="rId12"/><Relationship Type="http://schemas.openxmlformats.org/officeDocument/2006/relationships/hyperlink" Target="mailto:facturacion@abalados.es" TargetMode="External" Id="rId13"/><Relationship Type="http://schemas.openxmlformats.org/officeDocument/2006/relationships/hyperlink" Target="mailto:facturacion@abalados.es" TargetMode="External" Id="rId14"/><Relationship Type="http://schemas.openxmlformats.org/officeDocument/2006/relationships/hyperlink" Target="mailto:facturacion@abalados.es" TargetMode="External" Id="rId15"/><Relationship Type="http://schemas.openxmlformats.org/officeDocument/2006/relationships/hyperlink" Target="mailto:facturacion@abalados.es" TargetMode="External" Id="rId16"/><Relationship Type="http://schemas.openxmlformats.org/officeDocument/2006/relationships/hyperlink" Target="mailto:facturacion@abalados.es" TargetMode="External" Id="rId17"/><Relationship Type="http://schemas.openxmlformats.org/officeDocument/2006/relationships/hyperlink" Target="mailto:facturacion@abalados.es" TargetMode="External" Id="rId18"/><Relationship Type="http://schemas.openxmlformats.org/officeDocument/2006/relationships/hyperlink" Target="mailto:facturacion@abalados.es" TargetMode="External" Id="rId19"/><Relationship Type="http://schemas.openxmlformats.org/officeDocument/2006/relationships/hyperlink" Target="mailto:facturacion@abalados.es" TargetMode="External" Id="rId20"/><Relationship Type="http://schemas.openxmlformats.org/officeDocument/2006/relationships/hyperlink" Target="mailto:facturacion@abalados.es" TargetMode="External" Id="rId21"/><Relationship Type="http://schemas.openxmlformats.org/officeDocument/2006/relationships/hyperlink" Target="mailto:facturacion@abalados.es" TargetMode="External" Id="rId22"/><Relationship Type="http://schemas.openxmlformats.org/officeDocument/2006/relationships/hyperlink" Target="mailto:facturacion@abalados.es" TargetMode="External" Id="rId23"/><Relationship Type="http://schemas.openxmlformats.org/officeDocument/2006/relationships/hyperlink" Target="mailto:facturacion@abalados.es" TargetMode="External" Id="rId24"/><Relationship Type="http://schemas.openxmlformats.org/officeDocument/2006/relationships/hyperlink" Target="mailto:facturacion@abalados.es" TargetMode="External" Id="rId25"/><Relationship Type="http://schemas.openxmlformats.org/officeDocument/2006/relationships/hyperlink" Target="mailto:facturacion@abalados.es" TargetMode="External" Id="rId26"/><Relationship Type="http://schemas.openxmlformats.org/officeDocument/2006/relationships/hyperlink" Target="mailto:facturacion@abalados.es" TargetMode="External" Id="rId27"/><Relationship Type="http://schemas.openxmlformats.org/officeDocument/2006/relationships/hyperlink" Target="mailto:facturacion@abalados.es" TargetMode="External" Id="rId28"/><Relationship Type="http://schemas.openxmlformats.org/officeDocument/2006/relationships/hyperlink" Target="mailto:facturacion@abalados.es" TargetMode="External" Id="rId29"/><Relationship Type="http://schemas.openxmlformats.org/officeDocument/2006/relationships/hyperlink" Target="mailto:facturacion@abalados.es" TargetMode="External" Id="rId30"/><Relationship Type="http://schemas.openxmlformats.org/officeDocument/2006/relationships/hyperlink" Target="mailto:facturacion@abalados.es" TargetMode="External" Id="rId31"/><Relationship Type="http://schemas.openxmlformats.org/officeDocument/2006/relationships/hyperlink" Target="mailto:facturacion@abalados.es" TargetMode="External" Id="rId32"/><Relationship Type="http://schemas.openxmlformats.org/officeDocument/2006/relationships/hyperlink" Target="mailto:facturacion@abalados.es" TargetMode="External" Id="rId33"/><Relationship Type="http://schemas.openxmlformats.org/officeDocument/2006/relationships/hyperlink" Target="mailto:facturacion@abalados.es" TargetMode="External" Id="rId34"/><Relationship Type="http://schemas.openxmlformats.org/officeDocument/2006/relationships/hyperlink" Target="mailto:facturacion@abalados.es" TargetMode="External" Id="rId35"/><Relationship Type="http://schemas.openxmlformats.org/officeDocument/2006/relationships/hyperlink" Target="mailto:facturacion@abalados.es" TargetMode="External" Id="rId36"/><Relationship Type="http://schemas.openxmlformats.org/officeDocument/2006/relationships/hyperlink" Target="mailto:facturacion@abalados.es" TargetMode="External" Id="rId37"/><Relationship Type="http://schemas.openxmlformats.org/officeDocument/2006/relationships/hyperlink" Target="mailto:facturacion@abalados.es" TargetMode="External" Id="rId38"/><Relationship Type="http://schemas.openxmlformats.org/officeDocument/2006/relationships/hyperlink" Target="mailto:facturacion@abalados.es" TargetMode="External" Id="rId39"/><Relationship Type="http://schemas.openxmlformats.org/officeDocument/2006/relationships/hyperlink" Target="mailto:facturacion@abalados.es" TargetMode="External" Id="rId40"/><Relationship Type="http://schemas.openxmlformats.org/officeDocument/2006/relationships/hyperlink" Target="mailto:facturacion@abalados.es" TargetMode="External" Id="rId41"/><Relationship Type="http://schemas.openxmlformats.org/officeDocument/2006/relationships/hyperlink" Target="mailto:facturacion@abalados.es" TargetMode="External" Id="rId42"/><Relationship Type="http://schemas.openxmlformats.org/officeDocument/2006/relationships/hyperlink" Target="mailto:facturacion@abalados.es" TargetMode="External" Id="rId43"/><Relationship Type="http://schemas.openxmlformats.org/officeDocument/2006/relationships/hyperlink" Target="mailto:facturacion@abalados.es" TargetMode="External" Id="rId44"/><Relationship Type="http://schemas.openxmlformats.org/officeDocument/2006/relationships/hyperlink" Target="mailto:facturacion@abalados.es" TargetMode="External" Id="rId45"/><Relationship Type="http://schemas.openxmlformats.org/officeDocument/2006/relationships/hyperlink" Target="mailto:facturacion@abalados.es" TargetMode="External" Id="rId46"/><Relationship Type="http://schemas.openxmlformats.org/officeDocument/2006/relationships/hyperlink" Target="mailto:facturacion@abalados.es" TargetMode="External" Id="rId47"/><Relationship Type="http://schemas.openxmlformats.org/officeDocument/2006/relationships/hyperlink" Target="mailto:facturacion@abalados.es" TargetMode="External" Id="rId48"/><Relationship Type="http://schemas.openxmlformats.org/officeDocument/2006/relationships/hyperlink" Target="mailto:facturacion@abalados.es" TargetMode="External" Id="rId49"/><Relationship Type="http://schemas.openxmlformats.org/officeDocument/2006/relationships/hyperlink" Target="mailto:facturacion@abalados.es" TargetMode="External" Id="rId50"/><Relationship Type="http://schemas.openxmlformats.org/officeDocument/2006/relationships/hyperlink" Target="mailto:facturacion@abalados.es" TargetMode="External" Id="rId51"/><Relationship Type="http://schemas.openxmlformats.org/officeDocument/2006/relationships/hyperlink" Target="mailto:facturacion@abalados.es" TargetMode="External" Id="rId52"/><Relationship Type="http://schemas.openxmlformats.org/officeDocument/2006/relationships/hyperlink" Target="mailto:facturacion@abalados.es" TargetMode="External" Id="rId53"/><Relationship Type="http://schemas.openxmlformats.org/officeDocument/2006/relationships/hyperlink" Target="mailto:facturacion@abalados.es" TargetMode="External" Id="rId54"/><Relationship Type="http://schemas.openxmlformats.org/officeDocument/2006/relationships/hyperlink" Target="mailto:facturacion@abalados.es" TargetMode="External" Id="rId55"/><Relationship Type="http://schemas.openxmlformats.org/officeDocument/2006/relationships/hyperlink" Target="mailto:facturacion@abalados.es" TargetMode="External" Id="rId56"/><Relationship Type="http://schemas.openxmlformats.org/officeDocument/2006/relationships/hyperlink" Target="mailto:facturacion@abalados.es" TargetMode="External" Id="rId57"/><Relationship Type="http://schemas.openxmlformats.org/officeDocument/2006/relationships/hyperlink" Target="mailto:facturacion@abalados.es" TargetMode="External" Id="rId58"/><Relationship Type="http://schemas.openxmlformats.org/officeDocument/2006/relationships/hyperlink" Target="mailto:facturacion@abalados.es" TargetMode="External" Id="rId59"/><Relationship Type="http://schemas.openxmlformats.org/officeDocument/2006/relationships/hyperlink" Target="mailto:facturacion@abalados.es" TargetMode="External" Id="rId60"/><Relationship Type="http://schemas.openxmlformats.org/officeDocument/2006/relationships/hyperlink" Target="mailto:facturacion@abalados.es" TargetMode="External" Id="rId61"/><Relationship Type="http://schemas.openxmlformats.org/officeDocument/2006/relationships/hyperlink" Target="mailto:facturacion@abalados.es" TargetMode="External" Id="rId62"/><Relationship Type="http://schemas.openxmlformats.org/officeDocument/2006/relationships/hyperlink" Target="mailto:facturacion@abalados.es" TargetMode="External" Id="rId63"/><Relationship Type="http://schemas.openxmlformats.org/officeDocument/2006/relationships/hyperlink" Target="mailto:facturacion@abalados.es" TargetMode="External" Id="rId64"/><Relationship Type="http://schemas.openxmlformats.org/officeDocument/2006/relationships/hyperlink" Target="mailto:facturacion@abalados.es" TargetMode="External" Id="rId65"/><Relationship Type="http://schemas.openxmlformats.org/officeDocument/2006/relationships/hyperlink" Target="mailto:facturacion@abalados.es" TargetMode="External" Id="rId66"/><Relationship Type="http://schemas.openxmlformats.org/officeDocument/2006/relationships/hyperlink" Target="mailto:facturacion@abalados.es" TargetMode="External" Id="rId67"/><Relationship Type="http://schemas.openxmlformats.org/officeDocument/2006/relationships/hyperlink" Target="mailto:facturacion@abalados.es" TargetMode="External" Id="rId68"/><Relationship Type="http://schemas.openxmlformats.org/officeDocument/2006/relationships/hyperlink" Target="mailto:facturacion@abalados.es" TargetMode="External" Id="rId69"/><Relationship Type="http://schemas.openxmlformats.org/officeDocument/2006/relationships/hyperlink" Target="mailto:facturacion@abalados.es" TargetMode="External" Id="rId70"/><Relationship Type="http://schemas.openxmlformats.org/officeDocument/2006/relationships/hyperlink" Target="mailto:facturacion@abalados.es" TargetMode="External" Id="rId71"/><Relationship Type="http://schemas.openxmlformats.org/officeDocument/2006/relationships/hyperlink" Target="mailto:facturacion@abalados.es" TargetMode="External" Id="rId72"/><Relationship Type="http://schemas.openxmlformats.org/officeDocument/2006/relationships/hyperlink" Target="mailto:facturacion@abalados.es" TargetMode="External" Id="rId73"/><Relationship Type="http://schemas.openxmlformats.org/officeDocument/2006/relationships/hyperlink" Target="mailto:facturacion@abalados.es" TargetMode="External" Id="rId74"/><Relationship Type="http://schemas.openxmlformats.org/officeDocument/2006/relationships/hyperlink" Target="mailto:facturacion@abalados.es" TargetMode="External" Id="rId75"/><Relationship Type="http://schemas.openxmlformats.org/officeDocument/2006/relationships/hyperlink" Target="mailto:facturacion@abalados.es" TargetMode="External" Id="rId76"/><Relationship Type="http://schemas.openxmlformats.org/officeDocument/2006/relationships/hyperlink" Target="mailto:facturacion@abalados.es" TargetMode="External" Id="rId77"/><Relationship Type="http://schemas.openxmlformats.org/officeDocument/2006/relationships/hyperlink" Target="mailto:facturacion@abalados.es" TargetMode="External" Id="rId78"/><Relationship Type="http://schemas.openxmlformats.org/officeDocument/2006/relationships/hyperlink" Target="mailto:facturacion@abalados.es" TargetMode="External" Id="rId79"/><Relationship Type="http://schemas.openxmlformats.org/officeDocument/2006/relationships/hyperlink" Target="mailto:facturacion@abalados.es" TargetMode="External" Id="rId80"/><Relationship Type="http://schemas.openxmlformats.org/officeDocument/2006/relationships/hyperlink" Target="mailto:facturacion@abalados.es" TargetMode="External" Id="rId81"/><Relationship Type="http://schemas.openxmlformats.org/officeDocument/2006/relationships/hyperlink" Target="mailto:facturacion@abalados.es" TargetMode="External" Id="rId82"/><Relationship Type="http://schemas.openxmlformats.org/officeDocument/2006/relationships/hyperlink" Target="mailto:facturacion@abalados.es" TargetMode="External" Id="rId83"/><Relationship Type="http://schemas.openxmlformats.org/officeDocument/2006/relationships/hyperlink" Target="mailto:facturacion@abalados.es" TargetMode="External" Id="rId84"/><Relationship Type="http://schemas.openxmlformats.org/officeDocument/2006/relationships/hyperlink" Target="mailto:facturacion@abalados.es" TargetMode="External" Id="rId85"/><Relationship Type="http://schemas.openxmlformats.org/officeDocument/2006/relationships/hyperlink" Target="mailto:facturacion@abalados.es" TargetMode="External" Id="rId86"/><Relationship Type="http://schemas.openxmlformats.org/officeDocument/2006/relationships/hyperlink" Target="mailto:facturacion@abalados.es" TargetMode="External" Id="rId87"/><Relationship Type="http://schemas.openxmlformats.org/officeDocument/2006/relationships/hyperlink" Target="mailto:facturacion@abalados.es" TargetMode="External" Id="rId88"/><Relationship Type="http://schemas.openxmlformats.org/officeDocument/2006/relationships/hyperlink" Target="mailto:facturacion@abalados.es" TargetMode="External" Id="rId89"/><Relationship Type="http://schemas.openxmlformats.org/officeDocument/2006/relationships/hyperlink" Target="mailto:facturacion@abalados.es" TargetMode="External" Id="rId90"/><Relationship Type="http://schemas.openxmlformats.org/officeDocument/2006/relationships/hyperlink" Target="mailto:facturacion@abalados.es" TargetMode="External" Id="rId91"/><Relationship Type="http://schemas.openxmlformats.org/officeDocument/2006/relationships/hyperlink" Target="mailto:facturacion@abalados.es" TargetMode="External" Id="rId92"/><Relationship Type="http://schemas.openxmlformats.org/officeDocument/2006/relationships/hyperlink" Target="mailto:facturacion@abalados.es" TargetMode="External" Id="rId93"/><Relationship Type="http://schemas.openxmlformats.org/officeDocument/2006/relationships/hyperlink" Target="mailto:facturacion@abalados.es" TargetMode="External" Id="rId94"/><Relationship Type="http://schemas.openxmlformats.org/officeDocument/2006/relationships/hyperlink" Target="mailto:facturacion@abalados.es" TargetMode="External" Id="rId95"/><Relationship Type="http://schemas.openxmlformats.org/officeDocument/2006/relationships/hyperlink" Target="mailto:facturacion@abalados.es" TargetMode="External" Id="rId96"/><Relationship Type="http://schemas.openxmlformats.org/officeDocument/2006/relationships/hyperlink" Target="mailto:facturacion@abalados.es" TargetMode="External" Id="rId97"/><Relationship Type="http://schemas.openxmlformats.org/officeDocument/2006/relationships/hyperlink" Target="mailto:facturacion@abalados.es" TargetMode="External" Id="rId98"/><Relationship Type="http://schemas.openxmlformats.org/officeDocument/2006/relationships/hyperlink" Target="mailto:facturacion@abalados.es" TargetMode="External" Id="rId99"/><Relationship Type="http://schemas.openxmlformats.org/officeDocument/2006/relationships/hyperlink" Target="mailto:facturacion@abalados.es" TargetMode="External" Id="rId100"/><Relationship Type="http://schemas.openxmlformats.org/officeDocument/2006/relationships/hyperlink" Target="mailto:facturacion@abalados.es" TargetMode="External" Id="rId101"/><Relationship Type="http://schemas.openxmlformats.org/officeDocument/2006/relationships/hyperlink" Target="mailto:facturacion@abalados.es" TargetMode="External" Id="rId102"/><Relationship Type="http://schemas.openxmlformats.org/officeDocument/2006/relationships/hyperlink" Target="mailto:facturacion@abalados.es" TargetMode="External" Id="rId103"/><Relationship Type="http://schemas.openxmlformats.org/officeDocument/2006/relationships/hyperlink" Target="mailto:facturacion@abalados.es" TargetMode="External" Id="rId104"/><Relationship Type="http://schemas.openxmlformats.org/officeDocument/2006/relationships/hyperlink" Target="mailto:facturacion@abalados.es" TargetMode="External" Id="rId105"/><Relationship Type="http://schemas.openxmlformats.org/officeDocument/2006/relationships/hyperlink" Target="mailto:facturacion@abalados.es" TargetMode="External" Id="rId106"/><Relationship Type="http://schemas.openxmlformats.org/officeDocument/2006/relationships/hyperlink" Target="mailto:facturacion@abalados.es" TargetMode="External" Id="rId107"/><Relationship Type="http://schemas.openxmlformats.org/officeDocument/2006/relationships/hyperlink" Target="mailto:facturacion@abalados.es" TargetMode="External" Id="rId108"/><Relationship Type="http://schemas.openxmlformats.org/officeDocument/2006/relationships/hyperlink" Target="mailto:facturacion@abalados.es" TargetMode="External" Id="rId109"/><Relationship Type="http://schemas.openxmlformats.org/officeDocument/2006/relationships/hyperlink" Target="mailto:facturacion@abalados.es" TargetMode="External" Id="rId110"/><Relationship Type="http://schemas.openxmlformats.org/officeDocument/2006/relationships/hyperlink" Target="mailto:facturacion@abalados.es" TargetMode="External" Id="rId111"/><Relationship Type="http://schemas.openxmlformats.org/officeDocument/2006/relationships/hyperlink" Target="mailto:facturacion@abalados.es" TargetMode="External" Id="rId112"/><Relationship Type="http://schemas.openxmlformats.org/officeDocument/2006/relationships/hyperlink" Target="mailto:facturacion@abalados.es" TargetMode="External" Id="rId113"/><Relationship Type="http://schemas.openxmlformats.org/officeDocument/2006/relationships/hyperlink" Target="mailto:facturacion@abalados.es" TargetMode="External" Id="rId114"/><Relationship Type="http://schemas.openxmlformats.org/officeDocument/2006/relationships/hyperlink" Target="mailto:facturacion@abalados.es" TargetMode="External" Id="rId115"/><Relationship Type="http://schemas.openxmlformats.org/officeDocument/2006/relationships/hyperlink" Target="mailto:facturacion@abalados.es" TargetMode="External" Id="rId116"/><Relationship Type="http://schemas.openxmlformats.org/officeDocument/2006/relationships/hyperlink" Target="mailto:facturacion@abalados.es" TargetMode="External" Id="rId117"/><Relationship Type="http://schemas.openxmlformats.org/officeDocument/2006/relationships/hyperlink" Target="mailto:facturacion@abalados.es" TargetMode="External" Id="rId118"/><Relationship Type="http://schemas.openxmlformats.org/officeDocument/2006/relationships/hyperlink" Target="mailto:facturacion@abalados.es" TargetMode="External" Id="rId119"/><Relationship Type="http://schemas.openxmlformats.org/officeDocument/2006/relationships/hyperlink" Target="mailto:facturacion@abalados.es" TargetMode="External" Id="rId120"/><Relationship Type="http://schemas.openxmlformats.org/officeDocument/2006/relationships/hyperlink" Target="mailto:facturacion@abalados.es" TargetMode="External" Id="rId121"/><Relationship Type="http://schemas.openxmlformats.org/officeDocument/2006/relationships/hyperlink" Target="mailto:facturacion@abalados.es" TargetMode="External" Id="rId122"/><Relationship Type="http://schemas.openxmlformats.org/officeDocument/2006/relationships/hyperlink" Target="mailto:facturacion@abalados.es" TargetMode="External" Id="rId123"/><Relationship Type="http://schemas.openxmlformats.org/officeDocument/2006/relationships/hyperlink" Target="mailto:facturacion@abalados.es" TargetMode="External" Id="rId124"/><Relationship Type="http://schemas.openxmlformats.org/officeDocument/2006/relationships/hyperlink" Target="mailto:facturacion@abalados.es" TargetMode="External" Id="rId125"/><Relationship Type="http://schemas.openxmlformats.org/officeDocument/2006/relationships/hyperlink" Target="mailto:facturacion@abalados.es" TargetMode="External" Id="rId126"/><Relationship Type="http://schemas.openxmlformats.org/officeDocument/2006/relationships/hyperlink" Target="mailto:facturacion@abalados.es" TargetMode="External" Id="rId127"/><Relationship Type="http://schemas.openxmlformats.org/officeDocument/2006/relationships/hyperlink" Target="mailto:facturacion@abalados.es" TargetMode="External" Id="rId128"/><Relationship Type="http://schemas.openxmlformats.org/officeDocument/2006/relationships/hyperlink" Target="mailto:facturacion@abalados.es" TargetMode="External" Id="rId129"/><Relationship Type="http://schemas.openxmlformats.org/officeDocument/2006/relationships/hyperlink" Target="mailto:facturacion@abalados.es" TargetMode="External" Id="rId130"/><Relationship Type="http://schemas.openxmlformats.org/officeDocument/2006/relationships/hyperlink" Target="mailto:facturacion@abalados.es" TargetMode="External" Id="rId131"/><Relationship Type="http://schemas.openxmlformats.org/officeDocument/2006/relationships/hyperlink" Target="mailto:facturacion@abalados.es" TargetMode="External" Id="rId132"/><Relationship Type="http://schemas.openxmlformats.org/officeDocument/2006/relationships/hyperlink" Target="mailto:facturacion@abalados.es" TargetMode="External" Id="rId133"/><Relationship Type="http://schemas.openxmlformats.org/officeDocument/2006/relationships/hyperlink" Target="mailto:facturacion@abalados.es" TargetMode="External" Id="rId134"/><Relationship Type="http://schemas.openxmlformats.org/officeDocument/2006/relationships/hyperlink" Target="mailto:facturacion@abalados.es" TargetMode="External" Id="rId135"/><Relationship Type="http://schemas.openxmlformats.org/officeDocument/2006/relationships/hyperlink" Target="mailto:facturacion@abalados.es" TargetMode="External" Id="rId136"/><Relationship Type="http://schemas.openxmlformats.org/officeDocument/2006/relationships/hyperlink" Target="mailto:facturacion@abalados.es" TargetMode="External" Id="rId137"/><Relationship Type="http://schemas.openxmlformats.org/officeDocument/2006/relationships/hyperlink" Target="mailto:facturacion@abalados.es" TargetMode="External" Id="rId138"/><Relationship Type="http://schemas.openxmlformats.org/officeDocument/2006/relationships/hyperlink" Target="mailto:facturacion@abalados.es" TargetMode="External" Id="rId139"/><Relationship Type="http://schemas.openxmlformats.org/officeDocument/2006/relationships/hyperlink" Target="mailto:facturacion@abalados.es" TargetMode="External" Id="rId140"/><Relationship Type="http://schemas.openxmlformats.org/officeDocument/2006/relationships/hyperlink" Target="mailto:facturacion@abalados.es" TargetMode="External" Id="rId141"/><Relationship Type="http://schemas.openxmlformats.org/officeDocument/2006/relationships/hyperlink" Target="mailto:facturacion@abalados.es" TargetMode="External" Id="rId142"/><Relationship Type="http://schemas.openxmlformats.org/officeDocument/2006/relationships/hyperlink" Target="mailto:facturacion@abalados.es" TargetMode="External" Id="rId143"/><Relationship Type="http://schemas.openxmlformats.org/officeDocument/2006/relationships/hyperlink" Target="mailto:facturacion@abalados.es" TargetMode="External" Id="rId144"/><Relationship Type="http://schemas.openxmlformats.org/officeDocument/2006/relationships/hyperlink" Target="mailto:facturacion@abalados.es" TargetMode="External" Id="rId145"/><Relationship Type="http://schemas.openxmlformats.org/officeDocument/2006/relationships/hyperlink" Target="mailto:facturacion@abalados.es" TargetMode="External" Id="rId146"/><Relationship Type="http://schemas.openxmlformats.org/officeDocument/2006/relationships/hyperlink" Target="mailto:facturacion@abalados.es" TargetMode="External" Id="rId147"/><Relationship Type="http://schemas.openxmlformats.org/officeDocument/2006/relationships/hyperlink" Target="mailto:facturacion@abalados.es" TargetMode="External" Id="rId148"/><Relationship Type="http://schemas.openxmlformats.org/officeDocument/2006/relationships/hyperlink" Target="mailto:facturacion@abalados.es" TargetMode="External" Id="rId149"/><Relationship Type="http://schemas.openxmlformats.org/officeDocument/2006/relationships/hyperlink" Target="mailto:facturacion@abalados.es" TargetMode="External" Id="rId150"/><Relationship Type="http://schemas.openxmlformats.org/officeDocument/2006/relationships/hyperlink" Target="mailto:facturacion@abalados.es" TargetMode="External" Id="rId151"/><Relationship Type="http://schemas.openxmlformats.org/officeDocument/2006/relationships/hyperlink" Target="mailto:facturacion@abalados.es" TargetMode="External" Id="rId152"/><Relationship Type="http://schemas.openxmlformats.org/officeDocument/2006/relationships/hyperlink" Target="mailto:facturacion@abalados.es" TargetMode="External" Id="rId153"/><Relationship Type="http://schemas.openxmlformats.org/officeDocument/2006/relationships/hyperlink" Target="mailto:facturacion@abalados.es" TargetMode="External" Id="rId154"/><Relationship Type="http://schemas.openxmlformats.org/officeDocument/2006/relationships/hyperlink" Target="mailto:facturacion@abalados.es" TargetMode="External" Id="rId155"/><Relationship Type="http://schemas.openxmlformats.org/officeDocument/2006/relationships/hyperlink" Target="mailto:facturacion@abalados.es" TargetMode="External" Id="rId156"/><Relationship Type="http://schemas.openxmlformats.org/officeDocument/2006/relationships/hyperlink" Target="mailto:facturacion@abalados.es" TargetMode="External" Id="rId157"/><Relationship Type="http://schemas.openxmlformats.org/officeDocument/2006/relationships/hyperlink" Target="mailto:facturacion@abalados.es" TargetMode="External" Id="rId158"/><Relationship Type="http://schemas.openxmlformats.org/officeDocument/2006/relationships/hyperlink" Target="mailto:facturacion@abalados.es" TargetMode="External" Id="rId159"/><Relationship Type="http://schemas.openxmlformats.org/officeDocument/2006/relationships/hyperlink" Target="mailto:facturacion@abalados.es" TargetMode="External" Id="rId160"/><Relationship Type="http://schemas.openxmlformats.org/officeDocument/2006/relationships/hyperlink" Target="mailto:facturacion@abalados.es" TargetMode="External" Id="rId161"/><Relationship Type="http://schemas.openxmlformats.org/officeDocument/2006/relationships/hyperlink" Target="mailto:facturacion@abalados.es" TargetMode="External" Id="rId162"/><Relationship Type="http://schemas.openxmlformats.org/officeDocument/2006/relationships/hyperlink" Target="mailto:facturacion@abalados.es" TargetMode="External" Id="rId163"/><Relationship Type="http://schemas.openxmlformats.org/officeDocument/2006/relationships/hyperlink" Target="mailto:facturacion@abalados.es" TargetMode="External" Id="rId164"/><Relationship Type="http://schemas.openxmlformats.org/officeDocument/2006/relationships/hyperlink" Target="mailto:facturacion@abalados.es" TargetMode="External" Id="rId165"/><Relationship Type="http://schemas.openxmlformats.org/officeDocument/2006/relationships/hyperlink" Target="mailto:facturacion@abalados.es" TargetMode="External" Id="rId166"/><Relationship Type="http://schemas.openxmlformats.org/officeDocument/2006/relationships/hyperlink" Target="mailto:facturacion@abalados.es" TargetMode="External" Id="rId167"/><Relationship Type="http://schemas.openxmlformats.org/officeDocument/2006/relationships/hyperlink" Target="mailto:facturacion@abalados.es" TargetMode="External" Id="rId168"/><Relationship Type="http://schemas.openxmlformats.org/officeDocument/2006/relationships/hyperlink" Target="mailto:facturacion@abalados.es" TargetMode="External" Id="rId169"/><Relationship Type="http://schemas.openxmlformats.org/officeDocument/2006/relationships/hyperlink" Target="mailto:facturacion@abalados.es" TargetMode="External" Id="rId170"/><Relationship Type="http://schemas.openxmlformats.org/officeDocument/2006/relationships/hyperlink" Target="mailto:facturacion@abalados.es" TargetMode="External" Id="rId171"/><Relationship Type="http://schemas.openxmlformats.org/officeDocument/2006/relationships/hyperlink" Target="mailto:facturacion@abalados.es" TargetMode="External" Id="rId172"/><Relationship Type="http://schemas.openxmlformats.org/officeDocument/2006/relationships/hyperlink" Target="mailto:facturacion@abalados.es" TargetMode="External" Id="rId173"/><Relationship Type="http://schemas.openxmlformats.org/officeDocument/2006/relationships/hyperlink" Target="mailto:facturacion@abalados.es" TargetMode="External" Id="rId174"/><Relationship Type="http://schemas.openxmlformats.org/officeDocument/2006/relationships/hyperlink" Target="mailto:facturacion@abalados.es" TargetMode="External" Id="rId175"/><Relationship Type="http://schemas.openxmlformats.org/officeDocument/2006/relationships/hyperlink" Target="mailto:facturacion@abalados.es" TargetMode="External" Id="rId176"/><Relationship Type="http://schemas.openxmlformats.org/officeDocument/2006/relationships/hyperlink" Target="mailto:facturacion@abalados.es" TargetMode="External" Id="rId177"/><Relationship Type="http://schemas.openxmlformats.org/officeDocument/2006/relationships/hyperlink" Target="mailto:facturacion@abalados.es" TargetMode="External" Id="rId178"/><Relationship Type="http://schemas.openxmlformats.org/officeDocument/2006/relationships/hyperlink" Target="mailto:facturacion@abalados.es" TargetMode="External" Id="rId179"/><Relationship Type="http://schemas.openxmlformats.org/officeDocument/2006/relationships/hyperlink" Target="mailto:facturacion@abalados.es" TargetMode="External" Id="rId180"/><Relationship Type="http://schemas.openxmlformats.org/officeDocument/2006/relationships/hyperlink" Target="mailto:facturacion@abalados.es" TargetMode="External" Id="rId181"/><Relationship Type="http://schemas.openxmlformats.org/officeDocument/2006/relationships/hyperlink" Target="mailto:facturacion@abalados.es" TargetMode="External" Id="rId182"/><Relationship Type="http://schemas.openxmlformats.org/officeDocument/2006/relationships/hyperlink" Target="mailto:facturacion@abalados.es" TargetMode="External" Id="rId183"/><Relationship Type="http://schemas.openxmlformats.org/officeDocument/2006/relationships/hyperlink" Target="mailto:facturacion@abalados.es" TargetMode="External" Id="rId184"/><Relationship Type="http://schemas.openxmlformats.org/officeDocument/2006/relationships/hyperlink" Target="mailto:facturacion@abalados.es" TargetMode="External" Id="rId185"/><Relationship Type="http://schemas.openxmlformats.org/officeDocument/2006/relationships/hyperlink" Target="mailto:facturacion@abalados.es" TargetMode="External" Id="rId186"/><Relationship Type="http://schemas.openxmlformats.org/officeDocument/2006/relationships/hyperlink" Target="mailto:facturacion@abalados.es" TargetMode="External" Id="rId187"/><Relationship Type="http://schemas.openxmlformats.org/officeDocument/2006/relationships/hyperlink" Target="mailto:facturacion@abalados.es" TargetMode="External" Id="rId188"/><Relationship Type="http://schemas.openxmlformats.org/officeDocument/2006/relationships/hyperlink" Target="mailto:facturacion@abalados.es" TargetMode="External" Id="rId189"/><Relationship Type="http://schemas.openxmlformats.org/officeDocument/2006/relationships/hyperlink" Target="mailto:facturacion@abalados.es" TargetMode="External" Id="rId190"/><Relationship Type="http://schemas.openxmlformats.org/officeDocument/2006/relationships/hyperlink" Target="mailto:facturacion@abalados.es" TargetMode="External" Id="rId191"/><Relationship Type="http://schemas.openxmlformats.org/officeDocument/2006/relationships/hyperlink" Target="mailto:facturacion@abalados.es" TargetMode="External" Id="rId192"/><Relationship Type="http://schemas.openxmlformats.org/officeDocument/2006/relationships/hyperlink" Target="mailto:facturacion@abalados.es" TargetMode="External" Id="rId193"/><Relationship Type="http://schemas.openxmlformats.org/officeDocument/2006/relationships/hyperlink" Target="mailto:facturacion@abalados.es" TargetMode="External" Id="rId194"/><Relationship Type="http://schemas.openxmlformats.org/officeDocument/2006/relationships/hyperlink" Target="mailto:facturacion@abalados.es" TargetMode="External" Id="rId195"/><Relationship Type="http://schemas.openxmlformats.org/officeDocument/2006/relationships/hyperlink" Target="mailto:facturacion@abalados.es" TargetMode="External" Id="rId196"/><Relationship Type="http://schemas.openxmlformats.org/officeDocument/2006/relationships/hyperlink" Target="mailto:facturacion@abalados.es" TargetMode="External" Id="rId197"/><Relationship Type="http://schemas.openxmlformats.org/officeDocument/2006/relationships/hyperlink" Target="mailto:facturacion@abalados.es" TargetMode="External" Id="rId198"/><Relationship Type="http://schemas.openxmlformats.org/officeDocument/2006/relationships/hyperlink" Target="mailto:facturacion@abalados.es" TargetMode="External" Id="rId199"/><Relationship Type="http://schemas.openxmlformats.org/officeDocument/2006/relationships/hyperlink" Target="mailto:facturacion@abalados.es" TargetMode="External" Id="rId200"/><Relationship Type="http://schemas.openxmlformats.org/officeDocument/2006/relationships/hyperlink" Target="mailto:facturacion@abalados.es" TargetMode="External" Id="rId201"/><Relationship Type="http://schemas.openxmlformats.org/officeDocument/2006/relationships/hyperlink" Target="mailto:facturacion@abalados.es" TargetMode="External" Id="rId202"/><Relationship Type="http://schemas.openxmlformats.org/officeDocument/2006/relationships/hyperlink" Target="mailto:facturacion@abalados.es" TargetMode="External" Id="rId203"/><Relationship Type="http://schemas.openxmlformats.org/officeDocument/2006/relationships/hyperlink" Target="mailto:facturacion@abalados.es" TargetMode="External" Id="rId204"/><Relationship Type="http://schemas.openxmlformats.org/officeDocument/2006/relationships/hyperlink" Target="mailto:facturacion@abalados.es" TargetMode="External" Id="rId205"/><Relationship Type="http://schemas.openxmlformats.org/officeDocument/2006/relationships/hyperlink" Target="mailto:facturacion@abalados.es" TargetMode="External" Id="rId206"/><Relationship Type="http://schemas.openxmlformats.org/officeDocument/2006/relationships/hyperlink" Target="mailto:facturacion@abalados.es" TargetMode="External" Id="rId207"/><Relationship Type="http://schemas.openxmlformats.org/officeDocument/2006/relationships/hyperlink" Target="mailto:facturacion@abalados.es" TargetMode="External" Id="rId208"/><Relationship Type="http://schemas.openxmlformats.org/officeDocument/2006/relationships/hyperlink" Target="mailto:facturacion@abalados.es" TargetMode="External" Id="rId209"/><Relationship Type="http://schemas.openxmlformats.org/officeDocument/2006/relationships/hyperlink" Target="mailto:facturacion@abalados.es" TargetMode="External" Id="rId210"/><Relationship Type="http://schemas.openxmlformats.org/officeDocument/2006/relationships/hyperlink" Target="mailto:facturacion@abalados.es" TargetMode="External" Id="rId211"/><Relationship Type="http://schemas.openxmlformats.org/officeDocument/2006/relationships/hyperlink" Target="mailto:facturacion@abalados.es" TargetMode="External" Id="rId212"/><Relationship Type="http://schemas.openxmlformats.org/officeDocument/2006/relationships/hyperlink" Target="mailto:facturacion@abalados.es" TargetMode="External" Id="rId213"/><Relationship Type="http://schemas.openxmlformats.org/officeDocument/2006/relationships/hyperlink" Target="mailto:facturacion@abalados.es" TargetMode="External" Id="rId214"/><Relationship Type="http://schemas.openxmlformats.org/officeDocument/2006/relationships/hyperlink" Target="mailto:facturacion@abalados.es" TargetMode="External" Id="rId215"/><Relationship Type="http://schemas.openxmlformats.org/officeDocument/2006/relationships/hyperlink" Target="mailto:facturacion@abalados.es" TargetMode="External" Id="rId216"/><Relationship Type="http://schemas.openxmlformats.org/officeDocument/2006/relationships/hyperlink" Target="mailto:facturacion@abalados.es" TargetMode="External" Id="rId217"/><Relationship Type="http://schemas.openxmlformats.org/officeDocument/2006/relationships/hyperlink" Target="mailto:facturacion@abalados.es" TargetMode="External" Id="rId218"/><Relationship Type="http://schemas.openxmlformats.org/officeDocument/2006/relationships/hyperlink" Target="mailto:facturacion@abalados.es" TargetMode="External" Id="rId219"/><Relationship Type="http://schemas.openxmlformats.org/officeDocument/2006/relationships/hyperlink" Target="mailto:facturacion@abalados.es" TargetMode="External" Id="rId220"/><Relationship Type="http://schemas.openxmlformats.org/officeDocument/2006/relationships/hyperlink" Target="mailto:facturacion@abalados.es" TargetMode="External" Id="rId221"/><Relationship Type="http://schemas.openxmlformats.org/officeDocument/2006/relationships/hyperlink" Target="mailto:facturacion@abalados.es" TargetMode="External" Id="rId222"/><Relationship Type="http://schemas.openxmlformats.org/officeDocument/2006/relationships/hyperlink" Target="mailto:facturacion@abalados.es" TargetMode="External" Id="rId223"/><Relationship Type="http://schemas.openxmlformats.org/officeDocument/2006/relationships/hyperlink" Target="mailto:facturacion@abalados.es" TargetMode="External" Id="rId224"/><Relationship Type="http://schemas.openxmlformats.org/officeDocument/2006/relationships/hyperlink" Target="mailto:facturacion@abalados.es" TargetMode="External" Id="rId225"/><Relationship Type="http://schemas.openxmlformats.org/officeDocument/2006/relationships/hyperlink" Target="mailto:facturacion@abalados.es" TargetMode="External" Id="rId226"/><Relationship Type="http://schemas.openxmlformats.org/officeDocument/2006/relationships/hyperlink" Target="mailto:facturacion@abalados.es" TargetMode="External" Id="rId227"/><Relationship Type="http://schemas.openxmlformats.org/officeDocument/2006/relationships/hyperlink" Target="mailto:facturacion@abalados.es" TargetMode="External" Id="rId228"/><Relationship Type="http://schemas.openxmlformats.org/officeDocument/2006/relationships/hyperlink" Target="mailto:facturacion@abalados.es" TargetMode="External" Id="rId229"/><Relationship Type="http://schemas.openxmlformats.org/officeDocument/2006/relationships/hyperlink" Target="mailto:facturacion@abalados.es" TargetMode="External" Id="rId230"/><Relationship Type="http://schemas.openxmlformats.org/officeDocument/2006/relationships/hyperlink" Target="mailto:facturacion@abalados.es" TargetMode="External" Id="rId231"/><Relationship Type="http://schemas.openxmlformats.org/officeDocument/2006/relationships/hyperlink" Target="mailto:facturacion@abalados.es" TargetMode="External" Id="rId232"/><Relationship Type="http://schemas.openxmlformats.org/officeDocument/2006/relationships/hyperlink" Target="mailto:facturacion@abalados.es" TargetMode="External" Id="rId233"/><Relationship Type="http://schemas.openxmlformats.org/officeDocument/2006/relationships/hyperlink" Target="mailto:facturacion@abalados.es" TargetMode="External" Id="rId234"/><Relationship Type="http://schemas.openxmlformats.org/officeDocument/2006/relationships/hyperlink" Target="mailto:facturacion@abalados.es" TargetMode="External" Id="rId235"/><Relationship Type="http://schemas.openxmlformats.org/officeDocument/2006/relationships/hyperlink" Target="mailto:facturacion@abalados.es" TargetMode="External" Id="rId236"/><Relationship Type="http://schemas.openxmlformats.org/officeDocument/2006/relationships/hyperlink" Target="mailto:facturacion@abalados.es" TargetMode="External" Id="rId237"/><Relationship Type="http://schemas.openxmlformats.org/officeDocument/2006/relationships/hyperlink" Target="mailto:facturacion@abalados.es" TargetMode="External" Id="rId238"/><Relationship Type="http://schemas.openxmlformats.org/officeDocument/2006/relationships/hyperlink" Target="mailto:facturacion@abalados.es" TargetMode="External" Id="rId239"/><Relationship Type="http://schemas.openxmlformats.org/officeDocument/2006/relationships/hyperlink" Target="mailto:facturacion@abalados.es" TargetMode="External" Id="rId240"/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6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7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18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Hoja9">
    <outlinePr summaryBelow="1" summaryRight="1"/>
    <pageSetUpPr/>
  </sheetPr>
  <dimension ref="A1:AN2"/>
  <sheetViews>
    <sheetView tabSelected="1" zoomScale="85" zoomScaleNormal="85" workbookViewId="0">
      <selection activeCell="B3" sqref="B3"/>
    </sheetView>
  </sheetViews>
  <sheetFormatPr baseColWidth="10" defaultColWidth="11.3828125" defaultRowHeight="14.6"/>
  <cols>
    <col width="11.3828125" customWidth="1" style="700" min="1" max="1"/>
    <col width="10.84375" bestFit="1" customWidth="1" style="133" min="2" max="2"/>
    <col width="28.84375" bestFit="1" customWidth="1" style="700" min="3" max="3"/>
    <col width="11.84375" bestFit="1" customWidth="1" style="700" min="4" max="4"/>
    <col width="20.3828125" bestFit="1" customWidth="1" style="700" min="5" max="5"/>
    <col width="20.53515625" bestFit="1" customWidth="1" style="700" min="6" max="6"/>
    <col width="54.3828125" bestFit="1" customWidth="1" style="700" min="7" max="7"/>
    <col width="33.15234375" bestFit="1" customWidth="1" style="700" min="8" max="8"/>
    <col width="28.84375" bestFit="1" customWidth="1" style="700" min="9" max="9"/>
    <col width="11.84375" bestFit="1" customWidth="1" style="700" min="10" max="10"/>
    <col width="55.3828125" bestFit="1" customWidth="1" style="700" min="11" max="11"/>
    <col width="10.84375" bestFit="1" customWidth="1" style="132" min="12" max="12"/>
    <col width="48.53515625" bestFit="1" customWidth="1" style="700" min="13" max="13"/>
    <col width="10.53515625" bestFit="1" customWidth="1" style="132" min="14" max="14"/>
    <col width="48" bestFit="1" customWidth="1" style="700" min="15" max="15"/>
    <col width="11.3828125" customWidth="1" style="132" min="16" max="16"/>
    <col width="32.53515625" bestFit="1" customWidth="1" style="700" min="17" max="17"/>
    <col width="8.3828125" bestFit="1" customWidth="1" style="132" min="18" max="18"/>
    <col width="11.3828125" customWidth="1" style="132" min="20" max="20"/>
    <col width="31.53515625" bestFit="1" customWidth="1" style="700" min="21" max="21"/>
    <col width="8.3828125" bestFit="1" customWidth="1" style="132" min="22" max="22"/>
    <col width="23" bestFit="1" customWidth="1" style="700" min="24" max="24"/>
    <col width="9" bestFit="1" customWidth="1" style="700" min="25" max="25"/>
    <col width="8.3828125" bestFit="1" customWidth="1" style="132" min="26" max="26"/>
    <col width="9.84375" bestFit="1" customWidth="1" style="700" min="27" max="27"/>
    <col width="28.3828125" bestFit="1" customWidth="1" style="700" min="28" max="28"/>
    <col width="13" customWidth="1" style="700" min="29" max="29"/>
    <col width="10.53515625" bestFit="1" customWidth="1" style="132" min="30" max="30"/>
    <col width="9.84375" bestFit="1" customWidth="1" style="132" min="31" max="31"/>
    <col width="7.15234375" bestFit="1" customWidth="1" style="700" min="32" max="32"/>
    <col width="9.84375" bestFit="1" customWidth="1" style="132" min="33" max="33"/>
    <col width="11.3828125" customWidth="1" style="132" min="34" max="34"/>
    <col width="11.3828125" customWidth="1" style="132" min="36" max="36"/>
    <col width="15.3046875" bestFit="1" customWidth="1" style="700" min="40" max="40"/>
  </cols>
  <sheetData>
    <row r="1" ht="48" customFormat="1" customHeight="1" s="687">
      <c r="B1" s="323" t="inlineStr">
        <is>
          <t>Leeme suplidos</t>
        </is>
      </c>
      <c r="D1" s="318">
        <f>COUNT(A:A)</f>
        <v/>
      </c>
      <c r="E1" s="319" t="inlineStr">
        <is>
          <t>Nº facturas a Imprimir (en Impresora predeterminada)</t>
        </is>
      </c>
      <c r="F1" s="320" t="n">
        <v>1</v>
      </c>
      <c r="I1" s="321" t="inlineStr">
        <is>
          <t>Automatizado sólo para las Españolas!!!</t>
        </is>
      </c>
      <c r="L1" s="322" t="n"/>
      <c r="N1" s="322" t="n"/>
      <c r="P1" s="322" t="n"/>
      <c r="R1" s="322" t="n"/>
      <c r="T1" s="322" t="n"/>
      <c r="V1" s="322" t="n"/>
      <c r="Z1" s="322" t="n"/>
      <c r="AD1" s="322" t="n"/>
      <c r="AE1" s="322" t="n"/>
      <c r="AG1" s="322" t="n"/>
      <c r="AH1" s="322" t="n"/>
      <c r="AJ1" s="322" t="n"/>
      <c r="AN1" s="641" t="inlineStr">
        <is>
          <t>FacturaOriginal</t>
        </is>
      </c>
    </row>
    <row r="2" ht="15" customFormat="1" customHeight="1" s="1">
      <c r="A2" s="1" t="n">
        <v>25384</v>
      </c>
      <c r="B2" s="642" t="n">
        <v>45972</v>
      </c>
      <c r="C2" s="1" t="inlineStr">
        <is>
          <t>c/ Las Cruzadas 3A, local D</t>
        </is>
      </c>
      <c r="D2" s="1" t="inlineStr">
        <is>
          <t>Sevilla 41004</t>
        </is>
      </c>
      <c r="E2" s="1" t="inlineStr">
        <is>
          <t>CIF B91938662</t>
        </is>
      </c>
      <c r="F2" s="1" t="inlineStr">
        <is>
          <t>aBalados@abalados.es</t>
        </is>
      </c>
      <c r="G2" s="1" t="inlineStr">
        <is>
          <t>Evacuación Carmona 400-220 kV Renovables, S.L.</t>
        </is>
      </c>
      <c r="H2" s="1" t="inlineStr">
        <is>
          <t>CIF B09744517</t>
        </is>
      </c>
      <c r="I2" s="1" t="inlineStr">
        <is>
          <t>c/ Las Cruzadas 3A, local D</t>
        </is>
      </c>
      <c r="J2" s="1" t="inlineStr">
        <is>
          <t>41004 Sevilla</t>
        </is>
      </c>
      <c r="K2" s="1" t="inlineStr">
        <is>
          <t>Refacturación gastos y/o servicios prestados a nombre de la sociedad</t>
        </is>
      </c>
      <c r="M2" s="1" t="inlineStr">
        <is>
          <t>Jofran Mensajeros, S.L - Envio de documentación</t>
        </is>
      </c>
      <c r="N2" s="1" t="n">
        <v>5.98</v>
      </c>
      <c r="AB2" s="1" t="inlineStr">
        <is>
          <t>ES85 2080 3509 1130 4009 6171</t>
        </is>
      </c>
      <c r="AC2" s="1" t="inlineStr">
        <is>
          <t>ENVIADA OK (2025-11-11 17:16)</t>
        </is>
      </c>
      <c r="AD2" s="1" t="n">
        <v>5.98</v>
      </c>
      <c r="AE2" s="1" t="n">
        <v>0</v>
      </c>
      <c r="AF2" s="1" t="n">
        <v>0.08</v>
      </c>
      <c r="AG2" s="1" t="n">
        <v>0</v>
      </c>
      <c r="AH2" s="1" t="n">
        <v>7.2358</v>
      </c>
      <c r="AI2" s="1" t="inlineStr">
        <is>
          <t>N/A</t>
        </is>
      </c>
      <c r="AJ2" s="1" t="n">
        <v>5.98</v>
      </c>
      <c r="AK2" s="1" t="inlineStr">
        <is>
          <t>2022-007</t>
        </is>
      </c>
      <c r="AL2" s="1" t="inlineStr">
        <is>
          <t>nudos</t>
        </is>
      </c>
      <c r="AM2" s="1" t="inlineStr">
        <is>
          <t>Refacturación</t>
        </is>
      </c>
    </row>
  </sheetData>
  <conditionalFormatting sqref="AD2:AE2 AG2">
    <cfRule type="containsText" priority="4" operator="containsText" dxfId="1" text="pendiente">
      <formula>NOT(ISERROR(SEARCH("pendiente",AD2)))</formula>
    </cfRule>
  </conditionalFormatting>
  <conditionalFormatting sqref="AD2:AE2">
    <cfRule type="cellIs" priority="2" operator="equal" dxfId="1">
      <formula>"pendiente"</formula>
    </cfRule>
    <cfRule type="containsText" priority="3" operator="containsText" dxfId="0" text="pagado">
      <formula>NOT(ISERROR(SEARCH("pagado",AD2)))</formula>
    </cfRule>
  </conditionalFormatting>
  <dataValidations count="3">
    <dataValidation sqref="F1" showDropDown="0" showInputMessage="1" showErrorMessage="1" allowBlank="1" type="list">
      <formula1>"1,2,3"</formula1>
    </dataValidation>
    <dataValidation sqref="AL2" showDropDown="0" showInputMessage="1" showErrorMessage="1" allowBlank="1" type="list">
      <formula1>"WOC_Asset,WOC_OM,OM_Otros,nudos,Ingeniería,Asset"</formula1>
    </dataValidation>
    <dataValidation sqref="AM2" showDropDown="0" showInputMessage="1" showErrorMessage="1" allowBlank="1" type="list">
      <formula1>"Refacturación,Promoción,Explotación,Extraordinario,Legal,Administración,Privativas,Dirección"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5">
    <outlinePr summaryBelow="1" summaryRight="1"/>
    <pageSetUpPr/>
  </sheetPr>
  <dimension ref="A1:P182"/>
  <sheetViews>
    <sheetView workbookViewId="0">
      <selection activeCell="L5" sqref="L5"/>
    </sheetView>
  </sheetViews>
  <sheetFormatPr baseColWidth="10" defaultColWidth="11.3828125" defaultRowHeight="14.15"/>
  <cols>
    <col width="4.53515625" customWidth="1" style="655" min="1" max="1"/>
    <col width="27.15234375" customWidth="1" style="655" min="2" max="2"/>
    <col width="13.15234375" customWidth="1" style="655" min="3" max="3"/>
    <col width="13.3828125" bestFit="1" customWidth="1" style="655" min="4" max="4"/>
    <col width="11" bestFit="1" customWidth="1" style="655" min="5" max="5"/>
    <col width="12.53515625" bestFit="1" customWidth="1" style="655" min="6" max="6"/>
    <col width="13.3828125" bestFit="1" customWidth="1" style="655" min="7" max="7"/>
    <col width="11" bestFit="1" customWidth="1" style="655" min="8" max="8"/>
    <col width="15" customWidth="1" style="655" min="9" max="9"/>
    <col width="9.3828125" customWidth="1" style="655" min="10" max="11"/>
    <col width="16.3828125" bestFit="1" customWidth="1" style="655" min="12" max="12"/>
    <col width="11.3828125" bestFit="1" customWidth="1" style="655" min="13" max="13"/>
    <col width="19.53515625" bestFit="1" customWidth="1" style="655" min="14" max="14"/>
    <col width="11.3828125" customWidth="1" style="655" min="15" max="25"/>
    <col width="11.3828125" customWidth="1" style="655" min="26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</row>
    <row r="3" ht="69" customHeight="1" s="700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L3" s="46" t="n"/>
      <c r="M3" s="46" t="n"/>
      <c r="N3" s="46" t="n"/>
      <c r="O3" s="46" t="n"/>
      <c r="P3" s="46" t="n"/>
    </row>
    <row r="4" ht="18" customHeight="1" s="700">
      <c r="A4" s="46" t="n"/>
      <c r="B4" s="51" t="inlineStr">
        <is>
          <t>FONDO I</t>
        </is>
      </c>
      <c r="C4" s="650" t="inlineStr">
        <is>
          <t>SPV</t>
        </is>
      </c>
      <c r="D4" s="651" t="n"/>
      <c r="E4" s="644" t="n"/>
      <c r="F4" s="652" t="inlineStr">
        <is>
          <t>ACC</t>
        </is>
      </c>
      <c r="G4" s="651" t="n"/>
      <c r="H4" s="644" t="n"/>
      <c r="I4" s="643" t="inlineStr">
        <is>
          <t>O&amp;M</t>
        </is>
      </c>
      <c r="J4" s="644" t="n"/>
      <c r="K4" s="46" t="n"/>
      <c r="L4" s="46" t="n"/>
      <c r="M4" s="52">
        <f>1*(1+O4)*(1+O5)*(1+O6)</f>
        <v/>
      </c>
      <c r="N4" s="46" t="inlineStr">
        <is>
          <t>Revisión 2009-2010</t>
        </is>
      </c>
      <c r="O4" s="53" t="n">
        <v>0.0208</v>
      </c>
      <c r="P4" s="46" t="n"/>
    </row>
    <row r="5" ht="15" customHeight="1" s="700">
      <c r="A5" s="654" t="inlineStr">
        <is>
          <t>Renova</t>
        </is>
      </c>
      <c r="B5" s="54" t="inlineStr">
        <is>
          <t>Valverde</t>
        </is>
      </c>
      <c r="C5" s="645">
        <f>3750*0.4*(1+$M$5)</f>
        <v/>
      </c>
      <c r="D5" s="653">
        <f>C5*0.7</f>
        <v/>
      </c>
      <c r="E5" s="653">
        <f>C5*0.3*(1+$M$5)</f>
        <v/>
      </c>
      <c r="F5" s="645">
        <f>3400*0.75*(1+$M$5)</f>
        <v/>
      </c>
      <c r="G5" s="653">
        <f>F5*0.5</f>
        <v/>
      </c>
      <c r="H5" s="653">
        <f>F5*0.3</f>
        <v/>
      </c>
      <c r="I5" s="55">
        <f>820*0.4*(1+$M$5)</f>
        <v/>
      </c>
      <c r="J5" s="56" t="inlineStr">
        <is>
          <t>n/a</t>
        </is>
      </c>
      <c r="K5" s="648" t="inlineStr">
        <is>
          <t>Gastos generales: 3,5 % del honorario global</t>
        </is>
      </c>
      <c r="L5" s="75" t="inlineStr">
        <is>
          <t>Revisión 2013</t>
        </is>
      </c>
      <c r="M5" s="57">
        <f>M4-1</f>
        <v/>
      </c>
      <c r="N5" s="46" t="inlineStr">
        <is>
          <t>Revisión 2010-2011</t>
        </is>
      </c>
      <c r="O5" s="53" t="n">
        <v>0.029</v>
      </c>
      <c r="P5" s="46" t="n"/>
    </row>
    <row r="6" ht="15" customHeight="1" s="700">
      <c r="B6" s="54" t="inlineStr">
        <is>
          <t>Castuera</t>
        </is>
      </c>
      <c r="C6" s="646" t="n"/>
      <c r="D6" s="646" t="n"/>
      <c r="E6" s="646" t="n"/>
      <c r="F6" s="646" t="n"/>
      <c r="G6" s="646" t="n"/>
      <c r="H6" s="646" t="n"/>
      <c r="I6" s="58">
        <f>820*0.4*(1+$M$5)</f>
        <v/>
      </c>
      <c r="J6" s="59" t="inlineStr">
        <is>
          <t>n/a</t>
        </is>
      </c>
      <c r="K6" s="649" t="n"/>
      <c r="L6" s="46" t="n"/>
      <c r="M6" s="46" t="n"/>
      <c r="N6" s="73" t="inlineStr">
        <is>
          <t>Revisión 2011-2012</t>
        </is>
      </c>
      <c r="O6" s="74" t="n">
        <v>-0.00028</v>
      </c>
      <c r="P6" s="73" t="inlineStr">
        <is>
          <t>Nuevo Index</t>
        </is>
      </c>
    </row>
    <row r="7" ht="15" customHeight="1" s="700">
      <c r="B7" s="54" t="inlineStr">
        <is>
          <t>Paiporta</t>
        </is>
      </c>
      <c r="C7" s="646" t="n"/>
      <c r="D7" s="646" t="n"/>
      <c r="E7" s="646" t="n"/>
      <c r="F7" s="646" t="n"/>
      <c r="G7" s="646" t="n"/>
      <c r="H7" s="646" t="n"/>
      <c r="I7" s="58">
        <f>820*0.4*(1+$M$5)</f>
        <v/>
      </c>
      <c r="J7" s="59" t="inlineStr">
        <is>
          <t>n/a</t>
        </is>
      </c>
      <c r="K7" s="649" t="n"/>
      <c r="L7" s="60" t="n"/>
      <c r="M7" s="77">
        <f>1*(1+O4)*(1+O5)*(1+O7)</f>
        <v/>
      </c>
      <c r="N7" s="76" t="inlineStr">
        <is>
          <t>AE3000 - 2011/2012</t>
        </is>
      </c>
      <c r="O7" s="53" t="n">
        <v>0.029</v>
      </c>
      <c r="P7" s="46" t="n"/>
    </row>
    <row r="8" ht="15" customHeight="1" s="700">
      <c r="B8" s="54" t="inlineStr">
        <is>
          <t>Bonaire</t>
        </is>
      </c>
      <c r="C8" s="647" t="n"/>
      <c r="D8" s="647" t="n"/>
      <c r="E8" s="647" t="n"/>
      <c r="F8" s="647" t="n"/>
      <c r="G8" s="647" t="n"/>
      <c r="H8" s="647" t="n"/>
      <c r="I8" s="58">
        <f>820*0.4*(1+$M$5)</f>
        <v/>
      </c>
      <c r="J8" s="59" t="inlineStr">
        <is>
          <t>n/a</t>
        </is>
      </c>
      <c r="K8" s="649" t="n"/>
      <c r="L8" s="76" t="inlineStr">
        <is>
          <t>Revisión AE3000</t>
        </is>
      </c>
      <c r="M8" s="78">
        <f>M7-1</f>
        <v/>
      </c>
      <c r="N8" s="46" t="n"/>
      <c r="O8" s="46" t="n"/>
      <c r="P8" s="46" t="n"/>
    </row>
    <row r="9" ht="15" customHeight="1" s="700">
      <c r="A9" s="46" t="n"/>
      <c r="B9" s="54" t="inlineStr">
        <is>
          <t>Coreses</t>
        </is>
      </c>
      <c r="C9" s="58">
        <f>980*(1+$M$5)</f>
        <v/>
      </c>
      <c r="D9" s="61">
        <f>C9*0.7</f>
        <v/>
      </c>
      <c r="E9" s="61">
        <f>C9*0.3</f>
        <v/>
      </c>
      <c r="F9" s="58">
        <f>980*(1+$M$5)</f>
        <v/>
      </c>
      <c r="G9" s="61">
        <f>F9*0.5</f>
        <v/>
      </c>
      <c r="H9" s="61">
        <f>G9*0.3</f>
        <v/>
      </c>
      <c r="I9" s="58">
        <f>820*(1+$M$5)</f>
        <v/>
      </c>
      <c r="J9" s="59" t="inlineStr">
        <is>
          <t>n/a</t>
        </is>
      </c>
      <c r="K9" s="649" t="n"/>
      <c r="L9" s="46" t="n"/>
      <c r="M9" s="46" t="n"/>
      <c r="N9" s="46" t="n"/>
      <c r="O9" s="46" t="n"/>
      <c r="P9" s="46" t="n"/>
    </row>
    <row r="10">
      <c r="A10" s="46" t="n"/>
      <c r="B10" s="68" t="inlineStr">
        <is>
          <t>Ejea de los Caballeros (1.2)</t>
        </is>
      </c>
      <c r="C10" s="61">
        <f>950*0.4*(1+$M$5)</f>
        <v/>
      </c>
      <c r="D10" s="61">
        <f>C10*0.7</f>
        <v/>
      </c>
      <c r="E10" s="61">
        <f>C10*0.3</f>
        <v/>
      </c>
      <c r="F10" s="61">
        <f>1000*0.75*(1+$M$5)</f>
        <v/>
      </c>
      <c r="G10" s="61">
        <f>F10*0.5</f>
        <v/>
      </c>
      <c r="H10" s="61">
        <f>F10*0.3</f>
        <v/>
      </c>
      <c r="I10" s="61">
        <f>820*(1+$M$5)</f>
        <v/>
      </c>
      <c r="J10" s="59" t="inlineStr">
        <is>
          <t>n/a</t>
        </is>
      </c>
      <c r="K10" s="649" t="n"/>
      <c r="L10" s="46" t="n"/>
      <c r="M10" s="46" t="n"/>
      <c r="N10" s="46" t="n"/>
      <c r="O10" s="46" t="n"/>
      <c r="P10" s="46" t="n"/>
    </row>
    <row r="11">
      <c r="A11" s="46" t="n"/>
      <c r="B11" s="46" t="n"/>
      <c r="C11" s="60" t="n"/>
      <c r="D11" s="60" t="n"/>
      <c r="E11" s="60" t="n"/>
      <c r="F11" s="60" t="n"/>
      <c r="G11" s="60" t="n"/>
      <c r="H11" s="60" t="n"/>
      <c r="I11" s="60" t="n"/>
      <c r="J11" s="46" t="n"/>
      <c r="K11" s="46" t="n"/>
      <c r="L11" s="46" t="n"/>
      <c r="M11" s="46" t="n"/>
      <c r="N11" s="46" t="n"/>
      <c r="O11" s="46" t="n"/>
      <c r="P11" s="46" t="n"/>
    </row>
    <row r="12" ht="18" customHeight="1" s="700">
      <c r="A12" s="46" t="n"/>
      <c r="B12" s="63" t="inlineStr">
        <is>
          <t>FONDO II</t>
        </is>
      </c>
      <c r="C12" s="650" t="inlineStr">
        <is>
          <t>SPV</t>
        </is>
      </c>
      <c r="D12" s="651" t="n"/>
      <c r="E12" s="644" t="n"/>
      <c r="F12" s="652" t="inlineStr">
        <is>
          <t>ACC</t>
        </is>
      </c>
      <c r="G12" s="651" t="n"/>
      <c r="H12" s="644" t="n"/>
      <c r="I12" s="643" t="inlineStr">
        <is>
          <t>O&amp;M</t>
        </is>
      </c>
      <c r="J12" s="644" t="n"/>
      <c r="K12" s="46" t="n"/>
      <c r="L12" s="79">
        <f>C5*12</f>
        <v/>
      </c>
      <c r="M12" s="79">
        <f>F5*12</f>
        <v/>
      </c>
      <c r="N12" s="79">
        <f>SUM(I5:I8)*12</f>
        <v/>
      </c>
      <c r="O12" s="46" t="n"/>
      <c r="P12" s="46" t="n"/>
    </row>
    <row r="13">
      <c r="A13" s="46" t="n"/>
      <c r="B13" s="64" t="inlineStr">
        <is>
          <t>Todas 2.1 - 2.10</t>
        </is>
      </c>
      <c r="C13" s="61">
        <f>950*(1+$M$5)</f>
        <v/>
      </c>
      <c r="D13" s="61">
        <f>C13*0.7</f>
        <v/>
      </c>
      <c r="E13" s="61">
        <f>C13*0.3</f>
        <v/>
      </c>
      <c r="F13" s="61">
        <f>1000*(1+$M$5)</f>
        <v/>
      </c>
      <c r="G13" s="61">
        <f>F13*0.5</f>
        <v/>
      </c>
      <c r="H13" s="61">
        <f>F13*0.3</f>
        <v/>
      </c>
      <c r="I13" s="61">
        <f>820*(1+$M$5)</f>
        <v/>
      </c>
      <c r="J13" s="59" t="inlineStr">
        <is>
          <t>n/a</t>
        </is>
      </c>
      <c r="K13" s="648" t="inlineStr">
        <is>
          <t>Gastos generales: 3,5 % del honorario global</t>
        </is>
      </c>
      <c r="L13" s="79">
        <f>C9*12</f>
        <v/>
      </c>
      <c r="M13" s="79">
        <f>F9*12</f>
        <v/>
      </c>
      <c r="N13" s="79">
        <f>I9*12</f>
        <v/>
      </c>
      <c r="O13" s="46" t="n"/>
      <c r="P13" s="46" t="n"/>
    </row>
    <row r="14" ht="15" customHeight="1" s="700">
      <c r="A14" s="46" t="n"/>
      <c r="B14" s="54" t="inlineStr">
        <is>
          <t>Villamartín</t>
        </is>
      </c>
      <c r="C14" s="58">
        <f>1200*(1+$M$5)</f>
        <v/>
      </c>
      <c r="D14" s="61">
        <f>C14*0.7</f>
        <v/>
      </c>
      <c r="E14" s="61">
        <f>C14*0.3</f>
        <v/>
      </c>
      <c r="F14" s="58">
        <f>1400*(1+$M$5)</f>
        <v/>
      </c>
      <c r="G14" s="61">
        <f>F14*0.5</f>
        <v/>
      </c>
      <c r="H14" s="61">
        <f>F14*0.3</f>
        <v/>
      </c>
      <c r="I14" s="58">
        <f>820*(1+$M$5)</f>
        <v/>
      </c>
      <c r="J14" s="59" t="inlineStr">
        <is>
          <t>n/a</t>
        </is>
      </c>
      <c r="K14" s="649" t="n"/>
      <c r="L14" s="79">
        <f>C14*12</f>
        <v/>
      </c>
      <c r="M14" s="79">
        <f>F14*12</f>
        <v/>
      </c>
      <c r="N14" s="79">
        <f>I14*12</f>
        <v/>
      </c>
      <c r="O14" s="46" t="n"/>
      <c r="P14" s="46" t="n"/>
    </row>
    <row r="15" ht="15" customHeight="1" s="700">
      <c r="A15" s="46" t="n"/>
      <c r="B15" s="54" t="inlineStr">
        <is>
          <t>Sollana (2.1)</t>
        </is>
      </c>
      <c r="C15" s="58">
        <f>950*(1+$M$5)</f>
        <v/>
      </c>
      <c r="D15" s="61">
        <f>C15*0.7</f>
        <v/>
      </c>
      <c r="E15" s="61">
        <f>C15*0.3</f>
        <v/>
      </c>
      <c r="F15" s="58">
        <f>1000*(1+$M$5)</f>
        <v/>
      </c>
      <c r="G15" s="61">
        <f>F15*0.5</f>
        <v/>
      </c>
      <c r="H15" s="61">
        <f>F15*0.3</f>
        <v/>
      </c>
      <c r="I15" s="58">
        <f>820*(1+$M$5)</f>
        <v/>
      </c>
      <c r="J15" s="59" t="inlineStr">
        <is>
          <t>n/a</t>
        </is>
      </c>
      <c r="K15" s="649" t="n"/>
      <c r="L15" s="79">
        <f>C15*12</f>
        <v/>
      </c>
      <c r="M15" s="79">
        <f>F15*12</f>
        <v/>
      </c>
      <c r="N15" s="79">
        <f>I15*12</f>
        <v/>
      </c>
      <c r="O15" s="46" t="n"/>
      <c r="P15" s="46" t="n"/>
    </row>
    <row r="16" ht="15" customHeight="1" s="700">
      <c r="A16" s="46" t="n"/>
      <c r="B16" s="68" t="inlineStr">
        <is>
          <t>Bailadero (2.2) no fras desde 4T/2012</t>
        </is>
      </c>
      <c r="C16" s="61">
        <f>950*(1+$M$5)</f>
        <v/>
      </c>
      <c r="D16" s="61">
        <f>C16*0.7</f>
        <v/>
      </c>
      <c r="E16" s="61">
        <f>C16*0.3</f>
        <v/>
      </c>
      <c r="F16" s="61">
        <f>1000*(1+$M$5)</f>
        <v/>
      </c>
      <c r="G16" s="61">
        <f>F16*0.5</f>
        <v/>
      </c>
      <c r="H16" s="61">
        <f>F16*0.3</f>
        <v/>
      </c>
      <c r="I16" s="61">
        <f>820*(1+$M$5)</f>
        <v/>
      </c>
      <c r="J16" s="59" t="inlineStr">
        <is>
          <t>n/a</t>
        </is>
      </c>
      <c r="K16" s="649" t="n"/>
      <c r="L16" s="79" t="n"/>
      <c r="M16" s="79" t="n"/>
      <c r="N16" s="79" t="n"/>
      <c r="O16" s="46" t="n"/>
      <c r="P16" s="46" t="n"/>
    </row>
    <row r="17" ht="15" customHeight="1" s="700">
      <c r="A17" s="46" t="n"/>
      <c r="B17" s="54" t="inlineStr">
        <is>
          <t>Artá (2.3)</t>
        </is>
      </c>
      <c r="C17" s="58">
        <f>950*(1+$M$5)</f>
        <v/>
      </c>
      <c r="D17" s="61">
        <f>C17*0.7</f>
        <v/>
      </c>
      <c r="E17" s="61">
        <f>C17*0.3</f>
        <v/>
      </c>
      <c r="F17" s="58">
        <f>1000*(1+$M$5)</f>
        <v/>
      </c>
      <c r="G17" s="61">
        <f>F17*0.5</f>
        <v/>
      </c>
      <c r="H17" s="61">
        <f>F17*0.3</f>
        <v/>
      </c>
      <c r="I17" s="58">
        <f>820*(1+$M$5)</f>
        <v/>
      </c>
      <c r="J17" s="59" t="inlineStr">
        <is>
          <t>n/a</t>
        </is>
      </c>
      <c r="K17" s="649" t="n"/>
      <c r="L17" s="79">
        <f>C17*12</f>
        <v/>
      </c>
      <c r="M17" s="79">
        <f>F17*12</f>
        <v/>
      </c>
      <c r="N17" s="79">
        <f>I17*12</f>
        <v/>
      </c>
      <c r="O17" s="46" t="n"/>
      <c r="P17" s="46" t="n"/>
    </row>
    <row r="18">
      <c r="A18" s="46" t="n"/>
      <c r="B18" s="68" t="inlineStr">
        <is>
          <t>2.4 no fras desde 4T/2012</t>
        </is>
      </c>
      <c r="C18" s="61">
        <f>950*(1+$M$5)</f>
        <v/>
      </c>
      <c r="D18" s="61">
        <f>C18*0.7</f>
        <v/>
      </c>
      <c r="E18" s="61">
        <f>C18*0.3</f>
        <v/>
      </c>
      <c r="F18" s="61">
        <f>1000*(1+$M$5)</f>
        <v/>
      </c>
      <c r="G18" s="61">
        <f>F18*0.5</f>
        <v/>
      </c>
      <c r="H18" s="61">
        <f>F18*0.3</f>
        <v/>
      </c>
      <c r="I18" s="61">
        <f>820*(1+$M$5)</f>
        <v/>
      </c>
      <c r="J18" s="59" t="inlineStr">
        <is>
          <t>n/a</t>
        </is>
      </c>
      <c r="K18" s="649" t="n"/>
      <c r="L18" s="79" t="n"/>
      <c r="M18" s="79" t="n"/>
      <c r="N18" s="79" t="n"/>
      <c r="O18" s="46" t="n"/>
      <c r="P18" s="46" t="n"/>
    </row>
    <row r="19" ht="15" customHeight="1" s="700">
      <c r="A19" s="46" t="n"/>
      <c r="B19" s="54" t="inlineStr">
        <is>
          <t>Casa Roja (2.5) - Lo Illán</t>
        </is>
      </c>
      <c r="C19" s="58">
        <f>104000*(1+$M$5)/12/3*2/11</f>
        <v/>
      </c>
      <c r="D19" s="61" t="n"/>
      <c r="E19" s="61" t="n"/>
      <c r="F19" s="58">
        <f>104000*(1+$M$5)/12/3*2/11</f>
        <v/>
      </c>
      <c r="G19" s="61" t="n"/>
      <c r="H19" s="61" t="n"/>
      <c r="I19" s="58">
        <f>104000*(1+$M$5)/12/3*2/11</f>
        <v/>
      </c>
      <c r="J19" s="59" t="inlineStr">
        <is>
          <t>n/a</t>
        </is>
      </c>
      <c r="K19" s="649" t="n"/>
      <c r="L19" s="79">
        <f>C19*12</f>
        <v/>
      </c>
      <c r="M19" s="79">
        <f>F19*12</f>
        <v/>
      </c>
      <c r="N19" s="79">
        <f>I19*12</f>
        <v/>
      </c>
      <c r="O19" s="46" t="n"/>
      <c r="P19" s="46" t="n"/>
    </row>
    <row r="20" ht="15" customHeight="1" s="700">
      <c r="A20" s="46" t="n"/>
      <c r="B20" s="54" t="inlineStr">
        <is>
          <t>Casa Roja (2.5) - Contreras</t>
        </is>
      </c>
      <c r="C20" s="58">
        <f>104000*(1+$M$5)/12/3*3/11</f>
        <v/>
      </c>
      <c r="D20" s="61" t="n"/>
      <c r="E20" s="61" t="n"/>
      <c r="F20" s="58">
        <f>104000*(1+$M$5)/12/3*3/11</f>
        <v/>
      </c>
      <c r="G20" s="61" t="n"/>
      <c r="H20" s="61" t="n"/>
      <c r="I20" s="58">
        <f>104000*(1+$M$5)/12/3*3/11</f>
        <v/>
      </c>
      <c r="J20" s="59" t="inlineStr">
        <is>
          <t>n/a</t>
        </is>
      </c>
      <c r="K20" s="649" t="n"/>
      <c r="L20" s="79">
        <f>C20*12</f>
        <v/>
      </c>
      <c r="M20" s="79">
        <f>F20*12</f>
        <v/>
      </c>
      <c r="N20" s="79">
        <f>I20*12</f>
        <v/>
      </c>
      <c r="O20" s="46" t="n"/>
      <c r="P20" s="46" t="n"/>
    </row>
    <row r="21" ht="15" customHeight="1" s="700">
      <c r="A21" s="46" t="n"/>
      <c r="B21" s="54" t="inlineStr">
        <is>
          <t>Casa Roja (2.5) - Turbinto</t>
        </is>
      </c>
      <c r="C21" s="58">
        <f>104000*(1+$M$5)/12/3*2/11</f>
        <v/>
      </c>
      <c r="D21" s="61" t="n"/>
      <c r="E21" s="61" t="n"/>
      <c r="F21" s="58">
        <f>104000*(1+$M$5)/12/3*2/11</f>
        <v/>
      </c>
      <c r="G21" s="61" t="n"/>
      <c r="H21" s="61" t="n"/>
      <c r="I21" s="58">
        <f>104000*(1+$M$5)/12/3*2/11</f>
        <v/>
      </c>
      <c r="J21" s="59" t="inlineStr">
        <is>
          <t>n/a</t>
        </is>
      </c>
      <c r="K21" s="649" t="n"/>
      <c r="L21" s="79">
        <f>C21*12</f>
        <v/>
      </c>
      <c r="M21" s="79">
        <f>F21*12</f>
        <v/>
      </c>
      <c r="N21" s="79">
        <f>I21*12</f>
        <v/>
      </c>
      <c r="O21" s="46" t="n"/>
      <c r="P21" s="46" t="n"/>
    </row>
    <row r="22" ht="15" customHeight="1" s="700">
      <c r="A22" s="46" t="n"/>
      <c r="B22" s="54" t="inlineStr">
        <is>
          <t>Casa Roja (2.5) - Rodríguez I</t>
        </is>
      </c>
      <c r="C22" s="58">
        <f>104000*(1+$M$5)/12/3*1.5/11</f>
        <v/>
      </c>
      <c r="D22" s="58" t="n"/>
      <c r="E22" s="61" t="n"/>
      <c r="F22" s="58">
        <f>104000*(1+$M$5)/12/3*1.5/11</f>
        <v/>
      </c>
      <c r="G22" s="58" t="n"/>
      <c r="H22" s="61" t="n"/>
      <c r="I22" s="58">
        <f>104000*(1+$M$5)/12/3*1.5/11</f>
        <v/>
      </c>
      <c r="J22" s="59" t="n"/>
      <c r="K22" s="649" t="n"/>
      <c r="L22" s="79" t="n"/>
      <c r="M22" s="79" t="n"/>
      <c r="N22" s="79" t="n"/>
      <c r="O22" s="46" t="n"/>
      <c r="P22" s="46" t="n"/>
    </row>
    <row r="23" ht="15" customHeight="1" s="700">
      <c r="A23" s="46" t="n"/>
      <c r="B23" s="54" t="inlineStr">
        <is>
          <t>Casa Roja (2.5) - Rodríguez II</t>
        </is>
      </c>
      <c r="C23" s="58">
        <f>104000*(1+$M$5)/12/3*2.5/11</f>
        <v/>
      </c>
      <c r="D23" s="58" t="n"/>
      <c r="E23" s="61" t="n"/>
      <c r="F23" s="58">
        <f>104000*(1+$M$5)/12/3*2.5/11</f>
        <v/>
      </c>
      <c r="G23" s="58" t="n"/>
      <c r="H23" s="61" t="n"/>
      <c r="I23" s="58">
        <f>104000*(1+$M$5)/12/3*2.5/11</f>
        <v/>
      </c>
      <c r="J23" s="59" t="n"/>
      <c r="K23" s="649" t="n"/>
      <c r="L23" s="79" t="n"/>
      <c r="M23" s="79" t="n"/>
      <c r="N23" s="79" t="n"/>
      <c r="O23" s="46" t="n"/>
      <c r="P23" s="46" t="n"/>
    </row>
    <row r="24">
      <c r="A24" s="46" t="n"/>
      <c r="B24" s="68" t="inlineStr">
        <is>
          <t>2.6 no fras desde 4T/2012</t>
        </is>
      </c>
      <c r="C24" s="61">
        <f>950*(1+$M$5)</f>
        <v/>
      </c>
      <c r="D24" s="61">
        <f>C24*0.7</f>
        <v/>
      </c>
      <c r="E24" s="61">
        <f>C24*0.3</f>
        <v/>
      </c>
      <c r="F24" s="61">
        <f>1000*(1+$M$5)</f>
        <v/>
      </c>
      <c r="G24" s="61">
        <f>F24*0.5</f>
        <v/>
      </c>
      <c r="H24" s="61">
        <f>F24*0.3</f>
        <v/>
      </c>
      <c r="I24" s="61">
        <f>820*(1+$M$5)</f>
        <v/>
      </c>
      <c r="J24" s="59" t="inlineStr">
        <is>
          <t>n/a</t>
        </is>
      </c>
      <c r="K24" s="649" t="n"/>
      <c r="L24" s="79" t="n"/>
      <c r="M24" s="79" t="n"/>
      <c r="N24" s="79" t="n"/>
      <c r="O24" s="46" t="n"/>
      <c r="P24" s="46" t="n"/>
    </row>
    <row r="25" ht="15" customHeight="1" s="700">
      <c r="A25" s="46" t="n"/>
      <c r="B25" s="54" t="inlineStr">
        <is>
          <t xml:space="preserve">AE3000 (2.7) - Proyecto 1 </t>
        </is>
      </c>
      <c r="C25" s="65">
        <f>18000/12*(1+$M$8)</f>
        <v/>
      </c>
      <c r="D25" s="61">
        <f>C25*0.7</f>
        <v/>
      </c>
      <c r="E25" s="61">
        <f>C25*0.3</f>
        <v/>
      </c>
      <c r="F25" s="65">
        <f>11400/12*(1+$M$8)</f>
        <v/>
      </c>
      <c r="G25" s="61">
        <f>F25*0.5</f>
        <v/>
      </c>
      <c r="H25" s="61">
        <f>F25*0.3</f>
        <v/>
      </c>
      <c r="I25" s="65">
        <f>14760/12*(1+$M$8)</f>
        <v/>
      </c>
      <c r="J25" s="59" t="inlineStr">
        <is>
          <t>n/a</t>
        </is>
      </c>
      <c r="K25" s="649" t="n"/>
      <c r="L25" s="79">
        <f>C25*12</f>
        <v/>
      </c>
      <c r="M25" s="79">
        <f>F25*12</f>
        <v/>
      </c>
      <c r="N25" s="79">
        <f>I25*12</f>
        <v/>
      </c>
      <c r="O25" s="46" t="n"/>
      <c r="P25" s="46" t="n"/>
    </row>
    <row r="26" ht="15" customHeight="1" s="700">
      <c r="A26" s="46" t="n"/>
      <c r="B26" s="54" t="inlineStr">
        <is>
          <t>AE3000 (2.7)  - Proyecto 2</t>
        </is>
      </c>
      <c r="C26" s="66" t="n"/>
      <c r="D26" s="61">
        <f>C26*0.7</f>
        <v/>
      </c>
      <c r="E26" s="61">
        <f>C26*0.3</f>
        <v/>
      </c>
      <c r="F26" s="66" t="n"/>
      <c r="G26" s="61">
        <f>F26*0.5</f>
        <v/>
      </c>
      <c r="H26" s="61">
        <f>F26*0.3</f>
        <v/>
      </c>
      <c r="I26" s="66" t="n"/>
      <c r="J26" s="59" t="inlineStr">
        <is>
          <t>n/a</t>
        </is>
      </c>
      <c r="K26" s="649" t="n"/>
      <c r="L26" s="79">
        <f>SUM(L12:L25)</f>
        <v/>
      </c>
      <c r="M26" s="79">
        <f>SUM(M12:M25)</f>
        <v/>
      </c>
      <c r="N26" s="79">
        <f>SUM(N12:N25)</f>
        <v/>
      </c>
      <c r="O26" s="80">
        <f>SUM(L26:N26)</f>
        <v/>
      </c>
      <c r="P26" s="46" t="n"/>
    </row>
    <row r="27" ht="15" customHeight="1" s="700">
      <c r="A27" s="46" t="n"/>
      <c r="B27" s="54" t="inlineStr">
        <is>
          <t>AE3000 (2.7)  - Proyecto 3</t>
        </is>
      </c>
      <c r="C27" s="66" t="n"/>
      <c r="D27" s="61">
        <f>C27*0.7</f>
        <v/>
      </c>
      <c r="E27" s="61">
        <f>C27*0.3</f>
        <v/>
      </c>
      <c r="F27" s="66" t="n"/>
      <c r="G27" s="61">
        <f>F27*0.5</f>
        <v/>
      </c>
      <c r="H27" s="61">
        <f>F27*0.3</f>
        <v/>
      </c>
      <c r="I27" s="66" t="n"/>
      <c r="J27" s="59" t="inlineStr">
        <is>
          <t>n/a</t>
        </is>
      </c>
      <c r="K27" s="649" t="n"/>
      <c r="L27" s="46" t="n"/>
      <c r="M27" s="46" t="n"/>
      <c r="N27" s="46" t="n"/>
      <c r="O27" s="46" t="n"/>
      <c r="P27" s="46" t="n"/>
    </row>
    <row r="28" ht="15" customHeight="1" s="700">
      <c r="A28" s="46" t="n"/>
      <c r="B28" s="54" t="inlineStr">
        <is>
          <t>AE3000 (2.7)  - Proyecto 4</t>
        </is>
      </c>
      <c r="C28" s="66" t="n"/>
      <c r="D28" s="61">
        <f>C28*0.7</f>
        <v/>
      </c>
      <c r="E28" s="61">
        <f>C28*0.3</f>
        <v/>
      </c>
      <c r="F28" s="66" t="n"/>
      <c r="G28" s="61">
        <f>F28*0.5</f>
        <v/>
      </c>
      <c r="H28" s="61">
        <f>F28*0.3</f>
        <v/>
      </c>
      <c r="I28" s="66" t="n"/>
      <c r="J28" s="59" t="inlineStr">
        <is>
          <t>n/a</t>
        </is>
      </c>
      <c r="K28" s="649" t="n"/>
      <c r="L28" s="79">
        <f>L26-L25-L12</f>
        <v/>
      </c>
      <c r="M28" s="79">
        <f>M26-M25-M12</f>
        <v/>
      </c>
      <c r="N28" s="79">
        <f>N26-N25-N12</f>
        <v/>
      </c>
      <c r="O28" s="80">
        <f>SUM(L28:N28)</f>
        <v/>
      </c>
      <c r="P28" s="46" t="n"/>
    </row>
    <row r="29" ht="15" customHeight="1" s="700">
      <c r="A29" s="46" t="n"/>
      <c r="B29" s="54" t="inlineStr">
        <is>
          <t>AE3000 (2.7)  - Proyecto 5</t>
        </is>
      </c>
      <c r="C29" s="66" t="n"/>
      <c r="D29" s="61">
        <f>C29*0.7</f>
        <v/>
      </c>
      <c r="E29" s="61">
        <f>C29*0.3</f>
        <v/>
      </c>
      <c r="F29" s="66" t="n"/>
      <c r="G29" s="61">
        <f>F29*0.5</f>
        <v/>
      </c>
      <c r="H29" s="61">
        <f>F29*0.3</f>
        <v/>
      </c>
      <c r="I29" s="66" t="n"/>
      <c r="J29" s="59" t="inlineStr">
        <is>
          <t>n/a</t>
        </is>
      </c>
      <c r="K29" s="649" t="n"/>
      <c r="L29" s="46" t="n"/>
      <c r="M29" s="46" t="n"/>
      <c r="N29" s="46" t="n"/>
      <c r="O29" s="46" t="n"/>
      <c r="P29" s="46" t="n"/>
    </row>
    <row r="30" ht="15" customHeight="1" s="700">
      <c r="A30" s="46" t="n"/>
      <c r="B30" s="54" t="inlineStr">
        <is>
          <t>AE3000 (2.7)  - Proyecto 6</t>
        </is>
      </c>
      <c r="C30" s="67" t="n"/>
      <c r="D30" s="61">
        <f>C30*0.7</f>
        <v/>
      </c>
      <c r="E30" s="61">
        <f>C30*0.3</f>
        <v/>
      </c>
      <c r="F30" s="67" t="n"/>
      <c r="G30" s="61">
        <f>F30*0.5</f>
        <v/>
      </c>
      <c r="H30" s="61">
        <f>F30*0.3</f>
        <v/>
      </c>
      <c r="I30" s="67" t="n"/>
      <c r="J30" s="59" t="inlineStr">
        <is>
          <t>n/a</t>
        </is>
      </c>
      <c r="K30" s="649" t="n"/>
      <c r="L30" s="46" t="n"/>
      <c r="M30" s="46" t="n"/>
      <c r="N30" s="46" t="n"/>
      <c r="O30" s="46" t="n"/>
      <c r="P30" s="46" t="n"/>
    </row>
    <row r="31">
      <c r="A31" s="46" t="n"/>
      <c r="B31" s="68" t="inlineStr">
        <is>
          <t>2.8 no fras desde 4T/2012</t>
        </is>
      </c>
      <c r="C31" s="61">
        <f>950*(1+$M$5)</f>
        <v/>
      </c>
      <c r="D31" s="61">
        <f>C31*0.7</f>
        <v/>
      </c>
      <c r="E31" s="61">
        <f>C31*0.3</f>
        <v/>
      </c>
      <c r="F31" s="61">
        <f>1000*(1+$M$5)</f>
        <v/>
      </c>
      <c r="G31" s="61">
        <f>F31*0.5</f>
        <v/>
      </c>
      <c r="H31" s="61">
        <f>F31*0.3</f>
        <v/>
      </c>
      <c r="I31" s="61">
        <f>820*(1+$M$5)</f>
        <v/>
      </c>
      <c r="J31" s="59" t="inlineStr">
        <is>
          <t>n/a</t>
        </is>
      </c>
      <c r="K31" s="649" t="n"/>
      <c r="L31" s="46" t="n"/>
      <c r="M31" s="46" t="n"/>
    </row>
    <row r="32">
      <c r="A32" s="46" t="n"/>
      <c r="B32" s="68" t="inlineStr">
        <is>
          <t>2.9 no fras desde 4T/2012</t>
        </is>
      </c>
      <c r="C32" s="61">
        <f>950*(1+$M$5)</f>
        <v/>
      </c>
      <c r="D32" s="61">
        <f>C32*0.7</f>
        <v/>
      </c>
      <c r="E32" s="61">
        <f>C32*0.3</f>
        <v/>
      </c>
      <c r="F32" s="61">
        <f>1000*(1+$M$5)</f>
        <v/>
      </c>
      <c r="G32" s="61">
        <f>F32*0.5</f>
        <v/>
      </c>
      <c r="H32" s="61">
        <f>F32*0.3</f>
        <v/>
      </c>
      <c r="I32" s="61">
        <f>820*(1+$M$5)</f>
        <v/>
      </c>
      <c r="J32" s="59" t="inlineStr">
        <is>
          <t>n/a</t>
        </is>
      </c>
      <c r="K32" s="649" t="n"/>
      <c r="L32" s="46" t="n"/>
      <c r="M32" s="46" t="n"/>
    </row>
    <row r="33">
      <c r="A33" s="46" t="n"/>
      <c r="B33" s="68" t="inlineStr">
        <is>
          <t>2.10 no fras desde 10/2011</t>
        </is>
      </c>
      <c r="C33" s="69">
        <f>950*(1+$M$5)</f>
        <v/>
      </c>
      <c r="D33" s="69">
        <f>C33*0.7</f>
        <v/>
      </c>
      <c r="E33" s="70">
        <f>C33*0.3</f>
        <v/>
      </c>
      <c r="F33" s="69">
        <f>1000*(1+$M$5)</f>
        <v/>
      </c>
      <c r="G33" s="69">
        <f>F33*0.5</f>
        <v/>
      </c>
      <c r="H33" s="70">
        <f>F33*0.3</f>
        <v/>
      </c>
      <c r="I33" s="69">
        <f>820*(1+$M$5)</f>
        <v/>
      </c>
      <c r="J33" s="71" t="inlineStr">
        <is>
          <t>n/a</t>
        </is>
      </c>
      <c r="K33" s="649" t="n"/>
      <c r="L33" s="46" t="n"/>
      <c r="M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</row>
    <row r="35" ht="15" customHeight="1" s="700">
      <c r="A35" s="46" t="n"/>
      <c r="B35" s="72" t="inlineStr">
        <is>
          <t>Importes en negrita = Tarifas aplicadas actualmente</t>
        </is>
      </c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</row>
    <row r="37">
      <c r="A37" s="46" t="n"/>
      <c r="B37" s="46" t="n"/>
      <c r="C37" s="60">
        <f>C25+C21+C20+C19+C17+C15+C14+C9+C5</f>
        <v/>
      </c>
      <c r="D37" s="83">
        <f>C37/$C$38</f>
        <v/>
      </c>
      <c r="E37" s="46" t="n"/>
      <c r="F37" s="60">
        <f>F25+F21+F20+F19+F17+F15+F14+F9+F5</f>
        <v/>
      </c>
      <c r="G37" s="83">
        <f>F37/$C$38</f>
        <v/>
      </c>
      <c r="H37" s="46" t="n"/>
      <c r="I37" s="46" t="n"/>
      <c r="J37" s="46" t="n"/>
      <c r="K37" s="46" t="n"/>
      <c r="L37" s="46" t="n"/>
      <c r="M37" s="46" t="n"/>
    </row>
    <row r="38">
      <c r="A38" s="46" t="n"/>
      <c r="B38" s="82" t="inlineStr">
        <is>
          <t>Soc</t>
        </is>
      </c>
      <c r="C38" s="46">
        <f>7+4+1+1+3+1+48</f>
        <v/>
      </c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</row>
    <row r="39">
      <c r="A39" s="46" t="n"/>
      <c r="B39" s="46" t="n"/>
      <c r="D39" s="46" t="n"/>
      <c r="E39" s="46" t="n"/>
      <c r="G39" s="46" t="n"/>
      <c r="H39" s="46" t="n"/>
      <c r="I39" s="46" t="n"/>
      <c r="J39" s="46" t="n"/>
      <c r="K39" s="46" t="n"/>
      <c r="L39" s="46" t="n"/>
      <c r="M39" s="46" t="n"/>
    </row>
    <row r="40">
      <c r="A40" s="46" t="n"/>
      <c r="B40" s="82" t="inlineStr">
        <is>
          <t>Soc Renova</t>
        </is>
      </c>
      <c r="C40" s="46" t="n">
        <v>48</v>
      </c>
      <c r="D40" s="46" t="n"/>
      <c r="E40" s="46" t="n"/>
      <c r="F40" s="46" t="n">
        <v>48</v>
      </c>
      <c r="G40" s="46" t="n"/>
      <c r="H40" s="46" t="n"/>
      <c r="I40" s="46" t="n"/>
      <c r="J40" s="46" t="n"/>
      <c r="K40" s="46" t="n"/>
      <c r="L40" s="46" t="n"/>
      <c r="M40" s="46" t="n"/>
    </row>
    <row r="41">
      <c r="A41" s="46" t="n"/>
      <c r="B41" s="82" t="inlineStr">
        <is>
          <t>Soc No Renova</t>
        </is>
      </c>
      <c r="C41" s="46">
        <f>C38-C40</f>
        <v/>
      </c>
      <c r="D41" s="46" t="n"/>
      <c r="E41" s="46" t="n"/>
      <c r="F41" s="46">
        <f>C38-F40</f>
        <v/>
      </c>
      <c r="G41" s="46" t="n"/>
      <c r="H41" s="46" t="n"/>
      <c r="I41" s="46" t="n"/>
      <c r="J41" s="46" t="n"/>
      <c r="K41" s="46" t="n"/>
      <c r="L41" s="46" t="n"/>
      <c r="M41" s="46" t="n"/>
    </row>
    <row r="42">
      <c r="A42" s="46" t="n"/>
      <c r="B42" s="82" t="inlineStr">
        <is>
          <t>Ingresos Renova</t>
        </is>
      </c>
      <c r="C42" s="60">
        <f>C5</f>
        <v/>
      </c>
      <c r="D42" s="83">
        <f>C42/C40</f>
        <v/>
      </c>
      <c r="E42" s="46" t="n"/>
      <c r="F42" s="60">
        <f>F5</f>
        <v/>
      </c>
      <c r="G42" s="83">
        <f>F42/F40</f>
        <v/>
      </c>
      <c r="H42" s="46" t="n"/>
      <c r="I42" s="46" t="n"/>
      <c r="J42" s="46" t="n"/>
      <c r="K42" s="46" t="n"/>
      <c r="L42" s="46" t="n"/>
      <c r="M42" s="46" t="n"/>
    </row>
    <row r="43">
      <c r="A43" s="46" t="n"/>
      <c r="B43" s="82" t="inlineStr">
        <is>
          <t>Ingresos No Renova</t>
        </is>
      </c>
      <c r="C43" s="60">
        <f>C25+C21+C20+C19+C17+C15+C14+C9</f>
        <v/>
      </c>
      <c r="D43" s="83">
        <f>C43/C41</f>
        <v/>
      </c>
      <c r="E43" s="46" t="n"/>
      <c r="F43" s="60">
        <f>F25+F21+F20+F19+F17+F15+F14+F9</f>
        <v/>
      </c>
      <c r="G43" s="83">
        <f>F43/F41</f>
        <v/>
      </c>
      <c r="H43" s="46" t="n"/>
      <c r="I43" s="46" t="n"/>
      <c r="J43" s="46" t="n"/>
      <c r="K43" s="46" t="n"/>
      <c r="L43" s="46" t="n"/>
      <c r="M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</row>
    <row r="45">
      <c r="A45" s="46" t="n"/>
      <c r="B45" s="82" t="inlineStr">
        <is>
          <t>9Ren</t>
        </is>
      </c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</row>
    <row r="46">
      <c r="A46" s="46" t="n"/>
      <c r="B46" s="82" t="inlineStr">
        <is>
          <t>Soc</t>
        </is>
      </c>
      <c r="C46" s="46" t="n">
        <v>160</v>
      </c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</row>
    <row r="47">
      <c r="A47" s="46" t="n"/>
      <c r="B47" s="82" t="inlineStr">
        <is>
          <t>Ingresos 9Ren</t>
        </is>
      </c>
      <c r="C47" s="46">
        <f>D47*C46</f>
        <v/>
      </c>
      <c r="D47" s="83" t="n">
        <v>91.66666666666664</v>
      </c>
      <c r="E47" s="46">
        <f>D47*12</f>
        <v/>
      </c>
      <c r="F47" s="46" t="n"/>
      <c r="G47" s="46" t="n"/>
      <c r="H47" s="46" t="n"/>
      <c r="I47" s="46" t="n"/>
      <c r="J47" s="46" t="n"/>
      <c r="K47" s="46" t="n"/>
      <c r="L47" s="46" t="n"/>
      <c r="M47" s="46" t="n"/>
    </row>
    <row r="48">
      <c r="A48" s="46" t="n"/>
      <c r="B48" s="46" t="n"/>
      <c r="C48" s="46">
        <f>C47*12</f>
        <v/>
      </c>
      <c r="D48" s="46" t="n"/>
      <c r="E48" s="46">
        <f>E47*0.025</f>
        <v/>
      </c>
      <c r="F48" s="46" t="n"/>
      <c r="G48" s="46" t="n"/>
      <c r="H48" s="46" t="n"/>
      <c r="I48" s="46" t="n"/>
      <c r="J48" s="46" t="n"/>
      <c r="K48" s="46" t="n"/>
      <c r="L48" s="46" t="n"/>
      <c r="M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</row>
    <row r="168">
      <c r="A168" s="46" t="n"/>
      <c r="B168" s="46" t="n"/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6" t="n"/>
    </row>
    <row r="169">
      <c r="A169" s="46" t="n"/>
      <c r="B169" s="46" t="n"/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6" t="n"/>
    </row>
    <row r="170">
      <c r="A170" s="46" t="n"/>
      <c r="B170" s="46" t="n"/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6" t="n"/>
    </row>
    <row r="171">
      <c r="A171" s="46" t="n"/>
      <c r="B171" s="46" t="n"/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6" t="n"/>
    </row>
    <row r="172">
      <c r="A172" s="46" t="n"/>
      <c r="B172" s="46" t="n"/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6" t="n"/>
    </row>
    <row r="173">
      <c r="A173" s="46" t="n"/>
      <c r="B173" s="46" t="n"/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6" t="n"/>
    </row>
    <row r="174">
      <c r="A174" s="46" t="n"/>
      <c r="B174" s="46" t="n"/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6" t="n"/>
    </row>
    <row r="175">
      <c r="A175" s="46" t="n"/>
      <c r="B175" s="46" t="n"/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6" t="n"/>
    </row>
    <row r="176">
      <c r="A176" s="46" t="n"/>
      <c r="B176" s="46" t="n"/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6" t="n"/>
    </row>
    <row r="177">
      <c r="A177" s="46" t="n"/>
      <c r="B177" s="46" t="n"/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6" t="n"/>
    </row>
    <row r="178">
      <c r="A178" s="46" t="n"/>
      <c r="B178" s="46" t="n"/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6" t="n"/>
    </row>
    <row r="179">
      <c r="A179" s="46" t="n"/>
      <c r="B179" s="46" t="n"/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6" t="n"/>
    </row>
    <row r="180">
      <c r="A180" s="46" t="n"/>
      <c r="B180" s="46" t="n"/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6" t="n"/>
    </row>
    <row r="181">
      <c r="A181" s="46" t="n"/>
      <c r="B181" s="46" t="n"/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6" t="n"/>
    </row>
    <row r="182">
      <c r="A182" s="46" t="n"/>
      <c r="B182" s="46" t="n"/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6" t="n"/>
    </row>
  </sheetData>
  <mergeCells count="15">
    <mergeCell ref="I12:J12"/>
    <mergeCell ref="C5:C8"/>
    <mergeCell ref="I4:J4"/>
    <mergeCell ref="K13:K33"/>
    <mergeCell ref="F5:F8"/>
    <mergeCell ref="C4:E4"/>
    <mergeCell ref="F4:H4"/>
    <mergeCell ref="F12:H12"/>
    <mergeCell ref="A5:A8"/>
    <mergeCell ref="K5:K10"/>
    <mergeCell ref="E5:E8"/>
    <mergeCell ref="H5:H8"/>
    <mergeCell ref="C12:E12"/>
    <mergeCell ref="D5:D8"/>
    <mergeCell ref="G5:G8"/>
  </mergeCells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AE182"/>
  <sheetViews>
    <sheetView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N3" sqref="N3"/>
    </sheetView>
  </sheetViews>
  <sheetFormatPr baseColWidth="10" defaultColWidth="11.3828125" defaultRowHeight="14.15"/>
  <cols>
    <col width="4.53515625" customWidth="1" style="655" min="1" max="1"/>
    <col width="27.15234375" customWidth="1" style="655" min="2" max="2"/>
    <col width="13.15234375" customWidth="1" style="655" min="3" max="3"/>
    <col width="13.3828125" bestFit="1" customWidth="1" style="655" min="4" max="4"/>
    <col width="11" bestFit="1" customWidth="1" style="655" min="5" max="5"/>
    <col width="12.53515625" bestFit="1" customWidth="1" style="655" min="6" max="6"/>
    <col width="13.3828125" bestFit="1" customWidth="1" style="655" min="7" max="7"/>
    <col width="11" bestFit="1" customWidth="1" style="655" min="8" max="8"/>
    <col width="15" customWidth="1" style="655" min="9" max="9"/>
    <col width="9.3828125" customWidth="1" style="655" min="10" max="10"/>
    <col width="13.3828125" bestFit="1" customWidth="1" style="655" min="11" max="11"/>
    <col width="9.3828125" customWidth="1" style="655" min="12" max="12"/>
    <col width="16.3828125" bestFit="1" customWidth="1" style="655" min="13" max="13"/>
    <col width="11.3828125" bestFit="1" customWidth="1" style="655" min="14" max="14"/>
    <col width="19.53515625" bestFit="1" customWidth="1" style="655" min="15" max="15"/>
    <col width="11.3828125" customWidth="1" style="655" min="16" max="17"/>
    <col width="12.3828125" bestFit="1" customWidth="1" style="655" min="18" max="18"/>
    <col width="11.3828125" customWidth="1" style="655" min="19" max="29"/>
    <col width="11.3828125" customWidth="1" style="655" min="30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  <c r="Q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  <c r="Q2" s="46" t="n"/>
    </row>
    <row r="3" ht="69" customHeight="1" s="700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K3" s="87" t="n"/>
      <c r="M3" s="46" t="n"/>
      <c r="N3" s="46" t="n"/>
      <c r="O3" s="46" t="n"/>
      <c r="P3" s="46" t="n"/>
      <c r="Q3" s="46" t="n"/>
    </row>
    <row r="4" ht="18" customHeight="1" s="700">
      <c r="A4" s="46" t="n"/>
      <c r="B4" s="51" t="inlineStr">
        <is>
          <t>FONDO I</t>
        </is>
      </c>
      <c r="C4" s="650" t="inlineStr">
        <is>
          <t>SPV</t>
        </is>
      </c>
      <c r="D4" s="651" t="n"/>
      <c r="E4" s="644" t="n"/>
      <c r="F4" s="652" t="inlineStr">
        <is>
          <t>ACC</t>
        </is>
      </c>
      <c r="G4" s="651" t="n"/>
      <c r="H4" s="644" t="n"/>
      <c r="I4" s="643" t="inlineStr">
        <is>
          <t>O&amp;M</t>
        </is>
      </c>
      <c r="J4" s="644" t="n"/>
      <c r="K4" s="88" t="inlineStr">
        <is>
          <t>Consult</t>
        </is>
      </c>
      <c r="L4" s="46" t="n"/>
      <c r="M4" s="46" t="n"/>
      <c r="N4" s="52">
        <f>1*(1+P4)*(1+P5)*(1+P6)*(1+P8)</f>
        <v/>
      </c>
      <c r="O4" s="46" t="inlineStr">
        <is>
          <t>Revisión 2009-2010</t>
        </is>
      </c>
      <c r="P4" s="53" t="n">
        <v>0.0208</v>
      </c>
      <c r="Q4" s="46" t="n"/>
    </row>
    <row r="5" ht="15" customHeight="1" s="700">
      <c r="A5" s="654" t="inlineStr">
        <is>
          <t>Renova</t>
        </is>
      </c>
      <c r="B5" s="54" t="inlineStr">
        <is>
          <t>Valverde</t>
        </is>
      </c>
      <c r="C5" s="645">
        <f>3750*0.4*(1+$N$5)</f>
        <v/>
      </c>
      <c r="D5" s="653">
        <f>C5*0.7</f>
        <v/>
      </c>
      <c r="E5" s="653">
        <f>C5*0.3*(1+$N$5)</f>
        <v/>
      </c>
      <c r="F5" s="645">
        <f>3400*0.75*(1+$N$5)</f>
        <v/>
      </c>
      <c r="G5" s="653">
        <f>F5*0.5</f>
        <v/>
      </c>
      <c r="H5" s="653">
        <f>F5*0.3</f>
        <v/>
      </c>
      <c r="I5" s="55">
        <f>820*0.4*(1+$N$5)</f>
        <v/>
      </c>
      <c r="J5" s="56" t="inlineStr">
        <is>
          <t>n/a</t>
        </is>
      </c>
      <c r="K5" s="55">
        <f>2500*2500/(100+300+2500+1600+4000)*(1+$N$5)/25</f>
        <v/>
      </c>
      <c r="L5" s="648" t="inlineStr">
        <is>
          <t>Gastos generales: 3,5 % del honorario global</t>
        </is>
      </c>
      <c r="M5" s="75" t="inlineStr">
        <is>
          <t>Revisión 2013</t>
        </is>
      </c>
      <c r="N5" s="85">
        <f>N4-1</f>
        <v/>
      </c>
      <c r="O5" s="46" t="inlineStr">
        <is>
          <t>Revisión 2010-2011</t>
        </is>
      </c>
      <c r="P5" s="53" t="n">
        <v>0.029</v>
      </c>
      <c r="Q5" s="46" t="n"/>
      <c r="R5" s="91" t="n"/>
    </row>
    <row r="6" ht="15" customHeight="1" s="700">
      <c r="B6" s="54" t="inlineStr">
        <is>
          <t>Castuera</t>
        </is>
      </c>
      <c r="C6" s="646" t="n"/>
      <c r="D6" s="646" t="n"/>
      <c r="E6" s="646" t="n"/>
      <c r="F6" s="646" t="n"/>
      <c r="G6" s="646" t="n"/>
      <c r="H6" s="646" t="n"/>
      <c r="I6" s="58">
        <f>820*0.4*(1+$N$5)</f>
        <v/>
      </c>
      <c r="J6" s="59" t="inlineStr">
        <is>
          <t>n/a</t>
        </is>
      </c>
      <c r="K6" s="55">
        <f>2500*2500/(100+300+2500+1600+4000)*(1+$N$5)/25</f>
        <v/>
      </c>
      <c r="L6" s="649" t="n"/>
      <c r="M6" s="46" t="n"/>
      <c r="N6" s="46" t="n"/>
      <c r="O6" s="73" t="inlineStr">
        <is>
          <t>Revisión 2011-2012</t>
        </is>
      </c>
      <c r="P6" s="74" t="n">
        <v>-0.00028</v>
      </c>
      <c r="Q6" s="73" t="inlineStr">
        <is>
          <t>Nuevo Index</t>
        </is>
      </c>
    </row>
    <row r="7" ht="15" customHeight="1" s="700">
      <c r="B7" s="54" t="inlineStr">
        <is>
          <t>Paiporta</t>
        </is>
      </c>
      <c r="C7" s="646" t="n"/>
      <c r="D7" s="646" t="n"/>
      <c r="E7" s="646" t="n"/>
      <c r="F7" s="646" t="n"/>
      <c r="G7" s="646" t="n"/>
      <c r="H7" s="646" t="n"/>
      <c r="I7" s="58">
        <f>820*0.4*(1+$N$5)</f>
        <v/>
      </c>
      <c r="J7" s="59" t="inlineStr">
        <is>
          <t>n/a</t>
        </is>
      </c>
      <c r="K7" s="55">
        <f>2500*2500/(100+300+2500+1600+4000)*(1+$N$5)/25</f>
        <v/>
      </c>
      <c r="L7" s="649" t="n"/>
      <c r="M7" s="60" t="n"/>
      <c r="N7" s="77">
        <f>1*(1+P4)*(1+P5)*(1+P7)*(1+P9)</f>
        <v/>
      </c>
      <c r="O7" s="76" t="inlineStr">
        <is>
          <t>AE3000 - 2011/2012</t>
        </is>
      </c>
      <c r="P7" s="53" t="n">
        <v>0.029</v>
      </c>
      <c r="Q7" s="46" t="n"/>
    </row>
    <row r="8" ht="15" customHeight="1" s="700">
      <c r="B8" s="54" t="inlineStr">
        <is>
          <t>Bonaire</t>
        </is>
      </c>
      <c r="C8" s="647" t="n"/>
      <c r="D8" s="647" t="n"/>
      <c r="E8" s="647" t="n"/>
      <c r="F8" s="647" t="n"/>
      <c r="G8" s="647" t="n"/>
      <c r="H8" s="647" t="n"/>
      <c r="I8" s="58">
        <f>820*0.4*(1+$N$5)</f>
        <v/>
      </c>
      <c r="J8" s="59" t="inlineStr">
        <is>
          <t>n/a</t>
        </is>
      </c>
      <c r="K8" s="55">
        <f>2500*2500/(100+300+2500+1600+4000)*(1+$N$5)/25</f>
        <v/>
      </c>
      <c r="L8" s="649" t="n"/>
      <c r="M8" s="76" t="inlineStr">
        <is>
          <t>Revisión AE3000</t>
        </is>
      </c>
      <c r="N8" s="85">
        <f>N7-1</f>
        <v/>
      </c>
      <c r="O8" s="84" t="inlineStr">
        <is>
          <t>Revisión 2012-2013</t>
        </is>
      </c>
      <c r="P8" s="85" t="n">
        <v>-0.00322</v>
      </c>
      <c r="Q8" s="73" t="inlineStr">
        <is>
          <t>Nuevo Index</t>
        </is>
      </c>
    </row>
    <row r="9" ht="15" customHeight="1" s="700">
      <c r="A9" s="46" t="n"/>
      <c r="B9" s="54" t="inlineStr">
        <is>
          <t>Coreses</t>
        </is>
      </c>
      <c r="C9" s="58">
        <f>980*(1+$N$5)</f>
        <v/>
      </c>
      <c r="D9" s="61">
        <f>C9*0.7</f>
        <v/>
      </c>
      <c r="E9" s="61">
        <f>C9*0.3</f>
        <v/>
      </c>
      <c r="F9" s="58">
        <f>980*(1+$N$5)</f>
        <v/>
      </c>
      <c r="G9" s="61">
        <f>F9*0.5</f>
        <v/>
      </c>
      <c r="H9" s="61">
        <f>G9*0.3</f>
        <v/>
      </c>
      <c r="I9" s="58">
        <f>820*(1+$N$5)</f>
        <v/>
      </c>
      <c r="J9" s="59" t="inlineStr">
        <is>
          <t>n/a</t>
        </is>
      </c>
      <c r="K9" s="55">
        <f>2500*4000/(100+300+2500+1600+4000)*(1+$N$5)</f>
        <v/>
      </c>
      <c r="L9" s="649" t="n"/>
      <c r="M9" s="46" t="n"/>
      <c r="N9" s="46" t="n"/>
      <c r="O9" s="84" t="inlineStr">
        <is>
          <t>AE3000 - 2012/2013</t>
        </is>
      </c>
      <c r="P9" s="85" t="n">
        <v>0.00264</v>
      </c>
      <c r="Q9" s="46" t="n"/>
    </row>
    <row r="10" ht="15" customHeight="1" s="700">
      <c r="A10" s="46" t="n"/>
      <c r="B10" s="68" t="inlineStr">
        <is>
          <t>Ejea de los Caballeros (1.2)</t>
        </is>
      </c>
      <c r="C10" s="61">
        <f>950*0.4*(1+$N$5)</f>
        <v/>
      </c>
      <c r="D10" s="61">
        <f>C10*0.7</f>
        <v/>
      </c>
      <c r="E10" s="61">
        <f>C10*0.3</f>
        <v/>
      </c>
      <c r="F10" s="61">
        <f>1000*0.75*(1+$N$5)</f>
        <v/>
      </c>
      <c r="G10" s="61">
        <f>F10*0.5</f>
        <v/>
      </c>
      <c r="H10" s="61">
        <f>F10*0.3</f>
        <v/>
      </c>
      <c r="I10" s="61">
        <f>820*(1+$N$5)</f>
        <v/>
      </c>
      <c r="J10" s="59" t="inlineStr">
        <is>
          <t>n/a</t>
        </is>
      </c>
      <c r="K10" s="89" t="n"/>
      <c r="L10" s="649" t="n"/>
      <c r="M10" s="46" t="n"/>
      <c r="N10" s="46" t="n"/>
      <c r="O10" s="46" t="n"/>
      <c r="P10" s="46" t="n"/>
      <c r="Q10" s="46" t="n"/>
      <c r="T10" s="656" t="inlineStr">
        <is>
          <t>TOTAL FACTURADO EJERCICIO</t>
        </is>
      </c>
      <c r="X10" s="656" t="inlineStr">
        <is>
          <t>CONTRATO</t>
        </is>
      </c>
    </row>
    <row r="11">
      <c r="A11" s="46" t="n"/>
      <c r="B11" s="46" t="n"/>
      <c r="C11" s="60" t="n"/>
      <c r="D11" s="60" t="n"/>
      <c r="E11" s="60" t="n"/>
      <c r="F11" s="60" t="n"/>
      <c r="G11" s="60" t="n"/>
      <c r="H11" s="60" t="n"/>
      <c r="I11" s="60" t="n"/>
      <c r="J11" s="46" t="n"/>
      <c r="K11" s="46" t="n"/>
      <c r="L11" s="46" t="n"/>
      <c r="M11" s="46" t="n"/>
      <c r="N11" s="46" t="n"/>
      <c r="O11" s="46" t="n"/>
      <c r="P11" s="46" t="n"/>
      <c r="Q11" s="46" t="n"/>
      <c r="T11" s="94" t="inlineStr">
        <is>
          <t>SPV</t>
        </is>
      </c>
      <c r="U11" s="94" t="inlineStr">
        <is>
          <t>ACC</t>
        </is>
      </c>
      <c r="V11" s="94" t="inlineStr">
        <is>
          <t>O&amp;M</t>
        </is>
      </c>
      <c r="W11" s="94" t="inlineStr">
        <is>
          <t>Cons</t>
        </is>
      </c>
      <c r="X11" s="94" t="inlineStr">
        <is>
          <t>SPV</t>
        </is>
      </c>
      <c r="Y11" s="94" t="inlineStr">
        <is>
          <t>ACC</t>
        </is>
      </c>
      <c r="Z11" s="94" t="inlineStr">
        <is>
          <t>O&amp;M</t>
        </is>
      </c>
      <c r="AA11" s="94" t="inlineStr">
        <is>
          <t>Cons</t>
        </is>
      </c>
    </row>
    <row r="12" ht="18" customHeight="1" s="700">
      <c r="A12" s="46" t="n"/>
      <c r="B12" s="63" t="inlineStr">
        <is>
          <t>FONDO II</t>
        </is>
      </c>
      <c r="C12" s="650" t="inlineStr">
        <is>
          <t>SPV</t>
        </is>
      </c>
      <c r="D12" s="651" t="n"/>
      <c r="E12" s="644" t="n"/>
      <c r="F12" s="652" t="inlineStr">
        <is>
          <t>ACC</t>
        </is>
      </c>
      <c r="G12" s="651" t="n"/>
      <c r="H12" s="644" t="n"/>
      <c r="I12" s="643" t="inlineStr">
        <is>
          <t>O&amp;M</t>
        </is>
      </c>
      <c r="J12" s="644" t="n"/>
      <c r="K12" s="88" t="n"/>
      <c r="L12" s="46" t="n"/>
      <c r="M12" s="79">
        <f>C5*12</f>
        <v/>
      </c>
      <c r="N12" s="79">
        <f>F5*12</f>
        <v/>
      </c>
      <c r="O12" s="79">
        <f>SUM(I5:I8)*12</f>
        <v/>
      </c>
      <c r="P12" s="79">
        <f>SUM(K5:K8)*12</f>
        <v/>
      </c>
      <c r="Q12" s="92">
        <f>SUM(M12:P12)</f>
        <v/>
      </c>
      <c r="R12" s="72" t="inlineStr">
        <is>
          <t>RENOVA</t>
        </is>
      </c>
    </row>
    <row r="13" ht="15" customHeight="1" s="700">
      <c r="A13" s="46" t="n"/>
      <c r="B13" s="64" t="inlineStr">
        <is>
          <t>Todas 2.1 - 2.10</t>
        </is>
      </c>
      <c r="C13" s="61">
        <f>950*(1+$N$5)</f>
        <v/>
      </c>
      <c r="D13" s="61">
        <f>C13*0.7</f>
        <v/>
      </c>
      <c r="E13" s="61">
        <f>C13*0.3</f>
        <v/>
      </c>
      <c r="F13" s="61">
        <f>1000*(1+$N$5)</f>
        <v/>
      </c>
      <c r="G13" s="61">
        <f>F13*0.5</f>
        <v/>
      </c>
      <c r="H13" s="61">
        <f>F13*0.3</f>
        <v/>
      </c>
      <c r="I13" s="61">
        <f>820*(1+$N$5)</f>
        <v/>
      </c>
      <c r="J13" s="59" t="inlineStr">
        <is>
          <t>n/a</t>
        </is>
      </c>
      <c r="K13" s="89" t="n"/>
      <c r="L13" s="648" t="inlineStr">
        <is>
          <t>Gastos generales: 3,5 % del honorario global</t>
        </is>
      </c>
      <c r="M13" s="79">
        <f>C9*12</f>
        <v/>
      </c>
      <c r="N13" s="79">
        <f>F9*12</f>
        <v/>
      </c>
      <c r="O13" s="79">
        <f>I9*12</f>
        <v/>
      </c>
      <c r="P13" s="79">
        <f>K9*12</f>
        <v/>
      </c>
      <c r="Q13" s="92">
        <f>SUM(M13:P13)</f>
        <v/>
      </c>
      <c r="R13" s="72" t="inlineStr">
        <is>
          <t>CORESES</t>
        </is>
      </c>
    </row>
    <row r="14" ht="15" customHeight="1" s="700">
      <c r="A14" s="46" t="n"/>
      <c r="B14" s="54" t="inlineStr">
        <is>
          <t>Villamartín</t>
        </is>
      </c>
      <c r="C14" s="58">
        <f>1200*(1+$N$5)</f>
        <v/>
      </c>
      <c r="D14" s="61">
        <f>C14*0.7</f>
        <v/>
      </c>
      <c r="E14" s="61">
        <f>C14*0.3</f>
        <v/>
      </c>
      <c r="F14" s="58">
        <f>1400*(1+$N$5)</f>
        <v/>
      </c>
      <c r="G14" s="61">
        <f>F14*0.5</f>
        <v/>
      </c>
      <c r="H14" s="61">
        <f>F14*0.3</f>
        <v/>
      </c>
      <c r="I14" s="58">
        <f>820*(1+$N$5)</f>
        <v/>
      </c>
      <c r="J14" s="59" t="inlineStr">
        <is>
          <t>n/a</t>
        </is>
      </c>
      <c r="K14" s="55">
        <f>2500*5450/(1000+5450+3160)*(1+N5)</f>
        <v/>
      </c>
      <c r="L14" s="649" t="n"/>
      <c r="M14" s="79">
        <f>C14*12</f>
        <v/>
      </c>
      <c r="N14" s="79">
        <f>F14*12</f>
        <v/>
      </c>
      <c r="O14" s="79">
        <f>I14*12</f>
        <v/>
      </c>
      <c r="P14" s="79">
        <f>K14*12</f>
        <v/>
      </c>
      <c r="Q14" s="92">
        <f>SUM(M14:P14)</f>
        <v/>
      </c>
      <c r="R14" s="72" t="inlineStr">
        <is>
          <t>VILLAMARTÍN</t>
        </is>
      </c>
    </row>
    <row r="15" ht="15" customHeight="1" s="700">
      <c r="A15" s="46" t="n"/>
      <c r="B15" s="54" t="inlineStr">
        <is>
          <t>Sollana (2.1)</t>
        </is>
      </c>
      <c r="C15" s="58">
        <f>950*(1+$N$5)</f>
        <v/>
      </c>
      <c r="D15" s="61">
        <f>C15*0.7</f>
        <v/>
      </c>
      <c r="E15" s="61">
        <f>C15*0.3</f>
        <v/>
      </c>
      <c r="F15" s="58">
        <f>1000*(1+$N$5)</f>
        <v/>
      </c>
      <c r="G15" s="61">
        <f>F15*0.5</f>
        <v/>
      </c>
      <c r="H15" s="61">
        <f>F15*0.3</f>
        <v/>
      </c>
      <c r="I15" s="58">
        <f>820*(1+$N$5)</f>
        <v/>
      </c>
      <c r="J15" s="59" t="inlineStr">
        <is>
          <t>n/a</t>
        </is>
      </c>
      <c r="K15" s="55">
        <f>2500*1000/(1000+5450+3160)*(1+N5)</f>
        <v/>
      </c>
      <c r="L15" s="649" t="n"/>
      <c r="M15" s="79">
        <f>C15*12</f>
        <v/>
      </c>
      <c r="N15" s="79">
        <f>F15*12</f>
        <v/>
      </c>
      <c r="O15" s="79">
        <f>I15*12</f>
        <v/>
      </c>
      <c r="P15" s="79">
        <f>K15*12</f>
        <v/>
      </c>
      <c r="Q15" s="92">
        <f>SUM(M15:P15)</f>
        <v/>
      </c>
      <c r="R15" s="72" t="inlineStr">
        <is>
          <t>SOLLANA</t>
        </is>
      </c>
      <c r="T15" s="655">
        <f>Resumen!#REF!*4</f>
        <v/>
      </c>
      <c r="U15" s="655">
        <f>Resumen!#REF!*4</f>
        <v/>
      </c>
      <c r="V15" s="655">
        <f>Resumen!#REF!*4</f>
        <v/>
      </c>
      <c r="W15" s="655">
        <f>Resumen!#REF!*4</f>
        <v/>
      </c>
      <c r="X15" s="92">
        <f>M15</f>
        <v/>
      </c>
      <c r="Y15" s="92">
        <f>N15</f>
        <v/>
      </c>
      <c r="Z15" s="92">
        <f>O15</f>
        <v/>
      </c>
      <c r="AA15" s="95">
        <f>2500/6*12</f>
        <v/>
      </c>
      <c r="AB15" s="92">
        <f>X15-T15</f>
        <v/>
      </c>
      <c r="AC15" s="92">
        <f>Y15-U15</f>
        <v/>
      </c>
      <c r="AD15" s="92">
        <f>Z15-V15</f>
        <v/>
      </c>
      <c r="AE15" s="92">
        <f>AA15-W15</f>
        <v/>
      </c>
    </row>
    <row r="16" ht="15" customHeight="1" s="700">
      <c r="A16" s="46" t="n"/>
      <c r="B16" s="68" t="inlineStr">
        <is>
          <t>Bailadero (2.2) no fras desde 4T/2012</t>
        </is>
      </c>
      <c r="C16" s="61">
        <f>950*(1+$N$5)</f>
        <v/>
      </c>
      <c r="D16" s="61">
        <f>C16*0.7</f>
        <v/>
      </c>
      <c r="E16" s="61">
        <f>C16*0.3</f>
        <v/>
      </c>
      <c r="F16" s="61">
        <f>1000*(1+$N$5)</f>
        <v/>
      </c>
      <c r="G16" s="61">
        <f>F16*0.5</f>
        <v/>
      </c>
      <c r="H16" s="61">
        <f>F16*0.3</f>
        <v/>
      </c>
      <c r="I16" s="61">
        <f>820*(1+$N$5)</f>
        <v/>
      </c>
      <c r="J16" s="59" t="inlineStr">
        <is>
          <t>n/a</t>
        </is>
      </c>
      <c r="K16" s="55" t="n"/>
      <c r="L16" s="649" t="n"/>
      <c r="M16" s="79" t="n"/>
      <c r="N16" s="79" t="n"/>
      <c r="O16" s="79" t="n"/>
      <c r="P16" s="79" t="n"/>
      <c r="R16" s="72" t="n"/>
    </row>
    <row r="17" ht="15" customHeight="1" s="700">
      <c r="A17" s="46" t="n"/>
      <c r="B17" s="54" t="inlineStr">
        <is>
          <t>Artá (2.3)</t>
        </is>
      </c>
      <c r="C17" s="58">
        <f>950*(1+$N$5)</f>
        <v/>
      </c>
      <c r="D17" s="61">
        <f>C17*0.7</f>
        <v/>
      </c>
      <c r="E17" s="61">
        <f>C17*0.3</f>
        <v/>
      </c>
      <c r="F17" s="58">
        <f>1000*(1+$N$5)</f>
        <v/>
      </c>
      <c r="G17" s="61">
        <f>F17*0.5</f>
        <v/>
      </c>
      <c r="H17" s="61">
        <f>F17*0.3</f>
        <v/>
      </c>
      <c r="I17" s="58">
        <f>820*(1+$N$5)</f>
        <v/>
      </c>
      <c r="J17" s="59" t="inlineStr">
        <is>
          <t>n/a</t>
        </is>
      </c>
      <c r="K17" s="55">
        <f>2500*3160/(1000+5450+3160)*(1+N5)</f>
        <v/>
      </c>
      <c r="L17" s="649" t="n"/>
      <c r="M17" s="79">
        <f>C17*12</f>
        <v/>
      </c>
      <c r="N17" s="79">
        <f>F17*12</f>
        <v/>
      </c>
      <c r="O17" s="79">
        <f>I17*12</f>
        <v/>
      </c>
      <c r="P17" s="79">
        <f>K17*12</f>
        <v/>
      </c>
      <c r="Q17" s="92">
        <f>SUM(M17:P17)</f>
        <v/>
      </c>
      <c r="R17" s="72" t="inlineStr">
        <is>
          <t>ARTÀ</t>
        </is>
      </c>
    </row>
    <row r="18" ht="15" customHeight="1" s="700">
      <c r="A18" s="46" t="n"/>
      <c r="B18" s="68" t="inlineStr">
        <is>
          <t>2.4 no fras desde 4T/2012</t>
        </is>
      </c>
      <c r="C18" s="61">
        <f>950*(1+$N$5)</f>
        <v/>
      </c>
      <c r="D18" s="61">
        <f>C18*0.7</f>
        <v/>
      </c>
      <c r="E18" s="61">
        <f>C18*0.3</f>
        <v/>
      </c>
      <c r="F18" s="61">
        <f>1000*(1+$N$5)</f>
        <v/>
      </c>
      <c r="G18" s="61">
        <f>F18*0.5</f>
        <v/>
      </c>
      <c r="H18" s="61">
        <f>F18*0.3</f>
        <v/>
      </c>
      <c r="I18" s="61">
        <f>820*(1+$N$5)</f>
        <v/>
      </c>
      <c r="J18" s="59" t="inlineStr">
        <is>
          <t>n/a</t>
        </is>
      </c>
      <c r="K18" s="89" t="n"/>
      <c r="L18" s="649" t="n"/>
      <c r="M18" s="79" t="n"/>
      <c r="N18" s="79" t="n"/>
      <c r="O18" s="79" t="n"/>
      <c r="P18" s="79" t="n"/>
      <c r="R18" s="72" t="n"/>
    </row>
    <row r="19" ht="15" customHeight="1" s="700">
      <c r="A19" s="46" t="n"/>
      <c r="B19" s="54" t="inlineStr">
        <is>
          <t>Casa Roja (2.5) - Lo Illán</t>
        </is>
      </c>
      <c r="C19" s="58">
        <f>104000*(1+$N$5)/12/3*2/11</f>
        <v/>
      </c>
      <c r="D19" s="61" t="n"/>
      <c r="E19" s="61" t="n"/>
      <c r="F19" s="58">
        <f>104000*(1+$N$5)/12/3*2/11</f>
        <v/>
      </c>
      <c r="G19" s="61" t="n"/>
      <c r="H19" s="61" t="n"/>
      <c r="I19" s="58">
        <f>104000*(1+$N$5)/12/3*2/11</f>
        <v/>
      </c>
      <c r="J19" s="59" t="inlineStr">
        <is>
          <t>n/a</t>
        </is>
      </c>
      <c r="K19" s="55">
        <f>5000*2/7*(1+N5)</f>
        <v/>
      </c>
      <c r="L19" s="649" t="n"/>
      <c r="M19" s="79">
        <f>C19*12</f>
        <v/>
      </c>
      <c r="N19" s="79">
        <f>F19*12</f>
        <v/>
      </c>
      <c r="O19" s="79">
        <f>I19*12</f>
        <v/>
      </c>
      <c r="P19" s="79">
        <f>K19*12</f>
        <v/>
      </c>
      <c r="Q19" s="92">
        <f>SUM(M19:P19)</f>
        <v/>
      </c>
      <c r="R19" s="72" t="inlineStr">
        <is>
          <t>LO ILLÁN</t>
        </is>
      </c>
      <c r="T19" s="655">
        <f>Resumen!#REF!*4</f>
        <v/>
      </c>
      <c r="U19" s="655">
        <f>Resumen!#REF!*4</f>
        <v/>
      </c>
      <c r="V19" s="655">
        <f>Resumen!#REF!*4</f>
        <v/>
      </c>
      <c r="W19" s="655">
        <f>Resumen!#REF!*4</f>
        <v/>
      </c>
      <c r="X19" s="655">
        <f>950*(1+$N$5)*12</f>
        <v/>
      </c>
      <c r="Y19" s="655">
        <f>1000*(1+$N$5)*12</f>
        <v/>
      </c>
      <c r="Z19" s="655">
        <f>820*(1+$N$5)*12</f>
        <v/>
      </c>
      <c r="AA19" s="95">
        <f>2500/6*12</f>
        <v/>
      </c>
      <c r="AB19" s="92">
        <f>X19-T19</f>
        <v/>
      </c>
      <c r="AC19" s="92">
        <f>Y19-U19</f>
        <v/>
      </c>
      <c r="AD19" s="92">
        <f>Z19-V19</f>
        <v/>
      </c>
      <c r="AE19" s="92">
        <f>AA19-W19</f>
        <v/>
      </c>
    </row>
    <row r="20" ht="15" customHeight="1" s="700">
      <c r="A20" s="46" t="n"/>
      <c r="B20" s="54" t="inlineStr">
        <is>
          <t>Casa Roja (2.5) - Contreras</t>
        </is>
      </c>
      <c r="C20" s="58">
        <f>104000*(1+$N$5)/12/3*3/11</f>
        <v/>
      </c>
      <c r="D20" s="61" t="n"/>
      <c r="E20" s="61" t="n"/>
      <c r="F20" s="58">
        <f>104000*(1+$N$5)/12/3*3/11</f>
        <v/>
      </c>
      <c r="G20" s="61" t="n"/>
      <c r="H20" s="61" t="n"/>
      <c r="I20" s="58">
        <f>104000*(1+$N$5)/12/3*3/11</f>
        <v/>
      </c>
      <c r="J20" s="59" t="inlineStr">
        <is>
          <t>n/a</t>
        </is>
      </c>
      <c r="K20" s="55">
        <f>5000*3/7*(1+N5)</f>
        <v/>
      </c>
      <c r="L20" s="649" t="n"/>
      <c r="M20" s="79">
        <f>C20*12</f>
        <v/>
      </c>
      <c r="N20" s="79">
        <f>F20*12</f>
        <v/>
      </c>
      <c r="O20" s="79">
        <f>I20*12</f>
        <v/>
      </c>
      <c r="P20" s="79">
        <f>K20*12</f>
        <v/>
      </c>
      <c r="Q20" s="92">
        <f>SUM(M20:P20)</f>
        <v/>
      </c>
      <c r="R20" s="72" t="inlineStr">
        <is>
          <t>CONTRERAS</t>
        </is>
      </c>
      <c r="T20" s="655">
        <f>Resumen!#REF!*4</f>
        <v/>
      </c>
      <c r="U20" s="655">
        <f>Resumen!#REF!*4</f>
        <v/>
      </c>
      <c r="V20" s="655">
        <f>Resumen!#REF!*4</f>
        <v/>
      </c>
      <c r="W20" s="655">
        <f>Resumen!#REF!*4</f>
        <v/>
      </c>
      <c r="X20" s="655">
        <f>950*(1+$N$5)*12</f>
        <v/>
      </c>
      <c r="Y20" s="655">
        <f>1000*(1+$N$5)*12</f>
        <v/>
      </c>
      <c r="Z20" s="655">
        <f>820*(1+$N$5)*12</f>
        <v/>
      </c>
      <c r="AA20" s="95">
        <f>2500/6*12</f>
        <v/>
      </c>
      <c r="AB20" s="92">
        <f>X20-T20</f>
        <v/>
      </c>
      <c r="AC20" s="92">
        <f>Y20-U20</f>
        <v/>
      </c>
      <c r="AD20" s="92">
        <f>Z20-V20</f>
        <v/>
      </c>
      <c r="AE20" s="92">
        <f>AA20-W20</f>
        <v/>
      </c>
    </row>
    <row r="21" ht="15" customHeight="1" s="700">
      <c r="A21" s="46" t="n"/>
      <c r="B21" s="54" t="inlineStr">
        <is>
          <t>Casa Roja (2.5) - Turbinto</t>
        </is>
      </c>
      <c r="C21" s="58">
        <f>104000*(1+$N$5)/12/3*2/11</f>
        <v/>
      </c>
      <c r="D21" s="61" t="n"/>
      <c r="E21" s="61" t="n"/>
      <c r="F21" s="58">
        <f>104000*(1+$N$5)/12/3*2/11</f>
        <v/>
      </c>
      <c r="G21" s="61" t="n"/>
      <c r="H21" s="61" t="n"/>
      <c r="I21" s="58">
        <f>104000*(1+$N$5)/12/3*2/11</f>
        <v/>
      </c>
      <c r="J21" s="59" t="inlineStr">
        <is>
          <t>n/a</t>
        </is>
      </c>
      <c r="K21" s="55">
        <f>5000*2/7*(1+N5)</f>
        <v/>
      </c>
      <c r="L21" s="649" t="n"/>
      <c r="M21" s="79">
        <f>C21*12</f>
        <v/>
      </c>
      <c r="N21" s="79">
        <f>F21*12</f>
        <v/>
      </c>
      <c r="O21" s="79">
        <f>I21*12</f>
        <v/>
      </c>
      <c r="P21" s="79">
        <f>K21*12</f>
        <v/>
      </c>
      <c r="Q21" s="92">
        <f>SUM(M21:P21)</f>
        <v/>
      </c>
      <c r="R21" s="72" t="inlineStr">
        <is>
          <t>TURBINTO</t>
        </is>
      </c>
      <c r="T21" s="655">
        <f>Resumen!#REF!*4</f>
        <v/>
      </c>
      <c r="U21" s="655">
        <f>Resumen!#REF!*4</f>
        <v/>
      </c>
      <c r="V21" s="655">
        <f>Resumen!#REF!*4</f>
        <v/>
      </c>
      <c r="W21" s="655">
        <f>Resumen!#REF!*4</f>
        <v/>
      </c>
      <c r="X21" s="655">
        <f>950*(1+$N$5)*12</f>
        <v/>
      </c>
      <c r="Y21" s="655">
        <f>1000*(1+$N$5)*12</f>
        <v/>
      </c>
      <c r="Z21" s="655">
        <f>820*(1+$N$5)*12</f>
        <v/>
      </c>
      <c r="AA21" s="95">
        <f>2500/6*12</f>
        <v/>
      </c>
      <c r="AB21" s="92">
        <f>X21-T21</f>
        <v/>
      </c>
      <c r="AC21" s="92">
        <f>Y21-U21</f>
        <v/>
      </c>
      <c r="AD21" s="92">
        <f>Z21-V21</f>
        <v/>
      </c>
      <c r="AE21" s="92">
        <f>AA21-W21</f>
        <v/>
      </c>
    </row>
    <row r="22" ht="15" customHeight="1" s="700">
      <c r="A22" s="46" t="n"/>
      <c r="B22" s="54" t="inlineStr">
        <is>
          <t>Casa Roja (2.5) - Rodríguez I</t>
        </is>
      </c>
      <c r="C22" s="61">
        <f>104000*(1+$N$5)/12/3*1.5/11</f>
        <v/>
      </c>
      <c r="D22" s="61" t="n"/>
      <c r="E22" s="61" t="n"/>
      <c r="F22" s="61">
        <f>104000*(1+$N$5)/12/3*1.5/11</f>
        <v/>
      </c>
      <c r="G22" s="61" t="n"/>
      <c r="H22" s="61" t="n"/>
      <c r="I22" s="61">
        <f>104000*(1+$N$5)/12/3*1.5/11</f>
        <v/>
      </c>
      <c r="J22" s="59" t="n"/>
      <c r="K22" s="89" t="n"/>
      <c r="L22" s="649" t="n"/>
      <c r="M22" s="79" t="n"/>
      <c r="N22" s="79" t="n"/>
      <c r="O22" s="79" t="n"/>
      <c r="P22" s="79" t="n"/>
      <c r="R22" s="72" t="n"/>
    </row>
    <row r="23" ht="15" customHeight="1" s="700">
      <c r="A23" s="46" t="n"/>
      <c r="B23" s="54" t="inlineStr">
        <is>
          <t>Casa Roja (2.5) - Rodríguez II</t>
        </is>
      </c>
      <c r="C23" s="61">
        <f>104000*(1+$N$5)/12/3*2.5/11</f>
        <v/>
      </c>
      <c r="D23" s="61" t="n"/>
      <c r="E23" s="61" t="n"/>
      <c r="F23" s="61">
        <f>104000*(1+$N$5)/12/3*2.5/11</f>
        <v/>
      </c>
      <c r="G23" s="61" t="n"/>
      <c r="H23" s="61" t="n"/>
      <c r="I23" s="61">
        <f>104000*(1+$N$5)/12/3*2.5/11</f>
        <v/>
      </c>
      <c r="J23" s="59" t="n"/>
      <c r="K23" s="89" t="n"/>
      <c r="L23" s="649" t="n"/>
      <c r="M23" s="79" t="n"/>
      <c r="N23" s="79" t="n"/>
      <c r="O23" s="79" t="n"/>
      <c r="P23" s="79" t="n"/>
      <c r="R23" s="72" t="n"/>
    </row>
    <row r="24" ht="15" customHeight="1" s="700">
      <c r="A24" s="46" t="n"/>
      <c r="B24" s="68" t="inlineStr">
        <is>
          <t>2.6 no fras desde 4T/2012</t>
        </is>
      </c>
      <c r="C24" s="61">
        <f>950*(1+$N$5)</f>
        <v/>
      </c>
      <c r="D24" s="61">
        <f>C24*0.7</f>
        <v/>
      </c>
      <c r="E24" s="61">
        <f>C24*0.3</f>
        <v/>
      </c>
      <c r="F24" s="61">
        <f>1000*(1+$N$5)</f>
        <v/>
      </c>
      <c r="G24" s="61">
        <f>F24*0.5</f>
        <v/>
      </c>
      <c r="H24" s="61">
        <f>F24*0.3</f>
        <v/>
      </c>
      <c r="I24" s="61">
        <f>820*(1+$N$5)</f>
        <v/>
      </c>
      <c r="J24" s="59" t="inlineStr">
        <is>
          <t>n/a</t>
        </is>
      </c>
      <c r="K24" s="89" t="n"/>
      <c r="L24" s="649" t="n"/>
      <c r="M24" s="79" t="n"/>
      <c r="N24" s="79" t="n"/>
      <c r="O24" s="79" t="n"/>
      <c r="P24" s="79" t="n"/>
      <c r="R24" s="72" t="n"/>
    </row>
    <row r="25" ht="15" customHeight="1" s="700">
      <c r="A25" s="46" t="n"/>
      <c r="B25" s="54" t="inlineStr">
        <is>
          <t xml:space="preserve">AE3000 (2.7) - Proyecto 1 </t>
        </is>
      </c>
      <c r="C25" s="65">
        <f>18000/12*(1+$N$8)</f>
        <v/>
      </c>
      <c r="D25" s="61">
        <f>C25*0.7</f>
        <v/>
      </c>
      <c r="E25" s="61">
        <f>C25*0.3</f>
        <v/>
      </c>
      <c r="F25" s="65">
        <f>11400/12*(1+$N$8)</f>
        <v/>
      </c>
      <c r="G25" s="61">
        <f>F25*0.5</f>
        <v/>
      </c>
      <c r="H25" s="61">
        <f>F25*0.3</f>
        <v/>
      </c>
      <c r="I25" s="65">
        <f>14760/12*(1+$N$8)</f>
        <v/>
      </c>
      <c r="J25" s="59" t="inlineStr">
        <is>
          <t>n/a</t>
        </is>
      </c>
      <c r="K25" s="89" t="n"/>
      <c r="L25" s="649" t="n"/>
      <c r="M25" s="79">
        <f>C25*12</f>
        <v/>
      </c>
      <c r="N25" s="79">
        <f>F25*12</f>
        <v/>
      </c>
      <c r="O25" s="79">
        <f>I25*12</f>
        <v/>
      </c>
      <c r="P25" s="79" t="n">
        <v>0</v>
      </c>
      <c r="R25" s="72" t="inlineStr">
        <is>
          <t>AE3000</t>
        </is>
      </c>
    </row>
    <row r="26" ht="15" customHeight="1" s="700">
      <c r="A26" s="46" t="n"/>
      <c r="B26" s="54" t="inlineStr">
        <is>
          <t>AE3000 (2.7)  - Proyecto 2</t>
        </is>
      </c>
      <c r="C26" s="66" t="n"/>
      <c r="D26" s="61">
        <f>C26*0.7</f>
        <v/>
      </c>
      <c r="E26" s="61">
        <f>C26*0.3</f>
        <v/>
      </c>
      <c r="F26" s="66" t="n"/>
      <c r="G26" s="61">
        <f>F26*0.5</f>
        <v/>
      </c>
      <c r="H26" s="61">
        <f>F26*0.3</f>
        <v/>
      </c>
      <c r="I26" s="66" t="n"/>
      <c r="J26" s="59" t="inlineStr">
        <is>
          <t>n/a</t>
        </is>
      </c>
      <c r="K26" s="89" t="n"/>
      <c r="L26" s="649" t="n"/>
      <c r="M26" s="80">
        <f>SUM(M12:M25)</f>
        <v/>
      </c>
      <c r="N26" s="80">
        <f>SUM(N12:N25)</f>
        <v/>
      </c>
      <c r="O26" s="80">
        <f>SUM(O12:O25)</f>
        <v/>
      </c>
      <c r="P26" s="80">
        <f>SUM(P12:P25)</f>
        <v/>
      </c>
      <c r="Q26" s="80">
        <f>SUM(M26:P26)</f>
        <v/>
      </c>
      <c r="R26" s="72" t="inlineStr">
        <is>
          <t>TOTAL</t>
        </is>
      </c>
    </row>
    <row r="27" ht="15" customHeight="1" s="700">
      <c r="A27" s="46" t="n"/>
      <c r="B27" s="54" t="inlineStr">
        <is>
          <t>AE3000 (2.7)  - Proyecto 3</t>
        </is>
      </c>
      <c r="C27" s="66" t="n"/>
      <c r="D27" s="61">
        <f>C27*0.7</f>
        <v/>
      </c>
      <c r="E27" s="61">
        <f>C27*0.3</f>
        <v/>
      </c>
      <c r="F27" s="66" t="n"/>
      <c r="G27" s="61">
        <f>F27*0.5</f>
        <v/>
      </c>
      <c r="H27" s="61">
        <f>F27*0.3</f>
        <v/>
      </c>
      <c r="I27" s="66" t="n"/>
      <c r="J27" s="59" t="inlineStr">
        <is>
          <t>n/a</t>
        </is>
      </c>
      <c r="K27" s="89" t="n"/>
      <c r="L27" s="649" t="n"/>
      <c r="M27" s="46" t="n"/>
      <c r="N27" s="46" t="n"/>
      <c r="O27" s="46" t="n"/>
      <c r="P27" s="46" t="n"/>
      <c r="Q27" s="46" t="n"/>
    </row>
    <row r="28" ht="15" customHeight="1" s="700">
      <c r="A28" s="46" t="n"/>
      <c r="B28" s="54" t="inlineStr">
        <is>
          <t>AE3000 (2.7)  - Proyecto 4</t>
        </is>
      </c>
      <c r="C28" s="66" t="n"/>
      <c r="D28" s="61">
        <f>C28*0.7</f>
        <v/>
      </c>
      <c r="E28" s="61">
        <f>C28*0.3</f>
        <v/>
      </c>
      <c r="F28" s="66" t="n"/>
      <c r="G28" s="61">
        <f>F28*0.5</f>
        <v/>
      </c>
      <c r="H28" s="61">
        <f>F28*0.3</f>
        <v/>
      </c>
      <c r="I28" s="66" t="n"/>
      <c r="J28" s="59" t="inlineStr">
        <is>
          <t>n/a</t>
        </is>
      </c>
      <c r="K28" s="89" t="n"/>
      <c r="L28" s="649" t="n"/>
      <c r="M28" s="79" t="n"/>
      <c r="N28" s="79" t="n"/>
      <c r="O28" s="79" t="n"/>
      <c r="P28" s="80" t="n"/>
      <c r="Q28" s="46" t="n"/>
    </row>
    <row r="29" ht="15" customHeight="1" s="700">
      <c r="A29" s="46" t="n"/>
      <c r="B29" s="54" t="inlineStr">
        <is>
          <t>AE3000 (2.7)  - Proyecto 5</t>
        </is>
      </c>
      <c r="C29" s="66" t="n"/>
      <c r="D29" s="61">
        <f>C29*0.7</f>
        <v/>
      </c>
      <c r="E29" s="61">
        <f>C29*0.3</f>
        <v/>
      </c>
      <c r="F29" s="66" t="n"/>
      <c r="G29" s="61">
        <f>F29*0.5</f>
        <v/>
      </c>
      <c r="H29" s="61">
        <f>F29*0.3</f>
        <v/>
      </c>
      <c r="I29" s="66" t="n"/>
      <c r="J29" s="59" t="inlineStr">
        <is>
          <t>n/a</t>
        </is>
      </c>
      <c r="K29" s="89" t="n"/>
      <c r="L29" s="649" t="n"/>
      <c r="M29" s="46" t="n"/>
      <c r="N29" s="46" t="n"/>
      <c r="O29" s="46" t="n"/>
      <c r="P29" s="46" t="n"/>
      <c r="Q29" s="46" t="n"/>
    </row>
    <row r="30" ht="15" customHeight="1" s="700">
      <c r="A30" s="46" t="n"/>
      <c r="B30" s="54" t="inlineStr">
        <is>
          <t>AE3000 (2.7)  - Proyecto 6</t>
        </is>
      </c>
      <c r="C30" s="67" t="n"/>
      <c r="D30" s="61">
        <f>C30*0.7</f>
        <v/>
      </c>
      <c r="E30" s="61">
        <f>C30*0.3</f>
        <v/>
      </c>
      <c r="F30" s="67" t="n"/>
      <c r="G30" s="61">
        <f>F30*0.5</f>
        <v/>
      </c>
      <c r="H30" s="61">
        <f>F30*0.3</f>
        <v/>
      </c>
      <c r="I30" s="67" t="n"/>
      <c r="J30" s="59" t="inlineStr">
        <is>
          <t>n/a</t>
        </is>
      </c>
      <c r="K30" s="89" t="n"/>
      <c r="L30" s="649" t="n"/>
      <c r="M30" s="46" t="n"/>
      <c r="N30" s="46" t="n"/>
      <c r="O30" s="46" t="n"/>
      <c r="P30" s="46" t="n"/>
      <c r="Q30" s="46" t="n"/>
    </row>
    <row r="31">
      <c r="A31" s="46" t="n"/>
      <c r="B31" s="68" t="inlineStr">
        <is>
          <t>2.8 no fras desde 4T/2012</t>
        </is>
      </c>
      <c r="C31" s="61">
        <f>950*(1+$N$5)</f>
        <v/>
      </c>
      <c r="D31" s="61">
        <f>C31*0.7</f>
        <v/>
      </c>
      <c r="E31" s="61">
        <f>C31*0.3</f>
        <v/>
      </c>
      <c r="F31" s="61">
        <f>1000*(1+$N$5)</f>
        <v/>
      </c>
      <c r="G31" s="61">
        <f>F31*0.5</f>
        <v/>
      </c>
      <c r="H31" s="61">
        <f>F31*0.3</f>
        <v/>
      </c>
      <c r="I31" s="61">
        <f>820*(1+$N$5)</f>
        <v/>
      </c>
      <c r="J31" s="59" t="inlineStr">
        <is>
          <t>n/a</t>
        </is>
      </c>
      <c r="K31" s="89" t="n"/>
      <c r="L31" s="649" t="n"/>
      <c r="M31" s="46" t="n"/>
      <c r="N31" s="46" t="n"/>
    </row>
    <row r="32">
      <c r="A32" s="46" t="n"/>
      <c r="B32" s="68" t="inlineStr">
        <is>
          <t>2.9 no fras desde 4T/2012</t>
        </is>
      </c>
      <c r="C32" s="61">
        <f>950*(1+$N$5)</f>
        <v/>
      </c>
      <c r="D32" s="61">
        <f>C32*0.7</f>
        <v/>
      </c>
      <c r="E32" s="61">
        <f>C32*0.3</f>
        <v/>
      </c>
      <c r="F32" s="61">
        <f>1000*(1+$N$5)</f>
        <v/>
      </c>
      <c r="G32" s="61">
        <f>F32*0.5</f>
        <v/>
      </c>
      <c r="H32" s="61">
        <f>F32*0.3</f>
        <v/>
      </c>
      <c r="I32" s="61">
        <f>820*(1+$N$5)</f>
        <v/>
      </c>
      <c r="J32" s="59" t="inlineStr">
        <is>
          <t>n/a</t>
        </is>
      </c>
      <c r="K32" s="89" t="n"/>
      <c r="L32" s="649" t="n"/>
      <c r="M32" s="46" t="n"/>
      <c r="N32" s="46" t="n"/>
    </row>
    <row r="33">
      <c r="A33" s="46" t="n"/>
      <c r="B33" s="68" t="inlineStr">
        <is>
          <t>2.10 no fras desde 10/2011</t>
        </is>
      </c>
      <c r="C33" s="69">
        <f>950*(1+$N$5)</f>
        <v/>
      </c>
      <c r="D33" s="69">
        <f>C33*0.7</f>
        <v/>
      </c>
      <c r="E33" s="70">
        <f>C33*0.3</f>
        <v/>
      </c>
      <c r="F33" s="69">
        <f>1000*(1+$N$5)</f>
        <v/>
      </c>
      <c r="G33" s="69">
        <f>F33*0.5</f>
        <v/>
      </c>
      <c r="H33" s="70">
        <f>F33*0.3</f>
        <v/>
      </c>
      <c r="I33" s="69">
        <f>820*(1+$N$5)</f>
        <v/>
      </c>
      <c r="J33" s="71" t="inlineStr">
        <is>
          <t>n/a</t>
        </is>
      </c>
      <c r="K33" s="90" t="n"/>
      <c r="L33" s="649" t="n"/>
      <c r="M33" s="46" t="n"/>
      <c r="N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  <c r="N34" s="46" t="n"/>
    </row>
    <row r="35" ht="15" customHeight="1" s="700">
      <c r="A35" s="46" t="n"/>
      <c r="B35" s="72" t="inlineStr">
        <is>
          <t>Importes en negrita = Tarifas aplicadas actualmente</t>
        </is>
      </c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  <c r="N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  <c r="N36" s="46" t="n"/>
    </row>
    <row r="37">
      <c r="A37" s="46" t="n"/>
      <c r="B37" s="46" t="n"/>
      <c r="C37" s="60">
        <f>C25+C21+C20+C19+C17+C15+C14+C9+C5</f>
        <v/>
      </c>
      <c r="D37" s="83">
        <f>C37/$C$38</f>
        <v/>
      </c>
      <c r="E37" s="46" t="n"/>
      <c r="F37" s="60">
        <f>F25+F21+F20+F19+F17+F15+F14+F9+F5</f>
        <v/>
      </c>
      <c r="G37" s="83">
        <f>F37/$C$38</f>
        <v/>
      </c>
      <c r="H37" s="46" t="n"/>
      <c r="I37" s="46" t="n"/>
      <c r="J37" s="46" t="n"/>
      <c r="K37" s="46" t="n"/>
      <c r="L37" s="46" t="n"/>
      <c r="M37" s="46" t="n"/>
      <c r="N37" s="46" t="n"/>
    </row>
    <row r="38">
      <c r="A38" s="46" t="n"/>
      <c r="B38" s="82" t="inlineStr">
        <is>
          <t>Soc</t>
        </is>
      </c>
      <c r="C38" s="46">
        <f>7+4+1+1+3+1+48</f>
        <v/>
      </c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  <c r="N38" s="46" t="n"/>
    </row>
    <row r="39">
      <c r="A39" s="46" t="n"/>
      <c r="B39" s="46" t="n"/>
      <c r="D39" s="46" t="n"/>
      <c r="E39" s="46" t="n"/>
      <c r="G39" s="46" t="n"/>
      <c r="H39" s="46" t="n"/>
      <c r="I39" s="46" t="n"/>
      <c r="J39" s="46" t="n"/>
      <c r="K39" s="46" t="n"/>
      <c r="L39" s="46" t="n"/>
      <c r="M39" s="46" t="n"/>
      <c r="N39" s="46" t="n"/>
    </row>
    <row r="40">
      <c r="A40" s="46" t="n"/>
      <c r="B40" s="82" t="inlineStr">
        <is>
          <t>Soc Renova</t>
        </is>
      </c>
      <c r="C40" s="46" t="n">
        <v>48</v>
      </c>
      <c r="D40" s="46" t="n"/>
      <c r="E40" s="46" t="n"/>
      <c r="F40" s="46" t="n">
        <v>48</v>
      </c>
      <c r="G40" s="46" t="n"/>
      <c r="H40" s="46" t="n"/>
      <c r="I40" s="46" t="n"/>
      <c r="J40" s="46" t="n"/>
      <c r="K40" s="46" t="n"/>
      <c r="L40" s="46" t="n"/>
      <c r="M40" s="46" t="n"/>
      <c r="N40" s="46" t="n"/>
    </row>
    <row r="41">
      <c r="A41" s="46" t="n"/>
      <c r="B41" s="82" t="inlineStr">
        <is>
          <t>Soc No Renova</t>
        </is>
      </c>
      <c r="C41" s="46">
        <f>C38-C40</f>
        <v/>
      </c>
      <c r="D41" s="46" t="n"/>
      <c r="E41" s="46" t="n"/>
      <c r="F41" s="46">
        <f>C38-F40</f>
        <v/>
      </c>
      <c r="G41" s="46" t="n"/>
      <c r="H41" s="46" t="n"/>
      <c r="I41" s="46" t="n"/>
      <c r="J41" s="46" t="n"/>
      <c r="K41" s="46" t="n"/>
      <c r="L41" s="46" t="n"/>
      <c r="M41" s="46" t="n"/>
      <c r="N41" s="46" t="n"/>
    </row>
    <row r="42">
      <c r="A42" s="46" t="n"/>
      <c r="B42" s="82" t="inlineStr">
        <is>
          <t>Ingresos Renova</t>
        </is>
      </c>
      <c r="C42" s="60">
        <f>C5</f>
        <v/>
      </c>
      <c r="D42" s="83">
        <f>C42/C40</f>
        <v/>
      </c>
      <c r="E42" s="46" t="n"/>
      <c r="F42" s="60">
        <f>F5</f>
        <v/>
      </c>
      <c r="G42" s="83">
        <f>F42/F40</f>
        <v/>
      </c>
      <c r="H42" s="46" t="n"/>
      <c r="I42" s="46" t="n"/>
      <c r="J42" s="46" t="n"/>
      <c r="K42" s="46" t="n"/>
      <c r="L42" s="46" t="n"/>
      <c r="M42" s="46" t="n"/>
      <c r="N42" s="46" t="n"/>
    </row>
    <row r="43">
      <c r="A43" s="46" t="n"/>
      <c r="B43" s="82" t="inlineStr">
        <is>
          <t>Ingresos No Renova</t>
        </is>
      </c>
      <c r="C43" s="60">
        <f>C25+C21+C20+C19+C17+C15+C14+C9</f>
        <v/>
      </c>
      <c r="D43" s="83">
        <f>C43/C41</f>
        <v/>
      </c>
      <c r="E43" s="46" t="n"/>
      <c r="F43" s="60">
        <f>F25+F21+F20+F19+F17+F15+F14+F9</f>
        <v/>
      </c>
      <c r="G43" s="83">
        <f>F43/F41</f>
        <v/>
      </c>
      <c r="H43" s="46" t="n"/>
      <c r="I43" s="46" t="n"/>
      <c r="J43" s="46" t="n"/>
      <c r="K43" s="46" t="n"/>
      <c r="L43" s="46" t="n"/>
      <c r="M43" s="46" t="n"/>
      <c r="N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  <c r="N44" s="46" t="n"/>
    </row>
    <row r="45">
      <c r="A45" s="46" t="n"/>
      <c r="B45" s="82" t="inlineStr">
        <is>
          <t>9Ren</t>
        </is>
      </c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  <c r="N45" s="46" t="n"/>
    </row>
    <row r="46">
      <c r="A46" s="46" t="n"/>
      <c r="B46" s="82" t="inlineStr">
        <is>
          <t>Soc</t>
        </is>
      </c>
      <c r="C46" s="46" t="n">
        <v>160</v>
      </c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  <c r="N46" s="46" t="n"/>
    </row>
    <row r="47">
      <c r="A47" s="46" t="n"/>
      <c r="B47" s="82" t="inlineStr">
        <is>
          <t>Ingresos 9Ren</t>
        </is>
      </c>
      <c r="C47" s="46">
        <f>D47*C46</f>
        <v/>
      </c>
      <c r="D47" s="83" t="n">
        <v>91.66666666666664</v>
      </c>
      <c r="E47" s="46">
        <f>D47*12</f>
        <v/>
      </c>
      <c r="F47" s="46" t="n"/>
      <c r="G47" s="46" t="n"/>
      <c r="H47" s="46" t="n"/>
      <c r="I47" s="46" t="n"/>
      <c r="J47" s="46" t="n"/>
      <c r="K47" s="46" t="n"/>
      <c r="L47" s="46" t="n"/>
      <c r="M47" s="46" t="n"/>
      <c r="N47" s="46" t="n"/>
    </row>
    <row r="48">
      <c r="A48" s="46" t="n"/>
      <c r="B48" s="46" t="n"/>
      <c r="C48" s="46">
        <f>C47*12</f>
        <v/>
      </c>
      <c r="D48" s="46" t="n"/>
      <c r="E48" s="46">
        <f>E47*0.025</f>
        <v/>
      </c>
      <c r="F48" s="46" t="n"/>
      <c r="G48" s="46" t="n"/>
      <c r="H48" s="46" t="n"/>
      <c r="I48" s="46" t="n"/>
      <c r="J48" s="46" t="n"/>
      <c r="K48" s="46" t="n"/>
      <c r="L48" s="46" t="n"/>
      <c r="M48" s="46" t="n"/>
      <c r="N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  <c r="N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  <c r="N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  <c r="N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  <c r="N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  <c r="N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  <c r="N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  <c r="N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  <c r="N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  <c r="N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  <c r="N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  <c r="N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  <c r="N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  <c r="N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  <c r="N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  <c r="N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  <c r="N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  <c r="N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  <c r="N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  <c r="N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  <c r="N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  <c r="N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  <c r="N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  <c r="N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  <c r="N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  <c r="N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  <c r="N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  <c r="N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  <c r="N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  <c r="N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  <c r="N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  <c r="N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  <c r="N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  <c r="N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  <c r="N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  <c r="N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  <c r="N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  <c r="N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  <c r="N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  <c r="N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  <c r="N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  <c r="N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  <c r="N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  <c r="N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  <c r="N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  <c r="N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  <c r="N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  <c r="N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  <c r="N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  <c r="N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  <c r="N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  <c r="N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  <c r="N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  <c r="N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  <c r="N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  <c r="N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  <c r="N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  <c r="N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  <c r="N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  <c r="N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  <c r="N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  <c r="N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  <c r="N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  <c r="N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  <c r="N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  <c r="N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  <c r="N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  <c r="N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  <c r="N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  <c r="N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  <c r="N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  <c r="N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  <c r="N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  <c r="N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  <c r="N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  <c r="N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  <c r="N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  <c r="N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  <c r="N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  <c r="N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  <c r="N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  <c r="N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  <c r="N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  <c r="N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  <c r="N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  <c r="N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  <c r="N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  <c r="N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  <c r="N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  <c r="N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  <c r="N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  <c r="N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  <c r="N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  <c r="N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  <c r="N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  <c r="N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  <c r="N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  <c r="N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  <c r="N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  <c r="N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  <c r="N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  <c r="N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  <c r="N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  <c r="N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  <c r="N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  <c r="N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  <c r="N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  <c r="N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  <c r="N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  <c r="N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  <c r="N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  <c r="N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  <c r="N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  <c r="N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  <c r="N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  <c r="N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  <c r="N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  <c r="N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  <c r="N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  <c r="N167" s="46" t="n"/>
    </row>
    <row r="168">
      <c r="A168" s="46" t="n"/>
      <c r="B168" s="46" t="n"/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6" t="n"/>
      <c r="N168" s="46" t="n"/>
    </row>
    <row r="169">
      <c r="A169" s="46" t="n"/>
      <c r="B169" s="46" t="n"/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6" t="n"/>
      <c r="N169" s="46" t="n"/>
    </row>
    <row r="170">
      <c r="A170" s="46" t="n"/>
      <c r="B170" s="46" t="n"/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6" t="n"/>
      <c r="N170" s="46" t="n"/>
    </row>
    <row r="171">
      <c r="A171" s="46" t="n"/>
      <c r="B171" s="46" t="n"/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6" t="n"/>
      <c r="N171" s="46" t="n"/>
    </row>
    <row r="172">
      <c r="A172" s="46" t="n"/>
      <c r="B172" s="46" t="n"/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6" t="n"/>
      <c r="N172" s="46" t="n"/>
    </row>
    <row r="173">
      <c r="A173" s="46" t="n"/>
      <c r="B173" s="46" t="n"/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6" t="n"/>
      <c r="N173" s="46" t="n"/>
    </row>
    <row r="174">
      <c r="A174" s="46" t="n"/>
      <c r="B174" s="46" t="n"/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6" t="n"/>
      <c r="N174" s="46" t="n"/>
    </row>
    <row r="175">
      <c r="A175" s="46" t="n"/>
      <c r="B175" s="46" t="n"/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6" t="n"/>
      <c r="N175" s="46" t="n"/>
    </row>
    <row r="176">
      <c r="A176" s="46" t="n"/>
      <c r="B176" s="46" t="n"/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6" t="n"/>
      <c r="N176" s="46" t="n"/>
    </row>
    <row r="177">
      <c r="A177" s="46" t="n"/>
      <c r="B177" s="46" t="n"/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6" t="n"/>
      <c r="N177" s="46" t="n"/>
    </row>
    <row r="178">
      <c r="A178" s="46" t="n"/>
      <c r="B178" s="46" t="n"/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6" t="n"/>
      <c r="N178" s="46" t="n"/>
    </row>
    <row r="179">
      <c r="A179" s="46" t="n"/>
      <c r="B179" s="46" t="n"/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6" t="n"/>
      <c r="N179" s="46" t="n"/>
    </row>
    <row r="180">
      <c r="A180" s="46" t="n"/>
      <c r="B180" s="46" t="n"/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6" t="n"/>
      <c r="N180" s="46" t="n"/>
    </row>
    <row r="181">
      <c r="A181" s="46" t="n"/>
      <c r="B181" s="46" t="n"/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6" t="n"/>
      <c r="N181" s="46" t="n"/>
    </row>
    <row r="182">
      <c r="A182" s="46" t="n"/>
      <c r="B182" s="46" t="n"/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6" t="n"/>
      <c r="N182" s="46" t="n"/>
    </row>
  </sheetData>
  <mergeCells count="17">
    <mergeCell ref="I12:J12"/>
    <mergeCell ref="C5:C8"/>
    <mergeCell ref="I4:J4"/>
    <mergeCell ref="L13:L33"/>
    <mergeCell ref="T10:W10"/>
    <mergeCell ref="C4:E4"/>
    <mergeCell ref="X10:AA10"/>
    <mergeCell ref="F4:H4"/>
    <mergeCell ref="L5:L10"/>
    <mergeCell ref="F12:H12"/>
    <mergeCell ref="A5:A8"/>
    <mergeCell ref="C12:E12"/>
    <mergeCell ref="E5:E8"/>
    <mergeCell ref="H5:H8"/>
    <mergeCell ref="F5:F8"/>
    <mergeCell ref="D5:D8"/>
    <mergeCell ref="G5:G8"/>
  </mergeCells>
  <pageMargins left="0.7" right="0.7" top="0.75" bottom="0.75" header="0.3" footer="0.3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Hoja17">
    <outlinePr summaryBelow="1" summaryRight="1"/>
    <pageSetUpPr/>
  </sheetPr>
  <dimension ref="A1:K154"/>
  <sheetViews>
    <sheetView workbookViewId="0">
      <selection activeCell="F18" sqref="C12:F18"/>
    </sheetView>
  </sheetViews>
  <sheetFormatPr baseColWidth="10" defaultColWidth="11.3828125" defaultRowHeight="14.15"/>
  <cols>
    <col width="4.53515625" customWidth="1" style="655" min="1" max="1"/>
    <col width="27.15234375" customWidth="1" style="655" min="2" max="2"/>
    <col width="14.3828125" bestFit="1" customWidth="1" style="655" min="3" max="6"/>
    <col width="13.3828125" customWidth="1" style="655" min="7" max="8"/>
    <col width="17.3828125" customWidth="1" style="655" min="9" max="9"/>
    <col width="16.3828125" bestFit="1" customWidth="1" style="655" min="10" max="10"/>
    <col width="15.3828125" bestFit="1" customWidth="1" style="655" min="11" max="11"/>
    <col width="11.3828125" customWidth="1" style="655" min="12" max="22"/>
    <col width="11.3828125" customWidth="1" style="655" min="23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</row>
    <row r="3" ht="69" customHeight="1" s="700" thickBot="1">
      <c r="A3" s="46" t="n"/>
      <c r="B3" s="46" t="n"/>
      <c r="C3" s="138" t="inlineStr">
        <is>
          <t>TOTAL
(Anual)</t>
        </is>
      </c>
      <c r="D3" s="138" t="inlineStr">
        <is>
          <t>TOTAL
(Anual)</t>
        </is>
      </c>
      <c r="E3" s="138" t="inlineStr">
        <is>
          <t>TOTAL
(Anual)</t>
        </is>
      </c>
      <c r="F3" s="87" t="n"/>
      <c r="G3" s="87" t="n"/>
      <c r="H3" s="87" t="n"/>
      <c r="J3" s="46" t="n"/>
    </row>
    <row r="4" ht="18" customHeight="1" s="700">
      <c r="A4" s="46" t="n"/>
      <c r="B4" s="119" t="inlineStr">
        <is>
          <t>FONDO I</t>
        </is>
      </c>
      <c r="C4" s="668" t="inlineStr">
        <is>
          <t>ACC</t>
        </is>
      </c>
      <c r="D4" s="666" t="inlineStr">
        <is>
          <t>SPV</t>
        </is>
      </c>
      <c r="E4" s="662" t="inlineStr">
        <is>
          <t>O&amp;M</t>
        </is>
      </c>
      <c r="F4" s="662" t="inlineStr">
        <is>
          <t>Consult</t>
        </is>
      </c>
      <c r="G4" s="662" t="inlineStr">
        <is>
          <t>Cuentas</t>
        </is>
      </c>
      <c r="H4" s="121" t="inlineStr">
        <is>
          <t>Secretaría</t>
        </is>
      </c>
      <c r="I4" s="46" t="n"/>
    </row>
    <row r="5" ht="14.9" customHeight="1" s="700">
      <c r="A5" s="654" t="inlineStr">
        <is>
          <t>Renova</t>
        </is>
      </c>
      <c r="B5" s="122" t="inlineStr">
        <is>
          <t>Valverde</t>
        </is>
      </c>
      <c r="C5" s="58" t="n">
        <v>18152.04</v>
      </c>
      <c r="D5" s="58" t="n">
        <v>10677.67</v>
      </c>
      <c r="E5" s="58" t="n">
        <v>9339.4</v>
      </c>
      <c r="F5" s="58" t="n">
        <v>837.46</v>
      </c>
      <c r="G5" s="58" t="n">
        <v>0</v>
      </c>
      <c r="H5" s="123" t="n">
        <v>0</v>
      </c>
      <c r="I5" s="660" t="inlineStr">
        <is>
          <t>Gastos generales: 3,5 % del honorario global</t>
        </is>
      </c>
      <c r="J5" s="139">
        <f>D5+C5+E5+F5</f>
        <v/>
      </c>
      <c r="K5" s="659" t="inlineStr">
        <is>
          <t>RENOVA</t>
        </is>
      </c>
    </row>
    <row r="6" ht="15" customHeight="1" s="700">
      <c r="B6" s="122" t="inlineStr">
        <is>
          <t>Castuera</t>
        </is>
      </c>
      <c r="C6" s="58" t="n">
        <v>11617.3</v>
      </c>
      <c r="D6" s="58" t="n">
        <v>6833.71</v>
      </c>
      <c r="E6" s="58" t="n">
        <v>5977.22</v>
      </c>
      <c r="F6" s="58" t="n">
        <v>535.98</v>
      </c>
      <c r="G6" s="58" t="n">
        <v>0</v>
      </c>
      <c r="H6" s="123" t="n">
        <v>0</v>
      </c>
      <c r="J6" s="139">
        <f>D6+C6+E6+F6</f>
        <v/>
      </c>
      <c r="K6" s="646" t="n"/>
    </row>
    <row r="7" ht="15" customHeight="1" s="700">
      <c r="B7" s="122" t="inlineStr">
        <is>
          <t>Paiporta</t>
        </is>
      </c>
      <c r="C7" s="58" t="n">
        <v>726.08</v>
      </c>
      <c r="D7" s="58" t="n">
        <v>427.11</v>
      </c>
      <c r="E7" s="58" t="n">
        <v>373.58</v>
      </c>
      <c r="F7" s="58" t="n">
        <v>33.5</v>
      </c>
      <c r="G7" s="58" t="n">
        <v>0</v>
      </c>
      <c r="H7" s="123" t="n">
        <v>0</v>
      </c>
      <c r="J7" s="139">
        <f>D7+C7+E7+F7</f>
        <v/>
      </c>
      <c r="K7" s="646" t="n"/>
    </row>
    <row r="8" ht="15" customHeight="1" s="700">
      <c r="B8" s="122" t="inlineStr">
        <is>
          <t>Bonaire</t>
        </is>
      </c>
      <c r="C8" s="58" t="n">
        <v>2178.24</v>
      </c>
      <c r="D8" s="58" t="n">
        <v>1281.32</v>
      </c>
      <c r="E8" s="58" t="n">
        <v>1120.73</v>
      </c>
      <c r="F8" s="58" t="n">
        <v>100.5</v>
      </c>
      <c r="G8" s="58" t="n">
        <v>0</v>
      </c>
      <c r="H8" s="123" t="n">
        <v>0</v>
      </c>
      <c r="J8" s="139">
        <f>D8+C8+E8+F8</f>
        <v/>
      </c>
      <c r="K8" s="647" t="n"/>
    </row>
    <row r="9" ht="15.75" customHeight="1" s="700" thickBot="1">
      <c r="A9" s="46" t="n"/>
      <c r="B9" s="124" t="inlineStr">
        <is>
          <t>Coreses</t>
        </is>
      </c>
      <c r="C9" s="125" t="n">
        <v>12556.94</v>
      </c>
      <c r="D9" s="125" t="n">
        <v>12556.94</v>
      </c>
      <c r="E9" s="125" t="n">
        <v>10506.83</v>
      </c>
      <c r="F9" s="125" t="n">
        <v>15074.36</v>
      </c>
      <c r="G9" s="125" t="n">
        <v>0</v>
      </c>
      <c r="H9" s="128" t="n">
        <v>0</v>
      </c>
      <c r="J9" s="139">
        <f>D9+C9+E9+F9</f>
        <v/>
      </c>
      <c r="K9" s="105" t="inlineStr">
        <is>
          <t>CORESES</t>
        </is>
      </c>
    </row>
    <row r="10" ht="15.75" customHeight="1" s="700" thickBot="1">
      <c r="A10" s="46" t="n"/>
      <c r="B10" s="46" t="n"/>
      <c r="C10" s="60" t="n"/>
      <c r="D10" s="60" t="n"/>
      <c r="E10" s="60" t="n"/>
      <c r="F10" s="46" t="n"/>
      <c r="G10" s="46" t="n"/>
      <c r="H10" s="46" t="n"/>
      <c r="I10" s="46" t="n"/>
      <c r="J10" s="79" t="n"/>
      <c r="K10" s="72" t="n"/>
    </row>
    <row r="11" ht="18.75" customHeight="1" s="700" thickBot="1">
      <c r="A11" s="46" t="n"/>
      <c r="B11" s="119" t="inlineStr">
        <is>
          <t>FONDO II</t>
        </is>
      </c>
      <c r="C11" s="668" t="inlineStr">
        <is>
          <t>ACC</t>
        </is>
      </c>
      <c r="D11" s="666" t="inlineStr">
        <is>
          <t>SPV</t>
        </is>
      </c>
      <c r="E11" s="662" t="inlineStr">
        <is>
          <t>O&amp;M</t>
        </is>
      </c>
      <c r="F11" s="662" t="inlineStr">
        <is>
          <t>Consult</t>
        </is>
      </c>
      <c r="G11" s="662" t="n"/>
      <c r="H11" s="121" t="n"/>
      <c r="I11" s="46" t="n"/>
      <c r="J11" s="79" t="n"/>
      <c r="K11" s="72" t="n"/>
    </row>
    <row r="12" ht="15" customHeight="1" s="700">
      <c r="A12" s="46" t="n"/>
      <c r="B12" s="122" t="inlineStr">
        <is>
          <t>Villamartín</t>
        </is>
      </c>
      <c r="C12" s="58" t="n">
        <v>17938.48</v>
      </c>
      <c r="D12" s="58" t="n">
        <v>15375.84</v>
      </c>
      <c r="E12" s="58" t="n">
        <v>10506.83</v>
      </c>
      <c r="F12" s="58" t="n">
        <v>18166.48</v>
      </c>
      <c r="G12" s="58" t="n">
        <v>0</v>
      </c>
      <c r="H12" s="123" t="n">
        <v>0</v>
      </c>
      <c r="I12" s="140" t="n"/>
      <c r="J12" s="106">
        <f>D12+C12+E12+F12</f>
        <v/>
      </c>
      <c r="K12" s="109" t="inlineStr">
        <is>
          <t>VILLAMARTÍN</t>
        </is>
      </c>
    </row>
    <row r="13" ht="15" customHeight="1" s="700">
      <c r="A13" s="46" t="n"/>
      <c r="B13" s="122" t="inlineStr">
        <is>
          <t>Sollana (2.1)</t>
        </is>
      </c>
      <c r="C13" s="58" t="n">
        <v>12813.2</v>
      </c>
      <c r="D13" s="58" t="n">
        <v>12172.54</v>
      </c>
      <c r="E13" s="58" t="n">
        <v>10506.83</v>
      </c>
      <c r="F13" s="58" t="n">
        <v>3333.3</v>
      </c>
      <c r="G13" s="134" t="n">
        <v>0</v>
      </c>
      <c r="H13" s="135" t="n">
        <v>0</v>
      </c>
      <c r="I13" s="140" t="n"/>
      <c r="J13" s="110">
        <f>D13+C13+E13+F13</f>
        <v/>
      </c>
      <c r="K13" s="111" t="inlineStr">
        <is>
          <t>SOLLANA</t>
        </is>
      </c>
    </row>
    <row r="14" ht="15" customHeight="1" s="700">
      <c r="A14" s="46" t="n"/>
      <c r="B14" s="122" t="inlineStr">
        <is>
          <t>Artá (2.3)</t>
        </is>
      </c>
      <c r="C14" s="58" t="n">
        <v>12813.2</v>
      </c>
      <c r="D14" s="58" t="n">
        <v>12172.54</v>
      </c>
      <c r="E14" s="58" t="n">
        <v>10506.83</v>
      </c>
      <c r="F14" s="58" t="n">
        <v>10533.23</v>
      </c>
      <c r="G14" s="134" t="n">
        <v>0</v>
      </c>
      <c r="H14" s="135" t="n">
        <v>0</v>
      </c>
      <c r="I14" s="140" t="n"/>
      <c r="J14" s="110">
        <f>D14+C14+E14+F14</f>
        <v/>
      </c>
      <c r="K14" s="111" t="inlineStr">
        <is>
          <t>ARTÀ</t>
        </is>
      </c>
    </row>
    <row r="15" ht="15" customHeight="1" s="700">
      <c r="A15" s="46" t="n"/>
      <c r="B15" s="122" t="inlineStr">
        <is>
          <t>Casa Roja (2.5) - Contreras</t>
        </is>
      </c>
      <c r="C15" s="58" t="n">
        <v>12813.2</v>
      </c>
      <c r="D15" s="58" t="n">
        <v>12172.54</v>
      </c>
      <c r="E15" s="58" t="n">
        <v>10506.83</v>
      </c>
      <c r="F15" s="58" t="n">
        <v>27456.86</v>
      </c>
      <c r="G15" s="134" t="n">
        <v>0</v>
      </c>
      <c r="H15" s="135" t="n">
        <v>0</v>
      </c>
      <c r="I15" s="140" t="n"/>
      <c r="J15" s="110">
        <f>D15+C15+E15+F15</f>
        <v/>
      </c>
      <c r="K15" s="111" t="inlineStr">
        <is>
          <t>CONTRERAS</t>
        </is>
      </c>
    </row>
    <row r="16" ht="15" customHeight="1" s="700">
      <c r="A16" s="46" t="n"/>
      <c r="B16" s="122" t="inlineStr">
        <is>
          <t>Casa Roja (2.5) - Lo Illán</t>
        </is>
      </c>
      <c r="C16" s="58" t="n">
        <v>12813.2</v>
      </c>
      <c r="D16" s="58" t="n">
        <v>12172.54</v>
      </c>
      <c r="E16" s="58" t="n">
        <v>10506.83</v>
      </c>
      <c r="F16" s="58" t="n">
        <v>18304.58</v>
      </c>
      <c r="G16" s="134" t="n">
        <v>0</v>
      </c>
      <c r="H16" s="135" t="n">
        <v>0</v>
      </c>
      <c r="I16" s="140" t="n"/>
      <c r="J16" s="110">
        <f>D16+C16+E16+F16</f>
        <v/>
      </c>
      <c r="K16" s="111" t="inlineStr">
        <is>
          <t>LO ILLÁN</t>
        </is>
      </c>
    </row>
    <row r="17" ht="15" customHeight="1" s="700">
      <c r="A17" s="46" t="n"/>
      <c r="B17" s="122" t="inlineStr">
        <is>
          <t>Casa Roja (2.5) - Turbinto</t>
        </is>
      </c>
      <c r="C17" s="58" t="n">
        <v>12813.2</v>
      </c>
      <c r="D17" s="58" t="n">
        <v>12172.54</v>
      </c>
      <c r="E17" s="58" t="n">
        <v>10506.83</v>
      </c>
      <c r="F17" s="58" t="n">
        <v>18304.58</v>
      </c>
      <c r="G17" s="134" t="n">
        <v>0</v>
      </c>
      <c r="H17" s="135" t="n">
        <v>0</v>
      </c>
      <c r="I17" s="140" t="n"/>
      <c r="J17" s="110">
        <f>D17+C17+E17+F17</f>
        <v/>
      </c>
      <c r="K17" s="111" t="inlineStr">
        <is>
          <t>TURBINTO</t>
        </is>
      </c>
    </row>
    <row r="18" ht="15.75" customHeight="1" s="700" thickBot="1">
      <c r="A18" s="46" t="n"/>
      <c r="B18" s="124" t="inlineStr">
        <is>
          <t xml:space="preserve">AE3000 (2.7) - Proyecto 1 </t>
        </is>
      </c>
      <c r="C18" s="129" t="n">
        <v>12193.78</v>
      </c>
      <c r="D18" s="129" t="n">
        <v>19253.34</v>
      </c>
      <c r="E18" s="129" t="n">
        <v>15787.74</v>
      </c>
      <c r="F18" s="127" t="n">
        <v>0</v>
      </c>
      <c r="G18" s="125" t="n">
        <v>0</v>
      </c>
      <c r="H18" s="128" t="n">
        <v>0</v>
      </c>
      <c r="I18" s="140" t="n"/>
      <c r="J18" s="112">
        <f>D18+C18+E18+F18</f>
        <v/>
      </c>
      <c r="K18" s="115" t="inlineStr">
        <is>
          <t>AE3000</t>
        </is>
      </c>
    </row>
    <row r="19" ht="15.75" customHeight="1" s="700" thickBot="1">
      <c r="A19" s="46" t="n"/>
      <c r="B19" s="46" t="n"/>
      <c r="C19" s="60">
        <f>SUM(C12:C18)+SUM(C5:C9)</f>
        <v/>
      </c>
      <c r="D19" s="60">
        <f>SUM(D12:D18)+SUM(D5:D9)</f>
        <v/>
      </c>
      <c r="E19" s="60">
        <f>SUM(E12:E18)+SUM(E5:E9)</f>
        <v/>
      </c>
      <c r="F19" s="60">
        <f>SUM(F12:F18)+SUM(F5:F9)</f>
        <v/>
      </c>
      <c r="G19" s="657" t="inlineStr">
        <is>
          <t>a aBa Management según adenda 141101</t>
        </is>
      </c>
      <c r="H19" s="658" t="n"/>
      <c r="I19" s="46" t="n"/>
      <c r="J19" s="116">
        <f>SUM(J5:J18)</f>
        <v/>
      </c>
      <c r="K19" s="118" t="inlineStr">
        <is>
          <t>TOTAL</t>
        </is>
      </c>
    </row>
    <row r="20" ht="15" customHeight="1" s="700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52" t="n"/>
    </row>
    <row r="22">
      <c r="A22" s="46" t="n"/>
      <c r="B22" s="46" t="n"/>
      <c r="C22" s="46" t="n"/>
      <c r="D22" s="46" t="n"/>
      <c r="E22" s="46" t="n"/>
      <c r="F22" s="46" t="n"/>
      <c r="G22" s="46" t="n"/>
      <c r="H22" s="46" t="n"/>
      <c r="I22" s="46" t="n"/>
      <c r="J22" s="46" t="n"/>
    </row>
    <row r="23">
      <c r="A23" s="46" t="n"/>
      <c r="B23" s="46" t="n"/>
      <c r="C23" s="46" t="n"/>
      <c r="D23" s="46" t="n"/>
      <c r="E23" s="46" t="n"/>
      <c r="F23" s="46" t="n"/>
      <c r="G23" s="46" t="n"/>
      <c r="H23" s="46" t="n"/>
      <c r="I23" s="46" t="n"/>
      <c r="J23" s="46" t="n"/>
    </row>
    <row r="24">
      <c r="A24" s="46" t="n"/>
      <c r="B24" s="46" t="n"/>
      <c r="C24" s="46" t="n"/>
      <c r="D24" s="46" t="n"/>
      <c r="E24" s="46" t="n"/>
      <c r="F24" s="46" t="n"/>
      <c r="G24" s="46" t="n"/>
      <c r="H24" s="46" t="n"/>
      <c r="I24" s="46" t="n"/>
      <c r="J24" s="46" t="n"/>
    </row>
    <row r="25">
      <c r="A25" s="46" t="n"/>
      <c r="B25" s="46" t="n"/>
      <c r="C25" s="46" t="n"/>
      <c r="D25" s="46" t="n"/>
      <c r="E25" s="46" t="n"/>
      <c r="F25" s="46" t="n"/>
      <c r="G25" s="46" t="n"/>
      <c r="H25" s="46" t="n"/>
      <c r="I25" s="46" t="n"/>
      <c r="J25" s="46" t="n"/>
    </row>
    <row r="26">
      <c r="A26" s="46" t="n"/>
      <c r="B26" s="46" t="n"/>
      <c r="C26" s="46" t="n"/>
      <c r="D26" s="46" t="n"/>
      <c r="E26" s="46" t="n"/>
      <c r="F26" s="46" t="n"/>
      <c r="G26" s="46" t="n"/>
      <c r="H26" s="46" t="n"/>
      <c r="I26" s="46" t="n"/>
      <c r="J26" s="46" t="n"/>
    </row>
    <row r="27">
      <c r="A27" s="46" t="n"/>
      <c r="B27" s="46" t="n"/>
      <c r="C27" s="46" t="n"/>
      <c r="D27" s="46" t="n"/>
      <c r="E27" s="46" t="n"/>
      <c r="F27" s="46" t="n"/>
      <c r="G27" s="46" t="n"/>
      <c r="H27" s="46" t="n"/>
      <c r="I27" s="46" t="n"/>
      <c r="J27" s="46" t="n"/>
    </row>
    <row r="28">
      <c r="A28" s="46" t="n"/>
      <c r="B28" s="46" t="n"/>
      <c r="C28" s="46" t="n"/>
      <c r="D28" s="46" t="n"/>
      <c r="E28" s="46" t="n"/>
      <c r="F28" s="46" t="n"/>
      <c r="G28" s="46" t="n"/>
      <c r="H28" s="46" t="n"/>
      <c r="I28" s="46" t="n"/>
      <c r="J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</row>
    <row r="30">
      <c r="A30" s="46" t="n"/>
      <c r="B30" s="46" t="n"/>
      <c r="C30" s="46" t="n"/>
      <c r="D30" s="46" t="n"/>
      <c r="E30" s="46" t="n"/>
      <c r="F30" s="46" t="n"/>
      <c r="G30" s="46" t="n"/>
      <c r="H30" s="46" t="n"/>
      <c r="I30" s="46" t="n"/>
      <c r="J30" s="46" t="n"/>
    </row>
    <row r="31">
      <c r="A31" s="46" t="n"/>
      <c r="B31" s="46" t="n"/>
      <c r="C31" s="46" t="n"/>
      <c r="D31" s="46" t="n"/>
      <c r="E31" s="46" t="n"/>
      <c r="F31" s="46" t="n"/>
      <c r="G31" s="46" t="n"/>
      <c r="H31" s="46" t="n"/>
      <c r="I31" s="46" t="n"/>
      <c r="J31" s="46" t="n"/>
    </row>
    <row r="32">
      <c r="A32" s="46" t="n"/>
      <c r="B32" s="46" t="n"/>
      <c r="C32" s="46" t="n"/>
      <c r="D32" s="46" t="n"/>
      <c r="E32" s="46" t="n"/>
      <c r="F32" s="46" t="n"/>
      <c r="G32" s="46" t="n"/>
      <c r="H32" s="46" t="n"/>
      <c r="I32" s="46" t="n"/>
      <c r="J32" s="46" t="n"/>
    </row>
    <row r="33">
      <c r="A33" s="46" t="n"/>
      <c r="B33" s="46" t="n"/>
      <c r="C33" s="46" t="n"/>
      <c r="D33" s="46" t="n"/>
      <c r="E33" s="46" t="n"/>
      <c r="F33" s="46" t="n"/>
      <c r="G33" s="46" t="n"/>
      <c r="H33" s="46" t="n"/>
      <c r="I33" s="46" t="n"/>
      <c r="J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</row>
  </sheetData>
  <mergeCells count="4">
    <mergeCell ref="G19:H19"/>
    <mergeCell ref="K5:K8"/>
    <mergeCell ref="I5:I9"/>
    <mergeCell ref="A5:A8"/>
  </mergeCells>
  <pageMargins left="0.7" right="0.7" top="0.75" bottom="0.75" header="0.3" footer="0.3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Hoja15">
    <outlinePr summaryBelow="1" summaryRight="1"/>
    <pageSetUpPr/>
  </sheetPr>
  <dimension ref="A1:T167"/>
  <sheetViews>
    <sheetView workbookViewId="0">
      <selection activeCell="K18" sqref="C12:K18"/>
    </sheetView>
  </sheetViews>
  <sheetFormatPr baseColWidth="10" defaultColWidth="11.3828125" defaultRowHeight="14.15"/>
  <cols>
    <col width="4.53515625" customWidth="1" style="655" min="1" max="1"/>
    <col width="27.15234375" customWidth="1" style="655" min="2" max="2"/>
    <col width="13.15234375" customWidth="1" style="655" min="3" max="3"/>
    <col hidden="1" width="13.3828125" customWidth="1" style="655" min="4" max="4"/>
    <col hidden="1" width="11" customWidth="1" style="655" min="5" max="5"/>
    <col width="15.3828125" customWidth="1" style="655" min="6" max="6"/>
    <col hidden="1" width="13.3828125" customWidth="1" style="655" min="7" max="7"/>
    <col hidden="1" width="11" customWidth="1" style="655" min="8" max="8"/>
    <col width="15" customWidth="1" style="655" min="9" max="9"/>
    <col hidden="1" width="9.3828125" customWidth="1" style="655" min="10" max="10"/>
    <col width="13.3828125" bestFit="1" customWidth="1" style="655" min="11" max="11"/>
    <col width="13.3828125" customWidth="1" style="655" min="12" max="13"/>
    <col width="17.3828125" customWidth="1" style="655" min="14" max="14"/>
    <col width="16.3828125" bestFit="1" customWidth="1" style="655" min="15" max="15"/>
    <col width="20.53515625" bestFit="1" customWidth="1" style="655" min="16" max="16"/>
    <col width="19.53515625" bestFit="1" customWidth="1" style="655" min="17" max="17"/>
    <col width="12.15234375" bestFit="1" customWidth="1" style="655" min="18" max="18"/>
    <col width="11.3828125" customWidth="1" style="655" min="19" max="19"/>
    <col width="15.3828125" bestFit="1" customWidth="1" style="655" min="20" max="20"/>
    <col width="11.3828125" customWidth="1" style="655" min="21" max="31"/>
    <col width="11.3828125" customWidth="1" style="655" min="32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  <c r="Q1" s="46" t="n"/>
      <c r="R1" s="46" t="n"/>
      <c r="S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  <c r="Q2" s="46" t="n"/>
      <c r="R2" s="46" t="n"/>
      <c r="S2" s="46" t="n"/>
    </row>
    <row r="3" ht="69" customHeight="1" s="700" thickBot="1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K3" s="87" t="n"/>
      <c r="L3" s="87" t="n"/>
      <c r="M3" s="87" t="n"/>
      <c r="O3" s="46" t="n"/>
      <c r="P3" s="46" t="n"/>
      <c r="Q3" s="46" t="n"/>
      <c r="R3" s="46" t="n"/>
      <c r="S3" s="46" t="n"/>
    </row>
    <row r="4" ht="18" customHeight="1" s="700">
      <c r="A4" s="46" t="n"/>
      <c r="B4" s="119" t="inlineStr">
        <is>
          <t>FONDO I</t>
        </is>
      </c>
      <c r="C4" s="666" t="inlineStr">
        <is>
          <t>SPV</t>
        </is>
      </c>
      <c r="D4" s="667" t="n"/>
      <c r="E4" s="663" t="n"/>
      <c r="F4" s="668" t="inlineStr">
        <is>
          <t>ACC</t>
        </is>
      </c>
      <c r="G4" s="667" t="n"/>
      <c r="H4" s="663" t="n"/>
      <c r="I4" s="662" t="inlineStr">
        <is>
          <t>O&amp;M</t>
        </is>
      </c>
      <c r="J4" s="663" t="n"/>
      <c r="K4" s="662" t="inlineStr">
        <is>
          <t>Consult</t>
        </is>
      </c>
      <c r="L4" s="662" t="inlineStr">
        <is>
          <t>Cuentas</t>
        </is>
      </c>
      <c r="M4" s="121" t="inlineStr">
        <is>
          <t>Secretaría</t>
        </is>
      </c>
      <c r="N4" s="46" t="n"/>
    </row>
    <row r="5" ht="14.9" customHeight="1" s="700">
      <c r="A5" s="654" t="inlineStr">
        <is>
          <t>Renova</t>
        </is>
      </c>
      <c r="B5" s="122" t="inlineStr">
        <is>
          <t>Valverde</t>
        </is>
      </c>
      <c r="C5" s="661">
        <f>3750*0.4*(1+$O$22)</f>
        <v/>
      </c>
      <c r="D5" s="665">
        <f>C5*0.7</f>
        <v/>
      </c>
      <c r="E5" s="665">
        <f>C5*0.3*(1+$O$22)</f>
        <v/>
      </c>
      <c r="F5" s="661">
        <f>3400*0.75*(1+$O$22)</f>
        <v/>
      </c>
      <c r="G5" s="665">
        <f>F5*0.5</f>
        <v/>
      </c>
      <c r="H5" s="665">
        <f>F5*0.3</f>
        <v/>
      </c>
      <c r="I5" s="58">
        <f>820*0.4*(1+$O$22)</f>
        <v/>
      </c>
      <c r="J5" s="59" t="inlineStr">
        <is>
          <t>n/a</t>
        </is>
      </c>
      <c r="K5" s="58">
        <f>2500*2500/(100+300+2500+1600+4000)*(1+$O$22)/25</f>
        <v/>
      </c>
      <c r="L5" s="58" t="n">
        <v>0</v>
      </c>
      <c r="M5" s="123" t="n">
        <v>0</v>
      </c>
      <c r="N5" s="660" t="inlineStr">
        <is>
          <t>Gastos generales: 3,5 % del honorario global</t>
        </is>
      </c>
      <c r="O5" s="664">
        <f>C5*12</f>
        <v/>
      </c>
      <c r="P5" s="664">
        <f>F5*12</f>
        <v/>
      </c>
      <c r="Q5" s="664">
        <f>SUM(I5:I8)*12</f>
        <v/>
      </c>
      <c r="R5" s="664">
        <f>SUM(K5:K8)*12</f>
        <v/>
      </c>
      <c r="S5" s="669">
        <f>SUM(O5:R8)</f>
        <v/>
      </c>
      <c r="T5" s="659" t="inlineStr">
        <is>
          <t>RENOVA</t>
        </is>
      </c>
    </row>
    <row r="6" ht="15" customHeight="1" s="700">
      <c r="B6" s="122" t="inlineStr">
        <is>
          <t>Castuera</t>
        </is>
      </c>
      <c r="C6" s="646" t="n"/>
      <c r="D6" s="646" t="n"/>
      <c r="E6" s="646" t="n"/>
      <c r="F6" s="646" t="n"/>
      <c r="G6" s="646" t="n"/>
      <c r="H6" s="646" t="n"/>
      <c r="I6" s="58">
        <f>820*0.4*(1+$O$22)</f>
        <v/>
      </c>
      <c r="J6" s="59" t="inlineStr">
        <is>
          <t>n/a</t>
        </is>
      </c>
      <c r="K6" s="58">
        <f>2500*2500/(100+300+2500+1600+4000)*(1+$O$22)/25</f>
        <v/>
      </c>
      <c r="L6" s="58" t="n">
        <v>0</v>
      </c>
      <c r="M6" s="123" t="n">
        <v>0</v>
      </c>
      <c r="O6" s="646" t="n"/>
      <c r="P6" s="646" t="n"/>
      <c r="Q6" s="646" t="n"/>
      <c r="R6" s="646" t="n"/>
      <c r="S6" s="646" t="n"/>
      <c r="T6" s="646" t="n"/>
    </row>
    <row r="7" ht="15" customHeight="1" s="700">
      <c r="B7" s="122" t="inlineStr">
        <is>
          <t>Paiporta</t>
        </is>
      </c>
      <c r="C7" s="646" t="n"/>
      <c r="D7" s="646" t="n"/>
      <c r="E7" s="646" t="n"/>
      <c r="F7" s="646" t="n"/>
      <c r="G7" s="646" t="n"/>
      <c r="H7" s="646" t="n"/>
      <c r="I7" s="58">
        <f>820*0.4*(1+$O$22)</f>
        <v/>
      </c>
      <c r="J7" s="59" t="inlineStr">
        <is>
          <t>n/a</t>
        </is>
      </c>
      <c r="K7" s="58">
        <f>2500*2500/(100+300+2500+1600+4000)*(1+$O$22)/25</f>
        <v/>
      </c>
      <c r="L7" s="58" t="n">
        <v>0</v>
      </c>
      <c r="M7" s="123" t="n">
        <v>0</v>
      </c>
      <c r="O7" s="646" t="n"/>
      <c r="P7" s="646" t="n"/>
      <c r="Q7" s="646" t="n"/>
      <c r="R7" s="646" t="n"/>
      <c r="S7" s="646" t="n"/>
      <c r="T7" s="646" t="n"/>
    </row>
    <row r="8" ht="15" customHeight="1" s="700">
      <c r="B8" s="122" t="inlineStr">
        <is>
          <t>Bonaire</t>
        </is>
      </c>
      <c r="C8" s="647" t="n"/>
      <c r="D8" s="647" t="n"/>
      <c r="E8" s="647" t="n"/>
      <c r="F8" s="647" t="n"/>
      <c r="G8" s="647" t="n"/>
      <c r="H8" s="647" t="n"/>
      <c r="I8" s="58">
        <f>820*0.4*(1+$O$22)</f>
        <v/>
      </c>
      <c r="J8" s="59" t="inlineStr">
        <is>
          <t>n/a</t>
        </is>
      </c>
      <c r="K8" s="58">
        <f>2500*2500/(100+300+2500+1600+4000)*(1+$O$22)/25</f>
        <v/>
      </c>
      <c r="L8" s="58" t="n">
        <v>0</v>
      </c>
      <c r="M8" s="123" t="n">
        <v>0</v>
      </c>
      <c r="O8" s="647" t="n"/>
      <c r="P8" s="647" t="n"/>
      <c r="Q8" s="647" t="n"/>
      <c r="R8" s="647" t="n"/>
      <c r="S8" s="647" t="n"/>
      <c r="T8" s="647" t="n"/>
    </row>
    <row r="9" ht="15.75" customHeight="1" s="700" thickBot="1">
      <c r="A9" s="46" t="n"/>
      <c r="B9" s="124" t="inlineStr">
        <is>
          <t>Coreses</t>
        </is>
      </c>
      <c r="C9" s="125">
        <f>980*(1+$O$22)</f>
        <v/>
      </c>
      <c r="D9" s="126">
        <f>C9*0.7</f>
        <v/>
      </c>
      <c r="E9" s="126">
        <f>C9*0.3</f>
        <v/>
      </c>
      <c r="F9" s="125">
        <f>980*(1+$O$22)</f>
        <v/>
      </c>
      <c r="G9" s="126">
        <f>F9*0.5</f>
        <v/>
      </c>
      <c r="H9" s="126">
        <f>G9*0.3</f>
        <v/>
      </c>
      <c r="I9" s="125">
        <f>820*(1+$O$22)</f>
        <v/>
      </c>
      <c r="J9" s="127" t="inlineStr">
        <is>
          <t>n/a</t>
        </is>
      </c>
      <c r="K9" s="125">
        <f>2500*4000/(100+300+2500+1600+4000)*(1+$O$22)</f>
        <v/>
      </c>
      <c r="L9" s="125" t="n">
        <v>0</v>
      </c>
      <c r="M9" s="128" t="n">
        <v>0</v>
      </c>
      <c r="O9" s="103">
        <f>C9*12</f>
        <v/>
      </c>
      <c r="P9" s="103">
        <f>F9*12</f>
        <v/>
      </c>
      <c r="Q9" s="103">
        <f>I9*12</f>
        <v/>
      </c>
      <c r="R9" s="103">
        <f>K9*12</f>
        <v/>
      </c>
      <c r="S9" s="104">
        <f>SUM(O9:R9)</f>
        <v/>
      </c>
      <c r="T9" s="105" t="inlineStr">
        <is>
          <t>CORESES</t>
        </is>
      </c>
    </row>
    <row r="10" ht="15.75" customHeight="1" s="700" thickBot="1">
      <c r="A10" s="46" t="n"/>
      <c r="B10" s="46" t="n"/>
      <c r="C10" s="60" t="n"/>
      <c r="D10" s="60" t="n"/>
      <c r="E10" s="60" t="n"/>
      <c r="F10" s="60" t="n"/>
      <c r="G10" s="60" t="n"/>
      <c r="H10" s="60" t="n"/>
      <c r="I10" s="60" t="n"/>
      <c r="J10" s="46" t="n"/>
      <c r="K10" s="46" t="n"/>
      <c r="L10" s="46" t="n"/>
      <c r="M10" s="46" t="n"/>
      <c r="N10" s="46" t="n"/>
      <c r="O10" s="79" t="n"/>
      <c r="P10" s="79" t="n"/>
      <c r="Q10" s="79" t="n"/>
      <c r="R10" s="79" t="n"/>
      <c r="S10" s="92" t="n"/>
      <c r="T10" s="72" t="n"/>
    </row>
    <row r="11" ht="18.75" customHeight="1" s="700" thickBot="1">
      <c r="A11" s="46" t="n"/>
      <c r="B11" s="119" t="inlineStr">
        <is>
          <t>FONDO II</t>
        </is>
      </c>
      <c r="C11" s="666" t="inlineStr">
        <is>
          <t>SPV</t>
        </is>
      </c>
      <c r="D11" s="667" t="n"/>
      <c r="E11" s="663" t="n"/>
      <c r="F11" s="668" t="inlineStr">
        <is>
          <t>ACC</t>
        </is>
      </c>
      <c r="G11" s="667" t="n"/>
      <c r="H11" s="663" t="n"/>
      <c r="I11" s="662" t="inlineStr">
        <is>
          <t>O&amp;M</t>
        </is>
      </c>
      <c r="J11" s="663" t="n"/>
      <c r="K11" s="662" t="inlineStr">
        <is>
          <t>Consult</t>
        </is>
      </c>
      <c r="L11" s="662" t="n"/>
      <c r="M11" s="121" t="n"/>
      <c r="N11" s="46" t="n"/>
      <c r="O11" s="79" t="n"/>
      <c r="P11" s="79" t="n"/>
      <c r="Q11" s="79" t="n"/>
      <c r="R11" s="79" t="n"/>
      <c r="S11" s="92" t="n"/>
      <c r="T11" s="72" t="n"/>
    </row>
    <row r="12" ht="15" customHeight="1" s="700">
      <c r="A12" s="46" t="n"/>
      <c r="B12" s="122" t="inlineStr">
        <is>
          <t>Villamartín</t>
        </is>
      </c>
      <c r="C12" s="58">
        <f>1200*(1+$O$22)</f>
        <v/>
      </c>
      <c r="D12" s="61">
        <f>C12*0.7</f>
        <v/>
      </c>
      <c r="E12" s="61">
        <f>C12*0.3</f>
        <v/>
      </c>
      <c r="F12" s="58">
        <f>1400*(1+$O$22)</f>
        <v/>
      </c>
      <c r="G12" s="61">
        <f>F12*0.5</f>
        <v/>
      </c>
      <c r="H12" s="61">
        <f>F12*0.3</f>
        <v/>
      </c>
      <c r="I12" s="58">
        <f>820*(1+$O$22)</f>
        <v/>
      </c>
      <c r="J12" s="59" t="inlineStr">
        <is>
          <t>n/a</t>
        </is>
      </c>
      <c r="K12" s="58">
        <f>2500*5450/(1000+5450+3160)*(1+O22)</f>
        <v/>
      </c>
      <c r="L12" s="58" t="n">
        <v>0</v>
      </c>
      <c r="M12" s="123" t="n">
        <v>0</v>
      </c>
      <c r="N12" s="660" t="n"/>
      <c r="O12" s="106">
        <f>C12*12</f>
        <v/>
      </c>
      <c r="P12" s="107">
        <f>F12*12</f>
        <v/>
      </c>
      <c r="Q12" s="107">
        <f>I12*12</f>
        <v/>
      </c>
      <c r="R12" s="107">
        <f>K12*12</f>
        <v/>
      </c>
      <c r="S12" s="108">
        <f>SUM(O12:R12)</f>
        <v/>
      </c>
      <c r="T12" s="109" t="inlineStr">
        <is>
          <t>VILLAMARTÍN</t>
        </is>
      </c>
    </row>
    <row r="13" ht="15" customHeight="1" s="700">
      <c r="A13" s="46" t="n"/>
      <c r="B13" s="122" t="inlineStr">
        <is>
          <t>Sollana (2.1)</t>
        </is>
      </c>
      <c r="C13" s="58">
        <f>950*(1+$O$22)</f>
        <v/>
      </c>
      <c r="D13" s="61">
        <f>C13*0.7</f>
        <v/>
      </c>
      <c r="E13" s="61">
        <f>C13*0.3</f>
        <v/>
      </c>
      <c r="F13" s="58">
        <f>1000*(1+$O$22)</f>
        <v/>
      </c>
      <c r="G13" s="61">
        <f>F13*0.5</f>
        <v/>
      </c>
      <c r="H13" s="61">
        <f>F13*0.3</f>
        <v/>
      </c>
      <c r="I13" s="58">
        <f>820*(1+$O$22)</f>
        <v/>
      </c>
      <c r="J13" s="59" t="inlineStr">
        <is>
          <t>n/a</t>
        </is>
      </c>
      <c r="K13" s="58">
        <f>2500*1000/(1000+5450+3160)*(1+O22)</f>
        <v/>
      </c>
      <c r="L13" s="134" t="n">
        <v>0</v>
      </c>
      <c r="M13" s="135" t="n">
        <v>0</v>
      </c>
      <c r="O13" s="110">
        <f>C13*12</f>
        <v/>
      </c>
      <c r="P13" s="103">
        <f>F13*12</f>
        <v/>
      </c>
      <c r="Q13" s="103">
        <f>I13*12</f>
        <v/>
      </c>
      <c r="R13" s="103">
        <f>K13*12</f>
        <v/>
      </c>
      <c r="S13" s="104">
        <f>SUM(O13:R13)</f>
        <v/>
      </c>
      <c r="T13" s="111" t="inlineStr">
        <is>
          <t>SOLLANA</t>
        </is>
      </c>
    </row>
    <row r="14" ht="15" customHeight="1" s="700">
      <c r="A14" s="46" t="n"/>
      <c r="B14" s="122" t="inlineStr">
        <is>
          <t>Artá (2.3)</t>
        </is>
      </c>
      <c r="C14" s="58">
        <f>950*(1+$O$22)</f>
        <v/>
      </c>
      <c r="D14" s="61">
        <f>C14*0.7</f>
        <v/>
      </c>
      <c r="E14" s="61">
        <f>C14*0.3</f>
        <v/>
      </c>
      <c r="F14" s="58">
        <f>1000*(1+$O$22)</f>
        <v/>
      </c>
      <c r="G14" s="61">
        <f>F14*0.5</f>
        <v/>
      </c>
      <c r="H14" s="61">
        <f>F14*0.3</f>
        <v/>
      </c>
      <c r="I14" s="58">
        <f>820*(1+$O$22)</f>
        <v/>
      </c>
      <c r="J14" s="59" t="inlineStr">
        <is>
          <t>n/a</t>
        </is>
      </c>
      <c r="K14" s="58">
        <f>2500*3160/(1000+5450+3160)*(1+O22)</f>
        <v/>
      </c>
      <c r="L14" s="134" t="n">
        <v>0</v>
      </c>
      <c r="M14" s="135" t="n">
        <v>0</v>
      </c>
      <c r="O14" s="110">
        <f>C14*12</f>
        <v/>
      </c>
      <c r="P14" s="103">
        <f>F14*12</f>
        <v/>
      </c>
      <c r="Q14" s="103">
        <f>I14*12</f>
        <v/>
      </c>
      <c r="R14" s="103">
        <f>K14*12</f>
        <v/>
      </c>
      <c r="S14" s="104">
        <f>SUM(O14:R14)</f>
        <v/>
      </c>
      <c r="T14" s="111" t="inlineStr">
        <is>
          <t>ARTÀ</t>
        </is>
      </c>
    </row>
    <row r="15" ht="15" customHeight="1" s="700">
      <c r="A15" s="46" t="n"/>
      <c r="B15" s="122" t="inlineStr">
        <is>
          <t>Casa Roja (2.5) - Lo Illán</t>
        </is>
      </c>
      <c r="C15" s="58">
        <f>950*(1+$O$22)</f>
        <v/>
      </c>
      <c r="D15" s="61" t="n"/>
      <c r="E15" s="61" t="n"/>
      <c r="F15" s="58">
        <f>1000*(1+$O$22)</f>
        <v/>
      </c>
      <c r="G15" s="61" t="n"/>
      <c r="H15" s="61" t="n"/>
      <c r="I15" s="58">
        <f>820*(1+$O$22)</f>
        <v/>
      </c>
      <c r="J15" s="59" t="inlineStr">
        <is>
          <t>n/a</t>
        </is>
      </c>
      <c r="K15" s="58">
        <f>5000*2/7*(1+O22)</f>
        <v/>
      </c>
      <c r="L15" s="134" t="n">
        <v>0</v>
      </c>
      <c r="M15" s="135" t="n">
        <v>0</v>
      </c>
      <c r="O15" s="110">
        <f>C15*12</f>
        <v/>
      </c>
      <c r="P15" s="103">
        <f>F15*12</f>
        <v/>
      </c>
      <c r="Q15" s="103">
        <f>I15*12</f>
        <v/>
      </c>
      <c r="R15" s="103">
        <f>K15*12</f>
        <v/>
      </c>
      <c r="S15" s="104">
        <f>SUM(O15:R15)</f>
        <v/>
      </c>
      <c r="T15" s="111" t="inlineStr">
        <is>
          <t>LO ILLÁN</t>
        </is>
      </c>
    </row>
    <row r="16" ht="15" customHeight="1" s="700">
      <c r="A16" s="46" t="n"/>
      <c r="B16" s="122" t="inlineStr">
        <is>
          <t>Casa Roja (2.5) - Contreras</t>
        </is>
      </c>
      <c r="C16" s="58">
        <f>950*(1+$O$22)</f>
        <v/>
      </c>
      <c r="D16" s="61" t="n"/>
      <c r="E16" s="61" t="n"/>
      <c r="F16" s="58">
        <f>1000*(1+$O$22)</f>
        <v/>
      </c>
      <c r="G16" s="61" t="n"/>
      <c r="H16" s="61" t="n"/>
      <c r="I16" s="58">
        <f>820*(1+$O$22)</f>
        <v/>
      </c>
      <c r="J16" s="59" t="inlineStr">
        <is>
          <t>n/a</t>
        </is>
      </c>
      <c r="K16" s="58">
        <f>5000*3/7*(1+O22)</f>
        <v/>
      </c>
      <c r="L16" s="134" t="n">
        <v>0</v>
      </c>
      <c r="M16" s="135" t="n">
        <v>0</v>
      </c>
      <c r="O16" s="110">
        <f>C16*12</f>
        <v/>
      </c>
      <c r="P16" s="103">
        <f>F16*12</f>
        <v/>
      </c>
      <c r="Q16" s="103">
        <f>I16*12</f>
        <v/>
      </c>
      <c r="R16" s="103">
        <f>K16*12</f>
        <v/>
      </c>
      <c r="S16" s="104">
        <f>SUM(O16:R16)</f>
        <v/>
      </c>
      <c r="T16" s="111" t="inlineStr">
        <is>
          <t>CONTRERAS</t>
        </is>
      </c>
    </row>
    <row r="17" ht="15" customHeight="1" s="700">
      <c r="A17" s="46" t="n"/>
      <c r="B17" s="122" t="inlineStr">
        <is>
          <t>Casa Roja (2.5) - Turbinto</t>
        </is>
      </c>
      <c r="C17" s="58">
        <f>950*(1+$O$22)</f>
        <v/>
      </c>
      <c r="D17" s="61" t="n"/>
      <c r="E17" s="61" t="n"/>
      <c r="F17" s="58">
        <f>1000*(1+$O$22)</f>
        <v/>
      </c>
      <c r="G17" s="61" t="n"/>
      <c r="H17" s="61" t="n"/>
      <c r="I17" s="58">
        <f>820*(1+$O$22)</f>
        <v/>
      </c>
      <c r="J17" s="59" t="inlineStr">
        <is>
          <t>n/a</t>
        </is>
      </c>
      <c r="K17" s="58">
        <f>5000*2/7*(1+O22)</f>
        <v/>
      </c>
      <c r="L17" s="134" t="n">
        <v>0</v>
      </c>
      <c r="M17" s="135" t="n">
        <v>0</v>
      </c>
      <c r="O17" s="110">
        <f>C17*12</f>
        <v/>
      </c>
      <c r="P17" s="103">
        <f>F17*12</f>
        <v/>
      </c>
      <c r="Q17" s="103">
        <f>I17*12</f>
        <v/>
      </c>
      <c r="R17" s="103">
        <f>K17*12</f>
        <v/>
      </c>
      <c r="S17" s="104">
        <f>SUM(O17:R17)</f>
        <v/>
      </c>
      <c r="T17" s="111" t="inlineStr">
        <is>
          <t>TURBINTO</t>
        </is>
      </c>
    </row>
    <row r="18" ht="15.75" customHeight="1" s="700" thickBot="1">
      <c r="A18" s="46" t="n"/>
      <c r="B18" s="124" t="inlineStr">
        <is>
          <t xml:space="preserve">AE3000 (2.7) - Proyecto 1 </t>
        </is>
      </c>
      <c r="C18" s="129">
        <f>18000/12*(1+$O$25)</f>
        <v/>
      </c>
      <c r="D18" s="126">
        <f>C18*0.7</f>
        <v/>
      </c>
      <c r="E18" s="126">
        <f>C18*0.3</f>
        <v/>
      </c>
      <c r="F18" s="129">
        <f>11400/12*(1+$O$25)</f>
        <v/>
      </c>
      <c r="G18" s="126">
        <f>F18*0.5</f>
        <v/>
      </c>
      <c r="H18" s="126">
        <f>F18*0.3</f>
        <v/>
      </c>
      <c r="I18" s="129">
        <f>14760/12*(1+$O$25)</f>
        <v/>
      </c>
      <c r="J18" s="127" t="inlineStr">
        <is>
          <t>n/a</t>
        </is>
      </c>
      <c r="K18" s="127" t="n"/>
      <c r="L18" s="125" t="n">
        <v>0</v>
      </c>
      <c r="M18" s="128" t="n">
        <v>0</v>
      </c>
      <c r="O18" s="112">
        <f>C18*12</f>
        <v/>
      </c>
      <c r="P18" s="113">
        <f>F18*12</f>
        <v/>
      </c>
      <c r="Q18" s="113">
        <f>I18*12</f>
        <v/>
      </c>
      <c r="R18" s="113" t="n">
        <v>0</v>
      </c>
      <c r="S18" s="114">
        <f>SUM(O18:R18)</f>
        <v/>
      </c>
      <c r="T18" s="115" t="inlineStr">
        <is>
          <t>AE3000</t>
        </is>
      </c>
    </row>
    <row r="19" ht="15.75" customHeight="1" s="700" thickBot="1">
      <c r="A19" s="46" t="n"/>
      <c r="B19" s="46" t="n"/>
      <c r="C19" s="46" t="n"/>
      <c r="D19" s="46" t="n"/>
      <c r="E19" s="46" t="n"/>
      <c r="F19" s="46" t="n"/>
      <c r="G19" s="46" t="n"/>
      <c r="H19" s="46" t="n"/>
      <c r="I19" s="46" t="n"/>
      <c r="J19" s="46" t="n"/>
      <c r="K19" s="46" t="n"/>
      <c r="L19" s="657" t="inlineStr">
        <is>
          <t>a aBa Management según adenda 141101</t>
        </is>
      </c>
      <c r="M19" s="658" t="n"/>
      <c r="N19" s="46" t="n"/>
      <c r="O19" s="116">
        <f>SUM(O5:O18)</f>
        <v/>
      </c>
      <c r="P19" s="117">
        <f>SUM(P5:P18)</f>
        <v/>
      </c>
      <c r="Q19" s="117">
        <f>SUM(Q5:Q18)</f>
        <v/>
      </c>
      <c r="R19" s="117">
        <f>SUM(R5:R18)</f>
        <v/>
      </c>
      <c r="S19" s="117">
        <f>SUM(O19:R19)</f>
        <v/>
      </c>
      <c r="T19" s="118" t="inlineStr">
        <is>
          <t>TOTAL</t>
        </is>
      </c>
    </row>
    <row r="20" ht="15" customHeight="1" s="700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  <c r="K20" s="46" t="n"/>
      <c r="L20" s="46" t="n"/>
      <c r="M20" s="46" t="n"/>
      <c r="N20" s="46" t="n"/>
      <c r="O20" s="46" t="n"/>
      <c r="P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52">
        <f>1*(1+Q21)*(1+Q22)*(1+Q23)*(1+Q25)*(1+Q27)*(1+Q29)</f>
        <v/>
      </c>
      <c r="P21" s="46" t="inlineStr">
        <is>
          <t>Revisión 2009-2010</t>
        </is>
      </c>
      <c r="Q21" s="53" t="n">
        <v>0.0208</v>
      </c>
      <c r="R21" s="46" t="n"/>
    </row>
    <row r="22">
      <c r="A22" s="46" t="n"/>
      <c r="B22" s="46" t="n"/>
      <c r="C22" s="60">
        <f>C18+C17+C16+C15+C14+C13+C12+C9+C5</f>
        <v/>
      </c>
      <c r="D22" s="83">
        <f>C22/$C$23</f>
        <v/>
      </c>
      <c r="E22" s="46" t="n"/>
      <c r="F22" s="60">
        <f>F18+F17+F16+F15+F14+F13+F12+F9+F5</f>
        <v/>
      </c>
      <c r="G22" s="83">
        <f>F22/$C$23</f>
        <v/>
      </c>
      <c r="H22" s="46" t="n"/>
      <c r="I22" s="46" t="n"/>
      <c r="J22" s="46" t="n"/>
      <c r="K22" s="46" t="n"/>
      <c r="L22" s="46" t="n"/>
      <c r="M22" s="46" t="n"/>
      <c r="N22" s="75" t="inlineStr">
        <is>
          <t>Revisión 2013</t>
        </is>
      </c>
      <c r="O22" s="85">
        <f>O21-1</f>
        <v/>
      </c>
      <c r="P22" s="46" t="inlineStr">
        <is>
          <t>Revisión 2010-2011</t>
        </is>
      </c>
      <c r="Q22" s="53" t="n">
        <v>0.029</v>
      </c>
      <c r="R22" s="46" t="n"/>
    </row>
    <row r="23">
      <c r="A23" s="46" t="n"/>
      <c r="B23" s="82" t="inlineStr">
        <is>
          <t>Soc</t>
        </is>
      </c>
      <c r="C23" s="46">
        <f>7+4+1+1+3+1+48</f>
        <v/>
      </c>
      <c r="D23" s="46" t="n"/>
      <c r="E23" s="46" t="n"/>
      <c r="F23" s="46" t="n"/>
      <c r="G23" s="46" t="n"/>
      <c r="H23" s="46" t="n"/>
      <c r="I23" s="46" t="n"/>
      <c r="J23" s="46" t="n"/>
      <c r="K23" s="46" t="n"/>
      <c r="L23" s="46" t="n"/>
      <c r="M23" s="46" t="n"/>
      <c r="N23" s="46" t="n"/>
      <c r="O23" s="46" t="n"/>
      <c r="P23" s="73" t="inlineStr">
        <is>
          <t>Revisión 2011-2012</t>
        </is>
      </c>
      <c r="Q23" s="74" t="n">
        <v>-0.00028</v>
      </c>
      <c r="R23" s="73" t="inlineStr">
        <is>
          <t>Nuevo Index</t>
        </is>
      </c>
    </row>
    <row r="24">
      <c r="A24" s="46" t="n"/>
      <c r="B24" s="46" t="n"/>
      <c r="D24" s="46" t="n"/>
      <c r="E24" s="46" t="n"/>
      <c r="G24" s="46" t="n"/>
      <c r="H24" s="46" t="n"/>
      <c r="I24" s="46" t="n"/>
      <c r="J24" s="46" t="n"/>
      <c r="K24" s="46" t="n"/>
      <c r="L24" s="46" t="n"/>
      <c r="M24" s="46" t="n"/>
      <c r="N24" s="60" t="n"/>
      <c r="O24" s="77">
        <f>1*(1+Q21)*(1+Q22)*(1+Q24)*(1+Q26)*(1+Q28)*(1+Q30)</f>
        <v/>
      </c>
      <c r="P24" s="76" t="inlineStr">
        <is>
          <t>AE3000 - 2011/2012</t>
        </is>
      </c>
      <c r="Q24" s="53" t="n">
        <v>0.029</v>
      </c>
      <c r="R24" s="46" t="n"/>
    </row>
    <row r="25">
      <c r="A25" s="46" t="n"/>
      <c r="B25" s="82" t="inlineStr">
        <is>
          <t>Soc Renova</t>
        </is>
      </c>
      <c r="C25" s="46" t="n">
        <v>48</v>
      </c>
      <c r="D25" s="46" t="n"/>
      <c r="E25" s="46" t="n"/>
      <c r="F25" s="46" t="n">
        <v>48</v>
      </c>
      <c r="G25" s="46" t="n"/>
      <c r="H25" s="46" t="n"/>
      <c r="I25" s="46" t="n"/>
      <c r="J25" s="46" t="n"/>
      <c r="K25" s="46" t="n"/>
      <c r="L25" s="46" t="n"/>
      <c r="M25" s="46" t="n"/>
      <c r="N25" s="76" t="inlineStr">
        <is>
          <t>Revisión AE3000</t>
        </is>
      </c>
      <c r="O25" s="85">
        <f>O24-1</f>
        <v/>
      </c>
      <c r="P25" s="84" t="inlineStr">
        <is>
          <t>Revisión 2012-2013</t>
        </is>
      </c>
      <c r="Q25" s="97" t="n">
        <v>-0.00322</v>
      </c>
      <c r="R25" s="73" t="inlineStr">
        <is>
          <t>Nuevo Index</t>
        </is>
      </c>
    </row>
    <row r="26">
      <c r="A26" s="46" t="n"/>
      <c r="B26" s="82" t="inlineStr">
        <is>
          <t>Soc No Renova</t>
        </is>
      </c>
      <c r="C26" s="46">
        <f>C23-C25</f>
        <v/>
      </c>
      <c r="D26" s="46" t="n"/>
      <c r="E26" s="46" t="n"/>
      <c r="F26" s="46">
        <f>C23-F25</f>
        <v/>
      </c>
      <c r="G26" s="46" t="n"/>
      <c r="H26" s="46" t="n"/>
      <c r="I26" s="46" t="n"/>
      <c r="J26" s="46" t="n"/>
      <c r="K26" s="46" t="n"/>
      <c r="L26" s="46" t="n"/>
      <c r="M26" s="46" t="n"/>
      <c r="N26" s="46" t="n"/>
      <c r="O26" s="46" t="n"/>
      <c r="P26" s="84" t="inlineStr">
        <is>
          <t>AE3000 - 2012/2013</t>
        </is>
      </c>
      <c r="Q26" s="97" t="n">
        <v>0.00264</v>
      </c>
      <c r="R26" s="46" t="n"/>
    </row>
    <row r="27">
      <c r="A27" s="46" t="n"/>
      <c r="B27" s="82" t="inlineStr">
        <is>
          <t>Ingresos Renova</t>
        </is>
      </c>
      <c r="C27" s="60">
        <f>C5</f>
        <v/>
      </c>
      <c r="D27" s="83">
        <f>C27/C25</f>
        <v/>
      </c>
      <c r="E27" s="46" t="n"/>
      <c r="F27" s="60">
        <f>F5</f>
        <v/>
      </c>
      <c r="G27" s="83">
        <f>F27/F25</f>
        <v/>
      </c>
      <c r="H27" s="46" t="n"/>
      <c r="I27" s="46" t="n"/>
      <c r="J27" s="46" t="n"/>
      <c r="K27" s="46" t="n"/>
      <c r="L27" s="46" t="n"/>
      <c r="M27" s="46" t="n"/>
      <c r="N27" s="46" t="n"/>
      <c r="O27" s="46" t="n"/>
      <c r="P27" s="96" t="inlineStr">
        <is>
          <t>Revisión 2013-2014</t>
        </is>
      </c>
      <c r="Q27" s="85" t="n">
        <v>0.01</v>
      </c>
      <c r="R27" s="96" t="inlineStr">
        <is>
          <t>Nuevo Index</t>
        </is>
      </c>
    </row>
    <row r="28">
      <c r="A28" s="46" t="n"/>
      <c r="B28" s="82" t="inlineStr">
        <is>
          <t>Ingresos No Renova</t>
        </is>
      </c>
      <c r="C28" s="60">
        <f>C18+C17+C16+C15+C14+C13+C12+C9</f>
        <v/>
      </c>
      <c r="D28" s="83">
        <f>C28/C26</f>
        <v/>
      </c>
      <c r="E28" s="46" t="n"/>
      <c r="F28" s="60">
        <f>F18+F17+F16+F15+F14+F13+F12+F9</f>
        <v/>
      </c>
      <c r="G28" s="83">
        <f>F28/F26</f>
        <v/>
      </c>
      <c r="H28" s="46" t="n"/>
      <c r="I28" s="46" t="n"/>
      <c r="J28" s="46" t="n"/>
      <c r="K28" s="46" t="n"/>
      <c r="L28" s="46" t="n"/>
      <c r="M28" s="46" t="n"/>
      <c r="N28" s="46" t="n"/>
      <c r="O28" s="46" t="n"/>
      <c r="P28" s="96" t="inlineStr">
        <is>
          <t>AE3000 - 2013-2014</t>
        </is>
      </c>
      <c r="Q28" s="85" t="n">
        <v>-0.013</v>
      </c>
      <c r="R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  <c r="K29" s="46" t="n"/>
      <c r="L29" s="46" t="n"/>
      <c r="M29" s="46" t="n"/>
      <c r="N29" s="46" t="n"/>
      <c r="O29" s="46" t="n"/>
      <c r="P29" s="96" t="inlineStr">
        <is>
          <t>Revisión 2013-2014</t>
        </is>
      </c>
      <c r="Q29" s="97" t="n">
        <v>0.01</v>
      </c>
      <c r="R29" s="96" t="n"/>
    </row>
    <row r="30">
      <c r="A30" s="46" t="n"/>
      <c r="B30" s="82" t="inlineStr">
        <is>
          <t>9Ren</t>
        </is>
      </c>
      <c r="C30" s="46" t="n"/>
      <c r="D30" s="46" t="n"/>
      <c r="E30" s="46" t="n"/>
      <c r="F30" s="46" t="n"/>
      <c r="G30" s="46" t="n"/>
      <c r="H30" s="46" t="n"/>
      <c r="I30" s="46" t="n"/>
      <c r="J30" s="46" t="n"/>
      <c r="K30" s="46" t="n"/>
      <c r="L30" s="46" t="n"/>
      <c r="M30" s="46" t="n"/>
      <c r="P30" s="96" t="inlineStr">
        <is>
          <t>AE3000 - 2013-2014</t>
        </is>
      </c>
      <c r="Q30" s="97" t="n">
        <v>0</v>
      </c>
      <c r="R30" s="46" t="n"/>
    </row>
    <row r="31">
      <c r="A31" s="46" t="n"/>
      <c r="B31" s="82" t="inlineStr">
        <is>
          <t>Soc</t>
        </is>
      </c>
      <c r="C31" s="46" t="n">
        <v>160</v>
      </c>
      <c r="D31" s="46" t="n"/>
      <c r="E31" s="46" t="n"/>
      <c r="F31" s="46" t="n"/>
      <c r="G31" s="46" t="n"/>
      <c r="H31" s="46" t="n"/>
      <c r="I31" s="46" t="n"/>
      <c r="J31" s="46" t="n"/>
      <c r="K31" s="46" t="n"/>
      <c r="L31" s="46" t="n"/>
      <c r="M31" s="46" t="n"/>
    </row>
    <row r="32">
      <c r="A32" s="46" t="n"/>
      <c r="B32" s="82" t="inlineStr">
        <is>
          <t>Ingresos 9Ren</t>
        </is>
      </c>
      <c r="C32" s="46">
        <f>D32*C31</f>
        <v/>
      </c>
      <c r="D32" s="83" t="n">
        <v>91.66666666666664</v>
      </c>
      <c r="E32" s="46">
        <f>D32*12</f>
        <v/>
      </c>
      <c r="F32" s="46" t="n"/>
      <c r="G32" s="46" t="n"/>
      <c r="H32" s="46" t="n"/>
      <c r="I32" s="46" t="n"/>
      <c r="J32" s="46" t="n"/>
      <c r="K32" s="46" t="n"/>
      <c r="L32" s="46" t="n"/>
      <c r="M32" s="46" t="n"/>
      <c r="N32" s="46" t="n"/>
      <c r="O32" s="46" t="n"/>
      <c r="P32" s="46" t="n"/>
    </row>
    <row r="33">
      <c r="A33" s="46" t="n"/>
      <c r="B33" s="46" t="n"/>
      <c r="C33" s="46">
        <f>C32*12</f>
        <v/>
      </c>
      <c r="D33" s="46" t="n"/>
      <c r="E33" s="46">
        <f>E32*0.025</f>
        <v/>
      </c>
      <c r="F33" s="46" t="n"/>
      <c r="G33" s="46" t="n"/>
      <c r="H33" s="46" t="n"/>
      <c r="I33" s="46" t="n"/>
      <c r="J33" s="46" t="n"/>
      <c r="K33" s="46" t="n"/>
      <c r="L33" s="46" t="n"/>
      <c r="M33" s="46" t="n"/>
      <c r="N33" s="131" t="n"/>
      <c r="O33" s="46" t="n"/>
      <c r="P33" s="46" t="n"/>
      <c r="Q33" s="46" t="n"/>
      <c r="R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  <c r="N34" s="46" t="n"/>
      <c r="O34" s="46" t="n"/>
      <c r="P34" s="46" t="n"/>
      <c r="Q34" s="46" t="n"/>
      <c r="R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  <c r="N35" s="46" t="n"/>
      <c r="O35" s="46" t="n"/>
      <c r="P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  <c r="N36" s="46" t="n"/>
      <c r="O36" s="46" t="n"/>
      <c r="P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  <c r="K37" s="46" t="n"/>
      <c r="L37" s="46" t="n"/>
      <c r="M37" s="46" t="n"/>
      <c r="N37" s="46" t="n"/>
      <c r="O37" s="46" t="n"/>
      <c r="P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  <c r="N38" s="46" t="n"/>
      <c r="O38" s="46" t="n"/>
      <c r="P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  <c r="K39" s="46" t="n"/>
      <c r="L39" s="46" t="n"/>
      <c r="M39" s="46" t="n"/>
      <c r="N39" s="46" t="n"/>
      <c r="O39" s="46" t="n"/>
      <c r="P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  <c r="K40" s="46" t="n"/>
      <c r="L40" s="46" t="n"/>
      <c r="M40" s="46" t="n"/>
      <c r="N40" s="46" t="n"/>
      <c r="O40" s="46" t="n"/>
      <c r="P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  <c r="K41" s="46" t="n"/>
      <c r="L41" s="46" t="n"/>
      <c r="M41" s="46" t="n"/>
      <c r="N41" s="46" t="n"/>
      <c r="O41" s="46" t="n"/>
      <c r="P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  <c r="K42" s="46" t="n"/>
      <c r="L42" s="46" t="n"/>
      <c r="M42" s="46" t="n"/>
      <c r="N42" s="46" t="n"/>
      <c r="O42" s="46" t="n"/>
      <c r="P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  <c r="K43" s="46" t="n"/>
      <c r="L43" s="46" t="n"/>
      <c r="M43" s="46" t="n"/>
      <c r="N43" s="46" t="n"/>
      <c r="O43" s="46" t="n"/>
      <c r="P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  <c r="N44" s="46" t="n"/>
      <c r="O44" s="46" t="n"/>
      <c r="P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  <c r="N45" s="46" t="n"/>
      <c r="O45" s="46" t="n"/>
      <c r="P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  <c r="N46" s="46" t="n"/>
      <c r="O46" s="46" t="n"/>
      <c r="P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  <c r="K47" s="46" t="n"/>
      <c r="L47" s="46" t="n"/>
      <c r="M47" s="46" t="n"/>
      <c r="N47" s="46" t="n"/>
      <c r="O47" s="46" t="n"/>
      <c r="P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  <c r="K48" s="46" t="n"/>
      <c r="L48" s="46" t="n"/>
      <c r="M48" s="46" t="n"/>
      <c r="N48" s="46" t="n"/>
      <c r="O48" s="46" t="n"/>
      <c r="P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  <c r="N49" s="46" t="n"/>
      <c r="O49" s="46" t="n"/>
      <c r="P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  <c r="N50" s="46" t="n"/>
      <c r="O50" s="46" t="n"/>
      <c r="P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  <c r="N51" s="46" t="n"/>
      <c r="O51" s="46" t="n"/>
      <c r="P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  <c r="N52" s="46" t="n"/>
      <c r="O52" s="46" t="n"/>
      <c r="P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  <c r="N53" s="46" t="n"/>
      <c r="O53" s="46" t="n"/>
      <c r="P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  <c r="N54" s="46" t="n"/>
      <c r="O54" s="46" t="n"/>
      <c r="P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  <c r="N55" s="46" t="n"/>
      <c r="O55" s="46" t="n"/>
      <c r="P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  <c r="N56" s="46" t="n"/>
      <c r="O56" s="46" t="n"/>
      <c r="P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  <c r="N57" s="46" t="n"/>
      <c r="O57" s="46" t="n"/>
      <c r="P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  <c r="N58" s="46" t="n"/>
      <c r="O58" s="46" t="n"/>
      <c r="P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  <c r="N59" s="46" t="n"/>
      <c r="O59" s="46" t="n"/>
      <c r="P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  <c r="N60" s="46" t="n"/>
      <c r="O60" s="46" t="n"/>
      <c r="P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  <c r="N61" s="46" t="n"/>
      <c r="O61" s="46" t="n"/>
      <c r="P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  <c r="N62" s="46" t="n"/>
      <c r="O62" s="46" t="n"/>
      <c r="P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  <c r="N63" s="46" t="n"/>
      <c r="O63" s="46" t="n"/>
      <c r="P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  <c r="N64" s="46" t="n"/>
      <c r="O64" s="46" t="n"/>
      <c r="P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  <c r="N65" s="46" t="n"/>
      <c r="O65" s="46" t="n"/>
      <c r="P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  <c r="N66" s="46" t="n"/>
      <c r="O66" s="46" t="n"/>
      <c r="P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  <c r="N67" s="46" t="n"/>
      <c r="O67" s="46" t="n"/>
      <c r="P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  <c r="N68" s="46" t="n"/>
      <c r="O68" s="46" t="n"/>
      <c r="P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  <c r="N69" s="46" t="n"/>
      <c r="O69" s="46" t="n"/>
      <c r="P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  <c r="N70" s="46" t="n"/>
      <c r="O70" s="46" t="n"/>
      <c r="P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  <c r="N71" s="46" t="n"/>
      <c r="O71" s="46" t="n"/>
      <c r="P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  <c r="N72" s="46" t="n"/>
      <c r="O72" s="46" t="n"/>
      <c r="P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  <c r="N73" s="46" t="n"/>
      <c r="O73" s="46" t="n"/>
      <c r="P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  <c r="N74" s="46" t="n"/>
      <c r="O74" s="46" t="n"/>
      <c r="P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  <c r="N75" s="46" t="n"/>
      <c r="O75" s="46" t="n"/>
      <c r="P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  <c r="N76" s="46" t="n"/>
      <c r="O76" s="46" t="n"/>
      <c r="P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  <c r="N77" s="46" t="n"/>
      <c r="O77" s="46" t="n"/>
      <c r="P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  <c r="N78" s="46" t="n"/>
      <c r="O78" s="46" t="n"/>
      <c r="P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  <c r="N79" s="46" t="n"/>
      <c r="O79" s="46" t="n"/>
      <c r="P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  <c r="N80" s="46" t="n"/>
      <c r="O80" s="46" t="n"/>
      <c r="P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  <c r="N81" s="46" t="n"/>
      <c r="O81" s="46" t="n"/>
      <c r="P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  <c r="N82" s="46" t="n"/>
      <c r="O82" s="46" t="n"/>
      <c r="P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  <c r="N83" s="46" t="n"/>
      <c r="O83" s="46" t="n"/>
      <c r="P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  <c r="N84" s="46" t="n"/>
      <c r="O84" s="46" t="n"/>
      <c r="P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  <c r="N85" s="46" t="n"/>
      <c r="O85" s="46" t="n"/>
      <c r="P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  <c r="N86" s="46" t="n"/>
      <c r="O86" s="46" t="n"/>
      <c r="P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  <c r="N87" s="46" t="n"/>
      <c r="O87" s="46" t="n"/>
      <c r="P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  <c r="N88" s="46" t="n"/>
      <c r="O88" s="46" t="n"/>
      <c r="P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  <c r="N89" s="46" t="n"/>
      <c r="O89" s="46" t="n"/>
      <c r="P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  <c r="N90" s="46" t="n"/>
      <c r="O90" s="46" t="n"/>
      <c r="P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  <c r="N91" s="46" t="n"/>
      <c r="O91" s="46" t="n"/>
      <c r="P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  <c r="N92" s="46" t="n"/>
      <c r="O92" s="46" t="n"/>
      <c r="P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  <c r="N93" s="46" t="n"/>
      <c r="O93" s="46" t="n"/>
      <c r="P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  <c r="N94" s="46" t="n"/>
      <c r="O94" s="46" t="n"/>
      <c r="P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  <c r="N95" s="46" t="n"/>
      <c r="O95" s="46" t="n"/>
      <c r="P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  <c r="N96" s="46" t="n"/>
      <c r="O96" s="46" t="n"/>
      <c r="P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  <c r="N97" s="46" t="n"/>
      <c r="O97" s="46" t="n"/>
      <c r="P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  <c r="N98" s="46" t="n"/>
      <c r="O98" s="46" t="n"/>
      <c r="P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  <c r="N99" s="46" t="n"/>
      <c r="O99" s="46" t="n"/>
      <c r="P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  <c r="N100" s="46" t="n"/>
      <c r="O100" s="46" t="n"/>
      <c r="P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  <c r="N101" s="46" t="n"/>
      <c r="O101" s="46" t="n"/>
      <c r="P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  <c r="N102" s="46" t="n"/>
      <c r="O102" s="46" t="n"/>
      <c r="P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  <c r="N103" s="46" t="n"/>
      <c r="O103" s="46" t="n"/>
      <c r="P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  <c r="N104" s="46" t="n"/>
      <c r="O104" s="46" t="n"/>
      <c r="P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  <c r="N105" s="46" t="n"/>
      <c r="O105" s="46" t="n"/>
      <c r="P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  <c r="N106" s="46" t="n"/>
      <c r="O106" s="46" t="n"/>
      <c r="P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  <c r="N107" s="46" t="n"/>
      <c r="O107" s="46" t="n"/>
      <c r="P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  <c r="N108" s="46" t="n"/>
      <c r="O108" s="46" t="n"/>
      <c r="P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  <c r="N109" s="46" t="n"/>
      <c r="O109" s="46" t="n"/>
      <c r="P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  <c r="N110" s="46" t="n"/>
      <c r="O110" s="46" t="n"/>
      <c r="P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  <c r="N111" s="46" t="n"/>
      <c r="O111" s="46" t="n"/>
      <c r="P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  <c r="N112" s="46" t="n"/>
      <c r="O112" s="46" t="n"/>
      <c r="P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  <c r="N113" s="46" t="n"/>
      <c r="O113" s="46" t="n"/>
      <c r="P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  <c r="N114" s="46" t="n"/>
      <c r="O114" s="46" t="n"/>
      <c r="P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  <c r="N115" s="46" t="n"/>
      <c r="O115" s="46" t="n"/>
      <c r="P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  <c r="N116" s="46" t="n"/>
      <c r="O116" s="46" t="n"/>
      <c r="P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  <c r="N117" s="46" t="n"/>
      <c r="O117" s="46" t="n"/>
      <c r="P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  <c r="N118" s="46" t="n"/>
      <c r="O118" s="46" t="n"/>
      <c r="P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  <c r="N119" s="46" t="n"/>
      <c r="O119" s="46" t="n"/>
      <c r="P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  <c r="N120" s="46" t="n"/>
      <c r="O120" s="46" t="n"/>
      <c r="P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  <c r="N121" s="46" t="n"/>
      <c r="O121" s="46" t="n"/>
      <c r="P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  <c r="N122" s="46" t="n"/>
      <c r="O122" s="46" t="n"/>
      <c r="P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  <c r="N123" s="46" t="n"/>
      <c r="O123" s="46" t="n"/>
      <c r="P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  <c r="N124" s="46" t="n"/>
      <c r="O124" s="46" t="n"/>
      <c r="P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  <c r="N125" s="46" t="n"/>
      <c r="O125" s="46" t="n"/>
      <c r="P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  <c r="N126" s="46" t="n"/>
      <c r="O126" s="46" t="n"/>
      <c r="P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  <c r="N127" s="46" t="n"/>
      <c r="O127" s="46" t="n"/>
      <c r="P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  <c r="N128" s="46" t="n"/>
      <c r="O128" s="46" t="n"/>
      <c r="P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  <c r="N129" s="46" t="n"/>
      <c r="O129" s="46" t="n"/>
      <c r="P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  <c r="N130" s="46" t="n"/>
      <c r="O130" s="46" t="n"/>
      <c r="P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  <c r="N131" s="46" t="n"/>
      <c r="O131" s="46" t="n"/>
      <c r="P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  <c r="N132" s="46" t="n"/>
      <c r="O132" s="46" t="n"/>
      <c r="P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  <c r="N133" s="46" t="n"/>
      <c r="O133" s="46" t="n"/>
      <c r="P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  <c r="N134" s="46" t="n"/>
      <c r="O134" s="46" t="n"/>
      <c r="P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  <c r="N135" s="46" t="n"/>
      <c r="O135" s="46" t="n"/>
      <c r="P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  <c r="N136" s="46" t="n"/>
      <c r="O136" s="46" t="n"/>
      <c r="P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  <c r="N137" s="46" t="n"/>
      <c r="O137" s="46" t="n"/>
      <c r="P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  <c r="N138" s="46" t="n"/>
      <c r="O138" s="46" t="n"/>
      <c r="P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  <c r="N139" s="46" t="n"/>
      <c r="O139" s="46" t="n"/>
      <c r="P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  <c r="N140" s="46" t="n"/>
      <c r="O140" s="46" t="n"/>
      <c r="P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  <c r="N141" s="46" t="n"/>
      <c r="O141" s="46" t="n"/>
      <c r="P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  <c r="N142" s="46" t="n"/>
      <c r="O142" s="46" t="n"/>
      <c r="P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  <c r="N143" s="46" t="n"/>
      <c r="O143" s="46" t="n"/>
      <c r="P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  <c r="N144" s="46" t="n"/>
      <c r="O144" s="46" t="n"/>
      <c r="P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  <c r="N145" s="46" t="n"/>
      <c r="O145" s="46" t="n"/>
      <c r="P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  <c r="N146" s="46" t="n"/>
      <c r="O146" s="46" t="n"/>
      <c r="P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  <c r="N147" s="46" t="n"/>
      <c r="O147" s="46" t="n"/>
      <c r="P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  <c r="N148" s="46" t="n"/>
      <c r="O148" s="46" t="n"/>
      <c r="P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  <c r="N149" s="46" t="n"/>
      <c r="O149" s="46" t="n"/>
      <c r="P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  <c r="N150" s="46" t="n"/>
      <c r="O150" s="46" t="n"/>
      <c r="P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  <c r="N151" s="46" t="n"/>
      <c r="O151" s="46" t="n"/>
      <c r="P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  <c r="N152" s="46" t="n"/>
      <c r="O152" s="46" t="n"/>
      <c r="P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  <c r="N153" s="46" t="n"/>
      <c r="O153" s="46" t="n"/>
      <c r="P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  <c r="N154" s="46" t="n"/>
      <c r="O154" s="46" t="n"/>
      <c r="P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  <c r="N155" s="46" t="n"/>
      <c r="O155" s="46" t="n"/>
      <c r="P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  <c r="N156" s="46" t="n"/>
      <c r="O156" s="46" t="n"/>
      <c r="P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  <c r="N157" s="46" t="n"/>
      <c r="O157" s="46" t="n"/>
      <c r="P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  <c r="N158" s="46" t="n"/>
      <c r="O158" s="46" t="n"/>
      <c r="P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  <c r="N159" s="46" t="n"/>
      <c r="O159" s="46" t="n"/>
      <c r="P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  <c r="N160" s="46" t="n"/>
      <c r="O160" s="46" t="n"/>
      <c r="P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  <c r="N161" s="46" t="n"/>
      <c r="O161" s="46" t="n"/>
      <c r="P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  <c r="N162" s="46" t="n"/>
      <c r="O162" s="46" t="n"/>
      <c r="P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  <c r="N163" s="46" t="n"/>
      <c r="O163" s="46" t="n"/>
      <c r="P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  <c r="N164" s="46" t="n"/>
      <c r="O164" s="46" t="n"/>
      <c r="P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  <c r="N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  <c r="N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  <c r="N167" s="46" t="n"/>
    </row>
  </sheetData>
  <mergeCells count="22">
    <mergeCell ref="N5:N9"/>
    <mergeCell ref="C5:C8"/>
    <mergeCell ref="I11:J11"/>
    <mergeCell ref="L19:M19"/>
    <mergeCell ref="O5:O8"/>
    <mergeCell ref="E5:E8"/>
    <mergeCell ref="Q5:Q8"/>
    <mergeCell ref="F5:F8"/>
    <mergeCell ref="C11:E11"/>
    <mergeCell ref="R5:R8"/>
    <mergeCell ref="G5:G8"/>
    <mergeCell ref="F4:H4"/>
    <mergeCell ref="A5:A8"/>
    <mergeCell ref="S5:S8"/>
    <mergeCell ref="F11:H11"/>
    <mergeCell ref="D5:D8"/>
    <mergeCell ref="I4:J4"/>
    <mergeCell ref="C4:E4"/>
    <mergeCell ref="N12:N18"/>
    <mergeCell ref="P5:P8"/>
    <mergeCell ref="H5:H8"/>
    <mergeCell ref="T5:T8"/>
  </mergeCells>
  <pageMargins left="0.7" right="0.7" top="0.75" bottom="0.75" header="0.3" footer="0.3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Hoja20">
    <outlinePr summaryBelow="1" summaryRight="1"/>
    <pageSetUpPr/>
  </sheetPr>
  <dimension ref="A1:T128"/>
  <sheetViews>
    <sheetView topLeftCell="B1" workbookViewId="0">
      <selection activeCell="B1" sqref="A1:XFD1048576"/>
    </sheetView>
  </sheetViews>
  <sheetFormatPr baseColWidth="10" defaultColWidth="11.3828125" defaultRowHeight="14.15"/>
  <cols>
    <col width="4.53515625" customWidth="1" style="655" min="1" max="1"/>
    <col width="27.15234375" customWidth="1" style="655" min="2" max="2"/>
    <col width="14.3828125" bestFit="1" customWidth="1" style="655" min="3" max="6"/>
    <col width="13.3828125" customWidth="1" style="655" min="7" max="8"/>
    <col width="17.3828125" customWidth="1" style="655" min="9" max="9"/>
    <col width="16.3828125" bestFit="1" customWidth="1" style="655" min="10" max="10"/>
    <col width="15.3828125" bestFit="1" customWidth="1" style="655" min="11" max="11"/>
    <col width="11.3828125" customWidth="1" style="655" min="12" max="22"/>
    <col width="11.3828125" customWidth="1" style="655" min="23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</row>
    <row r="3" ht="69" customHeight="1" s="700" thickBot="1">
      <c r="A3" s="46" t="n"/>
      <c r="B3" s="46" t="n"/>
      <c r="C3" s="138" t="inlineStr">
        <is>
          <t>TOTAL
(Anual)</t>
        </is>
      </c>
      <c r="D3" s="138" t="inlineStr">
        <is>
          <t>TOTAL
(Anual)</t>
        </is>
      </c>
      <c r="E3" s="138" t="inlineStr">
        <is>
          <t>TOTAL
(Anual)</t>
        </is>
      </c>
      <c r="F3" s="87" t="n"/>
      <c r="G3" s="87" t="n"/>
      <c r="H3" s="87" t="n"/>
      <c r="J3" s="46" t="n"/>
    </row>
    <row r="4" ht="18" customHeight="1" s="700">
      <c r="A4" s="46" t="n"/>
      <c r="B4" s="119" t="inlineStr">
        <is>
          <t>FONDO I</t>
        </is>
      </c>
      <c r="C4" s="668" t="inlineStr">
        <is>
          <t>ACC</t>
        </is>
      </c>
      <c r="D4" s="666" t="inlineStr">
        <is>
          <t>SPV</t>
        </is>
      </c>
      <c r="E4" s="662" t="inlineStr">
        <is>
          <t>O&amp;M</t>
        </is>
      </c>
      <c r="F4" s="662" t="inlineStr">
        <is>
          <t>Consult</t>
        </is>
      </c>
      <c r="G4" s="662" t="inlineStr">
        <is>
          <t>Cuentas</t>
        </is>
      </c>
      <c r="H4" s="121" t="inlineStr">
        <is>
          <t>Secretaría</t>
        </is>
      </c>
      <c r="I4" s="46" t="n"/>
    </row>
    <row r="5" ht="14.9" customHeight="1" s="700">
      <c r="A5" s="654" t="inlineStr">
        <is>
          <t>Renova</t>
        </is>
      </c>
      <c r="B5" s="122" t="inlineStr">
        <is>
          <t>Valverde</t>
        </is>
      </c>
      <c r="C5" s="58">
        <f>18152.04*$N$6</f>
        <v/>
      </c>
      <c r="D5" s="58">
        <f>10677.67*$N$6</f>
        <v/>
      </c>
      <c r="E5" s="58">
        <f>9339.4*$N$6</f>
        <v/>
      </c>
      <c r="F5" s="58">
        <f>837.46*$N$6</f>
        <v/>
      </c>
      <c r="G5" s="58" t="n">
        <v>0</v>
      </c>
      <c r="H5" s="123" t="n">
        <v>0</v>
      </c>
      <c r="I5" s="660" t="inlineStr">
        <is>
          <t>Gastos generales: 3,5 % del honorario global</t>
        </is>
      </c>
      <c r="J5" s="139">
        <f>D5+C5+E5+F5</f>
        <v/>
      </c>
      <c r="K5" s="659" t="inlineStr">
        <is>
          <t>RENOVA</t>
        </is>
      </c>
      <c r="O5" t="inlineStr">
        <is>
          <t>IPC 2014</t>
        </is>
      </c>
      <c r="P5" t="inlineStr">
        <is>
          <t>IPC 2015</t>
        </is>
      </c>
      <c r="Q5" t="inlineStr">
        <is>
          <t>IPC 2016</t>
        </is>
      </c>
      <c r="R5" t="inlineStr">
        <is>
          <t>IPC 2017'FV</t>
        </is>
      </c>
      <c r="S5" t="inlineStr">
        <is>
          <t>IPC 2018'FV</t>
        </is>
      </c>
      <c r="T5" t="inlineStr">
        <is>
          <t>IPC 2019'FV</t>
        </is>
      </c>
    </row>
    <row r="6" ht="15" customHeight="1" s="700">
      <c r="B6" s="122" t="inlineStr">
        <is>
          <t>Castuera</t>
        </is>
      </c>
      <c r="C6" s="58">
        <f>11617.3*$N$6</f>
        <v/>
      </c>
      <c r="D6" s="58">
        <f>6833.71*$N$6</f>
        <v/>
      </c>
      <c r="E6" s="58">
        <f>5977.22*$N$6</f>
        <v/>
      </c>
      <c r="F6" s="58">
        <f>535.98*$N$6</f>
        <v/>
      </c>
      <c r="G6" s="58" t="n">
        <v>0</v>
      </c>
      <c r="H6" s="123" t="n">
        <v>0</v>
      </c>
      <c r="J6" s="139">
        <f>D6+C6+E6+F6</f>
        <v/>
      </c>
      <c r="K6" s="646" t="n"/>
      <c r="M6" s="142" t="inlineStr">
        <is>
          <t>Actualización 2016</t>
        </is>
      </c>
      <c r="N6" s="143">
        <f>(1+$R$6)*(1+S6)*(1+T6)</f>
        <v/>
      </c>
      <c r="O6" s="670" t="inlineStr">
        <is>
          <t>ya considerado</t>
        </is>
      </c>
      <c r="R6" s="144" t="n">
        <v>0.01</v>
      </c>
      <c r="S6" s="144" t="n">
        <v>0.011</v>
      </c>
      <c r="T6" s="144" t="n">
        <v>0.01</v>
      </c>
    </row>
    <row r="7" ht="15" customHeight="1" s="700">
      <c r="B7" s="122" t="inlineStr">
        <is>
          <t>Paiporta</t>
        </is>
      </c>
      <c r="C7" s="58">
        <f>726.08*$N$6</f>
        <v/>
      </c>
      <c r="D7" s="58">
        <f>427.11*$N$6</f>
        <v/>
      </c>
      <c r="E7" s="58">
        <f>373.58*$N$6</f>
        <v/>
      </c>
      <c r="F7" s="58">
        <f>33.5*$N$6</f>
        <v/>
      </c>
      <c r="G7" s="58" t="n">
        <v>0</v>
      </c>
      <c r="H7" s="123" t="n">
        <v>0</v>
      </c>
      <c r="J7" s="139">
        <f>D7+C7+E7+F7</f>
        <v/>
      </c>
      <c r="K7" s="646" t="n"/>
      <c r="M7" s="145" t="inlineStr">
        <is>
          <t>AE3000</t>
        </is>
      </c>
      <c r="N7" s="143">
        <f>(1+$R$6)*(1+S7)*(1+T7)</f>
        <v/>
      </c>
      <c r="R7" s="144" t="n">
        <v>0.01</v>
      </c>
      <c r="S7" s="144" t="n">
        <v>0.011</v>
      </c>
      <c r="T7" s="144" t="n">
        <v>0.012</v>
      </c>
    </row>
    <row r="8" ht="15" customHeight="1" s="700">
      <c r="B8" s="122" t="inlineStr">
        <is>
          <t>Bonaire</t>
        </is>
      </c>
      <c r="C8" s="58">
        <f>2178.24*$N$6</f>
        <v/>
      </c>
      <c r="D8" s="58">
        <f>1281.32*$N$6</f>
        <v/>
      </c>
      <c r="E8" s="58">
        <f>1120.73*$N$6</f>
        <v/>
      </c>
      <c r="F8" s="58">
        <f>100.5*$N$6</f>
        <v/>
      </c>
      <c r="G8" s="58" t="n">
        <v>0</v>
      </c>
      <c r="H8" s="123" t="n">
        <v>0</v>
      </c>
      <c r="J8" s="139">
        <f>D8+C8+E8+F8</f>
        <v/>
      </c>
      <c r="K8" s="647" t="n"/>
    </row>
    <row r="9" ht="15.75" customHeight="1" s="700" thickBot="1">
      <c r="A9" s="46" t="n"/>
      <c r="B9" s="124" t="inlineStr">
        <is>
          <t>Coreses</t>
        </is>
      </c>
      <c r="C9" s="125">
        <f>12556.94*$N$6</f>
        <v/>
      </c>
      <c r="D9" s="125">
        <f>12556.94*$N$6</f>
        <v/>
      </c>
      <c r="E9" s="125">
        <f>10506.83*$N$6</f>
        <v/>
      </c>
      <c r="F9" s="125">
        <f>15074.36*$N$6</f>
        <v/>
      </c>
      <c r="G9" s="125" t="n">
        <v>0</v>
      </c>
      <c r="H9" s="128" t="n">
        <v>0</v>
      </c>
      <c r="J9" s="139">
        <f>D9+C9+E9+F9</f>
        <v/>
      </c>
      <c r="K9" s="105" t="inlineStr">
        <is>
          <t>CORESES</t>
        </is>
      </c>
    </row>
    <row r="10" ht="15.75" customHeight="1" s="700" thickBot="1">
      <c r="A10" s="46" t="n"/>
      <c r="B10" s="46" t="n"/>
      <c r="C10" s="60" t="n"/>
      <c r="D10" s="60" t="n"/>
      <c r="E10" s="60" t="n"/>
      <c r="F10" s="46" t="n"/>
      <c r="G10" s="46" t="n"/>
      <c r="H10" s="46" t="n"/>
      <c r="I10" s="46" t="n"/>
      <c r="J10" s="79" t="n"/>
      <c r="K10" s="72" t="n"/>
    </row>
    <row r="11" ht="18.75" customHeight="1" s="700" thickBot="1">
      <c r="A11" s="46" t="n"/>
      <c r="B11" s="119" t="inlineStr">
        <is>
          <t>FONDO II</t>
        </is>
      </c>
      <c r="C11" s="668" t="inlineStr">
        <is>
          <t>ACC</t>
        </is>
      </c>
      <c r="D11" s="666" t="inlineStr">
        <is>
          <t>SPV</t>
        </is>
      </c>
      <c r="E11" s="662" t="inlineStr">
        <is>
          <t>O&amp;M</t>
        </is>
      </c>
      <c r="F11" s="662" t="inlineStr">
        <is>
          <t>Consult</t>
        </is>
      </c>
      <c r="G11" s="662" t="n"/>
      <c r="H11" s="121" t="n"/>
      <c r="I11" s="46" t="n"/>
      <c r="J11" s="79" t="n"/>
      <c r="K11" s="72" t="n"/>
    </row>
    <row r="12" ht="15" customHeight="1" s="700">
      <c r="A12" s="46" t="n"/>
      <c r="B12" s="122" t="inlineStr">
        <is>
          <t>Villamartín</t>
        </is>
      </c>
      <c r="C12" s="58">
        <f>17938.48*$N$6</f>
        <v/>
      </c>
      <c r="D12" s="58">
        <f>15375.84*$N$6</f>
        <v/>
      </c>
      <c r="E12" s="58">
        <f>10506.83*$N$6</f>
        <v/>
      </c>
      <c r="F12" s="58">
        <f>18166.48*$N$6</f>
        <v/>
      </c>
      <c r="G12" s="58" t="n">
        <v>0</v>
      </c>
      <c r="H12" s="123" t="n">
        <v>0</v>
      </c>
      <c r="I12" s="660" t="n"/>
      <c r="J12" s="106">
        <f>D12+C12+E12+F12</f>
        <v/>
      </c>
      <c r="K12" s="109" t="inlineStr">
        <is>
          <t>VILLAMARTÍN</t>
        </is>
      </c>
    </row>
    <row r="13" ht="15" customHeight="1" s="700">
      <c r="A13" s="46" t="n"/>
      <c r="B13" s="122" t="inlineStr">
        <is>
          <t>Sollana (2.1)</t>
        </is>
      </c>
      <c r="C13" s="58">
        <f>12813.2*$N$6</f>
        <v/>
      </c>
      <c r="D13" s="58">
        <f>12172.54*$N$6</f>
        <v/>
      </c>
      <c r="E13" s="58">
        <f>10506.83*$N$6</f>
        <v/>
      </c>
      <c r="F13" s="58">
        <f>3333.3*$N$6</f>
        <v/>
      </c>
      <c r="G13" s="134" t="n">
        <v>0</v>
      </c>
      <c r="H13" s="135" t="n">
        <v>0</v>
      </c>
      <c r="J13" s="110">
        <f>D13+C13+E13+F13</f>
        <v/>
      </c>
      <c r="K13" s="111" t="inlineStr">
        <is>
          <t>SOLLANA</t>
        </is>
      </c>
    </row>
    <row r="14" ht="15" customHeight="1" s="700">
      <c r="A14" s="46" t="n"/>
      <c r="B14" s="122" t="inlineStr">
        <is>
          <t>Artá (2.3)</t>
        </is>
      </c>
      <c r="C14" s="58">
        <f>12813.2*$N$6</f>
        <v/>
      </c>
      <c r="D14" s="58">
        <f>12172.54*$N$6</f>
        <v/>
      </c>
      <c r="E14" s="58">
        <f>10506.83*$N$6</f>
        <v/>
      </c>
      <c r="F14" s="58">
        <f>10533.23*$N$6</f>
        <v/>
      </c>
      <c r="G14" s="134" t="n">
        <v>0</v>
      </c>
      <c r="H14" s="135" t="n">
        <v>0</v>
      </c>
      <c r="J14" s="110">
        <f>D14+C14+E14+F14</f>
        <v/>
      </c>
      <c r="K14" s="111" t="inlineStr">
        <is>
          <t>ARTÀ</t>
        </is>
      </c>
    </row>
    <row r="15" ht="15" customHeight="1" s="700">
      <c r="A15" s="46" t="n"/>
      <c r="B15" s="122" t="inlineStr">
        <is>
          <t>Casa Roja (2.5) - Lo Illán</t>
        </is>
      </c>
      <c r="C15" s="58">
        <f>12813.2*$N$6</f>
        <v/>
      </c>
      <c r="D15" s="58">
        <f>12172.54*$N$6</f>
        <v/>
      </c>
      <c r="E15" s="58">
        <f>10506.83*$N$6</f>
        <v/>
      </c>
      <c r="F15" s="58">
        <f>18304.58*$N$6</f>
        <v/>
      </c>
      <c r="G15" s="134" t="n">
        <v>0</v>
      </c>
      <c r="H15" s="135" t="n">
        <v>0</v>
      </c>
      <c r="J15" s="110">
        <f>D15+C15+E15+F15</f>
        <v/>
      </c>
      <c r="K15" s="111" t="inlineStr">
        <is>
          <t>LO ILLÁN</t>
        </is>
      </c>
    </row>
    <row r="16" ht="15" customHeight="1" s="700">
      <c r="A16" s="46" t="n"/>
      <c r="B16" s="122" t="inlineStr">
        <is>
          <t>Casa Roja (2.5) - Contreras</t>
        </is>
      </c>
      <c r="C16" s="58">
        <f>12813.2*$N$6</f>
        <v/>
      </c>
      <c r="D16" s="58">
        <f>12172.54*$N$6</f>
        <v/>
      </c>
      <c r="E16" s="58">
        <f>10506.83*$N$6</f>
        <v/>
      </c>
      <c r="F16" s="58">
        <f>27456.86*$N$6</f>
        <v/>
      </c>
      <c r="G16" s="134" t="n">
        <v>0</v>
      </c>
      <c r="H16" s="135" t="n">
        <v>0</v>
      </c>
      <c r="J16" s="110">
        <f>D16+C16+E16+F16</f>
        <v/>
      </c>
      <c r="K16" s="111" t="inlineStr">
        <is>
          <t>CONTRERAS</t>
        </is>
      </c>
    </row>
    <row r="17" ht="15" customHeight="1" s="700">
      <c r="A17" s="46" t="n"/>
      <c r="B17" s="122" t="inlineStr">
        <is>
          <t>Casa Roja (2.5) - Turbinto</t>
        </is>
      </c>
      <c r="C17" s="58">
        <f>12813.2*$N$6</f>
        <v/>
      </c>
      <c r="D17" s="58">
        <f>12172.54*$N$6</f>
        <v/>
      </c>
      <c r="E17" s="58">
        <f>10506.83*$N$6</f>
        <v/>
      </c>
      <c r="F17" s="58">
        <f>18304.58*$N$6</f>
        <v/>
      </c>
      <c r="G17" s="134" t="n">
        <v>0</v>
      </c>
      <c r="H17" s="135" t="n">
        <v>0</v>
      </c>
      <c r="J17" s="110">
        <f>D17+C17+E17+F17</f>
        <v/>
      </c>
      <c r="K17" s="111" t="inlineStr">
        <is>
          <t>TURBINTO</t>
        </is>
      </c>
    </row>
    <row r="18" ht="15.75" customHeight="1" s="700" thickBot="1">
      <c r="A18" s="46" t="n"/>
      <c r="B18" s="124" t="inlineStr">
        <is>
          <t xml:space="preserve">AE3000 (2.7) - Proyecto 1 </t>
        </is>
      </c>
      <c r="C18" s="129">
        <f>12193.78*$N$7</f>
        <v/>
      </c>
      <c r="D18" s="129">
        <f>19253.34*$N$7</f>
        <v/>
      </c>
      <c r="E18" s="129">
        <f>15787.74*$N$7</f>
        <v/>
      </c>
      <c r="F18" s="127" t="n">
        <v>0</v>
      </c>
      <c r="G18" s="125" t="n">
        <v>0</v>
      </c>
      <c r="H18" s="128" t="n">
        <v>0</v>
      </c>
      <c r="J18" s="112">
        <f>D18+C18+E18+F18</f>
        <v/>
      </c>
      <c r="K18" s="115" t="inlineStr">
        <is>
          <t>AE3000</t>
        </is>
      </c>
    </row>
    <row r="19" ht="15.75" customHeight="1" s="700" thickBot="1">
      <c r="A19" s="46" t="n"/>
      <c r="B19" s="46" t="n"/>
      <c r="C19" s="60">
        <f>SUM(C12:C18)+SUM(C5:C9)</f>
        <v/>
      </c>
      <c r="D19" s="60">
        <f>SUM(D12:D18)+SUM(D5:D9)</f>
        <v/>
      </c>
      <c r="E19" s="60">
        <f>SUM(E12:E18)+SUM(E5:E9)</f>
        <v/>
      </c>
      <c r="F19" s="60">
        <f>SUM(F12:F18)+SUM(F5:F9)</f>
        <v/>
      </c>
      <c r="G19" s="657" t="inlineStr">
        <is>
          <t>a aBa Management según adenda 141101</t>
        </is>
      </c>
      <c r="H19" s="658" t="n"/>
      <c r="I19" s="46" t="n"/>
      <c r="J19" s="116">
        <f>SUM(J5:J18)</f>
        <v/>
      </c>
      <c r="K19" s="118" t="inlineStr">
        <is>
          <t>TOTAL</t>
        </is>
      </c>
    </row>
    <row r="20" ht="15" customHeight="1" s="700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52" t="n"/>
    </row>
    <row r="22">
      <c r="A22" s="46" t="n"/>
      <c r="B22" s="46" t="n"/>
      <c r="C22" s="46" t="n"/>
      <c r="D22" s="46" t="n"/>
      <c r="E22" s="46" t="n"/>
      <c r="F22" s="46" t="n"/>
      <c r="G22" s="46" t="n"/>
      <c r="H22" s="46" t="n"/>
      <c r="I22" s="46" t="n"/>
      <c r="J22" s="46" t="n"/>
    </row>
    <row r="23">
      <c r="A23" s="46" t="n"/>
      <c r="B23" s="46" t="n"/>
      <c r="C23" s="46" t="n"/>
      <c r="D23" s="46" t="n"/>
      <c r="E23" s="46" t="n"/>
      <c r="F23" s="46" t="n"/>
      <c r="G23" s="46" t="n"/>
      <c r="H23" s="46" t="n"/>
      <c r="I23" s="46" t="n"/>
      <c r="J23" s="46" t="n"/>
    </row>
    <row r="24">
      <c r="A24" s="46" t="n"/>
      <c r="B24" s="46" t="n"/>
      <c r="C24" s="46" t="n"/>
      <c r="D24" s="46" t="n"/>
      <c r="E24" s="46" t="n"/>
      <c r="F24" s="46" t="n"/>
      <c r="G24" s="46" t="n"/>
      <c r="H24" s="46" t="n"/>
      <c r="I24" s="46" t="n"/>
      <c r="J24" s="46" t="n"/>
    </row>
    <row r="25">
      <c r="A25" s="46" t="n"/>
      <c r="B25" s="46" t="n"/>
      <c r="C25" s="46" t="n"/>
      <c r="D25" s="46" t="n"/>
      <c r="E25" s="46" t="n"/>
      <c r="F25" s="46" t="n"/>
      <c r="G25" s="46" t="n"/>
      <c r="H25" s="46" t="n"/>
      <c r="I25" s="46" t="n"/>
      <c r="J25" s="46" t="n"/>
    </row>
    <row r="26">
      <c r="A26" s="46" t="n"/>
      <c r="B26" s="46" t="n"/>
      <c r="C26" s="46" t="n"/>
      <c r="D26" s="46" t="n"/>
      <c r="E26" s="46" t="n"/>
      <c r="F26" s="46" t="n"/>
      <c r="G26" s="46" t="n"/>
      <c r="H26" s="46" t="n"/>
      <c r="I26" s="46" t="n"/>
      <c r="J26" s="46" t="n"/>
    </row>
    <row r="27">
      <c r="A27" s="46" t="n"/>
      <c r="B27" s="46" t="n"/>
      <c r="C27" s="46" t="n"/>
      <c r="D27" s="46" t="n"/>
      <c r="E27" s="46" t="n"/>
      <c r="F27" s="46" t="n"/>
      <c r="G27" s="46" t="n"/>
      <c r="H27" s="46" t="n"/>
      <c r="I27" s="46" t="n"/>
      <c r="J27" s="46" t="n"/>
    </row>
    <row r="28">
      <c r="A28" s="46" t="n"/>
      <c r="B28" s="46" t="n"/>
      <c r="C28" s="46" t="n"/>
      <c r="D28" s="46" t="n"/>
      <c r="E28" s="46" t="n"/>
      <c r="F28" s="46" t="n"/>
      <c r="G28" s="46" t="n"/>
      <c r="H28" s="46" t="n"/>
      <c r="I28" s="46" t="n"/>
      <c r="J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</row>
    <row r="30">
      <c r="A30" s="46" t="n"/>
      <c r="B30" s="46" t="n"/>
      <c r="C30" s="46" t="n"/>
      <c r="D30" s="46" t="n"/>
      <c r="E30" s="46" t="n"/>
      <c r="F30" s="46" t="n"/>
      <c r="G30" s="46" t="n"/>
      <c r="H30" s="46" t="n"/>
      <c r="I30" s="46" t="n"/>
      <c r="J30" s="46" t="n"/>
    </row>
    <row r="31">
      <c r="A31" s="46" t="n"/>
      <c r="B31" s="46" t="n"/>
      <c r="C31" s="46" t="n"/>
      <c r="D31" s="46" t="n"/>
      <c r="E31" s="46" t="n"/>
      <c r="F31" s="46" t="n"/>
      <c r="G31" s="46" t="n"/>
      <c r="H31" s="46" t="n"/>
      <c r="I31" s="46" t="n"/>
      <c r="J31" s="46" t="n"/>
    </row>
    <row r="32">
      <c r="A32" s="46" t="n"/>
      <c r="B32" s="46" t="n"/>
      <c r="C32" s="46" t="n"/>
      <c r="D32" s="46" t="n"/>
      <c r="E32" s="46" t="n"/>
      <c r="F32" s="46" t="n"/>
      <c r="G32" s="46" t="n"/>
      <c r="H32" s="46" t="n"/>
      <c r="I32" s="46" t="n"/>
      <c r="J32" s="46" t="n"/>
    </row>
    <row r="33">
      <c r="A33" s="46" t="n"/>
      <c r="B33" s="46" t="n"/>
      <c r="C33" s="46" t="n"/>
      <c r="D33" s="46" t="n"/>
      <c r="E33" s="46" t="n"/>
      <c r="F33" s="46" t="n"/>
      <c r="G33" s="46" t="n"/>
      <c r="H33" s="46" t="n"/>
      <c r="I33" s="46" t="n"/>
      <c r="J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</row>
  </sheetData>
  <mergeCells count="6">
    <mergeCell ref="K5:K8"/>
    <mergeCell ref="O6:Q7"/>
    <mergeCell ref="I5:I9"/>
    <mergeCell ref="G19:H19"/>
    <mergeCell ref="A5:A8"/>
    <mergeCell ref="I12:I18"/>
  </mergeCells>
  <pageMargins left="0.7" right="0.7" top="0.75" bottom="0.75" header="0.3" footer="0.3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Hoja18">
    <outlinePr summaryBelow="1" summaryRight="1"/>
    <pageSetUpPr/>
  </sheetPr>
  <dimension ref="A1:S128"/>
  <sheetViews>
    <sheetView workbookViewId="0">
      <selection activeCell="A1" sqref="A1:XFD1048576"/>
    </sheetView>
  </sheetViews>
  <sheetFormatPr baseColWidth="10" defaultColWidth="11.3828125" defaultRowHeight="14.15"/>
  <cols>
    <col width="4.53515625" customWidth="1" style="655" min="1" max="1"/>
    <col width="27.15234375" customWidth="1" style="655" min="2" max="2"/>
    <col width="14.3828125" bestFit="1" customWidth="1" style="655" min="3" max="6"/>
    <col width="13.3828125" customWidth="1" style="655" min="7" max="8"/>
    <col width="17.3828125" customWidth="1" style="655" min="9" max="9"/>
    <col width="16.3828125" bestFit="1" customWidth="1" style="655" min="10" max="10"/>
    <col width="15.3828125" bestFit="1" customWidth="1" style="655" min="11" max="11"/>
    <col width="11.3828125" customWidth="1" style="655" min="12" max="22"/>
    <col width="11.3828125" customWidth="1" style="655" min="23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</row>
    <row r="3" ht="69" customHeight="1" s="700" thickBot="1">
      <c r="A3" s="46" t="n"/>
      <c r="B3" s="46" t="n"/>
      <c r="C3" s="138" t="inlineStr">
        <is>
          <t>TOTAL
(Anual)</t>
        </is>
      </c>
      <c r="D3" s="138" t="inlineStr">
        <is>
          <t>TOTAL
(Anual)</t>
        </is>
      </c>
      <c r="E3" s="138" t="inlineStr">
        <is>
          <t>TOTAL
(Anual)</t>
        </is>
      </c>
      <c r="F3" s="87" t="n"/>
      <c r="G3" s="87" t="n"/>
      <c r="H3" s="87" t="n"/>
      <c r="J3" s="46" t="n"/>
    </row>
    <row r="4" ht="18" customHeight="1" s="700">
      <c r="A4" s="46" t="n"/>
      <c r="B4" s="119" t="inlineStr">
        <is>
          <t>FONDO I</t>
        </is>
      </c>
      <c r="C4" s="668" t="inlineStr">
        <is>
          <t>ACC</t>
        </is>
      </c>
      <c r="D4" s="666" t="inlineStr">
        <is>
          <t>SPV</t>
        </is>
      </c>
      <c r="E4" s="662" t="inlineStr">
        <is>
          <t>O&amp;M</t>
        </is>
      </c>
      <c r="F4" s="662" t="inlineStr">
        <is>
          <t>Consult</t>
        </is>
      </c>
      <c r="G4" s="662" t="inlineStr">
        <is>
          <t>Cuentas</t>
        </is>
      </c>
      <c r="H4" s="121" t="inlineStr">
        <is>
          <t>Secretaría</t>
        </is>
      </c>
      <c r="I4" s="46" t="n"/>
    </row>
    <row r="5" ht="14.9" customHeight="1" s="700">
      <c r="A5" s="654" t="inlineStr">
        <is>
          <t>Renova</t>
        </is>
      </c>
      <c r="B5" s="122" t="inlineStr">
        <is>
          <t>Valverde</t>
        </is>
      </c>
      <c r="C5" s="58">
        <f>18152.04*$N$6</f>
        <v/>
      </c>
      <c r="D5" s="58">
        <f>10677.67*$N$6</f>
        <v/>
      </c>
      <c r="E5" s="58">
        <f>9339.4*$N$6</f>
        <v/>
      </c>
      <c r="F5" s="58">
        <f>837.46*$N$6</f>
        <v/>
      </c>
      <c r="G5" s="58" t="n">
        <v>0</v>
      </c>
      <c r="H5" s="123" t="n">
        <v>0</v>
      </c>
      <c r="I5" s="660" t="inlineStr">
        <is>
          <t>Gastos generales: 3,5 % del honorario global</t>
        </is>
      </c>
      <c r="J5" s="139">
        <f>D5+C5+E5+F5</f>
        <v/>
      </c>
      <c r="K5" s="659" t="inlineStr">
        <is>
          <t>RENOVA</t>
        </is>
      </c>
      <c r="O5" t="inlineStr">
        <is>
          <t>IPC 2014</t>
        </is>
      </c>
      <c r="P5" t="inlineStr">
        <is>
          <t>IPC 2015</t>
        </is>
      </c>
      <c r="Q5" t="inlineStr">
        <is>
          <t>IPC 2016</t>
        </is>
      </c>
      <c r="R5" t="inlineStr">
        <is>
          <t>IPC 2017'FV</t>
        </is>
      </c>
    </row>
    <row r="6" ht="15" customHeight="1" s="700">
      <c r="B6" s="122" t="inlineStr">
        <is>
          <t>Castuera</t>
        </is>
      </c>
      <c r="C6" s="58">
        <f>11617.3*$N$6</f>
        <v/>
      </c>
      <c r="D6" s="58">
        <f>6833.71*$N$6</f>
        <v/>
      </c>
      <c r="E6" s="58">
        <f>5977.22*$N$6</f>
        <v/>
      </c>
      <c r="F6" s="58">
        <f>535.98*$N$6</f>
        <v/>
      </c>
      <c r="G6" s="58" t="n">
        <v>0</v>
      </c>
      <c r="H6" s="123" t="n">
        <v>0</v>
      </c>
      <c r="J6" s="139">
        <f>D6+C6+E6+F6</f>
        <v/>
      </c>
      <c r="K6" s="646" t="n"/>
      <c r="M6" s="142" t="inlineStr">
        <is>
          <t>Actualización 2016</t>
        </is>
      </c>
      <c r="N6" s="143">
        <f>(1+$R$6)*(1+S6)</f>
        <v/>
      </c>
      <c r="O6" s="670" t="inlineStr">
        <is>
          <t>ya considerado</t>
        </is>
      </c>
      <c r="R6" s="144" t="n">
        <v>0.01</v>
      </c>
      <c r="S6" s="144" t="n">
        <v>0.011</v>
      </c>
    </row>
    <row r="7" ht="15" customHeight="1" s="700">
      <c r="B7" s="122" t="inlineStr">
        <is>
          <t>Paiporta</t>
        </is>
      </c>
      <c r="C7" s="58">
        <f>726.08*$N$6</f>
        <v/>
      </c>
      <c r="D7" s="58">
        <f>427.11*$N$6</f>
        <v/>
      </c>
      <c r="E7" s="58">
        <f>373.58*$N$6</f>
        <v/>
      </c>
      <c r="F7" s="58">
        <f>33.5*$N$6</f>
        <v/>
      </c>
      <c r="G7" s="58" t="n">
        <v>0</v>
      </c>
      <c r="H7" s="123" t="n">
        <v>0</v>
      </c>
      <c r="J7" s="139">
        <f>D7+C7+E7+F7</f>
        <v/>
      </c>
      <c r="K7" s="646" t="n"/>
      <c r="M7" s="145" t="inlineStr">
        <is>
          <t>AE3000</t>
        </is>
      </c>
      <c r="N7" s="143">
        <f>(1+$R$6)*(1+S7)</f>
        <v/>
      </c>
      <c r="R7" s="144" t="n">
        <v>0.01</v>
      </c>
      <c r="S7" s="144" t="n">
        <v>0.011</v>
      </c>
    </row>
    <row r="8" ht="15" customHeight="1" s="700">
      <c r="B8" s="122" t="inlineStr">
        <is>
          <t>Bonaire</t>
        </is>
      </c>
      <c r="C8" s="58">
        <f>2178.24*$N$6</f>
        <v/>
      </c>
      <c r="D8" s="58">
        <f>1281.32*$N$6</f>
        <v/>
      </c>
      <c r="E8" s="58">
        <f>1120.73*$N$6</f>
        <v/>
      </c>
      <c r="F8" s="58">
        <f>100.5*$N$6</f>
        <v/>
      </c>
      <c r="G8" s="58" t="n">
        <v>0</v>
      </c>
      <c r="H8" s="123" t="n">
        <v>0</v>
      </c>
      <c r="J8" s="139">
        <f>D8+C8+E8+F8</f>
        <v/>
      </c>
      <c r="K8" s="647" t="n"/>
    </row>
    <row r="9" ht="15.75" customHeight="1" s="700" thickBot="1">
      <c r="A9" s="46" t="n"/>
      <c r="B9" s="124" t="inlineStr">
        <is>
          <t>Coreses</t>
        </is>
      </c>
      <c r="C9" s="125">
        <f>12556.94*$N$6</f>
        <v/>
      </c>
      <c r="D9" s="125">
        <f>12556.94*$N$6</f>
        <v/>
      </c>
      <c r="E9" s="125">
        <f>10506.83*$N$6</f>
        <v/>
      </c>
      <c r="F9" s="125">
        <f>15074.36*$N$6</f>
        <v/>
      </c>
      <c r="G9" s="125" t="n">
        <v>0</v>
      </c>
      <c r="H9" s="128" t="n">
        <v>0</v>
      </c>
      <c r="J9" s="139">
        <f>D9+C9+E9+F9</f>
        <v/>
      </c>
      <c r="K9" s="105" t="inlineStr">
        <is>
          <t>CORESES</t>
        </is>
      </c>
    </row>
    <row r="10" ht="15.75" customHeight="1" s="700" thickBot="1">
      <c r="A10" s="46" t="n"/>
      <c r="B10" s="46" t="n"/>
      <c r="C10" s="60" t="n"/>
      <c r="D10" s="60" t="n"/>
      <c r="E10" s="60" t="n"/>
      <c r="F10" s="46" t="n"/>
      <c r="G10" s="46" t="n"/>
      <c r="H10" s="46" t="n"/>
      <c r="I10" s="46" t="n"/>
      <c r="J10" s="79" t="n"/>
      <c r="K10" s="72" t="n"/>
    </row>
    <row r="11" ht="18.75" customHeight="1" s="700" thickBot="1">
      <c r="A11" s="46" t="n"/>
      <c r="B11" s="119" t="inlineStr">
        <is>
          <t>FONDO II</t>
        </is>
      </c>
      <c r="C11" s="668" t="inlineStr">
        <is>
          <t>ACC</t>
        </is>
      </c>
      <c r="D11" s="666" t="inlineStr">
        <is>
          <t>SPV</t>
        </is>
      </c>
      <c r="E11" s="662" t="inlineStr">
        <is>
          <t>O&amp;M</t>
        </is>
      </c>
      <c r="F11" s="662" t="inlineStr">
        <is>
          <t>Consult</t>
        </is>
      </c>
      <c r="G11" s="662" t="n"/>
      <c r="H11" s="121" t="n"/>
      <c r="I11" s="46" t="n"/>
      <c r="J11" s="79" t="n"/>
      <c r="K11" s="72" t="n"/>
    </row>
    <row r="12" ht="15" customHeight="1" s="700">
      <c r="A12" s="46" t="n"/>
      <c r="B12" s="122" t="inlineStr">
        <is>
          <t>Villamartín</t>
        </is>
      </c>
      <c r="C12" s="58">
        <f>17938.48*$N$6</f>
        <v/>
      </c>
      <c r="D12" s="58">
        <f>15375.84*$N$6</f>
        <v/>
      </c>
      <c r="E12" s="58">
        <f>10506.83*$N$6</f>
        <v/>
      </c>
      <c r="F12" s="58">
        <f>18166.48*$N$6</f>
        <v/>
      </c>
      <c r="G12" s="58" t="n">
        <v>0</v>
      </c>
      <c r="H12" s="123" t="n">
        <v>0</v>
      </c>
      <c r="I12" s="660" t="n"/>
      <c r="J12" s="106">
        <f>D12+C12+E12+F12</f>
        <v/>
      </c>
      <c r="K12" s="109" t="inlineStr">
        <is>
          <t>VILLAMARTÍN</t>
        </is>
      </c>
    </row>
    <row r="13" ht="15" customHeight="1" s="700">
      <c r="A13" s="46" t="n"/>
      <c r="B13" s="122" t="inlineStr">
        <is>
          <t>Sollana (2.1)</t>
        </is>
      </c>
      <c r="C13" s="58">
        <f>12813.2*$N$6</f>
        <v/>
      </c>
      <c r="D13" s="58">
        <f>12172.54*$N$6</f>
        <v/>
      </c>
      <c r="E13" s="58">
        <f>10506.83*$N$6</f>
        <v/>
      </c>
      <c r="F13" s="58">
        <f>3333.3*$N$6</f>
        <v/>
      </c>
      <c r="G13" s="134" t="n">
        <v>0</v>
      </c>
      <c r="H13" s="135" t="n">
        <v>0</v>
      </c>
      <c r="J13" s="110">
        <f>D13+C13+E13+F13</f>
        <v/>
      </c>
      <c r="K13" s="111" t="inlineStr">
        <is>
          <t>SOLLANA</t>
        </is>
      </c>
    </row>
    <row r="14" ht="15" customHeight="1" s="700">
      <c r="A14" s="46" t="n"/>
      <c r="B14" s="122" t="inlineStr">
        <is>
          <t>Artá (2.3)</t>
        </is>
      </c>
      <c r="C14" s="58">
        <f>12813.2*$N$6</f>
        <v/>
      </c>
      <c r="D14" s="58">
        <f>12172.54*$N$6</f>
        <v/>
      </c>
      <c r="E14" s="58">
        <f>10506.83*$N$6</f>
        <v/>
      </c>
      <c r="F14" s="58">
        <f>10533.23*$N$6</f>
        <v/>
      </c>
      <c r="G14" s="134" t="n">
        <v>0</v>
      </c>
      <c r="H14" s="135" t="n">
        <v>0</v>
      </c>
      <c r="J14" s="110">
        <f>D14+C14+E14+F14</f>
        <v/>
      </c>
      <c r="K14" s="111" t="inlineStr">
        <is>
          <t>ARTÀ</t>
        </is>
      </c>
    </row>
    <row r="15" ht="15" customHeight="1" s="700">
      <c r="A15" s="46" t="n"/>
      <c r="B15" s="122" t="inlineStr">
        <is>
          <t>Casa Roja (2.5) - Lo Illán</t>
        </is>
      </c>
      <c r="C15" s="58">
        <f>12813.2*$N$6</f>
        <v/>
      </c>
      <c r="D15" s="58">
        <f>12172.54*$N$6</f>
        <v/>
      </c>
      <c r="E15" s="58">
        <f>10506.83*$N$6</f>
        <v/>
      </c>
      <c r="F15" s="58">
        <f>18304.58*$N$6</f>
        <v/>
      </c>
      <c r="G15" s="134" t="n">
        <v>0</v>
      </c>
      <c r="H15" s="135" t="n">
        <v>0</v>
      </c>
      <c r="J15" s="110">
        <f>D15+C15+E15+F15</f>
        <v/>
      </c>
      <c r="K15" s="111" t="inlineStr">
        <is>
          <t>LO ILLÁN</t>
        </is>
      </c>
    </row>
    <row r="16" ht="15" customHeight="1" s="700">
      <c r="A16" s="46" t="n"/>
      <c r="B16" s="122" t="inlineStr">
        <is>
          <t>Casa Roja (2.5) - Contreras</t>
        </is>
      </c>
      <c r="C16" s="58">
        <f>12813.2*$N$6</f>
        <v/>
      </c>
      <c r="D16" s="58">
        <f>12172.54*$N$6</f>
        <v/>
      </c>
      <c r="E16" s="58">
        <f>10506.83*$N$6</f>
        <v/>
      </c>
      <c r="F16" s="58">
        <f>27456.86*$N$6</f>
        <v/>
      </c>
      <c r="G16" s="134" t="n">
        <v>0</v>
      </c>
      <c r="H16" s="135" t="n">
        <v>0</v>
      </c>
      <c r="J16" s="110">
        <f>D16+C16+E16+F16</f>
        <v/>
      </c>
      <c r="K16" s="111" t="inlineStr">
        <is>
          <t>CONTRERAS</t>
        </is>
      </c>
    </row>
    <row r="17" ht="15" customHeight="1" s="700">
      <c r="A17" s="46" t="n"/>
      <c r="B17" s="122" t="inlineStr">
        <is>
          <t>Casa Roja (2.5) - Turbinto</t>
        </is>
      </c>
      <c r="C17" s="58">
        <f>12813.2*$N$6</f>
        <v/>
      </c>
      <c r="D17" s="58">
        <f>12172.54*$N$6</f>
        <v/>
      </c>
      <c r="E17" s="58">
        <f>10506.83*$N$6</f>
        <v/>
      </c>
      <c r="F17" s="58">
        <f>18304.58*$N$6</f>
        <v/>
      </c>
      <c r="G17" s="134" t="n">
        <v>0</v>
      </c>
      <c r="H17" s="135" t="n">
        <v>0</v>
      </c>
      <c r="J17" s="110">
        <f>D17+C17+E17+F17</f>
        <v/>
      </c>
      <c r="K17" s="111" t="inlineStr">
        <is>
          <t>TURBINTO</t>
        </is>
      </c>
    </row>
    <row r="18" ht="15.75" customHeight="1" s="700" thickBot="1">
      <c r="A18" s="46" t="n"/>
      <c r="B18" s="124" t="inlineStr">
        <is>
          <t xml:space="preserve">AE3000 (2.7) - Proyecto 1 </t>
        </is>
      </c>
      <c r="C18" s="129">
        <f>12193.78*$N$7</f>
        <v/>
      </c>
      <c r="D18" s="129">
        <f>19253.34*$N$7</f>
        <v/>
      </c>
      <c r="E18" s="129">
        <f>15787.74*$N$7</f>
        <v/>
      </c>
      <c r="F18" s="127" t="n">
        <v>0</v>
      </c>
      <c r="G18" s="125" t="n">
        <v>0</v>
      </c>
      <c r="H18" s="128" t="n">
        <v>0</v>
      </c>
      <c r="J18" s="112">
        <f>D18+C18+E18+F18</f>
        <v/>
      </c>
      <c r="K18" s="115" t="inlineStr">
        <is>
          <t>AE3000</t>
        </is>
      </c>
    </row>
    <row r="19" ht="15.75" customHeight="1" s="700" thickBot="1">
      <c r="A19" s="46" t="n"/>
      <c r="B19" s="46" t="n"/>
      <c r="C19" s="60">
        <f>SUM(C12:C18)+SUM(C5:C9)</f>
        <v/>
      </c>
      <c r="D19" s="60">
        <f>SUM(D12:D18)+SUM(D5:D9)</f>
        <v/>
      </c>
      <c r="E19" s="60">
        <f>SUM(E12:E18)+SUM(E5:E9)</f>
        <v/>
      </c>
      <c r="F19" s="60">
        <f>SUM(F12:F18)+SUM(F5:F9)</f>
        <v/>
      </c>
      <c r="G19" s="657" t="inlineStr">
        <is>
          <t>a aBa Management según adenda 141101</t>
        </is>
      </c>
      <c r="H19" s="658" t="n"/>
      <c r="I19" s="46" t="n"/>
      <c r="J19" s="116">
        <f>SUM(J5:J18)</f>
        <v/>
      </c>
      <c r="K19" s="118" t="inlineStr">
        <is>
          <t>TOTAL</t>
        </is>
      </c>
    </row>
    <row r="20" ht="15" customHeight="1" s="700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52" t="n"/>
    </row>
    <row r="22">
      <c r="A22" s="46" t="n"/>
      <c r="B22" s="46" t="n"/>
      <c r="C22" s="46" t="n"/>
      <c r="D22" s="46" t="n"/>
      <c r="E22" s="46" t="n"/>
      <c r="F22" s="46" t="n"/>
      <c r="G22" s="46" t="n"/>
      <c r="H22" s="46" t="n"/>
      <c r="I22" s="46" t="n"/>
      <c r="J22" s="46" t="n"/>
    </row>
    <row r="23">
      <c r="A23" s="46" t="n"/>
      <c r="B23" s="46" t="n"/>
      <c r="C23" s="46" t="n"/>
      <c r="D23" s="46" t="n"/>
      <c r="E23" s="46" t="n"/>
      <c r="F23" s="46" t="n"/>
      <c r="G23" s="46" t="n"/>
      <c r="H23" s="46" t="n"/>
      <c r="I23" s="46" t="n"/>
      <c r="J23" s="46" t="n"/>
    </row>
    <row r="24">
      <c r="A24" s="46" t="n"/>
      <c r="B24" s="46" t="n"/>
      <c r="C24" s="46" t="n"/>
      <c r="D24" s="46" t="n"/>
      <c r="E24" s="46" t="n"/>
      <c r="F24" s="46" t="n"/>
      <c r="G24" s="46" t="n"/>
      <c r="H24" s="46" t="n"/>
      <c r="I24" s="46" t="n"/>
      <c r="J24" s="46" t="n"/>
    </row>
    <row r="25">
      <c r="A25" s="46" t="n"/>
      <c r="B25" s="46" t="n"/>
      <c r="C25" s="46" t="n"/>
      <c r="D25" s="46" t="n"/>
      <c r="E25" s="46" t="n"/>
      <c r="F25" s="46" t="n"/>
      <c r="G25" s="46" t="n"/>
      <c r="H25" s="46" t="n"/>
      <c r="I25" s="46" t="n"/>
      <c r="J25" s="46" t="n"/>
    </row>
    <row r="26">
      <c r="A26" s="46" t="n"/>
      <c r="B26" s="46" t="n"/>
      <c r="C26" s="46" t="n"/>
      <c r="D26" s="46" t="n"/>
      <c r="E26" s="46" t="n"/>
      <c r="F26" s="46" t="n"/>
      <c r="G26" s="46" t="n"/>
      <c r="H26" s="46" t="n"/>
      <c r="I26" s="46" t="n"/>
      <c r="J26" s="46" t="n"/>
    </row>
    <row r="27">
      <c r="A27" s="46" t="n"/>
      <c r="B27" s="46" t="n"/>
      <c r="C27" s="46" t="n"/>
      <c r="D27" s="46" t="n"/>
      <c r="E27" s="46" t="n"/>
      <c r="F27" s="46" t="n"/>
      <c r="G27" s="46" t="n"/>
      <c r="H27" s="46" t="n"/>
      <c r="I27" s="46" t="n"/>
      <c r="J27" s="46" t="n"/>
    </row>
    <row r="28">
      <c r="A28" s="46" t="n"/>
      <c r="B28" s="46" t="n"/>
      <c r="C28" s="46" t="n"/>
      <c r="D28" s="46" t="n"/>
      <c r="E28" s="46" t="n"/>
      <c r="F28" s="46" t="n"/>
      <c r="G28" s="46" t="n"/>
      <c r="H28" s="46" t="n"/>
      <c r="I28" s="46" t="n"/>
      <c r="J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</row>
    <row r="30">
      <c r="A30" s="46" t="n"/>
      <c r="B30" s="46" t="n"/>
      <c r="C30" s="46" t="n"/>
      <c r="D30" s="46" t="n"/>
      <c r="E30" s="46" t="n"/>
      <c r="F30" s="46" t="n"/>
      <c r="G30" s="46" t="n"/>
      <c r="H30" s="46" t="n"/>
      <c r="I30" s="46" t="n"/>
      <c r="J30" s="46" t="n"/>
    </row>
    <row r="31">
      <c r="A31" s="46" t="n"/>
      <c r="B31" s="46" t="n"/>
      <c r="C31" s="46" t="n"/>
      <c r="D31" s="46" t="n"/>
      <c r="E31" s="46" t="n"/>
      <c r="F31" s="46" t="n"/>
      <c r="G31" s="46" t="n"/>
      <c r="H31" s="46" t="n"/>
      <c r="I31" s="46" t="n"/>
      <c r="J31" s="46" t="n"/>
    </row>
    <row r="32">
      <c r="A32" s="46" t="n"/>
      <c r="B32" s="46" t="n"/>
      <c r="C32" s="46" t="n"/>
      <c r="D32" s="46" t="n"/>
      <c r="E32" s="46" t="n"/>
      <c r="F32" s="46" t="n"/>
      <c r="G32" s="46" t="n"/>
      <c r="H32" s="46" t="n"/>
      <c r="I32" s="46" t="n"/>
      <c r="J32" s="46" t="n"/>
    </row>
    <row r="33">
      <c r="A33" s="46" t="n"/>
      <c r="B33" s="46" t="n"/>
      <c r="C33" s="46" t="n"/>
      <c r="D33" s="46" t="n"/>
      <c r="E33" s="46" t="n"/>
      <c r="F33" s="46" t="n"/>
      <c r="G33" s="46" t="n"/>
      <c r="H33" s="46" t="n"/>
      <c r="I33" s="46" t="n"/>
      <c r="J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</row>
  </sheetData>
  <mergeCells count="6">
    <mergeCell ref="K5:K8"/>
    <mergeCell ref="O6:Q7"/>
    <mergeCell ref="I5:I9"/>
    <mergeCell ref="G19:H19"/>
    <mergeCell ref="A5:A8"/>
    <mergeCell ref="I12:I18"/>
  </mergeCells>
  <pageMargins left="0.7" right="0.7" top="0.75" bottom="0.75" header="0.3" footer="0.3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Hoja21">
    <outlinePr summaryBelow="1" summaryRight="1"/>
    <pageSetUpPr/>
  </sheetPr>
  <dimension ref="A1:AD299"/>
  <sheetViews>
    <sheetView topLeftCell="A11" zoomScale="80" zoomScaleNormal="80" workbookViewId="0">
      <selection activeCell="J44" sqref="J44"/>
    </sheetView>
  </sheetViews>
  <sheetFormatPr baseColWidth="10" defaultColWidth="11.3828125" defaultRowHeight="14.15"/>
  <cols>
    <col width="4.53515625" customWidth="1" style="681" min="1" max="1"/>
    <col width="27.15234375" customWidth="1" style="655" min="2" max="2"/>
    <col width="16.3828125" bestFit="1" customWidth="1" style="655" min="3" max="3"/>
    <col width="16.84375" bestFit="1" customWidth="1" style="655" min="4" max="4"/>
    <col width="16.3828125" bestFit="1" customWidth="1" style="655" min="5" max="6"/>
    <col width="15.53515625" bestFit="1" customWidth="1" style="655" min="7" max="7"/>
    <col width="16.84375" bestFit="1" customWidth="1" style="655" min="8" max="8"/>
    <col width="48.69140625" bestFit="1" customWidth="1" style="655" min="9" max="9"/>
    <col width="18.3046875" bestFit="1" customWidth="1" style="655" min="10" max="10"/>
    <col width="15.3828125" bestFit="1" customWidth="1" style="655" min="11" max="11"/>
    <col width="11.3828125" customWidth="1" style="655" min="12" max="15"/>
    <col width="12.15234375" customWidth="1" style="655" min="16" max="16"/>
    <col width="11.3828125" customWidth="1" style="655" min="17" max="21"/>
    <col width="12.53515625" bestFit="1" customWidth="1" style="655" min="22" max="22"/>
    <col width="11.3828125" customWidth="1" style="655" min="23" max="33"/>
    <col width="11.3828125" customWidth="1" style="655" min="34" max="16384"/>
  </cols>
  <sheetData>
    <row r="1" ht="15" customHeight="1" s="700">
      <c r="A1" s="562" t="n"/>
      <c r="B1" s="46" t="n"/>
      <c r="C1" s="46" t="n"/>
      <c r="D1" s="46" t="n"/>
      <c r="E1" s="46" t="n"/>
      <c r="F1" s="46" t="n"/>
      <c r="G1" s="46" t="n"/>
      <c r="H1" s="46" t="n"/>
      <c r="I1" s="46" t="n"/>
      <c r="J1" s="472" t="n"/>
    </row>
    <row r="2" ht="15" customHeight="1" s="700" thickBot="1">
      <c r="A2" s="562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</row>
    <row r="3" ht="18.75" customHeight="1" s="700" thickBot="1">
      <c r="A3" s="562" t="n"/>
      <c r="B3" s="46" t="n"/>
      <c r="C3" s="668" t="inlineStr">
        <is>
          <t>ACC</t>
        </is>
      </c>
      <c r="D3" s="668" t="inlineStr">
        <is>
          <t>Anual</t>
        </is>
      </c>
      <c r="E3" s="666" t="inlineStr">
        <is>
          <t>SPV</t>
        </is>
      </c>
      <c r="F3" s="666" t="inlineStr">
        <is>
          <t>Annual</t>
        </is>
      </c>
      <c r="G3" s="662" t="inlineStr">
        <is>
          <t>O&amp;M</t>
        </is>
      </c>
      <c r="H3" s="662" t="inlineStr">
        <is>
          <t>Annual</t>
        </is>
      </c>
      <c r="I3" s="662" t="inlineStr">
        <is>
          <t>Consult</t>
        </is>
      </c>
      <c r="J3" s="662" t="inlineStr">
        <is>
          <t>Annual</t>
        </is>
      </c>
      <c r="K3" s="87" t="n"/>
      <c r="L3" s="87" t="n"/>
      <c r="N3" s="46" t="n"/>
      <c r="S3" s="347" t="inlineStr">
        <is>
          <t>VARIACIÓN IPC DE DICIEMBRE A DICIEMBRE</t>
        </is>
      </c>
      <c r="T3" s="348" t="n"/>
      <c r="U3" s="348" t="n"/>
      <c r="V3" s="348" t="n"/>
      <c r="W3" s="348" t="n"/>
      <c r="X3" s="348" t="n"/>
      <c r="Y3" s="348" t="n"/>
      <c r="Z3" s="348" t="n"/>
      <c r="AA3" s="348" t="n"/>
      <c r="AB3" s="348" t="n"/>
      <c r="AC3" s="348" t="n"/>
    </row>
    <row r="4" ht="18" customHeight="1" s="700">
      <c r="A4" s="562" t="n"/>
      <c r="B4" s="119" t="inlineStr">
        <is>
          <t>FONDO I</t>
        </is>
      </c>
      <c r="C4" s="668" t="n">
        <v>2024</v>
      </c>
      <c r="D4" s="668" t="n">
        <v>2025</v>
      </c>
      <c r="E4" s="666" t="n">
        <v>2024</v>
      </c>
      <c r="F4" s="666" t="n">
        <v>2025</v>
      </c>
      <c r="G4" s="662" t="n">
        <v>2024</v>
      </c>
      <c r="H4" s="662" t="n">
        <v>2025</v>
      </c>
      <c r="I4" s="662" t="n">
        <v>2024</v>
      </c>
      <c r="J4" s="662" t="n">
        <v>2025</v>
      </c>
      <c r="K4" s="662" t="inlineStr">
        <is>
          <t>Cuentas</t>
        </is>
      </c>
      <c r="L4" s="121" t="inlineStr">
        <is>
          <t>Secretaría</t>
        </is>
      </c>
      <c r="M4" s="46" t="n"/>
    </row>
    <row r="5" ht="14.9" customHeight="1" s="700">
      <c r="A5" s="654" t="inlineStr">
        <is>
          <t>Renova</t>
        </is>
      </c>
      <c r="B5" s="122" t="inlineStr">
        <is>
          <t>Valverde</t>
        </is>
      </c>
      <c r="C5" s="58">
        <f>4*5581.75*(1+$AD$6)</f>
        <v/>
      </c>
      <c r="D5" s="58">
        <f>4*5581.75*(1+$AD$6)</f>
        <v/>
      </c>
      <c r="E5" s="58">
        <f>4*3283.38*(1+$AD$6)</f>
        <v/>
      </c>
      <c r="F5" s="58">
        <f>4*3283.38*(1+$AD$6)</f>
        <v/>
      </c>
      <c r="G5" s="58">
        <f>4*2871.87*(1+$AD$6)</f>
        <v/>
      </c>
      <c r="H5" s="58">
        <f>4*2871.87*(1+$AD$6)</f>
        <v/>
      </c>
      <c r="I5" s="58">
        <f>4*2828.9*(1+$AD$6)</f>
        <v/>
      </c>
      <c r="J5" s="58">
        <f>4*2828.9*(1+$AD$6)</f>
        <v/>
      </c>
      <c r="K5" s="58" t="n">
        <v>0</v>
      </c>
      <c r="L5" s="123" t="n">
        <v>0</v>
      </c>
      <c r="M5" s="660" t="inlineStr">
        <is>
          <t>Gastos generales: 3,5 % del honorario global</t>
        </is>
      </c>
      <c r="N5" s="139">
        <f>E5+C5+G5+I5</f>
        <v/>
      </c>
      <c r="O5" s="659" t="inlineStr">
        <is>
          <t>RENOVA</t>
        </is>
      </c>
      <c r="S5" t="inlineStr">
        <is>
          <t>IPC 2014</t>
        </is>
      </c>
      <c r="T5" t="inlineStr">
        <is>
          <t>IPC 2015</t>
        </is>
      </c>
      <c r="U5" t="inlineStr">
        <is>
          <t>IPC 2016</t>
        </is>
      </c>
      <c r="V5" t="inlineStr">
        <is>
          <t>IPC 2017'FV</t>
        </is>
      </c>
      <c r="W5" t="inlineStr">
        <is>
          <t>IPC 2018'FV</t>
        </is>
      </c>
      <c r="X5" t="inlineStr">
        <is>
          <t>IPC 2019'FV</t>
        </is>
      </c>
      <c r="Y5" t="inlineStr">
        <is>
          <t>IPC 2020'FV</t>
        </is>
      </c>
      <c r="Z5" t="inlineStr">
        <is>
          <t>IPC 2021'FV</t>
        </is>
      </c>
      <c r="AA5" t="inlineStr">
        <is>
          <t>IPC 2022'FV</t>
        </is>
      </c>
      <c r="AB5" t="inlineStr">
        <is>
          <t>IPC 2023'FV</t>
        </is>
      </c>
      <c r="AC5" t="inlineStr">
        <is>
          <t>IPC 2024'FV</t>
        </is>
      </c>
      <c r="AD5" t="inlineStr">
        <is>
          <t>IPC 2024'FV</t>
        </is>
      </c>
    </row>
    <row r="6" ht="15" customHeight="1" s="700">
      <c r="B6" s="122" t="inlineStr">
        <is>
          <t>Castuera</t>
        </is>
      </c>
      <c r="C6" s="58">
        <f>4*3572.32*(1+$AD$6)</f>
        <v/>
      </c>
      <c r="D6" s="58">
        <f>4*3572.32*(1+$AD$6)</f>
        <v/>
      </c>
      <c r="E6" s="58">
        <f>4*2101.37*(1+$AD$6)</f>
        <v/>
      </c>
      <c r="F6" s="58">
        <f>4*2101.37*(1+$AD$6)</f>
        <v/>
      </c>
      <c r="G6" s="58">
        <f>4*1838*(1+$AD$6)</f>
        <v/>
      </c>
      <c r="H6" s="58">
        <f>4*1838*(1+$AD$6)</f>
        <v/>
      </c>
      <c r="I6" s="58">
        <f>4*1810.5*(1+$AD$6)</f>
        <v/>
      </c>
      <c r="J6" s="58">
        <f>4*1810.5*(1+$AD$6)</f>
        <v/>
      </c>
      <c r="K6" s="58" t="n">
        <v>0</v>
      </c>
      <c r="L6" s="123" t="n">
        <v>0</v>
      </c>
      <c r="N6" s="139">
        <f>E6+C6+G6+I6</f>
        <v/>
      </c>
      <c r="O6" s="646" t="n"/>
      <c r="Q6" s="142" t="inlineStr">
        <is>
          <t>Actualización 2016</t>
        </is>
      </c>
      <c r="R6" s="346">
        <f>ROUND((1+$V$6)*(1+W6)*(1+X6)*(1+Y6)*(1+Z6)*(1+AA6)*(1+AB6)*(1+AC6)*(1+AD6),2)</f>
        <v/>
      </c>
      <c r="S6" s="670" t="inlineStr">
        <is>
          <t>ya considerado</t>
        </is>
      </c>
      <c r="V6" s="144" t="n">
        <v>0.01</v>
      </c>
      <c r="W6" s="144" t="n">
        <v>0.011</v>
      </c>
      <c r="X6" s="144" t="n">
        <v>0.01</v>
      </c>
      <c r="Y6" s="144" t="n">
        <v>0.01</v>
      </c>
      <c r="Z6" s="144" t="n">
        <v>0.01</v>
      </c>
      <c r="AA6" s="144" t="n">
        <v>0.065</v>
      </c>
      <c r="AB6" s="144" t="n">
        <v>0.061</v>
      </c>
      <c r="AC6" s="144" t="n">
        <v>0.031</v>
      </c>
      <c r="AD6" s="144" t="n">
        <v>0.028</v>
      </c>
    </row>
    <row r="7" ht="15" customHeight="1" s="700">
      <c r="B7" s="122" t="inlineStr">
        <is>
          <t>Paiporta</t>
        </is>
      </c>
      <c r="C7" s="58">
        <f>4*223.27*(1+$AD$6)</f>
        <v/>
      </c>
      <c r="D7" s="58">
        <f>4*223.27*(1+$AD$6)</f>
        <v/>
      </c>
      <c r="E7" s="58">
        <f>4*131.34*(1+$AD$6)</f>
        <v/>
      </c>
      <c r="F7" s="58">
        <f>4*131.34*(1+$AD$6)</f>
        <v/>
      </c>
      <c r="G7" s="58">
        <f>4*114.88*(1+$AD$6)</f>
        <v/>
      </c>
      <c r="H7" s="58">
        <f>4*114.88*(1+$AD$6)</f>
        <v/>
      </c>
      <c r="I7" s="58">
        <f>4*113.16*(1+$AD$6)</f>
        <v/>
      </c>
      <c r="J7" s="58">
        <f>4*113.16*(1+$AD$6)</f>
        <v/>
      </c>
      <c r="K7" s="58" t="n">
        <v>0</v>
      </c>
      <c r="L7" s="123" t="n">
        <v>0</v>
      </c>
      <c r="N7" s="139">
        <f>E7+C7+G7+I7</f>
        <v/>
      </c>
      <c r="O7" s="646" t="n"/>
      <c r="Q7" s="145" t="inlineStr">
        <is>
          <t>AE3000</t>
        </is>
      </c>
      <c r="R7" s="346">
        <f>ROUND((1+$V$6)*(1+W7)*(1+X7)*(1+Y7)*(1+Z7)*(1+AA7)*(1+AB7)*(1+AC7)*(1+AD7),2)</f>
        <v/>
      </c>
      <c r="V7" s="144" t="n">
        <v>0.01</v>
      </c>
      <c r="W7" s="144" t="n">
        <v>0.011</v>
      </c>
      <c r="X7" s="144" t="n">
        <v>0.012</v>
      </c>
      <c r="Y7" s="144" t="n">
        <v>0.012</v>
      </c>
      <c r="Z7" s="144" t="n">
        <v>0.01</v>
      </c>
      <c r="AA7" s="144" t="n">
        <v>0.065</v>
      </c>
      <c r="AB7" s="144" t="n">
        <v>0.061</v>
      </c>
      <c r="AC7" s="144" t="n">
        <v>0.031</v>
      </c>
      <c r="AD7" s="144" t="n">
        <v>0.028</v>
      </c>
    </row>
    <row r="8" ht="15" customHeight="1" s="700">
      <c r="B8" s="122" t="inlineStr">
        <is>
          <t>Bonaire</t>
        </is>
      </c>
      <c r="C8" s="58">
        <f>4*669.81*(1+$AD$6)</f>
        <v/>
      </c>
      <c r="D8" s="58">
        <f>4*669.81*(1+$AD$6)</f>
        <v/>
      </c>
      <c r="E8" s="58">
        <f>4*394.01*(1+$AD$6)</f>
        <v/>
      </c>
      <c r="F8" s="58">
        <f>4*394.01*(1+$AD$6)</f>
        <v/>
      </c>
      <c r="G8" s="58">
        <f>4*344.62*(1+$AD$6)</f>
        <v/>
      </c>
      <c r="H8" s="58">
        <f>4*344.62*(1+$AD$6)</f>
        <v/>
      </c>
      <c r="I8" s="58">
        <f>4*339.47*(1+$AD$6)</f>
        <v/>
      </c>
      <c r="J8" s="58">
        <f>4*339.47*(1+$AD$6)</f>
        <v/>
      </c>
      <c r="K8" s="58" t="n">
        <v>0</v>
      </c>
      <c r="L8" s="123" t="n">
        <v>0</v>
      </c>
      <c r="N8" s="139">
        <f>E8+C8+G8+I8</f>
        <v/>
      </c>
      <c r="O8" s="647" t="n"/>
      <c r="Q8" s="145" t="inlineStr">
        <is>
          <t>Actualización garantía</t>
        </is>
      </c>
      <c r="R8" s="346">
        <f>ROUND((1+X7)*(1+Y7)*(1+Z7)*(1+AA7)*(1+AB7)*(1+AC7),2)</f>
        <v/>
      </c>
    </row>
    <row r="9" ht="15.75" customHeight="1" s="700" thickBot="1">
      <c r="A9" s="562" t="n"/>
      <c r="B9" s="124" t="inlineStr">
        <is>
          <t>Coreses</t>
        </is>
      </c>
      <c r="C9" s="58">
        <f>4*3861.26*(1+$AD$6)</f>
        <v/>
      </c>
      <c r="D9" s="58">
        <f>4*3861.26*(1+$AD$6)</f>
        <v/>
      </c>
      <c r="E9" s="58">
        <f>4*3861.26*(1+$AD$6)</f>
        <v/>
      </c>
      <c r="F9" s="58">
        <f>4*3861.26*(1+$AD$6)</f>
        <v/>
      </c>
      <c r="G9" s="58">
        <f>4*3230.85*(1+$AD$6)</f>
        <v/>
      </c>
      <c r="H9" s="58">
        <f>4*3230.85*(1+$AD$6)</f>
        <v/>
      </c>
      <c r="I9" s="58">
        <f>4*4635.37*(1+$AD$6)</f>
        <v/>
      </c>
      <c r="J9" s="58">
        <f>4*4635.37*(1+$AD$6)</f>
        <v/>
      </c>
      <c r="K9" s="125" t="n">
        <v>0</v>
      </c>
      <c r="L9" s="128" t="n">
        <v>0</v>
      </c>
      <c r="N9" s="139">
        <f>E9+C9+G9+I9</f>
        <v/>
      </c>
      <c r="O9" s="105" t="inlineStr">
        <is>
          <t>CORESES</t>
        </is>
      </c>
      <c r="X9" s="145" t="n"/>
    </row>
    <row r="10" ht="15.75" customHeight="1" s="700" thickBot="1">
      <c r="A10" s="562" t="n"/>
      <c r="B10" s="46" t="n"/>
      <c r="C10" s="60" t="n"/>
      <c r="D10" s="60" t="n"/>
      <c r="E10" s="60" t="n"/>
      <c r="F10" s="60" t="n"/>
      <c r="G10" s="60" t="n"/>
      <c r="H10" s="60" t="n"/>
      <c r="I10" s="46" t="n"/>
      <c r="J10" s="46" t="n"/>
      <c r="K10" s="46" t="n"/>
      <c r="L10" s="46" t="n"/>
      <c r="M10" s="46" t="n"/>
      <c r="N10" s="79" t="n"/>
      <c r="O10" s="72" t="n"/>
    </row>
    <row r="11" ht="18.75" customHeight="1" s="700" thickBot="1">
      <c r="A11" s="562" t="n"/>
      <c r="B11" s="119" t="inlineStr">
        <is>
          <t>FONDO II</t>
        </is>
      </c>
      <c r="C11" s="668" t="inlineStr">
        <is>
          <t>ACC</t>
        </is>
      </c>
      <c r="D11" s="668" t="n"/>
      <c r="E11" s="666" t="inlineStr">
        <is>
          <t>SPV</t>
        </is>
      </c>
      <c r="F11" s="666" t="n"/>
      <c r="G11" s="662" t="inlineStr">
        <is>
          <t>O&amp;M</t>
        </is>
      </c>
      <c r="H11" s="662" t="n"/>
      <c r="I11" s="662" t="inlineStr">
        <is>
          <t>Consult</t>
        </is>
      </c>
      <c r="J11" s="662" t="n"/>
      <c r="K11" s="662" t="n"/>
      <c r="L11" s="121" t="n"/>
      <c r="M11" s="46" t="n"/>
      <c r="N11" s="79" t="n"/>
      <c r="O11" s="72" t="n"/>
    </row>
    <row r="12" ht="15" customHeight="1" s="700">
      <c r="A12" s="562" t="n"/>
      <c r="B12" s="122" t="inlineStr">
        <is>
          <t>Villamartín</t>
        </is>
      </c>
      <c r="C12" s="58">
        <f>2*4*1898.98*(1+$AD$6)+4*1718.12*(1+$AD$6)</f>
        <v/>
      </c>
      <c r="D12" s="58">
        <f>2*4*1898.98*(1+$AD$6)+4*1718.12*(1+$AD$6)</f>
        <v/>
      </c>
      <c r="E12" s="58">
        <f>2*4*1627.7*(1+$AD$6)+4*1472.68*(1+$AD$6)</f>
        <v/>
      </c>
      <c r="F12" s="58">
        <f>2*4*1627.7*(1+$AD$6)+4*1472.68*(1+$AD$6)</f>
        <v/>
      </c>
      <c r="G12" s="58">
        <f>2*4*1112.26*(1+$AD$6)+4*1006.33*(1+$AD$6)</f>
        <v/>
      </c>
      <c r="H12" s="58">
        <f>2*4*1112.26*(1+$AD$6)+4*1006.33*(1+$AD$6)</f>
        <v/>
      </c>
      <c r="I12" s="58">
        <f>2*4*1923.12*(1+$AD$6)+4*1739.96*(1+$AD$6)</f>
        <v/>
      </c>
      <c r="J12" s="58">
        <f>2*4*1923.12*(1+$AD$6)+4*1739.96*(1+$AD$6)</f>
        <v/>
      </c>
      <c r="K12" s="58" t="n">
        <v>0</v>
      </c>
      <c r="L12" s="123" t="n">
        <v>0</v>
      </c>
      <c r="M12" s="660" t="inlineStr">
        <is>
          <t>Gastos generales: 3,5 % del honorario global</t>
        </is>
      </c>
      <c r="N12" s="106">
        <f>E12+C12+G12+I12</f>
        <v/>
      </c>
      <c r="O12" s="109" t="inlineStr">
        <is>
          <t>VILLAMARTÍN</t>
        </is>
      </c>
    </row>
    <row r="13" ht="15" customHeight="1" s="700">
      <c r="A13" s="562" t="n"/>
      <c r="B13" s="122" t="inlineStr">
        <is>
          <t>Sollana (2.1)</t>
        </is>
      </c>
      <c r="C13" s="58">
        <f>4*3940.06*(1+$AD$6)</f>
        <v/>
      </c>
      <c r="D13" s="58">
        <f>4*3940.06*(1+$AD$6)</f>
        <v/>
      </c>
      <c r="E13" s="58">
        <f>4*3743.06*(1+$AD$6)</f>
        <v/>
      </c>
      <c r="F13" s="58">
        <f>4*3743.06*(1+$AD$6)</f>
        <v/>
      </c>
      <c r="G13" s="58">
        <f>4*3230.85*(1+$AD$6)</f>
        <v/>
      </c>
      <c r="H13" s="58">
        <f>4*3230.85*(1+$AD$6)</f>
        <v/>
      </c>
      <c r="I13" s="58">
        <f>4*1024.99*(1+$AD$6)</f>
        <v/>
      </c>
      <c r="J13" s="58">
        <f>4*1024.99*(1+$AD$6)</f>
        <v/>
      </c>
      <c r="K13" s="58" t="n">
        <v>0</v>
      </c>
      <c r="L13" s="123" t="n">
        <v>0</v>
      </c>
      <c r="N13" s="110">
        <f>E13+C13+G13+I13</f>
        <v/>
      </c>
      <c r="O13" s="111" t="inlineStr">
        <is>
          <t>SOLLANA</t>
        </is>
      </c>
    </row>
    <row r="14" ht="15" customHeight="1" s="700">
      <c r="A14" s="562" t="n"/>
      <c r="B14" s="122" t="inlineStr">
        <is>
          <t>Artá (2.3)</t>
        </is>
      </c>
      <c r="C14" s="58">
        <f>4*3940.06*(1+$AD$6)</f>
        <v/>
      </c>
      <c r="D14" s="58">
        <f>4*3940.06*(1+$AD$6)</f>
        <v/>
      </c>
      <c r="E14" s="58">
        <f>4*3743.06*(1+$AD$6)</f>
        <v/>
      </c>
      <c r="F14" s="58">
        <f>4*3743.06*(1+$AD$6)</f>
        <v/>
      </c>
      <c r="G14" s="58">
        <f>4*3230.85*(1+$AD$6)</f>
        <v/>
      </c>
      <c r="H14" s="58">
        <f>4*3230.85*(1+$AD$6)</f>
        <v/>
      </c>
      <c r="I14" s="58">
        <f>4*3238.97*(1+$AD$6)</f>
        <v/>
      </c>
      <c r="J14" s="58">
        <f>4*3238.97*(1+$AD$6)</f>
        <v/>
      </c>
      <c r="K14" s="58" t="n">
        <v>0</v>
      </c>
      <c r="L14" s="123" t="n">
        <v>0</v>
      </c>
      <c r="N14" s="110">
        <f>E14+C14+G14+I14</f>
        <v/>
      </c>
      <c r="O14" s="111" t="inlineStr">
        <is>
          <t>ARTÀ</t>
        </is>
      </c>
    </row>
    <row r="15" ht="15" customHeight="1" s="700">
      <c r="A15" s="562" t="n"/>
      <c r="B15" s="122" t="inlineStr">
        <is>
          <t>Casa Roja (2.5) - Lo Illán</t>
        </is>
      </c>
      <c r="C15" s="58">
        <f>4*3940.06*(1+$AD$6)</f>
        <v/>
      </c>
      <c r="D15" s="58">
        <f>4*3940.06*(1+$AD$6)</f>
        <v/>
      </c>
      <c r="E15" s="58">
        <f>4*3743.06*(1+$AD$6)</f>
        <v/>
      </c>
      <c r="F15" s="58">
        <f>4*3743.06*(1+$AD$6)</f>
        <v/>
      </c>
      <c r="G15" s="58">
        <f>4*3230.85*(1+$AD$6)</f>
        <v/>
      </c>
      <c r="H15" s="58">
        <f>4*3230.85*(1+$AD$6)</f>
        <v/>
      </c>
      <c r="I15" s="58">
        <f>4*8442.98*(1+$AD$6)</f>
        <v/>
      </c>
      <c r="J15" s="58">
        <f>4*8442.98*(1+$AD$6)</f>
        <v/>
      </c>
      <c r="K15" s="58" t="n">
        <v>0</v>
      </c>
      <c r="L15" s="123" t="n">
        <v>0</v>
      </c>
      <c r="N15" s="110">
        <f>E15+C15+G15+I15</f>
        <v/>
      </c>
      <c r="O15" s="111" t="inlineStr">
        <is>
          <t>LO ILLÁN</t>
        </is>
      </c>
      <c r="R15" s="678" t="inlineStr">
        <is>
          <t>Recuento explotación:</t>
        </is>
      </c>
      <c r="T15" s="367">
        <f>COUNTIF(C:C,"EXPLOTACIÓN: ACC+SPV+O&amp;M Manag")</f>
        <v/>
      </c>
    </row>
    <row r="16" ht="15.75" customHeight="1" s="700" thickBot="1">
      <c r="A16" s="562" t="n"/>
      <c r="B16" s="122" t="inlineStr">
        <is>
          <t>Casa Roja (2.5) - Contreras</t>
        </is>
      </c>
      <c r="C16" s="58">
        <f>4*3940.06*(1+$AD$6)</f>
        <v/>
      </c>
      <c r="D16" s="58">
        <f>4*3940.06*(1+$AD$6)</f>
        <v/>
      </c>
      <c r="E16" s="58">
        <f>4*3743.06*(1+$AD$6)</f>
        <v/>
      </c>
      <c r="F16" s="58">
        <f>4*3743.06*(1+$AD$6)</f>
        <v/>
      </c>
      <c r="G16" s="58">
        <f>4*3230.85*(1+$AD$6)</f>
        <v/>
      </c>
      <c r="H16" s="58">
        <f>4*3230.85*(1+$AD$6)</f>
        <v/>
      </c>
      <c r="I16" s="58">
        <f>4*5628.66*(1+$AD$6)</f>
        <v/>
      </c>
      <c r="J16" s="58">
        <f>4*5628.66*(1+$AD$6)</f>
        <v/>
      </c>
      <c r="K16" s="58" t="n">
        <v>0</v>
      </c>
      <c r="L16" s="123" t="n">
        <v>0</v>
      </c>
      <c r="N16" s="110">
        <f>E16+C16+G16+I16</f>
        <v/>
      </c>
      <c r="O16" s="111" t="inlineStr">
        <is>
          <t>CONTRERAS</t>
        </is>
      </c>
    </row>
    <row r="17" ht="15.75" customHeight="1" s="700" thickBot="1">
      <c r="A17" s="562" t="n"/>
      <c r="B17" s="122" t="inlineStr">
        <is>
          <t>Casa Roja (2.5) - Turbinto</t>
        </is>
      </c>
      <c r="C17" s="58">
        <f>4*3940.06*(1+$AD$6)</f>
        <v/>
      </c>
      <c r="D17" s="58">
        <f>4*3940.06*(1+$AD$6)</f>
        <v/>
      </c>
      <c r="E17" s="58">
        <f>4*3743.06*(1+$AD$6)</f>
        <v/>
      </c>
      <c r="F17" s="58">
        <f>4*3743.06*(1+$AD$6)</f>
        <v/>
      </c>
      <c r="G17" s="58">
        <f>4*3230.85*(1+$AD$6)</f>
        <v/>
      </c>
      <c r="H17" s="58">
        <f>4*3230.85*(1+$AD$6)</f>
        <v/>
      </c>
      <c r="I17" s="58">
        <f>4*5628.66*(1+$AD$6)</f>
        <v/>
      </c>
      <c r="J17" s="58">
        <f>4*5628.66*(1+$AD$6)</f>
        <v/>
      </c>
      <c r="K17" s="58" t="n">
        <v>0</v>
      </c>
      <c r="L17" s="123" t="n">
        <v>0</v>
      </c>
      <c r="N17" s="110">
        <f>E17+C17+G17+I17</f>
        <v/>
      </c>
      <c r="O17" s="111" t="inlineStr">
        <is>
          <t>TURBINTO</t>
        </is>
      </c>
      <c r="R17" s="487" t="inlineStr">
        <is>
          <t>Recuento &gt;</t>
        </is>
      </c>
      <c r="S17" s="708" t="n">
        <v>2</v>
      </c>
      <c r="T17" s="489">
        <f>COUNTIF($L:$L,"&gt;"&amp;(S17*12))</f>
        <v/>
      </c>
    </row>
    <row r="18" ht="15.75" customHeight="1" s="700" thickBot="1">
      <c r="A18" s="562" t="n"/>
      <c r="B18" s="124" t="inlineStr">
        <is>
          <t xml:space="preserve">AE3000 (2.7) - Proyecto 1 </t>
        </is>
      </c>
      <c r="C18" s="58">
        <f>4*6*624.93*(1+$AD$6)</f>
        <v/>
      </c>
      <c r="D18" s="58">
        <f>4*6*624.93*(1+$AD$6)</f>
        <v/>
      </c>
      <c r="E18" s="58">
        <f>4*6*986.73*(1+$AD$6)</f>
        <v/>
      </c>
      <c r="F18" s="58">
        <f>4*6*986.73*(1+$AD$6)</f>
        <v/>
      </c>
      <c r="G18" s="58">
        <f>4*6*809.12*(1+$AD$6)</f>
        <v/>
      </c>
      <c r="H18" s="58">
        <f>4*6*809.12*(1+$AD$6)</f>
        <v/>
      </c>
      <c r="I18" s="127" t="n">
        <v>0</v>
      </c>
      <c r="J18" s="127" t="n">
        <v>1</v>
      </c>
      <c r="K18" s="125" t="n">
        <v>0</v>
      </c>
      <c r="L18" s="128" t="n">
        <v>0</v>
      </c>
      <c r="N18" s="112">
        <f>E18+C18+G18+I18</f>
        <v/>
      </c>
      <c r="O18" s="115" t="inlineStr">
        <is>
          <t>AE3000</t>
        </is>
      </c>
    </row>
    <row r="19" ht="15.75" customHeight="1" s="700" thickBot="1">
      <c r="A19" s="562" t="n"/>
      <c r="B19" s="46" t="n"/>
      <c r="C19" s="60">
        <f>SUM(C12:C18)+SUM(C5:C9)</f>
        <v/>
      </c>
      <c r="D19" s="60" t="n"/>
      <c r="E19" s="60">
        <f>SUM(E12:E18)+SUM(E5:E9)</f>
        <v/>
      </c>
      <c r="F19" s="60" t="n"/>
      <c r="G19" s="60">
        <f>SUM(G12:G18)+SUM(G5:G9)</f>
        <v/>
      </c>
      <c r="H19" s="60" t="n"/>
      <c r="I19" s="60">
        <f>SUM(I12:I18)+SUM(I5:I9)</f>
        <v/>
      </c>
      <c r="J19" s="675" t="inlineStr">
        <is>
          <t>a aBa Management según adenda 141101</t>
        </is>
      </c>
      <c r="K19" s="658" t="n"/>
      <c r="L19" s="46" t="n"/>
      <c r="M19" s="709">
        <f>SUM(N5:N18)</f>
        <v/>
      </c>
      <c r="N19" s="118" t="inlineStr">
        <is>
          <t>TOTAL</t>
        </is>
      </c>
      <c r="R19" s="303" t="inlineStr">
        <is>
          <t>Promedio Valistiq:</t>
        </is>
      </c>
      <c r="S19" s="303" t="n"/>
      <c r="T19" s="587">
        <f>AVERAGE(J22:J299)</f>
        <v/>
      </c>
    </row>
    <row r="20" ht="15" customHeight="1" s="700">
      <c r="A20" s="562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710" t="n"/>
      <c r="K20" s="302" t="n"/>
    </row>
    <row r="21" ht="15.75" customHeight="1" s="700" thickBot="1">
      <c r="A21" s="562" t="n"/>
      <c r="B21" s="46" t="n"/>
      <c r="C21" s="46" t="n"/>
      <c r="D21" s="46" t="n"/>
      <c r="E21" s="46" t="n"/>
      <c r="F21" s="46" t="n"/>
      <c r="G21" s="46" t="n"/>
      <c r="H21" s="46" t="n"/>
      <c r="I21" s="711" t="n"/>
      <c r="J21" s="712" t="n"/>
      <c r="K21" s="303" t="n"/>
    </row>
    <row r="22" ht="15" customHeight="1" s="700" thickBot="1">
      <c r="A22" s="562" t="n"/>
      <c r="B22" s="46" t="n"/>
      <c r="C22" s="46" t="n"/>
      <c r="D22" s="46" t="n"/>
      <c r="E22" s="46" t="n"/>
      <c r="F22" s="46" t="n"/>
      <c r="G22" s="46" t="n"/>
      <c r="H22" s="46" t="n"/>
      <c r="I22" s="46" t="n"/>
      <c r="J22" s="46" t="n"/>
      <c r="M22" s="272" t="n"/>
      <c r="N22" s="273" t="inlineStr">
        <is>
          <t>=actualizado</t>
        </is>
      </c>
    </row>
    <row r="23" ht="18.75" customFormat="1" customHeight="1" s="145" thickBot="1">
      <c r="A23" s="692" t="n"/>
      <c r="B23" s="552" t="inlineStr">
        <is>
          <t>RE·CAP</t>
        </is>
      </c>
      <c r="C23" s="679" t="inlineStr">
        <is>
          <t>Asset Management</t>
        </is>
      </c>
      <c r="D23" s="677" t="n"/>
      <c r="E23" s="676" t="inlineStr">
        <is>
          <t>Trimestral O&amp;M</t>
        </is>
      </c>
      <c r="F23" s="677" t="n"/>
      <c r="G23" s="209" t="n"/>
      <c r="H23" s="205" t="n"/>
      <c r="I23" s="131" t="n"/>
      <c r="J23" s="131" t="n"/>
      <c r="V23" s="144" t="n"/>
      <c r="W23" s="144" t="n"/>
    </row>
    <row r="24" ht="18" customFormat="1" customHeight="1" s="145">
      <c r="A24" s="692" t="n"/>
      <c r="B24" s="713" t="n">
        <v>12.33792</v>
      </c>
      <c r="C24" s="558" t="n">
        <v>2024</v>
      </c>
      <c r="D24" s="554" t="n">
        <v>2025</v>
      </c>
      <c r="E24" s="558" t="inlineStr">
        <is>
          <t>Q_2025</t>
        </is>
      </c>
      <c r="F24" s="557" t="inlineStr">
        <is>
          <t>Q &gt; 31Julio 2025</t>
        </is>
      </c>
      <c r="G24" s="555" t="n"/>
      <c r="H24" s="123" t="n"/>
      <c r="I24" s="131" t="n"/>
      <c r="J24" s="131" t="n"/>
      <c r="M24" s="491" t="inlineStr">
        <is>
          <t>Actualización Anual IPC</t>
        </is>
      </c>
      <c r="N24" s="143">
        <f>1*(1+O25)*(1+P25)*(1+Q25)*(1+R25)*(1+S25)</f>
        <v/>
      </c>
      <c r="O24" s="306" t="inlineStr">
        <is>
          <t>IPC2021</t>
        </is>
      </c>
      <c r="P24" s="306" t="inlineStr">
        <is>
          <t>IPC2022</t>
        </is>
      </c>
      <c r="Q24" s="306" t="inlineStr">
        <is>
          <t>IPC2023</t>
        </is>
      </c>
      <c r="R24" s="361" t="inlineStr">
        <is>
          <t>IPC2024</t>
        </is>
      </c>
      <c r="S24" s="361" t="inlineStr">
        <is>
          <t>IPC25</t>
        </is>
      </c>
      <c r="T24" s="305" t="inlineStr">
        <is>
          <t>IPC26</t>
        </is>
      </c>
    </row>
    <row r="25" ht="15.75" customFormat="1" customHeight="1" s="145" thickBot="1">
      <c r="A25" s="692" t="n"/>
      <c r="B25" s="206" t="inlineStr">
        <is>
          <t>El Marqués - FPLUX ZGZ</t>
        </is>
      </c>
      <c r="C25" s="559" t="n">
        <v>15554.07988464</v>
      </c>
      <c r="D25" s="128">
        <f>ROUND(C25*(1+S25),2)</f>
        <v/>
      </c>
      <c r="E25" s="560">
        <f>3*(6350*B24/12)*N24</f>
        <v/>
      </c>
      <c r="F25" s="556">
        <f>3*(7200*B24/12)*N24</f>
        <v/>
      </c>
      <c r="G25" s="555" t="n"/>
      <c r="H25" s="123" t="n"/>
      <c r="I25" s="131" t="inlineStr">
        <is>
          <t>Facturación trimestras 5 primeros días del periodo</t>
        </is>
      </c>
      <c r="J25" s="131" t="n"/>
      <c r="K25" s="485" t="n"/>
      <c r="M25" s="256" t="n">
        <v>45658</v>
      </c>
      <c r="N25" s="655" t="n"/>
      <c r="O25" s="308" t="n">
        <v>0.005</v>
      </c>
      <c r="P25" s="308" t="n">
        <v>0.065</v>
      </c>
      <c r="Q25" s="308" t="n">
        <v>0.061</v>
      </c>
      <c r="R25" s="308" t="n">
        <v>0.031</v>
      </c>
      <c r="S25" s="308" t="n">
        <v>0.028</v>
      </c>
      <c r="T25" s="308" t="n"/>
    </row>
    <row r="26" ht="15" customFormat="1" customHeight="1" s="145" thickBot="1">
      <c r="A26" s="692" t="n"/>
      <c r="B26" s="131" t="n"/>
      <c r="C26" s="131" t="n"/>
      <c r="D26" s="131" t="n"/>
      <c r="E26" s="131" t="n"/>
      <c r="F26" s="131" t="n"/>
      <c r="G26" s="131" t="n"/>
      <c r="H26" s="131" t="n"/>
      <c r="I26" s="131" t="n"/>
      <c r="J26" s="131" t="n"/>
      <c r="K26" s="485" t="n"/>
      <c r="M26" s="256" t="n"/>
      <c r="N26" s="655" t="n"/>
      <c r="O26" s="360" t="n"/>
      <c r="P26" s="360" t="n"/>
      <c r="Q26" s="360" t="n"/>
      <c r="R26" s="360" t="n"/>
    </row>
    <row r="27" ht="18.75" customFormat="1" customHeight="1" s="145" thickBot="1">
      <c r="A27" s="692" t="n"/>
      <c r="B27" s="119" t="inlineStr">
        <is>
          <t>RE·CAP II</t>
        </is>
      </c>
      <c r="C27" s="679" t="inlineStr">
        <is>
          <t>Asset Management</t>
        </is>
      </c>
      <c r="D27" s="677" t="n"/>
      <c r="E27" s="680" t="inlineStr">
        <is>
          <t>Trimestral O&amp;M</t>
        </is>
      </c>
      <c r="F27" s="677" t="n"/>
      <c r="G27" s="209" t="n"/>
      <c r="H27" s="205" t="n"/>
      <c r="I27" s="131" t="n"/>
      <c r="J27" s="131" t="n"/>
      <c r="K27" s="485" t="n"/>
    </row>
    <row r="28" ht="18" customFormat="1" customHeight="1" s="145">
      <c r="A28" s="692" t="n"/>
      <c r="B28" s="174" t="n"/>
      <c r="C28" s="558" t="n">
        <v>2024</v>
      </c>
      <c r="D28" s="554" t="n">
        <v>2025</v>
      </c>
      <c r="E28" s="558" t="n"/>
      <c r="F28" s="557" t="n"/>
      <c r="G28" s="555" t="n"/>
      <c r="H28" s="123" t="n"/>
      <c r="I28" s="307" t="inlineStr">
        <is>
          <t>Antes de COD 9.540 EUR</t>
        </is>
      </c>
      <c r="J28" s="131" t="n"/>
      <c r="K28" s="485" t="n"/>
      <c r="M28" s="491" t="inlineStr">
        <is>
          <t>Actualización Anual IPC</t>
        </is>
      </c>
      <c r="N28" s="143">
        <f>1*(1+O29)*(1+P29)*(1+Q29)*(1+R29)*(1+S29)*(1+T29)</f>
        <v/>
      </c>
      <c r="O28" s="305" t="inlineStr">
        <is>
          <t>IPC2021</t>
        </is>
      </c>
      <c r="P28" s="306" t="inlineStr">
        <is>
          <t>IPC2022</t>
        </is>
      </c>
      <c r="Q28" s="305" t="inlineStr">
        <is>
          <t>IPC23</t>
        </is>
      </c>
      <c r="R28" s="361" t="inlineStr">
        <is>
          <t>IPC24</t>
        </is>
      </c>
      <c r="S28" s="361" t="inlineStr">
        <is>
          <t>IPC25</t>
        </is>
      </c>
      <c r="T28" s="305" t="inlineStr">
        <is>
          <t>IPC26</t>
        </is>
      </c>
    </row>
    <row r="29" ht="15.75" customFormat="1" customHeight="1" s="145" thickBot="1">
      <c r="A29" s="692" t="n"/>
      <c r="B29" s="174" t="inlineStr">
        <is>
          <t>Verdinales - FPLUX VLLD</t>
        </is>
      </c>
      <c r="C29" s="559" t="n">
        <v>22830.96824921249</v>
      </c>
      <c r="D29" s="128">
        <f>ROUND(C29*(1+S29),2)</f>
        <v/>
      </c>
      <c r="E29" s="586" t="n"/>
      <c r="F29" s="556" t="n"/>
      <c r="G29" s="555" t="n"/>
      <c r="H29" s="123" t="n"/>
      <c r="I29" s="131" t="inlineStr">
        <is>
          <t>Facturación trimestras 5 primeros días del periodo</t>
        </is>
      </c>
      <c r="J29" s="131" t="n"/>
      <c r="K29" s="485" t="n"/>
      <c r="M29" s="256" t="n">
        <v>45658</v>
      </c>
      <c r="O29" s="308" t="n">
        <v>0.005</v>
      </c>
      <c r="P29" s="308" t="n">
        <v>0.065</v>
      </c>
      <c r="Q29" s="308" t="n">
        <v>0.061</v>
      </c>
      <c r="R29" s="362" t="n">
        <v>0.031</v>
      </c>
      <c r="S29" s="308" t="n">
        <v>0.028</v>
      </c>
      <c r="T29" s="308" t="n"/>
      <c r="V29" s="655" t="n"/>
      <c r="W29" s="655" t="n"/>
      <c r="X29" s="655" t="n"/>
      <c r="Y29" s="655" t="n"/>
    </row>
    <row r="30" ht="15" customFormat="1" customHeight="1" s="145" thickBot="1">
      <c r="A30" s="692" t="n"/>
      <c r="B30" s="131" t="n"/>
      <c r="C30" s="131" t="n"/>
      <c r="D30" s="131" t="n"/>
      <c r="E30" s="131" t="n"/>
      <c r="F30" s="131" t="n"/>
      <c r="G30" s="131" t="n"/>
      <c r="H30" s="131" t="n"/>
      <c r="I30" s="131" t="n"/>
      <c r="J30" s="131" t="n"/>
      <c r="K30" s="485" t="n"/>
      <c r="M30" s="256" t="n"/>
      <c r="O30" s="360" t="n"/>
      <c r="P30" s="360" t="n"/>
      <c r="Q30" s="360" t="n"/>
      <c r="R30" s="490" t="n"/>
      <c r="S30" s="360" t="n"/>
      <c r="T30" s="360" t="n"/>
    </row>
    <row r="31" hidden="1" ht="18.75" customFormat="1" customHeight="1" s="145" thickBot="1">
      <c r="A31" s="692" t="n"/>
      <c r="B31" s="119" t="inlineStr">
        <is>
          <t>White Summit Capital</t>
        </is>
      </c>
      <c r="C31" s="673" t="inlineStr">
        <is>
          <t>ACC+SPV+O&amp;M Manag</t>
        </is>
      </c>
      <c r="D31" s="667" t="n"/>
      <c r="E31" s="663" t="n"/>
      <c r="F31" s="662" t="inlineStr">
        <is>
          <t>Consult</t>
        </is>
      </c>
      <c r="G31" s="662" t="n"/>
      <c r="H31" s="205" t="inlineStr">
        <is>
          <t>Domicilio Social</t>
        </is>
      </c>
      <c r="I31" s="131" t="n"/>
      <c r="J31" s="131" t="n"/>
      <c r="K31" s="485" t="n"/>
      <c r="W31" s="233" t="n"/>
    </row>
    <row r="32" hidden="1" ht="15.75" customFormat="1" customHeight="1" s="145" thickBot="1">
      <c r="A32" s="692" t="n"/>
      <c r="B32" s="176" t="inlineStr">
        <is>
          <t>La Isla</t>
        </is>
      </c>
      <c r="C32" s="185" t="n"/>
      <c r="D32" s="185">
        <f>57000*N32</f>
        <v/>
      </c>
      <c r="E32" s="186" t="n"/>
      <c r="F32" s="177" t="inlineStr">
        <is>
          <t>NO</t>
        </is>
      </c>
      <c r="G32" s="125" t="n">
        <v>0</v>
      </c>
      <c r="H32" s="216" t="n">
        <v>240</v>
      </c>
      <c r="I32" s="131" t="inlineStr">
        <is>
          <t>Factura trimestral a mitad de periodo</t>
        </is>
      </c>
      <c r="J32" s="131" t="n"/>
      <c r="K32" s="485" t="n"/>
      <c r="M32" s="142" t="inlineStr">
        <is>
          <t xml:space="preserve">Actualización </t>
        </is>
      </c>
      <c r="N32" s="143">
        <f>1*(1+V32)*(1+W32)*(1+X32)*(1+Y32)</f>
        <v/>
      </c>
      <c r="U32" s="655" t="n"/>
      <c r="V32" s="144" t="n">
        <v>0.007</v>
      </c>
      <c r="W32" s="232" t="n">
        <v>0.065</v>
      </c>
    </row>
    <row r="33" hidden="1" ht="15" customHeight="1" s="700" thickBot="1">
      <c r="A33" s="562" t="n"/>
      <c r="B33" s="46" t="n"/>
      <c r="C33" s="46" t="n"/>
      <c r="D33" s="46" t="n"/>
      <c r="E33" s="46" t="n"/>
      <c r="F33" s="46" t="n"/>
      <c r="G33" s="46" t="n"/>
      <c r="H33" s="46" t="n"/>
      <c r="I33" s="46" t="n"/>
      <c r="J33" s="46" t="n"/>
      <c r="K33" s="485" t="n"/>
      <c r="L33" s="145" t="n"/>
    </row>
    <row r="34" ht="18" customHeight="1" s="700">
      <c r="A34" s="562" t="n"/>
      <c r="B34" s="208" t="inlineStr">
        <is>
          <t>O&amp;M Aventrón</t>
        </is>
      </c>
      <c r="C34" s="662" t="inlineStr">
        <is>
          <t>ACC</t>
        </is>
      </c>
      <c r="D34" s="662" t="inlineStr">
        <is>
          <t>SPV</t>
        </is>
      </c>
      <c r="E34" s="673" t="inlineStr">
        <is>
          <t>O&amp;M</t>
        </is>
      </c>
      <c r="F34" s="662" t="n"/>
      <c r="G34" s="662" t="n"/>
      <c r="H34" s="205" t="n"/>
      <c r="I34" s="131" t="n"/>
      <c r="J34" s="131" t="n"/>
      <c r="K34" s="485" t="n"/>
    </row>
    <row r="35" ht="15" customHeight="1" s="700">
      <c r="A35" s="562" t="n"/>
      <c r="B35" s="206" t="inlineStr">
        <is>
          <t>Saja</t>
        </is>
      </c>
      <c r="C35" s="58" t="n">
        <v>0</v>
      </c>
      <c r="D35" s="175" t="inlineStr">
        <is>
          <t>-</t>
        </is>
      </c>
      <c r="E35" s="377">
        <f>46575*$N$35</f>
        <v/>
      </c>
      <c r="F35" s="175" t="n"/>
      <c r="G35" s="58" t="n"/>
      <c r="H35" s="123" t="n"/>
      <c r="I35" s="131" t="n"/>
      <c r="J35" s="316" t="n"/>
      <c r="K35" s="485" t="n"/>
      <c r="L35" s="145" t="n"/>
      <c r="M35" s="491" t="inlineStr">
        <is>
          <t xml:space="preserve">Actualización </t>
        </is>
      </c>
      <c r="N35" s="143">
        <f>1*(1+O36)*(1+P36)*(1+Q36)*(1+R36)*(1+S36)*(1+T36)</f>
        <v/>
      </c>
      <c r="O35" s="306" t="inlineStr">
        <is>
          <t>IPC2025</t>
        </is>
      </c>
      <c r="P35" s="306" t="inlineStr">
        <is>
          <t>IPC2026</t>
        </is>
      </c>
      <c r="Q35" s="306" t="inlineStr">
        <is>
          <t>IPC2027</t>
        </is>
      </c>
      <c r="R35" s="305" t="inlineStr">
        <is>
          <t>IPC28</t>
        </is>
      </c>
    </row>
    <row r="36" ht="15" customHeight="1" s="700">
      <c r="A36" s="562" t="n"/>
      <c r="B36" s="206" t="inlineStr">
        <is>
          <t>C2C</t>
        </is>
      </c>
      <c r="C36" s="58">
        <f>(1009.92+175)*12*N36</f>
        <v/>
      </c>
      <c r="D36" s="175" t="inlineStr">
        <is>
          <t>-</t>
        </is>
      </c>
      <c r="E36" s="377">
        <f>25470*$N$35</f>
        <v/>
      </c>
      <c r="F36" s="175" t="n"/>
      <c r="G36" s="58" t="n"/>
      <c r="H36" s="123" t="n"/>
      <c r="I36" s="131" t="inlineStr">
        <is>
          <t>Facturación por trimestres vencidos</t>
        </is>
      </c>
      <c r="J36" s="357" t="n"/>
      <c r="K36" s="485" t="n"/>
      <c r="L36" s="145" t="n"/>
      <c r="M36" s="256" t="n">
        <v>45839</v>
      </c>
      <c r="O36" s="308" t="n">
        <v>0.027</v>
      </c>
      <c r="P36" s="308" t="n"/>
      <c r="Q36" s="308" t="n"/>
      <c r="R36" s="308" t="n"/>
    </row>
    <row r="37" ht="15" customHeight="1" s="700">
      <c r="A37" s="562" t="n"/>
      <c r="B37" s="206" t="inlineStr">
        <is>
          <t>Mas del Bou</t>
        </is>
      </c>
      <c r="C37" s="58" t="n"/>
      <c r="D37" s="175" t="inlineStr">
        <is>
          <t>-</t>
        </is>
      </c>
      <c r="E37" s="377">
        <f>5186*$N$35</f>
        <v/>
      </c>
      <c r="F37" s="175" t="n"/>
      <c r="G37" s="58" t="n"/>
      <c r="H37" s="123" t="n"/>
      <c r="I37" s="46" t="n"/>
      <c r="J37" s="357" t="n"/>
      <c r="K37" s="485" t="n"/>
    </row>
    <row r="38" ht="15" customHeight="1" s="700" thickBot="1">
      <c r="A38" s="562" t="n"/>
      <c r="B38" s="46" t="n"/>
      <c r="C38" s="46" t="n"/>
      <c r="D38" s="60" t="n"/>
      <c r="E38" s="46" t="n"/>
      <c r="F38" s="46" t="n"/>
      <c r="G38" s="46" t="n"/>
      <c r="H38" s="46" t="n"/>
      <c r="I38" s="46" t="n"/>
      <c r="J38" s="46" t="n"/>
      <c r="K38" s="485" t="n"/>
      <c r="U38" s="145" t="n"/>
    </row>
    <row r="39" ht="18" customFormat="1" customHeight="1" s="145">
      <c r="A39" s="692" t="n"/>
      <c r="B39" s="119" t="inlineStr">
        <is>
          <t>Green Tie Capital</t>
        </is>
      </c>
      <c r="C39" s="682" t="inlineStr">
        <is>
          <t>ACC+SPV+O&amp;M Manag</t>
        </is>
      </c>
      <c r="D39" s="663" t="n"/>
      <c r="E39" s="550" t="inlineStr">
        <is>
          <t>O&amp;M Manag</t>
        </is>
      </c>
      <c r="F39" s="662" t="n"/>
      <c r="G39" s="662" t="n"/>
      <c r="H39" s="205" t="n"/>
      <c r="I39" s="46" t="n"/>
      <c r="J39" s="131" t="n"/>
      <c r="K39" s="486" t="n"/>
      <c r="L39" s="655" t="n"/>
      <c r="M39" s="142" t="inlineStr">
        <is>
          <t>Actualización Anual IPC</t>
        </is>
      </c>
      <c r="N39" s="143">
        <f>1*(1+O40)*(1+P40)*(1+Q40)*(1+R40)*(1+S40)*(1+T40)</f>
        <v/>
      </c>
      <c r="O39" s="305" t="inlineStr">
        <is>
          <t>IPC2025</t>
        </is>
      </c>
      <c r="P39" s="306" t="inlineStr">
        <is>
          <t>IPC2026</t>
        </is>
      </c>
      <c r="Q39" s="306" t="inlineStr">
        <is>
          <t>IPC2027</t>
        </is>
      </c>
      <c r="R39" s="305" t="inlineStr">
        <is>
          <t>IPC28</t>
        </is>
      </c>
      <c r="S39" s="655" t="n"/>
      <c r="T39" s="655" t="n"/>
    </row>
    <row r="40" ht="15.75" customFormat="1" customHeight="1" s="145" thickBot="1">
      <c r="A40" s="692" t="n"/>
      <c r="B40" s="174" t="inlineStr">
        <is>
          <t>PSFV Valcasado</t>
        </is>
      </c>
      <c r="C40" s="551" t="n">
        <v>28320</v>
      </c>
      <c r="D40" s="203" t="n"/>
      <c r="E40" s="186">
        <f>22080*N39</f>
        <v/>
      </c>
      <c r="F40" s="175" t="n"/>
      <c r="G40" s="58" t="n"/>
      <c r="H40" s="123" t="n"/>
      <c r="I40" s="131" t="inlineStr">
        <is>
          <t>Facturación por trimestres vencidos</t>
        </is>
      </c>
      <c r="J40" s="131" t="n"/>
      <c r="K40" s="485" t="n"/>
      <c r="M40" s="256" t="n">
        <v>45992</v>
      </c>
      <c r="O40" s="308" t="n"/>
      <c r="P40" s="308" t="n"/>
      <c r="Q40" s="308" t="n"/>
      <c r="R40" s="308" t="n"/>
      <c r="S40" s="655" t="n"/>
      <c r="T40" s="655" t="n"/>
      <c r="V40" s="655" t="n"/>
      <c r="W40" s="655" t="n"/>
      <c r="X40" s="655" t="n"/>
      <c r="Y40" s="655" t="n"/>
    </row>
    <row r="41" ht="15.75" customFormat="1" customHeight="1" s="145" thickBot="1">
      <c r="A41" s="692" t="n"/>
      <c r="B41" s="131" t="n"/>
      <c r="C41" s="575" t="n"/>
      <c r="D41" s="576" t="n"/>
      <c r="E41" s="575" t="n"/>
      <c r="F41" s="577" t="n"/>
      <c r="G41" s="578" t="n"/>
      <c r="H41" s="578" t="n"/>
      <c r="I41" s="131" t="n"/>
      <c r="J41" s="131" t="n"/>
      <c r="K41" s="485" t="n"/>
      <c r="M41" s="256" t="n"/>
      <c r="O41" s="360" t="n"/>
      <c r="P41" s="360" t="n"/>
      <c r="Q41" s="360" t="n"/>
      <c r="R41" s="360" t="n"/>
      <c r="S41" s="655" t="n"/>
      <c r="T41" s="655" t="n"/>
      <c r="V41" s="655" t="n"/>
      <c r="W41" s="655" t="n"/>
      <c r="X41" s="655" t="n"/>
      <c r="Y41" s="655" t="n"/>
    </row>
    <row r="42" ht="18" customFormat="1" customHeight="1" s="145">
      <c r="A42" s="692" t="n"/>
      <c r="B42" s="119" t="inlineStr">
        <is>
          <t>Bustper, S.A.</t>
        </is>
      </c>
      <c r="C42" s="662" t="inlineStr">
        <is>
          <t>ACC</t>
        </is>
      </c>
      <c r="D42" s="662" t="inlineStr">
        <is>
          <t>SPV</t>
        </is>
      </c>
      <c r="E42" s="673" t="inlineStr">
        <is>
          <t>O&amp;M</t>
        </is>
      </c>
      <c r="F42" s="662" t="n"/>
      <c r="G42" s="662" t="n"/>
      <c r="H42" s="205" t="n"/>
      <c r="I42" s="307" t="n"/>
      <c r="J42" s="131" t="n"/>
      <c r="K42" s="486" t="n"/>
      <c r="L42" s="655" t="n"/>
      <c r="M42" s="142" t="inlineStr">
        <is>
          <t>Actualización Anual IPC</t>
        </is>
      </c>
      <c r="N42" s="143">
        <f>1*(1+O43)*(1+P43)*(1+Q43)*(1+R43)*(1+S43)*(1+T43)</f>
        <v/>
      </c>
      <c r="O42" s="306" t="inlineStr">
        <is>
          <t>IPC2026</t>
        </is>
      </c>
      <c r="P42" s="306" t="inlineStr">
        <is>
          <t>IPC2027</t>
        </is>
      </c>
      <c r="Q42" s="305" t="inlineStr">
        <is>
          <t>IPC28</t>
        </is>
      </c>
      <c r="R42" s="305" t="inlineStr">
        <is>
          <t>IPC29</t>
        </is>
      </c>
      <c r="S42" s="655" t="n"/>
      <c r="T42" s="655" t="n"/>
    </row>
    <row r="43" ht="15" customFormat="1" customHeight="1" s="145">
      <c r="A43" s="692" t="n"/>
      <c r="B43" s="174" t="inlineStr">
        <is>
          <t>Autoconsumo Bustper</t>
        </is>
      </c>
      <c r="C43" s="58" t="n">
        <v>0</v>
      </c>
      <c r="D43" s="175" t="inlineStr">
        <is>
          <t>-</t>
        </is>
      </c>
      <c r="E43" s="377" t="n">
        <v>2400</v>
      </c>
      <c r="F43" s="175" t="n"/>
      <c r="G43" s="58" t="n"/>
      <c r="H43" s="123" t="n"/>
      <c r="I43" s="131" t="inlineStr">
        <is>
          <t>Facturación por trimestres vencidos</t>
        </is>
      </c>
      <c r="J43" s="638" t="inlineStr">
        <is>
          <t>&lt;-- En dic Facturamos Q3 y Q4</t>
        </is>
      </c>
      <c r="K43" s="485" t="n"/>
      <c r="M43" s="256" t="n">
        <v>46204</v>
      </c>
      <c r="O43" s="308" t="n"/>
      <c r="P43" s="308" t="n"/>
      <c r="Q43" s="308" t="n"/>
      <c r="R43" s="308" t="n"/>
      <c r="S43" s="655" t="n"/>
      <c r="T43" s="655" t="n"/>
      <c r="V43" s="655" t="n"/>
      <c r="W43" s="655" t="n"/>
      <c r="X43" s="655" t="n"/>
      <c r="Y43" s="655" t="n"/>
    </row>
    <row r="44" ht="15" customHeight="1" s="700" thickBot="1">
      <c r="A44" s="562" t="n"/>
      <c r="B44" s="46" t="n"/>
      <c r="C44" s="46" t="n"/>
      <c r="D44" s="60" t="n"/>
      <c r="E44" s="46" t="n"/>
      <c r="F44" s="46" t="n"/>
      <c r="G44" s="46" t="n"/>
      <c r="H44" s="46" t="n"/>
      <c r="I44" s="46" t="n"/>
      <c r="J44" s="46" t="n"/>
      <c r="K44" s="485" t="n"/>
      <c r="L44" s="145" t="n"/>
    </row>
    <row r="45" ht="18" customHeight="1" s="700">
      <c r="A45" s="562" t="n"/>
      <c r="B45" s="208" t="inlineStr">
        <is>
          <t>Valcabado Renovables 220kV</t>
        </is>
      </c>
      <c r="C45" s="671" t="inlineStr">
        <is>
          <t>EXPLOTACIÓN: ACC+SPV+O&amp;M Manag</t>
        </is>
      </c>
      <c r="D45" s="667" t="n"/>
      <c r="E45" s="672" t="n"/>
      <c r="F45" s="209" t="n"/>
      <c r="G45" s="662" t="n"/>
      <c r="H45" s="205" t="n"/>
      <c r="I45" s="131" t="n"/>
      <c r="J45" s="131" t="n"/>
      <c r="K45" s="486" t="n"/>
      <c r="M45" s="145" t="n"/>
      <c r="N45" s="145" t="n"/>
    </row>
    <row r="46" ht="15.75" customHeight="1" s="700" thickBot="1">
      <c r="A46" s="562" t="n"/>
      <c r="B46" s="206" t="inlineStr">
        <is>
          <t>Subestación Zamora</t>
        </is>
      </c>
      <c r="C46" s="315" t="n">
        <v>15965.477784</v>
      </c>
      <c r="D46" s="312">
        <f>(2898*12)*N46</f>
        <v/>
      </c>
      <c r="E46" s="211" t="n"/>
      <c r="F46" s="207" t="n"/>
      <c r="G46" s="58" t="n"/>
      <c r="H46" s="123" t="n"/>
      <c r="I46" s="131" t="inlineStr">
        <is>
          <t>Facturación por trimestres vencidos</t>
        </is>
      </c>
      <c r="J46" s="316" t="n"/>
      <c r="K46" s="485" t="n"/>
      <c r="L46" s="145" t="n"/>
      <c r="M46" s="491" t="inlineStr">
        <is>
          <t xml:space="preserve">Actualización </t>
        </is>
      </c>
      <c r="N46" s="143">
        <f>1*(1+O47)*(1+P47)*(1+Q47)*(1+R47)*(1+S47)</f>
        <v/>
      </c>
      <c r="O46" s="305" t="inlineStr">
        <is>
          <t>IPC2022</t>
        </is>
      </c>
      <c r="P46" s="306" t="inlineStr">
        <is>
          <t>IPC2023</t>
        </is>
      </c>
      <c r="Q46" s="306" t="inlineStr">
        <is>
          <t>IPC2024</t>
        </is>
      </c>
      <c r="R46" s="306" t="inlineStr">
        <is>
          <t>IPC25</t>
        </is>
      </c>
      <c r="S46" s="305" t="inlineStr">
        <is>
          <t>IPC26</t>
        </is>
      </c>
    </row>
    <row r="47" ht="15" customHeight="1" s="700" thickBot="1">
      <c r="A47" s="562" t="n"/>
      <c r="B47" s="46" t="n"/>
      <c r="C47" s="212" t="inlineStr">
        <is>
          <t>Referrel Fee:</t>
        </is>
      </c>
      <c r="D47" s="714">
        <f>+D46*0.05</f>
        <v/>
      </c>
      <c r="E47" s="214" t="n"/>
      <c r="F47" s="46" t="n"/>
      <c r="G47" s="46" t="n"/>
      <c r="H47" s="46" t="n"/>
      <c r="I47" s="46" t="n"/>
      <c r="J47" s="357" t="n">
        <v>0.05</v>
      </c>
      <c r="K47" s="484" t="n">
        <v>45177</v>
      </c>
      <c r="L47" s="483">
        <f>DATEDIF(K47,TODAY(),"M")</f>
        <v/>
      </c>
      <c r="M47" s="256" t="n">
        <v>45738</v>
      </c>
      <c r="O47" s="308" t="n">
        <v>0.098</v>
      </c>
      <c r="P47" s="308" t="n">
        <v>0.033</v>
      </c>
      <c r="Q47" s="308" t="n">
        <v>0.032</v>
      </c>
      <c r="R47" s="308" t="n">
        <v>0.023</v>
      </c>
      <c r="S47" s="308" t="n"/>
    </row>
    <row r="48" ht="15" customHeight="1" s="700" thickBot="1">
      <c r="A48" s="562" t="n"/>
      <c r="B48" s="46" t="n"/>
      <c r="C48" s="46" t="n"/>
      <c r="D48" s="60" t="n"/>
      <c r="E48" s="46" t="n"/>
      <c r="F48" s="46" t="n"/>
      <c r="G48" s="46" t="n"/>
      <c r="H48" s="46" t="n"/>
      <c r="I48" s="46" t="n"/>
      <c r="J48" s="46" t="n"/>
      <c r="K48" s="485" t="n"/>
    </row>
    <row r="49" ht="18" customHeight="1" s="700">
      <c r="A49" s="562" t="n"/>
      <c r="B49" s="208" t="inlineStr">
        <is>
          <t>Grijota Renovables SL</t>
        </is>
      </c>
      <c r="C49" s="671" t="inlineStr">
        <is>
          <t>EXPLOTACIÓN: ACC+SPV+O&amp;M Manag</t>
        </is>
      </c>
      <c r="D49" s="667" t="n"/>
      <c r="E49" s="672" t="n"/>
      <c r="F49" s="209" t="n"/>
      <c r="G49" s="662" t="n"/>
      <c r="H49" s="205" t="n"/>
      <c r="I49" s="131" t="n"/>
      <c r="J49" s="46" t="n"/>
      <c r="K49" s="486" t="n"/>
    </row>
    <row r="50" ht="15.75" customHeight="1" s="700" thickBot="1">
      <c r="A50" s="562" t="n"/>
      <c r="B50" s="206" t="inlineStr">
        <is>
          <t>Subestación Palencia</t>
        </is>
      </c>
      <c r="C50" s="315">
        <f>1035*12*1.108*1.023*1.028</f>
        <v/>
      </c>
      <c r="D50" s="312">
        <f>(2955*12)*N50</f>
        <v/>
      </c>
      <c r="E50" s="211" t="n"/>
      <c r="F50" s="207" t="n"/>
      <c r="G50" s="58" t="n"/>
      <c r="H50" s="123" t="n"/>
      <c r="I50" s="131" t="inlineStr">
        <is>
          <t>Facturación por trimestres vencidos</t>
        </is>
      </c>
      <c r="J50" s="46" t="n"/>
      <c r="K50" s="486" t="n"/>
      <c r="M50" s="491" t="inlineStr">
        <is>
          <t xml:space="preserve">Actualización </t>
        </is>
      </c>
      <c r="N50" s="143">
        <f>1*(1+O51)*(1+P51)*(1+Q51)*(1+R51)*(1+S51)</f>
        <v/>
      </c>
      <c r="O50" s="305" t="inlineStr">
        <is>
          <t>IPC2022</t>
        </is>
      </c>
      <c r="P50" s="306" t="inlineStr">
        <is>
          <t>IPC2023</t>
        </is>
      </c>
      <c r="Q50" s="305" t="inlineStr">
        <is>
          <t>IPC2024</t>
        </is>
      </c>
      <c r="R50" s="305" t="inlineStr">
        <is>
          <t>IPC25</t>
        </is>
      </c>
      <c r="S50" s="305" t="inlineStr">
        <is>
          <t>IPC26</t>
        </is>
      </c>
    </row>
    <row r="51" ht="15" customHeight="1" s="700" thickBot="1">
      <c r="A51" s="562" t="n"/>
      <c r="B51" s="46" t="n"/>
      <c r="C51" s="212" t="inlineStr">
        <is>
          <t>Referrel Fee:</t>
        </is>
      </c>
      <c r="D51" s="714">
        <f>+D50*0.05</f>
        <v/>
      </c>
      <c r="E51" s="214" t="n"/>
      <c r="F51" s="46" t="n"/>
      <c r="G51" s="46" t="n"/>
      <c r="H51" s="46" t="n"/>
      <c r="I51" s="46" t="n"/>
      <c r="J51" s="357" t="n">
        <v>0.05</v>
      </c>
      <c r="K51" s="484" t="n">
        <v>45803</v>
      </c>
      <c r="L51" s="483">
        <f>DATEDIF(K51,TODAY(),"M")</f>
        <v/>
      </c>
      <c r="M51" s="256" t="n">
        <v>45850</v>
      </c>
      <c r="O51" s="308" t="n">
        <v>0.108</v>
      </c>
      <c r="P51" s="308" t="n">
        <v>0.023</v>
      </c>
      <c r="Q51" s="308" t="n">
        <v>0.028</v>
      </c>
      <c r="R51" s="308" t="n">
        <v>0.027</v>
      </c>
      <c r="S51" s="308" t="n"/>
    </row>
    <row r="52" ht="15" customHeight="1" s="700" thickBot="1">
      <c r="A52" s="562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85" t="n"/>
    </row>
    <row r="53" ht="18" customHeight="1" s="700">
      <c r="A53" s="562" t="n"/>
      <c r="B53" s="208" t="inlineStr">
        <is>
          <t>Cubillos Renovables SL</t>
        </is>
      </c>
      <c r="C53" s="671" t="inlineStr">
        <is>
          <t>EXPLOTACIÓN: ACC+SPV+O&amp;M Manag</t>
        </is>
      </c>
      <c r="D53" s="667" t="n"/>
      <c r="E53" s="672" t="n"/>
      <c r="F53" s="209" t="n"/>
      <c r="G53" s="662" t="n"/>
      <c r="H53" s="205" t="n"/>
      <c r="I53" s="131" t="n"/>
      <c r="J53" s="46" t="n"/>
      <c r="K53" s="486" t="n"/>
    </row>
    <row r="54" ht="15.75" customHeight="1" s="700" thickBot="1">
      <c r="A54" s="562" t="n"/>
      <c r="B54" s="206" t="inlineStr">
        <is>
          <t>Subestación Majuelo</t>
        </is>
      </c>
      <c r="C54" s="315" t="n">
        <v>15958.38348</v>
      </c>
      <c r="D54" s="312">
        <f>(2898*12)*N54</f>
        <v/>
      </c>
      <c r="E54" s="211" t="n"/>
      <c r="F54" s="207" t="n"/>
      <c r="G54" s="58" t="n"/>
      <c r="H54" s="123" t="n"/>
      <c r="I54" s="131" t="inlineStr">
        <is>
          <t>Facturación por trimestres vencidos</t>
        </is>
      </c>
      <c r="J54" s="46" t="n"/>
      <c r="K54" s="486" t="n"/>
      <c r="M54" s="491" t="inlineStr">
        <is>
          <t xml:space="preserve">Actualización </t>
        </is>
      </c>
      <c r="N54" s="143">
        <f>1*(1+O55)*(1+P55)*(1+Q55)*(1+R55)*(1+S55)</f>
        <v/>
      </c>
      <c r="O54" s="305" t="inlineStr">
        <is>
          <t>IPC2022</t>
        </is>
      </c>
      <c r="P54" s="306" t="inlineStr">
        <is>
          <t>IPC2023</t>
        </is>
      </c>
      <c r="Q54" s="361" t="inlineStr">
        <is>
          <t>IPC2024</t>
        </is>
      </c>
      <c r="R54" s="305" t="inlineStr">
        <is>
          <t>IPC25</t>
        </is>
      </c>
      <c r="S54" s="305" t="inlineStr">
        <is>
          <t>IPC26</t>
        </is>
      </c>
    </row>
    <row r="55" ht="15" customHeight="1" s="700" thickBot="1">
      <c r="A55" s="562" t="n"/>
      <c r="B55" s="46" t="n"/>
      <c r="C55" s="212" t="inlineStr">
        <is>
          <t>Referrel Fee:</t>
        </is>
      </c>
      <c r="D55" s="714">
        <f>+D54*0.05</f>
        <v/>
      </c>
      <c r="E55" s="214" t="n"/>
      <c r="F55" s="46" t="n"/>
      <c r="G55" s="46" t="n"/>
      <c r="H55" s="46" t="n"/>
      <c r="I55" s="46" t="n"/>
      <c r="J55" s="357" t="n">
        <v>0.05</v>
      </c>
      <c r="K55" s="484" t="n">
        <v>45212</v>
      </c>
      <c r="L55" s="483">
        <f>DATEDIF(K55,TODAY(),"M")</f>
        <v/>
      </c>
      <c r="M55" s="256" t="n">
        <v>45870</v>
      </c>
      <c r="O55" s="308" t="n">
        <v>0.105</v>
      </c>
      <c r="P55" s="308" t="n">
        <v>0.026</v>
      </c>
      <c r="Q55" s="308" t="n">
        <v>0.023</v>
      </c>
      <c r="R55" s="308" t="n">
        <v>0.027</v>
      </c>
      <c r="S55" s="308" t="n"/>
    </row>
    <row r="56" ht="15" customHeight="1" s="700" thickBot="1">
      <c r="A56" s="562" t="n"/>
      <c r="B56" s="46" t="n"/>
      <c r="C56" s="60" t="n"/>
      <c r="D56" s="60" t="n"/>
      <c r="E56" s="46" t="n"/>
      <c r="F56" s="46" t="n"/>
      <c r="G56" s="46" t="n"/>
      <c r="H56" s="46" t="n"/>
      <c r="I56" s="46" t="n"/>
      <c r="J56" s="46" t="n"/>
      <c r="K56" s="485" t="n"/>
    </row>
    <row r="57" ht="18" customHeight="1" s="700">
      <c r="A57" s="562" t="n"/>
      <c r="B57" s="208" t="inlineStr">
        <is>
          <t>Tordesillas Renovables SL</t>
        </is>
      </c>
      <c r="C57" s="671" t="inlineStr">
        <is>
          <t>BeforeCOD: ACC+SPV+O&amp;M Manag</t>
        </is>
      </c>
      <c r="D57" s="667" t="n"/>
      <c r="E57" s="672" t="n"/>
      <c r="F57" s="209" t="n"/>
      <c r="G57" s="662" t="n"/>
      <c r="H57" s="205" t="n"/>
      <c r="I57" s="131" t="n"/>
      <c r="J57" s="46" t="n"/>
      <c r="K57" s="486" t="n"/>
    </row>
    <row r="58" ht="15.75" customHeight="1" s="700" thickBot="1">
      <c r="A58" s="562" t="n"/>
      <c r="B58" s="206" t="inlineStr">
        <is>
          <t>Subestación Tordesillas</t>
        </is>
      </c>
      <c r="C58" s="210" t="n"/>
      <c r="D58" s="203">
        <f>(1200*12)*N58</f>
        <v/>
      </c>
      <c r="E58" s="211" t="n"/>
      <c r="F58" s="207" t="n"/>
      <c r="G58" s="58" t="n"/>
      <c r="H58" s="123" t="n"/>
      <c r="I58" s="131" t="inlineStr">
        <is>
          <t>Facturación por trimestres vencidos</t>
        </is>
      </c>
      <c r="J58" s="46" t="n"/>
      <c r="K58" s="486" t="n"/>
      <c r="M58" s="142" t="inlineStr">
        <is>
          <t xml:space="preserve">Actualización </t>
        </is>
      </c>
      <c r="N58" s="143">
        <f>1*(1+O59)*(1+P59)*(1+Q59)*(1+R59)*(1+S59)</f>
        <v/>
      </c>
      <c r="O58" s="305" t="inlineStr">
        <is>
          <t>IPC2022</t>
        </is>
      </c>
      <c r="P58" s="306" t="inlineStr">
        <is>
          <t>IPC2023</t>
        </is>
      </c>
      <c r="Q58" s="305" t="inlineStr">
        <is>
          <t>IPC2024</t>
        </is>
      </c>
      <c r="R58" s="305" t="inlineStr">
        <is>
          <t>IPC25</t>
        </is>
      </c>
      <c r="S58" s="305" t="inlineStr">
        <is>
          <t>IPC26</t>
        </is>
      </c>
    </row>
    <row r="59" ht="15" customHeight="1" s="700" thickBot="1">
      <c r="A59" s="562" t="n"/>
      <c r="B59" s="46" t="n"/>
      <c r="C59" s="212" t="inlineStr">
        <is>
          <t>Referrel Fee:</t>
        </is>
      </c>
      <c r="D59" s="714">
        <f>+D58*0.05</f>
        <v/>
      </c>
      <c r="E59" s="214" t="n"/>
      <c r="F59" s="46" t="n"/>
      <c r="G59" s="46" t="n"/>
      <c r="H59" s="46" t="n"/>
      <c r="I59" s="46" t="n"/>
      <c r="J59" s="357" t="n">
        <v>0.05</v>
      </c>
      <c r="K59" s="486" t="n"/>
      <c r="M59" s="256" t="n">
        <v>45938</v>
      </c>
      <c r="O59" s="308" t="n">
        <v>0.073</v>
      </c>
      <c r="P59" s="308" t="n">
        <v>0.035</v>
      </c>
      <c r="Q59" s="308" t="n">
        <v>0.018</v>
      </c>
      <c r="R59" s="308" t="n"/>
      <c r="S59" s="308" t="n"/>
    </row>
    <row r="60" ht="15" customHeight="1" s="700" thickBot="1">
      <c r="A60" s="562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85" t="n"/>
    </row>
    <row r="61" ht="18" customHeight="1" s="700">
      <c r="A61" s="562" t="n"/>
      <c r="B61" s="208" t="inlineStr">
        <is>
          <t>Monte Reina Renovables SL</t>
        </is>
      </c>
      <c r="C61" s="671" t="inlineStr">
        <is>
          <t>BeforeCOD: ACC+SPV+O&amp;M Manag</t>
        </is>
      </c>
      <c r="D61" s="667" t="n"/>
      <c r="E61" s="672" t="n"/>
      <c r="F61" s="209" t="n"/>
      <c r="G61" s="662" t="n"/>
      <c r="H61" s="205" t="n"/>
      <c r="I61" s="131" t="n"/>
      <c r="J61" s="46" t="n"/>
      <c r="K61" s="486" t="n"/>
    </row>
    <row r="62" ht="15.75" customHeight="1" s="700" thickBot="1">
      <c r="A62" s="562" t="n"/>
      <c r="B62" s="206" t="inlineStr">
        <is>
          <t>Subestación Monte Reina</t>
        </is>
      </c>
      <c r="C62" s="210" t="n"/>
      <c r="D62" s="203">
        <f>(1380*12)*N62</f>
        <v/>
      </c>
      <c r="E62" s="211" t="n"/>
      <c r="F62" s="207" t="n"/>
      <c r="G62" s="58" t="n"/>
      <c r="H62" s="123" t="n"/>
      <c r="I62" s="131" t="inlineStr">
        <is>
          <t>Facturación por trimestres vencidos</t>
        </is>
      </c>
      <c r="J62" s="46" t="n"/>
      <c r="K62" s="486" t="n"/>
      <c r="M62" s="142" t="inlineStr">
        <is>
          <t xml:space="preserve">Actualización </t>
        </is>
      </c>
      <c r="N62" s="143">
        <f>1*(1+O63)*(1+P63)*(1+Q63)*(1+R63)*(1+S63)</f>
        <v/>
      </c>
      <c r="O62" s="305" t="inlineStr">
        <is>
          <t>IPC2022</t>
        </is>
      </c>
      <c r="P62" s="306" t="inlineStr">
        <is>
          <t>IPC2023</t>
        </is>
      </c>
      <c r="Q62" s="305" t="inlineStr">
        <is>
          <t>IPC2024</t>
        </is>
      </c>
      <c r="R62" s="305" t="inlineStr">
        <is>
          <t>IPC25</t>
        </is>
      </c>
      <c r="S62" s="305" t="inlineStr">
        <is>
          <t>IPC26</t>
        </is>
      </c>
    </row>
    <row r="63" ht="15" customHeight="1" s="700" thickBot="1">
      <c r="A63" s="562" t="n"/>
      <c r="B63" s="46" t="n"/>
      <c r="C63" s="212" t="inlineStr">
        <is>
          <t>Referrel Fee:</t>
        </is>
      </c>
      <c r="D63" s="714">
        <f>+D62*0.05</f>
        <v/>
      </c>
      <c r="E63" s="214" t="n"/>
      <c r="F63" s="46" t="n"/>
      <c r="G63" s="46" t="n"/>
      <c r="H63" s="46" t="n"/>
      <c r="I63" s="46" t="n"/>
      <c r="J63" s="357" t="n">
        <v>0.05</v>
      </c>
      <c r="K63" s="486" t="n"/>
      <c r="M63" s="256" t="n">
        <v>45940</v>
      </c>
      <c r="O63" s="308" t="n">
        <v>0.073</v>
      </c>
      <c r="P63" s="308" t="n">
        <v>0.035</v>
      </c>
      <c r="Q63" s="308" t="n">
        <v>0.018</v>
      </c>
      <c r="R63" s="308" t="n"/>
      <c r="S63" s="308" t="n"/>
    </row>
    <row r="64" ht="15" customHeight="1" s="700" thickBot="1">
      <c r="A64" s="562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85" t="n"/>
    </row>
    <row r="65" ht="18" customHeight="1" s="700">
      <c r="A65" s="562" t="n"/>
      <c r="B65" s="208" t="inlineStr">
        <is>
          <t>Herrera Renovables SL</t>
        </is>
      </c>
      <c r="C65" s="671" t="inlineStr">
        <is>
          <t>BeforeCOD: ACC+SPV+O&amp;M Manag</t>
        </is>
      </c>
      <c r="D65" s="667" t="n"/>
      <c r="E65" s="672" t="n"/>
      <c r="F65" s="209" t="n"/>
      <c r="G65" s="662" t="n"/>
      <c r="H65" s="205" t="n"/>
      <c r="I65" s="131" t="n"/>
      <c r="J65" s="46" t="n"/>
      <c r="K65" s="486" t="n"/>
    </row>
    <row r="66" ht="15.75" customHeight="1" s="700" thickBot="1">
      <c r="A66" s="562" t="n"/>
      <c r="B66" s="206" t="inlineStr">
        <is>
          <t>Subestación Herrera</t>
        </is>
      </c>
      <c r="C66" s="210" t="n"/>
      <c r="D66" s="203">
        <f>(1250*12)*N66</f>
        <v/>
      </c>
      <c r="E66" s="211" t="n"/>
      <c r="F66" s="207" t="n"/>
      <c r="G66" s="58" t="n"/>
      <c r="H66" s="123" t="n"/>
      <c r="I66" s="131" t="inlineStr">
        <is>
          <t>Facturación por trimestres vencidos</t>
        </is>
      </c>
      <c r="J66" s="46" t="n"/>
      <c r="K66" s="486" t="n"/>
      <c r="M66" s="142" t="inlineStr">
        <is>
          <t xml:space="preserve">Actualización </t>
        </is>
      </c>
      <c r="N66" s="143">
        <f>1*(1+O67)*(1+P67)*(1+Q67)*(1+R67)*(1+S67)</f>
        <v/>
      </c>
      <c r="O66" s="305" t="inlineStr">
        <is>
          <t>IPC2022</t>
        </is>
      </c>
      <c r="P66" s="306" t="inlineStr">
        <is>
          <t>IPC2023</t>
        </is>
      </c>
      <c r="Q66" s="305" t="inlineStr">
        <is>
          <t>IPC2024</t>
        </is>
      </c>
      <c r="R66" s="305" t="inlineStr">
        <is>
          <t>IPC25</t>
        </is>
      </c>
      <c r="S66" s="305" t="inlineStr">
        <is>
          <t>IPC26</t>
        </is>
      </c>
    </row>
    <row r="67" ht="15" customHeight="1" s="700" thickBot="1">
      <c r="A67" s="562" t="n"/>
      <c r="B67" s="46" t="n"/>
      <c r="C67" s="212" t="inlineStr">
        <is>
          <t>Referrel Fee:</t>
        </is>
      </c>
      <c r="D67" s="714">
        <f>+D66*0.05</f>
        <v/>
      </c>
      <c r="E67" s="214" t="n"/>
      <c r="F67" s="46" t="n"/>
      <c r="G67" s="46" t="n"/>
      <c r="H67" s="46" t="n"/>
      <c r="I67" s="46" t="n"/>
      <c r="J67" s="357" t="n">
        <v>0.05</v>
      </c>
      <c r="K67" s="486" t="n"/>
      <c r="M67" s="256" t="n">
        <v>45985</v>
      </c>
      <c r="O67" s="308" t="n">
        <v>0.068</v>
      </c>
      <c r="P67" s="308" t="n">
        <v>0.032</v>
      </c>
      <c r="Q67" s="308" t="n">
        <v>0.024</v>
      </c>
      <c r="R67" s="308" t="n"/>
      <c r="S67" s="308" t="n"/>
    </row>
    <row r="68" ht="15" customHeight="1" s="700" thickBot="1">
      <c r="A68" s="562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85" t="n"/>
    </row>
    <row r="69" ht="18" customHeight="1" s="700">
      <c r="A69" s="562" t="n"/>
      <c r="B69" s="208" t="inlineStr">
        <is>
          <t>Gazules Renovables SL</t>
        </is>
      </c>
      <c r="C69" s="671" t="inlineStr">
        <is>
          <t>EXPLOTACIÓN: ACC+SPV+O&amp;M Manag</t>
        </is>
      </c>
      <c r="D69" s="667" t="n"/>
      <c r="E69" s="672" t="n"/>
      <c r="F69" s="209" t="n"/>
      <c r="G69" s="662" t="n"/>
      <c r="H69" s="205" t="n"/>
      <c r="I69" s="131" t="n"/>
      <c r="J69" s="46" t="n"/>
      <c r="K69" s="485" t="n"/>
    </row>
    <row r="70" ht="15.75" customHeight="1" s="700" thickBot="1">
      <c r="A70" s="562" t="n"/>
      <c r="B70" s="206" t="inlineStr">
        <is>
          <t>Subestación Gazules</t>
        </is>
      </c>
      <c r="C70" s="315" t="n">
        <v>15379.2</v>
      </c>
      <c r="D70" s="312">
        <f>(2900*12)*N70</f>
        <v/>
      </c>
      <c r="E70" s="211" t="n"/>
      <c r="F70" s="207" t="n"/>
      <c r="G70" s="58" t="n"/>
      <c r="H70" s="123" t="n"/>
      <c r="I70" s="131" t="inlineStr">
        <is>
          <t>Facturación por trimestres vencidos</t>
        </is>
      </c>
      <c r="J70" s="60" t="n"/>
      <c r="K70" s="486" t="n"/>
      <c r="M70" s="142" t="inlineStr">
        <is>
          <t xml:space="preserve">Actualización </t>
        </is>
      </c>
      <c r="N70" s="143">
        <f>1*(1+O71)*(1+P71)*(1+Q71)*(1+R71)*(1+S71)</f>
        <v/>
      </c>
      <c r="O70" s="305" t="inlineStr">
        <is>
          <t>IPC2022</t>
        </is>
      </c>
      <c r="P70" s="306" t="inlineStr">
        <is>
          <t>IPC2023</t>
        </is>
      </c>
      <c r="Q70" s="305" t="inlineStr">
        <is>
          <t>IPC2024</t>
        </is>
      </c>
      <c r="R70" s="305" t="inlineStr">
        <is>
          <t>IPC25</t>
        </is>
      </c>
      <c r="S70" s="305" t="inlineStr">
        <is>
          <t>IPC26</t>
        </is>
      </c>
    </row>
    <row r="71" ht="15" customHeight="1" s="700" thickBot="1">
      <c r="A71" s="562" t="n"/>
      <c r="B71" s="46" t="n"/>
      <c r="C71" s="212" t="inlineStr">
        <is>
          <t>Referrel Fee:</t>
        </is>
      </c>
      <c r="D71" s="714">
        <f>+D70*0.05</f>
        <v/>
      </c>
      <c r="E71" s="214" t="n"/>
      <c r="F71" s="46" t="n"/>
      <c r="G71" s="46" t="n"/>
      <c r="H71" s="46" t="n"/>
      <c r="I71" s="46" t="n"/>
      <c r="J71" s="357" t="n">
        <v>0.05</v>
      </c>
      <c r="K71" s="484" t="n">
        <v>45181</v>
      </c>
      <c r="L71" s="483">
        <f>DATEDIF(K71,TODAY(),"M")</f>
        <v/>
      </c>
      <c r="M71" s="256" t="n">
        <v>45979</v>
      </c>
      <c r="O71" s="308" t="n">
        <v>0.068</v>
      </c>
      <c r="P71" s="308" t="n">
        <v>0.032</v>
      </c>
      <c r="Q71" s="308" t="n">
        <v>0.024</v>
      </c>
      <c r="R71" s="308" t="n"/>
      <c r="S71" s="308" t="n"/>
    </row>
    <row r="72" ht="15" customHeight="1" s="700" thickBot="1">
      <c r="A72" s="562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85" t="n"/>
    </row>
    <row r="73" ht="18" customHeight="1" s="700">
      <c r="A73" s="562" t="n"/>
      <c r="B73" s="262" t="inlineStr">
        <is>
          <t>EVACUACIÓN TORDESILLAS 400kV, S.L.</t>
        </is>
      </c>
      <c r="C73" s="671" t="inlineStr">
        <is>
          <t>BeforeCOD: ACC+SPV+O&amp;M Manag</t>
        </is>
      </c>
      <c r="D73" s="667" t="n"/>
      <c r="E73" s="672" t="n"/>
      <c r="F73" s="209" t="n"/>
      <c r="G73" s="662" t="n"/>
      <c r="H73" s="205" t="n"/>
      <c r="I73" s="131" t="n"/>
      <c r="J73" s="46" t="n"/>
      <c r="K73" s="485" t="n"/>
    </row>
    <row r="74" ht="15.75" customHeight="1" s="700" thickBot="1">
      <c r="A74" s="562" t="n"/>
      <c r="B74" s="206" t="inlineStr">
        <is>
          <t>LAAT T2 (tordesillas)</t>
        </is>
      </c>
      <c r="C74" s="210" t="n"/>
      <c r="D74" s="203">
        <f>(1200*12)*N74</f>
        <v/>
      </c>
      <c r="E74" s="211" t="n"/>
      <c r="F74" s="207" t="n"/>
      <c r="G74" s="58" t="n"/>
      <c r="H74" s="123" t="n"/>
      <c r="I74" s="131" t="inlineStr">
        <is>
          <t>Facturación por trimestres vencidos</t>
        </is>
      </c>
      <c r="J74" s="46" t="n"/>
      <c r="K74" s="486" t="n"/>
      <c r="M74" s="491" t="inlineStr">
        <is>
          <t xml:space="preserve">Actualización </t>
        </is>
      </c>
      <c r="N74" s="143">
        <f>1*(1+O75)*(1+P75)*(1+Q75)*(1+R75)*(1+S75)</f>
        <v/>
      </c>
      <c r="O74" s="306" t="inlineStr">
        <is>
          <t>IPC2023</t>
        </is>
      </c>
      <c r="P74" s="306" t="inlineStr">
        <is>
          <t>IPC2024</t>
        </is>
      </c>
      <c r="Q74" s="305" t="inlineStr">
        <is>
          <t>IPC25</t>
        </is>
      </c>
      <c r="R74" s="305" t="inlineStr">
        <is>
          <t>IPC26</t>
        </is>
      </c>
      <c r="S74" s="305" t="inlineStr">
        <is>
          <t>IPC27</t>
        </is>
      </c>
    </row>
    <row r="75" ht="15" customHeight="1" s="700" thickBot="1">
      <c r="A75" s="562" t="n"/>
      <c r="B75" s="46" t="n"/>
      <c r="C75" s="212" t="inlineStr">
        <is>
          <t>Referrel Fee:</t>
        </is>
      </c>
      <c r="D75" s="714">
        <f>+D74*0.05</f>
        <v/>
      </c>
      <c r="E75" s="214" t="n"/>
      <c r="F75" s="46" t="n"/>
      <c r="G75" s="46" t="n"/>
      <c r="H75" s="46" t="n"/>
      <c r="I75" s="46" t="n"/>
      <c r="J75" s="357" t="n">
        <v>0.05</v>
      </c>
      <c r="K75" s="486" t="n"/>
      <c r="M75" s="256" t="n">
        <v>45677</v>
      </c>
      <c r="O75" s="308" t="n">
        <v>0.059</v>
      </c>
      <c r="P75" s="308" t="n">
        <v>0.034</v>
      </c>
      <c r="Q75" s="308" t="n">
        <v>0.029</v>
      </c>
      <c r="R75" s="308" t="n"/>
      <c r="S75" s="308" t="n"/>
    </row>
    <row r="76" ht="15" customHeight="1" s="700" thickBot="1">
      <c r="A76" s="562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85" t="n"/>
    </row>
    <row r="77" ht="18" customHeight="1" s="700">
      <c r="A77" s="562" t="n"/>
      <c r="B77" s="265" t="inlineStr">
        <is>
          <t>Energías Limpias de Carmona SL</t>
        </is>
      </c>
      <c r="C77" s="671" t="inlineStr">
        <is>
          <t>BeforeCOD: ACC+SPV+O&amp;M Manag</t>
        </is>
      </c>
      <c r="D77" s="667" t="n"/>
      <c r="E77" s="672" t="n"/>
      <c r="F77" s="209" t="n"/>
      <c r="G77" s="662" t="n"/>
      <c r="H77" s="205" t="n"/>
      <c r="I77" s="131" t="n"/>
      <c r="J77" s="46" t="n"/>
      <c r="K77" s="485" t="n"/>
    </row>
    <row r="78" ht="15.75" customHeight="1" s="700" thickBot="1">
      <c r="A78" s="562" t="n"/>
      <c r="B78" s="206" t="inlineStr">
        <is>
          <t>SET220 Carmona</t>
        </is>
      </c>
      <c r="C78" s="210" t="n"/>
      <c r="D78" s="203">
        <f>(1250*12)*N78</f>
        <v/>
      </c>
      <c r="E78" s="211" t="n"/>
      <c r="F78" s="207" t="n"/>
      <c r="G78" s="58" t="n"/>
      <c r="H78" s="123" t="n"/>
      <c r="I78" s="131" t="inlineStr">
        <is>
          <t>Facturación por trimestres vencidos</t>
        </is>
      </c>
      <c r="J78" s="46" t="n"/>
      <c r="K78" s="486" t="n"/>
      <c r="M78" s="491" t="inlineStr">
        <is>
          <t xml:space="preserve">Actualización </t>
        </is>
      </c>
      <c r="N78" s="143">
        <f>1*(1+O79)*(1+P79)*(1+Q79)*(1+R79)*(1+S79)</f>
        <v/>
      </c>
      <c r="O78" s="306" t="inlineStr">
        <is>
          <t>IPC2023</t>
        </is>
      </c>
      <c r="P78" s="306" t="inlineStr">
        <is>
          <t>IPC2024</t>
        </is>
      </c>
      <c r="Q78" s="306" t="inlineStr">
        <is>
          <t>IPC25</t>
        </is>
      </c>
      <c r="R78" s="305" t="inlineStr">
        <is>
          <t>IPC26</t>
        </is>
      </c>
      <c r="S78" s="305" t="inlineStr">
        <is>
          <t>IPC27</t>
        </is>
      </c>
    </row>
    <row r="79" ht="15" customHeight="1" s="700" thickBot="1">
      <c r="A79" s="562" t="n"/>
      <c r="B79" s="46" t="n"/>
      <c r="C79" s="212" t="inlineStr">
        <is>
          <t>Referrel Fee:</t>
        </is>
      </c>
      <c r="D79" s="714">
        <f>+D78*0.05</f>
        <v/>
      </c>
      <c r="E79" s="214" t="n"/>
      <c r="F79" s="46" t="n"/>
      <c r="G79" s="46" t="n"/>
      <c r="H79" s="46" t="n"/>
      <c r="I79" s="46" t="n"/>
      <c r="J79" s="357" t="n">
        <v>0.05</v>
      </c>
      <c r="K79" s="486" t="n"/>
      <c r="M79" s="256" t="n">
        <v>45690</v>
      </c>
      <c r="O79" s="308" t="n">
        <v>0.06</v>
      </c>
      <c r="P79" s="308" t="n">
        <v>0.028</v>
      </c>
      <c r="Q79" s="308" t="n">
        <v>0.03</v>
      </c>
      <c r="R79" s="308" t="n"/>
      <c r="S79" s="308" t="n"/>
    </row>
    <row r="80" ht="15" customHeight="1" s="700" thickBot="1">
      <c r="A80" s="562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85" t="n"/>
    </row>
    <row r="81" ht="18" customHeight="1" s="700">
      <c r="A81" s="562" t="n"/>
      <c r="B81" s="262" t="inlineStr">
        <is>
          <t>MARTINEZ MONTES TORDESILLAS S.L.</t>
        </is>
      </c>
      <c r="C81" s="671" t="inlineStr">
        <is>
          <t>BeforeCOD: ACC+SPV+O&amp;M Manag</t>
        </is>
      </c>
      <c r="D81" s="667" t="n"/>
      <c r="E81" s="672" t="n"/>
      <c r="F81" s="209" t="n"/>
      <c r="G81" s="662" t="n"/>
      <c r="H81" s="205" t="n"/>
      <c r="I81" s="131" t="n"/>
      <c r="J81" s="46" t="n"/>
      <c r="K81" s="485" t="n"/>
    </row>
    <row r="82" ht="15.75" customHeight="1" s="700" thickBot="1">
      <c r="A82" s="562" t="n"/>
      <c r="B82" s="324" t="inlineStr">
        <is>
          <t>T3 (tordesillas) --&gt; SET Martinez Montes</t>
        </is>
      </c>
      <c r="C82" s="210" t="n"/>
      <c r="D82" s="203">
        <f>(1200*12)*N82</f>
        <v/>
      </c>
      <c r="E82" s="211" t="n"/>
      <c r="F82" s="207" t="n"/>
      <c r="G82" s="58" t="n"/>
      <c r="H82" s="123" t="n"/>
      <c r="I82" s="131" t="inlineStr">
        <is>
          <t>Facturación por trimestres vencidos</t>
        </is>
      </c>
      <c r="J82" s="46" t="n"/>
      <c r="K82" s="486" t="n"/>
      <c r="M82" s="491" t="inlineStr">
        <is>
          <t xml:space="preserve">Actualización </t>
        </is>
      </c>
      <c r="N82" s="143">
        <f>1*(1+O83)*(1+P83)*(1+Q83)*(1+R83)*(1+S83)</f>
        <v/>
      </c>
      <c r="O82" s="306" t="inlineStr">
        <is>
          <t>IPC2023</t>
        </is>
      </c>
      <c r="P82" s="306" t="inlineStr">
        <is>
          <t>IPC2024</t>
        </is>
      </c>
      <c r="Q82" s="306" t="inlineStr">
        <is>
          <t>IPC25</t>
        </is>
      </c>
      <c r="R82" s="305" t="inlineStr">
        <is>
          <t>IPC26</t>
        </is>
      </c>
      <c r="S82" s="305" t="inlineStr">
        <is>
          <t>IPC27</t>
        </is>
      </c>
    </row>
    <row r="83" ht="15" customHeight="1" s="700" thickBot="1">
      <c r="A83" s="562" t="n"/>
      <c r="B83" s="46" t="n"/>
      <c r="C83" s="212" t="inlineStr">
        <is>
          <t>Referrel Fee:</t>
        </is>
      </c>
      <c r="D83" s="714">
        <f>+D82*0.05</f>
        <v/>
      </c>
      <c r="E83" s="214" t="n"/>
      <c r="F83" s="46" t="n"/>
      <c r="G83" s="46" t="n"/>
      <c r="H83" s="46" t="n"/>
      <c r="I83" s="46" t="n"/>
      <c r="J83" s="357" t="n">
        <v>0.05</v>
      </c>
      <c r="K83" s="486" t="n"/>
      <c r="M83" s="256" t="n">
        <v>45696</v>
      </c>
      <c r="O83" s="308" t="n">
        <v>0.06</v>
      </c>
      <c r="P83" s="308" t="n">
        <v>0.028</v>
      </c>
      <c r="Q83" s="308" t="n">
        <v>0.03</v>
      </c>
      <c r="R83" s="308" t="n"/>
      <c r="S83" s="308" t="n"/>
    </row>
    <row r="84" ht="15" customHeight="1" s="700" thickBot="1">
      <c r="A84" s="562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357" t="n"/>
      <c r="K84" s="485" t="n"/>
    </row>
    <row r="85" ht="18" customHeight="1" s="700">
      <c r="A85" s="562" t="n"/>
      <c r="B85" s="262" t="inlineStr">
        <is>
          <t>SET CARMONA 400 KV RENOVABLES</t>
        </is>
      </c>
      <c r="C85" s="671" t="inlineStr">
        <is>
          <t>EXPLOTACIÓN: ACC+SPV+O&amp;M Manag</t>
        </is>
      </c>
      <c r="D85" s="667" t="n"/>
      <c r="E85" s="672" t="n"/>
      <c r="F85" s="209" t="n"/>
      <c r="G85" s="662" t="n"/>
      <c r="H85" s="205" t="n"/>
      <c r="I85" s="131" t="n"/>
      <c r="J85" s="46" t="n"/>
      <c r="K85" s="485" t="n"/>
    </row>
    <row r="86" ht="15.75" customHeight="1" s="700" thickBot="1">
      <c r="A86" s="562" t="n"/>
      <c r="B86" s="206" t="inlineStr">
        <is>
          <t>SET400 Carmona</t>
        </is>
      </c>
      <c r="C86" s="315" t="n">
        <v>15900</v>
      </c>
      <c r="D86" s="312">
        <f>(2950*12)*N86</f>
        <v/>
      </c>
      <c r="E86" s="211" t="n"/>
      <c r="F86" s="207" t="n"/>
      <c r="G86" s="58" t="n"/>
      <c r="H86" s="123" t="n"/>
      <c r="I86" s="131" t="inlineStr">
        <is>
          <t>Facturación por trimestres vencidos</t>
        </is>
      </c>
      <c r="J86" s="46" t="n"/>
      <c r="K86" s="486" t="n"/>
      <c r="M86" s="491" t="inlineStr">
        <is>
          <t xml:space="preserve">Actualización </t>
        </is>
      </c>
      <c r="N86" s="143">
        <f>1*(1+O87)*(1+P87)*(1+Q87)*(1+R87)*(1+S87)</f>
        <v/>
      </c>
      <c r="O86" s="306" t="inlineStr">
        <is>
          <t>IPC2023</t>
        </is>
      </c>
      <c r="P86" s="306" t="inlineStr">
        <is>
          <t>IPC2024</t>
        </is>
      </c>
      <c r="Q86" s="306" t="inlineStr">
        <is>
          <t>IPC25</t>
        </is>
      </c>
      <c r="R86" s="305" t="inlineStr">
        <is>
          <t>IPC26</t>
        </is>
      </c>
      <c r="S86" s="305" t="inlineStr">
        <is>
          <t>IPC27</t>
        </is>
      </c>
    </row>
    <row r="87" ht="15" customHeight="1" s="700" thickBot="1">
      <c r="A87" s="562" t="n"/>
      <c r="B87" s="46" t="n"/>
      <c r="C87" s="212" t="inlineStr">
        <is>
          <t>Referrel Fee:</t>
        </is>
      </c>
      <c r="D87" s="714">
        <f>+D86*0.05</f>
        <v/>
      </c>
      <c r="E87" s="214" t="n"/>
      <c r="F87" s="46" t="n"/>
      <c r="G87" s="46" t="n"/>
      <c r="H87" s="46" t="n"/>
      <c r="I87" s="46" t="n"/>
      <c r="J87" s="357" t="n">
        <v>0.05</v>
      </c>
      <c r="K87" s="484" t="n">
        <v>45230</v>
      </c>
      <c r="L87" s="483">
        <f>DATEDIF(K87,TODAY(),"M")</f>
        <v/>
      </c>
      <c r="M87" s="256" t="n">
        <v>45696</v>
      </c>
      <c r="O87" s="308" t="n">
        <v>0.06</v>
      </c>
      <c r="P87" s="308" t="n">
        <v>0.028</v>
      </c>
      <c r="Q87" s="308" t="n">
        <v>0.03</v>
      </c>
      <c r="R87" s="308" t="n"/>
      <c r="S87" s="308" t="n"/>
    </row>
    <row r="88" ht="15" customHeight="1" s="700" thickBot="1">
      <c r="A88" s="562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85" t="n"/>
    </row>
    <row r="89" ht="18" customHeight="1" s="700">
      <c r="A89" s="562" t="n"/>
      <c r="B89" s="262" t="inlineStr">
        <is>
          <t>EVACUACIÓN CARMONA 400-220kV RENOVABLES, S.L.</t>
        </is>
      </c>
      <c r="C89" s="671" t="inlineStr">
        <is>
          <t>BeforeCOD: ACC+SPV+O&amp;M Manag</t>
        </is>
      </c>
      <c r="D89" s="667" t="n"/>
      <c r="E89" s="672" t="n"/>
      <c r="F89" s="209" t="n"/>
      <c r="G89" s="662" t="n"/>
      <c r="H89" s="205" t="n"/>
      <c r="I89" s="131" t="n"/>
      <c r="J89" s="46" t="n"/>
      <c r="K89" s="485" t="n"/>
    </row>
    <row r="90" ht="15.75" customHeight="1" s="700" thickBot="1">
      <c r="A90" s="562" t="n"/>
      <c r="B90" s="206" t="inlineStr">
        <is>
          <t>LAAT 220/400 Carmona</t>
        </is>
      </c>
      <c r="C90" s="210" t="n"/>
      <c r="D90" s="203">
        <f>(1200*12)*N90</f>
        <v/>
      </c>
      <c r="E90" s="211" t="n"/>
      <c r="F90" s="207" t="n"/>
      <c r="G90" s="58" t="n"/>
      <c r="H90" s="123" t="n"/>
      <c r="I90" s="131" t="inlineStr">
        <is>
          <t>Facturación por trimestres vencidos</t>
        </is>
      </c>
      <c r="J90" s="46" t="n"/>
      <c r="K90" s="486" t="n"/>
      <c r="M90" s="491" t="inlineStr">
        <is>
          <t xml:space="preserve">Actualización </t>
        </is>
      </c>
      <c r="N90" s="143">
        <f>1*(1+O91)*(1+P91)*(1+Q91)*(1+R91)*(1+S91)</f>
        <v/>
      </c>
      <c r="O90" s="306" t="inlineStr">
        <is>
          <t>IPC2023</t>
        </is>
      </c>
      <c r="P90" s="306" t="inlineStr">
        <is>
          <t>IPC2024</t>
        </is>
      </c>
      <c r="Q90" s="305" t="inlineStr">
        <is>
          <t>IPC25</t>
        </is>
      </c>
      <c r="R90" s="305" t="inlineStr">
        <is>
          <t>IPC26</t>
        </is>
      </c>
      <c r="S90" s="305" t="inlineStr">
        <is>
          <t>IPC27</t>
        </is>
      </c>
    </row>
    <row r="91" ht="15" customHeight="1" s="700" thickBot="1">
      <c r="A91" s="562" t="n"/>
      <c r="B91" s="46" t="n"/>
      <c r="C91" s="212" t="inlineStr">
        <is>
          <t>Referrel Fee:</t>
        </is>
      </c>
      <c r="D91" s="714">
        <f>+D90*0.05</f>
        <v/>
      </c>
      <c r="E91" s="214" t="n"/>
      <c r="F91" s="46" t="n"/>
      <c r="G91" s="46" t="n"/>
      <c r="H91" s="46" t="n"/>
      <c r="I91" s="46" t="n"/>
      <c r="J91" s="357" t="n">
        <v>0.05</v>
      </c>
      <c r="K91" s="486" t="n"/>
      <c r="M91" s="256" t="n">
        <v>45682</v>
      </c>
      <c r="O91" s="308" t="n">
        <v>0.059</v>
      </c>
      <c r="P91" s="308" t="n">
        <v>0.034</v>
      </c>
      <c r="Q91" s="308" t="n">
        <v>0.029</v>
      </c>
      <c r="R91" s="308" t="n"/>
      <c r="S91" s="308" t="n"/>
    </row>
    <row r="92" ht="15" customHeight="1" s="700" thickBot="1">
      <c r="A92" s="562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85" t="n"/>
    </row>
    <row r="93" ht="18" customHeight="1" s="700">
      <c r="A93" s="562" t="n"/>
      <c r="B93" s="262" t="inlineStr">
        <is>
          <t>LA SERRANILLA RENOVABLES 132 kV, A.I.E.</t>
        </is>
      </c>
      <c r="C93" s="671" t="inlineStr">
        <is>
          <t>BeforeCOD: ACC+SPV+O&amp;M Manag</t>
        </is>
      </c>
      <c r="D93" s="667" t="n"/>
      <c r="E93" s="672" t="n"/>
      <c r="F93" s="209" t="n"/>
      <c r="G93" s="662" t="n"/>
      <c r="H93" s="205" t="n"/>
      <c r="I93" s="131" t="n"/>
      <c r="J93" s="46" t="n"/>
      <c r="K93" s="485" t="n"/>
    </row>
    <row r="94" ht="15.75" customHeight="1" s="700" thickBot="1">
      <c r="A94" s="562" t="n"/>
      <c r="B94" s="206" t="inlineStr">
        <is>
          <t>SET132 Serranilla</t>
        </is>
      </c>
      <c r="C94" s="210" t="n"/>
      <c r="D94" s="203">
        <f>(1275*12)*N94</f>
        <v/>
      </c>
      <c r="E94" s="211" t="n"/>
      <c r="F94" s="207" t="n"/>
      <c r="G94" s="58" t="n"/>
      <c r="H94" s="123" t="n"/>
      <c r="I94" s="131" t="inlineStr">
        <is>
          <t>Facturación por trimestres vencidos</t>
        </is>
      </c>
      <c r="J94" s="46" t="n"/>
      <c r="K94" s="486" t="n"/>
      <c r="M94" s="491" t="inlineStr">
        <is>
          <t xml:space="preserve">Actualización </t>
        </is>
      </c>
      <c r="N94" s="143">
        <f>1*(1+O95)*(1+P95)*(1+Q95)*(1+R95)*(1+S95)</f>
        <v/>
      </c>
      <c r="O94" s="306" t="inlineStr">
        <is>
          <t>IPC2023</t>
        </is>
      </c>
      <c r="P94" s="306" t="inlineStr">
        <is>
          <t>IPC2024</t>
        </is>
      </c>
      <c r="Q94" s="361" t="inlineStr">
        <is>
          <t>IPC25</t>
        </is>
      </c>
      <c r="R94" s="305" t="inlineStr">
        <is>
          <t>IPC26</t>
        </is>
      </c>
      <c r="S94" s="305" t="inlineStr">
        <is>
          <t>IPC27</t>
        </is>
      </c>
    </row>
    <row r="95" ht="15" customHeight="1" s="700" thickBot="1">
      <c r="A95" s="562" t="n"/>
      <c r="B95" s="46" t="n"/>
      <c r="C95" s="212" t="inlineStr">
        <is>
          <t>Referrel Fee:</t>
        </is>
      </c>
      <c r="D95" s="714">
        <f>+D94*0.05</f>
        <v/>
      </c>
      <c r="E95" s="214" t="n"/>
      <c r="F95" s="46" t="n"/>
      <c r="G95" s="46" t="n"/>
      <c r="H95" s="46" t="n"/>
      <c r="I95" s="46" t="n"/>
      <c r="J95" s="357" t="n">
        <v>0.05</v>
      </c>
      <c r="K95" s="486" t="n"/>
      <c r="M95" s="256" t="n">
        <v>45768</v>
      </c>
      <c r="O95" s="308" t="n">
        <v>0.041</v>
      </c>
      <c r="P95" s="308" t="n">
        <v>0.033</v>
      </c>
      <c r="Q95" s="308" t="n">
        <v>0.022</v>
      </c>
      <c r="R95" s="308" t="n"/>
      <c r="S95" s="308" t="n"/>
    </row>
    <row r="96" ht="15" customHeight="1" s="700" thickBot="1">
      <c r="A96" s="562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85" t="n"/>
    </row>
    <row r="97" ht="18" customHeight="1" s="700">
      <c r="A97" s="562" t="n"/>
      <c r="B97" s="262" t="inlineStr">
        <is>
          <t>Línea Covatillas, A.I.E.</t>
        </is>
      </c>
      <c r="C97" s="671" t="inlineStr">
        <is>
          <t>EXPLOTACIÓN: ACC+SPV+O&amp;M Manag</t>
        </is>
      </c>
      <c r="D97" s="667" t="n"/>
      <c r="E97" s="672" t="n"/>
      <c r="F97" s="209" t="n"/>
      <c r="G97" s="662" t="n"/>
      <c r="H97" s="205" t="n"/>
      <c r="I97" s="131" t="n"/>
      <c r="J97" s="46" t="n"/>
      <c r="K97" s="485" t="n"/>
    </row>
    <row r="98" ht="15.75" customHeight="1" s="700" thickBot="1">
      <c r="A98" s="562" t="n"/>
      <c r="B98" s="206" t="inlineStr">
        <is>
          <t>LAAT 132kV Covatillas</t>
        </is>
      </c>
      <c r="C98" s="315">
        <f>(1275*12)*1.032*1.036</f>
        <v/>
      </c>
      <c r="D98" s="312">
        <f>(2545*12)*N98</f>
        <v/>
      </c>
      <c r="E98" s="211" t="n"/>
      <c r="F98" s="207" t="n"/>
      <c r="G98" s="58" t="n"/>
      <c r="H98" s="123" t="n"/>
      <c r="I98" s="131" t="inlineStr">
        <is>
          <t>Facturación por trimestres vencidos</t>
        </is>
      </c>
      <c r="J98" s="46" t="n"/>
      <c r="K98" s="486" t="n"/>
      <c r="M98" s="491" t="inlineStr">
        <is>
          <t xml:space="preserve">Actualización </t>
        </is>
      </c>
      <c r="N98" s="143">
        <f>1*(1+O99)*(1+P99)*(1+Q99)*(1+R99)*(1+S99)</f>
        <v/>
      </c>
      <c r="O98" s="306" t="inlineStr">
        <is>
          <t>IPC2023</t>
        </is>
      </c>
      <c r="P98" s="306" t="inlineStr">
        <is>
          <t>IPC2024</t>
        </is>
      </c>
      <c r="Q98" s="306" t="inlineStr">
        <is>
          <t>IPC25</t>
        </is>
      </c>
      <c r="R98" s="305" t="inlineStr">
        <is>
          <t>IPC26</t>
        </is>
      </c>
      <c r="S98" s="305" t="inlineStr">
        <is>
          <t>IPC27</t>
        </is>
      </c>
    </row>
    <row r="99" ht="15" customHeight="1" s="700" thickBot="1">
      <c r="A99" s="562" t="n"/>
      <c r="B99" s="46" t="n"/>
      <c r="C99" s="212" t="inlineStr">
        <is>
          <t>Referrel Fee:</t>
        </is>
      </c>
      <c r="D99" s="714">
        <f>+D98*0.05</f>
        <v/>
      </c>
      <c r="E99" s="214" t="n"/>
      <c r="F99" s="46" t="n"/>
      <c r="G99" s="46" t="n"/>
      <c r="H99" s="46" t="n"/>
      <c r="I99" s="46" t="n"/>
      <c r="J99" s="357" t="n">
        <v>0.05</v>
      </c>
      <c r="K99" s="484" t="n">
        <v>45463</v>
      </c>
      <c r="L99" s="483">
        <f>DATEDIF(K99,TODAY(),"M")</f>
        <v/>
      </c>
      <c r="M99" s="256" t="n">
        <v>45801</v>
      </c>
      <c r="O99" s="308" t="n">
        <v>0.032</v>
      </c>
      <c r="P99" s="308" t="n">
        <v>0.036</v>
      </c>
      <c r="Q99" s="308" t="n">
        <v>0.02</v>
      </c>
      <c r="R99" s="308" t="n"/>
      <c r="S99" s="308" t="n"/>
    </row>
    <row r="100" ht="15" customHeight="1" s="700" thickBot="1">
      <c r="A100" s="562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85" t="n"/>
    </row>
    <row r="101" ht="18" customHeight="1" s="700">
      <c r="A101" s="562" t="n"/>
      <c r="B101" s="262" t="inlineStr">
        <is>
          <t>HERRERA SOTILLO RENOVABLES AIE</t>
        </is>
      </c>
      <c r="C101" s="671" t="inlineStr">
        <is>
          <t>BeforeCOD: ACC+SPV+O&amp;M Manag</t>
        </is>
      </c>
      <c r="D101" s="667" t="n"/>
      <c r="E101" s="672" t="n"/>
      <c r="F101" s="209" t="n"/>
      <c r="G101" s="662" t="n"/>
      <c r="H101" s="205" t="n"/>
      <c r="I101" s="131" t="n"/>
      <c r="J101" s="46" t="n"/>
      <c r="K101" s="485" t="n"/>
    </row>
    <row r="102" ht="15.75" customHeight="1" s="700" thickBot="1">
      <c r="A102" s="562" t="n"/>
      <c r="B102" s="206" t="inlineStr">
        <is>
          <t>SET SOTILLO 132kV</t>
        </is>
      </c>
      <c r="C102" s="210" t="n"/>
      <c r="D102" s="203">
        <f>(1250*12)*N102</f>
        <v/>
      </c>
      <c r="E102" s="211" t="n"/>
      <c r="F102" s="207" t="n"/>
      <c r="G102" s="58" t="n"/>
      <c r="H102" s="123" t="n"/>
      <c r="I102" s="131" t="inlineStr">
        <is>
          <t>Facturación por trimestres vencidos</t>
        </is>
      </c>
      <c r="J102" s="46" t="n"/>
      <c r="K102" s="486" t="n"/>
      <c r="M102" s="491" t="inlineStr">
        <is>
          <t xml:space="preserve">Actualización </t>
        </is>
      </c>
      <c r="N102" s="143">
        <f>1*(1+O103)*(1+P103)*(1+Q103)*(1+R103)*(1+S103)</f>
        <v/>
      </c>
      <c r="O102" s="306" t="inlineStr">
        <is>
          <t>IPC2023</t>
        </is>
      </c>
      <c r="P102" s="305" t="inlineStr">
        <is>
          <t>IPC2024</t>
        </is>
      </c>
      <c r="Q102" s="305" t="inlineStr">
        <is>
          <t>IPC25</t>
        </is>
      </c>
      <c r="R102" s="305" t="inlineStr">
        <is>
          <t>IPC26</t>
        </is>
      </c>
      <c r="S102" s="305" t="inlineStr">
        <is>
          <t>IPC27</t>
        </is>
      </c>
    </row>
    <row r="103" ht="15" customHeight="1" s="700" thickBot="1">
      <c r="A103" s="562" t="n"/>
      <c r="B103" s="46" t="n"/>
      <c r="C103" s="212" t="inlineStr">
        <is>
          <t>Referrel Fee:</t>
        </is>
      </c>
      <c r="D103" s="714">
        <f>+D102*0.05</f>
        <v/>
      </c>
      <c r="E103" s="214" t="n"/>
      <c r="F103" s="46" t="n"/>
      <c r="G103" s="46" t="n"/>
      <c r="H103" s="46" t="n"/>
      <c r="I103" s="46" t="n"/>
      <c r="J103" s="357" t="n">
        <v>0.05</v>
      </c>
      <c r="K103" s="486" t="n"/>
      <c r="M103" s="256" t="n">
        <v>45831</v>
      </c>
      <c r="O103" s="308" t="n">
        <v>0.019</v>
      </c>
      <c r="P103" s="308" t="n">
        <v>0.034</v>
      </c>
      <c r="Q103" s="308" t="n">
        <v>0.023</v>
      </c>
      <c r="R103" s="308" t="n"/>
      <c r="S103" s="308" t="n"/>
    </row>
    <row r="104" ht="15" customHeight="1" s="700" thickBot="1">
      <c r="A104" s="562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85" t="n"/>
    </row>
    <row r="105" ht="18" customHeight="1" s="700">
      <c r="A105" s="562" t="n"/>
      <c r="B105" s="262" t="inlineStr">
        <is>
          <t>CUÁDRUPLE BELINCHÓN SL</t>
        </is>
      </c>
      <c r="C105" s="671" t="inlineStr">
        <is>
          <t>EXPLOTACIÓN: ACC+SPV+O&amp;M Manag</t>
        </is>
      </c>
      <c r="D105" s="667" t="n"/>
      <c r="E105" s="672" t="n"/>
      <c r="F105" s="209" t="n"/>
      <c r="G105" s="662" t="n"/>
      <c r="H105" s="205" t="n"/>
      <c r="I105" s="131" t="n"/>
      <c r="J105" s="46" t="n"/>
      <c r="K105" s="485" t="n"/>
    </row>
    <row r="106" ht="15.75" customHeight="1" s="700" thickBot="1">
      <c r="A106" s="562" t="n"/>
      <c r="B106" s="206" t="inlineStr">
        <is>
          <t>LAAT Cuadruple Belinchón</t>
        </is>
      </c>
      <c r="C106" s="313">
        <f>1350*12</f>
        <v/>
      </c>
      <c r="D106" s="312">
        <f>(2675*12)*N106</f>
        <v/>
      </c>
      <c r="E106" s="211" t="n"/>
      <c r="F106" s="207" t="n"/>
      <c r="G106" s="58" t="n"/>
      <c r="H106" s="123" t="n"/>
      <c r="I106" s="131" t="inlineStr">
        <is>
          <t>Facturación por trimestres vencidos</t>
        </is>
      </c>
      <c r="J106" s="46" t="n"/>
      <c r="K106" s="486" t="n"/>
      <c r="M106" s="142" t="inlineStr">
        <is>
          <t xml:space="preserve">Actualización </t>
        </is>
      </c>
      <c r="N106" s="143">
        <f>1*(1+O107)*(1+P107)*(1+Q107)*(1+R107)*(1+S107)</f>
        <v/>
      </c>
      <c r="O106" s="306" t="inlineStr">
        <is>
          <t>IPC2023</t>
        </is>
      </c>
      <c r="P106" s="305" t="inlineStr">
        <is>
          <t>IPC2024</t>
        </is>
      </c>
      <c r="Q106" s="305" t="inlineStr">
        <is>
          <t>IPC25</t>
        </is>
      </c>
      <c r="R106" s="305" t="inlineStr">
        <is>
          <t>IPC26</t>
        </is>
      </c>
      <c r="S106" s="305" t="inlineStr">
        <is>
          <t>IPC27</t>
        </is>
      </c>
    </row>
    <row r="107" ht="15" customHeight="1" s="700" thickBot="1">
      <c r="A107" s="562" t="n"/>
      <c r="B107" s="46" t="n"/>
      <c r="C107" s="212" t="inlineStr">
        <is>
          <t>Referrel Fee:</t>
        </is>
      </c>
      <c r="D107" s="714">
        <f>+D106*0.05</f>
        <v/>
      </c>
      <c r="E107" s="214" t="n"/>
      <c r="F107" s="46" t="n"/>
      <c r="G107" s="46" t="n"/>
      <c r="H107" s="46" t="n"/>
      <c r="I107" s="46" t="n"/>
      <c r="J107" s="357" t="n">
        <v>0.05</v>
      </c>
      <c r="K107" s="484" t="n">
        <v>45033</v>
      </c>
      <c r="L107" s="483">
        <f>DATEDIF(K107,TODAY(),"M")</f>
        <v/>
      </c>
      <c r="M107" s="256" t="n">
        <v>45983</v>
      </c>
      <c r="O107" s="308" t="n">
        <v>0.032</v>
      </c>
      <c r="P107" s="308" t="n">
        <v>0.024</v>
      </c>
      <c r="Q107" s="308" t="n"/>
      <c r="R107" s="308" t="n"/>
      <c r="S107" s="308" t="n"/>
    </row>
    <row r="108" ht="15" customHeight="1" s="700" thickBot="1">
      <c r="A108" s="562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85" t="n"/>
    </row>
    <row r="109" ht="18" customHeight="1" s="700">
      <c r="A109" s="562" t="n"/>
      <c r="B109" s="262" t="inlineStr">
        <is>
          <t>RENOVABLES BROVALES 400KV, S.L.</t>
        </is>
      </c>
      <c r="C109" s="671" t="inlineStr">
        <is>
          <t>EXPLOTACIÓN: ACC+SPV+O&amp;M Manag</t>
        </is>
      </c>
      <c r="D109" s="667" t="n"/>
      <c r="E109" s="672" t="n"/>
      <c r="F109" s="209" t="n"/>
      <c r="G109" s="662" t="n"/>
      <c r="H109" s="205" t="n"/>
      <c r="I109" s="131" t="n"/>
      <c r="J109" s="46" t="n"/>
      <c r="K109" s="485" t="n"/>
    </row>
    <row r="110" ht="15.75" customHeight="1" s="700" thickBot="1">
      <c r="A110" s="562" t="n"/>
      <c r="B110" s="206" t="inlineStr">
        <is>
          <t>SET BROVALES1</t>
        </is>
      </c>
      <c r="C110" s="313">
        <f>(1665*12)*1.035</f>
        <v/>
      </c>
      <c r="D110" s="312">
        <f>(3025*12)*N110</f>
        <v/>
      </c>
      <c r="E110" s="211" t="n"/>
      <c r="F110" s="207" t="n"/>
      <c r="G110" s="58" t="n"/>
      <c r="H110" s="123" t="n"/>
      <c r="I110" s="131" t="inlineStr">
        <is>
          <t>Facturación por trimestres vencidos</t>
        </is>
      </c>
      <c r="J110" s="46" t="n"/>
      <c r="K110" s="486" t="n"/>
      <c r="M110" s="142" t="inlineStr">
        <is>
          <t xml:space="preserve">Actualización </t>
        </is>
      </c>
      <c r="N110" s="143">
        <f>1*(1+O111)*(1+P111)*(1+Q111)*(1+R111)*(1+S111)</f>
        <v/>
      </c>
      <c r="O110" s="306" t="inlineStr">
        <is>
          <t>IPC2023</t>
        </is>
      </c>
      <c r="P110" s="306" t="inlineStr">
        <is>
          <t>IPC2024</t>
        </is>
      </c>
      <c r="Q110" s="396" t="inlineStr">
        <is>
          <t>IPC25</t>
        </is>
      </c>
      <c r="R110" s="305" t="inlineStr">
        <is>
          <t>IPC26</t>
        </is>
      </c>
      <c r="S110" s="305" t="inlineStr">
        <is>
          <t>IPC27</t>
        </is>
      </c>
    </row>
    <row r="111" ht="15" customHeight="1" s="700" thickBot="1">
      <c r="A111" s="562" t="n"/>
      <c r="B111" s="46" t="n"/>
      <c r="C111" s="212" t="inlineStr">
        <is>
          <t>Referrel Fee:</t>
        </is>
      </c>
      <c r="D111" s="714">
        <f>+D110*0.05</f>
        <v/>
      </c>
      <c r="E111" s="214" t="n"/>
      <c r="F111" s="46" t="n"/>
      <c r="G111" s="46" t="n"/>
      <c r="H111" s="46" t="n"/>
      <c r="I111" s="46" t="n"/>
      <c r="J111" s="357" t="n">
        <v>0.05</v>
      </c>
      <c r="K111" s="484" t="n">
        <v>45435</v>
      </c>
      <c r="L111" s="483">
        <f>DATEDIF(K111,TODAY(),"M")</f>
        <v/>
      </c>
      <c r="M111" s="256" t="n">
        <v>45919</v>
      </c>
      <c r="O111" s="308" t="n">
        <v>0.035</v>
      </c>
      <c r="P111" s="308" t="n">
        <v>0.015</v>
      </c>
      <c r="Q111" s="308" t="n"/>
      <c r="R111" s="308" t="n"/>
      <c r="S111" s="308" t="n"/>
    </row>
    <row r="112" ht="15" customHeight="1" s="700" thickBot="1">
      <c r="A112" s="562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85" t="n"/>
    </row>
    <row r="113" ht="18" customHeight="1" s="700">
      <c r="A113" s="562" t="n"/>
      <c r="B113" s="262" t="inlineStr">
        <is>
          <t>HUERTA SEVILLA RENOVABLES, SL</t>
        </is>
      </c>
      <c r="C113" s="671" t="inlineStr">
        <is>
          <t>EXPLOTACIÓN: ACC+SPV+O&amp;M Manag</t>
        </is>
      </c>
      <c r="D113" s="667" t="n"/>
      <c r="E113" s="672" t="n"/>
      <c r="F113" s="209" t="n"/>
      <c r="G113" s="662" t="n"/>
      <c r="H113" s="205" t="n"/>
      <c r="I113" s="131" t="n"/>
      <c r="J113" s="46" t="n"/>
      <c r="K113" s="485" t="n"/>
    </row>
    <row r="114" ht="15.75" customHeight="1" s="700" thickBot="1">
      <c r="A114" s="562" t="n"/>
      <c r="B114" s="206" t="inlineStr">
        <is>
          <t>SET BROVALES3</t>
        </is>
      </c>
      <c r="C114" s="313" t="n">
        <v>21114.22464</v>
      </c>
      <c r="D114" s="312">
        <f>(2960*12)*N114</f>
        <v/>
      </c>
      <c r="E114" s="211" t="n"/>
      <c r="F114" s="207" t="n"/>
      <c r="G114" s="58" t="n"/>
      <c r="H114" s="123" t="n"/>
      <c r="I114" s="131" t="inlineStr">
        <is>
          <t>Facturación por trimestres vencidos</t>
        </is>
      </c>
      <c r="J114" s="46" t="n"/>
      <c r="K114" s="486" t="n"/>
      <c r="M114" s="142" t="inlineStr">
        <is>
          <t xml:space="preserve">Actualización </t>
        </is>
      </c>
      <c r="N114" s="143">
        <f>1*(1+O115)*(1+P115)*(1+Q115)*(1+R115)*(1+S115)</f>
        <v/>
      </c>
      <c r="O114" s="306" t="inlineStr">
        <is>
          <t>IPC2023</t>
        </is>
      </c>
      <c r="P114" s="305" t="inlineStr">
        <is>
          <t>IPC2024</t>
        </is>
      </c>
      <c r="Q114" s="305" t="inlineStr">
        <is>
          <t>IPC25</t>
        </is>
      </c>
      <c r="R114" s="305" t="inlineStr">
        <is>
          <t>IPC26</t>
        </is>
      </c>
      <c r="S114" s="305" t="inlineStr">
        <is>
          <t>IPC27</t>
        </is>
      </c>
    </row>
    <row r="115" ht="15" customHeight="1" s="700" thickBot="1">
      <c r="A115" s="562" t="n"/>
      <c r="B115" s="46" t="n"/>
      <c r="C115" s="212" t="inlineStr">
        <is>
          <t>Referrel Fee:</t>
        </is>
      </c>
      <c r="D115" s="714">
        <f>+D114*0.05</f>
        <v/>
      </c>
      <c r="E115" s="214" t="n"/>
      <c r="F115" s="46" t="n"/>
      <c r="G115" s="46" t="n"/>
      <c r="H115" s="46" t="n"/>
      <c r="I115" s="46" t="n"/>
      <c r="J115" s="357" t="n">
        <v>0.05</v>
      </c>
      <c r="K115" s="484" t="n">
        <v>45271</v>
      </c>
      <c r="L115" s="483">
        <f>DATEDIF(K115,TODAY(),"M")</f>
        <v/>
      </c>
      <c r="M115" s="256" t="n">
        <v>45969</v>
      </c>
      <c r="O115" s="308" t="n">
        <v>0.032</v>
      </c>
      <c r="P115" s="308" t="n">
        <v>0.024</v>
      </c>
      <c r="Q115" s="308" t="n"/>
      <c r="R115" s="308" t="n"/>
      <c r="S115" s="308" t="n"/>
    </row>
    <row r="116" ht="15" customHeight="1" s="700" thickBot="1">
      <c r="A116" s="562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85" t="n"/>
    </row>
    <row r="117" ht="18" customHeight="1" s="700">
      <c r="A117" s="562" t="n"/>
      <c r="B117" s="262" t="inlineStr">
        <is>
          <t>BELISOL 132 KV, SL</t>
        </is>
      </c>
      <c r="C117" s="671" t="inlineStr">
        <is>
          <t>EXPLOTACIÓN: ACC+SPV+O&amp;M Manag</t>
        </is>
      </c>
      <c r="D117" s="667" t="n"/>
      <c r="E117" s="672" t="n"/>
      <c r="F117" s="209" t="n"/>
      <c r="G117" s="662" t="n"/>
      <c r="H117" s="205" t="n"/>
      <c r="I117" s="131" t="n"/>
      <c r="J117" s="46" t="n"/>
      <c r="K117" s="485" t="n"/>
    </row>
    <row r="118" ht="15.75" customHeight="1" s="700" thickBot="1">
      <c r="A118" s="562" t="n"/>
      <c r="B118" s="206" t="inlineStr">
        <is>
          <t>SET BELISOL 132</t>
        </is>
      </c>
      <c r="C118" s="313">
        <f>(1350*12)*1.028</f>
        <v/>
      </c>
      <c r="D118" s="312">
        <f>(3045*12)*N118</f>
        <v/>
      </c>
      <c r="E118" s="211" t="n"/>
      <c r="F118" s="207" t="n"/>
      <c r="G118" s="58" t="n"/>
      <c r="H118" s="123" t="n"/>
      <c r="I118" s="131" t="inlineStr">
        <is>
          <t>Facturación por trimestres vencidos</t>
        </is>
      </c>
      <c r="J118" s="46" t="n"/>
      <c r="K118" s="486" t="n"/>
      <c r="M118" s="491" t="inlineStr">
        <is>
          <t xml:space="preserve">Actualización </t>
        </is>
      </c>
      <c r="N118" s="143">
        <f>1*(1+O119)*(1+P119)*(1+Q119)*(1+R119)</f>
        <v/>
      </c>
      <c r="O118" s="305" t="inlineStr">
        <is>
          <t>IPC2024</t>
        </is>
      </c>
      <c r="P118" s="306" t="inlineStr">
        <is>
          <t>IPC25</t>
        </is>
      </c>
      <c r="Q118" s="305" t="inlineStr">
        <is>
          <t>IPC26</t>
        </is>
      </c>
      <c r="R118" s="305" t="inlineStr">
        <is>
          <t>IPC27</t>
        </is>
      </c>
    </row>
    <row r="119" ht="15" customHeight="1" s="700" thickBot="1">
      <c r="A119" s="562" t="n"/>
      <c r="B119" s="46" t="n"/>
      <c r="C119" s="212" t="inlineStr">
        <is>
          <t>Referrel Fee:</t>
        </is>
      </c>
      <c r="D119" s="714">
        <f>+D118*0.05</f>
        <v/>
      </c>
      <c r="E119" s="214" t="n"/>
      <c r="F119" s="46" t="n"/>
      <c r="G119" s="46" t="n"/>
      <c r="H119" s="46" t="n"/>
      <c r="I119" s="46" t="n"/>
      <c r="J119" s="357" t="n">
        <v>0.05</v>
      </c>
      <c r="K119" s="484" t="n">
        <v>45356</v>
      </c>
      <c r="L119" s="483">
        <f>DATEDIF(K119,TODAY(),"M")</f>
        <v/>
      </c>
      <c r="M119" s="256" t="n">
        <v>45698</v>
      </c>
      <c r="O119" s="308" t="n">
        <v>0.028</v>
      </c>
      <c r="P119" s="308" t="n">
        <v>0.03</v>
      </c>
      <c r="Q119" s="308" t="n"/>
      <c r="R119" s="308" t="n"/>
    </row>
    <row r="120" ht="15" customHeight="1" s="700" thickBot="1">
      <c r="A120" s="562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85" t="n"/>
    </row>
    <row r="121" ht="18" customHeight="1" s="700">
      <c r="A121" s="562" t="n"/>
      <c r="B121" s="262" t="inlineStr">
        <is>
          <t>BRAZATORTAS 220 RENOVABLES, SL</t>
        </is>
      </c>
      <c r="C121" s="671" t="inlineStr">
        <is>
          <t>EXPLOTACIÓN: ACC+SPV+O&amp;M Manag</t>
        </is>
      </c>
      <c r="D121" s="667" t="n"/>
      <c r="E121" s="672" t="n"/>
      <c r="F121" s="209" t="n"/>
      <c r="G121" s="662" t="n"/>
      <c r="H121" s="205" t="n"/>
      <c r="I121" s="131" t="n"/>
      <c r="J121" s="46" t="n"/>
      <c r="K121" s="485" t="n"/>
    </row>
    <row r="122" ht="15.75" customHeight="1" s="700" thickBot="1">
      <c r="A122" s="562" t="n"/>
      <c r="B122" s="206" t="inlineStr">
        <is>
          <t>SET BRAZATORTAS</t>
        </is>
      </c>
      <c r="C122" s="313">
        <f>1350*12</f>
        <v/>
      </c>
      <c r="D122" s="312">
        <f>(3015*12)*N122</f>
        <v/>
      </c>
      <c r="E122" s="211" t="n"/>
      <c r="F122" s="207" t="n"/>
      <c r="G122" s="58" t="n"/>
      <c r="H122" s="123" t="n"/>
      <c r="I122" s="131" t="inlineStr">
        <is>
          <t>Facturación por trimestres vencidos</t>
        </is>
      </c>
      <c r="J122" s="46" t="n"/>
      <c r="K122" s="486" t="n"/>
      <c r="M122" s="142" t="inlineStr">
        <is>
          <t xml:space="preserve">Actualización </t>
        </is>
      </c>
      <c r="N122" s="143">
        <f>1*(1+O123)*(1+P123)*(1+Q123)*(1+R123)</f>
        <v/>
      </c>
      <c r="O122" s="305" t="inlineStr">
        <is>
          <t>IPC2023</t>
        </is>
      </c>
      <c r="P122" s="305" t="inlineStr">
        <is>
          <t>IPC2024</t>
        </is>
      </c>
      <c r="Q122" s="305" t="inlineStr">
        <is>
          <t>IPC25</t>
        </is>
      </c>
      <c r="R122" s="305" t="inlineStr">
        <is>
          <t>IPC26</t>
        </is>
      </c>
    </row>
    <row r="123" ht="15" customHeight="1" s="700" thickBot="1">
      <c r="A123" s="562" t="n"/>
      <c r="B123" s="46" t="n"/>
      <c r="C123" s="212" t="inlineStr">
        <is>
          <t>Referrel Fee:</t>
        </is>
      </c>
      <c r="D123" s="714">
        <f>+D122*0.05</f>
        <v/>
      </c>
      <c r="E123" s="214" t="n"/>
      <c r="F123" s="46" t="n"/>
      <c r="G123" s="46" t="n"/>
      <c r="H123" s="46" t="n"/>
      <c r="I123" s="46" t="n"/>
      <c r="J123" s="357" t="n">
        <v>0.05</v>
      </c>
      <c r="K123" s="484" t="n">
        <v>45264</v>
      </c>
      <c r="L123" s="483">
        <f>DATEDIF(K123,TODAY(),"M")</f>
        <v/>
      </c>
      <c r="M123" s="256" t="n">
        <v>45996</v>
      </c>
      <c r="O123" s="308" t="n">
        <v>0.031</v>
      </c>
      <c r="P123" s="308" t="n">
        <v>0.028</v>
      </c>
      <c r="Q123" s="308" t="n"/>
      <c r="R123" s="308" t="n"/>
    </row>
    <row r="124" ht="15" customHeight="1" s="700" thickBot="1">
      <c r="A124" s="562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85" t="n"/>
    </row>
    <row r="125" ht="18" customHeight="1" s="700">
      <c r="A125" s="562" t="n"/>
      <c r="B125" s="262" t="inlineStr">
        <is>
          <t>EVACUACIÓN LIQUESUN SL</t>
        </is>
      </c>
      <c r="C125" s="671" t="inlineStr">
        <is>
          <t>BeforeCOD: ACC+SPV+O&amp;M Manag</t>
        </is>
      </c>
      <c r="D125" s="667" t="n"/>
      <c r="E125" s="672" t="n"/>
      <c r="F125" s="209" t="n"/>
      <c r="G125" s="662" t="n"/>
      <c r="H125" s="205" t="n"/>
      <c r="I125" s="131" t="n"/>
      <c r="J125" s="46" t="n"/>
      <c r="K125" s="485" t="n"/>
    </row>
    <row r="126" ht="15.75" customHeight="1" s="700" thickBot="1">
      <c r="A126" s="562" t="n"/>
      <c r="B126" s="206" t="inlineStr">
        <is>
          <t>LSMT LIQUESUN</t>
        </is>
      </c>
      <c r="C126" s="210" t="n"/>
      <c r="D126" s="203">
        <f>(750*12)*N126</f>
        <v/>
      </c>
      <c r="E126" s="211" t="n"/>
      <c r="F126" s="207" t="n"/>
      <c r="G126" s="58" t="n"/>
      <c r="H126" s="123" t="n"/>
      <c r="I126" s="131" t="inlineStr">
        <is>
          <t>Facturación por trimestres vencidos</t>
        </is>
      </c>
      <c r="J126" s="46" t="n"/>
      <c r="K126" s="486" t="n"/>
      <c r="M126" s="491" t="inlineStr">
        <is>
          <t xml:space="preserve">Actualización </t>
        </is>
      </c>
      <c r="N126" s="143">
        <f>1*(1+O127)*(1+P127)*(1+Q127)*(1+R127)</f>
        <v/>
      </c>
      <c r="O126" s="305" t="inlineStr">
        <is>
          <t>IPC2024</t>
        </is>
      </c>
      <c r="P126" s="305" t="inlineStr">
        <is>
          <t>IPC25</t>
        </is>
      </c>
      <c r="Q126" s="305" t="inlineStr">
        <is>
          <t>IPC26</t>
        </is>
      </c>
      <c r="R126" s="305" t="inlineStr">
        <is>
          <t>IPC27</t>
        </is>
      </c>
    </row>
    <row r="127" ht="15" customHeight="1" s="700" thickBot="1">
      <c r="A127" s="562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86" t="n"/>
      <c r="M127" s="256" t="n">
        <v>45719</v>
      </c>
      <c r="O127" s="308" t="n">
        <v>0.032</v>
      </c>
      <c r="P127" s="308" t="n">
        <v>0.023</v>
      </c>
      <c r="Q127" s="308" t="n"/>
      <c r="R127" s="308" t="n"/>
    </row>
    <row r="128" ht="18" customHeight="1" s="700">
      <c r="A128" s="562" t="n"/>
      <c r="B128" s="262" t="inlineStr">
        <is>
          <t>COLECTORA CARMONA S.L.</t>
        </is>
      </c>
      <c r="C128" s="671" t="inlineStr">
        <is>
          <t>EXPLOTACIÓN: ACC+SPV+O&amp;M Manag</t>
        </is>
      </c>
      <c r="D128" s="667" t="n"/>
      <c r="E128" s="672" t="n"/>
      <c r="F128" s="209" t="n"/>
      <c r="G128" s="662" t="n"/>
      <c r="H128" s="205" t="n"/>
      <c r="I128" s="131" t="n"/>
      <c r="J128" s="46" t="n"/>
      <c r="K128" s="485" t="n"/>
    </row>
    <row r="129" ht="15.75" customHeight="1" s="700" thickBot="1">
      <c r="A129" s="562" t="n"/>
      <c r="B129" s="206" t="inlineStr">
        <is>
          <t>SET400 COLECTORA CARMONA</t>
        </is>
      </c>
      <c r="C129" s="313" t="n">
        <v>15851.52</v>
      </c>
      <c r="D129" s="312">
        <f>(2900*12)*N129</f>
        <v/>
      </c>
      <c r="E129" s="211" t="n"/>
      <c r="F129" s="207" t="n"/>
      <c r="G129" s="58" t="n"/>
      <c r="H129" s="123" t="n"/>
      <c r="I129" s="131" t="inlineStr">
        <is>
          <t>Facturación por trimestres vencidos</t>
        </is>
      </c>
      <c r="J129" s="46" t="n"/>
      <c r="K129" s="486" t="n"/>
      <c r="M129" s="142" t="inlineStr">
        <is>
          <t xml:space="preserve">Actualización </t>
        </is>
      </c>
      <c r="N129" s="143">
        <f>1*(1+O130)*(1+P130)*(1+Q130)*(1+R130)</f>
        <v/>
      </c>
      <c r="O129" s="306" t="inlineStr">
        <is>
          <t>IPC2023</t>
        </is>
      </c>
      <c r="P129" s="305" t="inlineStr">
        <is>
          <t>IPC2024</t>
        </is>
      </c>
      <c r="Q129" s="305" t="inlineStr">
        <is>
          <t>IPC25</t>
        </is>
      </c>
      <c r="R129" s="305" t="inlineStr">
        <is>
          <t>IPC26</t>
        </is>
      </c>
    </row>
    <row r="130" ht="15" customHeight="1" s="700" thickBot="1">
      <c r="A130" s="562" t="n"/>
      <c r="B130" s="46" t="n"/>
      <c r="C130" s="212" t="inlineStr">
        <is>
          <t>Referrel Fee:</t>
        </is>
      </c>
      <c r="D130" s="714">
        <f>+D129*0.05</f>
        <v/>
      </c>
      <c r="E130" s="214" t="n"/>
      <c r="F130" s="46" t="n"/>
      <c r="G130" s="46" t="n"/>
      <c r="H130" s="46" t="n"/>
      <c r="I130" s="46" t="n"/>
      <c r="J130" s="357" t="n">
        <v>0.05</v>
      </c>
      <c r="K130" s="484" t="n">
        <v>45748</v>
      </c>
      <c r="L130" s="483">
        <f>DATEDIF(K130,TODAY(),"M")</f>
        <v/>
      </c>
      <c r="M130" s="256" t="n">
        <v>45985</v>
      </c>
      <c r="O130" s="308" t="n">
        <v>0.032</v>
      </c>
      <c r="P130" s="308" t="n">
        <v>0.024</v>
      </c>
      <c r="Q130" s="308" t="n"/>
      <c r="R130" s="308" t="n"/>
    </row>
    <row r="131" ht="15" customHeight="1" s="700" thickBot="1">
      <c r="A131" s="562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85" t="n"/>
    </row>
    <row r="132" ht="18" customHeight="1" s="700">
      <c r="A132" s="562" t="n"/>
      <c r="B132" s="262" t="inlineStr">
        <is>
          <t>TORO RENOVABLES, S.L.</t>
        </is>
      </c>
      <c r="C132" s="671" t="inlineStr">
        <is>
          <t>EXPLOTACIÓN: ACC+SPV+O&amp;M Manag</t>
        </is>
      </c>
      <c r="D132" s="667" t="n"/>
      <c r="E132" s="672" t="n"/>
      <c r="F132" s="209" t="n"/>
      <c r="G132" s="662" t="n"/>
      <c r="H132" s="205" t="n"/>
      <c r="I132" s="131" t="n"/>
      <c r="J132" s="46" t="n"/>
      <c r="K132" s="485" t="n"/>
    </row>
    <row r="133" ht="15.75" customHeight="1" s="700" thickBot="1">
      <c r="A133" s="562" t="n"/>
      <c r="B133" s="206" t="inlineStr">
        <is>
          <t>SET400 TORO</t>
        </is>
      </c>
      <c r="C133" s="315" t="n">
        <v>16200</v>
      </c>
      <c r="D133" s="312">
        <f>(2800*12)*N133</f>
        <v/>
      </c>
      <c r="E133" s="211" t="n"/>
      <c r="F133" s="207" t="n"/>
      <c r="G133" s="58" t="n"/>
      <c r="H133" s="123" t="n"/>
      <c r="I133" s="131" t="inlineStr">
        <is>
          <t>Facturación por trimestres vencidos</t>
        </is>
      </c>
      <c r="J133" s="46" t="n"/>
      <c r="K133" s="486" t="n"/>
      <c r="M133" s="491" t="inlineStr">
        <is>
          <t xml:space="preserve">Actualización </t>
        </is>
      </c>
      <c r="N133" s="143">
        <f>1*(1+O134)*(1+P134)*(1+Q134)*(1+R134)</f>
        <v/>
      </c>
      <c r="O133" s="305" t="inlineStr">
        <is>
          <t>IPC2024</t>
        </is>
      </c>
      <c r="P133" s="305" t="inlineStr">
        <is>
          <t>IPC25</t>
        </is>
      </c>
      <c r="Q133" s="305" t="inlineStr">
        <is>
          <t>IPC26</t>
        </is>
      </c>
      <c r="R133" s="305" t="inlineStr">
        <is>
          <t>IPC27</t>
        </is>
      </c>
    </row>
    <row r="134" ht="15" customHeight="1" s="700" thickBot="1">
      <c r="A134" s="562" t="n"/>
      <c r="B134" s="46" t="n"/>
      <c r="C134" s="212" t="inlineStr">
        <is>
          <t>Referrel Fee:</t>
        </is>
      </c>
      <c r="D134" s="714">
        <f>+D133*0.05</f>
        <v/>
      </c>
      <c r="E134" s="214" t="n"/>
      <c r="F134" s="314" t="n"/>
      <c r="G134" s="46" t="n"/>
      <c r="H134" s="46" t="n"/>
      <c r="I134" s="46" t="n"/>
      <c r="J134" s="357" t="n">
        <v>0.05</v>
      </c>
      <c r="K134" s="484" t="n">
        <v>45125</v>
      </c>
      <c r="L134" s="483">
        <f>DATEDIF(K134,TODAY(),"M")</f>
        <v/>
      </c>
      <c r="M134" s="256" t="n">
        <v>45778</v>
      </c>
      <c r="O134" s="308" t="n">
        <v>0.036</v>
      </c>
      <c r="P134" s="308" t="n">
        <v>0.02</v>
      </c>
      <c r="Q134" s="308" t="n"/>
      <c r="R134" s="308" t="n"/>
    </row>
    <row r="135" ht="15" customHeight="1" s="700" thickBot="1">
      <c r="A135" s="562" t="n"/>
      <c r="B135" s="46" t="n"/>
      <c r="C135" s="60" t="n"/>
      <c r="D135" s="60" t="n"/>
      <c r="E135" s="46" t="n"/>
      <c r="F135" s="46" t="n"/>
      <c r="G135" s="46" t="n"/>
      <c r="H135" s="46" t="n"/>
      <c r="I135" s="46" t="n"/>
      <c r="J135" s="46" t="n"/>
      <c r="K135" s="485" t="n"/>
    </row>
    <row r="136" ht="18" customHeight="1" s="700">
      <c r="A136" s="562" t="n"/>
      <c r="B136" s="262" t="inlineStr">
        <is>
          <t>RENOVABLES BROVALES SEGURA DE LEON 400 KV, S.L.</t>
        </is>
      </c>
      <c r="C136" s="671" t="inlineStr">
        <is>
          <t>EXPLOTACIÓN: ACC+SPV+O&amp;M Manag</t>
        </is>
      </c>
      <c r="D136" s="667" t="n"/>
      <c r="E136" s="672" t="n"/>
      <c r="F136" s="209" t="n"/>
      <c r="G136" s="662" t="n"/>
      <c r="H136" s="205" t="n"/>
      <c r="I136" s="131" t="n"/>
      <c r="J136" s="46" t="n"/>
      <c r="K136" s="485" t="n"/>
    </row>
    <row r="137" ht="15.75" customHeight="1" s="700" thickBot="1">
      <c r="A137" s="562" t="n"/>
      <c r="B137" s="206" t="inlineStr">
        <is>
          <t>SET400 BROVALES 2</t>
        </is>
      </c>
      <c r="C137" s="313">
        <f>(1665*12)*1.032</f>
        <v/>
      </c>
      <c r="D137" s="312">
        <f>(3025*12)*N137</f>
        <v/>
      </c>
      <c r="E137" s="211" t="n"/>
      <c r="F137" s="207" t="n"/>
      <c r="G137" s="58" t="n"/>
      <c r="H137" s="123" t="n"/>
      <c r="I137" s="131" t="inlineStr">
        <is>
          <t>Facturación por trimestres vencidos</t>
        </is>
      </c>
      <c r="J137" s="46" t="n"/>
      <c r="K137" s="486" t="n"/>
      <c r="M137" s="142" t="inlineStr">
        <is>
          <t xml:space="preserve">Actualización </t>
        </is>
      </c>
      <c r="N137" s="143">
        <f>1*(1+O138)*(1+P138)*(1+Q138)*(1+R138)</f>
        <v/>
      </c>
      <c r="O137" s="306" t="inlineStr">
        <is>
          <t>IPC2023</t>
        </is>
      </c>
      <c r="P137" s="305" t="inlineStr">
        <is>
          <t>IPC2024</t>
        </is>
      </c>
      <c r="Q137" s="305" t="inlineStr">
        <is>
          <t>IPC25</t>
        </is>
      </c>
      <c r="R137" s="305" t="inlineStr">
        <is>
          <t>IPC26</t>
        </is>
      </c>
    </row>
    <row r="138" ht="15" customHeight="1" s="700" thickBot="1">
      <c r="A138" s="562" t="n"/>
      <c r="B138" s="46" t="n"/>
      <c r="C138" s="212" t="inlineStr">
        <is>
          <t>Referrel Fee:</t>
        </is>
      </c>
      <c r="D138" s="714">
        <f>+D137*0.05</f>
        <v/>
      </c>
      <c r="E138" s="214" t="n"/>
      <c r="F138" s="46" t="n"/>
      <c r="G138" s="46" t="n"/>
      <c r="H138" s="46" t="n"/>
      <c r="I138" s="46" t="n"/>
      <c r="J138" s="357" t="n">
        <v>0.05</v>
      </c>
      <c r="K138" s="484" t="n">
        <v>45435</v>
      </c>
      <c r="L138" s="483">
        <f>DATEDIF(K138,TODAY(),"M")</f>
        <v/>
      </c>
      <c r="M138" s="256" t="n">
        <v>45968</v>
      </c>
      <c r="O138" s="308" t="n">
        <v>0.032</v>
      </c>
      <c r="P138" s="308" t="n">
        <v>0.024</v>
      </c>
      <c r="Q138" s="308" t="n"/>
      <c r="R138" s="308" t="n"/>
    </row>
    <row r="139" ht="15" customHeight="1" s="700" thickBot="1">
      <c r="A139" s="562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85" t="n"/>
    </row>
    <row r="140" ht="18" customHeight="1" s="700">
      <c r="A140" s="562" t="n"/>
      <c r="B140" s="262" t="inlineStr">
        <is>
          <t>PROMOTORES BENEJAMA GENERACIÓN SL</t>
        </is>
      </c>
      <c r="C140" s="671" t="inlineStr">
        <is>
          <t>BeforeCOD: ACC+SPV+O&amp;M Manag</t>
        </is>
      </c>
      <c r="D140" s="667" t="n"/>
      <c r="E140" s="672" t="n"/>
      <c r="F140" s="209" t="n"/>
      <c r="G140" s="662" t="n"/>
      <c r="H140" s="205" t="n"/>
      <c r="I140" s="131" t="n"/>
      <c r="J140" s="46" t="n"/>
      <c r="K140" s="485" t="n"/>
    </row>
    <row r="141" ht="15.75" customHeight="1" s="700" thickBot="1">
      <c r="A141" s="562" t="n"/>
      <c r="B141" s="206" t="inlineStr">
        <is>
          <t>SET220 BENEJAMA --&gt; REE</t>
        </is>
      </c>
      <c r="C141" s="210" t="inlineStr">
        <is>
          <t xml:space="preserve"> </t>
        </is>
      </c>
      <c r="D141" s="203">
        <f>(1350*12)*N141</f>
        <v/>
      </c>
      <c r="E141" s="211" t="n"/>
      <c r="F141" s="207" t="n"/>
      <c r="G141" s="58" t="n"/>
      <c r="H141" s="123" t="n"/>
      <c r="I141" s="131" t="inlineStr">
        <is>
          <t>Facturación por trimestres vencidos</t>
        </is>
      </c>
      <c r="J141" s="46" t="n"/>
      <c r="K141" s="486" t="n"/>
      <c r="M141" s="491" t="inlineStr">
        <is>
          <t xml:space="preserve">Actualización </t>
        </is>
      </c>
      <c r="N141" s="143">
        <f>1*(1+O142)*(1+P142)*(1+Q142)*(1+R142)</f>
        <v/>
      </c>
      <c r="O141" s="305" t="inlineStr">
        <is>
          <t>IPC2024</t>
        </is>
      </c>
      <c r="P141" s="305" t="inlineStr">
        <is>
          <t>IPC25</t>
        </is>
      </c>
      <c r="Q141" s="305" t="inlineStr">
        <is>
          <t>IPC26</t>
        </is>
      </c>
      <c r="R141" s="305" t="inlineStr">
        <is>
          <t>IPC27</t>
        </is>
      </c>
    </row>
    <row r="142" ht="15" customHeight="1" s="700" thickBot="1">
      <c r="A142" s="562" t="n"/>
      <c r="B142" s="46" t="n"/>
      <c r="C142" s="212" t="inlineStr">
        <is>
          <t>Referrel Fee:</t>
        </is>
      </c>
      <c r="D142" s="714">
        <f>+D141*0.05</f>
        <v/>
      </c>
      <c r="E142" s="214" t="n"/>
      <c r="F142" s="46" t="n"/>
      <c r="G142" s="46" t="n"/>
      <c r="H142" s="46" t="n"/>
      <c r="I142" s="46" t="n"/>
      <c r="J142" s="357" t="n">
        <v>0.05</v>
      </c>
      <c r="K142" s="486" t="n"/>
      <c r="M142" s="256" t="n">
        <v>45739</v>
      </c>
      <c r="O142" s="308" t="n">
        <v>0.032</v>
      </c>
      <c r="P142" s="308" t="n">
        <v>0.023</v>
      </c>
      <c r="Q142" s="308" t="n"/>
      <c r="R142" s="308" t="n"/>
    </row>
    <row r="143" ht="15" customHeight="1" s="700" thickBot="1">
      <c r="A143" s="562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85" t="n"/>
    </row>
    <row r="144" ht="18" customHeight="1" s="700">
      <c r="A144" s="565" t="n"/>
      <c r="B144" s="494" t="inlineStr">
        <is>
          <t>ICE SANTA ENGRACIA, S.L.</t>
        </is>
      </c>
      <c r="C144" s="674" t="inlineStr">
        <is>
          <t>BeforeCOD: ACC+SPV+O&amp;M Manag</t>
        </is>
      </c>
      <c r="D144" s="667" t="n"/>
      <c r="E144" s="672" t="n"/>
      <c r="F144" s="209" t="n"/>
      <c r="G144" s="662" t="n"/>
      <c r="H144" s="205" t="n"/>
      <c r="I144" s="131" t="n"/>
      <c r="J144" s="46" t="n"/>
      <c r="K144" s="485" t="n"/>
    </row>
    <row r="145" ht="15.75" customHeight="1" s="700" thickBot="1">
      <c r="A145" s="562" t="n"/>
      <c r="B145" s="502" t="inlineStr">
        <is>
          <t>SET220 SANTA ENGRACIA</t>
        </is>
      </c>
      <c r="C145" s="503" t="inlineStr">
        <is>
          <t xml:space="preserve"> </t>
        </is>
      </c>
      <c r="D145" s="504">
        <f>(1350*12)*N145</f>
        <v/>
      </c>
      <c r="E145" s="505" t="n"/>
      <c r="F145" s="207" t="n"/>
      <c r="G145" s="58" t="n"/>
      <c r="H145" s="123" t="n"/>
      <c r="I145" s="498" t="inlineStr">
        <is>
          <t>Facturación por trimestres vencidos</t>
        </is>
      </c>
      <c r="J145" s="46" t="n"/>
      <c r="K145" s="486" t="n"/>
      <c r="M145" s="511" t="inlineStr">
        <is>
          <t xml:space="preserve">Actualización </t>
        </is>
      </c>
      <c r="N145" s="512">
        <f>1*(1+O146)*(1+P146)*(1+Q146)*(1+R146)</f>
        <v/>
      </c>
      <c r="O145" s="513" t="inlineStr">
        <is>
          <t>IPC2024</t>
        </is>
      </c>
      <c r="P145" s="513" t="inlineStr">
        <is>
          <t>IPC25</t>
        </is>
      </c>
      <c r="Q145" s="513" t="inlineStr">
        <is>
          <t>IPC26</t>
        </is>
      </c>
      <c r="R145" s="513" t="inlineStr">
        <is>
          <t>IPC27</t>
        </is>
      </c>
    </row>
    <row r="146" ht="15" customHeight="1" s="700" thickBot="1">
      <c r="A146" s="562" t="n"/>
      <c r="B146" s="46" t="n"/>
      <c r="C146" s="514" t="inlineStr">
        <is>
          <t>Referrel Fee:</t>
        </is>
      </c>
      <c r="D146" s="715">
        <f>+D145*0.05</f>
        <v/>
      </c>
      <c r="E146" s="516" t="n"/>
      <c r="F146" s="46" t="n"/>
      <c r="G146" s="46" t="n"/>
      <c r="H146" s="46" t="n"/>
      <c r="I146" s="46" t="n"/>
      <c r="J146" s="517" t="n"/>
      <c r="K146" s="486" t="n"/>
      <c r="M146" s="518" t="n">
        <v>45758</v>
      </c>
      <c r="N146" s="510" t="n"/>
      <c r="O146" s="519" t="n">
        <v>0.033</v>
      </c>
      <c r="P146" s="519" t="n">
        <v>0.022</v>
      </c>
      <c r="Q146" s="519" t="n"/>
      <c r="R146" s="519" t="n"/>
    </row>
    <row r="147" ht="15" customHeight="1" s="700" thickBot="1">
      <c r="A147" s="562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85" t="n"/>
    </row>
    <row r="148" ht="18" customHeight="1" s="700">
      <c r="A148" s="562" t="n"/>
      <c r="B148" s="265" t="inlineStr">
        <is>
          <t>BECERRIL RENOVABLES, S.L.</t>
        </is>
      </c>
      <c r="C148" s="671" t="inlineStr">
        <is>
          <t>EXPLOTACIÓN: ACC+SPV+O&amp;M Manag</t>
        </is>
      </c>
      <c r="D148" s="667" t="n"/>
      <c r="E148" s="672" t="n"/>
      <c r="F148" s="209" t="n"/>
      <c r="G148" s="662" t="n"/>
      <c r="H148" s="205" t="n"/>
      <c r="I148" s="131" t="n"/>
      <c r="J148" s="46" t="n"/>
      <c r="K148" s="485" t="n"/>
    </row>
    <row r="149" ht="15.75" customHeight="1" s="700" thickBot="1">
      <c r="A149" s="562" t="n"/>
      <c r="B149" s="206" t="inlineStr">
        <is>
          <t>SET132 BECERRIL</t>
        </is>
      </c>
      <c r="C149" s="313">
        <f>1350*12*1.028*1.03</f>
        <v/>
      </c>
      <c r="D149" s="312">
        <f>(2875*12)*N149</f>
        <v/>
      </c>
      <c r="E149" s="211" t="n"/>
      <c r="F149" s="207" t="n"/>
      <c r="G149" s="58" t="n"/>
      <c r="H149" s="123" t="n"/>
      <c r="I149" s="131" t="inlineStr">
        <is>
          <t>Facturación por trimestres vencidos</t>
        </is>
      </c>
      <c r="J149" s="46" t="n"/>
      <c r="K149" s="486" t="n"/>
      <c r="M149" s="491" t="inlineStr">
        <is>
          <t xml:space="preserve">Actualización </t>
        </is>
      </c>
      <c r="N149" s="143">
        <f>1*(1+O150)*(1+P150)*(1+Q150)*(1+R150)</f>
        <v/>
      </c>
      <c r="O149" s="305" t="inlineStr">
        <is>
          <t>IPC2024</t>
        </is>
      </c>
      <c r="P149" s="305" t="inlineStr">
        <is>
          <t>IPC25</t>
        </is>
      </c>
      <c r="Q149" s="305" t="inlineStr">
        <is>
          <t>IPC26</t>
        </is>
      </c>
      <c r="R149" s="305" t="inlineStr">
        <is>
          <t>IPC27</t>
        </is>
      </c>
    </row>
    <row r="150" ht="15" customHeight="1" s="700" thickBot="1">
      <c r="A150" s="562" t="n"/>
      <c r="B150" s="46" t="n"/>
      <c r="C150" s="212" t="inlineStr">
        <is>
          <t>Referrel Fee:</t>
        </is>
      </c>
      <c r="D150" s="714">
        <f>+D149*0.05</f>
        <v/>
      </c>
      <c r="E150" s="214" t="n"/>
      <c r="F150" s="46" t="n"/>
      <c r="G150" s="46" t="n"/>
      <c r="H150" s="46" t="n"/>
      <c r="I150" s="46" t="n"/>
      <c r="J150" s="357" t="n">
        <v>0.05</v>
      </c>
      <c r="K150" s="484" t="n">
        <v>45797</v>
      </c>
      <c r="L150" s="483">
        <f>DATEDIF(K150,TODAY(),"M")</f>
        <v/>
      </c>
      <c r="M150" s="256" t="n">
        <v>45705</v>
      </c>
      <c r="O150" s="308" t="n">
        <v>0.028</v>
      </c>
      <c r="P150" s="308" t="n">
        <v>0.03</v>
      </c>
      <c r="Q150" s="308" t="n"/>
      <c r="R150" s="308" t="n"/>
    </row>
    <row r="151" ht="15" customHeight="1" s="700" thickBot="1">
      <c r="A151" s="562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85" t="n"/>
    </row>
    <row r="152" ht="18" customHeight="1" s="700">
      <c r="A152" s="564" t="inlineStr">
        <is>
          <t>x</t>
        </is>
      </c>
      <c r="B152" s="265" t="inlineStr">
        <is>
          <t>TRANSFORMADORA ALMODOVAR RENOVABLES, S.L.</t>
        </is>
      </c>
      <c r="C152" s="671" t="inlineStr">
        <is>
          <t>EXPLOTACIÓN: ACC+SPV+O&amp;M Manag</t>
        </is>
      </c>
      <c r="D152" s="667" t="n"/>
      <c r="E152" s="672" t="n"/>
      <c r="F152" s="209" t="n"/>
      <c r="G152" s="662" t="n"/>
      <c r="H152" s="205" t="n"/>
      <c r="I152" s="131" t="n"/>
      <c r="J152" s="46" t="n"/>
      <c r="K152" s="485" t="n"/>
    </row>
    <row r="153" ht="15.75" customHeight="1" s="700" thickBot="1">
      <c r="A153" s="588" t="n"/>
      <c r="B153" s="206" t="inlineStr">
        <is>
          <t>SET220 ALMODÓVAR</t>
        </is>
      </c>
      <c r="C153" s="313">
        <f>(1350*12)*1.032*1.024</f>
        <v/>
      </c>
      <c r="D153" s="579">
        <f>(2825*12)*N153</f>
        <v/>
      </c>
      <c r="E153" s="211" t="n"/>
      <c r="F153" s="207" t="n"/>
      <c r="G153" s="58" t="n"/>
      <c r="H153" s="123" t="n"/>
      <c r="I153" s="131" t="inlineStr">
        <is>
          <t>Facturación por trimestres vencidos</t>
        </is>
      </c>
      <c r="J153" s="46" t="n"/>
      <c r="K153" s="486" t="n"/>
      <c r="M153" s="142" t="inlineStr">
        <is>
          <t xml:space="preserve">Actualización </t>
        </is>
      </c>
      <c r="N153" s="143">
        <f>1*(1+O154)*(1+P154)*(1+Q154)*(1+R154)</f>
        <v/>
      </c>
      <c r="O153" s="306" t="inlineStr">
        <is>
          <t>IPC2023</t>
        </is>
      </c>
      <c r="P153" s="305" t="inlineStr">
        <is>
          <t>IPC2024</t>
        </is>
      </c>
      <c r="Q153" s="305" t="inlineStr">
        <is>
          <t>IPC25</t>
        </is>
      </c>
      <c r="R153" s="305" t="inlineStr">
        <is>
          <t>IPC26</t>
        </is>
      </c>
    </row>
    <row r="154" ht="15" customHeight="1" s="700" thickBot="1">
      <c r="A154" s="562" t="n"/>
      <c r="B154" s="46" t="n"/>
      <c r="C154" s="212" t="inlineStr">
        <is>
          <t>Referrel Fee:</t>
        </is>
      </c>
      <c r="D154" s="714">
        <f>+D153*0.05</f>
        <v/>
      </c>
      <c r="E154" s="214" t="n"/>
      <c r="F154" s="46" t="n"/>
      <c r="G154" s="46" t="n"/>
      <c r="H154" s="46" t="n"/>
      <c r="I154" s="46" t="n"/>
      <c r="J154" s="357" t="n">
        <v>0.05</v>
      </c>
      <c r="K154" s="486" t="n"/>
      <c r="M154" s="256" t="n">
        <v>45978</v>
      </c>
      <c r="O154" s="308" t="n">
        <v>0.032</v>
      </c>
      <c r="P154" s="308" t="n">
        <v>0.024</v>
      </c>
      <c r="Q154" s="308" t="n"/>
      <c r="R154" s="308" t="n"/>
    </row>
    <row r="155" ht="15" customHeight="1" s="700" thickBot="1">
      <c r="A155" s="562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85" t="n"/>
    </row>
    <row r="156" ht="18" customHeight="1" s="700">
      <c r="A156" s="562" t="n"/>
      <c r="B156" s="265" t="inlineStr">
        <is>
          <t>TEODOMIRO RENOVABLES, S.L.</t>
        </is>
      </c>
      <c r="C156" s="671" t="inlineStr">
        <is>
          <t>EXPLOTACIÓN: ACC+SPV+O&amp;M Manag</t>
        </is>
      </c>
      <c r="D156" s="667" t="n"/>
      <c r="E156" s="672" t="n"/>
      <c r="F156" s="209" t="n"/>
      <c r="G156" s="662" t="n"/>
      <c r="H156" s="205" t="n"/>
      <c r="I156" s="131" t="n"/>
      <c r="J156" s="46" t="n"/>
      <c r="K156" s="485" t="n"/>
    </row>
    <row r="157" ht="15.75" customHeight="1" s="700" thickBot="1">
      <c r="A157" s="562" t="n"/>
      <c r="B157" s="206" t="inlineStr">
        <is>
          <t>TEODOMIRO RENOVABLES, S.L.</t>
        </is>
      </c>
      <c r="C157" s="315" t="n">
        <v>17102.9232</v>
      </c>
      <c r="D157" s="312">
        <f>(2950*12)*N157</f>
        <v/>
      </c>
      <c r="E157" s="211" t="n"/>
      <c r="F157" s="207" t="n"/>
      <c r="G157" s="58" t="n"/>
      <c r="H157" s="123" t="n"/>
      <c r="I157" s="131" t="inlineStr">
        <is>
          <t>Facturación por trimestres vencidos</t>
        </is>
      </c>
      <c r="J157" s="46" t="n"/>
      <c r="K157" s="486" t="n"/>
      <c r="M157" s="491" t="inlineStr">
        <is>
          <t xml:space="preserve">Actualización </t>
        </is>
      </c>
      <c r="N157" s="143">
        <f>1*(1+O158)*(1+P158)*(1+Q158)*(1+R158)</f>
        <v/>
      </c>
      <c r="O157" s="305" t="inlineStr">
        <is>
          <t>IPC2024</t>
        </is>
      </c>
      <c r="P157" s="305" t="inlineStr">
        <is>
          <t>IPC25</t>
        </is>
      </c>
      <c r="Q157" s="305" t="inlineStr">
        <is>
          <t>IPC26</t>
        </is>
      </c>
      <c r="R157" s="305" t="inlineStr">
        <is>
          <t>IPC27</t>
        </is>
      </c>
    </row>
    <row r="158" ht="15" customHeight="1" s="700" thickBot="1">
      <c r="A158" s="562" t="n"/>
      <c r="B158" s="46" t="n"/>
      <c r="C158" s="212" t="inlineStr">
        <is>
          <t>Referrel Fee:</t>
        </is>
      </c>
      <c r="D158" s="714">
        <f>+D157*0.05</f>
        <v/>
      </c>
      <c r="E158" s="214" t="n"/>
      <c r="F158" s="46" t="n"/>
      <c r="G158" s="46" t="n"/>
      <c r="H158" s="46" t="n"/>
      <c r="I158" s="46" t="n"/>
      <c r="J158" s="357" t="n">
        <v>0.05</v>
      </c>
      <c r="K158" s="484" t="n">
        <v>45763</v>
      </c>
      <c r="L158" s="483">
        <f>DATEDIF(K158,TODAY(),"M")</f>
        <v/>
      </c>
      <c r="M158" s="256" t="n">
        <v>45717</v>
      </c>
      <c r="O158" s="308" t="n">
        <v>0.032</v>
      </c>
      <c r="P158" s="308" t="n">
        <v>0.023</v>
      </c>
      <c r="Q158" s="308" t="n"/>
      <c r="R158" s="308" t="n"/>
    </row>
    <row r="159" ht="15" customHeight="1" s="700" thickBot="1">
      <c r="A159" s="562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85" t="n"/>
    </row>
    <row r="160" ht="18" customHeight="1" s="700">
      <c r="A160" s="562" t="n"/>
      <c r="B160" s="265" t="inlineStr">
        <is>
          <t>NUDO SE ZARATÁN 220KV, S.L.</t>
        </is>
      </c>
      <c r="C160" s="671" t="inlineStr">
        <is>
          <t>BeforeCOD: ACC+SPV+O&amp;M Manag</t>
        </is>
      </c>
      <c r="D160" s="667" t="n"/>
      <c r="E160" s="672" t="n"/>
      <c r="F160" s="209" t="n"/>
      <c r="G160" s="662" t="n"/>
      <c r="H160" s="205" t="n"/>
      <c r="I160" s="131" t="n"/>
      <c r="J160" s="46" t="n"/>
      <c r="K160" s="485" t="n"/>
    </row>
    <row r="161" ht="15.75" customHeight="1" s="700" thickBot="1">
      <c r="A161" s="562" t="n"/>
      <c r="B161" s="206" t="inlineStr">
        <is>
          <t>SET CIGUÑUELA 220</t>
        </is>
      </c>
      <c r="C161" s="210" t="inlineStr">
        <is>
          <t xml:space="preserve"> </t>
        </is>
      </c>
      <c r="D161" s="203">
        <f>(1350*12)*N161</f>
        <v/>
      </c>
      <c r="E161" s="211" t="n"/>
      <c r="F161" s="207" t="n"/>
      <c r="G161" s="58" t="n"/>
      <c r="H161" s="123" t="n"/>
      <c r="I161" s="131" t="inlineStr">
        <is>
          <t>Facturación por trimestres vencidos</t>
        </is>
      </c>
      <c r="J161" s="46" t="n"/>
      <c r="K161" s="486" t="n"/>
      <c r="M161" s="491" t="inlineStr">
        <is>
          <t xml:space="preserve">Actualización </t>
        </is>
      </c>
      <c r="N161" s="143">
        <f>1*(1+O162)*(1+P162)*(1+Q162)*(1+R162)</f>
        <v/>
      </c>
      <c r="O161" s="305" t="inlineStr">
        <is>
          <t>IPC2024</t>
        </is>
      </c>
      <c r="P161" s="305" t="inlineStr">
        <is>
          <t>IPC25</t>
        </is>
      </c>
      <c r="Q161" s="305" t="inlineStr">
        <is>
          <t>IPC26</t>
        </is>
      </c>
      <c r="R161" s="305" t="inlineStr">
        <is>
          <t>IPC27</t>
        </is>
      </c>
    </row>
    <row r="162" ht="15" customHeight="1" s="700" thickBot="1">
      <c r="A162" s="562" t="n"/>
      <c r="B162" s="46" t="n"/>
      <c r="C162" s="212" t="inlineStr">
        <is>
          <t>Referrel Fee:</t>
        </is>
      </c>
      <c r="D162" s="714">
        <f>+D161*0.05</f>
        <v/>
      </c>
      <c r="E162" s="214" t="n"/>
      <c r="F162" s="46" t="n"/>
      <c r="G162" s="46" t="n"/>
      <c r="H162" s="46" t="n"/>
      <c r="I162" s="46" t="n"/>
      <c r="J162" s="357" t="n">
        <v>0.05</v>
      </c>
      <c r="K162" s="486" t="n"/>
      <c r="M162" s="256" t="n">
        <v>45835</v>
      </c>
      <c r="O162" s="308" t="n">
        <v>0.034</v>
      </c>
      <c r="P162" s="308" t="n">
        <v>0.023</v>
      </c>
      <c r="Q162" s="308" t="n"/>
      <c r="R162" s="308" t="n"/>
    </row>
    <row r="163" ht="15" customHeight="1" s="700" thickBot="1">
      <c r="A163" s="562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85" t="n"/>
    </row>
    <row r="164" ht="18" customFormat="1" customHeight="1" s="501">
      <c r="A164" s="565" t="n"/>
      <c r="B164" s="494" t="inlineStr">
        <is>
          <t>PROMOTORES BENEJAMA COLECTORA SL</t>
        </is>
      </c>
      <c r="C164" s="674" t="inlineStr">
        <is>
          <t>BeforeCOD: ACC+SPV+O&amp;M Manag</t>
        </is>
      </c>
      <c r="D164" s="667" t="n"/>
      <c r="E164" s="672" t="n"/>
      <c r="F164" s="495" t="n"/>
      <c r="G164" s="496" t="n"/>
      <c r="H164" s="497" t="n"/>
      <c r="I164" s="498" t="n"/>
      <c r="J164" s="499" t="n"/>
      <c r="K164" s="500" t="n"/>
    </row>
    <row r="165" ht="15.75" customFormat="1" customHeight="1" s="501" thickBot="1">
      <c r="A165" s="566" t="n"/>
      <c r="B165" s="502" t="inlineStr">
        <is>
          <t>SET30/220 BENEJAMA --&gt; SET220 B.GENERACIÓN</t>
        </is>
      </c>
      <c r="C165" s="503" t="inlineStr">
        <is>
          <t xml:space="preserve"> </t>
        </is>
      </c>
      <c r="D165" s="504">
        <f>(1350*12)*N165</f>
        <v/>
      </c>
      <c r="E165" s="505" t="n"/>
      <c r="F165" s="506" t="n"/>
      <c r="G165" s="507" t="n"/>
      <c r="H165" s="508" t="n"/>
      <c r="I165" s="498" t="inlineStr">
        <is>
          <t>Facturación por trimestres vencidos</t>
        </is>
      </c>
      <c r="J165" s="498" t="n"/>
      <c r="K165" s="509" t="n"/>
      <c r="L165" s="510" t="n"/>
      <c r="M165" s="511" t="inlineStr">
        <is>
          <t xml:space="preserve">Actualización </t>
        </is>
      </c>
      <c r="N165" s="512">
        <f>1*(1+O166)*(1+P166)*(1+Q166)*(1+R166)</f>
        <v/>
      </c>
      <c r="O165" s="513" t="inlineStr">
        <is>
          <t>IPC2024</t>
        </is>
      </c>
      <c r="P165" s="513" t="inlineStr">
        <is>
          <t>IPC25</t>
        </is>
      </c>
      <c r="Q165" s="513" t="inlineStr">
        <is>
          <t>IPC26</t>
        </is>
      </c>
      <c r="R165" s="513" t="inlineStr">
        <is>
          <t>IPC27</t>
        </is>
      </c>
    </row>
    <row r="166" ht="15" customFormat="1" customHeight="1" s="501" thickBot="1">
      <c r="A166" s="566" t="n"/>
      <c r="B166" s="499" t="n"/>
      <c r="C166" s="514" t="inlineStr">
        <is>
          <t>Referrel Fee:</t>
        </is>
      </c>
      <c r="D166" s="715">
        <f>+D165*0.1</f>
        <v/>
      </c>
      <c r="E166" s="516" t="n"/>
      <c r="F166" s="498" t="n"/>
      <c r="G166" s="498" t="n"/>
      <c r="H166" s="498" t="n"/>
      <c r="I166" s="498" t="n"/>
      <c r="J166" s="517" t="n"/>
      <c r="K166" s="509" t="n"/>
      <c r="L166" s="510" t="n"/>
      <c r="M166" s="518" t="n">
        <v>45758</v>
      </c>
      <c r="N166" s="510" t="n"/>
      <c r="O166" s="519" t="n">
        <v>0.033</v>
      </c>
      <c r="P166" s="519" t="n"/>
      <c r="Q166" s="519" t="n"/>
      <c r="R166" s="519" t="n"/>
    </row>
    <row r="167" ht="15" customHeight="1" s="700" thickBot="1">
      <c r="A167" s="562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92" t="n"/>
      <c r="K167" s="493" t="n"/>
      <c r="L167" s="493" t="n"/>
      <c r="M167" s="493" t="n"/>
      <c r="N167" s="493" t="n"/>
      <c r="O167" s="493" t="n"/>
      <c r="P167" s="493" t="n"/>
      <c r="Q167" s="493" t="n"/>
      <c r="R167" s="493" t="n"/>
    </row>
    <row r="168" ht="18" customHeight="1" s="700">
      <c r="A168" s="562" t="n"/>
      <c r="B168" s="265" t="inlineStr">
        <is>
          <t>LAS MONAS GALLEGO, A.I.E.</t>
        </is>
      </c>
      <c r="C168" s="671" t="inlineStr">
        <is>
          <t>BeforeCOD: ACC+SPV+O&amp;M Manag</t>
        </is>
      </c>
      <c r="D168" s="667" t="n"/>
      <c r="E168" s="672" t="n"/>
      <c r="F168" s="209" t="n"/>
      <c r="G168" s="662" t="n"/>
      <c r="H168" s="205" t="n"/>
      <c r="I168" s="131" t="n"/>
      <c r="J168" s="46" t="n"/>
      <c r="K168" s="485" t="n"/>
    </row>
    <row r="169" ht="15.75" customHeight="1" s="700" thickBot="1">
      <c r="A169" s="562" t="n"/>
      <c r="B169" s="206" t="inlineStr">
        <is>
          <t>SET220 LAS MONAS</t>
        </is>
      </c>
      <c r="C169" s="210" t="inlineStr">
        <is>
          <t xml:space="preserve"> </t>
        </is>
      </c>
      <c r="D169" s="203">
        <f>(1350*12)*N169</f>
        <v/>
      </c>
      <c r="E169" s="211" t="n"/>
      <c r="F169" s="207" t="n"/>
      <c r="G169" s="58" t="n"/>
      <c r="H169" s="123" t="n"/>
      <c r="I169" s="131" t="inlineStr">
        <is>
          <t>Facturación por trimestres vencidos</t>
        </is>
      </c>
      <c r="J169" s="46" t="n"/>
      <c r="K169" s="486" t="n"/>
      <c r="M169" s="142" t="inlineStr">
        <is>
          <t xml:space="preserve">Actualización </t>
        </is>
      </c>
      <c r="N169" s="143">
        <f>1*(1+O170)*(1+P170)*(1+Q170)*(1+R170)</f>
        <v/>
      </c>
      <c r="O169" s="305" t="inlineStr">
        <is>
          <t>IPC2024</t>
        </is>
      </c>
      <c r="P169" s="396" t="inlineStr">
        <is>
          <t>IPC25</t>
        </is>
      </c>
      <c r="Q169" s="305" t="inlineStr">
        <is>
          <t>IPC26</t>
        </is>
      </c>
      <c r="R169" s="305" t="inlineStr">
        <is>
          <t>IPC27</t>
        </is>
      </c>
    </row>
    <row r="170" ht="15" customHeight="1" s="700" thickBot="1">
      <c r="A170" s="562" t="n"/>
      <c r="B170" s="46" t="n"/>
      <c r="C170" s="212" t="inlineStr">
        <is>
          <t>Referrel Fee:</t>
        </is>
      </c>
      <c r="D170" s="714">
        <f>+D169*0.05</f>
        <v/>
      </c>
      <c r="E170" s="214" t="n"/>
      <c r="F170" s="46" t="n"/>
      <c r="G170" s="46" t="n"/>
      <c r="H170" s="46" t="n"/>
      <c r="I170" s="46" t="n"/>
      <c r="J170" s="357" t="n">
        <v>0.05</v>
      </c>
      <c r="K170" s="486" t="n"/>
      <c r="M170" s="256" t="n">
        <v>45911</v>
      </c>
      <c r="O170" s="308" t="n">
        <v>0.015</v>
      </c>
      <c r="P170" s="308" t="n"/>
      <c r="Q170" s="308" t="n"/>
      <c r="R170" s="308" t="n"/>
    </row>
    <row r="171" ht="15" customHeight="1" s="700" thickBot="1">
      <c r="A171" s="562" t="n"/>
      <c r="B171" s="46" t="n"/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85" t="n"/>
    </row>
    <row r="172" ht="18" customHeight="1" s="700">
      <c r="A172" s="562" t="n"/>
      <c r="B172" s="265" t="inlineStr">
        <is>
          <t>MARIA RENOVABLES, S.L.</t>
        </is>
      </c>
      <c r="C172" s="671" t="inlineStr">
        <is>
          <t>BeforeCOD: ACC+SPV+O&amp;M Manag</t>
        </is>
      </c>
      <c r="D172" s="667" t="n"/>
      <c r="E172" s="672" t="n"/>
      <c r="F172" s="209" t="n"/>
      <c r="G172" s="662" t="n"/>
      <c r="H172" s="205" t="n"/>
      <c r="I172" s="131" t="n"/>
      <c r="J172" s="46" t="n"/>
      <c r="K172" s="485" t="n"/>
    </row>
    <row r="173" ht="15.75" customHeight="1" s="700" thickBot="1">
      <c r="A173" s="562" t="n"/>
      <c r="B173" s="325" t="inlineStr">
        <is>
          <t>SE PROMOTORES MARIA 220</t>
        </is>
      </c>
      <c r="C173" s="210" t="inlineStr">
        <is>
          <t xml:space="preserve"> </t>
        </is>
      </c>
      <c r="D173" s="203">
        <f>(1350*12)*N173</f>
        <v/>
      </c>
      <c r="E173" s="211" t="n"/>
      <c r="F173" s="207" t="n"/>
      <c r="G173" s="58" t="n"/>
      <c r="H173" s="123" t="n"/>
      <c r="I173" s="131" t="inlineStr">
        <is>
          <t>Facturación por trimestres vencidos</t>
        </is>
      </c>
      <c r="J173" s="46" t="n"/>
      <c r="K173" s="486" t="n"/>
      <c r="M173" s="491" t="inlineStr">
        <is>
          <t xml:space="preserve">Actualización </t>
        </is>
      </c>
      <c r="N173" s="143">
        <f>1*(1+O174)*(1+P174)*(1+Q174)*(1+R174)</f>
        <v/>
      </c>
      <c r="O173" s="305" t="inlineStr">
        <is>
          <t>IPC2024</t>
        </is>
      </c>
      <c r="P173" s="305" t="inlineStr">
        <is>
          <t>IPC25</t>
        </is>
      </c>
      <c r="Q173" s="305" t="inlineStr">
        <is>
          <t>IPC26</t>
        </is>
      </c>
      <c r="R173" s="305" t="inlineStr">
        <is>
          <t>IPC27</t>
        </is>
      </c>
    </row>
    <row r="174" ht="15" customHeight="1" s="700" thickBot="1">
      <c r="A174" s="562" t="n"/>
      <c r="B174" s="46" t="n"/>
      <c r="C174" s="212" t="inlineStr">
        <is>
          <t>Referrel Fee:</t>
        </is>
      </c>
      <c r="D174" s="714">
        <f>+D173*0.05</f>
        <v/>
      </c>
      <c r="E174" s="214" t="n"/>
      <c r="F174" s="46" t="n"/>
      <c r="G174" s="46" t="n"/>
      <c r="H174" s="46" t="n"/>
      <c r="I174" s="46" t="n"/>
      <c r="J174" s="357" t="n">
        <v>0.05</v>
      </c>
      <c r="K174" s="486" t="n"/>
      <c r="M174" s="256" t="n">
        <v>45676</v>
      </c>
      <c r="O174" s="308" t="n">
        <v>0.034</v>
      </c>
      <c r="P174" s="308" t="n">
        <v>0.029</v>
      </c>
      <c r="Q174" s="308" t="n"/>
      <c r="R174" s="308" t="n"/>
    </row>
    <row r="175" ht="15" customHeight="1" s="700" thickBot="1">
      <c r="A175" s="562" t="n"/>
      <c r="B175" s="46" t="n"/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85" t="n"/>
    </row>
    <row r="176" ht="18" customHeight="1" s="700">
      <c r="A176" s="562" t="n"/>
      <c r="B176" s="262" t="inlineStr">
        <is>
          <t>ESCATRÓN PROMOTORES 400 Y 220, SL</t>
        </is>
      </c>
      <c r="C176" s="671" t="inlineStr">
        <is>
          <t>BeforeCOD: ACC+SPV+O&amp;M Manag</t>
        </is>
      </c>
      <c r="D176" s="667" t="n"/>
      <c r="E176" s="672" t="n"/>
      <c r="F176" s="209" t="n"/>
      <c r="G176" s="662" t="n"/>
      <c r="H176" s="205" t="n"/>
      <c r="I176" s="131" t="n"/>
      <c r="J176" s="46" t="n"/>
      <c r="K176" s="485" t="n"/>
    </row>
    <row r="177" ht="15.75" customHeight="1" s="700" thickBot="1">
      <c r="A177" s="562" t="n"/>
      <c r="B177" s="325" t="inlineStr">
        <is>
          <t>SET ESCATRÓN</t>
        </is>
      </c>
      <c r="C177" s="210" t="inlineStr">
        <is>
          <t xml:space="preserve"> </t>
        </is>
      </c>
      <c r="D177" s="203">
        <f>(1350*12)*N177</f>
        <v/>
      </c>
      <c r="E177" s="211" t="n"/>
      <c r="F177" s="207" t="n"/>
      <c r="G177" s="58" t="n"/>
      <c r="H177" s="123" t="n"/>
      <c r="I177" s="131" t="inlineStr">
        <is>
          <t>Facturación por trimestres vencidos</t>
        </is>
      </c>
      <c r="J177" s="46" t="n"/>
      <c r="K177" s="486" t="n"/>
      <c r="M177" s="491" t="inlineStr">
        <is>
          <t xml:space="preserve">Actualización </t>
        </is>
      </c>
      <c r="N177" s="143">
        <f>1*(1+O178)*(1+P178)*(1+Q178)*(1+R178)</f>
        <v/>
      </c>
      <c r="O177" s="305" t="inlineStr">
        <is>
          <t>IPC2024</t>
        </is>
      </c>
      <c r="P177" s="305" t="inlineStr">
        <is>
          <t>IPC25</t>
        </is>
      </c>
      <c r="Q177" s="305" t="inlineStr">
        <is>
          <t>IPC26</t>
        </is>
      </c>
      <c r="R177" s="305" t="inlineStr">
        <is>
          <t>IPC27</t>
        </is>
      </c>
    </row>
    <row r="178" ht="15" customHeight="1" s="700" thickBot="1">
      <c r="A178" s="562" t="n"/>
      <c r="B178" s="46" t="n"/>
      <c r="C178" s="212" t="inlineStr">
        <is>
          <t>Referrel Fee:</t>
        </is>
      </c>
      <c r="D178" s="714">
        <f>+D177*0.05</f>
        <v/>
      </c>
      <c r="E178" s="214" t="n"/>
      <c r="F178" s="46" t="n"/>
      <c r="G178" s="46" t="n"/>
      <c r="H178" s="46" t="n"/>
      <c r="I178" s="46" t="n"/>
      <c r="J178" s="357" t="n">
        <v>0.05</v>
      </c>
      <c r="K178" s="486" t="n"/>
      <c r="M178" s="256" t="n">
        <v>45739</v>
      </c>
      <c r="O178" s="308" t="n">
        <v>0.032</v>
      </c>
      <c r="P178" s="308" t="n">
        <v>0.023</v>
      </c>
      <c r="Q178" s="308" t="n"/>
      <c r="R178" s="308" t="n"/>
    </row>
    <row r="179" ht="15" customHeight="1" s="700" thickBot="1">
      <c r="A179" s="562" t="n"/>
      <c r="B179" s="46" t="n"/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85" t="n"/>
    </row>
    <row r="180" ht="18" customHeight="1" s="700">
      <c r="A180" s="562" t="n"/>
      <c r="B180" s="262" t="inlineStr">
        <is>
          <t>C.B. GRUPOTEC ROTONDA</t>
        </is>
      </c>
      <c r="C180" s="671" t="inlineStr">
        <is>
          <t>EXPLOTACIÓN: ACC+SPV+O&amp;M Manag</t>
        </is>
      </c>
      <c r="D180" s="667" t="n"/>
      <c r="E180" s="672" t="n"/>
      <c r="F180" s="209" t="n"/>
      <c r="G180" s="662" t="n"/>
      <c r="H180" s="205" t="n"/>
      <c r="I180" s="131" t="n"/>
      <c r="J180" s="46" t="n"/>
      <c r="K180" s="485" t="n"/>
    </row>
    <row r="181" ht="15.75" customHeight="1" s="700" thickBot="1">
      <c r="A181" s="562" t="n"/>
      <c r="B181" s="325" t="inlineStr">
        <is>
          <t>SET ALMANSOL</t>
        </is>
      </c>
      <c r="C181" s="315" t="n">
        <v>16200</v>
      </c>
      <c r="D181" s="312">
        <f>(2960*12)*N181</f>
        <v/>
      </c>
      <c r="E181" s="211" t="n"/>
      <c r="F181" s="207" t="n"/>
      <c r="G181" s="58" t="n"/>
      <c r="H181" s="123" t="n"/>
      <c r="I181" s="131" t="inlineStr">
        <is>
          <t>Facturación por trimestres vencidos</t>
        </is>
      </c>
      <c r="J181" s="46" t="n"/>
      <c r="K181" s="486" t="n"/>
      <c r="M181" s="142" t="inlineStr">
        <is>
          <t xml:space="preserve">Actualización </t>
        </is>
      </c>
      <c r="N181" s="143">
        <f>1*(1+O182)*(1+P182)*(1+Q182)*(1+R182)</f>
        <v/>
      </c>
      <c r="O181" s="305" t="inlineStr">
        <is>
          <t>IPC2024</t>
        </is>
      </c>
      <c r="P181" s="305" t="inlineStr">
        <is>
          <t>IPC25</t>
        </is>
      </c>
      <c r="Q181" s="305" t="inlineStr">
        <is>
          <t>IPC26</t>
        </is>
      </c>
      <c r="R181" s="305" t="inlineStr">
        <is>
          <t>IPC27</t>
        </is>
      </c>
    </row>
    <row r="182" ht="15" customHeight="1" s="700" thickBot="1">
      <c r="A182" s="562" t="n"/>
      <c r="B182" s="46" t="n"/>
      <c r="C182" s="212" t="inlineStr">
        <is>
          <t>Referrel Fee:</t>
        </is>
      </c>
      <c r="D182" s="716">
        <f>+D181*0.1</f>
        <v/>
      </c>
      <c r="E182" s="214" t="n"/>
      <c r="F182" s="46" t="n"/>
      <c r="G182" s="46" t="n"/>
      <c r="H182" s="46" t="n"/>
      <c r="I182" s="46" t="n"/>
      <c r="J182" s="357" t="n">
        <v>0.1</v>
      </c>
      <c r="K182" s="484" t="n">
        <v>45280</v>
      </c>
      <c r="L182" s="483">
        <f>DATEDIF(K182,TODAY(),"M")</f>
        <v/>
      </c>
      <c r="M182" s="256" t="n">
        <v>45975</v>
      </c>
      <c r="O182" s="308" t="n">
        <v>0.024</v>
      </c>
      <c r="P182" s="308" t="n"/>
      <c r="Q182" s="308" t="n"/>
      <c r="R182" s="308" t="n"/>
    </row>
    <row r="183" ht="15" customHeight="1" s="700" thickBot="1">
      <c r="A183" s="562" t="n"/>
      <c r="B183" s="46" t="n"/>
      <c r="C183" s="46" t="n"/>
      <c r="D183" s="46" t="n"/>
      <c r="E183" s="46" t="n"/>
      <c r="F183" s="46" t="n"/>
      <c r="G183" s="46" t="n"/>
      <c r="H183" s="46" t="n"/>
      <c r="I183" s="46" t="n"/>
      <c r="J183" s="46" t="n"/>
      <c r="K183" s="485" t="n"/>
    </row>
    <row r="184" ht="18" customHeight="1" s="700">
      <c r="A184" s="562" t="n"/>
      <c r="B184" s="262" t="inlineStr">
        <is>
          <t>ICE SEQUERO, S.L.</t>
        </is>
      </c>
      <c r="C184" s="671" t="inlineStr">
        <is>
          <t>BeforeCOD: ACC+SPV+O&amp;M Manag</t>
        </is>
      </c>
      <c r="D184" s="667" t="n"/>
      <c r="E184" s="672" t="n"/>
      <c r="F184" s="209" t="n"/>
      <c r="G184" s="662" t="n"/>
      <c r="H184" s="205" t="n"/>
      <c r="I184" s="131" t="n"/>
      <c r="J184" s="46" t="n"/>
      <c r="K184" s="485" t="n"/>
    </row>
    <row r="185" ht="15.75" customHeight="1" s="700" thickBot="1">
      <c r="A185" s="562" t="n"/>
      <c r="B185" s="325" t="inlineStr">
        <is>
          <t>COLECTORA SEQUERO</t>
        </is>
      </c>
      <c r="C185" s="210" t="inlineStr">
        <is>
          <t xml:space="preserve"> </t>
        </is>
      </c>
      <c r="D185" s="203">
        <f>(1350*12)*N185</f>
        <v/>
      </c>
      <c r="E185" s="211" t="n"/>
      <c r="F185" s="207" t="n"/>
      <c r="G185" s="58" t="n"/>
      <c r="H185" s="123" t="n"/>
      <c r="I185" s="131" t="inlineStr">
        <is>
          <t>Facturación por trimestres vencidos</t>
        </is>
      </c>
      <c r="J185" s="46" t="n"/>
      <c r="K185" s="486" t="n"/>
      <c r="M185" s="142" t="inlineStr">
        <is>
          <t xml:space="preserve">Actualización </t>
        </is>
      </c>
      <c r="N185" s="143">
        <f>1*(1+O186)*(1+P186)*(1+Q186)*(1+R186)</f>
        <v/>
      </c>
      <c r="O185" s="305" t="inlineStr">
        <is>
          <t>IPC2024</t>
        </is>
      </c>
      <c r="P185" s="396" t="inlineStr">
        <is>
          <t>IPC25</t>
        </is>
      </c>
      <c r="Q185" s="305" t="inlineStr">
        <is>
          <t>IPC26</t>
        </is>
      </c>
      <c r="R185" s="305" t="inlineStr">
        <is>
          <t>IPC27</t>
        </is>
      </c>
    </row>
    <row r="186" ht="15" customHeight="1" s="700" thickBot="1">
      <c r="A186" s="562" t="n"/>
      <c r="B186" s="46" t="n"/>
      <c r="C186" s="212" t="inlineStr">
        <is>
          <t>Referrel Fee:</t>
        </is>
      </c>
      <c r="D186" s="714">
        <f>+D185*0.05</f>
        <v/>
      </c>
      <c r="E186" s="214" t="n"/>
      <c r="F186" s="46" t="n"/>
      <c r="G186" s="46" t="n"/>
      <c r="H186" s="46" t="n"/>
      <c r="I186" s="46" t="n"/>
      <c r="J186" s="357" t="n">
        <v>0.05</v>
      </c>
      <c r="K186" s="486" t="n"/>
      <c r="M186" s="256" t="n">
        <v>45913</v>
      </c>
      <c r="O186" s="308" t="n">
        <v>0.015</v>
      </c>
      <c r="P186" s="308" t="n"/>
      <c r="Q186" s="308" t="n"/>
      <c r="R186" s="308" t="n"/>
    </row>
    <row r="187" ht="15" customHeight="1" s="700" thickBot="1">
      <c r="A187" s="562" t="n"/>
      <c r="B187" s="46" t="n"/>
      <c r="C187" s="358" t="n"/>
      <c r="D187" s="717" t="n"/>
      <c r="E187" s="46" t="n"/>
      <c r="F187" s="46" t="n"/>
      <c r="G187" s="46" t="n"/>
      <c r="H187" s="46" t="n"/>
      <c r="I187" s="46" t="n"/>
      <c r="J187" s="357" t="n"/>
      <c r="K187" s="485" t="n"/>
      <c r="M187" s="256" t="n"/>
      <c r="O187" s="360" t="n"/>
      <c r="P187" s="360" t="n"/>
      <c r="Q187" s="360" t="n"/>
      <c r="R187" s="360" t="n"/>
    </row>
    <row r="188" ht="18" customHeight="1" s="700">
      <c r="A188" s="562" t="n"/>
      <c r="B188" s="262" t="inlineStr">
        <is>
          <t>RENEDO RENOVABLES, S.L.</t>
        </is>
      </c>
      <c r="C188" s="671" t="inlineStr">
        <is>
          <t>BeforeCOD: ACC+SPV+O&amp;M Manag</t>
        </is>
      </c>
      <c r="D188" s="667" t="n"/>
      <c r="E188" s="672" t="n"/>
      <c r="F188" s="209" t="n"/>
      <c r="G188" s="662" t="n"/>
      <c r="H188" s="205" t="n"/>
      <c r="I188" s="131" t="n"/>
      <c r="J188" s="46" t="n"/>
      <c r="K188" s="485" t="n"/>
    </row>
    <row r="189" ht="15.75" customHeight="1" s="700" thickBot="1">
      <c r="A189" s="562" t="n"/>
      <c r="B189" s="325" t="inlineStr">
        <is>
          <t>NUDO RENEDO</t>
        </is>
      </c>
      <c r="C189" s="210" t="inlineStr">
        <is>
          <t xml:space="preserve"> </t>
        </is>
      </c>
      <c r="D189" s="203">
        <f>(2295*12)*N189</f>
        <v/>
      </c>
      <c r="E189" s="211" t="n"/>
      <c r="F189" s="207" t="n"/>
      <c r="G189" s="58" t="n"/>
      <c r="H189" s="123" t="n"/>
      <c r="I189" s="131" t="inlineStr">
        <is>
          <t>Facturación por trimestres vencidos</t>
        </is>
      </c>
      <c r="J189" s="46" t="n"/>
      <c r="K189" s="486" t="n"/>
      <c r="M189" s="142" t="inlineStr">
        <is>
          <t xml:space="preserve">Actualización </t>
        </is>
      </c>
      <c r="N189" s="143">
        <f>1*(1+O190)*(1+P190)*(1+Q190)*(1+R190)</f>
        <v/>
      </c>
      <c r="O189" s="305" t="inlineStr">
        <is>
          <t>IPC2024</t>
        </is>
      </c>
      <c r="P189" s="305" t="inlineStr">
        <is>
          <t>IPC25</t>
        </is>
      </c>
      <c r="Q189" s="305" t="inlineStr">
        <is>
          <t>IPC26</t>
        </is>
      </c>
      <c r="R189" s="305" t="inlineStr">
        <is>
          <t>IPC27</t>
        </is>
      </c>
    </row>
    <row r="190" ht="15" customHeight="1" s="700" thickBot="1">
      <c r="A190" s="562" t="n"/>
      <c r="B190" s="46" t="n"/>
      <c r="C190" s="212" t="inlineStr">
        <is>
          <t>Referrel Fee:</t>
        </is>
      </c>
      <c r="D190" s="716">
        <f>+D189*0.1</f>
        <v/>
      </c>
      <c r="E190" s="214" t="n"/>
      <c r="F190" s="46" t="n"/>
      <c r="G190" s="46" t="n"/>
      <c r="H190" s="46" t="n"/>
      <c r="I190" s="46" t="n"/>
      <c r="J190" s="357" t="n">
        <v>0.1</v>
      </c>
      <c r="K190" s="486" t="n"/>
      <c r="M190" s="256" t="n">
        <v>45941</v>
      </c>
      <c r="O190" s="308" t="n">
        <v>0.018</v>
      </c>
      <c r="P190" s="308" t="n"/>
      <c r="Q190" s="308" t="n"/>
      <c r="R190" s="308" t="n"/>
    </row>
    <row r="191" ht="15" customHeight="1" s="700" thickBot="1">
      <c r="A191" s="562" t="n"/>
      <c r="B191" s="46" t="n"/>
      <c r="C191" s="358" t="n"/>
      <c r="D191" s="717" t="n"/>
      <c r="E191" s="46" t="n"/>
      <c r="F191" s="46" t="n"/>
      <c r="G191" s="46" t="n"/>
      <c r="H191" s="46" t="n"/>
      <c r="I191" s="46" t="n"/>
      <c r="J191" s="357" t="n"/>
      <c r="K191" s="485" t="n"/>
      <c r="M191" s="256" t="n"/>
      <c r="O191" s="360" t="n"/>
      <c r="P191" s="360" t="n"/>
      <c r="Q191" s="360" t="n"/>
      <c r="R191" s="360" t="n"/>
    </row>
    <row r="192" ht="18" customHeight="1" s="700">
      <c r="A192" s="562" t="n"/>
      <c r="B192" s="262" t="inlineStr">
        <is>
          <t>IRINA GENERACIÓN 220, AIE</t>
        </is>
      </c>
      <c r="C192" s="671" t="inlineStr">
        <is>
          <t>EXPLOTACIÓN: ACC+SPV+O&amp;M Manag</t>
        </is>
      </c>
      <c r="D192" s="667" t="n"/>
      <c r="E192" s="672" t="n"/>
      <c r="F192" s="209" t="n"/>
      <c r="G192" s="662" t="n"/>
      <c r="H192" s="205" t="n"/>
      <c r="I192" s="131" t="n"/>
      <c r="J192" s="46" t="n"/>
      <c r="K192" s="485" t="n"/>
    </row>
    <row r="193" ht="15.75" customHeight="1" s="700" thickBot="1">
      <c r="A193" s="562" t="n"/>
      <c r="B193" s="325" t="inlineStr">
        <is>
          <t>SET IRINA</t>
        </is>
      </c>
      <c r="C193" s="315" t="n">
        <v>16200</v>
      </c>
      <c r="D193" s="312">
        <f>(2985*12)*N193</f>
        <v/>
      </c>
      <c r="E193" s="211" t="n"/>
      <c r="F193" s="207" t="n"/>
      <c r="G193" s="58" t="n"/>
      <c r="H193" s="123" t="n"/>
      <c r="I193" s="131" t="inlineStr">
        <is>
          <t>Facturación por trimestres vencidos</t>
        </is>
      </c>
      <c r="J193" s="46" t="n"/>
      <c r="K193" s="486" t="n"/>
      <c r="M193" s="142" t="inlineStr">
        <is>
          <t xml:space="preserve">Actualización </t>
        </is>
      </c>
      <c r="N193" s="143">
        <f>1*(1+O194)*(1+P194)*(1+Q194)*(1+R194)</f>
        <v/>
      </c>
      <c r="O193" s="305" t="inlineStr">
        <is>
          <t>IPC2024</t>
        </is>
      </c>
      <c r="P193" s="305" t="inlineStr">
        <is>
          <t>IPC25</t>
        </is>
      </c>
      <c r="Q193" s="305" t="inlineStr">
        <is>
          <t>IPC26</t>
        </is>
      </c>
      <c r="R193" s="305" t="inlineStr">
        <is>
          <t>IPC27</t>
        </is>
      </c>
    </row>
    <row r="194" ht="15" customHeight="1" s="700" thickBot="1">
      <c r="A194" s="562" t="n"/>
      <c r="B194" s="46" t="n"/>
      <c r="C194" s="212" t="inlineStr">
        <is>
          <t>Referrel Fee:</t>
        </is>
      </c>
      <c r="D194" s="716">
        <f>+D193*0.1</f>
        <v/>
      </c>
      <c r="E194" s="214" t="n"/>
      <c r="F194" s="46" t="n"/>
      <c r="G194" s="46" t="n"/>
      <c r="H194" s="46" t="n"/>
      <c r="I194" s="46" t="n"/>
      <c r="J194" s="357" t="n">
        <v>0.1</v>
      </c>
      <c r="K194" s="484" t="n">
        <v>45336</v>
      </c>
      <c r="L194" s="483">
        <f>DATEDIF(K194,TODAY(),"M")</f>
        <v/>
      </c>
      <c r="M194" s="256" t="n">
        <v>45953</v>
      </c>
      <c r="O194" s="308" t="n">
        <v>0.018</v>
      </c>
      <c r="P194" s="308" t="n"/>
      <c r="Q194" s="308" t="n"/>
      <c r="R194" s="308" t="n"/>
    </row>
    <row r="195" ht="15" customHeight="1" s="700" thickBot="1">
      <c r="A195" s="562" t="n"/>
      <c r="B195" s="46" t="n"/>
      <c r="C195" s="46" t="n"/>
      <c r="D195" s="60" t="n"/>
      <c r="E195" s="46" t="n"/>
      <c r="F195" s="46" t="n"/>
      <c r="G195" s="46" t="n"/>
      <c r="H195" s="46" t="n"/>
      <c r="I195" s="46" t="n"/>
      <c r="J195" s="46" t="n"/>
      <c r="K195" s="485" t="n"/>
    </row>
    <row r="196" ht="18" customHeight="1" s="700">
      <c r="A196" s="562" t="n"/>
      <c r="B196" s="262" t="inlineStr">
        <is>
          <t>MANZASOL 132 KV, S.L.</t>
        </is>
      </c>
      <c r="C196" s="671" t="inlineStr">
        <is>
          <t>EXPLOTACIÓN: ACC+SPV+O&amp;M Manag</t>
        </is>
      </c>
      <c r="D196" s="667" t="n"/>
      <c r="E196" s="672" t="n"/>
      <c r="F196" s="209" t="n"/>
      <c r="G196" s="662" t="n"/>
      <c r="H196" s="205" t="n"/>
      <c r="I196" s="131" t="n"/>
      <c r="J196" s="46" t="n"/>
      <c r="K196" s="485" t="n"/>
    </row>
    <row r="197" ht="15.75" customHeight="1" s="700" thickBot="1">
      <c r="A197" s="562" t="n"/>
      <c r="B197" s="325" t="inlineStr">
        <is>
          <t>SET MANZASOL</t>
        </is>
      </c>
      <c r="C197" s="315" t="n"/>
      <c r="D197" s="312">
        <f>(3015*12)*N197</f>
        <v/>
      </c>
      <c r="E197" s="211" t="n"/>
      <c r="F197" s="207" t="n"/>
      <c r="G197" s="58" t="n"/>
      <c r="H197" s="123" t="n"/>
      <c r="I197" s="131" t="inlineStr">
        <is>
          <t>Facturación por trimestres vencidos</t>
        </is>
      </c>
      <c r="J197" s="46" t="n"/>
      <c r="K197" s="486" t="n"/>
      <c r="M197" s="142" t="inlineStr">
        <is>
          <t xml:space="preserve">Actualización </t>
        </is>
      </c>
      <c r="N197" s="143">
        <f>1*(1+O198)*(1+P198)*(1+Q198)*(1+R198)</f>
        <v/>
      </c>
      <c r="O197" s="305" t="inlineStr">
        <is>
          <t>IPC2024</t>
        </is>
      </c>
      <c r="P197" s="305" t="inlineStr">
        <is>
          <t>IPC25</t>
        </is>
      </c>
      <c r="Q197" s="305" t="inlineStr">
        <is>
          <t>IPC26</t>
        </is>
      </c>
      <c r="R197" s="305" t="inlineStr">
        <is>
          <t>IPC27</t>
        </is>
      </c>
    </row>
    <row r="198" ht="15" customHeight="1" s="700" thickBot="1">
      <c r="A198" s="562" t="n"/>
      <c r="B198" s="46" t="n"/>
      <c r="C198" s="212" t="inlineStr">
        <is>
          <t>Referrel Fee:</t>
        </is>
      </c>
      <c r="D198" s="714">
        <f>+D197*0.05</f>
        <v/>
      </c>
      <c r="E198" s="214" t="n"/>
      <c r="F198" s="46" t="n"/>
      <c r="G198" s="46" t="n"/>
      <c r="H198" s="46" t="n"/>
      <c r="I198" s="46" t="n"/>
      <c r="J198" s="357" t="n">
        <v>0.05</v>
      </c>
      <c r="K198" s="484" t="n">
        <v>45271</v>
      </c>
      <c r="L198" s="483">
        <f>DATEDIF(K198,TODAY(),"M")</f>
        <v/>
      </c>
      <c r="M198" s="256" t="n">
        <v>46002</v>
      </c>
      <c r="O198" s="308" t="n">
        <v>0.028</v>
      </c>
      <c r="P198" s="308" t="n"/>
      <c r="Q198" s="308" t="n"/>
      <c r="R198" s="308" t="n"/>
    </row>
    <row r="199" ht="15" customHeight="1" s="700" thickBot="1">
      <c r="A199" s="562" t="n"/>
      <c r="B199" s="46" t="n"/>
      <c r="C199" s="46" t="n"/>
      <c r="D199" s="46" t="n"/>
      <c r="E199" s="46" t="n"/>
      <c r="F199" s="46" t="n"/>
      <c r="G199" s="46" t="n"/>
      <c r="H199" s="46" t="n"/>
      <c r="I199" s="46" t="n"/>
      <c r="J199" s="46" t="n"/>
      <c r="K199" s="485" t="n"/>
    </row>
    <row r="200" ht="18" customHeight="1" s="700">
      <c r="A200" s="562" t="n"/>
      <c r="B200" s="363" t="inlineStr">
        <is>
          <t>SE COLECTORA AYORA RENOVABLES, A.I.E.</t>
        </is>
      </c>
      <c r="C200" s="671" t="inlineStr">
        <is>
          <t>BeforeCOD: ACC+SPV+O&amp;M Manag</t>
        </is>
      </c>
      <c r="D200" s="667" t="n"/>
      <c r="E200" s="672" t="n"/>
      <c r="F200" s="209" t="n"/>
      <c r="G200" s="662" t="n"/>
      <c r="H200" s="205" t="n"/>
      <c r="I200" s="131" t="n"/>
      <c r="J200" s="46" t="n"/>
      <c r="K200" s="485" t="n"/>
    </row>
    <row r="201" ht="15.75" customHeight="1" s="700" thickBot="1">
      <c r="A201" s="562" t="n"/>
      <c r="B201" s="364" t="inlineStr">
        <is>
          <t>SET AYORA</t>
        </is>
      </c>
      <c r="C201" s="210" t="inlineStr">
        <is>
          <t xml:space="preserve"> </t>
        </is>
      </c>
      <c r="D201" s="203">
        <f>(1350*12)*N201</f>
        <v/>
      </c>
      <c r="E201" s="211" t="n"/>
      <c r="F201" s="207" t="n"/>
      <c r="G201" s="58" t="n"/>
      <c r="H201" s="123" t="n"/>
      <c r="I201" s="131" t="inlineStr">
        <is>
          <t>Facturación por trimestres vencidos</t>
        </is>
      </c>
      <c r="J201" s="46" t="n"/>
      <c r="K201" s="486" t="n"/>
      <c r="M201" s="142" t="inlineStr">
        <is>
          <t xml:space="preserve">Actualización </t>
        </is>
      </c>
      <c r="N201" s="143">
        <f>1*(1+O202)*(1+P202)*(1+Q202)*(1+R202)</f>
        <v/>
      </c>
      <c r="O201" s="305" t="inlineStr">
        <is>
          <t>IPC2024</t>
        </is>
      </c>
      <c r="P201" s="305" t="inlineStr">
        <is>
          <t>IPC25</t>
        </is>
      </c>
      <c r="Q201" s="305" t="inlineStr">
        <is>
          <t>IPC26</t>
        </is>
      </c>
      <c r="R201" s="305" t="inlineStr">
        <is>
          <t>IPC27</t>
        </is>
      </c>
    </row>
    <row r="202" ht="15" customHeight="1" s="700" thickBot="1">
      <c r="A202" s="562" t="n"/>
      <c r="B202" s="46" t="n"/>
      <c r="C202" s="212" t="inlineStr">
        <is>
          <t>Referrel Fee:</t>
        </is>
      </c>
      <c r="D202" s="716">
        <f>+D201*0.1</f>
        <v/>
      </c>
      <c r="E202" s="214" t="n"/>
      <c r="F202" s="46" t="n"/>
      <c r="G202" s="46" t="n"/>
      <c r="H202" s="46" t="n"/>
      <c r="I202" s="46" t="n"/>
      <c r="J202" s="357" t="n">
        <v>0.1</v>
      </c>
      <c r="K202" s="486" t="n"/>
      <c r="M202" s="256" t="n">
        <v>45961</v>
      </c>
      <c r="O202" s="308" t="n">
        <v>0.018</v>
      </c>
      <c r="P202" s="308" t="n"/>
      <c r="Q202" s="308" t="n"/>
      <c r="R202" s="308" t="n"/>
    </row>
    <row r="203" ht="15" customHeight="1" s="700" thickBot="1">
      <c r="A203" s="562" t="n"/>
      <c r="B203" s="46" t="n"/>
      <c r="C203" s="46" t="n"/>
      <c r="D203" s="46" t="n"/>
      <c r="E203" s="46" t="n"/>
      <c r="F203" s="46" t="n"/>
      <c r="G203" s="46" t="n"/>
      <c r="H203" s="46" t="n"/>
      <c r="I203" s="46" t="n"/>
      <c r="J203" s="46" t="n"/>
      <c r="K203" s="485" t="n"/>
    </row>
    <row r="204" ht="18" customHeight="1" s="700">
      <c r="A204" s="562" t="n"/>
      <c r="B204" s="363" t="inlineStr">
        <is>
          <t>RENOVABLES VALLE SOLAR FOTOVOLTAICA, A.I.E.</t>
        </is>
      </c>
      <c r="C204" s="671" t="inlineStr">
        <is>
          <t>BeforeCOD: ACC+SPV+O&amp;M Manag</t>
        </is>
      </c>
      <c r="D204" s="667" t="n"/>
      <c r="E204" s="672" t="n"/>
      <c r="F204" s="209" t="n"/>
      <c r="G204" s="662" t="n"/>
      <c r="H204" s="205" t="n"/>
      <c r="I204" s="131" t="n"/>
      <c r="J204" s="46" t="n"/>
      <c r="K204" s="485" t="n"/>
    </row>
    <row r="205" ht="15.75" customHeight="1" s="700" thickBot="1">
      <c r="A205" s="562" t="n"/>
      <c r="B205" s="364" t="inlineStr">
        <is>
          <t>SET VALLE SOLAR</t>
        </is>
      </c>
      <c r="C205" s="210" t="inlineStr">
        <is>
          <t xml:space="preserve"> </t>
        </is>
      </c>
      <c r="D205" s="203">
        <f>(1350*12)*N205</f>
        <v/>
      </c>
      <c r="E205" s="211" t="n"/>
      <c r="F205" s="207" t="n"/>
      <c r="G205" s="58" t="n"/>
      <c r="H205" s="123" t="n"/>
      <c r="I205" s="131" t="inlineStr">
        <is>
          <t>Facturación por trimestres vencidos</t>
        </is>
      </c>
      <c r="J205" s="46" t="n"/>
      <c r="K205" s="486" t="n"/>
      <c r="M205" s="142" t="inlineStr">
        <is>
          <t xml:space="preserve">Actualización </t>
        </is>
      </c>
      <c r="N205" s="143">
        <f>1*(1+O206)*(1+P206)*(1+Q206)*(1+R206)</f>
        <v/>
      </c>
      <c r="O205" s="305" t="inlineStr">
        <is>
          <t>IPC2024</t>
        </is>
      </c>
      <c r="P205" s="305" t="inlineStr">
        <is>
          <t>IPC25</t>
        </is>
      </c>
      <c r="Q205" s="305" t="inlineStr">
        <is>
          <t>IPC26</t>
        </is>
      </c>
      <c r="R205" s="305" t="inlineStr">
        <is>
          <t>IPC27</t>
        </is>
      </c>
    </row>
    <row r="206" ht="15" customHeight="1" s="700" thickBot="1">
      <c r="A206" s="562" t="n"/>
      <c r="B206" s="46" t="n"/>
      <c r="C206" s="212" t="inlineStr">
        <is>
          <t>Referrel Fee:</t>
        </is>
      </c>
      <c r="D206" s="716">
        <f>+D205*0.1</f>
        <v/>
      </c>
      <c r="E206" s="214" t="n"/>
      <c r="F206" s="46" t="n"/>
      <c r="G206" s="46" t="n"/>
      <c r="H206" s="46" t="n"/>
      <c r="I206" s="46" t="n"/>
      <c r="J206" s="357" t="n">
        <v>0.1</v>
      </c>
      <c r="K206" s="486" t="n"/>
      <c r="M206" s="256" t="n">
        <v>45961</v>
      </c>
      <c r="O206" s="308" t="n">
        <v>0.018</v>
      </c>
      <c r="P206" s="308" t="n"/>
      <c r="Q206" s="308" t="n"/>
      <c r="R206" s="308" t="n"/>
    </row>
    <row r="207" ht="15" customHeight="1" s="700" thickBot="1">
      <c r="A207" s="562" t="n"/>
      <c r="B207" s="46" t="n"/>
      <c r="C207" s="46" t="n"/>
      <c r="D207" s="46" t="n"/>
      <c r="E207" s="46" t="n"/>
      <c r="F207" s="46" t="n"/>
      <c r="G207" s="46" t="n"/>
      <c r="H207" s="46" t="n"/>
      <c r="I207" s="46" t="n"/>
      <c r="J207" s="46" t="n"/>
      <c r="K207" s="485" t="n"/>
    </row>
    <row r="208" ht="18" customHeight="1" s="700">
      <c r="A208" s="562" t="n"/>
      <c r="B208" s="363" t="inlineStr">
        <is>
          <t>SAN PEDRO PINATAR RENOVABLES, S.L.</t>
        </is>
      </c>
      <c r="C208" s="671" t="inlineStr">
        <is>
          <t>BeforeCOD: ACC+SPV+O&amp;M Manag</t>
        </is>
      </c>
      <c r="D208" s="667" t="n"/>
      <c r="E208" s="672" t="n"/>
      <c r="F208" s="209" t="n"/>
      <c r="G208" s="662" t="n"/>
      <c r="H208" s="205" t="n"/>
      <c r="I208" s="131" t="n"/>
      <c r="J208" s="46" t="n"/>
      <c r="K208" s="485" t="n"/>
    </row>
    <row r="209" ht="15.75" customHeight="1" s="700" thickBot="1">
      <c r="A209" s="562" t="n"/>
      <c r="B209" s="364" t="inlineStr">
        <is>
          <t>SET SAN PEDRO</t>
        </is>
      </c>
      <c r="C209" s="210" t="inlineStr">
        <is>
          <t xml:space="preserve"> </t>
        </is>
      </c>
      <c r="D209" s="203">
        <f>(1350*12)*N209</f>
        <v/>
      </c>
      <c r="E209" s="211" t="n"/>
      <c r="F209" s="207" t="n"/>
      <c r="G209" s="58" t="n"/>
      <c r="H209" s="123" t="n"/>
      <c r="I209" s="131" t="inlineStr">
        <is>
          <t>Facturación por trimestres vencidos</t>
        </is>
      </c>
      <c r="J209" s="46" t="n"/>
      <c r="K209" s="486" t="n"/>
      <c r="M209" s="491" t="inlineStr">
        <is>
          <t xml:space="preserve">Actualización </t>
        </is>
      </c>
      <c r="N209" s="143">
        <f>1*(1+O210)*(1+P210)*(1+Q210)*(1+R210)</f>
        <v/>
      </c>
      <c r="O209" s="305" t="inlineStr">
        <is>
          <t>IPC25</t>
        </is>
      </c>
      <c r="P209" s="305" t="inlineStr">
        <is>
          <t>IPC26</t>
        </is>
      </c>
      <c r="Q209" s="305" t="inlineStr">
        <is>
          <t>IPC27</t>
        </is>
      </c>
      <c r="R209" s="305" t="inlineStr">
        <is>
          <t>IPC28</t>
        </is>
      </c>
    </row>
    <row r="210" ht="15" customHeight="1" s="700" thickBot="1">
      <c r="A210" s="562" t="n"/>
      <c r="B210" s="46" t="n"/>
      <c r="C210" s="212" t="inlineStr">
        <is>
          <t>Referrel Fee:</t>
        </is>
      </c>
      <c r="D210" s="714">
        <f>+D209*0.1</f>
        <v/>
      </c>
      <c r="E210" s="214" t="n"/>
      <c r="F210" s="46" t="n"/>
      <c r="G210" s="46" t="n"/>
      <c r="H210" s="46" t="n"/>
      <c r="I210" s="46" t="n"/>
      <c r="J210" s="357" t="n">
        <v>0.1</v>
      </c>
      <c r="K210" s="486" t="n"/>
      <c r="M210" s="256" t="n">
        <v>45707</v>
      </c>
      <c r="O210" s="308" t="n">
        <v>0.03</v>
      </c>
      <c r="P210" s="308" t="n"/>
      <c r="Q210" s="308" t="n"/>
      <c r="R210" s="308" t="n"/>
    </row>
    <row r="211" ht="15" customHeight="1" s="700" thickBot="1">
      <c r="A211" s="562" t="n"/>
      <c r="B211" s="46" t="n"/>
      <c r="C211" s="46" t="n"/>
      <c r="D211" s="46" t="n"/>
      <c r="E211" s="46" t="n"/>
      <c r="F211" s="46" t="n"/>
      <c r="G211" s="46" t="n"/>
      <c r="H211" s="46" t="n"/>
      <c r="I211" s="46" t="n"/>
      <c r="J211" s="46" t="n"/>
      <c r="K211" s="485" t="n"/>
    </row>
    <row r="212" ht="18" customHeight="1" s="700">
      <c r="A212" s="562" t="n"/>
      <c r="B212" s="262" t="inlineStr">
        <is>
          <t>EVACUACIÓN SALTERAS, S.L.</t>
        </is>
      </c>
      <c r="C212" s="671" t="inlineStr">
        <is>
          <t>EXPLOTACIÓN: ACC+SPV+O&amp;M Manag</t>
        </is>
      </c>
      <c r="D212" s="667" t="n"/>
      <c r="E212" s="672" t="n"/>
      <c r="F212" s="209" t="n"/>
      <c r="G212" s="662" t="n"/>
      <c r="H212" s="205" t="n"/>
      <c r="I212" s="131" t="n"/>
      <c r="J212" s="46" t="n"/>
      <c r="K212" s="485" t="n"/>
    </row>
    <row r="213" ht="15.75" customHeight="1" s="700" thickBot="1">
      <c r="A213" s="562" t="n"/>
      <c r="B213" s="364" t="inlineStr">
        <is>
          <t>SET CAMPOFRÍO</t>
        </is>
      </c>
      <c r="C213" s="315" t="n">
        <v>16200</v>
      </c>
      <c r="D213" s="312">
        <f>(2825*12)*N213</f>
        <v/>
      </c>
      <c r="E213" s="211" t="n"/>
      <c r="F213" s="207" t="n"/>
      <c r="G213" s="58" t="n"/>
      <c r="H213" s="123" t="n"/>
      <c r="I213" s="131" t="inlineStr">
        <is>
          <t>Facturación por trimestres vencidos</t>
        </is>
      </c>
      <c r="J213" s="46" t="n"/>
      <c r="K213" s="486" t="n"/>
      <c r="M213" s="491" t="inlineStr">
        <is>
          <t xml:space="preserve">Actualización </t>
        </is>
      </c>
      <c r="N213" s="143">
        <f>1*(1+O214)*(1+P214)*(1+Q214)*(1+R214)</f>
        <v/>
      </c>
      <c r="O213" s="305" t="inlineStr">
        <is>
          <t>IPC25</t>
        </is>
      </c>
      <c r="P213" s="305" t="inlineStr">
        <is>
          <t>IPC26</t>
        </is>
      </c>
      <c r="Q213" s="305" t="inlineStr">
        <is>
          <t>IPC27</t>
        </is>
      </c>
      <c r="R213" s="305" t="inlineStr">
        <is>
          <t>IPC28</t>
        </is>
      </c>
    </row>
    <row r="214" ht="15" customHeight="1" s="700" thickBot="1">
      <c r="A214" s="562" t="n"/>
      <c r="B214" s="46" t="n"/>
      <c r="C214" s="212" t="inlineStr">
        <is>
          <t>Referrel Fee:</t>
        </is>
      </c>
      <c r="D214" s="714">
        <f>+D213*0.1</f>
        <v/>
      </c>
      <c r="E214" s="214" t="n"/>
      <c r="F214" s="46" t="n"/>
      <c r="G214" s="46" t="n"/>
      <c r="H214" s="46" t="n"/>
      <c r="I214" s="46" t="n"/>
      <c r="J214" s="357" t="n">
        <v>0.1</v>
      </c>
      <c r="K214" s="484" t="n">
        <v>45638</v>
      </c>
      <c r="L214" s="483">
        <f>DATEDIF(K214,TODAY(),"M")</f>
        <v/>
      </c>
      <c r="M214" s="256" t="n">
        <v>45697</v>
      </c>
      <c r="O214" s="308" t="n">
        <v>0.03</v>
      </c>
      <c r="P214" s="308" t="n"/>
      <c r="Q214" s="308" t="n"/>
      <c r="R214" s="308" t="n"/>
    </row>
    <row r="215" ht="15" customHeight="1" s="700" thickBot="1">
      <c r="A215" s="562" t="n"/>
      <c r="B215" s="46" t="n"/>
      <c r="C215" s="46" t="n"/>
      <c r="D215" s="46" t="n"/>
      <c r="E215" s="46" t="n"/>
      <c r="F215" s="46" t="n"/>
      <c r="G215" s="46" t="n"/>
      <c r="H215" s="46" t="n"/>
      <c r="I215" s="46" t="n"/>
      <c r="J215" s="46" t="n"/>
      <c r="K215" s="485" t="n"/>
    </row>
    <row r="216" ht="18" customHeight="1" s="700">
      <c r="A216" s="562" t="n"/>
      <c r="B216" s="262" t="inlineStr">
        <is>
          <t>TORDESILLAS T2PRIMA 132KV, S.L.</t>
        </is>
      </c>
      <c r="C216" s="671" t="inlineStr">
        <is>
          <t>BeforeCOD: ACC+SPV+O&amp;M Manag</t>
        </is>
      </c>
      <c r="D216" s="667" t="n"/>
      <c r="E216" s="672" t="n"/>
      <c r="F216" s="209" t="n"/>
      <c r="G216" s="662" t="n"/>
      <c r="H216" s="205" t="n"/>
      <c r="I216" s="131" t="n"/>
      <c r="J216" s="46" t="n"/>
      <c r="K216" s="485" t="n"/>
    </row>
    <row r="217" ht="15.75" customHeight="1" s="700" thickBot="1">
      <c r="A217" s="562" t="n"/>
      <c r="B217" s="364" t="inlineStr">
        <is>
          <t>SET T2Prima</t>
        </is>
      </c>
      <c r="C217" s="210" t="inlineStr">
        <is>
          <t xml:space="preserve"> </t>
        </is>
      </c>
      <c r="D217" s="203">
        <f>(1350*12)*N217</f>
        <v/>
      </c>
      <c r="E217" s="211" t="n"/>
      <c r="F217" s="207" t="n"/>
      <c r="G217" s="58" t="n"/>
      <c r="H217" s="123" t="n"/>
      <c r="I217" s="131" t="inlineStr">
        <is>
          <t>Facturación por trimestres vencidos</t>
        </is>
      </c>
      <c r="J217" s="46" t="n"/>
      <c r="K217" s="486" t="n"/>
      <c r="M217" s="491" t="inlineStr">
        <is>
          <t xml:space="preserve">Actualización </t>
        </is>
      </c>
      <c r="N217" s="143">
        <f>1*(1+O218)*(1+P218)*(1+Q218)*(1+R218)</f>
        <v/>
      </c>
      <c r="O217" s="305" t="inlineStr">
        <is>
          <t>IPC25</t>
        </is>
      </c>
      <c r="P217" s="305" t="inlineStr">
        <is>
          <t>IPC26</t>
        </is>
      </c>
      <c r="Q217" s="305" t="inlineStr">
        <is>
          <t>IPC27</t>
        </is>
      </c>
      <c r="R217" s="305" t="inlineStr">
        <is>
          <t>IPC28</t>
        </is>
      </c>
    </row>
    <row r="218" ht="15" customHeight="1" s="700" thickBot="1">
      <c r="A218" s="562" t="n"/>
      <c r="B218" s="46" t="n"/>
      <c r="C218" s="212" t="inlineStr">
        <is>
          <t>Referrel Fee:</t>
        </is>
      </c>
      <c r="D218" s="714">
        <f>+D217*0.1</f>
        <v/>
      </c>
      <c r="E218" s="214" t="n"/>
      <c r="F218" s="46" t="n"/>
      <c r="G218" s="46" t="n"/>
      <c r="H218" s="46" t="n"/>
      <c r="I218" s="46" t="n"/>
      <c r="J218" s="357" t="n">
        <v>0.1</v>
      </c>
      <c r="K218" s="486" t="n"/>
      <c r="M218" s="256" t="n">
        <v>45696</v>
      </c>
      <c r="O218" s="308" t="n">
        <v>0.03</v>
      </c>
      <c r="P218" s="308" t="n"/>
      <c r="Q218" s="308" t="n"/>
      <c r="R218" s="308" t="n"/>
    </row>
    <row r="219" ht="15" customHeight="1" s="700" thickBot="1">
      <c r="A219" s="562" t="n"/>
      <c r="B219" s="46" t="n"/>
      <c r="C219" s="46" t="n"/>
      <c r="D219" s="46" t="n"/>
      <c r="E219" s="46" t="n"/>
      <c r="F219" s="46" t="n"/>
      <c r="G219" s="46" t="n"/>
      <c r="H219" s="46" t="n"/>
      <c r="I219" s="46" t="n"/>
      <c r="J219" s="46" t="n"/>
      <c r="K219" s="485" t="n"/>
    </row>
    <row r="220" ht="18" customHeight="1" s="700">
      <c r="A220" s="562" t="n"/>
      <c r="B220" s="376" t="inlineStr">
        <is>
          <t>ENERGÍAS RENOVABLES EL CANTO, S.L.</t>
        </is>
      </c>
      <c r="C220" s="671" t="inlineStr">
        <is>
          <t>EXPLOTACIÓN: ACC+SPV+O&amp;M Manag</t>
        </is>
      </c>
      <c r="D220" s="667" t="n"/>
      <c r="E220" s="672" t="n"/>
      <c r="F220" s="209" t="n"/>
      <c r="G220" s="662" t="n"/>
      <c r="H220" s="205" t="n"/>
      <c r="I220" s="131" t="n"/>
      <c r="J220" s="46" t="n"/>
      <c r="K220" s="485" t="n"/>
    </row>
    <row r="221" ht="15.75" customHeight="1" s="700" thickBot="1">
      <c r="A221" s="562" t="n"/>
      <c r="B221" s="364" t="inlineStr">
        <is>
          <t>SET220 El Canto</t>
        </is>
      </c>
      <c r="C221" s="315">
        <f>1350*12</f>
        <v/>
      </c>
      <c r="D221" s="312">
        <f>(2825*12)*N221</f>
        <v/>
      </c>
      <c r="E221" s="211" t="n"/>
      <c r="F221" s="207" t="n"/>
      <c r="G221" s="58" t="n"/>
      <c r="H221" s="123" t="n"/>
      <c r="I221" s="131" t="inlineStr">
        <is>
          <t>Facturación por trimestres vencidos</t>
        </is>
      </c>
      <c r="J221" s="46" t="n"/>
      <c r="K221" s="486" t="n"/>
      <c r="M221" s="491" t="inlineStr">
        <is>
          <t xml:space="preserve">Actualización </t>
        </is>
      </c>
      <c r="N221" s="143">
        <f>1*(1+O222)*(1+P222)*(1+Q222)*(1+R222)</f>
        <v/>
      </c>
      <c r="O221" s="305" t="inlineStr">
        <is>
          <t>IPC25</t>
        </is>
      </c>
      <c r="P221" s="305" t="inlineStr">
        <is>
          <t>IPC26</t>
        </is>
      </c>
      <c r="Q221" s="305" t="inlineStr">
        <is>
          <t>IPC27</t>
        </is>
      </c>
      <c r="R221" s="305" t="inlineStr">
        <is>
          <t>IPC28</t>
        </is>
      </c>
    </row>
    <row r="222" ht="15" customHeight="1" s="700" thickBot="1">
      <c r="A222" s="562" t="n"/>
      <c r="B222" s="46" t="n"/>
      <c r="C222" s="212" t="inlineStr">
        <is>
          <t>Referrel Fee:</t>
        </is>
      </c>
      <c r="D222" s="714">
        <f>+D221*0.1</f>
        <v/>
      </c>
      <c r="E222" s="214" t="n"/>
      <c r="F222" s="46" t="n"/>
      <c r="G222" s="46" t="n"/>
      <c r="H222" s="46" t="n"/>
      <c r="I222" s="46" t="n"/>
      <c r="J222" s="357" t="n">
        <v>0.1</v>
      </c>
      <c r="K222" s="484" t="n">
        <v>45763</v>
      </c>
      <c r="L222" s="483">
        <f>DATEDIF(K222,TODAY(),"M")</f>
        <v/>
      </c>
      <c r="M222" s="256" t="n">
        <v>45870</v>
      </c>
      <c r="O222" s="308" t="n">
        <v>0.027</v>
      </c>
      <c r="P222" s="308" t="n"/>
      <c r="Q222" s="308" t="n"/>
      <c r="R222" s="308" t="n"/>
    </row>
    <row r="223" ht="15" customHeight="1" s="700" thickBot="1">
      <c r="A223" s="562" t="n"/>
      <c r="B223" s="46" t="n"/>
      <c r="C223" s="46" t="n"/>
      <c r="D223" s="46" t="n"/>
      <c r="E223" s="46" t="n"/>
      <c r="F223" s="46" t="n"/>
      <c r="G223" s="46" t="n"/>
      <c r="H223" s="46" t="n"/>
      <c r="I223" s="46" t="n"/>
      <c r="J223" s="46" t="n"/>
      <c r="K223" s="485" t="n"/>
    </row>
    <row r="224" ht="18" customHeight="1" s="700">
      <c r="A224" s="562" t="n"/>
      <c r="B224" s="208" t="inlineStr">
        <is>
          <t>ICE ANDÚJAR, S.L.</t>
        </is>
      </c>
      <c r="C224" s="671" t="inlineStr">
        <is>
          <t>BeforeCOD: ACC+SPV+O&amp;M Manag</t>
        </is>
      </c>
      <c r="D224" s="667" t="n"/>
      <c r="E224" s="672" t="n"/>
      <c r="F224" s="209" t="n"/>
      <c r="G224" s="662" t="n"/>
      <c r="H224" s="205" t="n"/>
      <c r="I224" s="131" t="n"/>
      <c r="J224" s="46" t="n"/>
      <c r="K224" s="485" t="n"/>
    </row>
    <row r="225" ht="15.75" customHeight="1" s="700" thickBot="1">
      <c r="A225" s="562" t="n"/>
      <c r="B225" s="364" t="inlineStr">
        <is>
          <t>SET220 Andújar</t>
        </is>
      </c>
      <c r="C225" s="210" t="inlineStr">
        <is>
          <t xml:space="preserve"> </t>
        </is>
      </c>
      <c r="D225" s="203">
        <f>(1350*12)*N225</f>
        <v/>
      </c>
      <c r="E225" s="211" t="n"/>
      <c r="F225" s="207" t="n"/>
      <c r="G225" s="58" t="n"/>
      <c r="H225" s="123" t="n"/>
      <c r="I225" s="131" t="inlineStr">
        <is>
          <t>Facturación por trimestres vencidos</t>
        </is>
      </c>
      <c r="J225" s="46" t="n"/>
      <c r="K225" s="486" t="n"/>
      <c r="M225" s="491" t="inlineStr">
        <is>
          <t xml:space="preserve">Actualización </t>
        </is>
      </c>
      <c r="N225" s="143">
        <f>1*(1+O226)*(1+P226)*(1+Q226)*(1+R226)</f>
        <v/>
      </c>
      <c r="O225" s="305" t="inlineStr">
        <is>
          <t>IPC25</t>
        </is>
      </c>
      <c r="P225" s="305" t="inlineStr">
        <is>
          <t>IPC26</t>
        </is>
      </c>
      <c r="Q225" s="305" t="inlineStr">
        <is>
          <t>IPC27</t>
        </is>
      </c>
      <c r="R225" s="305" t="inlineStr">
        <is>
          <t>IPC28</t>
        </is>
      </c>
    </row>
    <row r="226" ht="15" customHeight="1" s="700" thickBot="1">
      <c r="A226" s="562" t="n"/>
      <c r="B226" s="46" t="n"/>
      <c r="C226" s="212" t="inlineStr">
        <is>
          <t>Referrel Fee:</t>
        </is>
      </c>
      <c r="D226" s="714">
        <f>+D225*0.1</f>
        <v/>
      </c>
      <c r="E226" s="214" t="n"/>
      <c r="F226" s="46" t="n"/>
      <c r="G226" s="46" t="n"/>
      <c r="H226" s="46" t="n"/>
      <c r="I226" s="46" t="n"/>
      <c r="J226" s="357" t="n">
        <v>0.1</v>
      </c>
      <c r="K226" s="486" t="n"/>
      <c r="M226" s="256" t="n">
        <v>45849</v>
      </c>
      <c r="O226" s="308" t="n">
        <v>0.027</v>
      </c>
      <c r="P226" s="308" t="n"/>
      <c r="Q226" s="308" t="n"/>
      <c r="R226" s="308" t="n"/>
    </row>
    <row r="227" ht="15" customHeight="1" s="700" thickBot="1">
      <c r="A227" s="562" t="n"/>
      <c r="B227" s="46" t="n"/>
      <c r="C227" s="46" t="n"/>
      <c r="D227" s="46" t="n"/>
      <c r="E227" s="46" t="n"/>
      <c r="F227" s="46" t="n"/>
      <c r="G227" s="46" t="n"/>
      <c r="H227" s="46" t="n"/>
      <c r="I227" s="46" t="n"/>
      <c r="J227" s="46" t="n"/>
      <c r="K227" s="485" t="n"/>
    </row>
    <row r="228" ht="18" customHeight="1" s="700">
      <c r="A228" s="562" t="n"/>
      <c r="B228" s="376" t="inlineStr">
        <is>
          <t>PROMOTORES ALBATARREC 220 KV, S.L.</t>
        </is>
      </c>
      <c r="C228" s="671" t="inlineStr">
        <is>
          <t>BeforeCOD: ACC+SPV+O&amp;M Manag</t>
        </is>
      </c>
      <c r="D228" s="667" t="n"/>
      <c r="E228" s="672" t="n"/>
      <c r="F228" s="209" t="n"/>
      <c r="G228" s="662" t="n"/>
      <c r="H228" s="205" t="n"/>
      <c r="I228" s="131" t="n"/>
      <c r="J228" s="46" t="n"/>
      <c r="K228" s="485" t="n"/>
    </row>
    <row r="229" ht="15.75" customHeight="1" s="700" thickBot="1">
      <c r="A229" s="562" t="n"/>
      <c r="B229" s="364" t="inlineStr">
        <is>
          <t>SET220 Seros</t>
        </is>
      </c>
      <c r="C229" s="210" t="inlineStr">
        <is>
          <t xml:space="preserve"> </t>
        </is>
      </c>
      <c r="D229" s="203">
        <f>(1350*12)*N229</f>
        <v/>
      </c>
      <c r="E229" s="211" t="n"/>
      <c r="F229" s="207" t="n"/>
      <c r="G229" s="58" t="n"/>
      <c r="H229" s="123" t="n"/>
      <c r="I229" s="131" t="inlineStr">
        <is>
          <t>Facturación por trimestres vencidos</t>
        </is>
      </c>
      <c r="J229" s="46" t="n"/>
      <c r="K229" s="486" t="n"/>
      <c r="M229" s="142" t="inlineStr">
        <is>
          <t xml:space="preserve">Actualización </t>
        </is>
      </c>
      <c r="N229" s="143">
        <f>1*(1+O230)*(1+P230)*(1+Q230)*(1+R230)</f>
        <v/>
      </c>
      <c r="O229" s="396" t="inlineStr">
        <is>
          <t>IPC25</t>
        </is>
      </c>
      <c r="P229" s="305" t="inlineStr">
        <is>
          <t>IPC26</t>
        </is>
      </c>
      <c r="Q229" s="305" t="inlineStr">
        <is>
          <t>IPC27</t>
        </is>
      </c>
      <c r="R229" s="305" t="inlineStr">
        <is>
          <t>IPC28</t>
        </is>
      </c>
    </row>
    <row r="230" ht="15" customHeight="1" s="700" thickBot="1">
      <c r="A230" s="562" t="n"/>
      <c r="B230" s="46" t="n"/>
      <c r="C230" s="212" t="inlineStr">
        <is>
          <t>Referrel Fee:</t>
        </is>
      </c>
      <c r="D230" s="714">
        <f>+D229*0.1</f>
        <v/>
      </c>
      <c r="E230" s="214" t="n"/>
      <c r="F230" s="46" t="n"/>
      <c r="G230" s="46" t="n"/>
      <c r="H230" s="46" t="n"/>
      <c r="I230" s="46" t="n"/>
      <c r="J230" s="357" t="n">
        <v>0.1</v>
      </c>
      <c r="K230" s="486" t="n"/>
      <c r="M230" s="256" t="n">
        <v>45917</v>
      </c>
      <c r="O230" s="308" t="n"/>
      <c r="P230" s="308" t="n"/>
      <c r="Q230" s="308" t="n"/>
      <c r="R230" s="308" t="n"/>
    </row>
    <row r="231" ht="15" customHeight="1" s="700" thickBot="1">
      <c r="A231" s="562" t="n"/>
      <c r="B231" s="46" t="n"/>
      <c r="C231" s="46" t="n"/>
      <c r="D231" s="46" t="n"/>
      <c r="E231" s="46" t="n"/>
      <c r="F231" s="46" t="n"/>
      <c r="G231" s="46" t="n"/>
      <c r="H231" s="46" t="n"/>
      <c r="I231" s="46" t="n"/>
      <c r="J231" s="46" t="n"/>
      <c r="K231" s="485" t="n"/>
    </row>
    <row r="232" ht="18" customHeight="1" s="700">
      <c r="A232" s="562" t="n"/>
      <c r="B232" s="376" t="inlineStr">
        <is>
          <t>PUJALT INFRAS PRIVATIVAS IGNIS FORESTALIA SL</t>
        </is>
      </c>
      <c r="C232" s="671" t="inlineStr">
        <is>
          <t>BeforeCOD: ACC+SPV+O&amp;M Manag</t>
        </is>
      </c>
      <c r="D232" s="667" t="n"/>
      <c r="E232" s="672" t="n"/>
      <c r="F232" s="209" t="n"/>
      <c r="G232" s="662" t="n"/>
      <c r="H232" s="205" t="n"/>
      <c r="I232" s="131" t="n"/>
      <c r="J232" s="46" t="n"/>
      <c r="K232" s="485" t="n"/>
    </row>
    <row r="233" ht="15.75" customHeight="1" s="700" thickBot="1">
      <c r="A233" s="562" t="n"/>
      <c r="B233" s="364" t="inlineStr">
        <is>
          <t>Ampliación SET Pujalt220</t>
        </is>
      </c>
      <c r="C233" s="210" t="inlineStr">
        <is>
          <t xml:space="preserve"> </t>
        </is>
      </c>
      <c r="D233" s="203">
        <f>(1350*12)*N233</f>
        <v/>
      </c>
      <c r="E233" s="211" t="n"/>
      <c r="F233" s="207" t="n"/>
      <c r="G233" s="58" t="n"/>
      <c r="H233" s="123" t="n"/>
      <c r="I233" s="131" t="inlineStr">
        <is>
          <t>Facturación por trimestres vencidos</t>
        </is>
      </c>
      <c r="J233" s="46" t="n"/>
      <c r="K233" s="486" t="n"/>
      <c r="M233" s="142" t="inlineStr">
        <is>
          <t xml:space="preserve">Actualización </t>
        </is>
      </c>
      <c r="N233" s="143">
        <f>1*(1+O234)*(1+P234)*(1+Q234)*(1+R234)</f>
        <v/>
      </c>
      <c r="O233" s="305" t="inlineStr">
        <is>
          <t>IPC26</t>
        </is>
      </c>
      <c r="P233" s="305" t="inlineStr">
        <is>
          <t>IPC27</t>
        </is>
      </c>
      <c r="Q233" s="305" t="inlineStr">
        <is>
          <t>IPC28</t>
        </is>
      </c>
      <c r="R233" s="305" t="inlineStr">
        <is>
          <t>IPC29</t>
        </is>
      </c>
    </row>
    <row r="234" ht="15" customHeight="1" s="700" thickBot="1">
      <c r="A234" s="562" t="n"/>
      <c r="B234" s="46" t="n"/>
      <c r="C234" s="212" t="inlineStr">
        <is>
          <t>Referrel Fee:</t>
        </is>
      </c>
      <c r="D234" s="718">
        <f>+D233*0.15</f>
        <v/>
      </c>
      <c r="E234" s="214" t="n"/>
      <c r="F234" s="46" t="n"/>
      <c r="G234" s="46" t="n"/>
      <c r="H234" s="46" t="n"/>
      <c r="I234" s="46" t="n"/>
      <c r="J234" s="357" t="n">
        <v>0.15</v>
      </c>
      <c r="K234" s="486" t="n"/>
      <c r="M234" s="256" t="n">
        <v>46038</v>
      </c>
      <c r="O234" s="308" t="n"/>
      <c r="P234" s="308" t="n"/>
      <c r="Q234" s="308" t="n"/>
      <c r="R234" s="308" t="n"/>
    </row>
    <row r="235" ht="15" customHeight="1" s="700" thickBot="1">
      <c r="A235" s="562" t="n"/>
      <c r="B235" s="46" t="n"/>
      <c r="C235" s="46" t="n"/>
      <c r="D235" s="46" t="n"/>
      <c r="E235" s="46" t="n"/>
      <c r="F235" s="46" t="n"/>
      <c r="G235" s="46" t="n"/>
      <c r="H235" s="46" t="n"/>
      <c r="I235" s="46" t="n"/>
      <c r="J235" s="46" t="n"/>
      <c r="K235" s="485" t="n"/>
    </row>
    <row r="236" ht="18" customHeight="1" s="700">
      <c r="A236" s="562" t="n"/>
      <c r="B236" s="262" t="inlineStr">
        <is>
          <t>TÁBARA 400 KV RENOVABLES, S.L.</t>
        </is>
      </c>
      <c r="C236" s="671" t="inlineStr">
        <is>
          <t>BeforeCOD: ACC+SPV+O&amp;M Manag</t>
        </is>
      </c>
      <c r="D236" s="667" t="n"/>
      <c r="E236" s="672" t="n"/>
      <c r="F236" s="209" t="n"/>
      <c r="G236" s="662" t="n"/>
      <c r="H236" s="205" t="n"/>
      <c r="I236" s="131" t="n"/>
      <c r="J236" s="46" t="n"/>
      <c r="K236" s="485" t="n"/>
    </row>
    <row r="237" ht="15.75" customHeight="1" s="700" thickBot="1">
      <c r="A237" s="562" t="n"/>
      <c r="B237" s="364" t="inlineStr">
        <is>
          <t>Nudo. 3SETs y 2Líneas</t>
        </is>
      </c>
      <c r="C237" s="210" t="inlineStr">
        <is>
          <t xml:space="preserve"> </t>
        </is>
      </c>
      <c r="D237" s="203">
        <f>(3260*12)*N237</f>
        <v/>
      </c>
      <c r="E237" s="211" t="n"/>
      <c r="F237" s="207" t="n"/>
      <c r="G237" s="58" t="n"/>
      <c r="H237" s="123" t="n"/>
      <c r="I237" s="131" t="inlineStr">
        <is>
          <t>Facturación por trimestres vencidos</t>
        </is>
      </c>
      <c r="J237" s="46" t="n"/>
      <c r="K237" s="486" t="n"/>
      <c r="M237" s="142" t="inlineStr">
        <is>
          <t xml:space="preserve">Actualización </t>
        </is>
      </c>
      <c r="N237" s="143">
        <f>1*(1+O238)*(1+P238)*(1+Q238)*(1+R238)</f>
        <v/>
      </c>
      <c r="O237" s="305" t="inlineStr">
        <is>
          <t>IPC26</t>
        </is>
      </c>
      <c r="P237" s="305" t="inlineStr">
        <is>
          <t>IPC27</t>
        </is>
      </c>
      <c r="Q237" s="305" t="inlineStr">
        <is>
          <t>IPC28</t>
        </is>
      </c>
      <c r="R237" s="305" t="inlineStr">
        <is>
          <t>IPC29</t>
        </is>
      </c>
    </row>
    <row r="238" ht="15" customHeight="1" s="700" thickBot="1">
      <c r="A238" s="562" t="n"/>
      <c r="B238" s="46" t="n"/>
      <c r="C238" s="212" t="inlineStr">
        <is>
          <t>Referrel Fee:</t>
        </is>
      </c>
      <c r="D238" s="718">
        <f>+D237*0.15</f>
        <v/>
      </c>
      <c r="E238" s="214" t="n"/>
      <c r="F238" s="46" t="n"/>
      <c r="G238" s="46" t="n"/>
      <c r="H238" s="46" t="n"/>
      <c r="I238" s="46" t="n"/>
      <c r="J238" s="357" t="n">
        <v>0.15</v>
      </c>
      <c r="K238" s="486" t="n"/>
      <c r="M238" s="256" t="n">
        <v>46141</v>
      </c>
      <c r="O238" s="308" t="n"/>
      <c r="P238" s="308" t="n"/>
      <c r="Q238" s="308" t="n"/>
      <c r="R238" s="308" t="n"/>
    </row>
    <row r="239" ht="15" customHeight="1" s="700" thickBot="1">
      <c r="A239" s="562" t="n"/>
      <c r="B239" s="46" t="n"/>
      <c r="C239" s="46" t="n"/>
      <c r="D239" s="46" t="n"/>
      <c r="E239" s="46" t="n"/>
      <c r="F239" s="46" t="n"/>
      <c r="G239" s="46" t="n"/>
      <c r="H239" s="46" t="n"/>
      <c r="I239" s="46" t="n"/>
      <c r="J239" s="46" t="n"/>
      <c r="K239" s="485" t="n"/>
    </row>
    <row r="240" ht="18" customHeight="1" s="700">
      <c r="A240" s="562" t="n"/>
      <c r="B240" s="262" t="inlineStr">
        <is>
          <t>INFRA.COMUNES GERENAS, S.L.,</t>
        </is>
      </c>
      <c r="C240" s="671" t="inlineStr">
        <is>
          <t>EXPLOTACIÓN: ACC+SPV+O&amp;M Manag</t>
        </is>
      </c>
      <c r="D240" s="667" t="n"/>
      <c r="E240" s="672" t="n"/>
      <c r="F240" s="632" t="inlineStr">
        <is>
          <t>Servicios de Administración</t>
        </is>
      </c>
      <c r="G240" s="209" t="n"/>
      <c r="H240" s="205" t="n"/>
      <c r="I240" s="131" t="n"/>
      <c r="J240" s="46" t="n"/>
      <c r="K240" s="485" t="n"/>
    </row>
    <row r="241" ht="15.75" customHeight="1" s="700" thickBot="1">
      <c r="A241" s="562" t="n"/>
      <c r="B241" s="364" t="inlineStr">
        <is>
          <t>SET220 Gerenas</t>
        </is>
      </c>
      <c r="C241" s="630" t="inlineStr">
        <is>
          <t xml:space="preserve"> </t>
        </is>
      </c>
      <c r="D241" s="312">
        <f>(2825*12)*N241</f>
        <v/>
      </c>
      <c r="E241" s="211" t="n"/>
      <c r="F241" s="631">
        <f>(350*12)*N241</f>
        <v/>
      </c>
      <c r="G241" s="555" t="n"/>
      <c r="H241" s="123" t="n"/>
      <c r="I241" s="131" t="inlineStr">
        <is>
          <t>Facturación por trimestres vencidos</t>
        </is>
      </c>
      <c r="J241" s="46" t="n"/>
      <c r="K241" s="486" t="n"/>
      <c r="M241" s="142" t="inlineStr">
        <is>
          <t xml:space="preserve">Actualización </t>
        </is>
      </c>
      <c r="N241" s="143">
        <f>1*(1+O242)*(1+P242)*(1+Q242)*(1+R242)</f>
        <v/>
      </c>
      <c r="O241" s="305" t="inlineStr">
        <is>
          <t>IPC26</t>
        </is>
      </c>
      <c r="P241" s="305" t="inlineStr">
        <is>
          <t>IPC27</t>
        </is>
      </c>
      <c r="Q241" s="305" t="inlineStr">
        <is>
          <t>IPC28</t>
        </is>
      </c>
      <c r="R241" s="305" t="inlineStr">
        <is>
          <t>IPC29</t>
        </is>
      </c>
    </row>
    <row r="242" ht="15" customHeight="1" s="700" thickBot="1">
      <c r="A242" s="562" t="n"/>
      <c r="B242" s="46" t="n"/>
      <c r="C242" s="212" t="inlineStr">
        <is>
          <t>Referrel Fee:</t>
        </is>
      </c>
      <c r="D242" s="718">
        <f>+D241*0.15</f>
        <v/>
      </c>
      <c r="E242" s="214" t="n"/>
      <c r="F242" s="46" t="n"/>
      <c r="G242" s="46" t="n"/>
      <c r="H242" s="46" t="n"/>
      <c r="I242" s="46" t="n"/>
      <c r="J242" s="357" t="n">
        <v>0.15</v>
      </c>
      <c r="K242" s="484" t="n">
        <v>45932</v>
      </c>
      <c r="L242" s="483">
        <f>DATEDIF(K242,TODAY(),"M")</f>
        <v/>
      </c>
      <c r="M242" s="256" t="n">
        <v>46297</v>
      </c>
      <c r="O242" s="308" t="n"/>
      <c r="P242" s="308" t="n"/>
      <c r="Q242" s="308" t="n"/>
      <c r="R242" s="308" t="n"/>
    </row>
    <row r="243" ht="15" customHeight="1" s="700" thickBot="1">
      <c r="A243" s="562" t="n"/>
      <c r="B243" s="46" t="n"/>
      <c r="C243" s="46" t="n"/>
      <c r="D243" s="46" t="n"/>
      <c r="E243" s="46" t="n"/>
      <c r="F243" s="46" t="n"/>
      <c r="G243" s="46" t="n"/>
      <c r="H243" s="46" t="n"/>
      <c r="I243" s="46" t="n"/>
      <c r="J243" s="46" t="n"/>
      <c r="K243" s="485" t="n"/>
    </row>
    <row r="244" ht="18" customHeight="1" s="700">
      <c r="A244" s="562" t="n"/>
      <c r="B244" s="262" t="inlineStr">
        <is>
          <t>NudoViridi1 - LAT SC</t>
        </is>
      </c>
      <c r="C244" s="671" t="inlineStr">
        <is>
          <t>BeforeCOD: ACC+SPV+O&amp;M Manag</t>
        </is>
      </c>
      <c r="D244" s="667" t="n"/>
      <c r="E244" s="672" t="n"/>
      <c r="F244" s="209" t="n"/>
      <c r="G244" s="662" t="n"/>
      <c r="H244" s="205" t="n"/>
      <c r="I244" s="131" t="n"/>
      <c r="J244" s="46" t="n"/>
      <c r="K244" s="485" t="n"/>
    </row>
    <row r="245" ht="15.75" customHeight="1" s="700" thickBot="1">
      <c r="A245" s="562" t="n"/>
      <c r="B245" s="364" t="n"/>
      <c r="C245" s="210" t="inlineStr">
        <is>
          <t xml:space="preserve"> </t>
        </is>
      </c>
      <c r="D245" s="203">
        <f>(1282.5*12)*N245</f>
        <v/>
      </c>
      <c r="E245" s="211" t="n"/>
      <c r="F245" s="207" t="n"/>
      <c r="G245" s="58" t="n"/>
      <c r="H245" s="123" t="n"/>
      <c r="I245" s="131" t="inlineStr">
        <is>
          <t>Facturación por trimestres vencidos</t>
        </is>
      </c>
      <c r="J245" s="46" t="n"/>
      <c r="K245" s="486" t="n"/>
      <c r="M245" s="142" t="inlineStr">
        <is>
          <t xml:space="preserve">Actualización </t>
        </is>
      </c>
      <c r="N245" s="143">
        <f>1*(1+O246)*(1+P246)*(1+Q246)*(1+R246)</f>
        <v/>
      </c>
      <c r="O245" s="305" t="inlineStr">
        <is>
          <t>IPC26</t>
        </is>
      </c>
      <c r="P245" s="305" t="inlineStr">
        <is>
          <t>IPC27</t>
        </is>
      </c>
      <c r="Q245" s="305" t="inlineStr">
        <is>
          <t>IPC28</t>
        </is>
      </c>
      <c r="R245" s="305" t="inlineStr">
        <is>
          <t>IPC29</t>
        </is>
      </c>
    </row>
    <row r="246" ht="15" customHeight="1" s="700" thickBot="1">
      <c r="A246" s="562" t="n"/>
      <c r="B246" s="46" t="n"/>
      <c r="C246" s="212" t="inlineStr">
        <is>
          <t>Referrel Fee:</t>
        </is>
      </c>
      <c r="D246" s="718">
        <f>+D245*0.15</f>
        <v/>
      </c>
      <c r="E246" s="214" t="n"/>
      <c r="F246" s="46" t="n"/>
      <c r="G246" s="46" t="n"/>
      <c r="H246" s="46" t="n"/>
      <c r="I246" s="46" t="n"/>
      <c r="J246" s="357" t="n">
        <v>0.15</v>
      </c>
      <c r="K246" s="486" t="n"/>
      <c r="M246" s="256" t="n"/>
      <c r="O246" s="308" t="n"/>
      <c r="P246" s="308" t="n"/>
      <c r="Q246" s="308" t="n"/>
      <c r="R246" s="308" t="n"/>
    </row>
    <row r="247" ht="15" customHeight="1" s="700" thickBot="1">
      <c r="A247" s="562" t="n"/>
      <c r="B247" s="46" t="n"/>
      <c r="C247" s="46" t="n"/>
      <c r="D247" s="46" t="n"/>
      <c r="E247" s="46" t="n"/>
      <c r="F247" s="46" t="n"/>
      <c r="G247" s="46" t="n"/>
      <c r="H247" s="46" t="n"/>
      <c r="I247" s="46" t="n"/>
      <c r="J247" s="46" t="n"/>
      <c r="K247" s="485" t="n"/>
    </row>
    <row r="248" ht="18" customHeight="1" s="700">
      <c r="A248" s="562" t="n"/>
      <c r="B248" s="262" t="inlineStr">
        <is>
          <t>NudoViridi2 - LAT DC</t>
        </is>
      </c>
      <c r="C248" s="671" t="inlineStr">
        <is>
          <t>BeforeCOD: ACC+SPV+O&amp;M Manag</t>
        </is>
      </c>
      <c r="D248" s="667" t="n"/>
      <c r="E248" s="672" t="n"/>
      <c r="F248" s="209" t="n"/>
      <c r="G248" s="662" t="n"/>
      <c r="H248" s="205" t="n"/>
      <c r="I248" s="131" t="n"/>
      <c r="J248" s="46" t="n"/>
      <c r="K248" s="485" t="n"/>
    </row>
    <row r="249" ht="15.75" customHeight="1" s="700" thickBot="1">
      <c r="A249" s="562" t="n"/>
      <c r="B249" s="364" t="n"/>
      <c r="C249" s="210" t="inlineStr">
        <is>
          <t xml:space="preserve"> </t>
        </is>
      </c>
      <c r="D249" s="203">
        <f>(1282.5*12)*N249</f>
        <v/>
      </c>
      <c r="E249" s="211" t="n"/>
      <c r="F249" s="207" t="n"/>
      <c r="G249" s="58" t="n"/>
      <c r="H249" s="123" t="n"/>
      <c r="I249" s="131" t="inlineStr">
        <is>
          <t>Facturación por trimestres vencidos</t>
        </is>
      </c>
      <c r="J249" s="46" t="n"/>
      <c r="K249" s="486" t="n"/>
      <c r="M249" s="142" t="inlineStr">
        <is>
          <t xml:space="preserve">Actualización </t>
        </is>
      </c>
      <c r="N249" s="143">
        <f>1*(1+O250)*(1+P250)*(1+Q250)*(1+R250)</f>
        <v/>
      </c>
      <c r="O249" s="305" t="inlineStr">
        <is>
          <t>IPC26</t>
        </is>
      </c>
      <c r="P249" s="305" t="inlineStr">
        <is>
          <t>IPC27</t>
        </is>
      </c>
      <c r="Q249" s="305" t="inlineStr">
        <is>
          <t>IPC28</t>
        </is>
      </c>
      <c r="R249" s="305" t="inlineStr">
        <is>
          <t>IPC29</t>
        </is>
      </c>
    </row>
    <row r="250" ht="15" customHeight="1" s="700" thickBot="1">
      <c r="A250" s="562" t="n"/>
      <c r="B250" s="46" t="n"/>
      <c r="C250" s="212" t="inlineStr">
        <is>
          <t>Referrel Fee:</t>
        </is>
      </c>
      <c r="D250" s="718">
        <f>+D249*0.15</f>
        <v/>
      </c>
      <c r="E250" s="214" t="n"/>
      <c r="F250" s="46" t="n"/>
      <c r="G250" s="46" t="n"/>
      <c r="H250" s="46" t="n"/>
      <c r="I250" s="46" t="n"/>
      <c r="J250" s="357" t="n">
        <v>0.15</v>
      </c>
      <c r="K250" s="486" t="n"/>
      <c r="M250" s="256" t="n"/>
      <c r="O250" s="308" t="n"/>
      <c r="P250" s="308" t="n"/>
      <c r="Q250" s="308" t="n"/>
      <c r="R250" s="308" t="n"/>
    </row>
    <row r="251" ht="15" customHeight="1" s="700" thickBot="1">
      <c r="A251" s="562" t="n"/>
      <c r="B251" s="46" t="n"/>
      <c r="C251" s="46" t="n"/>
      <c r="D251" s="46" t="n"/>
      <c r="E251" s="46" t="n"/>
      <c r="F251" s="46" t="n"/>
      <c r="G251" s="46" t="n"/>
      <c r="H251" s="46" t="n"/>
      <c r="I251" s="46" t="n"/>
      <c r="J251" s="46" t="n"/>
      <c r="K251" s="485" t="n"/>
    </row>
    <row r="252" ht="18" customHeight="1" s="700">
      <c r="A252" s="562" t="n"/>
      <c r="B252" s="262" t="inlineStr">
        <is>
          <t>NudoViridi3 - LAT</t>
        </is>
      </c>
      <c r="C252" s="671" t="inlineStr">
        <is>
          <t>BeforeCOD: ACC+SPV+O&amp;M Manag</t>
        </is>
      </c>
      <c r="D252" s="667" t="n"/>
      <c r="E252" s="672" t="n"/>
      <c r="F252" s="209" t="n"/>
      <c r="G252" s="662" t="n"/>
      <c r="H252" s="205" t="n"/>
      <c r="I252" s="131" t="n"/>
      <c r="J252" s="46" t="n"/>
      <c r="K252" s="485" t="n"/>
    </row>
    <row r="253" ht="15.75" customHeight="1" s="700" thickBot="1">
      <c r="A253" s="562" t="n"/>
      <c r="B253" s="364" t="n"/>
      <c r="C253" s="210" t="inlineStr">
        <is>
          <t xml:space="preserve"> </t>
        </is>
      </c>
      <c r="D253" s="203">
        <f>(1282.5*12)*N253</f>
        <v/>
      </c>
      <c r="E253" s="211" t="n"/>
      <c r="F253" s="207" t="n"/>
      <c r="G253" s="58" t="n"/>
      <c r="H253" s="123" t="n"/>
      <c r="I253" s="131" t="inlineStr">
        <is>
          <t>Facturación por trimestres vencidos</t>
        </is>
      </c>
      <c r="J253" s="46" t="n"/>
      <c r="K253" s="486" t="n"/>
      <c r="M253" s="142" t="inlineStr">
        <is>
          <t xml:space="preserve">Actualización </t>
        </is>
      </c>
      <c r="N253" s="143">
        <f>1*(1+O254)*(1+P254)*(1+Q254)*(1+R254)</f>
        <v/>
      </c>
      <c r="O253" s="305" t="inlineStr">
        <is>
          <t>IPC26</t>
        </is>
      </c>
      <c r="P253" s="305" t="inlineStr">
        <is>
          <t>IPC27</t>
        </is>
      </c>
      <c r="Q253" s="305" t="inlineStr">
        <is>
          <t>IPC28</t>
        </is>
      </c>
      <c r="R253" s="305" t="inlineStr">
        <is>
          <t>IPC29</t>
        </is>
      </c>
    </row>
    <row r="254" ht="15" customHeight="1" s="700" thickBot="1">
      <c r="A254" s="562" t="n"/>
      <c r="B254" s="46" t="n"/>
      <c r="C254" s="212" t="inlineStr">
        <is>
          <t>Referrel Fee:</t>
        </is>
      </c>
      <c r="D254" s="718">
        <f>+D253*0.15</f>
        <v/>
      </c>
      <c r="E254" s="214" t="n"/>
      <c r="F254" s="46" t="n"/>
      <c r="G254" s="46" t="n"/>
      <c r="H254" s="46" t="n"/>
      <c r="I254" s="46" t="n"/>
      <c r="J254" s="357" t="n">
        <v>0.15</v>
      </c>
      <c r="K254" s="486" t="n"/>
      <c r="M254" s="256" t="n"/>
      <c r="O254" s="308" t="n"/>
      <c r="P254" s="308" t="n"/>
      <c r="Q254" s="308" t="n"/>
      <c r="R254" s="308" t="n"/>
    </row>
    <row r="255" ht="15" customHeight="1" s="700" thickBot="1">
      <c r="A255" s="562" t="n"/>
      <c r="B255" s="46" t="n"/>
      <c r="C255" s="46" t="n"/>
      <c r="D255" s="46" t="n"/>
      <c r="E255" s="46" t="n"/>
      <c r="F255" s="46" t="n"/>
      <c r="G255" s="46" t="n"/>
      <c r="H255" s="46" t="n"/>
      <c r="I255" s="46" t="n"/>
      <c r="J255" s="46" t="n"/>
      <c r="K255" s="485" t="n"/>
    </row>
    <row r="256" ht="18" customHeight="1" s="700">
      <c r="A256" s="562" t="n"/>
      <c r="B256" s="262" t="inlineStr">
        <is>
          <t>NudoViridi4 - LAT</t>
        </is>
      </c>
      <c r="C256" s="671" t="inlineStr">
        <is>
          <t>BeforeCOD: ACC+SPV+O&amp;M Manag</t>
        </is>
      </c>
      <c r="D256" s="667" t="n"/>
      <c r="E256" s="672" t="n"/>
      <c r="F256" s="209" t="n"/>
      <c r="G256" s="662" t="n"/>
      <c r="H256" s="205" t="n"/>
      <c r="I256" s="131" t="n"/>
      <c r="J256" s="46" t="n"/>
      <c r="K256" s="485" t="n"/>
    </row>
    <row r="257" ht="15.75" customHeight="1" s="700" thickBot="1">
      <c r="A257" s="562" t="n"/>
      <c r="B257" s="364" t="n"/>
      <c r="C257" s="210" t="inlineStr">
        <is>
          <t xml:space="preserve"> </t>
        </is>
      </c>
      <c r="D257" s="203">
        <f>(1282.5*12)*N257</f>
        <v/>
      </c>
      <c r="E257" s="211" t="n"/>
      <c r="F257" s="207" t="n"/>
      <c r="G257" s="58" t="n"/>
      <c r="H257" s="123" t="n"/>
      <c r="I257" s="131" t="inlineStr">
        <is>
          <t>Facturación por trimestres vencidos</t>
        </is>
      </c>
      <c r="J257" s="46" t="n"/>
      <c r="K257" s="486" t="n"/>
      <c r="M257" s="142" t="inlineStr">
        <is>
          <t xml:space="preserve">Actualización </t>
        </is>
      </c>
      <c r="N257" s="143">
        <f>1*(1+O258)*(1+P258)*(1+Q258)*(1+R258)</f>
        <v/>
      </c>
      <c r="O257" s="305" t="inlineStr">
        <is>
          <t>IPC26</t>
        </is>
      </c>
      <c r="P257" s="305" t="inlineStr">
        <is>
          <t>IPC27</t>
        </is>
      </c>
      <c r="Q257" s="305" t="inlineStr">
        <is>
          <t>IPC28</t>
        </is>
      </c>
      <c r="R257" s="305" t="inlineStr">
        <is>
          <t>IPC29</t>
        </is>
      </c>
    </row>
    <row r="258" ht="15" customHeight="1" s="700" thickBot="1">
      <c r="A258" s="562" t="n"/>
      <c r="B258" s="46" t="n"/>
      <c r="C258" s="212" t="inlineStr">
        <is>
          <t>Referrel Fee:</t>
        </is>
      </c>
      <c r="D258" s="718">
        <f>+D257*0.15</f>
        <v/>
      </c>
      <c r="E258" s="214" t="n"/>
      <c r="F258" s="46" t="n"/>
      <c r="G258" s="46" t="n"/>
      <c r="H258" s="46" t="n"/>
      <c r="I258" s="46" t="n"/>
      <c r="J258" s="357" t="n">
        <v>0.15</v>
      </c>
      <c r="K258" s="486" t="n"/>
      <c r="M258" s="256" t="n"/>
      <c r="O258" s="308" t="n"/>
      <c r="P258" s="308" t="n"/>
      <c r="Q258" s="308" t="n"/>
      <c r="R258" s="308" t="n"/>
    </row>
    <row r="259" ht="15" customHeight="1" s="700" thickBot="1">
      <c r="A259" s="562" t="n"/>
      <c r="B259" s="46" t="n"/>
      <c r="C259" s="46" t="n"/>
      <c r="D259" s="46" t="n"/>
      <c r="E259" s="46" t="n"/>
      <c r="F259" s="46" t="n"/>
      <c r="G259" s="46" t="n"/>
      <c r="H259" s="46" t="n"/>
      <c r="I259" s="46" t="n"/>
      <c r="J259" s="46" t="n"/>
      <c r="K259" s="485" t="n"/>
    </row>
    <row r="260" ht="18" customHeight="1" s="700">
      <c r="A260" s="562" t="n"/>
      <c r="B260" s="262" t="inlineStr">
        <is>
          <t>NudoViridi5 - LAT</t>
        </is>
      </c>
      <c r="C260" s="671" t="inlineStr">
        <is>
          <t>BeforeCOD: ACC+SPV+O&amp;M Manag</t>
        </is>
      </c>
      <c r="D260" s="667" t="n"/>
      <c r="E260" s="672" t="n"/>
      <c r="F260" s="209" t="n"/>
      <c r="G260" s="662" t="n"/>
      <c r="H260" s="205" t="n"/>
      <c r="I260" s="131" t="n"/>
      <c r="J260" s="46" t="n"/>
      <c r="K260" s="485" t="n"/>
    </row>
    <row r="261" ht="15.75" customHeight="1" s="700" thickBot="1">
      <c r="A261" s="562" t="n"/>
      <c r="B261" s="364" t="n"/>
      <c r="C261" s="210" t="inlineStr">
        <is>
          <t xml:space="preserve"> </t>
        </is>
      </c>
      <c r="D261" s="203">
        <f>(1282.5*12)*N261</f>
        <v/>
      </c>
      <c r="E261" s="211" t="n"/>
      <c r="F261" s="207" t="n"/>
      <c r="G261" s="58" t="n"/>
      <c r="H261" s="123" t="n"/>
      <c r="I261" s="131" t="inlineStr">
        <is>
          <t>Facturación por trimestres vencidos</t>
        </is>
      </c>
      <c r="J261" s="46" t="n"/>
      <c r="K261" s="486" t="n"/>
      <c r="M261" s="142" t="inlineStr">
        <is>
          <t xml:space="preserve">Actualización </t>
        </is>
      </c>
      <c r="N261" s="143">
        <f>1*(1+O262)*(1+P262)*(1+Q262)*(1+R262)</f>
        <v/>
      </c>
      <c r="O261" s="305" t="inlineStr">
        <is>
          <t>IPC26</t>
        </is>
      </c>
      <c r="P261" s="305" t="inlineStr">
        <is>
          <t>IPC27</t>
        </is>
      </c>
      <c r="Q261" s="305" t="inlineStr">
        <is>
          <t>IPC28</t>
        </is>
      </c>
      <c r="R261" s="305" t="inlineStr">
        <is>
          <t>IPC29</t>
        </is>
      </c>
    </row>
    <row r="262" ht="15" customHeight="1" s="700" thickBot="1">
      <c r="A262" s="562" t="n"/>
      <c r="B262" s="46" t="n"/>
      <c r="C262" s="212" t="inlineStr">
        <is>
          <t>Referrel Fee:</t>
        </is>
      </c>
      <c r="D262" s="718">
        <f>+D261*0.15</f>
        <v/>
      </c>
      <c r="E262" s="214" t="n"/>
      <c r="F262" s="46" t="n"/>
      <c r="G262" s="46" t="n"/>
      <c r="H262" s="46" t="n"/>
      <c r="I262" s="46" t="n"/>
      <c r="J262" s="357" t="n">
        <v>0.15</v>
      </c>
      <c r="K262" s="486" t="n"/>
      <c r="M262" s="256" t="n"/>
      <c r="O262" s="308" t="n"/>
      <c r="P262" s="308" t="n"/>
      <c r="Q262" s="308" t="n"/>
      <c r="R262" s="308" t="n"/>
    </row>
    <row r="263" ht="15" customHeight="1" s="700" thickBot="1">
      <c r="A263" s="562" t="n"/>
      <c r="B263" s="46" t="n"/>
      <c r="C263" s="46" t="n"/>
      <c r="D263" s="46" t="n"/>
      <c r="E263" s="46" t="n"/>
      <c r="F263" s="46" t="n"/>
      <c r="G263" s="46" t="n"/>
      <c r="H263" s="46" t="n"/>
      <c r="I263" s="46" t="n"/>
      <c r="J263" s="46" t="n"/>
      <c r="K263" s="485" t="n"/>
    </row>
    <row r="264" ht="18" customHeight="1" s="700">
      <c r="A264" s="562" t="n"/>
      <c r="B264" s="262" t="inlineStr">
        <is>
          <t>NudoViridi6 - LAT</t>
        </is>
      </c>
      <c r="C264" s="671" t="inlineStr">
        <is>
          <t>BeforeCOD: ACC+SPV+O&amp;M Manag</t>
        </is>
      </c>
      <c r="D264" s="667" t="n"/>
      <c r="E264" s="672" t="n"/>
      <c r="F264" s="209" t="n"/>
      <c r="G264" s="662" t="n"/>
      <c r="H264" s="205" t="n"/>
      <c r="I264" s="131" t="n"/>
      <c r="J264" s="46" t="n"/>
      <c r="K264" s="485" t="n"/>
    </row>
    <row r="265" ht="15.75" customHeight="1" s="700" thickBot="1">
      <c r="A265" s="562" t="n"/>
      <c r="B265" s="364" t="n"/>
      <c r="C265" s="210" t="inlineStr">
        <is>
          <t xml:space="preserve"> </t>
        </is>
      </c>
      <c r="D265" s="203">
        <f>(1282.5*12)*N265</f>
        <v/>
      </c>
      <c r="E265" s="211" t="n"/>
      <c r="F265" s="207" t="n"/>
      <c r="G265" s="58" t="n"/>
      <c r="H265" s="123" t="n"/>
      <c r="I265" s="131" t="inlineStr">
        <is>
          <t>Facturación por trimestres vencidos</t>
        </is>
      </c>
      <c r="J265" s="46" t="n"/>
      <c r="K265" s="486" t="n"/>
      <c r="M265" s="142" t="inlineStr">
        <is>
          <t xml:space="preserve">Actualización </t>
        </is>
      </c>
      <c r="N265" s="143">
        <f>1*(1+O266)*(1+P266)*(1+Q266)*(1+R266)</f>
        <v/>
      </c>
      <c r="O265" s="305" t="inlineStr">
        <is>
          <t>IPC26</t>
        </is>
      </c>
      <c r="P265" s="305" t="inlineStr">
        <is>
          <t>IPC27</t>
        </is>
      </c>
      <c r="Q265" s="305" t="inlineStr">
        <is>
          <t>IPC28</t>
        </is>
      </c>
      <c r="R265" s="305" t="inlineStr">
        <is>
          <t>IPC29</t>
        </is>
      </c>
    </row>
    <row r="266" ht="15" customHeight="1" s="700" thickBot="1">
      <c r="A266" s="562" t="n"/>
      <c r="B266" s="46" t="n"/>
      <c r="C266" s="212" t="inlineStr">
        <is>
          <t>Referrel Fee:</t>
        </is>
      </c>
      <c r="D266" s="718">
        <f>+D265*0.15</f>
        <v/>
      </c>
      <c r="E266" s="214" t="n"/>
      <c r="F266" s="46" t="n"/>
      <c r="G266" s="46" t="n"/>
      <c r="H266" s="46" t="n"/>
      <c r="I266" s="46" t="n"/>
      <c r="J266" s="357" t="n">
        <v>0.15</v>
      </c>
      <c r="K266" s="486" t="n"/>
      <c r="M266" s="256" t="n"/>
      <c r="O266" s="308" t="n"/>
      <c r="P266" s="308" t="n"/>
      <c r="Q266" s="308" t="n"/>
      <c r="R266" s="308" t="n"/>
    </row>
    <row r="267" ht="15" customHeight="1" s="700" thickBot="1">
      <c r="A267" s="562" t="n"/>
      <c r="B267" s="46" t="n"/>
      <c r="C267" s="46" t="n"/>
      <c r="D267" s="46" t="n"/>
      <c r="E267" s="46" t="n"/>
      <c r="F267" s="46" t="n"/>
      <c r="G267" s="46" t="n"/>
      <c r="H267" s="46" t="n"/>
      <c r="I267" s="46" t="n"/>
      <c r="J267" s="46" t="n"/>
      <c r="K267" s="485" t="n"/>
    </row>
    <row r="268" ht="18" customHeight="1" s="700">
      <c r="A268" s="562" t="n"/>
      <c r="B268" s="262" t="inlineStr">
        <is>
          <t>NudoViridi7 - LAT SC</t>
        </is>
      </c>
      <c r="C268" s="671" t="inlineStr">
        <is>
          <t>BeforeCOD: ACC+SPV+O&amp;M Manag</t>
        </is>
      </c>
      <c r="D268" s="667" t="n"/>
      <c r="E268" s="672" t="n"/>
      <c r="F268" s="209" t="n"/>
      <c r="G268" s="662" t="n"/>
      <c r="H268" s="205" t="n"/>
      <c r="I268" s="131" t="n"/>
      <c r="J268" s="46" t="n"/>
      <c r="K268" s="485" t="n"/>
    </row>
    <row r="269" ht="15.75" customHeight="1" s="700" thickBot="1">
      <c r="A269" s="562" t="n"/>
      <c r="B269" s="364" t="n"/>
      <c r="C269" s="210" t="inlineStr">
        <is>
          <t xml:space="preserve"> </t>
        </is>
      </c>
      <c r="D269" s="203">
        <f>(1282.5*12)*N269</f>
        <v/>
      </c>
      <c r="E269" s="211" t="n"/>
      <c r="F269" s="207" t="n"/>
      <c r="G269" s="58" t="n"/>
      <c r="H269" s="123" t="n"/>
      <c r="I269" s="131" t="inlineStr">
        <is>
          <t>Facturación por trimestres vencidos</t>
        </is>
      </c>
      <c r="J269" s="46" t="n"/>
      <c r="K269" s="486" t="n"/>
      <c r="M269" s="142" t="inlineStr">
        <is>
          <t xml:space="preserve">Actualización </t>
        </is>
      </c>
      <c r="N269" s="143">
        <f>1*(1+O270)*(1+P270)*(1+Q270)*(1+R270)</f>
        <v/>
      </c>
      <c r="O269" s="305" t="inlineStr">
        <is>
          <t>IPC26</t>
        </is>
      </c>
      <c r="P269" s="305" t="inlineStr">
        <is>
          <t>IPC27</t>
        </is>
      </c>
      <c r="Q269" s="305" t="inlineStr">
        <is>
          <t>IPC28</t>
        </is>
      </c>
      <c r="R269" s="305" t="inlineStr">
        <is>
          <t>IPC29</t>
        </is>
      </c>
    </row>
    <row r="270" ht="15" customHeight="1" s="700" thickBot="1">
      <c r="A270" s="562" t="n"/>
      <c r="B270" s="46" t="n"/>
      <c r="C270" s="212" t="inlineStr">
        <is>
          <t>Referrel Fee:</t>
        </is>
      </c>
      <c r="D270" s="718">
        <f>+D269*0.15</f>
        <v/>
      </c>
      <c r="E270" s="214" t="n"/>
      <c r="F270" s="46" t="n"/>
      <c r="G270" s="46" t="n"/>
      <c r="H270" s="46" t="n"/>
      <c r="I270" s="46" t="n"/>
      <c r="J270" s="357" t="n">
        <v>0.15</v>
      </c>
      <c r="K270" s="486" t="n"/>
      <c r="M270" s="256" t="n"/>
      <c r="O270" s="308" t="n"/>
      <c r="P270" s="308" t="n"/>
      <c r="Q270" s="308" t="n"/>
      <c r="R270" s="308" t="n"/>
    </row>
    <row r="271" ht="15" customHeight="1" s="700" thickBot="1">
      <c r="A271" s="562" t="n"/>
      <c r="B271" s="46" t="n"/>
      <c r="C271" s="46" t="n"/>
      <c r="D271" s="46" t="n"/>
      <c r="E271" s="46" t="n"/>
      <c r="F271" s="46" t="n"/>
      <c r="G271" s="46" t="n"/>
      <c r="H271" s="46" t="n"/>
      <c r="I271" s="46" t="n"/>
      <c r="J271" s="46" t="n"/>
      <c r="K271" s="485" t="n"/>
    </row>
    <row r="272" ht="18" customHeight="1" s="700">
      <c r="A272" s="562" t="n"/>
      <c r="B272" s="262" t="inlineStr">
        <is>
          <t>NudoViridi8 - ST220 Cedillo</t>
        </is>
      </c>
      <c r="C272" s="671" t="inlineStr">
        <is>
          <t>BeforeCOD: ACC+SPV+O&amp;M Manag</t>
        </is>
      </c>
      <c r="D272" s="667" t="n"/>
      <c r="E272" s="672" t="n"/>
      <c r="F272" s="209" t="n"/>
      <c r="G272" s="662" t="n"/>
      <c r="H272" s="205" t="n"/>
      <c r="I272" s="131" t="n"/>
      <c r="J272" s="46" t="n"/>
      <c r="K272" s="485" t="n"/>
    </row>
    <row r="273" ht="15.75" customHeight="1" s="700" thickBot="1">
      <c r="A273" s="562" t="n"/>
      <c r="B273" s="364" t="n"/>
      <c r="C273" s="210" t="inlineStr">
        <is>
          <t xml:space="preserve"> </t>
        </is>
      </c>
      <c r="D273" s="203">
        <f>(1282.5*12)*N273</f>
        <v/>
      </c>
      <c r="E273" s="211" t="n"/>
      <c r="F273" s="207" t="n"/>
      <c r="G273" s="58" t="n"/>
      <c r="H273" s="123" t="n"/>
      <c r="I273" s="131" t="inlineStr">
        <is>
          <t>Facturación por trimestres vencidos</t>
        </is>
      </c>
      <c r="J273" s="46" t="n"/>
      <c r="K273" s="486" t="n"/>
      <c r="M273" s="142" t="inlineStr">
        <is>
          <t xml:space="preserve">Actualización </t>
        </is>
      </c>
      <c r="N273" s="143">
        <f>1*(1+O274)*(1+P274)*(1+Q274)*(1+R274)</f>
        <v/>
      </c>
      <c r="O273" s="305" t="inlineStr">
        <is>
          <t>IPC26</t>
        </is>
      </c>
      <c r="P273" s="305" t="inlineStr">
        <is>
          <t>IPC27</t>
        </is>
      </c>
      <c r="Q273" s="305" t="inlineStr">
        <is>
          <t>IPC28</t>
        </is>
      </c>
      <c r="R273" s="305" t="inlineStr">
        <is>
          <t>IPC29</t>
        </is>
      </c>
    </row>
    <row r="274" ht="15" customHeight="1" s="700" thickBot="1">
      <c r="A274" s="562" t="n"/>
      <c r="B274" s="46" t="n"/>
      <c r="C274" s="212" t="inlineStr">
        <is>
          <t>Referrel Fee:</t>
        </is>
      </c>
      <c r="D274" s="718">
        <f>+D273*0.15</f>
        <v/>
      </c>
      <c r="E274" s="214" t="n"/>
      <c r="F274" s="46" t="n"/>
      <c r="G274" s="46" t="n"/>
      <c r="H274" s="46" t="n"/>
      <c r="I274" s="46" t="n"/>
      <c r="J274" s="357" t="n">
        <v>0.15</v>
      </c>
      <c r="K274" s="486" t="n"/>
      <c r="M274" s="256" t="n"/>
      <c r="O274" s="308" t="n"/>
      <c r="P274" s="308" t="n"/>
      <c r="Q274" s="308" t="n"/>
      <c r="R274" s="308" t="n"/>
    </row>
    <row r="275" ht="15" customHeight="1" s="700" thickBot="1">
      <c r="A275" s="562" t="n"/>
      <c r="B275" s="46" t="n"/>
      <c r="C275" s="46" t="n"/>
      <c r="D275" s="46" t="n"/>
      <c r="E275" s="46" t="n"/>
      <c r="F275" s="46" t="n"/>
      <c r="G275" s="46" t="n"/>
      <c r="H275" s="46" t="n"/>
      <c r="I275" s="46" t="n"/>
      <c r="J275" s="46" t="n"/>
      <c r="K275" s="485" t="n"/>
    </row>
    <row r="276" ht="18" customHeight="1" s="700">
      <c r="A276" s="562" t="n"/>
      <c r="B276" s="262" t="inlineStr">
        <is>
          <t>NudoViridi9 - ST220 Carranque</t>
        </is>
      </c>
      <c r="C276" s="671" t="inlineStr">
        <is>
          <t>BeforeCOD: ACC+SPV+O&amp;M Manag</t>
        </is>
      </c>
      <c r="D276" s="667" t="n"/>
      <c r="E276" s="672" t="n"/>
      <c r="F276" s="209" t="n"/>
      <c r="G276" s="662" t="n"/>
      <c r="H276" s="205" t="n"/>
      <c r="I276" s="131" t="n"/>
      <c r="J276" s="46" t="n"/>
      <c r="K276" s="485" t="n"/>
    </row>
    <row r="277" ht="15.75" customHeight="1" s="700" thickBot="1">
      <c r="A277" s="562" t="n"/>
      <c r="B277" s="364" t="n"/>
      <c r="C277" s="210" t="inlineStr">
        <is>
          <t xml:space="preserve"> </t>
        </is>
      </c>
      <c r="D277" s="203">
        <f>(1282.5*12)*N277</f>
        <v/>
      </c>
      <c r="E277" s="211" t="n"/>
      <c r="F277" s="207" t="n"/>
      <c r="G277" s="58" t="n"/>
      <c r="H277" s="123" t="n"/>
      <c r="I277" s="131" t="inlineStr">
        <is>
          <t>Facturación por trimestres vencidos</t>
        </is>
      </c>
      <c r="J277" s="46" t="n"/>
      <c r="K277" s="486" t="n"/>
      <c r="M277" s="142" t="inlineStr">
        <is>
          <t xml:space="preserve">Actualización </t>
        </is>
      </c>
      <c r="N277" s="143">
        <f>1*(1+O278)*(1+P278)*(1+Q278)*(1+R278)</f>
        <v/>
      </c>
      <c r="O277" s="305" t="inlineStr">
        <is>
          <t>IPC26</t>
        </is>
      </c>
      <c r="P277" s="305" t="inlineStr">
        <is>
          <t>IPC27</t>
        </is>
      </c>
      <c r="Q277" s="305" t="inlineStr">
        <is>
          <t>IPC28</t>
        </is>
      </c>
      <c r="R277" s="305" t="inlineStr">
        <is>
          <t>IPC29</t>
        </is>
      </c>
    </row>
    <row r="278" ht="15" customHeight="1" s="700" thickBot="1">
      <c r="A278" s="562" t="n"/>
      <c r="B278" s="46" t="n"/>
      <c r="C278" s="212" t="inlineStr">
        <is>
          <t>Referrel Fee:</t>
        </is>
      </c>
      <c r="D278" s="718">
        <f>+D277*0.15</f>
        <v/>
      </c>
      <c r="E278" s="214" t="n"/>
      <c r="F278" s="46" t="n"/>
      <c r="G278" s="46" t="n"/>
      <c r="H278" s="46" t="n"/>
      <c r="I278" s="46" t="n"/>
      <c r="J278" s="357" t="n">
        <v>0.15</v>
      </c>
      <c r="K278" s="486" t="n"/>
      <c r="M278" s="256" t="n"/>
      <c r="O278" s="308" t="n"/>
      <c r="P278" s="308" t="n"/>
      <c r="Q278" s="308" t="n"/>
      <c r="R278" s="308" t="n"/>
    </row>
    <row r="279" ht="15" customHeight="1" s="700" thickBot="1">
      <c r="A279" s="562" t="n"/>
      <c r="B279" s="46" t="n"/>
      <c r="C279" s="46" t="n"/>
      <c r="D279" s="46" t="n"/>
      <c r="E279" s="46" t="n"/>
      <c r="F279" s="46" t="n"/>
      <c r="G279" s="46" t="n"/>
      <c r="H279" s="46" t="n"/>
      <c r="I279" s="46" t="n"/>
      <c r="J279" s="46" t="n"/>
      <c r="K279" s="485" t="n"/>
    </row>
    <row r="280" ht="18" customHeight="1" s="700">
      <c r="A280" s="562" t="n"/>
      <c r="B280" s="262" t="inlineStr">
        <is>
          <t>NudoViridi10 - ST220 Ebisu</t>
        </is>
      </c>
      <c r="C280" s="671" t="inlineStr">
        <is>
          <t>BeforeCOD: ACC+SPV+O&amp;M Manag</t>
        </is>
      </c>
      <c r="D280" s="667" t="n"/>
      <c r="E280" s="672" t="n"/>
      <c r="F280" s="209" t="n"/>
      <c r="G280" s="662" t="n"/>
      <c r="H280" s="205" t="n"/>
      <c r="I280" s="131" t="n"/>
      <c r="J280" s="46" t="n"/>
      <c r="K280" s="485" t="n"/>
    </row>
    <row r="281" ht="15.75" customHeight="1" s="700" thickBot="1">
      <c r="A281" s="562" t="n"/>
      <c r="B281" s="364" t="n"/>
      <c r="C281" s="210" t="inlineStr">
        <is>
          <t xml:space="preserve"> </t>
        </is>
      </c>
      <c r="D281" s="203">
        <f>(1282.5*12)*N281</f>
        <v/>
      </c>
      <c r="E281" s="211" t="n"/>
      <c r="F281" s="207" t="n"/>
      <c r="G281" s="58" t="n"/>
      <c r="H281" s="123" t="n"/>
      <c r="I281" s="131" t="inlineStr">
        <is>
          <t>Facturación por trimestres vencidos</t>
        </is>
      </c>
      <c r="J281" s="46" t="n"/>
      <c r="K281" s="486" t="n"/>
      <c r="M281" s="142" t="inlineStr">
        <is>
          <t xml:space="preserve">Actualización </t>
        </is>
      </c>
      <c r="N281" s="143">
        <f>1*(1+O282)*(1+P282)*(1+Q282)*(1+R282)</f>
        <v/>
      </c>
      <c r="O281" s="305" t="inlineStr">
        <is>
          <t>IPC26</t>
        </is>
      </c>
      <c r="P281" s="305" t="inlineStr">
        <is>
          <t>IPC27</t>
        </is>
      </c>
      <c r="Q281" s="305" t="inlineStr">
        <is>
          <t>IPC28</t>
        </is>
      </c>
      <c r="R281" s="305" t="inlineStr">
        <is>
          <t>IPC29</t>
        </is>
      </c>
    </row>
    <row r="282" ht="15" customHeight="1" s="700" thickBot="1">
      <c r="A282" s="562" t="n"/>
      <c r="B282" s="46" t="n"/>
      <c r="C282" s="212" t="inlineStr">
        <is>
          <t>Referrel Fee:</t>
        </is>
      </c>
      <c r="D282" s="718">
        <f>+D281*0.15</f>
        <v/>
      </c>
      <c r="E282" s="214" t="n"/>
      <c r="F282" s="46" t="n"/>
      <c r="G282" s="46" t="n"/>
      <c r="H282" s="46" t="n"/>
      <c r="I282" s="46" t="n"/>
      <c r="J282" s="357" t="n">
        <v>0.15</v>
      </c>
      <c r="K282" s="486" t="n"/>
      <c r="M282" s="256" t="n"/>
      <c r="O282" s="308" t="n"/>
      <c r="P282" s="308" t="n"/>
      <c r="Q282" s="308" t="n"/>
      <c r="R282" s="308" t="n"/>
    </row>
    <row r="283" ht="15" customHeight="1" s="700" thickBot="1">
      <c r="A283" s="562" t="n"/>
      <c r="B283" s="46" t="n"/>
      <c r="C283" s="46" t="n"/>
      <c r="D283" s="46" t="n"/>
      <c r="E283" s="46" t="n"/>
      <c r="F283" s="46" t="n"/>
      <c r="G283" s="46" t="n"/>
      <c r="H283" s="46" t="n"/>
      <c r="I283" s="46" t="n"/>
      <c r="J283" s="46" t="n"/>
      <c r="K283" s="485" t="n"/>
    </row>
    <row r="284" ht="18" customHeight="1" s="700">
      <c r="A284" s="562" t="n"/>
      <c r="B284" s="262" t="inlineStr">
        <is>
          <t>ADENDA SUN TOL (ÉBORA)</t>
        </is>
      </c>
      <c r="C284" s="683" t="n"/>
      <c r="D284" s="667" t="n"/>
      <c r="E284" s="672" t="n"/>
      <c r="F284" s="549" t="inlineStr">
        <is>
          <t>Consult</t>
        </is>
      </c>
      <c r="G284" s="683" t="n"/>
      <c r="H284" s="380" t="n"/>
      <c r="I284" s="131" t="n"/>
      <c r="J284" s="46" t="n"/>
      <c r="K284" s="485" t="n"/>
    </row>
    <row r="285" ht="15.75" customHeight="1" s="700" thickBot="1">
      <c r="A285" s="562" t="n"/>
      <c r="B285" s="364" t="inlineStr">
        <is>
          <t>LEGAL SUN TOL (1 AÑO)</t>
        </is>
      </c>
      <c r="C285" s="210" t="inlineStr">
        <is>
          <t xml:space="preserve"> </t>
        </is>
      </c>
      <c r="D285" s="203" t="n">
        <v>0</v>
      </c>
      <c r="E285" s="211" t="n"/>
      <c r="F285" s="379">
        <f>(3040*12)*N285</f>
        <v/>
      </c>
      <c r="G285" s="383" t="n"/>
      <c r="H285" s="381" t="n"/>
      <c r="I285" s="131" t="inlineStr">
        <is>
          <t>Facturación por trimestres vencidos</t>
        </is>
      </c>
      <c r="J285" s="46" t="n"/>
      <c r="K285" s="486" t="n"/>
      <c r="M285" s="584" t="inlineStr">
        <is>
          <t>Finalización:</t>
        </is>
      </c>
      <c r="N285" s="143">
        <f>1*(1+O286)*(1+P286)*(1+Q286)*(1+R286)</f>
        <v/>
      </c>
      <c r="O285" s="378" t="inlineStr">
        <is>
          <t>--</t>
        </is>
      </c>
      <c r="P285" s="378" t="inlineStr">
        <is>
          <t>--</t>
        </is>
      </c>
      <c r="Q285" s="378" t="inlineStr">
        <is>
          <t>--</t>
        </is>
      </c>
      <c r="R285" s="378" t="inlineStr">
        <is>
          <t>--</t>
        </is>
      </c>
    </row>
    <row r="286">
      <c r="A286" s="562" t="n"/>
      <c r="B286" s="46" t="n"/>
      <c r="C286" s="46" t="n"/>
      <c r="D286" s="46" t="n"/>
      <c r="E286" s="46" t="n"/>
      <c r="F286" s="46" t="n"/>
      <c r="G286" s="46" t="n"/>
      <c r="H286" s="46" t="n"/>
      <c r="I286" s="46" t="n"/>
      <c r="J286" s="46" t="n"/>
      <c r="K286" s="486" t="n"/>
      <c r="M286" s="585" t="n">
        <v>46225</v>
      </c>
      <c r="O286" s="308" t="n"/>
      <c r="P286" s="308" t="n"/>
      <c r="Q286" s="308" t="n"/>
      <c r="R286" s="308" t="n"/>
    </row>
    <row r="287">
      <c r="A287" s="562" t="n"/>
      <c r="B287" s="46" t="n"/>
      <c r="C287" s="46" t="n"/>
      <c r="D287" s="46" t="n"/>
      <c r="E287" s="46" t="n"/>
      <c r="F287" s="46" t="n"/>
      <c r="G287" s="46" t="n"/>
      <c r="H287" s="46" t="n"/>
      <c r="I287" s="46" t="n"/>
      <c r="J287" s="46" t="n"/>
    </row>
    <row r="288">
      <c r="A288" s="562" t="n"/>
      <c r="B288" s="46" t="n"/>
      <c r="C288" s="46" t="n"/>
      <c r="D288" s="46" t="n"/>
      <c r="E288" s="46" t="n"/>
      <c r="F288" s="46" t="n"/>
      <c r="G288" s="46" t="n"/>
      <c r="H288" s="46" t="n"/>
      <c r="I288" s="46" t="n"/>
      <c r="J288" s="46" t="n"/>
    </row>
    <row r="289">
      <c r="A289" s="562" t="n"/>
      <c r="B289" s="46" t="n"/>
      <c r="C289" s="46" t="n"/>
      <c r="D289" s="46" t="n"/>
      <c r="E289" s="46" t="n"/>
      <c r="F289" s="46" t="n"/>
      <c r="G289" s="46" t="n"/>
      <c r="H289" s="46" t="n"/>
      <c r="I289" s="46" t="n"/>
      <c r="J289" s="46" t="n"/>
    </row>
    <row r="290">
      <c r="A290" s="562" t="n"/>
      <c r="B290" s="46" t="n"/>
      <c r="C290" s="46" t="n"/>
      <c r="D290" s="46" t="n"/>
      <c r="E290" s="46" t="n"/>
      <c r="F290" s="46" t="n"/>
      <c r="G290" s="46" t="n"/>
      <c r="H290" s="46" t="n"/>
      <c r="I290" s="46" t="n"/>
      <c r="J290" s="46" t="n"/>
    </row>
    <row r="291">
      <c r="A291" s="562" t="n"/>
      <c r="B291" s="46" t="n"/>
      <c r="C291" s="46" t="n"/>
      <c r="D291" s="46" t="n"/>
      <c r="E291" s="46" t="n"/>
      <c r="F291" s="46" t="n"/>
      <c r="G291" s="46" t="n"/>
      <c r="H291" s="46" t="n"/>
      <c r="I291" s="46" t="n"/>
      <c r="J291" s="46" t="n"/>
    </row>
    <row r="292">
      <c r="A292" s="562" t="n"/>
      <c r="B292" s="46" t="n"/>
      <c r="C292" s="46" t="n"/>
      <c r="D292" s="46" t="n"/>
      <c r="E292" s="46" t="n"/>
      <c r="F292" s="46" t="n"/>
      <c r="G292" s="46" t="n"/>
      <c r="H292" s="46" t="n"/>
      <c r="I292" s="46" t="n"/>
      <c r="J292" s="46" t="n"/>
    </row>
    <row r="293">
      <c r="A293" s="562" t="n"/>
      <c r="B293" s="46" t="n"/>
      <c r="C293" s="46" t="n"/>
      <c r="D293" s="46" t="n"/>
      <c r="E293" s="46" t="n"/>
      <c r="F293" s="46" t="n"/>
      <c r="G293" s="46" t="n"/>
      <c r="H293" s="46" t="n"/>
      <c r="I293" s="46" t="n"/>
      <c r="J293" s="46" t="n"/>
    </row>
    <row r="294">
      <c r="A294" s="562" t="n"/>
      <c r="B294" s="46" t="n"/>
      <c r="C294" s="46" t="n"/>
      <c r="D294" s="46" t="n"/>
      <c r="E294" s="46" t="n"/>
      <c r="F294" s="46" t="n"/>
      <c r="G294" s="46" t="n"/>
      <c r="H294" s="46" t="n"/>
      <c r="I294" s="46" t="n"/>
    </row>
    <row r="295">
      <c r="A295" s="562" t="n"/>
      <c r="B295" s="46" t="n"/>
      <c r="C295" s="46" t="n"/>
      <c r="D295" s="46" t="n"/>
      <c r="E295" s="46" t="n"/>
      <c r="F295" s="46" t="n"/>
      <c r="G295" s="46" t="n"/>
      <c r="H295" s="46" t="n"/>
      <c r="I295" s="46" t="n"/>
      <c r="J295" s="46" t="n"/>
    </row>
    <row r="296">
      <c r="A296" s="562" t="n"/>
      <c r="B296" s="46" t="n"/>
      <c r="C296" s="46" t="n"/>
      <c r="D296" s="46" t="n"/>
      <c r="E296" s="46" t="n"/>
      <c r="F296" s="46" t="n"/>
      <c r="G296" s="46" t="n"/>
      <c r="H296" s="46" t="n"/>
      <c r="I296" s="46" t="n"/>
      <c r="J296" s="46" t="n"/>
    </row>
    <row r="297">
      <c r="A297" s="562" t="n"/>
      <c r="B297" s="46" t="n"/>
      <c r="C297" s="46" t="n"/>
      <c r="D297" s="46" t="n"/>
      <c r="E297" s="46" t="n"/>
      <c r="F297" s="46" t="n"/>
      <c r="G297" s="46" t="n"/>
      <c r="H297" s="46" t="n"/>
      <c r="I297" s="46" t="n"/>
      <c r="J297" s="46" t="n"/>
    </row>
    <row r="298">
      <c r="A298" s="562" t="n"/>
      <c r="B298" s="46" t="n"/>
      <c r="C298" s="46" t="n"/>
      <c r="D298" s="46" t="n"/>
      <c r="E298" s="46" t="n"/>
      <c r="F298" s="46" t="n"/>
      <c r="G298" s="46" t="n"/>
      <c r="H298" s="46" t="n"/>
      <c r="I298" s="46" t="n"/>
      <c r="J298" s="46" t="n"/>
    </row>
    <row r="299">
      <c r="A299" s="562" t="n"/>
      <c r="B299" s="46" t="n"/>
      <c r="C299" s="46" t="n"/>
      <c r="D299" s="46" t="n"/>
      <c r="E299" s="46" t="n"/>
      <c r="F299" s="46" t="n"/>
      <c r="G299" s="46" t="n"/>
      <c r="H299" s="46" t="n"/>
      <c r="I299" s="46" t="n"/>
      <c r="J299" s="46" t="n"/>
    </row>
  </sheetData>
  <mergeCells count="74">
    <mergeCell ref="C168:E168"/>
    <mergeCell ref="C117:E117"/>
    <mergeCell ref="C93:E93"/>
    <mergeCell ref="C180:E180"/>
    <mergeCell ref="C31:E31"/>
    <mergeCell ref="C164:E164"/>
    <mergeCell ref="M12:M18"/>
    <mergeCell ref="J19:K19"/>
    <mergeCell ref="E23:F23"/>
    <mergeCell ref="C276:E276"/>
    <mergeCell ref="C236:E236"/>
    <mergeCell ref="C176:E176"/>
    <mergeCell ref="C148:E148"/>
    <mergeCell ref="C105:E105"/>
    <mergeCell ref="O5:O8"/>
    <mergeCell ref="C252:E252"/>
    <mergeCell ref="C192:E192"/>
    <mergeCell ref="C188:E188"/>
    <mergeCell ref="C232:E232"/>
    <mergeCell ref="C121:E121"/>
    <mergeCell ref="C65:E65"/>
    <mergeCell ref="C244:E244"/>
    <mergeCell ref="C132:E132"/>
    <mergeCell ref="R15:S15"/>
    <mergeCell ref="C61:E61"/>
    <mergeCell ref="C228:E228"/>
    <mergeCell ref="C272:E272"/>
    <mergeCell ref="C268:E268"/>
    <mergeCell ref="C224:E224"/>
    <mergeCell ref="C144:E144"/>
    <mergeCell ref="C125:E125"/>
    <mergeCell ref="C81:E81"/>
    <mergeCell ref="C240:E240"/>
    <mergeCell ref="C280:E280"/>
    <mergeCell ref="C109:E109"/>
    <mergeCell ref="C264:E264"/>
    <mergeCell ref="C57:E57"/>
    <mergeCell ref="M5:M9"/>
    <mergeCell ref="C208:E208"/>
    <mergeCell ref="C53:E53"/>
    <mergeCell ref="C140:E140"/>
    <mergeCell ref="C27:D27"/>
    <mergeCell ref="C69:E69"/>
    <mergeCell ref="E27:F27"/>
    <mergeCell ref="C49:E49"/>
    <mergeCell ref="C220:E220"/>
    <mergeCell ref="C101:E101"/>
    <mergeCell ref="C136:E136"/>
    <mergeCell ref="C248:E248"/>
    <mergeCell ref="A5:A8"/>
    <mergeCell ref="C77:E77"/>
    <mergeCell ref="C23:D23"/>
    <mergeCell ref="C39:D39"/>
    <mergeCell ref="C204:E204"/>
    <mergeCell ref="C160:E160"/>
    <mergeCell ref="C256:E256"/>
    <mergeCell ref="C85:E85"/>
    <mergeCell ref="C284:E284"/>
    <mergeCell ref="C260:E260"/>
    <mergeCell ref="C89:E89"/>
    <mergeCell ref="S6:U7"/>
    <mergeCell ref="C156:E156"/>
    <mergeCell ref="C45:E45"/>
    <mergeCell ref="C216:E216"/>
    <mergeCell ref="C97:E97"/>
    <mergeCell ref="C172:E172"/>
    <mergeCell ref="C73:E73"/>
    <mergeCell ref="C128:E128"/>
    <mergeCell ref="C184:E184"/>
    <mergeCell ref="C200:E200"/>
    <mergeCell ref="C113:E113"/>
    <mergeCell ref="C152:E152"/>
    <mergeCell ref="C196:E196"/>
    <mergeCell ref="C212:E212"/>
  </mergeCells>
  <pageMargins left="0.7" right="0.7" top="0.75" bottom="0.75" header="0.3" footer="0.3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Hoja1">
    <tabColor rgb="FF92D050"/>
    <outlinePr summaryBelow="1" summaryRight="1"/>
    <pageSetUpPr fitToPage="1"/>
  </sheetPr>
  <dimension ref="A1:CB1535"/>
  <sheetViews>
    <sheetView zoomScale="80" zoomScaleNormal="80" workbookViewId="0">
      <pane xSplit="10" ySplit="1" topLeftCell="K372" activePane="bottomRight" state="frozen"/>
      <selection pane="topRight" activeCell="K1" sqref="K1"/>
      <selection pane="bottomLeft" activeCell="A2" sqref="A2"/>
      <selection pane="bottomRight" activeCell="A385" sqref="A385:XFD385"/>
    </sheetView>
  </sheetViews>
  <sheetFormatPr baseColWidth="10" defaultColWidth="11.3828125" defaultRowHeight="15" customHeight="1"/>
  <cols>
    <col width="9.84375" customWidth="1" style="1" min="1" max="1"/>
    <col width="10.84375" customWidth="1" style="1" min="2" max="2"/>
    <col hidden="1" width="28.3828125" customWidth="1" style="1" min="3" max="3"/>
    <col hidden="1" width="11.84375" customWidth="1" style="1" min="4" max="4"/>
    <col hidden="1" width="13.84375" customWidth="1" style="1" min="5" max="5"/>
    <col hidden="1" width="22.53515625" customWidth="1" style="1" min="6" max="6"/>
    <col width="44.3828125" customWidth="1" style="1" min="7" max="7"/>
    <col width="18.53515625" customWidth="1" style="1" min="8" max="8"/>
    <col width="30.3828125" customWidth="1" style="1" min="9" max="9"/>
    <col width="30" customWidth="1" style="4" min="10" max="10"/>
    <col width="59.3828125" customWidth="1" style="1" min="11" max="11"/>
    <col width="12.3828125" customWidth="1" style="5" min="12" max="12"/>
    <col width="64" customWidth="1" style="1" min="13" max="13"/>
    <col width="16.53515625" bestFit="1" customWidth="1" style="5" min="14" max="14"/>
    <col width="59.53515625" customWidth="1" style="1" min="15" max="15"/>
    <col width="16.53515625" customWidth="1" style="5" min="16" max="16"/>
    <col width="39.3828125" customWidth="1" style="1" min="17" max="17"/>
    <col width="11.3828125" customWidth="1" style="5" min="18" max="18"/>
    <col width="11.3828125" customWidth="1" style="1" min="19" max="19"/>
    <col width="11.3828125" customWidth="1" style="5" min="20" max="20"/>
    <col width="11.3828125" customWidth="1" style="1" min="21" max="21"/>
    <col width="11.3828125" customWidth="1" style="5" min="22" max="22"/>
    <col width="11.3828125" customWidth="1" style="1" min="23" max="23"/>
    <col width="11.3828125" customWidth="1" style="5" min="24" max="24"/>
    <col width="41.3828125" customWidth="1" style="1" min="25" max="25"/>
    <col width="11.3828125" customWidth="1" style="5" min="26" max="26"/>
    <col width="13.15234375" customWidth="1" style="5" min="27" max="27"/>
    <col width="30.3046875" bestFit="1" customWidth="1" style="6" min="28" max="28"/>
    <col width="15" customWidth="1" style="6" min="29" max="29"/>
    <col width="17" customWidth="1" style="1" min="30" max="30"/>
    <col width="11.3828125" bestFit="1" customWidth="1" style="1" min="31" max="31"/>
    <col width="9.69140625" customWidth="1" style="6" min="32" max="32"/>
    <col width="12.3828125" customWidth="1" style="1" min="33" max="33"/>
    <col width="14.3828125" customWidth="1" style="1" min="34" max="34"/>
    <col width="13.3828125" customWidth="1" style="1" min="35" max="35"/>
    <col width="14.53515625" customWidth="1" style="1" min="36" max="36"/>
    <col width="11.3828125" customWidth="1" style="1" min="37" max="37"/>
    <col width="21.69140625" customWidth="1" style="4" min="38" max="38"/>
    <col width="20.3046875" customWidth="1" style="1" min="39" max="39"/>
    <col width="11.3828125" customWidth="1" style="1" min="40" max="50"/>
    <col width="11.3828125" customWidth="1" style="1" min="51" max="16384"/>
  </cols>
  <sheetData>
    <row r="1" ht="67.5" customFormat="1" customHeight="1" s="685">
      <c r="A1" s="19" t="inlineStr">
        <is>
          <t>nº Factura</t>
        </is>
      </c>
      <c r="B1" s="19" t="inlineStr">
        <is>
          <t>Fecha Factura</t>
        </is>
      </c>
      <c r="C1" s="684" t="inlineStr">
        <is>
          <t>Emisor</t>
        </is>
      </c>
      <c r="G1" s="684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4" t="inlineStr">
        <is>
          <t>nº cuenta</t>
        </is>
      </c>
      <c r="AC1" s="684" t="inlineStr">
        <is>
          <t>Estado</t>
        </is>
      </c>
      <c r="AD1" s="684" t="inlineStr">
        <is>
          <t>Total</t>
        </is>
      </c>
      <c r="AE1" s="684" t="inlineStr">
        <is>
          <t>AP Asesores</t>
        </is>
      </c>
      <c r="AH1" s="684" t="inlineStr">
        <is>
          <t>Total (+IVA)</t>
        </is>
      </c>
      <c r="AI1" s="684" t="inlineStr">
        <is>
          <t>% Contabilidad</t>
        </is>
      </c>
      <c r="AJ1" s="684" t="inlineStr">
        <is>
          <t>Pendiente</t>
        </is>
      </c>
      <c r="AK1" s="684" t="inlineStr">
        <is>
          <t>cliente</t>
        </is>
      </c>
      <c r="AL1" s="684" t="inlineStr">
        <is>
          <t>DIVISIONES
FACTURACIÓN</t>
        </is>
      </c>
      <c r="AM1" s="684" t="inlineStr">
        <is>
          <t>GRUPOS FACTURACIÓN</t>
        </is>
      </c>
    </row>
    <row r="2" ht="15" customFormat="1" customHeight="1" s="258">
      <c r="A2" s="258" t="n">
        <v>25001</v>
      </c>
      <c r="B2" s="299" t="n">
        <v>45667</v>
      </c>
      <c r="C2" s="258" t="inlineStr">
        <is>
          <t>c/ Las Cruzadas 3A, local D</t>
        </is>
      </c>
      <c r="D2" s="258" t="inlineStr">
        <is>
          <t>Sevilla 41004</t>
        </is>
      </c>
      <c r="E2" s="258" t="inlineStr">
        <is>
          <t>CIF B91938662</t>
        </is>
      </c>
      <c r="F2" s="258" t="inlineStr">
        <is>
          <t>aBalados@abalados.es</t>
        </is>
      </c>
      <c r="G2" s="258" t="inlineStr">
        <is>
          <t>Dehesa Asomadilla Inversiones S.L.U.</t>
        </is>
      </c>
      <c r="H2" s="258">
        <f>VLOOKUP($G2,DATOS!$B:$E,2,FALSE)</f>
        <v/>
      </c>
      <c r="I2" s="258">
        <f>VLOOKUP($G2,DATOS!$B:$E,3,FALSE)</f>
        <v/>
      </c>
      <c r="J2" s="258">
        <f>VLOOKUP($G2,DATOS!$B:$E,4,FALSE)</f>
        <v/>
      </c>
      <c r="K2" s="258" t="inlineStr">
        <is>
          <t>Contabilidad y Fiscalidad de proyecto Valverde - 1º Trimestre</t>
        </is>
      </c>
      <c r="L2" s="469" t="n">
        <v>5717.8926</v>
      </c>
      <c r="M2" s="258" t="inlineStr">
        <is>
          <t>SPV Management  Proyecto Valverde - 1º Trimestre</t>
        </is>
      </c>
      <c r="N2" s="469" t="n">
        <v>3363.46605</v>
      </c>
      <c r="O2" s="258" t="inlineStr">
        <is>
          <t>O&amp;M Management Proyecto Valverde - 1º Trimestre</t>
        </is>
      </c>
      <c r="P2" s="469" t="n">
        <v>2941.911</v>
      </c>
      <c r="Q2" s="258" t="inlineStr">
        <is>
          <t>Consultoría - 1º Trimestre</t>
        </is>
      </c>
      <c r="R2" s="469" t="n">
        <v>2828.902777777778</v>
      </c>
      <c r="S2" s="258" t="inlineStr">
        <is>
          <t>RevisióI IPC Dic'23 - Dic'24 2,80%</t>
        </is>
      </c>
      <c r="T2" s="259" t="n"/>
      <c r="V2" s="259" t="n"/>
      <c r="X2" s="259" t="n"/>
      <c r="Y2" s="258" t="inlineStr">
        <is>
          <t>Gastos derivados de contrato (3,5%)</t>
        </is>
      </c>
      <c r="Z2" s="259">
        <f>(L2+N2+P2+R2+T2+V2+X2)*0.035</f>
        <v/>
      </c>
      <c r="AA2" s="259" t="n"/>
      <c r="AB2" s="260" t="inlineStr">
        <is>
          <t>ES85 2080 3509 1130 4009 6171</t>
        </is>
      </c>
      <c r="AC2" s="258" t="inlineStr">
        <is>
          <t>pagado</t>
        </is>
      </c>
      <c r="AD2" s="259">
        <f>L2+N2+P2+R2+T2+V2+X2+Z2</f>
        <v/>
      </c>
      <c r="AE2" s="259">
        <f>IF((LEFT(K2,6))="Contab",L2,0)</f>
        <v/>
      </c>
      <c r="AF2" s="465">
        <f>VLOOKUP(G2,CLIENTES!B:E,4,FALSE)</f>
        <v/>
      </c>
      <c r="AG2" s="259">
        <f>AF2*AE2</f>
        <v/>
      </c>
      <c r="AH2" s="259">
        <f>AD2*1.21</f>
        <v/>
      </c>
      <c r="AI2" s="264">
        <f>IF(AE2&lt;&gt;0,AG2/AD2,"N/A")</f>
        <v/>
      </c>
      <c r="AJ2" s="259">
        <f>IF(AC2="pendiente",AD2,0)</f>
        <v/>
      </c>
      <c r="AK2" s="258">
        <f>VLOOKUP(G2,CLIENTES!B:D,3,FALSE)</f>
        <v/>
      </c>
      <c r="AL2" s="258" t="inlineStr">
        <is>
          <t>WOC_Asset</t>
        </is>
      </c>
      <c r="AM2" s="258" t="inlineStr">
        <is>
          <t>Administración</t>
        </is>
      </c>
    </row>
    <row r="3" ht="15" customHeight="1" s="700">
      <c r="A3" s="1">
        <f>A2+1</f>
        <v/>
      </c>
      <c r="B3" s="26" t="n">
        <v>45667</v>
      </c>
      <c r="C3" s="1" t="inlineStr">
        <is>
          <t>c/ Las Cruzadas 3A, local D</t>
        </is>
      </c>
      <c r="D3" s="1" t="inlineStr">
        <is>
          <t>Sevilla 41004</t>
        </is>
      </c>
      <c r="E3" s="1" t="inlineStr">
        <is>
          <t>CIF B91938662</t>
        </is>
      </c>
      <c r="F3" s="1" t="inlineStr">
        <is>
          <t>aBalados@abalados.es</t>
        </is>
      </c>
      <c r="G3" s="1" t="inlineStr">
        <is>
          <t>Asomadilla Solar 2007 S.L.U.</t>
        </is>
      </c>
      <c r="H3" s="1">
        <f>VLOOKUP($G3,DATOS!$B:$E,2,FALSE)</f>
        <v/>
      </c>
      <c r="I3" s="1">
        <f>VLOOKUP($G3,DATOS!$B:$E,3,FALSE)</f>
        <v/>
      </c>
      <c r="J3" s="1">
        <f>VLOOKUP($G3,DATOS!$B:$E,4,FALSE)</f>
        <v/>
      </c>
      <c r="K3" s="1" t="inlineStr">
        <is>
          <t>Contabilidad y Fiscalidad de proyecto Castuera - 1º Trimestre</t>
        </is>
      </c>
      <c r="L3" s="470" t="n">
        <v>3659.4495</v>
      </c>
      <c r="M3" s="1" t="inlineStr">
        <is>
          <t>SPV Management  Proyecto Castuera - 1º Trimestre</t>
        </is>
      </c>
      <c r="N3" s="470" t="n">
        <v>2152.61865</v>
      </c>
      <c r="O3" s="1" t="inlineStr">
        <is>
          <t>O&amp;M Management Proyecto Castuera - 1º Trimestre</t>
        </is>
      </c>
      <c r="P3" s="470" t="n">
        <v>1882.8243</v>
      </c>
      <c r="Q3" s="1" t="inlineStr">
        <is>
          <t>Consultoría - 1º Trimestre</t>
        </is>
      </c>
      <c r="R3" s="470" t="n">
        <v>1810.497777777778</v>
      </c>
      <c r="S3" s="1" t="inlineStr">
        <is>
          <t>RevisióI IPC Dic'23 - Dic'24 2,80%</t>
        </is>
      </c>
      <c r="Y3" s="1" t="inlineStr">
        <is>
          <t>Gastos derivados de contrato (3,5%)</t>
        </is>
      </c>
      <c r="Z3" s="5">
        <f>(L3+N3+P3+R3+T3+V3+X3)*0.035</f>
        <v/>
      </c>
      <c r="AB3" s="6" t="inlineStr">
        <is>
          <t>ES85 2080 3509 1130 4009 6171</t>
        </is>
      </c>
      <c r="AC3" s="1" t="inlineStr">
        <is>
          <t>pagado</t>
        </is>
      </c>
      <c r="AD3" s="5">
        <f>L3+N3+P3+R3+T3+V3+X3+Z3</f>
        <v/>
      </c>
      <c r="AE3" s="5">
        <f>IF((LEFT(K3,6))="Contab",L3,0)</f>
        <v/>
      </c>
      <c r="AF3" s="466">
        <f>VLOOKUP(G3,CLIENTES!B:E,4,FALSE)</f>
        <v/>
      </c>
      <c r="AG3" s="5">
        <f>AF3*AE3</f>
        <v/>
      </c>
      <c r="AH3" s="5">
        <f>AD3*1.21</f>
        <v/>
      </c>
      <c r="AI3" s="261">
        <f>IF(AE3&lt;&gt;0,AG3/AD3,"N/A")</f>
        <v/>
      </c>
      <c r="AJ3" s="5">
        <f>IF(AC3="pendiente",AD3,0)</f>
        <v/>
      </c>
      <c r="AK3" s="1">
        <f>VLOOKUP(G3,CLIENTES!B:D,3,FALSE)</f>
        <v/>
      </c>
      <c r="AL3" s="1" t="inlineStr">
        <is>
          <t>WOC_Asset</t>
        </is>
      </c>
      <c r="AM3" s="1" t="inlineStr">
        <is>
          <t>Administración</t>
        </is>
      </c>
    </row>
    <row r="4" ht="15" customHeight="1" s="700">
      <c r="A4" s="1" t="n">
        <v>25003</v>
      </c>
      <c r="B4" s="26" t="n">
        <v>45966</v>
      </c>
      <c r="C4" s="1" t="inlineStr">
        <is>
          <t>c/ Las Cruzadas 3A, local D</t>
        </is>
      </c>
      <c r="D4" s="1" t="inlineStr">
        <is>
          <t>Sevilla 41004</t>
        </is>
      </c>
      <c r="E4" s="1" t="inlineStr">
        <is>
          <t>CIF B91938662</t>
        </is>
      </c>
      <c r="F4" s="1" t="inlineStr">
        <is>
          <t>aBalados@abalados.es</t>
        </is>
      </c>
      <c r="G4" s="1" t="inlineStr">
        <is>
          <t>Amberg II S.L.U.</t>
        </is>
      </c>
      <c r="H4" s="1" t="inlineStr">
        <is>
          <t>CIF B25703596</t>
        </is>
      </c>
      <c r="I4" s="1" t="inlineStr">
        <is>
          <t>c/ Las Cruzadas 3A, local D</t>
        </is>
      </c>
      <c r="J4" s="1" t="inlineStr">
        <is>
          <t>41004 Sevilla</t>
        </is>
      </c>
      <c r="K4" s="1" t="inlineStr">
        <is>
          <t>Honorarios - Contrato O&amp;M 4º Trimestre</t>
        </is>
      </c>
      <c r="L4" s="470" t="n">
        <v>3964.917857460571</v>
      </c>
      <c r="N4" s="470" t="n"/>
      <c r="P4" s="470" t="n"/>
      <c r="R4" s="470" t="n"/>
      <c r="Y4" s="1" t="inlineStr">
        <is>
          <t>Gastos derivados de contrato (3,5%)</t>
        </is>
      </c>
      <c r="Z4" s="5" t="n">
        <v>138.77212501112</v>
      </c>
      <c r="AB4" s="6" t="inlineStr">
        <is>
          <t>ES85 2080 3509 1130 4009 6171</t>
        </is>
      </c>
      <c r="AC4" s="1" t="inlineStr">
        <is>
          <t>pendiente</t>
        </is>
      </c>
      <c r="AD4" s="5" t="n">
        <v>4103.689982471691</v>
      </c>
      <c r="AE4" s="5" t="n">
        <v>0</v>
      </c>
      <c r="AF4" s="466" t="n">
        <v>0.5</v>
      </c>
      <c r="AG4" s="5" t="n">
        <v>0</v>
      </c>
      <c r="AH4" s="5" t="n">
        <v>4965.464878790746</v>
      </c>
      <c r="AI4" s="261" t="inlineStr">
        <is>
          <t>N/A</t>
        </is>
      </c>
      <c r="AJ4" s="5" t="n">
        <v>4103.689982471691</v>
      </c>
      <c r="AK4" s="1" t="inlineStr">
        <is>
          <t>2011-006</t>
        </is>
      </c>
      <c r="AL4" s="1" t="inlineStr">
        <is>
          <t>WOC_OM</t>
        </is>
      </c>
      <c r="AM4" s="1" t="inlineStr">
        <is>
          <t>Explotación</t>
        </is>
      </c>
    </row>
    <row r="5" ht="15" customHeight="1" s="700">
      <c r="A5" s="1">
        <f>A4+1</f>
        <v/>
      </c>
      <c r="B5" s="26" t="n">
        <v>45667</v>
      </c>
      <c r="C5" s="1" t="inlineStr">
        <is>
          <t>c/ Las Cruzadas 3A, local D</t>
        </is>
      </c>
      <c r="D5" s="1" t="inlineStr">
        <is>
          <t>Sevilla 41004</t>
        </is>
      </c>
      <c r="E5" s="1" t="inlineStr">
        <is>
          <t>CIF B91938662</t>
        </is>
      </c>
      <c r="F5" s="1" t="inlineStr">
        <is>
          <t>aBalados@abalados.es</t>
        </is>
      </c>
      <c r="G5" s="1" t="inlineStr">
        <is>
          <t>Lugec Inversión Solar S.L.U.</t>
        </is>
      </c>
      <c r="H5" s="1">
        <f>VLOOKUP($G5,DATOS!$B:$E,2,FALSE)</f>
        <v/>
      </c>
      <c r="I5" s="1">
        <f>VLOOKUP($G5,DATOS!$B:$E,3,FALSE)</f>
        <v/>
      </c>
      <c r="J5" s="1">
        <f>VLOOKUP($G5,DATOS!$B:$E,4,FALSE)</f>
        <v/>
      </c>
      <c r="K5" s="1" t="inlineStr">
        <is>
          <t>Contabilidad y Fiscalidad de proyecto Bonaire - 1º Trimestre</t>
        </is>
      </c>
      <c r="L5" s="470" t="n">
        <v>686.1455999999999</v>
      </c>
      <c r="M5" s="1" t="inlineStr">
        <is>
          <t>SPV Management  Proyecto Bonaire - 1º Trimestre</t>
        </is>
      </c>
      <c r="N5" s="470" t="n">
        <v>403.6158</v>
      </c>
      <c r="O5" s="1" t="inlineStr">
        <is>
          <t>O&amp;M Management Proyecto Bonaire - 1º Trimestre</t>
        </is>
      </c>
      <c r="P5" s="470" t="n">
        <v>353.02995</v>
      </c>
      <c r="Q5" s="1" t="inlineStr">
        <is>
          <t>Consultoría - 1º Trimestre</t>
        </is>
      </c>
      <c r="R5" s="470" t="n">
        <v>339.4683333333333</v>
      </c>
      <c r="S5" s="1" t="inlineStr">
        <is>
          <t>RevisióI IPC Dic'23 - Dic'24 2,80%</t>
        </is>
      </c>
      <c r="Y5" s="1" t="inlineStr">
        <is>
          <t>Gastos derivados de contrato (3,5%)</t>
        </is>
      </c>
      <c r="Z5" s="5">
        <f>(L5+N5+P5+R5+T5+V5+X5)*0.035</f>
        <v/>
      </c>
      <c r="AB5" s="6" t="inlineStr">
        <is>
          <t>ES85 2080 3509 1130 4009 6171</t>
        </is>
      </c>
      <c r="AC5" s="1" t="inlineStr">
        <is>
          <t>pagado</t>
        </is>
      </c>
      <c r="AD5" s="5">
        <f>L5+N5+P5+R5+T5+V5+X5+Z5</f>
        <v/>
      </c>
      <c r="AE5" s="5">
        <f>IF((LEFT(K5,6))="Contab",L5,0)</f>
        <v/>
      </c>
      <c r="AF5" s="466">
        <f>VLOOKUP(G5,CLIENTES!B:E,4,FALSE)</f>
        <v/>
      </c>
      <c r="AG5" s="5">
        <f>AF5*AE5</f>
        <v/>
      </c>
      <c r="AH5" s="5">
        <f>AD5*1.21</f>
        <v/>
      </c>
      <c r="AI5" s="261">
        <f>IF(AE5&lt;&gt;0,AG5/AD5,"N/A")</f>
        <v/>
      </c>
      <c r="AJ5" s="5">
        <f>IF(AC5="pendiente",AD5,0)</f>
        <v/>
      </c>
      <c r="AK5" s="1">
        <f>VLOOKUP(G5,CLIENTES!B:D,3,FALSE)</f>
        <v/>
      </c>
      <c r="AL5" s="1" t="inlineStr">
        <is>
          <t>WOC_Asset</t>
        </is>
      </c>
      <c r="AM5" s="1" t="inlineStr">
        <is>
          <t>Administración</t>
        </is>
      </c>
    </row>
    <row r="6" ht="15" customHeight="1" s="700">
      <c r="A6" s="1">
        <f>A5+1</f>
        <v/>
      </c>
      <c r="B6" s="26" t="n">
        <v>45667</v>
      </c>
      <c r="C6" s="1" t="inlineStr">
        <is>
          <t>c/ Las Cruzadas 3A, local D</t>
        </is>
      </c>
      <c r="D6" s="1" t="inlineStr">
        <is>
          <t>Sevilla 41004</t>
        </is>
      </c>
      <c r="E6" s="1" t="inlineStr">
        <is>
          <t>CIF B91938662</t>
        </is>
      </c>
      <c r="F6" s="1" t="inlineStr">
        <is>
          <t>aBalados@abalados.es</t>
        </is>
      </c>
      <c r="G6" s="1" t="inlineStr">
        <is>
          <t>LOCABA SOLAR S.L.U.</t>
        </is>
      </c>
      <c r="H6" s="1">
        <f>VLOOKUP($G6,DATOS!$B:$E,2,FALSE)</f>
        <v/>
      </c>
      <c r="I6" s="1">
        <f>VLOOKUP($G6,DATOS!$B:$E,3,FALSE)</f>
        <v/>
      </c>
      <c r="J6" s="1">
        <f>VLOOKUP($G6,DATOS!$B:$E,4,FALSE)</f>
        <v/>
      </c>
      <c r="K6" s="1" t="inlineStr">
        <is>
          <t>Contabilidad y Fiscalidad de proyecto Coreses - 1º Trimestre</t>
        </is>
      </c>
      <c r="L6" s="470" t="n">
        <v>3955.4361</v>
      </c>
      <c r="M6" s="1" t="inlineStr">
        <is>
          <t>SPV Management  Proyecto Coreses - 1º Trimestre</t>
        </is>
      </c>
      <c r="N6" s="470" t="n">
        <v>3955.4361</v>
      </c>
      <c r="O6" s="1" t="inlineStr">
        <is>
          <t>O&amp;M Management Proyecto Coreses - 1º Trimestre</t>
        </is>
      </c>
      <c r="P6" s="470" t="n">
        <v>3309.65145</v>
      </c>
      <c r="Q6" s="1" t="inlineStr">
        <is>
          <t>Consultoría - 1º Trimestre</t>
        </is>
      </c>
      <c r="R6" s="470" t="n">
        <v>4748.423400000001</v>
      </c>
      <c r="S6" s="1" t="inlineStr">
        <is>
          <t>RevisióI IPC Dic'23 - Dic'24 2,80%</t>
        </is>
      </c>
      <c r="Y6" s="1" t="inlineStr">
        <is>
          <t>Gastos derivados de contrato (3,5%)</t>
        </is>
      </c>
      <c r="Z6" s="5">
        <f>(L6+N6+P6+R6+T6+V6+X6)*0.035</f>
        <v/>
      </c>
      <c r="AB6" s="6" t="inlineStr">
        <is>
          <t>ES85 2080 3509 1130 4009 6171</t>
        </is>
      </c>
      <c r="AC6" s="258" t="inlineStr">
        <is>
          <t>pagado</t>
        </is>
      </c>
      <c r="AD6" s="5">
        <f>L6+N6+P6+R6+T6+V6+X6+Z6</f>
        <v/>
      </c>
      <c r="AE6" s="5">
        <f>IF((LEFT(K6,6))="Contab",L6,0)</f>
        <v/>
      </c>
      <c r="AF6" s="466">
        <f>VLOOKUP(G6,CLIENTES!B:E,4,FALSE)</f>
        <v/>
      </c>
      <c r="AG6" s="5">
        <f>AF6*AE6</f>
        <v/>
      </c>
      <c r="AH6" s="5">
        <f>AD6*1.21</f>
        <v/>
      </c>
      <c r="AI6" s="261">
        <f>IF(AE6&lt;&gt;0,AG6/AD6,"N/A")</f>
        <v/>
      </c>
      <c r="AJ6" s="5">
        <f>IF(AC6="pendiente",AD6,0)</f>
        <v/>
      </c>
      <c r="AK6" s="1">
        <f>VLOOKUP(G6,CLIENTES!B:D,3,FALSE)</f>
        <v/>
      </c>
      <c r="AL6" s="1" t="inlineStr">
        <is>
          <t>WOC_Asset</t>
        </is>
      </c>
      <c r="AM6" s="1" t="inlineStr">
        <is>
          <t>Administración</t>
        </is>
      </c>
    </row>
    <row r="7" ht="15" customHeight="1" s="700">
      <c r="A7" s="1">
        <f>A6+1</f>
        <v/>
      </c>
      <c r="B7" s="26" t="n">
        <v>45667</v>
      </c>
      <c r="C7" s="1" t="inlineStr">
        <is>
          <t>c/ Las Cruzadas 3A, local D</t>
        </is>
      </c>
      <c r="D7" s="1" t="inlineStr">
        <is>
          <t>Sevilla 41004</t>
        </is>
      </c>
      <c r="E7" s="1" t="inlineStr">
        <is>
          <t>CIF B91938662</t>
        </is>
      </c>
      <c r="F7" s="1" t="inlineStr">
        <is>
          <t>aBalados@abalados.es</t>
        </is>
      </c>
      <c r="G7" s="1" t="inlineStr">
        <is>
          <t>Agrupación Solar el Algarrobo I, S.L.U.</t>
        </is>
      </c>
      <c r="H7" s="1">
        <f>VLOOKUP($G7,DATOS!$B:$E,2,FALSE)</f>
        <v/>
      </c>
      <c r="I7" s="1">
        <f>VLOOKUP($G7,DATOS!$B:$E,3,FALSE)</f>
        <v/>
      </c>
      <c r="J7" s="1">
        <f>VLOOKUP($G7,DATOS!$B:$E,4,FALSE)</f>
        <v/>
      </c>
      <c r="K7" s="1" t="inlineStr">
        <is>
          <t>Contabilidad y Fiscalidad de proyecto Algarrobo I - 1º Trimestre</t>
        </is>
      </c>
      <c r="L7" s="470" t="n">
        <v>1945.295822950819</v>
      </c>
      <c r="M7" s="1" t="inlineStr">
        <is>
          <t>SPV Management  Proyecto Algarrobo I -  1º Trimestre</t>
        </is>
      </c>
      <c r="N7" s="470" t="n">
        <v>1667.396419672131</v>
      </c>
      <c r="O7" s="1" t="inlineStr">
        <is>
          <t>O&amp;M Management Proyecto Algarrobo I - 1º Trimestre</t>
        </is>
      </c>
      <c r="P7" s="470" t="n">
        <v>1139.388204098361</v>
      </c>
      <c r="Q7" s="1" t="inlineStr">
        <is>
          <t>Consultoría - 1º Trimestre</t>
        </is>
      </c>
      <c r="R7" s="470" t="n">
        <v>1970.020740983607</v>
      </c>
      <c r="S7" s="1" t="inlineStr">
        <is>
          <t>RevisióI IPC Dic'23 - Dic'24 2,80%</t>
        </is>
      </c>
      <c r="Y7" s="1" t="inlineStr">
        <is>
          <t>Gastos derivados de contrato (3,5%)</t>
        </is>
      </c>
      <c r="Z7" s="5">
        <f>(L7+N7+P7+R7+T7+V7+X7)*0.035</f>
        <v/>
      </c>
      <c r="AB7" s="6" t="inlineStr">
        <is>
          <t>ES85 2080 3509 1130 4009 6171</t>
        </is>
      </c>
      <c r="AC7" s="1" t="inlineStr">
        <is>
          <t>pagado</t>
        </is>
      </c>
      <c r="AD7" s="5">
        <f>L7+N7+P7+R7+T7+V7+X7+Z7</f>
        <v/>
      </c>
      <c r="AE7" s="5">
        <f>IF((LEFT(K7,6))="Contab",L7,0)</f>
        <v/>
      </c>
      <c r="AF7" s="466">
        <f>VLOOKUP(G7,CLIENTES!B:E,4,FALSE)</f>
        <v/>
      </c>
      <c r="AG7" s="5">
        <f>AF7*AE7</f>
        <v/>
      </c>
      <c r="AH7" s="5">
        <f>AD7*1.21</f>
        <v/>
      </c>
      <c r="AI7" s="261">
        <f>IF(AE7&lt;&gt;0,AG7/AD7,"N/A")</f>
        <v/>
      </c>
      <c r="AJ7" s="5">
        <f>IF(AC7="pendiente",AD7,0)</f>
        <v/>
      </c>
      <c r="AK7" s="1">
        <f>VLOOKUP(G7,CLIENTES!B:D,3,FALSE)</f>
        <v/>
      </c>
      <c r="AL7" s="1" t="inlineStr">
        <is>
          <t>WOC_Asset</t>
        </is>
      </c>
      <c r="AM7" s="1" t="inlineStr">
        <is>
          <t>Administración</t>
        </is>
      </c>
    </row>
    <row r="8" ht="15" customHeight="1" s="700">
      <c r="A8" s="1">
        <f>A7+1</f>
        <v/>
      </c>
      <c r="B8" s="26" t="n">
        <v>45667</v>
      </c>
      <c r="C8" s="1" t="inlineStr">
        <is>
          <t>c/ Las Cruzadas 3A, local D</t>
        </is>
      </c>
      <c r="D8" s="1" t="inlineStr">
        <is>
          <t>Sevilla 41004</t>
        </is>
      </c>
      <c r="E8" s="1" t="inlineStr">
        <is>
          <t>CIF B91938662</t>
        </is>
      </c>
      <c r="F8" s="1" t="inlineStr">
        <is>
          <t>aBalados@abalados.es</t>
        </is>
      </c>
      <c r="G8" s="1" t="inlineStr">
        <is>
          <t>Agrupación Solar el Algarrobo II, S.L.U.</t>
        </is>
      </c>
      <c r="H8" s="1">
        <f>VLOOKUP($G8,DATOS!$B:$E,2,FALSE)</f>
        <v/>
      </c>
      <c r="I8" s="1">
        <f>VLOOKUP($G8,DATOS!$B:$E,3,FALSE)</f>
        <v/>
      </c>
      <c r="J8" s="1">
        <f>VLOOKUP($G8,DATOS!$B:$E,4,FALSE)</f>
        <v/>
      </c>
      <c r="K8" s="1" t="inlineStr">
        <is>
          <t>Contabilidad y Fiscalidad de proyecto Algarrobo II - 1º Trimestre</t>
        </is>
      </c>
      <c r="L8" s="470" t="n">
        <v>1945.295822950819</v>
      </c>
      <c r="M8" s="1" t="inlineStr">
        <is>
          <t>SPV Management  Proyecto Algarrobo II -  1º Trimestre</t>
        </is>
      </c>
      <c r="N8" s="470" t="n">
        <v>1667.396419672131</v>
      </c>
      <c r="O8" s="1" t="inlineStr">
        <is>
          <t>O&amp;M Management Proyecto Algarrobo II - 1º Trimestre</t>
        </is>
      </c>
      <c r="P8" s="470" t="n">
        <v>1139.388204098361</v>
      </c>
      <c r="Q8" s="1" t="inlineStr">
        <is>
          <t>Consultoría - 1º Trimestre</t>
        </is>
      </c>
      <c r="R8" s="470" t="n">
        <v>1970.020740983607</v>
      </c>
      <c r="S8" s="1" t="inlineStr">
        <is>
          <t>RevisióI IPC Dic'23 - Dic'24 2,80%</t>
        </is>
      </c>
      <c r="Y8" s="1" t="inlineStr">
        <is>
          <t>Gastos derivados de contrato (3,5%)</t>
        </is>
      </c>
      <c r="Z8" s="5">
        <f>(L8+N8+P8+R8+T8+V8+X8)*0.035</f>
        <v/>
      </c>
      <c r="AB8" s="6" t="inlineStr">
        <is>
          <t>ES85 2080 3509 1130 4009 6171</t>
        </is>
      </c>
      <c r="AC8" s="1" t="inlineStr">
        <is>
          <t>pagado</t>
        </is>
      </c>
      <c r="AD8" s="5">
        <f>L8+N8+P8+R8+T8+V8+X8+Z8</f>
        <v/>
      </c>
      <c r="AE8" s="5">
        <f>IF((LEFT(K8,6))="Contab",L8,0)</f>
        <v/>
      </c>
      <c r="AF8" s="466">
        <f>VLOOKUP(G8,CLIENTES!B:E,4,FALSE)</f>
        <v/>
      </c>
      <c r="AG8" s="5">
        <f>AF8*AE8</f>
        <v/>
      </c>
      <c r="AH8" s="5">
        <f>AD8*1.21</f>
        <v/>
      </c>
      <c r="AI8" s="261">
        <f>IF(AE8&lt;&gt;0,AG8/AD8,"N/A")</f>
        <v/>
      </c>
      <c r="AJ8" s="5">
        <f>IF(AC8="pendiente",AD8,0)</f>
        <v/>
      </c>
      <c r="AK8" s="1">
        <f>VLOOKUP(G8,CLIENTES!B:D,3,FALSE)</f>
        <v/>
      </c>
      <c r="AL8" s="1" t="inlineStr">
        <is>
          <t>WOC_Asset</t>
        </is>
      </c>
      <c r="AM8" s="1" t="inlineStr">
        <is>
          <t>Administración</t>
        </is>
      </c>
    </row>
    <row r="9" ht="15" customHeight="1" s="700">
      <c r="A9" s="1">
        <f>A8+1</f>
        <v/>
      </c>
      <c r="B9" s="26" t="n">
        <v>45667</v>
      </c>
      <c r="C9" s="1" t="inlineStr">
        <is>
          <t>c/ Las Cruzadas 3A, local D</t>
        </is>
      </c>
      <c r="D9" s="1" t="inlineStr">
        <is>
          <t>Sevilla 41004</t>
        </is>
      </c>
      <c r="E9" s="1" t="inlineStr">
        <is>
          <t>CIF B91938662</t>
        </is>
      </c>
      <c r="F9" s="1" t="inlineStr">
        <is>
          <t>aBalados@abalados.es</t>
        </is>
      </c>
      <c r="G9" s="1" t="inlineStr">
        <is>
          <t>Agrupación Solar el Algarrobo III, S.L.U.</t>
        </is>
      </c>
      <c r="H9" s="1">
        <f>VLOOKUP($G9,DATOS!$B:$E,2,FALSE)</f>
        <v/>
      </c>
      <c r="I9" s="1">
        <f>VLOOKUP($G9,DATOS!$B:$E,3,FALSE)</f>
        <v/>
      </c>
      <c r="J9" s="1">
        <f>VLOOKUP($G9,DATOS!$B:$E,4,FALSE)</f>
        <v/>
      </c>
      <c r="K9" s="1" t="inlineStr">
        <is>
          <t>Contabilidad y Fiscalidad de proyecto Algarrobo III - 1º Trimestre</t>
        </is>
      </c>
      <c r="L9" s="470" t="n">
        <v>1760.02955409836</v>
      </c>
      <c r="M9" s="1" t="inlineStr">
        <is>
          <t>SPV Management  Proyecto Algarrobo III -  1º Trimestre</t>
        </is>
      </c>
      <c r="N9" s="470" t="n">
        <v>1508.596760655738</v>
      </c>
      <c r="O9" s="1" t="inlineStr">
        <is>
          <t>O&amp;M Management Proyecto Algarrobo III - 1º Trimestre</t>
        </is>
      </c>
      <c r="P9" s="470" t="n">
        <v>1030.875041803278</v>
      </c>
      <c r="Q9" s="1" t="inlineStr">
        <is>
          <t>Consultoría - 1º Trimestre</t>
        </is>
      </c>
      <c r="R9" s="470" t="n">
        <v>1782.399718032787</v>
      </c>
      <c r="S9" s="1" t="inlineStr">
        <is>
          <t>RevisióI IPC Dic'23 - Dic'24 2,80%</t>
        </is>
      </c>
      <c r="Y9" s="1" t="inlineStr">
        <is>
          <t>Gastos derivados de contrato (3,5%)</t>
        </is>
      </c>
      <c r="Z9" s="5">
        <f>(L9+N9+P9+R9+T9+V9+X9)*0.035</f>
        <v/>
      </c>
      <c r="AB9" s="6" t="inlineStr">
        <is>
          <t>ES85 2080 3509 1130 4009 6171</t>
        </is>
      </c>
      <c r="AC9" s="1" t="inlineStr">
        <is>
          <t>pagado</t>
        </is>
      </c>
      <c r="AD9" s="5">
        <f>L9+N9+P9+R9+T9+V9+X9+Z9</f>
        <v/>
      </c>
      <c r="AE9" s="5">
        <f>IF((LEFT(K9,6))="Contab",L9,0)</f>
        <v/>
      </c>
      <c r="AF9" s="466">
        <f>VLOOKUP(G9,CLIENTES!B:E,4,FALSE)</f>
        <v/>
      </c>
      <c r="AG9" s="5">
        <f>AF9*AE9</f>
        <v/>
      </c>
      <c r="AH9" s="5">
        <f>AD9*1.21</f>
        <v/>
      </c>
      <c r="AI9" s="261">
        <f>IF(AE9&lt;&gt;0,AG9/AD9,"N/A")</f>
        <v/>
      </c>
      <c r="AJ9" s="5">
        <f>IF(AC9="pendiente",AD9,0)</f>
        <v/>
      </c>
      <c r="AK9" s="1">
        <f>VLOOKUP(G9,CLIENTES!B:D,3,FALSE)</f>
        <v/>
      </c>
      <c r="AL9" s="1" t="inlineStr">
        <is>
          <t>WOC_Asset</t>
        </is>
      </c>
      <c r="AM9" s="1" t="inlineStr">
        <is>
          <t>Administración</t>
        </is>
      </c>
    </row>
    <row r="10" ht="15" customHeight="1" s="700">
      <c r="A10" s="1">
        <f>A9+1</f>
        <v/>
      </c>
      <c r="B10" s="26" t="n">
        <v>45667</v>
      </c>
      <c r="C10" s="1" t="inlineStr">
        <is>
          <t>c/ Las Cruzadas 3A, local D</t>
        </is>
      </c>
      <c r="D10" s="1" t="inlineStr">
        <is>
          <t>Sevilla 41004</t>
        </is>
      </c>
      <c r="E10" s="1" t="inlineStr">
        <is>
          <t>CIF B91938662</t>
        </is>
      </c>
      <c r="F10" s="1" t="inlineStr">
        <is>
          <t>aBalados@abalados.es</t>
        </is>
      </c>
      <c r="G10" s="1" t="inlineStr">
        <is>
          <t>WOC Fotovoltaica España Proyecto Sollana S.L.U.</t>
        </is>
      </c>
      <c r="H10" s="1">
        <f>VLOOKUP($G10,DATOS!$B:$E,2,FALSE)</f>
        <v/>
      </c>
      <c r="I10" s="1">
        <f>VLOOKUP($G10,DATOS!$B:$E,3,FALSE)</f>
        <v/>
      </c>
      <c r="J10" s="1">
        <f>VLOOKUP($G10,DATOS!$B:$E,4,FALSE)</f>
        <v/>
      </c>
      <c r="K10" s="1" t="inlineStr">
        <is>
          <t>Contabilidad y Fiscalidad de proyecto Sollana - 1º Trimestre</t>
        </is>
      </c>
      <c r="L10" s="470" t="n">
        <v>4036.158</v>
      </c>
      <c r="M10" s="1" t="inlineStr">
        <is>
          <t>SPV Management  Proyecto Sollana - 1º Trimestre</t>
        </is>
      </c>
      <c r="N10" s="470" t="n">
        <v>3834.3501</v>
      </c>
      <c r="O10" s="1" t="inlineStr">
        <is>
          <t>O&amp;M Management Proyecto Sollana - 1º Trimestre</t>
        </is>
      </c>
      <c r="P10" s="470" t="n">
        <v>3309.65145</v>
      </c>
      <c r="Q10" s="1" t="inlineStr">
        <is>
          <t>Consultoría - 1º Trimestre</t>
        </is>
      </c>
      <c r="R10" s="470" t="n">
        <v>1049.9895</v>
      </c>
      <c r="S10" s="1" t="inlineStr">
        <is>
          <t>RevisióI IPC Dic'23 - Dic'24 2,80%</t>
        </is>
      </c>
      <c r="Y10" s="1" t="inlineStr">
        <is>
          <t>Gastos derivados de contrato (3,5%)</t>
        </is>
      </c>
      <c r="Z10" s="5">
        <f>(L10+N10+P10+R10+T10+V10+X10)*0.035</f>
        <v/>
      </c>
      <c r="AB10" s="6" t="inlineStr">
        <is>
          <t>ES85 2080 3509 1130 4009 6171</t>
        </is>
      </c>
      <c r="AC10" s="1" t="inlineStr">
        <is>
          <t>pagado</t>
        </is>
      </c>
      <c r="AD10" s="5">
        <f>L10+N10+P10+R10+T10+V10+X10+Z10</f>
        <v/>
      </c>
      <c r="AE10" s="5">
        <f>IF((LEFT(K10,6))="Contab",L10,0)</f>
        <v/>
      </c>
      <c r="AF10" s="466">
        <f>VLOOKUP(G10,CLIENTES!B:E,4,FALSE)</f>
        <v/>
      </c>
      <c r="AG10" s="5">
        <f>AF10*AE10</f>
        <v/>
      </c>
      <c r="AH10" s="5">
        <f>AD10*1.21</f>
        <v/>
      </c>
      <c r="AI10" s="261">
        <f>IF(AE10&lt;&gt;0,AG10/AD10,"N/A")</f>
        <v/>
      </c>
      <c r="AJ10" s="5">
        <f>IF(AC10="pendiente",AD10,0)</f>
        <v/>
      </c>
      <c r="AK10" s="1">
        <f>VLOOKUP(G10,CLIENTES!B:D,3,FALSE)</f>
        <v/>
      </c>
      <c r="AL10" s="1" t="inlineStr">
        <is>
          <t>WOC_Asset</t>
        </is>
      </c>
      <c r="AM10" s="1" t="inlineStr">
        <is>
          <t>Administración</t>
        </is>
      </c>
    </row>
    <row r="11" ht="15" customHeight="1" s="700">
      <c r="A11" s="1">
        <f>A10+1</f>
        <v/>
      </c>
      <c r="B11" s="26" t="n">
        <v>45667</v>
      </c>
      <c r="C11" s="1" t="inlineStr">
        <is>
          <t>c/ Las Cruzadas 3A, local D</t>
        </is>
      </c>
      <c r="D11" s="1" t="inlineStr">
        <is>
          <t>Sevilla 41004</t>
        </is>
      </c>
      <c r="E11" s="1" t="inlineStr">
        <is>
          <t>CIF B91938662</t>
        </is>
      </c>
      <c r="F11" s="1" t="inlineStr">
        <is>
          <t>aBalados@abalados.es</t>
        </is>
      </c>
      <c r="G11" s="1" t="inlineStr">
        <is>
          <t>ES Garrovers Energía Solar S.L.U.</t>
        </is>
      </c>
      <c r="H11" s="1">
        <f>VLOOKUP($G11,DATOS!$B:$E,2,FALSE)</f>
        <v/>
      </c>
      <c r="I11" s="1">
        <f>VLOOKUP($G11,DATOS!$B:$E,3,FALSE)</f>
        <v/>
      </c>
      <c r="J11" s="1">
        <f>VLOOKUP($G11,DATOS!$B:$E,4,FALSE)</f>
        <v/>
      </c>
      <c r="K11" s="1" t="inlineStr">
        <is>
          <t>Contabilidad y Fiscalidad de proyecto Artà - 1º Trimestre</t>
        </is>
      </c>
      <c r="L11" s="470" t="n">
        <v>4036.158</v>
      </c>
      <c r="M11" s="1" t="inlineStr">
        <is>
          <t>SPV Management  Proyecto Artà - 1º Trimestre</t>
        </is>
      </c>
      <c r="N11" s="470" t="n">
        <v>3834.3501</v>
      </c>
      <c r="O11" s="1" t="inlineStr">
        <is>
          <t>O&amp;M Management Proyecto Artà - 1º Trimestre</t>
        </is>
      </c>
      <c r="P11" s="470" t="n">
        <v>3309.65145</v>
      </c>
      <c r="Q11" s="1" t="inlineStr">
        <is>
          <t>Consultoría - 1º Trimestre</t>
        </is>
      </c>
      <c r="R11" s="470" t="n">
        <v>3317.96745</v>
      </c>
      <c r="S11" s="1" t="inlineStr">
        <is>
          <t>RevisióI IPC Dic'23 - Dic'24 2,80%</t>
        </is>
      </c>
      <c r="Y11" s="1" t="inlineStr">
        <is>
          <t>Gastos derivados de contrato (3,5%)</t>
        </is>
      </c>
      <c r="Z11" s="5">
        <f>(L11+N11+P11+R11+T11+V11+X11)*0.035</f>
        <v/>
      </c>
      <c r="AB11" s="6" t="inlineStr">
        <is>
          <t>ES85 2080 3509 1130 4009 6171</t>
        </is>
      </c>
      <c r="AC11" s="1" t="inlineStr">
        <is>
          <t>pagado</t>
        </is>
      </c>
      <c r="AD11" s="5">
        <f>L11+N11+P11+R11+T11+V11+X11+Z11</f>
        <v/>
      </c>
      <c r="AE11" s="5">
        <f>IF((LEFT(K11,6))="Contab",L11,0)</f>
        <v/>
      </c>
      <c r="AF11" s="466">
        <f>VLOOKUP(G11,CLIENTES!B:E,4,FALSE)</f>
        <v/>
      </c>
      <c r="AG11" s="5">
        <f>AF11*AE11</f>
        <v/>
      </c>
      <c r="AH11" s="5">
        <f>AD11*1.21</f>
        <v/>
      </c>
      <c r="AI11" s="261">
        <f>IF(AE11&lt;&gt;0,AG11/AD11,"N/A")</f>
        <v/>
      </c>
      <c r="AJ11" s="5">
        <f>IF(AC11="pendiente",AD11,0)</f>
        <v/>
      </c>
      <c r="AK11" s="1">
        <f>VLOOKUP(G11,CLIENTES!B:D,3,FALSE)</f>
        <v/>
      </c>
      <c r="AL11" s="1" t="inlineStr">
        <is>
          <t>WOC_Asset</t>
        </is>
      </c>
      <c r="AM11" s="1" t="inlineStr">
        <is>
          <t>Administración</t>
        </is>
      </c>
    </row>
    <row r="12" ht="15" customHeight="1" s="700">
      <c r="A12" s="1">
        <f>A11+1</f>
        <v/>
      </c>
      <c r="B12" s="26" t="n">
        <v>45667</v>
      </c>
      <c r="C12" s="1" t="inlineStr">
        <is>
          <t>c/ Las Cruzadas 3A, local D</t>
        </is>
      </c>
      <c r="D12" s="1" t="inlineStr">
        <is>
          <t>Sevilla 41004</t>
        </is>
      </c>
      <c r="E12" s="1" t="inlineStr">
        <is>
          <t>CIF B91938662</t>
        </is>
      </c>
      <c r="F12" s="1" t="inlineStr">
        <is>
          <t>aBalados@abalados.es</t>
        </is>
      </c>
      <c r="G12" s="1" t="inlineStr">
        <is>
          <t>Contreras Parque Solar S.L.U.</t>
        </is>
      </c>
      <c r="H12" s="1">
        <f>VLOOKUP($G12,DATOS!$B:$E,2,FALSE)</f>
        <v/>
      </c>
      <c r="I12" s="1">
        <f>VLOOKUP($G12,DATOS!$B:$E,3,FALSE)</f>
        <v/>
      </c>
      <c r="J12" s="1">
        <f>VLOOKUP($G12,DATOS!$B:$E,4,FALSE)</f>
        <v/>
      </c>
      <c r="K12" s="1" t="inlineStr">
        <is>
          <t>Contabilidad y Fiscalidad de proyecto Casa Roja - 1º Trimestre</t>
        </is>
      </c>
      <c r="L12" s="470" t="n">
        <v>4036.158</v>
      </c>
      <c r="M12" s="1" t="inlineStr">
        <is>
          <t>SPV Management  Proyecto Contreras - 1º Trimestre</t>
        </is>
      </c>
      <c r="N12" s="470" t="n">
        <v>3834.3501</v>
      </c>
      <c r="O12" s="1" t="inlineStr">
        <is>
          <t>O&amp;M Management Proyecto Contreras - 1º Trimestre</t>
        </is>
      </c>
      <c r="P12" s="470" t="n">
        <v>3309.65145</v>
      </c>
      <c r="Q12" s="1" t="inlineStr">
        <is>
          <t>Consultoría - 1º Trimestre</t>
        </is>
      </c>
      <c r="R12" s="470" t="n">
        <v>5765.942700000001</v>
      </c>
      <c r="S12" s="1" t="inlineStr">
        <is>
          <t>RevisióI IPC Dic'23 - Dic'24 2,80%</t>
        </is>
      </c>
      <c r="Y12" s="1" t="inlineStr">
        <is>
          <t>Gastos derivados de contrato (3,5%)</t>
        </is>
      </c>
      <c r="Z12" s="5">
        <f>(L12+N12+P12+R12+T12+V12+X12)*0.035</f>
        <v/>
      </c>
      <c r="AB12" s="6" t="inlineStr">
        <is>
          <t>ES85 2080 3509 1130 4009 6171</t>
        </is>
      </c>
      <c r="AC12" s="1" t="inlineStr">
        <is>
          <t>pagado</t>
        </is>
      </c>
      <c r="AD12" s="5">
        <f>L12+N12+P12+R12+T12+V12+X12+Z12</f>
        <v/>
      </c>
      <c r="AE12" s="5">
        <f>IF((LEFT(K12,6))="Contab",L12,0)</f>
        <v/>
      </c>
      <c r="AF12" s="466">
        <f>VLOOKUP(G12,CLIENTES!B:E,4,FALSE)</f>
        <v/>
      </c>
      <c r="AG12" s="5">
        <f>AF12*AE12</f>
        <v/>
      </c>
      <c r="AH12" s="5">
        <f>AD12*1.21</f>
        <v/>
      </c>
      <c r="AI12" s="261">
        <f>IF(AE12&lt;&gt;0,AG12/AD12,"N/A")</f>
        <v/>
      </c>
      <c r="AJ12" s="5">
        <f>IF(AC12="pendiente",AD12,0)</f>
        <v/>
      </c>
      <c r="AK12" s="1">
        <f>VLOOKUP(G12,CLIENTES!B:D,3,FALSE)</f>
        <v/>
      </c>
      <c r="AL12" s="1" t="inlineStr">
        <is>
          <t>WOC_Asset</t>
        </is>
      </c>
      <c r="AM12" s="1" t="inlineStr">
        <is>
          <t>Administración</t>
        </is>
      </c>
    </row>
    <row r="13" ht="15" customHeight="1" s="700">
      <c r="A13" s="1">
        <f>A12+1</f>
        <v/>
      </c>
      <c r="B13" s="26" t="n">
        <v>45667</v>
      </c>
      <c r="C13" s="1" t="inlineStr">
        <is>
          <t>c/ Las Cruzadas 3A, local D</t>
        </is>
      </c>
      <c r="D13" s="1" t="inlineStr">
        <is>
          <t>Sevilla 41004</t>
        </is>
      </c>
      <c r="E13" s="1" t="inlineStr">
        <is>
          <t>CIF B91938662</t>
        </is>
      </c>
      <c r="F13" s="1" t="inlineStr">
        <is>
          <t>aBalados@abalados.es</t>
        </is>
      </c>
      <c r="G13" s="1" t="inlineStr">
        <is>
          <t>Lo Illán  Parque Solar S.L.U.</t>
        </is>
      </c>
      <c r="H13" s="1">
        <f>VLOOKUP($G13,DATOS!$B:$E,2,FALSE)</f>
        <v/>
      </c>
      <c r="I13" s="1">
        <f>VLOOKUP($G13,DATOS!$B:$E,3,FALSE)</f>
        <v/>
      </c>
      <c r="J13" s="1">
        <f>VLOOKUP($G13,DATOS!$B:$E,4,FALSE)</f>
        <v/>
      </c>
      <c r="K13" s="1" t="inlineStr">
        <is>
          <t>Contabilidad y Fiscalidad de proyecto Casa Roja - 1º Trimestre</t>
        </is>
      </c>
      <c r="L13" s="470" t="n">
        <v>4036.158</v>
      </c>
      <c r="M13" s="1" t="inlineStr">
        <is>
          <t>SPV Management  Proyecto Lo Illán - 1º Trimestre</t>
        </is>
      </c>
      <c r="N13" s="470" t="n">
        <v>3834.3501</v>
      </c>
      <c r="O13" s="1" t="inlineStr">
        <is>
          <t>O&amp;M Management Proyecto Lo Illán - 1º Trimestre</t>
        </is>
      </c>
      <c r="P13" s="470" t="n">
        <v>3309.65145</v>
      </c>
      <c r="Q13" s="1" t="inlineStr">
        <is>
          <t>Consultoría - 1º Trimestre</t>
        </is>
      </c>
      <c r="R13" s="470" t="n">
        <v>8648.910900000001</v>
      </c>
      <c r="S13" s="1" t="inlineStr">
        <is>
          <t>RevisióI IPC Dic'23 - Dic'24 2,80%</t>
        </is>
      </c>
      <c r="Y13" s="1" t="inlineStr">
        <is>
          <t>Gastos derivados de contrato (3,5%)</t>
        </is>
      </c>
      <c r="Z13" s="5">
        <f>(L13+N13+P13+R13+T13+V13+X13)*0.035</f>
        <v/>
      </c>
      <c r="AB13" s="6" t="inlineStr">
        <is>
          <t>ES85 2080 3509 1130 4009 6171</t>
        </is>
      </c>
      <c r="AC13" s="1" t="inlineStr">
        <is>
          <t>pagado</t>
        </is>
      </c>
      <c r="AD13" s="5">
        <f>L13+N13+P13+R13+T13+V13+X13+Z13</f>
        <v/>
      </c>
      <c r="AE13" s="5">
        <f>IF((LEFT(K13,6))="Contab",L13,0)</f>
        <v/>
      </c>
      <c r="AF13" s="466">
        <f>VLOOKUP(G13,CLIENTES!B:E,4,FALSE)</f>
        <v/>
      </c>
      <c r="AG13" s="5">
        <f>AF13*AE13</f>
        <v/>
      </c>
      <c r="AH13" s="5">
        <f>AD13*1.21</f>
        <v/>
      </c>
      <c r="AI13" s="261">
        <f>IF(AE13&lt;&gt;0,AG13/AD13,"N/A")</f>
        <v/>
      </c>
      <c r="AJ13" s="5">
        <f>IF(AC13="pendiente",AD13,0)</f>
        <v/>
      </c>
      <c r="AK13" s="1">
        <f>VLOOKUP(G13,CLIENTES!B:D,3,FALSE)</f>
        <v/>
      </c>
      <c r="AL13" s="1" t="inlineStr">
        <is>
          <t>WOC_Asset</t>
        </is>
      </c>
      <c r="AM13" s="1" t="inlineStr">
        <is>
          <t>Administración</t>
        </is>
      </c>
    </row>
    <row r="14" ht="15" customHeight="1" s="700">
      <c r="A14" s="1">
        <f>A13+1</f>
        <v/>
      </c>
      <c r="B14" s="26" t="n">
        <v>45667</v>
      </c>
      <c r="C14" s="1" t="inlineStr">
        <is>
          <t>c/ Las Cruzadas 3A, local D</t>
        </is>
      </c>
      <c r="D14" s="1" t="inlineStr">
        <is>
          <t>Sevilla 41004</t>
        </is>
      </c>
      <c r="E14" s="1" t="inlineStr">
        <is>
          <t>CIF B91938662</t>
        </is>
      </c>
      <c r="F14" s="1" t="inlineStr">
        <is>
          <t>aBalados@abalados.es</t>
        </is>
      </c>
      <c r="G14" s="1" t="inlineStr">
        <is>
          <t>Turbinto Parque Solar S.L.U.</t>
        </is>
      </c>
      <c r="H14" s="1">
        <f>VLOOKUP($G14,DATOS!$B:$E,2,FALSE)</f>
        <v/>
      </c>
      <c r="I14" s="1">
        <f>VLOOKUP($G14,DATOS!$B:$E,3,FALSE)</f>
        <v/>
      </c>
      <c r="J14" s="1">
        <f>VLOOKUP($G14,DATOS!$B:$E,4,FALSE)</f>
        <v/>
      </c>
      <c r="K14" s="1" t="inlineStr">
        <is>
          <t>Contabilidad y Fiscalidad de proyecto Casa Roja - 1º Trimestre</t>
        </is>
      </c>
      <c r="L14" s="470" t="n">
        <v>4036.158</v>
      </c>
      <c r="M14" s="1" t="inlineStr">
        <is>
          <t>SPV Management  Proyecto Turbinto - 1º Trimestre</t>
        </is>
      </c>
      <c r="N14" s="470" t="n">
        <v>3834.3501</v>
      </c>
      <c r="O14" s="1" t="inlineStr">
        <is>
          <t>O&amp;M Management Proyecto Turbinto - 1º Trimestre</t>
        </is>
      </c>
      <c r="P14" s="470" t="n">
        <v>3309.65145</v>
      </c>
      <c r="Q14" s="1" t="inlineStr">
        <is>
          <t>Consultoría - 1º Trimestre</t>
        </is>
      </c>
      <c r="R14" s="470" t="n">
        <v>5765.942700000001</v>
      </c>
      <c r="S14" s="1" t="inlineStr">
        <is>
          <t>RevisióI IPC Dic'23 - Dic'24 2,80%</t>
        </is>
      </c>
      <c r="Y14" s="1" t="inlineStr">
        <is>
          <t>Gastos derivados de contrato (3,5%)</t>
        </is>
      </c>
      <c r="Z14" s="5">
        <f>(L14+N14+P14+R14+T14+V14+X14)*0.035</f>
        <v/>
      </c>
      <c r="AB14" s="6" t="inlineStr">
        <is>
          <t>ES85 2080 3509 1130 4009 6171</t>
        </is>
      </c>
      <c r="AC14" s="1" t="inlineStr">
        <is>
          <t>pagado</t>
        </is>
      </c>
      <c r="AD14" s="5">
        <f>L14+N14+P14+R14+T14+V14+X14+Z14</f>
        <v/>
      </c>
      <c r="AE14" s="5">
        <f>IF((LEFT(K14,6))="Contab",L14,0)</f>
        <v/>
      </c>
      <c r="AF14" s="466">
        <f>VLOOKUP(G14,CLIENTES!B:E,4,FALSE)</f>
        <v/>
      </c>
      <c r="AG14" s="5">
        <f>AF14*AE14</f>
        <v/>
      </c>
      <c r="AH14" s="5">
        <f>AD14*1.21</f>
        <v/>
      </c>
      <c r="AI14" s="261">
        <f>IF(AE14&lt;&gt;0,AG14/AD14,"N/A")</f>
        <v/>
      </c>
      <c r="AJ14" s="5">
        <f>IF(AC14="pendiente",AD14,0)</f>
        <v/>
      </c>
      <c r="AK14" s="1">
        <f>VLOOKUP(G14,CLIENTES!B:D,3,FALSE)</f>
        <v/>
      </c>
      <c r="AL14" s="1" t="inlineStr">
        <is>
          <t>WOC_Asset</t>
        </is>
      </c>
      <c r="AM14" s="1" t="inlineStr">
        <is>
          <t>Administración</t>
        </is>
      </c>
    </row>
    <row r="15" ht="15" customHeight="1" s="700">
      <c r="A15" s="1">
        <f>A14+1</f>
        <v/>
      </c>
      <c r="B15" s="26" t="n">
        <v>45667</v>
      </c>
      <c r="C15" s="1" t="inlineStr">
        <is>
          <t>c/ Las Cruzadas 3A, local D</t>
        </is>
      </c>
      <c r="D15" s="1" t="inlineStr">
        <is>
          <t>Sevilla 41004</t>
        </is>
      </c>
      <c r="E15" s="1" t="inlineStr">
        <is>
          <t>CIF B91938662</t>
        </is>
      </c>
      <c r="F15" s="1" t="inlineStr">
        <is>
          <t>aBalados@abalados.es</t>
        </is>
      </c>
      <c r="G15" s="1" t="inlineStr">
        <is>
          <t>Amberg V S.L.U.</t>
        </is>
      </c>
      <c r="H15" s="1">
        <f>VLOOKUP($G15,DATOS!$B:$E,2,FALSE)</f>
        <v/>
      </c>
      <c r="I15" s="1">
        <f>VLOOKUP($G15,DATOS!$B:$E,3,FALSE)</f>
        <v/>
      </c>
      <c r="J15" s="1">
        <f>VLOOKUP($G15,DATOS!$B:$E,4,FALSE)</f>
        <v/>
      </c>
      <c r="K15" s="1" t="inlineStr">
        <is>
          <t>Contabilidad y Fiscalidad de proyecto - 1º Trimestre</t>
        </is>
      </c>
      <c r="L15" s="470" t="n">
        <v>640.17345</v>
      </c>
      <c r="M15" s="1" t="inlineStr">
        <is>
          <t>SPV Management de Proyecto - 1º Trimestre</t>
        </is>
      </c>
      <c r="N15" s="470" t="n">
        <v>1010.80035</v>
      </c>
      <c r="O15" s="1" t="inlineStr">
        <is>
          <t>O&amp;M Management de Proyecto - 1º Trimestre</t>
        </is>
      </c>
      <c r="P15" s="470" t="n">
        <v>828.85635</v>
      </c>
      <c r="S15" s="1" t="inlineStr">
        <is>
          <t>RevisióI IPC Dic'23 - Dic'24 2,80%</t>
        </is>
      </c>
      <c r="Y15" s="1" t="inlineStr">
        <is>
          <t>Gastos derivados de contrato (3,5%)</t>
        </is>
      </c>
      <c r="Z15" s="5">
        <f>(L15+N15+P15+R15+T15+V15+X15)*0.035</f>
        <v/>
      </c>
      <c r="AB15" s="6" t="inlineStr">
        <is>
          <t>ES85 2080 3509 1130 4009 6171</t>
        </is>
      </c>
      <c r="AC15" s="1" t="inlineStr">
        <is>
          <t>pagado</t>
        </is>
      </c>
      <c r="AD15" s="5">
        <f>L15+N15+P15+R15+T15+V15+X15+Z15</f>
        <v/>
      </c>
      <c r="AE15" s="5">
        <f>IF((LEFT(K15,6))="Contab",L15,0)</f>
        <v/>
      </c>
      <c r="AF15" s="466">
        <f>VLOOKUP(G15,CLIENTES!B:E,4,FALSE)</f>
        <v/>
      </c>
      <c r="AG15" s="5">
        <f>AF15*AE15</f>
        <v/>
      </c>
      <c r="AH15" s="5">
        <f>AD15*1.21</f>
        <v/>
      </c>
      <c r="AI15" s="261">
        <f>IF(AE15&lt;&gt;0,AG15/AD15,"N/A")</f>
        <v/>
      </c>
      <c r="AJ15" s="5">
        <f>IF(AC15="pendiente",AD15,0)</f>
        <v/>
      </c>
      <c r="AK15" s="1">
        <f>VLOOKUP(G15,CLIENTES!B:D,3,FALSE)</f>
        <v/>
      </c>
      <c r="AL15" s="1" t="inlineStr">
        <is>
          <t>WOC_Asset</t>
        </is>
      </c>
      <c r="AM15" s="1" t="inlineStr">
        <is>
          <t>Administración</t>
        </is>
      </c>
    </row>
    <row r="16" ht="15" customHeight="1" s="700">
      <c r="A16" s="1">
        <f>A15+1</f>
        <v/>
      </c>
      <c r="B16" s="26" t="n">
        <v>45667</v>
      </c>
      <c r="C16" s="1" t="inlineStr">
        <is>
          <t>c/ Las Cruzadas 3A, local D</t>
        </is>
      </c>
      <c r="D16" s="1" t="inlineStr">
        <is>
          <t>Sevilla 41004</t>
        </is>
      </c>
      <c r="E16" s="1" t="inlineStr">
        <is>
          <t>CIF B91938662</t>
        </is>
      </c>
      <c r="F16" s="1" t="inlineStr">
        <is>
          <t>aBalados@abalados.es</t>
        </is>
      </c>
      <c r="G16" s="1" t="inlineStr">
        <is>
          <t>Solar Photo Collect S.L.U.</t>
        </is>
      </c>
      <c r="H16" s="1">
        <f>VLOOKUP($G16,DATOS!$B:$E,2,FALSE)</f>
        <v/>
      </c>
      <c r="I16" s="1">
        <f>VLOOKUP($G16,DATOS!$B:$E,3,FALSE)</f>
        <v/>
      </c>
      <c r="J16" s="1">
        <f>VLOOKUP($G16,DATOS!$B:$E,4,FALSE)</f>
        <v/>
      </c>
      <c r="K16" s="1" t="inlineStr">
        <is>
          <t>Contabilidad y Fiscalidad de proyecto - 1º Trimestre</t>
        </is>
      </c>
      <c r="L16" s="470" t="n">
        <v>640.17345</v>
      </c>
      <c r="M16" s="1" t="inlineStr">
        <is>
          <t>SPV Management de Proyecto - 1º Trimestre</t>
        </is>
      </c>
      <c r="N16" s="470" t="n">
        <v>1010.80035</v>
      </c>
      <c r="O16" s="1" t="inlineStr">
        <is>
          <t>O&amp;M Management de Proyecto - 1º Trimestre</t>
        </is>
      </c>
      <c r="P16" s="470" t="n">
        <v>828.85635</v>
      </c>
      <c r="S16" s="1" t="inlineStr">
        <is>
          <t>RevisióI IPC Dic'23 - Dic'24 2,80%</t>
        </is>
      </c>
      <c r="Y16" s="1" t="inlineStr">
        <is>
          <t>Gastos derivados de contrato (3,5%)</t>
        </is>
      </c>
      <c r="Z16" s="5">
        <f>(L16+N16+P16+R16+T16+V16+X16)*0.035</f>
        <v/>
      </c>
      <c r="AB16" s="6" t="inlineStr">
        <is>
          <t>ES85 2080 3509 1130 4009 6171</t>
        </is>
      </c>
      <c r="AC16" s="1" t="inlineStr">
        <is>
          <t>pagado</t>
        </is>
      </c>
      <c r="AD16" s="5">
        <f>L16+N16+P16+R16+T16+V16+X16+Z16</f>
        <v/>
      </c>
      <c r="AE16" s="5">
        <f>IF((LEFT(K16,6))="Contab",L16,0)</f>
        <v/>
      </c>
      <c r="AF16" s="466">
        <f>VLOOKUP(G16,CLIENTES!B:E,4,FALSE)</f>
        <v/>
      </c>
      <c r="AG16" s="5">
        <f>AF16*AE16</f>
        <v/>
      </c>
      <c r="AH16" s="5">
        <f>AD16*1.21</f>
        <v/>
      </c>
      <c r="AI16" s="261">
        <f>IF(AE16&lt;&gt;0,AG16/AD16,"N/A")</f>
        <v/>
      </c>
      <c r="AJ16" s="5">
        <f>IF(AC16="pendiente",AD16,0)</f>
        <v/>
      </c>
      <c r="AK16" s="1">
        <f>VLOOKUP(G16,CLIENTES!B:D,3,FALSE)</f>
        <v/>
      </c>
      <c r="AL16" s="1" t="inlineStr">
        <is>
          <t>WOC_Asset</t>
        </is>
      </c>
      <c r="AM16" s="1" t="inlineStr">
        <is>
          <t>Administración</t>
        </is>
      </c>
    </row>
    <row r="17" ht="15" customHeight="1" s="700">
      <c r="A17" s="1">
        <f>A16+1</f>
        <v/>
      </c>
      <c r="B17" s="26" t="n">
        <v>45667</v>
      </c>
      <c r="C17" s="1" t="inlineStr">
        <is>
          <t>c/ Las Cruzadas 3A, local D</t>
        </is>
      </c>
      <c r="D17" s="1" t="inlineStr">
        <is>
          <t>Sevilla 41004</t>
        </is>
      </c>
      <c r="E17" s="1" t="inlineStr">
        <is>
          <t>CIF B91938662</t>
        </is>
      </c>
      <c r="F17" s="1" t="inlineStr">
        <is>
          <t>aBalados@abalados.es</t>
        </is>
      </c>
      <c r="G17" s="1" t="inlineStr">
        <is>
          <t xml:space="preserve">Rasteding PV I, S.L.U. </t>
        </is>
      </c>
      <c r="H17" s="1">
        <f>VLOOKUP($G17,DATOS!$B:$E,2,FALSE)</f>
        <v/>
      </c>
      <c r="I17" s="1">
        <f>VLOOKUP($G17,DATOS!$B:$E,3,FALSE)</f>
        <v/>
      </c>
      <c r="J17" s="1">
        <f>VLOOKUP($G17,DATOS!$B:$E,4,FALSE)</f>
        <v/>
      </c>
      <c r="K17" s="1" t="inlineStr">
        <is>
          <t>Contabilidad y Fiscalidad de proyecto - 1º Trimestre</t>
        </is>
      </c>
      <c r="L17" s="470" t="n">
        <v>640.17345</v>
      </c>
      <c r="M17" s="1" t="inlineStr">
        <is>
          <t>SPV Management de Proyecto - 1º Trimestre</t>
        </is>
      </c>
      <c r="N17" s="470" t="n">
        <v>1010.80035</v>
      </c>
      <c r="O17" s="1" t="inlineStr">
        <is>
          <t>O&amp;M Management de Proyecto - 1º Trimestre</t>
        </is>
      </c>
      <c r="P17" s="470" t="n">
        <v>828.85635</v>
      </c>
      <c r="S17" s="1" t="inlineStr">
        <is>
          <t>RevisióI IPC Dic'23 - Dic'24 2,80%</t>
        </is>
      </c>
      <c r="Y17" s="1" t="inlineStr">
        <is>
          <t>Gastos derivados de contrato (3,5%)</t>
        </is>
      </c>
      <c r="Z17" s="5">
        <f>(L17+N17+P17+R17+T17+V17+X17)*0.035</f>
        <v/>
      </c>
      <c r="AB17" s="6" t="inlineStr">
        <is>
          <t>ES85 2080 3509 1130 4009 6171</t>
        </is>
      </c>
      <c r="AC17" s="1" t="inlineStr">
        <is>
          <t>pagado</t>
        </is>
      </c>
      <c r="AD17" s="5">
        <f>L17+N17+P17+R17+T17+V17+X17+Z17</f>
        <v/>
      </c>
      <c r="AE17" s="5">
        <f>IF((LEFT(K17,6))="Contab",L17,0)</f>
        <v/>
      </c>
      <c r="AF17" s="466">
        <f>VLOOKUP(G17,CLIENTES!B:E,4,FALSE)</f>
        <v/>
      </c>
      <c r="AG17" s="5">
        <f>AF17*AE17</f>
        <v/>
      </c>
      <c r="AH17" s="5">
        <f>AD17*1.21</f>
        <v/>
      </c>
      <c r="AI17" s="261">
        <f>IF(AE17&lt;&gt;0,AG17/AD17,"N/A")</f>
        <v/>
      </c>
      <c r="AJ17" s="5">
        <f>IF(AC17="pendiente",AD17,0)</f>
        <v/>
      </c>
      <c r="AK17" s="1">
        <f>VLOOKUP(G17,CLIENTES!B:D,3,FALSE)</f>
        <v/>
      </c>
      <c r="AL17" s="1" t="inlineStr">
        <is>
          <t>WOC_Asset</t>
        </is>
      </c>
      <c r="AM17" s="1" t="inlineStr">
        <is>
          <t>Administración</t>
        </is>
      </c>
    </row>
    <row r="18" ht="15" customHeight="1" s="700">
      <c r="A18" s="1">
        <f>A17+1</f>
        <v/>
      </c>
      <c r="B18" s="26" t="n">
        <v>45667</v>
      </c>
      <c r="C18" s="1" t="inlineStr">
        <is>
          <t>c/ Las Cruzadas 3A, local D</t>
        </is>
      </c>
      <c r="D18" s="1" t="inlineStr">
        <is>
          <t>Sevilla 41004</t>
        </is>
      </c>
      <c r="E18" s="1" t="inlineStr">
        <is>
          <t>CIF B91938662</t>
        </is>
      </c>
      <c r="F18" s="1" t="inlineStr">
        <is>
          <t>aBalados@abalados.es</t>
        </is>
      </c>
      <c r="G18" s="1" t="inlineStr">
        <is>
          <t>Amberg II S.L.U.</t>
        </is>
      </c>
      <c r="H18" s="1">
        <f>VLOOKUP($G18,DATOS!$B:$E,2,FALSE)</f>
        <v/>
      </c>
      <c r="I18" s="1">
        <f>VLOOKUP($G18,DATOS!$B:$E,3,FALSE)</f>
        <v/>
      </c>
      <c r="J18" s="1">
        <f>VLOOKUP($G18,DATOS!$B:$E,4,FALSE)</f>
        <v/>
      </c>
      <c r="K18" s="1" t="inlineStr">
        <is>
          <t>Contabilidad y Fiscalidad de proyecto - 1º Trimestre</t>
        </is>
      </c>
      <c r="L18" s="470" t="n">
        <v>640.17345</v>
      </c>
      <c r="M18" s="1" t="inlineStr">
        <is>
          <t>SPV Management de Proyecto - 1º Trimestre</t>
        </is>
      </c>
      <c r="N18" s="470" t="n">
        <v>1010.80035</v>
      </c>
      <c r="O18" s="1" t="inlineStr">
        <is>
          <t>O&amp;M Management de Proyecto - 1º Trimestre</t>
        </is>
      </c>
      <c r="P18" s="470" t="n">
        <v>828.85635</v>
      </c>
      <c r="S18" s="1" t="inlineStr">
        <is>
          <t>RevisióI IPC Dic'23 - Dic'24 2,80%</t>
        </is>
      </c>
      <c r="Y18" s="1" t="inlineStr">
        <is>
          <t>Gastos derivados de contrato (3,5%)</t>
        </is>
      </c>
      <c r="Z18" s="5">
        <f>(L18+N18+P18+R18+T18+V18+X18)*0.035</f>
        <v/>
      </c>
      <c r="AB18" s="6" t="inlineStr">
        <is>
          <t>ES85 2080 3509 1130 4009 6171</t>
        </is>
      </c>
      <c r="AC18" s="1" t="inlineStr">
        <is>
          <t>pagado</t>
        </is>
      </c>
      <c r="AD18" s="5">
        <f>L18+N18+P18+R18+T18+V18+X18+Z18</f>
        <v/>
      </c>
      <c r="AE18" s="5">
        <f>IF((LEFT(K18,6))="Contab",L18,0)</f>
        <v/>
      </c>
      <c r="AF18" s="466">
        <f>VLOOKUP(G18,CLIENTES!B:E,4,FALSE)</f>
        <v/>
      </c>
      <c r="AG18" s="5">
        <f>AF18*AE18</f>
        <v/>
      </c>
      <c r="AH18" s="5">
        <f>AD18*1.21</f>
        <v/>
      </c>
      <c r="AI18" s="261">
        <f>IF(AE18&lt;&gt;0,AG18/AD18,"N/A")</f>
        <v/>
      </c>
      <c r="AJ18" s="5">
        <f>IF(AC18="pendiente",AD18,0)</f>
        <v/>
      </c>
      <c r="AK18" s="1">
        <f>VLOOKUP(G18,CLIENTES!B:D,3,FALSE)</f>
        <v/>
      </c>
      <c r="AL18" s="1" t="inlineStr">
        <is>
          <t>WOC_Asset</t>
        </is>
      </c>
      <c r="AM18" s="1" t="inlineStr">
        <is>
          <t>Administración</t>
        </is>
      </c>
    </row>
    <row r="19" ht="15" customHeight="1" s="700">
      <c r="A19" s="1">
        <f>A18+1</f>
        <v/>
      </c>
      <c r="B19" s="26" t="n">
        <v>45667</v>
      </c>
      <c r="C19" s="1" t="inlineStr">
        <is>
          <t>c/ Las Cruzadas 3A, local D</t>
        </is>
      </c>
      <c r="D19" s="1" t="inlineStr">
        <is>
          <t>Sevilla 41004</t>
        </is>
      </c>
      <c r="E19" s="1" t="inlineStr">
        <is>
          <t>CIF B91938662</t>
        </is>
      </c>
      <c r="F19" s="1" t="inlineStr">
        <is>
          <t>aBalados@abalados.es</t>
        </is>
      </c>
      <c r="G19" s="1" t="inlineStr">
        <is>
          <t>Tiksi PV II S.L.U.</t>
        </is>
      </c>
      <c r="H19" s="1">
        <f>VLOOKUP($G19,DATOS!$B:$E,2,FALSE)</f>
        <v/>
      </c>
      <c r="I19" s="1">
        <f>VLOOKUP($G19,DATOS!$B:$E,3,FALSE)</f>
        <v/>
      </c>
      <c r="J19" s="1">
        <f>VLOOKUP($G19,DATOS!$B:$E,4,FALSE)</f>
        <v/>
      </c>
      <c r="K19" s="1" t="inlineStr">
        <is>
          <t>Contabilidad y Fiscalidad de proyecto - 1º Trimestre</t>
        </is>
      </c>
      <c r="L19" s="470" t="n">
        <v>640.17345</v>
      </c>
      <c r="M19" s="1" t="inlineStr">
        <is>
          <t>SPV Management de Proyecto - 1º Trimestre</t>
        </is>
      </c>
      <c r="N19" s="470" t="n">
        <v>1010.80035</v>
      </c>
      <c r="O19" s="1" t="inlineStr">
        <is>
          <t>O&amp;M Management de Proyecto - 1º Trimestre</t>
        </is>
      </c>
      <c r="P19" s="470" t="n">
        <v>828.85635</v>
      </c>
      <c r="S19" s="1" t="inlineStr">
        <is>
          <t>RevisióI IPC Dic'23 - Dic'24 2,80%</t>
        </is>
      </c>
      <c r="Y19" s="1" t="inlineStr">
        <is>
          <t>Gastos derivados de contrato (3,5%)</t>
        </is>
      </c>
      <c r="Z19" s="5">
        <f>(L19+N19+P19+R19+T19+V19+X19)*0.035</f>
        <v/>
      </c>
      <c r="AB19" s="6" t="inlineStr">
        <is>
          <t>ES85 2080 3509 1130 4009 6171</t>
        </is>
      </c>
      <c r="AC19" s="1" t="inlineStr">
        <is>
          <t>pagado</t>
        </is>
      </c>
      <c r="AD19" s="5">
        <f>L19+N19+P19+R19+T19+V19+X19+Z19</f>
        <v/>
      </c>
      <c r="AE19" s="5">
        <f>IF((LEFT(K19,6))="Contab",L19,0)</f>
        <v/>
      </c>
      <c r="AF19" s="466">
        <f>VLOOKUP(G19,CLIENTES!B:E,4,FALSE)</f>
        <v/>
      </c>
      <c r="AG19" s="5">
        <f>AF19*AE19</f>
        <v/>
      </c>
      <c r="AH19" s="5">
        <f>AD19*1.21</f>
        <v/>
      </c>
      <c r="AI19" s="261">
        <f>IF(AE19&lt;&gt;0,AG19/AD19,"N/A")</f>
        <v/>
      </c>
      <c r="AJ19" s="5">
        <f>IF(AC19="pendiente",AD19,0)</f>
        <v/>
      </c>
      <c r="AK19" s="1">
        <f>VLOOKUP(G19,CLIENTES!B:D,3,FALSE)</f>
        <v/>
      </c>
      <c r="AL19" s="1" t="inlineStr">
        <is>
          <t>WOC_Asset</t>
        </is>
      </c>
      <c r="AM19" s="1" t="inlineStr">
        <is>
          <t>Administración</t>
        </is>
      </c>
    </row>
    <row r="20" ht="15" customFormat="1" customHeight="1" s="146">
      <c r="A20" s="146">
        <f>A19+1</f>
        <v/>
      </c>
      <c r="B20" s="149" t="n">
        <v>45667</v>
      </c>
      <c r="C20" s="146" t="inlineStr">
        <is>
          <t>c/ Las Cruzadas 3A, local D</t>
        </is>
      </c>
      <c r="D20" s="146" t="inlineStr">
        <is>
          <t>Sevilla 41004</t>
        </is>
      </c>
      <c r="E20" s="146" t="inlineStr">
        <is>
          <t>CIF B91938662</t>
        </is>
      </c>
      <c r="F20" s="146" t="inlineStr">
        <is>
          <t>aBalados@abalados.es</t>
        </is>
      </c>
      <c r="G20" s="146" t="inlineStr">
        <is>
          <t>Solar Photo Corp S.L.U.</t>
        </is>
      </c>
      <c r="H20" s="146">
        <f>VLOOKUP($G20,DATOS!$B:$E,2,FALSE)</f>
        <v/>
      </c>
      <c r="I20" s="146">
        <f>VLOOKUP($G20,DATOS!$B:$E,3,FALSE)</f>
        <v/>
      </c>
      <c r="J20" s="146">
        <f>VLOOKUP($G20,DATOS!$B:$E,4,FALSE)</f>
        <v/>
      </c>
      <c r="K20" s="146" t="inlineStr">
        <is>
          <t>Contabilidad y Fiscalidad de proyecto - 1º Trimestre</t>
        </is>
      </c>
      <c r="L20" s="471" t="n">
        <v>640.17345</v>
      </c>
      <c r="M20" s="146" t="inlineStr">
        <is>
          <t>SPV Management de Proyecto - 1º Trimestre</t>
        </is>
      </c>
      <c r="N20" s="471" t="n">
        <v>1010.80035</v>
      </c>
      <c r="O20" s="146" t="inlineStr">
        <is>
          <t>O&amp;M Management de Proyecto - 1º Trimestre</t>
        </is>
      </c>
      <c r="P20" s="471" t="n">
        <v>828.85635</v>
      </c>
      <c r="R20" s="147" t="n"/>
      <c r="S20" s="146" t="inlineStr">
        <is>
          <t>RevisióI IPC Dic'23 - Dic'24 2,80%</t>
        </is>
      </c>
      <c r="T20" s="147" t="n"/>
      <c r="V20" s="147" t="n"/>
      <c r="X20" s="147" t="n"/>
      <c r="Y20" s="146" t="inlineStr">
        <is>
          <t>Gastos derivados de contrato (3,5%)</t>
        </is>
      </c>
      <c r="Z20" s="147">
        <f>(L20+N20+P20+R20+T20+V20+X20)*0.035</f>
        <v/>
      </c>
      <c r="AA20" s="147" t="n"/>
      <c r="AB20" s="148" t="inlineStr">
        <is>
          <t>ES85 2080 3509 1130 4009 6171</t>
        </is>
      </c>
      <c r="AC20" s="146" t="inlineStr">
        <is>
          <t>pagado</t>
        </is>
      </c>
      <c r="AD20" s="147">
        <f>L20+N20+P20+R20+T20+V20+X20+Z20</f>
        <v/>
      </c>
      <c r="AE20" s="147">
        <f>IF((LEFT(K20,6))="Contab",L20,0)</f>
        <v/>
      </c>
      <c r="AF20" s="467">
        <f>VLOOKUP(G20,CLIENTES!B:E,4,FALSE)</f>
        <v/>
      </c>
      <c r="AG20" s="147">
        <f>AF20*AE20</f>
        <v/>
      </c>
      <c r="AH20" s="147">
        <f>AD20*1.21</f>
        <v/>
      </c>
      <c r="AI20" s="257">
        <f>IF(AE20&lt;&gt;0,AG20/AD20,"N/A")</f>
        <v/>
      </c>
      <c r="AJ20" s="147">
        <f>IF(AC20="pendiente",AD20,0)</f>
        <v/>
      </c>
      <c r="AK20" s="146">
        <f>VLOOKUP(G20,CLIENTES!B:D,3,FALSE)</f>
        <v/>
      </c>
      <c r="AL20" s="146" t="inlineStr">
        <is>
          <t>WOC_Asset</t>
        </is>
      </c>
      <c r="AM20" s="1" t="inlineStr">
        <is>
          <t>Administración</t>
        </is>
      </c>
    </row>
    <row r="21" ht="15" customFormat="1" customHeight="1" s="258">
      <c r="A21" s="258">
        <f>A20+1</f>
        <v/>
      </c>
      <c r="B21" s="299" t="n">
        <v>45667</v>
      </c>
      <c r="C21" s="258" t="inlineStr">
        <is>
          <t>c/ Las Cruzadas 3A, local D</t>
        </is>
      </c>
      <c r="D21" s="258" t="inlineStr">
        <is>
          <t>Sevilla 41004</t>
        </is>
      </c>
      <c r="E21" s="258" t="inlineStr">
        <is>
          <t>CIF B91938662</t>
        </is>
      </c>
      <c r="F21" s="258" t="inlineStr">
        <is>
          <t>aBalados@abalados.es</t>
        </is>
      </c>
      <c r="G21" s="258" t="inlineStr">
        <is>
          <t>Dehesa Asomadilla Inversiones S.L.U.</t>
        </is>
      </c>
      <c r="H21" s="258">
        <f>VLOOKUP($G21,DATOS!$B:$E,2,FALSE)</f>
        <v/>
      </c>
      <c r="I21" s="258">
        <f>VLOOKUP($G21,DATOS!$B:$E,3,FALSE)</f>
        <v/>
      </c>
      <c r="J21" s="258">
        <f>VLOOKUP($G21,DATOS!$B:$E,4,FALSE)</f>
        <v/>
      </c>
      <c r="K21" s="258" t="inlineStr">
        <is>
          <t>Honorarios - Contrato O&amp;M 1º Trimestre</t>
        </is>
      </c>
      <c r="L21" s="469" t="n">
        <v>34407.88317690637</v>
      </c>
      <c r="N21" s="259" t="n"/>
      <c r="P21" s="719" t="n"/>
      <c r="Q21" s="258" t="inlineStr">
        <is>
          <t>Revisión IPC adelantado diciembre`24 - 2.80%</t>
        </is>
      </c>
      <c r="R21" s="259" t="n"/>
      <c r="T21" s="259" t="n"/>
      <c r="V21" s="259" t="n"/>
      <c r="X21" s="259" t="n"/>
      <c r="Z21" s="259" t="n"/>
      <c r="AA21" s="259" t="n"/>
      <c r="AB21" s="260" t="inlineStr">
        <is>
          <t>ES85 2080 3509 1130 4009 6171</t>
        </is>
      </c>
      <c r="AC21" s="258" t="inlineStr">
        <is>
          <t>pagado</t>
        </is>
      </c>
      <c r="AD21" s="259">
        <f>L21+N21+P21+R21+T21+V21+X21+Z21</f>
        <v/>
      </c>
      <c r="AE21" s="259">
        <f>IF((LEFT(K21,6))="Contab",L21,0)</f>
        <v/>
      </c>
      <c r="AF21" s="260">
        <f>VLOOKUP(G21,CLIENTES!B:E,4,FALSE)</f>
        <v/>
      </c>
      <c r="AG21" s="259">
        <f>AF21*AE21</f>
        <v/>
      </c>
      <c r="AH21" s="259">
        <f>AD21*1.21</f>
        <v/>
      </c>
      <c r="AI21" s="264">
        <f>IF(AE21&lt;&gt;0,AG21/AD21,"N/A")</f>
        <v/>
      </c>
      <c r="AJ21" s="259">
        <f>IF(AC21="pendiente",AD21,0)</f>
        <v/>
      </c>
      <c r="AK21" s="258">
        <f>VLOOKUP(G21,CLIENTES!B:D,3,FALSE)</f>
        <v/>
      </c>
      <c r="AL21" s="258" t="inlineStr">
        <is>
          <t>WOC_OM</t>
        </is>
      </c>
      <c r="AM21" s="258" t="inlineStr">
        <is>
          <t>Explotación</t>
        </is>
      </c>
    </row>
    <row r="22" ht="15" customHeight="1" s="700">
      <c r="A22" s="1">
        <f>A21+1</f>
        <v/>
      </c>
      <c r="B22" s="26" t="n">
        <v>45667</v>
      </c>
      <c r="C22" s="1" t="inlineStr">
        <is>
          <t>c/ Las Cruzadas 3A, local D</t>
        </is>
      </c>
      <c r="D22" s="1" t="inlineStr">
        <is>
          <t>Sevilla 41004</t>
        </is>
      </c>
      <c r="E22" s="1" t="inlineStr">
        <is>
          <t>CIF B91938662</t>
        </is>
      </c>
      <c r="F22" s="1" t="inlineStr">
        <is>
          <t>aBalados@abalados.es</t>
        </is>
      </c>
      <c r="G22" s="1" t="inlineStr">
        <is>
          <t>Asomadilla Solar 2007 S.L.U.</t>
        </is>
      </c>
      <c r="H22" s="1">
        <f>VLOOKUP($G22,DATOS!$B:$E,2,FALSE)</f>
        <v/>
      </c>
      <c r="I22" s="1">
        <f>VLOOKUP($G22,DATOS!$B:$E,3,FALSE)</f>
        <v/>
      </c>
      <c r="J22" s="1">
        <f>VLOOKUP($G22,DATOS!$B:$E,4,FALSE)</f>
        <v/>
      </c>
      <c r="K22" s="1" t="inlineStr">
        <is>
          <t>Honorarios - Contrato O&amp;M 1º Trimestre</t>
        </is>
      </c>
      <c r="L22" s="470" t="n">
        <v>22021.04523322008</v>
      </c>
      <c r="Q22" s="1" t="inlineStr">
        <is>
          <t>Revisión IPC adelantado diciembre`24 - 2.80%</t>
        </is>
      </c>
      <c r="AB22" s="6" t="inlineStr">
        <is>
          <t>ES85 2080 3509 1130 4009 6171</t>
        </is>
      </c>
      <c r="AC22" s="1" t="inlineStr">
        <is>
          <t>pagado</t>
        </is>
      </c>
      <c r="AD22" s="5">
        <f>L22+N22+P22+R22+T22+V22+X22+Z22</f>
        <v/>
      </c>
      <c r="AE22" s="5">
        <f>IF((LEFT(K22,6))="Contab",L22,0)</f>
        <v/>
      </c>
      <c r="AF22" s="6">
        <f>VLOOKUP(G22,CLIENTES!B:E,4,FALSE)</f>
        <v/>
      </c>
      <c r="AG22" s="5">
        <f>AF22*AE22</f>
        <v/>
      </c>
      <c r="AH22" s="5">
        <f>AD22*1.21</f>
        <v/>
      </c>
      <c r="AI22" s="261">
        <f>IF(AE22&lt;&gt;0,AG22/AD22,"N/A")</f>
        <v/>
      </c>
      <c r="AJ22" s="5">
        <f>IF(AC22="pendiente",AD22,0)</f>
        <v/>
      </c>
      <c r="AK22" s="1">
        <f>VLOOKUP(G22,CLIENTES!B:D,3,FALSE)</f>
        <v/>
      </c>
      <c r="AL22" s="1" t="inlineStr">
        <is>
          <t>WOC_OM</t>
        </is>
      </c>
      <c r="AM22" s="1" t="inlineStr">
        <is>
          <t>Explotación</t>
        </is>
      </c>
    </row>
    <row r="23" ht="15" customHeight="1" s="700">
      <c r="A23" s="1">
        <f>A22+1</f>
        <v/>
      </c>
      <c r="B23" s="26" t="n">
        <v>45667</v>
      </c>
      <c r="C23" s="1" t="inlineStr">
        <is>
          <t>c/ Las Cruzadas 3A, local D</t>
        </is>
      </c>
      <c r="D23" s="1" t="inlineStr">
        <is>
          <t>Sevilla 41004</t>
        </is>
      </c>
      <c r="E23" s="1" t="inlineStr">
        <is>
          <t>CIF B91938662</t>
        </is>
      </c>
      <c r="F23" s="1" t="inlineStr">
        <is>
          <t>aBalados@abalados.es</t>
        </is>
      </c>
      <c r="G23" s="1" t="inlineStr">
        <is>
          <t>ES Garrovers Energía Solar S.L.U.</t>
        </is>
      </c>
      <c r="H23" s="1">
        <f>VLOOKUP($G23,DATOS!$B:$E,2,FALSE)</f>
        <v/>
      </c>
      <c r="I23" s="1">
        <f>VLOOKUP($G23,DATOS!$B:$E,3,FALSE)</f>
        <v/>
      </c>
      <c r="J23" s="1">
        <f>VLOOKUP($G23,DATOS!$B:$E,4,FALSE)</f>
        <v/>
      </c>
      <c r="K23" s="1" t="inlineStr">
        <is>
          <t>Honorarios - Contrato O&amp;M 1º Trimestre</t>
        </is>
      </c>
      <c r="L23" s="470" t="n">
        <v>25938.09378140574</v>
      </c>
      <c r="Q23" s="1" t="inlineStr">
        <is>
          <t>Revisión IPC adelantado diciembre`24 - 2.80%</t>
        </is>
      </c>
      <c r="AB23" s="6" t="inlineStr">
        <is>
          <t>ES85 2080 3509 1130 4009 6171</t>
        </is>
      </c>
      <c r="AC23" s="1" t="inlineStr">
        <is>
          <t>pagado</t>
        </is>
      </c>
      <c r="AD23" s="5">
        <f>L23+N23+P23+R23+T23+V23+X23+Z23</f>
        <v/>
      </c>
      <c r="AE23" s="5">
        <f>IF((LEFT(K23,6))="Contab",L23,0)</f>
        <v/>
      </c>
      <c r="AF23" s="6">
        <f>VLOOKUP(G23,CLIENTES!B:E,4,FALSE)</f>
        <v/>
      </c>
      <c r="AG23" s="5">
        <f>AF23*AE23</f>
        <v/>
      </c>
      <c r="AH23" s="5">
        <f>AD23*1.21</f>
        <v/>
      </c>
      <c r="AI23" s="261">
        <f>IF(AE23&lt;&gt;0,AG23/AD23,"N/A")</f>
        <v/>
      </c>
      <c r="AJ23" s="5">
        <f>IF(AC23="pendiente",AD23,0)</f>
        <v/>
      </c>
      <c r="AK23" s="1">
        <f>VLOOKUP(G23,CLIENTES!B:D,3,FALSE)</f>
        <v/>
      </c>
      <c r="AL23" s="1" t="inlineStr">
        <is>
          <t>WOC_OM</t>
        </is>
      </c>
      <c r="AM23" s="1" t="inlineStr">
        <is>
          <t>Explotación</t>
        </is>
      </c>
    </row>
    <row r="24" ht="15" customHeight="1" s="700">
      <c r="A24" s="1">
        <f>A23+1</f>
        <v/>
      </c>
      <c r="B24" s="26" t="n">
        <v>45667</v>
      </c>
      <c r="C24" s="1" t="inlineStr">
        <is>
          <t>c/ Las Cruzadas 3A, local D</t>
        </is>
      </c>
      <c r="D24" s="1" t="inlineStr">
        <is>
          <t>Sevilla 41004</t>
        </is>
      </c>
      <c r="E24" s="1" t="inlineStr">
        <is>
          <t>CIF B91938662</t>
        </is>
      </c>
      <c r="F24" s="1" t="inlineStr">
        <is>
          <t>aBalados@abalados.es</t>
        </is>
      </c>
      <c r="G24" s="1" t="inlineStr">
        <is>
          <t>WOC Fotovoltaica España Proyecto Sollana S.L.U.</t>
        </is>
      </c>
      <c r="H24" s="1">
        <f>VLOOKUP($G24,DATOS!$B:$E,2,FALSE)</f>
        <v/>
      </c>
      <c r="I24" s="1">
        <f>VLOOKUP($G24,DATOS!$B:$E,3,FALSE)</f>
        <v/>
      </c>
      <c r="J24" s="1">
        <f>VLOOKUP($G24,DATOS!$B:$E,4,FALSE)</f>
        <v/>
      </c>
      <c r="K24" s="1" t="inlineStr">
        <is>
          <t>Honorarios - Contrato O&amp;M 1º Trimestre</t>
        </is>
      </c>
      <c r="L24" s="470" t="n">
        <v>14275.34438962105</v>
      </c>
      <c r="Q24" s="1" t="inlineStr">
        <is>
          <t>Revisión IPC adelantado diciembre`24 - 2.80%</t>
        </is>
      </c>
      <c r="AB24" s="6" t="inlineStr">
        <is>
          <t>ES85 2080 3509 1130 4009 6171</t>
        </is>
      </c>
      <c r="AC24" s="1" t="inlineStr">
        <is>
          <t>pagado</t>
        </is>
      </c>
      <c r="AD24" s="5">
        <f>L24+N24+P24+R24+T24+V24+X24+Z24</f>
        <v/>
      </c>
      <c r="AE24" s="5">
        <f>IF((LEFT(K24,6))="Contab",L24,0)</f>
        <v/>
      </c>
      <c r="AF24" s="6">
        <f>VLOOKUP(G24,CLIENTES!B:E,4,FALSE)</f>
        <v/>
      </c>
      <c r="AG24" s="5">
        <f>AF24*AE24</f>
        <v/>
      </c>
      <c r="AH24" s="5">
        <f>AD24*1.21</f>
        <v/>
      </c>
      <c r="AI24" s="261">
        <f>IF(AE24&lt;&gt;0,AG24/AD24,"N/A")</f>
        <v/>
      </c>
      <c r="AJ24" s="5">
        <f>IF(AC24="pendiente",AD24,0)</f>
        <v/>
      </c>
      <c r="AK24" s="1">
        <f>VLOOKUP(G24,CLIENTES!B:D,3,FALSE)</f>
        <v/>
      </c>
      <c r="AL24" s="1" t="inlineStr">
        <is>
          <t>WOC_OM</t>
        </is>
      </c>
      <c r="AM24" s="1" t="inlineStr">
        <is>
          <t>Explotación</t>
        </is>
      </c>
    </row>
    <row r="25" ht="15" customHeight="1" s="700">
      <c r="A25" s="1">
        <f>A24+1</f>
        <v/>
      </c>
      <c r="B25" s="26" t="n">
        <v>45667</v>
      </c>
      <c r="C25" s="1" t="inlineStr">
        <is>
          <t>c/ Las Cruzadas 3A, local D</t>
        </is>
      </c>
      <c r="D25" s="1" t="inlineStr">
        <is>
          <t>Sevilla 41004</t>
        </is>
      </c>
      <c r="E25" s="1" t="inlineStr">
        <is>
          <t>CIF B91938662</t>
        </is>
      </c>
      <c r="F25" s="1" t="inlineStr">
        <is>
          <t>aBalados@abalados.es</t>
        </is>
      </c>
      <c r="G25" s="1" t="inlineStr">
        <is>
          <t>Inversión Cubiertas Solares S.L.U.</t>
        </is>
      </c>
      <c r="H25" s="1">
        <f>VLOOKUP($G25,DATOS!$B:$E,2,FALSE)</f>
        <v/>
      </c>
      <c r="I25" s="1">
        <f>VLOOKUP($G25,DATOS!$B:$E,3,FALSE)</f>
        <v/>
      </c>
      <c r="J25" s="1">
        <f>VLOOKUP($G25,DATOS!$B:$E,4,FALSE)</f>
        <v/>
      </c>
      <c r="K25" s="1" t="inlineStr">
        <is>
          <t>Honorarios - Contrato O&amp;M 1º Trimestre</t>
        </is>
      </c>
      <c r="L25" s="470" t="n">
        <v>1523.175263130934</v>
      </c>
      <c r="Q25" s="1" t="inlineStr">
        <is>
          <t>Revisión IPC adelantado diciembre`24 - 2.80%</t>
        </is>
      </c>
      <c r="AB25" s="6" t="inlineStr">
        <is>
          <t>ES85 2080 3509 1130 4009 6171</t>
        </is>
      </c>
      <c r="AC25" s="1" t="inlineStr">
        <is>
          <t>pagado</t>
        </is>
      </c>
      <c r="AD25" s="5">
        <f>L25+N25+P25+R25+T25+V25+X25+Z25</f>
        <v/>
      </c>
      <c r="AE25" s="5">
        <f>IF((LEFT(K25,6))="Contab",L25,0)</f>
        <v/>
      </c>
      <c r="AF25" s="6">
        <f>VLOOKUP(G25,CLIENTES!B:E,4,FALSE)</f>
        <v/>
      </c>
      <c r="AG25" s="5">
        <f>AF25*AE25</f>
        <v/>
      </c>
      <c r="AH25" s="5">
        <f>AD25*1.21</f>
        <v/>
      </c>
      <c r="AI25" s="261">
        <f>IF(AE25&lt;&gt;0,AG25/AD25,"N/A")</f>
        <v/>
      </c>
      <c r="AJ25" s="5">
        <f>IF(AC25="pendiente",AD25,0)</f>
        <v/>
      </c>
      <c r="AK25" s="1">
        <f>VLOOKUP(G25,CLIENTES!B:D,3,FALSE)</f>
        <v/>
      </c>
      <c r="AL25" s="1" t="inlineStr">
        <is>
          <t>WOC_OM</t>
        </is>
      </c>
      <c r="AM25" s="1" t="inlineStr">
        <is>
          <t>Explotación</t>
        </is>
      </c>
    </row>
    <row r="26" ht="15" customHeight="1" s="700">
      <c r="A26" s="1">
        <f>A25+1</f>
        <v/>
      </c>
      <c r="B26" s="26" t="n">
        <v>45667</v>
      </c>
      <c r="C26" s="1" t="inlineStr">
        <is>
          <t>c/ Las Cruzadas 3A, local D</t>
        </is>
      </c>
      <c r="D26" s="1" t="inlineStr">
        <is>
          <t>Sevilla 41004</t>
        </is>
      </c>
      <c r="E26" s="1" t="inlineStr">
        <is>
          <t>CIF B91938662</t>
        </is>
      </c>
      <c r="F26" s="1" t="inlineStr">
        <is>
          <t>aBalados@abalados.es</t>
        </is>
      </c>
      <c r="G26" s="1" t="inlineStr">
        <is>
          <t>Lugec Inversión Solar S.L.U.</t>
        </is>
      </c>
      <c r="H26" s="1">
        <f>VLOOKUP($G26,DATOS!$B:$E,2,FALSE)</f>
        <v/>
      </c>
      <c r="I26" s="1">
        <f>VLOOKUP($G26,DATOS!$B:$E,3,FALSE)</f>
        <v/>
      </c>
      <c r="J26" s="1">
        <f>VLOOKUP($G26,DATOS!$B:$E,4,FALSE)</f>
        <v/>
      </c>
      <c r="K26" s="1" t="inlineStr">
        <is>
          <t>Honorarios - Contrato O&amp;M 1º Trimestre</t>
        </is>
      </c>
      <c r="L26" s="470" t="n">
        <v>4114.18727134347</v>
      </c>
      <c r="Q26" s="1" t="inlineStr">
        <is>
          <t>Revisión IPC adelantado diciembre`24 - 2.80%</t>
        </is>
      </c>
      <c r="AB26" s="6" t="inlineStr">
        <is>
          <t>ES85 2080 3509 1130 4009 6171</t>
        </is>
      </c>
      <c r="AC26" s="1" t="inlineStr">
        <is>
          <t>pagado</t>
        </is>
      </c>
      <c r="AD26" s="5">
        <f>L26+N26+P26+R26+T26+V26+X26+Z26</f>
        <v/>
      </c>
      <c r="AE26" s="5">
        <f>IF((LEFT(K26,6))="Contab",L26,0)</f>
        <v/>
      </c>
      <c r="AF26" s="6">
        <f>VLOOKUP(G26,CLIENTES!B:E,4,FALSE)</f>
        <v/>
      </c>
      <c r="AG26" s="5">
        <f>AF26*AE26</f>
        <v/>
      </c>
      <c r="AH26" s="5">
        <f>AD26*1.21</f>
        <v/>
      </c>
      <c r="AI26" s="261">
        <f>IF(AE26&lt;&gt;0,AG26/AD26,"N/A")</f>
        <v/>
      </c>
      <c r="AJ26" s="5">
        <f>IF(AC26="pendiente",AD26,0)</f>
        <v/>
      </c>
      <c r="AK26" s="1">
        <f>VLOOKUP(G26,CLIENTES!B:D,3,FALSE)</f>
        <v/>
      </c>
      <c r="AL26" s="1" t="inlineStr">
        <is>
          <t>WOC_OM</t>
        </is>
      </c>
      <c r="AM26" s="1" t="inlineStr">
        <is>
          <t>Explotación</t>
        </is>
      </c>
    </row>
    <row r="27" ht="15" customHeight="1" s="700">
      <c r="A27" s="1">
        <f>A26+1</f>
        <v/>
      </c>
      <c r="B27" s="26" t="n">
        <v>45667</v>
      </c>
      <c r="C27" s="1" t="inlineStr">
        <is>
          <t>c/ Las Cruzadas 3A, local D</t>
        </is>
      </c>
      <c r="D27" s="1" t="inlineStr">
        <is>
          <t>Sevilla 41004</t>
        </is>
      </c>
      <c r="E27" s="1" t="inlineStr">
        <is>
          <t>CIF B91938662</t>
        </is>
      </c>
      <c r="F27" s="1" t="inlineStr">
        <is>
          <t>aBalados@abalados.es</t>
        </is>
      </c>
      <c r="G27" s="1" t="inlineStr">
        <is>
          <t>Agrupación Solar el Algarrobo I, S.L.U.</t>
        </is>
      </c>
      <c r="H27" s="1">
        <f>VLOOKUP($G27,DATOS!$B:$E,2,FALSE)</f>
        <v/>
      </c>
      <c r="I27" s="1">
        <f>VLOOKUP($G27,DATOS!$B:$E,3,FALSE)</f>
        <v/>
      </c>
      <c r="J27" s="1">
        <f>VLOOKUP($G27,DATOS!$B:$E,4,FALSE)</f>
        <v/>
      </c>
      <c r="K27" s="1" t="inlineStr">
        <is>
          <t>Honorarios - Contrato O&amp;M 1º Trimestre</t>
        </is>
      </c>
      <c r="L27" s="470" t="n">
        <v>11723.97979537169</v>
      </c>
      <c r="M27" s="1" t="inlineStr">
        <is>
          <t>Garantía 30% (dotada en 2017)</t>
        </is>
      </c>
      <c r="Q27" s="1" t="inlineStr">
        <is>
          <t>Revisión IPC adelantado diciembre`24 - 2.80%</t>
        </is>
      </c>
      <c r="AB27" s="6" t="inlineStr">
        <is>
          <t>ES85 2080 3509 1130 4009 6171</t>
        </is>
      </c>
      <c r="AC27" s="1" t="inlineStr">
        <is>
          <t>pagado</t>
        </is>
      </c>
      <c r="AD27" s="5">
        <f>L27+N27+P27+R27+T27+V27+X27+Z27</f>
        <v/>
      </c>
      <c r="AE27" s="5">
        <f>IF((LEFT(K27,6))="Contab",L27,0)</f>
        <v/>
      </c>
      <c r="AF27" s="6">
        <f>VLOOKUP(G27,CLIENTES!B:E,4,FALSE)</f>
        <v/>
      </c>
      <c r="AG27" s="5">
        <f>AF27*AE27</f>
        <v/>
      </c>
      <c r="AH27" s="5">
        <f>AD27*1.21</f>
        <v/>
      </c>
      <c r="AI27" s="261">
        <f>IF(AE27&lt;&gt;0,AG27/AD27,"N/A")</f>
        <v/>
      </c>
      <c r="AJ27" s="5">
        <f>IF(AC27="pendiente",AD27,0)</f>
        <v/>
      </c>
      <c r="AK27" s="1">
        <f>VLOOKUP(G27,CLIENTES!B:D,3,FALSE)</f>
        <v/>
      </c>
      <c r="AL27" s="1" t="inlineStr">
        <is>
          <t>WOC_OM</t>
        </is>
      </c>
      <c r="AM27" s="1" t="inlineStr">
        <is>
          <t>Explotación</t>
        </is>
      </c>
    </row>
    <row r="28" ht="15" customHeight="1" s="700">
      <c r="A28" s="1">
        <f>A27+1</f>
        <v/>
      </c>
      <c r="B28" s="26" t="n">
        <v>45667</v>
      </c>
      <c r="C28" s="1" t="inlineStr">
        <is>
          <t>c/ Las Cruzadas 3A, local D</t>
        </is>
      </c>
      <c r="D28" s="1" t="inlineStr">
        <is>
          <t>Sevilla 41004</t>
        </is>
      </c>
      <c r="E28" s="1" t="inlineStr">
        <is>
          <t>CIF B91938662</t>
        </is>
      </c>
      <c r="F28" s="1" t="inlineStr">
        <is>
          <t>aBalados@abalados.es</t>
        </is>
      </c>
      <c r="G28" s="1" t="inlineStr">
        <is>
          <t>Agrupación Solar el Algarrobo II, S.L.U.</t>
        </is>
      </c>
      <c r="H28" s="1">
        <f>VLOOKUP($G28,DATOS!$B:$E,2,FALSE)</f>
        <v/>
      </c>
      <c r="I28" s="1">
        <f>VLOOKUP($G28,DATOS!$B:$E,3,FALSE)</f>
        <v/>
      </c>
      <c r="J28" s="1">
        <f>VLOOKUP($G28,DATOS!$B:$E,4,FALSE)</f>
        <v/>
      </c>
      <c r="K28" s="1" t="inlineStr">
        <is>
          <t>Honorarios - Contrato O&amp;M 1º Trimestre</t>
        </is>
      </c>
      <c r="L28" s="470" t="n">
        <v>11723.97979537169</v>
      </c>
      <c r="M28" s="1" t="inlineStr">
        <is>
          <t>Garantía 30% (dotada en 2017)</t>
        </is>
      </c>
      <c r="Q28" s="1" t="inlineStr">
        <is>
          <t>Revisión IPC adelantado diciembre`24 - 2.80%</t>
        </is>
      </c>
      <c r="AB28" s="6" t="inlineStr">
        <is>
          <t>ES85 2080 3509 1130 4009 6171</t>
        </is>
      </c>
      <c r="AC28" s="1" t="inlineStr">
        <is>
          <t>pagado</t>
        </is>
      </c>
      <c r="AD28" s="5">
        <f>L28+N28+P28+R28+T28+V28+X28+Z28</f>
        <v/>
      </c>
      <c r="AE28" s="5">
        <f>IF((LEFT(K28,6))="Contab",L28,0)</f>
        <v/>
      </c>
      <c r="AF28" s="6">
        <f>VLOOKUP(G28,CLIENTES!B:E,4,FALSE)</f>
        <v/>
      </c>
      <c r="AG28" s="5">
        <f>AF28*AE28</f>
        <v/>
      </c>
      <c r="AH28" s="5">
        <f>AD28*1.21</f>
        <v/>
      </c>
      <c r="AI28" s="261">
        <f>IF(AE28&lt;&gt;0,AG28/AD28,"N/A")</f>
        <v/>
      </c>
      <c r="AJ28" s="5">
        <f>IF(AC28="pendiente",AD28,0)</f>
        <v/>
      </c>
      <c r="AK28" s="1">
        <f>VLOOKUP(G28,CLIENTES!B:D,3,FALSE)</f>
        <v/>
      </c>
      <c r="AL28" s="1" t="inlineStr">
        <is>
          <t>WOC_OM</t>
        </is>
      </c>
      <c r="AM28" s="1" t="inlineStr">
        <is>
          <t>Explotación</t>
        </is>
      </c>
    </row>
    <row r="29" ht="15" customHeight="1" s="700">
      <c r="A29" s="1">
        <f>A28+1</f>
        <v/>
      </c>
      <c r="B29" s="26" t="n">
        <v>45667</v>
      </c>
      <c r="C29" s="1" t="inlineStr">
        <is>
          <t>c/ Las Cruzadas 3A, local D</t>
        </is>
      </c>
      <c r="D29" s="1" t="inlineStr">
        <is>
          <t>Sevilla 41004</t>
        </is>
      </c>
      <c r="E29" s="1" t="inlineStr">
        <is>
          <t>CIF B91938662</t>
        </is>
      </c>
      <c r="F29" s="1" t="inlineStr">
        <is>
          <t>aBalados@abalados.es</t>
        </is>
      </c>
      <c r="G29" s="1" t="inlineStr">
        <is>
          <t>Agrupación Solar el Algarrobo III, S.L.U.</t>
        </is>
      </c>
      <c r="H29" s="1">
        <f>VLOOKUP($G29,DATOS!$B:$E,2,FALSE)</f>
        <v/>
      </c>
      <c r="I29" s="1">
        <f>VLOOKUP($G29,DATOS!$B:$E,3,FALSE)</f>
        <v/>
      </c>
      <c r="J29" s="1">
        <f>VLOOKUP($G29,DATOS!$B:$E,4,FALSE)</f>
        <v/>
      </c>
      <c r="K29" s="1" t="inlineStr">
        <is>
          <t>Honorarios - Contrato O&amp;M 1º Trimestre</t>
        </is>
      </c>
      <c r="L29" s="470" t="n">
        <v>10607.41029105058</v>
      </c>
      <c r="M29" s="1" t="inlineStr">
        <is>
          <t>Garantía 30% (dotada en 2017)</t>
        </is>
      </c>
      <c r="Q29" s="1" t="inlineStr">
        <is>
          <t>Revisión IPC adelantado diciembre`24 - 2.80%</t>
        </is>
      </c>
      <c r="AB29" s="6" t="inlineStr">
        <is>
          <t>ES85 2080 3509 1130 4009 6171</t>
        </is>
      </c>
      <c r="AC29" s="1" t="inlineStr">
        <is>
          <t>pagado</t>
        </is>
      </c>
      <c r="AD29" s="5">
        <f>L29+N29+P29+R29+T29+V29+X29+Z29</f>
        <v/>
      </c>
      <c r="AE29" s="5">
        <f>IF((LEFT(K29,6))="Contab",L29,0)</f>
        <v/>
      </c>
      <c r="AF29" s="6">
        <f>VLOOKUP(G29,CLIENTES!B:E,4,FALSE)</f>
        <v/>
      </c>
      <c r="AG29" s="5">
        <f>AF29*AE29</f>
        <v/>
      </c>
      <c r="AH29" s="5">
        <f>AD29*1.21</f>
        <v/>
      </c>
      <c r="AI29" s="261">
        <f>IF(AE29&lt;&gt;0,AG29/AD29,"N/A")</f>
        <v/>
      </c>
      <c r="AJ29" s="5">
        <f>IF(AC29="pendiente",AD29,0)</f>
        <v/>
      </c>
      <c r="AK29" s="1">
        <f>VLOOKUP(G29,CLIENTES!B:D,3,FALSE)</f>
        <v/>
      </c>
      <c r="AL29" s="1" t="inlineStr">
        <is>
          <t>WOC_OM</t>
        </is>
      </c>
      <c r="AM29" s="1" t="inlineStr">
        <is>
          <t>Explotación</t>
        </is>
      </c>
    </row>
    <row r="30" ht="15" customHeight="1" s="700">
      <c r="A30" s="1">
        <f>A29+1</f>
        <v/>
      </c>
      <c r="B30" s="26" t="n">
        <v>45667</v>
      </c>
      <c r="C30" s="1" t="inlineStr">
        <is>
          <t>c/ Las Cruzadas 3A, local D</t>
        </is>
      </c>
      <c r="D30" s="1" t="inlineStr">
        <is>
          <t>Sevilla 41004</t>
        </is>
      </c>
      <c r="E30" s="1" t="inlineStr">
        <is>
          <t>CIF B91938662</t>
        </is>
      </c>
      <c r="F30" s="1" t="inlineStr">
        <is>
          <t>aBalados@abalados.es</t>
        </is>
      </c>
      <c r="G30" s="1" t="inlineStr">
        <is>
          <t>Locaba Solar S.L.U.</t>
        </is>
      </c>
      <c r="H30" s="1">
        <f>VLOOKUP($G30,DATOS!$B:$E,2,FALSE)</f>
        <v/>
      </c>
      <c r="I30" s="1">
        <f>VLOOKUP($G30,DATOS!$B:$E,3,FALSE)</f>
        <v/>
      </c>
      <c r="J30" s="1">
        <f>VLOOKUP($G30,DATOS!$B:$E,4,FALSE)</f>
        <v/>
      </c>
      <c r="K30" s="1" t="inlineStr">
        <is>
          <t>Honorarios - Contrato O&amp;M 1º Trimestre</t>
        </is>
      </c>
      <c r="L30" s="470" t="n">
        <v>23317.4514668617</v>
      </c>
      <c r="M30" s="1" t="inlineStr">
        <is>
          <t>Garantía 30% (dotada en 2017)</t>
        </is>
      </c>
      <c r="Q30" s="1" t="inlineStr">
        <is>
          <t>Revisión IPC adelantado diciembre`24 - 2.80%</t>
        </is>
      </c>
      <c r="AB30" s="6" t="inlineStr">
        <is>
          <t>ES85 2080 3509 1130 4009 6171</t>
        </is>
      </c>
      <c r="AC30" s="1" t="inlineStr">
        <is>
          <t>pagado</t>
        </is>
      </c>
      <c r="AD30" s="5">
        <f>L30+N30+P30+R30+T30+V30+X30+Z30</f>
        <v/>
      </c>
      <c r="AE30" s="5">
        <f>IF((LEFT(K30,6))="Contab",L30,0)</f>
        <v/>
      </c>
      <c r="AF30" s="6">
        <f>VLOOKUP(G30,CLIENTES!B:E,4,FALSE)</f>
        <v/>
      </c>
      <c r="AG30" s="5">
        <f>AF30*AE30</f>
        <v/>
      </c>
      <c r="AH30" s="5">
        <f>AD30*1.21</f>
        <v/>
      </c>
      <c r="AI30" s="261">
        <f>IF(AE30&lt;&gt;0,AG30/AD30,"N/A")</f>
        <v/>
      </c>
      <c r="AJ30" s="5">
        <f>IF(AC30="pendiente",AD30,0)</f>
        <v/>
      </c>
      <c r="AK30" s="1">
        <f>VLOOKUP(G30,CLIENTES!B:D,3,FALSE)</f>
        <v/>
      </c>
      <c r="AL30" s="1" t="inlineStr">
        <is>
          <t>WOC_OM</t>
        </is>
      </c>
      <c r="AM30" s="1" t="inlineStr">
        <is>
          <t>Explotación</t>
        </is>
      </c>
    </row>
    <row r="31" ht="15" customHeight="1" s="700">
      <c r="A31" s="1">
        <f>A30+1</f>
        <v/>
      </c>
      <c r="B31" s="26" t="n">
        <v>45667</v>
      </c>
      <c r="C31" s="1" t="inlineStr">
        <is>
          <t>c/ Las Cruzadas 3A, local D</t>
        </is>
      </c>
      <c r="D31" s="1" t="inlineStr">
        <is>
          <t>Sevilla 41004</t>
        </is>
      </c>
      <c r="E31" s="1" t="inlineStr">
        <is>
          <t>CIF B91938662</t>
        </is>
      </c>
      <c r="F31" s="1" t="inlineStr">
        <is>
          <t>aBalados@abalados.es</t>
        </is>
      </c>
      <c r="G31" s="1" t="inlineStr">
        <is>
          <t>Lo Illán  Parque Solar S.L.U.</t>
        </is>
      </c>
      <c r="H31" s="1">
        <f>VLOOKUP($G31,DATOS!$B:$E,2,FALSE)</f>
        <v/>
      </c>
      <c r="I31" s="1">
        <f>VLOOKUP($G31,DATOS!$B:$E,3,FALSE)</f>
        <v/>
      </c>
      <c r="J31" s="1">
        <f>VLOOKUP($G31,DATOS!$B:$E,4,FALSE)</f>
        <v/>
      </c>
      <c r="K31" s="1" t="inlineStr">
        <is>
          <t>Honorarios - Contrato O&amp;M 1º Trimestre</t>
        </is>
      </c>
      <c r="L31" s="470" t="n">
        <v>11549.82679197542</v>
      </c>
      <c r="Q31" s="1" t="inlineStr">
        <is>
          <t>Revisión IPC adelantado diciembre`24 - 2.80%</t>
        </is>
      </c>
      <c r="AB31" s="6" t="inlineStr">
        <is>
          <t>ES85 2080 3509 1130 4009 6171</t>
        </is>
      </c>
      <c r="AC31" s="1" t="inlineStr">
        <is>
          <t>pagado</t>
        </is>
      </c>
      <c r="AD31" s="5">
        <f>L31+N31+P31+R31+T31+V31+X31+Z31</f>
        <v/>
      </c>
      <c r="AE31" s="5">
        <f>IF((LEFT(K31,6))="Contab",L31,0)</f>
        <v/>
      </c>
      <c r="AF31" s="6">
        <f>VLOOKUP(G31,CLIENTES!B:E,4,FALSE)</f>
        <v/>
      </c>
      <c r="AG31" s="5">
        <f>AF31*AE31</f>
        <v/>
      </c>
      <c r="AH31" s="5">
        <f>AD31*1.21</f>
        <v/>
      </c>
      <c r="AI31" s="261">
        <f>IF(AE31&lt;&gt;0,AG31/AD31,"N/A")</f>
        <v/>
      </c>
      <c r="AJ31" s="5">
        <f>IF(AC31="pendiente",AD31,0)</f>
        <v/>
      </c>
      <c r="AK31" s="1">
        <f>VLOOKUP(G31,CLIENTES!B:D,3,FALSE)</f>
        <v/>
      </c>
      <c r="AL31" s="1" t="inlineStr">
        <is>
          <t>WOC_OM</t>
        </is>
      </c>
      <c r="AM31" s="1" t="inlineStr">
        <is>
          <t>Explotación</t>
        </is>
      </c>
    </row>
    <row r="32" ht="15" customHeight="1" s="700">
      <c r="A32" s="1">
        <f>A31+1</f>
        <v/>
      </c>
      <c r="B32" s="26" t="n">
        <v>45667</v>
      </c>
      <c r="C32" s="1" t="inlineStr">
        <is>
          <t>c/ Las Cruzadas 3A, local D</t>
        </is>
      </c>
      <c r="D32" s="1" t="inlineStr">
        <is>
          <t>Sevilla 41004</t>
        </is>
      </c>
      <c r="E32" s="1" t="inlineStr">
        <is>
          <t>CIF B91938662</t>
        </is>
      </c>
      <c r="F32" s="1" t="inlineStr">
        <is>
          <t>aBalados@abalados.es</t>
        </is>
      </c>
      <c r="G32" s="1" t="inlineStr">
        <is>
          <t>Contreras Parque Solar S.L.U.</t>
        </is>
      </c>
      <c r="H32" s="1">
        <f>VLOOKUP($G32,DATOS!$B:$E,2,FALSE)</f>
        <v/>
      </c>
      <c r="I32" s="1">
        <f>VLOOKUP($G32,DATOS!$B:$E,3,FALSE)</f>
        <v/>
      </c>
      <c r="J32" s="1">
        <f>VLOOKUP($G32,DATOS!$B:$E,4,FALSE)</f>
        <v/>
      </c>
      <c r="K32" s="1" t="inlineStr">
        <is>
          <t>Honorarios - Contrato O&amp;M 1º Trimestre</t>
        </is>
      </c>
      <c r="L32" s="470" t="n">
        <v>17598.58545360271</v>
      </c>
      <c r="Q32" s="1" t="inlineStr">
        <is>
          <t>Revisión IPC adelantado diciembre`24 - 2.80%</t>
        </is>
      </c>
      <c r="AB32" s="6" t="inlineStr">
        <is>
          <t>ES85 2080 3509 1130 4009 6171</t>
        </is>
      </c>
      <c r="AC32" s="1" t="inlineStr">
        <is>
          <t>pagado</t>
        </is>
      </c>
      <c r="AD32" s="5">
        <f>L32+N32+P32+R32+T32+V32+X32+Z32</f>
        <v/>
      </c>
      <c r="AE32" s="5">
        <f>IF((LEFT(K32,6))="Contab",L32,0)</f>
        <v/>
      </c>
      <c r="AF32" s="6">
        <f>VLOOKUP(G32,CLIENTES!B:E,4,FALSE)</f>
        <v/>
      </c>
      <c r="AG32" s="5">
        <f>AF32*AE32</f>
        <v/>
      </c>
      <c r="AH32" s="5">
        <f>AD32*1.21</f>
        <v/>
      </c>
      <c r="AI32" s="261">
        <f>IF(AE32&lt;&gt;0,AG32/AD32,"N/A")</f>
        <v/>
      </c>
      <c r="AJ32" s="5">
        <f>IF(AC32="pendiente",AD32,0)</f>
        <v/>
      </c>
      <c r="AK32" s="1">
        <f>VLOOKUP(G32,CLIENTES!B:D,3,FALSE)</f>
        <v/>
      </c>
      <c r="AL32" s="1" t="inlineStr">
        <is>
          <t>WOC_OM</t>
        </is>
      </c>
      <c r="AM32" s="1" t="inlineStr">
        <is>
          <t>Explotación</t>
        </is>
      </c>
    </row>
    <row r="33" ht="15" customFormat="1" customHeight="1" s="146">
      <c r="A33" s="146">
        <f>A32+1</f>
        <v/>
      </c>
      <c r="B33" s="149" t="n">
        <v>45667</v>
      </c>
      <c r="C33" s="146" t="inlineStr">
        <is>
          <t>c/ Las Cruzadas 3A, local D</t>
        </is>
      </c>
      <c r="D33" s="146" t="inlineStr">
        <is>
          <t>Sevilla 41004</t>
        </is>
      </c>
      <c r="E33" s="146" t="inlineStr">
        <is>
          <t>CIF B91938662</t>
        </is>
      </c>
      <c r="F33" s="146" t="inlineStr">
        <is>
          <t>aBalados@abalados.es</t>
        </is>
      </c>
      <c r="G33" s="146" t="inlineStr">
        <is>
          <t>Turbinto Parque Solar S.L.U.</t>
        </is>
      </c>
      <c r="H33" s="146">
        <f>VLOOKUP($G33,DATOS!$B:$E,2,FALSE)</f>
        <v/>
      </c>
      <c r="I33" s="146">
        <f>VLOOKUP($G33,DATOS!$B:$E,3,FALSE)</f>
        <v/>
      </c>
      <c r="J33" s="146">
        <f>VLOOKUP($G33,DATOS!$B:$E,4,FALSE)</f>
        <v/>
      </c>
      <c r="K33" s="146" t="inlineStr">
        <is>
          <t>Honorarios - Contrato O&amp;M 1º Trimestre</t>
        </is>
      </c>
      <c r="L33" s="471" t="n">
        <v>12539.49552772436</v>
      </c>
      <c r="N33" s="147" t="n"/>
      <c r="P33" s="147" t="n"/>
      <c r="Q33" s="146" t="inlineStr">
        <is>
          <t>Revisión IPC adelantado diciembre`24 - 2.80%</t>
        </is>
      </c>
      <c r="R33" s="147" t="n"/>
      <c r="T33" s="147" t="n"/>
      <c r="V33" s="147" t="n"/>
      <c r="X33" s="147" t="n"/>
      <c r="Z33" s="147" t="n"/>
      <c r="AA33" s="147" t="n"/>
      <c r="AB33" s="148" t="inlineStr">
        <is>
          <t>ES85 2080 3509 1130 4009 6171</t>
        </is>
      </c>
      <c r="AC33" s="146" t="inlineStr">
        <is>
          <t>pagado</t>
        </is>
      </c>
      <c r="AD33" s="147">
        <f>L33+N33+P33+R33+T33+V33+X33+Z33</f>
        <v/>
      </c>
      <c r="AE33" s="147">
        <f>IF((LEFT(K33,6))="Contab",L33,0)</f>
        <v/>
      </c>
      <c r="AF33" s="148">
        <f>VLOOKUP(G33,CLIENTES!B:E,4,FALSE)</f>
        <v/>
      </c>
      <c r="AG33" s="147">
        <f>AF33*AE33</f>
        <v/>
      </c>
      <c r="AH33" s="147">
        <f>AD33*1.21</f>
        <v/>
      </c>
      <c r="AI33" s="257">
        <f>IF(AE33&lt;&gt;0,AG33/AD33,"N/A")</f>
        <v/>
      </c>
      <c r="AJ33" s="147">
        <f>IF(AC33="pendiente",AD33,0)</f>
        <v/>
      </c>
      <c r="AK33" s="146">
        <f>VLOOKUP(G33,CLIENTES!B:D,3,FALSE)</f>
        <v/>
      </c>
      <c r="AL33" s="146" t="inlineStr">
        <is>
          <t>WOC_OM</t>
        </is>
      </c>
      <c r="AM33" s="146" t="inlineStr">
        <is>
          <t>Explotación</t>
        </is>
      </c>
    </row>
    <row r="34" ht="15" customHeight="1" s="700">
      <c r="A34" s="1">
        <f>A33+1</f>
        <v/>
      </c>
      <c r="B34" s="26" t="n">
        <v>45667</v>
      </c>
      <c r="C34" s="1" t="inlineStr">
        <is>
          <t>c/ Las Cruzadas 3A, local D</t>
        </is>
      </c>
      <c r="D34" s="1" t="inlineStr">
        <is>
          <t>Sevilla 41004</t>
        </is>
      </c>
      <c r="E34" s="1" t="inlineStr">
        <is>
          <t>CIF B91938662</t>
        </is>
      </c>
      <c r="F34" s="1" t="inlineStr">
        <is>
          <t>aBalados@abalados.es</t>
        </is>
      </c>
      <c r="G34" s="1" t="inlineStr">
        <is>
          <t>Solar Photo Collect S.L.U.</t>
        </is>
      </c>
      <c r="H34" s="1">
        <f>VLOOKUP($G34,DATOS!$B:$E,2,FALSE)</f>
        <v/>
      </c>
      <c r="I34" s="1">
        <f>VLOOKUP($G34,DATOS!$B:$E,3,FALSE)</f>
        <v/>
      </c>
      <c r="J34" s="1">
        <f>VLOOKUP($G34,DATOS!$B:$E,4,FALSE)</f>
        <v/>
      </c>
      <c r="K34" s="1" t="inlineStr">
        <is>
          <t>Honorarios - Contrato O&amp;M 1º Trimestre</t>
        </is>
      </c>
      <c r="L34" s="470" t="n">
        <v>16745.12613288354</v>
      </c>
      <c r="M34" s="1" t="inlineStr">
        <is>
          <t>Coste Seguro Industrial 2024 (incluido O&amp;M)</t>
        </is>
      </c>
      <c r="N34" s="5" t="n">
        <v>-6758.43</v>
      </c>
      <c r="Q34" s="1" t="inlineStr">
        <is>
          <t>Revisión IPC adelantado diciembre`24 - 2.80%</t>
        </is>
      </c>
      <c r="AB34" s="6" t="inlineStr">
        <is>
          <t>ES85 2080 3509 1130 4009 6171</t>
        </is>
      </c>
      <c r="AC34" s="1" t="inlineStr">
        <is>
          <t>pagado</t>
        </is>
      </c>
      <c r="AD34" s="5">
        <f>L34+N34+P34+R34+T34+V34+X34+Z34</f>
        <v/>
      </c>
      <c r="AE34" s="5">
        <f>IF((LEFT(K34,6))="Contab",L34,0)</f>
        <v/>
      </c>
      <c r="AF34" s="6">
        <f>VLOOKUP(G34,CLIENTES!B:E,4,FALSE)</f>
        <v/>
      </c>
      <c r="AG34" s="5">
        <f>AF34*AE34</f>
        <v/>
      </c>
      <c r="AH34" s="5">
        <f>AD34*1.21</f>
        <v/>
      </c>
      <c r="AI34" s="261">
        <f>IF(AE34&lt;&gt;0,AG34/AD34,"N/A")</f>
        <v/>
      </c>
      <c r="AJ34" s="5">
        <f>IF(AC34="pendiente",AD34,0)</f>
        <v/>
      </c>
      <c r="AK34" s="1">
        <f>VLOOKUP(G34,CLIENTES!B:D,3,FALSE)</f>
        <v/>
      </c>
      <c r="AL34" s="1" t="inlineStr">
        <is>
          <t>WOC_OM</t>
        </is>
      </c>
      <c r="AM34" s="1" t="inlineStr">
        <is>
          <t>Explotación</t>
        </is>
      </c>
    </row>
    <row r="35" ht="15" customHeight="1" s="700">
      <c r="A35" s="1">
        <f>A34+1</f>
        <v/>
      </c>
      <c r="B35" s="26" t="n">
        <v>45667</v>
      </c>
      <c r="C35" s="1" t="inlineStr">
        <is>
          <t>c/ Las Cruzadas 3A, local D</t>
        </is>
      </c>
      <c r="D35" s="1" t="inlineStr">
        <is>
          <t>Sevilla 41004</t>
        </is>
      </c>
      <c r="E35" s="1" t="inlineStr">
        <is>
          <t>CIF B91938662</t>
        </is>
      </c>
      <c r="F35" s="1" t="inlineStr">
        <is>
          <t>aBalados@abalados.es</t>
        </is>
      </c>
      <c r="G35" s="1" t="inlineStr">
        <is>
          <t>Solar Photo Corp S.L.U.</t>
        </is>
      </c>
      <c r="H35" s="1">
        <f>VLOOKUP($G35,DATOS!$B:$E,2,FALSE)</f>
        <v/>
      </c>
      <c r="I35" s="1">
        <f>VLOOKUP($G35,DATOS!$B:$E,3,FALSE)</f>
        <v/>
      </c>
      <c r="J35" s="1">
        <f>VLOOKUP($G35,DATOS!$B:$E,4,FALSE)</f>
        <v/>
      </c>
      <c r="K35" s="1" t="inlineStr">
        <is>
          <t>Honorarios - Contrato O&amp;M 1º Trimestre</t>
        </is>
      </c>
      <c r="L35" s="470" t="n">
        <v>7442.24366345754</v>
      </c>
      <c r="M35" s="1" t="inlineStr">
        <is>
          <t>Coste Seguro Industrial 2024 (incluido O&amp;M)</t>
        </is>
      </c>
      <c r="N35" s="5" t="n">
        <v>-7162.03</v>
      </c>
      <c r="Q35" s="1" t="inlineStr">
        <is>
          <t>Revisión IPC adelantado diciembre`24 - 2.80%</t>
        </is>
      </c>
      <c r="AB35" s="6" t="inlineStr">
        <is>
          <t>ES85 2080 3509 1130 4009 6171</t>
        </is>
      </c>
      <c r="AC35" s="1" t="inlineStr">
        <is>
          <t>pagado</t>
        </is>
      </c>
      <c r="AD35" s="5">
        <f>L35+N35+P35+R35+T35+V35+X35+Z35</f>
        <v/>
      </c>
      <c r="AE35" s="5">
        <f>IF((LEFT(K35,6))="Contab",L35,0)</f>
        <v/>
      </c>
      <c r="AF35" s="6">
        <f>VLOOKUP(G35,CLIENTES!B:E,4,FALSE)</f>
        <v/>
      </c>
      <c r="AG35" s="5">
        <f>AF35*AE35</f>
        <v/>
      </c>
      <c r="AH35" s="5">
        <f>AD35*1.21</f>
        <v/>
      </c>
      <c r="AI35" s="261">
        <f>IF(AE35&lt;&gt;0,AG35/AD35,"N/A")</f>
        <v/>
      </c>
      <c r="AJ35" s="5">
        <f>IF(AC35="pendiente",AD35,0)</f>
        <v/>
      </c>
      <c r="AK35" s="1">
        <f>VLOOKUP(G35,CLIENTES!B:D,3,FALSE)</f>
        <v/>
      </c>
      <c r="AL35" s="1" t="inlineStr">
        <is>
          <t>WOC_OM</t>
        </is>
      </c>
      <c r="AM35" s="1" t="inlineStr">
        <is>
          <t>Explotación</t>
        </is>
      </c>
    </row>
    <row r="36" ht="15" customHeight="1" s="700">
      <c r="A36" s="1">
        <f>A35+1</f>
        <v/>
      </c>
      <c r="B36" s="26" t="n">
        <v>45667</v>
      </c>
      <c r="C36" s="1" t="inlineStr">
        <is>
          <t>c/ Las Cruzadas 3A, local D</t>
        </is>
      </c>
      <c r="D36" s="1" t="inlineStr">
        <is>
          <t>Sevilla 41004</t>
        </is>
      </c>
      <c r="E36" s="1" t="inlineStr">
        <is>
          <t>CIF B91938662</t>
        </is>
      </c>
      <c r="F36" s="1" t="inlineStr">
        <is>
          <t>aBalados@abalados.es</t>
        </is>
      </c>
      <c r="G36" s="1" t="inlineStr">
        <is>
          <t xml:space="preserve">Rasteding PV I, S.L.U. </t>
        </is>
      </c>
      <c r="H36" s="1">
        <f>VLOOKUP($G36,DATOS!$B:$E,2,FALSE)</f>
        <v/>
      </c>
      <c r="I36" s="1">
        <f>VLOOKUP($G36,DATOS!$B:$E,3,FALSE)</f>
        <v/>
      </c>
      <c r="J36" s="1">
        <f>VLOOKUP($G36,DATOS!$B:$E,4,FALSE)</f>
        <v/>
      </c>
      <c r="K36" s="1" t="inlineStr">
        <is>
          <t>Honorarios - Contrato O&amp;M 1º Trimestre</t>
        </is>
      </c>
      <c r="L36" s="470" t="n">
        <v>3841.954307971025</v>
      </c>
      <c r="M36" s="1" t="inlineStr">
        <is>
          <t>Coste Seguro Industrial 2024 (incluido O&amp;M)</t>
        </is>
      </c>
      <c r="N36" s="5" t="n">
        <v>-3066.53</v>
      </c>
      <c r="Q36" s="1" t="inlineStr">
        <is>
          <t>Revisión IPC adelantado diciembre`24 - 2.80%</t>
        </is>
      </c>
      <c r="AB36" s="6" t="inlineStr">
        <is>
          <t>ES85 2080 3509 1130 4009 6171</t>
        </is>
      </c>
      <c r="AC36" s="1" t="inlineStr">
        <is>
          <t>pagado</t>
        </is>
      </c>
      <c r="AD36" s="5">
        <f>L36+N36+P36+R36+T36+V36+X36+Z36</f>
        <v/>
      </c>
      <c r="AE36" s="5">
        <f>IF((LEFT(K36,6))="Contab",L36,0)</f>
        <v/>
      </c>
      <c r="AF36" s="6">
        <f>VLOOKUP(G36,CLIENTES!B:E,4,FALSE)</f>
        <v/>
      </c>
      <c r="AG36" s="5">
        <f>AF36*AE36</f>
        <v/>
      </c>
      <c r="AH36" s="5">
        <f>AD36*1.21</f>
        <v/>
      </c>
      <c r="AI36" s="261">
        <f>IF(AE36&lt;&gt;0,AG36/AD36,"N/A")</f>
        <v/>
      </c>
      <c r="AJ36" s="5">
        <f>IF(AC36="pendiente",AD36,0)</f>
        <v/>
      </c>
      <c r="AK36" s="1">
        <f>VLOOKUP(G36,CLIENTES!B:D,3,FALSE)</f>
        <v/>
      </c>
      <c r="AL36" s="1" t="inlineStr">
        <is>
          <t>WOC_OM</t>
        </is>
      </c>
      <c r="AM36" s="1" t="inlineStr">
        <is>
          <t>Explotación</t>
        </is>
      </c>
    </row>
    <row r="37" ht="15" customHeight="1" s="700">
      <c r="A37" s="1">
        <f>A36+1</f>
        <v/>
      </c>
      <c r="B37" s="26" t="n">
        <v>45667</v>
      </c>
      <c r="C37" s="1" t="inlineStr">
        <is>
          <t>c/ Las Cruzadas 3A, local D</t>
        </is>
      </c>
      <c r="D37" s="1" t="inlineStr">
        <is>
          <t>Sevilla 41004</t>
        </is>
      </c>
      <c r="E37" s="1" t="inlineStr">
        <is>
          <t>CIF B91938662</t>
        </is>
      </c>
      <c r="F37" s="1" t="inlineStr">
        <is>
          <t>aBalados@abalados.es</t>
        </is>
      </c>
      <c r="G37" s="1" t="inlineStr">
        <is>
          <t>Tiksi PV II S.L.U.</t>
        </is>
      </c>
      <c r="H37" s="1">
        <f>VLOOKUP($G37,DATOS!$B:$E,2,FALSE)</f>
        <v/>
      </c>
      <c r="I37" s="1">
        <f>VLOOKUP($G37,DATOS!$B:$E,3,FALSE)</f>
        <v/>
      </c>
      <c r="J37" s="1">
        <f>VLOOKUP($G37,DATOS!$B:$E,4,FALSE)</f>
        <v/>
      </c>
      <c r="K37" s="1" t="inlineStr">
        <is>
          <t>Honorarios - Contrato O&amp;M 1º Trimestre</t>
        </is>
      </c>
      <c r="L37" s="470" t="n">
        <v>5215.52136837105</v>
      </c>
      <c r="M37" s="1" t="inlineStr">
        <is>
          <t>Coste Seguro Industrial 2024 (incluido O&amp;M)</t>
        </is>
      </c>
      <c r="N37" s="5" t="n">
        <v>-3693.88</v>
      </c>
      <c r="Q37" s="1" t="inlineStr">
        <is>
          <t>Revisión IPC adelantado diciembre`24 - 2.80%</t>
        </is>
      </c>
      <c r="AB37" s="6" t="inlineStr">
        <is>
          <t>ES85 2080 3509 1130 4009 6171</t>
        </is>
      </c>
      <c r="AC37" s="1" t="inlineStr">
        <is>
          <t>pagado</t>
        </is>
      </c>
      <c r="AD37" s="5">
        <f>L37+N37+P37+R37+T37+V37+X37+Z37</f>
        <v/>
      </c>
      <c r="AE37" s="5">
        <f>IF((LEFT(K37,6))="Contab",L37,0)</f>
        <v/>
      </c>
      <c r="AF37" s="6">
        <f>VLOOKUP(G37,CLIENTES!B:E,4,FALSE)</f>
        <v/>
      </c>
      <c r="AG37" s="5">
        <f>AF37*AE37</f>
        <v/>
      </c>
      <c r="AH37" s="5">
        <f>AD37*1.21</f>
        <v/>
      </c>
      <c r="AI37" s="261">
        <f>IF(AE37&lt;&gt;0,AG37/AD37,"N/A")</f>
        <v/>
      </c>
      <c r="AJ37" s="5">
        <f>IF(AC37="pendiente",AD37,0)</f>
        <v/>
      </c>
      <c r="AK37" s="1">
        <f>VLOOKUP(G37,CLIENTES!B:D,3,FALSE)</f>
        <v/>
      </c>
      <c r="AL37" s="1" t="inlineStr">
        <is>
          <t>WOC_OM</t>
        </is>
      </c>
      <c r="AM37" s="1" t="inlineStr">
        <is>
          <t>Explotación</t>
        </is>
      </c>
    </row>
    <row r="38" ht="15" customHeight="1" s="700">
      <c r="A38" s="1">
        <f>A37+1</f>
        <v/>
      </c>
      <c r="B38" s="26" t="n">
        <v>45667</v>
      </c>
      <c r="C38" s="1" t="inlineStr">
        <is>
          <t>c/ Las Cruzadas 3A, local D</t>
        </is>
      </c>
      <c r="D38" s="1" t="inlineStr">
        <is>
          <t>Sevilla 41004</t>
        </is>
      </c>
      <c r="E38" s="1" t="inlineStr">
        <is>
          <t>CIF B91938662</t>
        </is>
      </c>
      <c r="F38" s="1" t="inlineStr">
        <is>
          <t>aBalados@abalados.es</t>
        </is>
      </c>
      <c r="G38" s="1" t="inlineStr">
        <is>
          <t>Amberg V S.L.U.</t>
        </is>
      </c>
      <c r="H38" s="1">
        <f>VLOOKUP($G38,DATOS!$B:$E,2,FALSE)</f>
        <v/>
      </c>
      <c r="I38" s="1">
        <f>VLOOKUP($G38,DATOS!$B:$E,3,FALSE)</f>
        <v/>
      </c>
      <c r="J38" s="1">
        <f>VLOOKUP($G38,DATOS!$B:$E,4,FALSE)</f>
        <v/>
      </c>
      <c r="K38" s="1" t="inlineStr">
        <is>
          <t>Honorarios - Contrato O&amp;M 1º Trimestre</t>
        </is>
      </c>
      <c r="L38" s="470" t="n">
        <v>7362.297260642487</v>
      </c>
      <c r="M38" s="1" t="inlineStr">
        <is>
          <t>Coste Seguro Industrial 2024 (incluido O&amp;M)</t>
        </is>
      </c>
      <c r="N38" s="5" t="n">
        <v>-5067.31</v>
      </c>
      <c r="Q38" s="1" t="inlineStr">
        <is>
          <t>Revisión IPC adelantado diciembre`24 - 2.80%</t>
        </is>
      </c>
      <c r="AB38" s="6" t="inlineStr">
        <is>
          <t>ES85 2080 3509 1130 4009 6171</t>
        </is>
      </c>
      <c r="AC38" s="1" t="inlineStr">
        <is>
          <t>pagado</t>
        </is>
      </c>
      <c r="AD38" s="5">
        <f>L38+N38+P38+R38+T38+V38+X38+Z38</f>
        <v/>
      </c>
      <c r="AE38" s="5">
        <f>IF((LEFT(K38,6))="Contab",L38,0)</f>
        <v/>
      </c>
      <c r="AF38" s="6">
        <f>VLOOKUP(G38,CLIENTES!B:E,4,FALSE)</f>
        <v/>
      </c>
      <c r="AG38" s="5">
        <f>AF38*AE38</f>
        <v/>
      </c>
      <c r="AH38" s="5">
        <f>AD38*1.21</f>
        <v/>
      </c>
      <c r="AI38" s="261">
        <f>IF(AE38&lt;&gt;0,AG38/AD38,"N/A")</f>
        <v/>
      </c>
      <c r="AJ38" s="5">
        <f>IF(AC38="pendiente",AD38,0)</f>
        <v/>
      </c>
      <c r="AK38" s="1">
        <f>VLOOKUP(G38,CLIENTES!B:D,3,FALSE)</f>
        <v/>
      </c>
      <c r="AL38" s="1" t="inlineStr">
        <is>
          <t>WOC_OM</t>
        </is>
      </c>
      <c r="AM38" s="1" t="inlineStr">
        <is>
          <t>Explotación</t>
        </is>
      </c>
    </row>
    <row r="39" ht="15" customFormat="1" customHeight="1" s="146">
      <c r="A39" s="146">
        <f>A38+1</f>
        <v/>
      </c>
      <c r="B39" s="149" t="n">
        <v>45667</v>
      </c>
      <c r="C39" s="146" t="inlineStr">
        <is>
          <t>c/ Las Cruzadas 3A, local D</t>
        </is>
      </c>
      <c r="D39" s="146" t="inlineStr">
        <is>
          <t>Sevilla 41004</t>
        </is>
      </c>
      <c r="E39" s="146" t="inlineStr">
        <is>
          <t>CIF B91938662</t>
        </is>
      </c>
      <c r="F39" s="146" t="inlineStr">
        <is>
          <t>aBalados@abalados.es</t>
        </is>
      </c>
      <c r="G39" s="146" t="inlineStr">
        <is>
          <t>Amberg II S.L.U.</t>
        </is>
      </c>
      <c r="H39" s="146">
        <f>VLOOKUP($G39,DATOS!$B:$E,2,FALSE)</f>
        <v/>
      </c>
      <c r="I39" s="146">
        <f>VLOOKUP($G39,DATOS!$B:$E,3,FALSE)</f>
        <v/>
      </c>
      <c r="J39" s="146">
        <f>VLOOKUP($G39,DATOS!$B:$E,4,FALSE)</f>
        <v/>
      </c>
      <c r="K39" s="146" t="inlineStr">
        <is>
          <t>Honorarios - Contrato O&amp;M 1º Trimestre</t>
        </is>
      </c>
      <c r="L39" s="471" t="n">
        <v>3964.917857460571</v>
      </c>
      <c r="M39" s="146" t="inlineStr">
        <is>
          <t>Coste Seguro Industrial 2024 (incluido O&amp;M)</t>
        </is>
      </c>
      <c r="N39" s="147" t="n">
        <v>-2528.64</v>
      </c>
      <c r="P39" s="147" t="n"/>
      <c r="Q39" s="146" t="inlineStr">
        <is>
          <t>Revisión IPC adelantado diciembre`24 - 2.80%</t>
        </is>
      </c>
      <c r="R39" s="147" t="n"/>
      <c r="T39" s="147" t="n"/>
      <c r="V39" s="147" t="n"/>
      <c r="X39" s="147" t="n"/>
      <c r="Z39" s="147" t="n"/>
      <c r="AA39" s="147" t="n"/>
      <c r="AB39" s="148" t="inlineStr">
        <is>
          <t>ES85 2080 3509 1130 4009 6171</t>
        </is>
      </c>
      <c r="AC39" s="146" t="inlineStr">
        <is>
          <t>pagado</t>
        </is>
      </c>
      <c r="AD39" s="147">
        <f>L39+N39+P39+R39+T39+V39+X39+Z39</f>
        <v/>
      </c>
      <c r="AE39" s="147">
        <f>IF((LEFT(K39,6))="Contab",L39,0)</f>
        <v/>
      </c>
      <c r="AF39" s="148">
        <f>VLOOKUP(G39,CLIENTES!B:E,4,FALSE)</f>
        <v/>
      </c>
      <c r="AG39" s="147">
        <f>AF39*AE39</f>
        <v/>
      </c>
      <c r="AH39" s="147">
        <f>AD39*1.21</f>
        <v/>
      </c>
      <c r="AI39" s="257">
        <f>IF(AE39&lt;&gt;0,AG39/AD39,"N/A")</f>
        <v/>
      </c>
      <c r="AJ39" s="147">
        <f>IF(AC39="pendiente",AD39,0)</f>
        <v/>
      </c>
      <c r="AK39" s="146">
        <f>VLOOKUP(G39,CLIENTES!B:D,3,FALSE)</f>
        <v/>
      </c>
      <c r="AL39" s="146" t="inlineStr">
        <is>
          <t>WOC_OM</t>
        </is>
      </c>
      <c r="AM39" s="146" t="inlineStr">
        <is>
          <t>Explotación</t>
        </is>
      </c>
    </row>
    <row r="40" ht="15" customHeight="1" s="700">
      <c r="A40" s="1">
        <f>A39+1</f>
        <v/>
      </c>
      <c r="B40" s="26" t="n">
        <v>45674</v>
      </c>
      <c r="C40" s="1" t="inlineStr">
        <is>
          <t>c/ Las Cruzadas 3A, local D</t>
        </is>
      </c>
      <c r="D40" s="1" t="inlineStr">
        <is>
          <t>Sevilla 41004</t>
        </is>
      </c>
      <c r="E40" s="1" t="inlineStr">
        <is>
          <t>CIF B91938662</t>
        </is>
      </c>
      <c r="F40" s="1" t="inlineStr">
        <is>
          <t>aBalados@abalados.es</t>
        </is>
      </c>
      <c r="G40" s="1" t="inlineStr">
        <is>
          <t>FP LUX REIO PV VALLADOLID, S.L.U.</t>
        </is>
      </c>
      <c r="H40" s="1" t="inlineStr">
        <is>
          <t>CIF B71334833</t>
        </is>
      </c>
      <c r="I40" s="1" t="inlineStr">
        <is>
          <t>c/ Las Cruzadas 3A, local D</t>
        </is>
      </c>
      <c r="J40" s="4" t="inlineStr">
        <is>
          <t>41004 Sevilla</t>
        </is>
      </c>
      <c r="K40" s="1" t="inlineStr">
        <is>
          <t>Asset Management 1Q2025 | 01.01 - 31.03</t>
        </is>
      </c>
      <c r="L40" s="5">
        <f>'Tarifa 2025'!D29/4</f>
        <v/>
      </c>
      <c r="M40" s="1" t="inlineStr">
        <is>
          <t>PCI (01/24 - 12/24): 2,8%</t>
        </is>
      </c>
      <c r="O40" s="1" t="inlineStr">
        <is>
          <t>Gestión de Activos 1T2025 | 01.01 - 31.03</t>
        </is>
      </c>
      <c r="Q40" s="1" t="inlineStr">
        <is>
          <t>IPC (01/24 - 12/24): 2,8%</t>
        </is>
      </c>
      <c r="AB40" s="6" t="inlineStr">
        <is>
          <t>ES85 2080 3509 1130 4009 6171</t>
        </is>
      </c>
      <c r="AC40" s="1" t="inlineStr">
        <is>
          <t>pagado</t>
        </is>
      </c>
      <c r="AD40" s="5">
        <f>L40+N40+P40+R40+T40+V40+X40+Z40</f>
        <v/>
      </c>
      <c r="AE40" s="259">
        <f>IF((LEFT(K40,4))="Cont",N40,0)</f>
        <v/>
      </c>
      <c r="AF40" s="260" t="n">
        <v>0.1</v>
      </c>
      <c r="AG40" s="259">
        <f>AF40*AE40</f>
        <v/>
      </c>
      <c r="AH40" s="259">
        <f>AD40*1.21</f>
        <v/>
      </c>
      <c r="AI40" s="264">
        <f>IF(AE40&lt;&gt;0,AG40/AD40,"N/A")</f>
        <v/>
      </c>
      <c r="AJ40" s="259">
        <f>IF(AC40="pendiente",AD40,0)</f>
        <v/>
      </c>
      <c r="AK40" s="258" t="inlineStr">
        <is>
          <t>2020-006</t>
        </is>
      </c>
      <c r="AL40" s="1" t="inlineStr">
        <is>
          <t>OM_Otros</t>
        </is>
      </c>
      <c r="AM40" s="258" t="inlineStr">
        <is>
          <t>Explotación</t>
        </is>
      </c>
    </row>
    <row r="41" ht="15" customHeight="1" s="700">
      <c r="A41" s="1">
        <f>A40+1</f>
        <v/>
      </c>
      <c r="B41" s="26" t="n">
        <v>45674</v>
      </c>
      <c r="C41" s="1" t="inlineStr">
        <is>
          <t>c/ Las Cruzadas 3A, local D</t>
        </is>
      </c>
      <c r="D41" s="1" t="inlineStr">
        <is>
          <t>Sevilla 41004</t>
        </is>
      </c>
      <c r="E41" s="1" t="inlineStr">
        <is>
          <t>CIF B91938662</t>
        </is>
      </c>
      <c r="F41" s="1" t="inlineStr">
        <is>
          <t>aBalados@abalados.es</t>
        </is>
      </c>
      <c r="G41" s="1" t="inlineStr">
        <is>
          <t>FP LUX REIO PV ZARAGOZA SL.</t>
        </is>
      </c>
      <c r="H41" s="1">
        <f>VLOOKUP($G41,DATOS!$B:$E,2,FALSE)</f>
        <v/>
      </c>
      <c r="I41" s="1">
        <f>VLOOKUP($G41,DATOS!$B:$E,3,FALSE)</f>
        <v/>
      </c>
      <c r="J41" s="4">
        <f>VLOOKUP($G41,DATOS!$B:$E,4,FALSE)</f>
        <v/>
      </c>
      <c r="K41" s="1" t="inlineStr">
        <is>
          <t>Proyecto El Marqués - Zaragoza</t>
        </is>
      </c>
      <c r="M41" s="1" t="inlineStr">
        <is>
          <t>Asset Management fee - 1st quarter 2025</t>
        </is>
      </c>
      <c r="N41" s="5">
        <f>'Tarifa 2025'!D25/4</f>
        <v/>
      </c>
      <c r="O41" s="1" t="inlineStr">
        <is>
          <t>PCI (01/24 - 12/24) - 2,8%</t>
        </is>
      </c>
      <c r="Q41" s="1" t="inlineStr">
        <is>
          <t>Honorarios de gestión de activo - 1er trimestre 2024</t>
        </is>
      </c>
      <c r="S41" s="1" t="inlineStr">
        <is>
          <t>IPC (01/24 - 12/24): 2,8%</t>
        </is>
      </c>
      <c r="AB41" s="6" t="inlineStr">
        <is>
          <t>ES85 2080 3509 1130 4009 6171</t>
        </is>
      </c>
      <c r="AC41" s="1" t="inlineStr">
        <is>
          <t>pagado</t>
        </is>
      </c>
      <c r="AD41" s="5">
        <f>L41+N41+P41+R41+T41+V41+X41+Z41</f>
        <v/>
      </c>
      <c r="AE41" s="5">
        <f>IF((LEFT(K41,6))="Contab",L41,0)</f>
        <v/>
      </c>
      <c r="AF41" s="6">
        <f>VLOOKUP(G41,CLIENTES!B:E,4,FALSE)</f>
        <v/>
      </c>
      <c r="AG41" s="5">
        <f>AF41*AE41</f>
        <v/>
      </c>
      <c r="AH41" s="5">
        <f>AD41*1.21</f>
        <v/>
      </c>
      <c r="AI41" s="261">
        <f>IF(AE41&lt;&gt;0,AG41/AD41,"N/A")</f>
        <v/>
      </c>
      <c r="AJ41" s="5">
        <f>IF(AC41="pendiente",AD41,0)</f>
        <v/>
      </c>
      <c r="AK41" s="1">
        <f>VLOOKUP(G41,CLIENTES!B:D,3,FALSE)</f>
        <v/>
      </c>
      <c r="AL41" s="1" t="inlineStr">
        <is>
          <t>OM_Otros</t>
        </is>
      </c>
      <c r="AM41" s="1" t="inlineStr">
        <is>
          <t>Explotación</t>
        </is>
      </c>
    </row>
    <row r="42" ht="15" customFormat="1" customHeight="1" s="146">
      <c r="A42" s="146">
        <f>A41+1</f>
        <v/>
      </c>
      <c r="B42" s="149" t="n">
        <v>45674</v>
      </c>
      <c r="C42" s="146" t="inlineStr">
        <is>
          <t>c/ Las Cruzadas 3A, local D</t>
        </is>
      </c>
      <c r="D42" s="146" t="inlineStr">
        <is>
          <t>Sevilla 41004</t>
        </is>
      </c>
      <c r="E42" s="146" t="inlineStr">
        <is>
          <t>CIF B91938662</t>
        </is>
      </c>
      <c r="F42" s="146" t="inlineStr">
        <is>
          <t>aBalados@abalados.es</t>
        </is>
      </c>
      <c r="G42" s="146" t="inlineStr">
        <is>
          <t>FP LUX REIO PV ZARAGOZA SL.</t>
        </is>
      </c>
      <c r="H42" s="146">
        <f>VLOOKUP($G42,DATOS!$B:$E,2,FALSE)</f>
        <v/>
      </c>
      <c r="I42" s="146">
        <f>VLOOKUP($G42,DATOS!$B:$E,3,FALSE)</f>
        <v/>
      </c>
      <c r="J42" s="473">
        <f>VLOOKUP($G42,DATOS!$B:$E,4,FALSE)</f>
        <v/>
      </c>
      <c r="K42" s="146" t="inlineStr">
        <is>
          <t>Proyecto El Marqués - Zaragoza</t>
        </is>
      </c>
      <c r="L42" s="147" t="n"/>
      <c r="M42" s="146" t="inlineStr">
        <is>
          <t>Honorarios - Contrato O&amp;M 1º Trimestre 2025</t>
        </is>
      </c>
      <c r="N42" s="147" t="n">
        <v>23574.28356888</v>
      </c>
      <c r="O42" s="146" t="inlineStr">
        <is>
          <t>PCI (01/24 - 12/24) - 2,8%</t>
        </is>
      </c>
      <c r="P42" s="147" t="n"/>
      <c r="Q42" s="146" t="inlineStr">
        <is>
          <t>O&amp;M Fee - 1Q2025</t>
        </is>
      </c>
      <c r="R42" s="147" t="n"/>
      <c r="S42" s="146" t="inlineStr">
        <is>
          <t>IPC (01/24 - 12/24): 2,8%</t>
        </is>
      </c>
      <c r="T42" s="147" t="n"/>
      <c r="V42" s="147" t="n"/>
      <c r="X42" s="147" t="n"/>
      <c r="Z42" s="147" t="n"/>
      <c r="AA42" s="147" t="n"/>
      <c r="AB42" s="148" t="inlineStr">
        <is>
          <t>ES85 2080 3509 1130 4009 6171</t>
        </is>
      </c>
      <c r="AC42" s="146" t="inlineStr">
        <is>
          <t>pagado</t>
        </is>
      </c>
      <c r="AD42" s="147">
        <f>L42+N42+P42+R42+T42+V42+X42+Z42</f>
        <v/>
      </c>
      <c r="AE42" s="147">
        <f>IF((LEFT(K42,6))="Contab",L42,0)</f>
        <v/>
      </c>
      <c r="AF42" s="148">
        <f>VLOOKUP(G42,CLIENTES!B:E,4,FALSE)</f>
        <v/>
      </c>
      <c r="AG42" s="147">
        <f>AF42*AE42</f>
        <v/>
      </c>
      <c r="AH42" s="147">
        <f>AD42*1.21</f>
        <v/>
      </c>
      <c r="AI42" s="257">
        <f>IF(AE42&lt;&gt;0,AG42/AD42,"N/A")</f>
        <v/>
      </c>
      <c r="AJ42" s="147">
        <f>IF(AC42="pendiente",AD42,0)</f>
        <v/>
      </c>
      <c r="AK42" s="146">
        <f>VLOOKUP(G42,CLIENTES!B:D,3,FALSE)</f>
        <v/>
      </c>
      <c r="AL42" s="146" t="inlineStr">
        <is>
          <t>OM_Otros</t>
        </is>
      </c>
      <c r="AM42" s="146" t="inlineStr">
        <is>
          <t>Explotación</t>
        </is>
      </c>
    </row>
    <row r="43" ht="15" customFormat="1" customHeight="1" s="146">
      <c r="A43" s="146">
        <f>A42+1</f>
        <v/>
      </c>
      <c r="B43" s="149" t="n">
        <v>45677</v>
      </c>
      <c r="C43" s="146" t="inlineStr">
        <is>
          <t>c/ Las Cruzadas 3A, local D</t>
        </is>
      </c>
      <c r="D43" s="146" t="inlineStr">
        <is>
          <t>Sevilla 41004</t>
        </is>
      </c>
      <c r="E43" s="146" t="inlineStr">
        <is>
          <t>CIF B91938662</t>
        </is>
      </c>
      <c r="F43" s="146" t="inlineStr">
        <is>
          <t>aBalados@abalados.es</t>
        </is>
      </c>
      <c r="G43" s="475" t="inlineStr">
        <is>
          <t>Corresol Innovación Agrícola SL</t>
        </is>
      </c>
      <c r="H43" s="146">
        <f>VLOOKUP($G43,DATOS!$B:$E,2,FALSE)</f>
        <v/>
      </c>
      <c r="I43" s="146">
        <f>VLOOKUP($G43,DATOS!$B:$E,3,FALSE)</f>
        <v/>
      </c>
      <c r="J43" s="473">
        <f>VLOOKUP($G43,DATOS!$B:$E,4,FALSE)</f>
        <v/>
      </c>
      <c r="K43" s="146" t="inlineStr">
        <is>
          <t>Servicio extraordinario - Portfolio grupo Arcadia</t>
        </is>
      </c>
      <c r="L43" s="147" t="n"/>
      <c r="M43" s="146" t="inlineStr">
        <is>
          <t>Oferta 14/01/2025</t>
        </is>
      </c>
      <c r="N43" s="147" t="n"/>
      <c r="P43" s="147" t="n"/>
      <c r="Q43" s="146" t="inlineStr">
        <is>
          <t>Item1. Estimación ingresos futuros</t>
        </is>
      </c>
      <c r="R43" s="147" t="n">
        <v>425</v>
      </c>
      <c r="T43" s="147" t="n"/>
      <c r="V43" s="147" t="n"/>
      <c r="X43" s="147" t="n"/>
      <c r="Z43" s="147" t="n"/>
      <c r="AA43" s="147" t="n"/>
      <c r="AB43" s="148" t="inlineStr">
        <is>
          <t>ES85 2080 3509 1130 4009 6171</t>
        </is>
      </c>
      <c r="AC43" s="146" t="inlineStr">
        <is>
          <t>pagado</t>
        </is>
      </c>
      <c r="AD43" s="147">
        <f>L43+N43+P43+R43+T43+V43+X43+Z43</f>
        <v/>
      </c>
      <c r="AE43" s="147">
        <f>IF((LEFT(K43,6))="Contab",L43,0)</f>
        <v/>
      </c>
      <c r="AF43" s="148">
        <f>VLOOKUP(G43,CLIENTES!B:E,4,FALSE)</f>
        <v/>
      </c>
      <c r="AG43" s="147">
        <f>AF43*AE43</f>
        <v/>
      </c>
      <c r="AH43" s="147">
        <f>AD43*1.21</f>
        <v/>
      </c>
      <c r="AI43" s="257">
        <f>IF(AE43&lt;&gt;0,AG43/AD43,"N/A")</f>
        <v/>
      </c>
      <c r="AJ43" s="147">
        <f>IF(AC43="pendiente",AD43,0)</f>
        <v/>
      </c>
      <c r="AK43" s="146">
        <f>VLOOKUP(G43,CLIENTES!B:D,3,FALSE)</f>
        <v/>
      </c>
      <c r="AL43" s="146" t="inlineStr">
        <is>
          <t>Asset</t>
        </is>
      </c>
      <c r="AM43" s="146" t="inlineStr">
        <is>
          <t>Extraordinario</t>
        </is>
      </c>
    </row>
    <row r="44" ht="15" customFormat="1" customHeight="1" s="146">
      <c r="A44" s="146">
        <f>A43+1</f>
        <v/>
      </c>
      <c r="B44" s="149" t="n">
        <v>45694</v>
      </c>
      <c r="C44" s="146" t="inlineStr">
        <is>
          <t>c/ Las Cruzadas 3A, local D</t>
        </is>
      </c>
      <c r="D44" s="146" t="inlineStr">
        <is>
          <t>Sevilla 41004</t>
        </is>
      </c>
      <c r="E44" s="146" t="inlineStr">
        <is>
          <t>CIF B91938662</t>
        </is>
      </c>
      <c r="F44" s="146" t="inlineStr">
        <is>
          <t>aBalados@abalados.es</t>
        </is>
      </c>
      <c r="G44" s="475" t="inlineStr">
        <is>
          <t>China Triumph International Engineering Co., LTD EP EN SPAIN</t>
        </is>
      </c>
      <c r="H44" s="146">
        <f>VLOOKUP($G44,DATOS!$B:$E,2,FALSE)</f>
        <v/>
      </c>
      <c r="I44" s="146">
        <f>VLOOKUP($G44,DATOS!$B:$E,3,FALSE)</f>
        <v/>
      </c>
      <c r="J44" s="473">
        <f>VLOOKUP($G44,DATOS!$B:$E,4,FALSE)</f>
        <v/>
      </c>
      <c r="K44" s="146" t="inlineStr">
        <is>
          <t>SIEMENS Arbitration - Witness</t>
        </is>
      </c>
      <c r="L44" s="147" t="n"/>
      <c r="M44" s="146" t="inlineStr">
        <is>
          <t>Puerto Real 1 PV - Cádiz | Spain</t>
        </is>
      </c>
      <c r="N44" s="147" t="n"/>
      <c r="P44" s="147" t="n"/>
      <c r="Q44" s="146" t="inlineStr">
        <is>
          <t>Service assisstance (minimum service - 20h)</t>
        </is>
      </c>
      <c r="R44" s="147" t="n">
        <v>7000</v>
      </c>
      <c r="S44" s="146" t="inlineStr">
        <is>
          <t>Travel rate (6h 15min)</t>
        </is>
      </c>
      <c r="T44" s="147" t="n">
        <v>1250</v>
      </c>
      <c r="U44" s="146" t="inlineStr">
        <is>
          <t>Pocket expenses</t>
        </is>
      </c>
      <c r="V44" s="147" t="n">
        <v>108.93</v>
      </c>
      <c r="X44" s="147" t="n"/>
      <c r="Z44" s="147" t="n"/>
      <c r="AA44" s="147" t="n"/>
      <c r="AB44" s="148" t="inlineStr">
        <is>
          <t>ES85 2080 3509 1130 4009 6171</t>
        </is>
      </c>
      <c r="AC44" s="146" t="inlineStr">
        <is>
          <t>pagado</t>
        </is>
      </c>
      <c r="AD44" s="147">
        <f>L44+N44+P44+R44+T44+V44+X44+Z44</f>
        <v/>
      </c>
      <c r="AE44" s="147">
        <f>IF((LEFT(K44,6))="Contab",L44,0)</f>
        <v/>
      </c>
      <c r="AF44" s="148">
        <f>VLOOKUP(G44,CLIENTES!B:E,4,FALSE)</f>
        <v/>
      </c>
      <c r="AG44" s="147">
        <f>AF44*AE44</f>
        <v/>
      </c>
      <c r="AH44" s="147">
        <f>AD44*1.21</f>
        <v/>
      </c>
      <c r="AI44" s="257">
        <f>IF(AE44&lt;&gt;0,AG44/AD44,"N/A")</f>
        <v/>
      </c>
      <c r="AJ44" s="147">
        <f>IF(AC44="pendiente",AD44,0)</f>
        <v/>
      </c>
      <c r="AK44" s="146">
        <f>VLOOKUP(G44,CLIENTES!B:D,3,FALSE)</f>
        <v/>
      </c>
      <c r="AL44" s="146" t="inlineStr">
        <is>
          <t>Ingeniería</t>
        </is>
      </c>
      <c r="AM44" s="146" t="inlineStr">
        <is>
          <t>Extraordinario</t>
        </is>
      </c>
    </row>
    <row r="45" ht="15" customHeight="1" s="700">
      <c r="A45" s="1">
        <f>A44+1</f>
        <v/>
      </c>
      <c r="B45" s="26" t="n">
        <v>45699</v>
      </c>
      <c r="C45" s="1" t="inlineStr">
        <is>
          <t>c/ Las Cruzadas 3A, local D</t>
        </is>
      </c>
      <c r="D45" s="1" t="inlineStr">
        <is>
          <t>Sevilla 41004</t>
        </is>
      </c>
      <c r="E45" s="1" t="inlineStr">
        <is>
          <t>CIF B91938662</t>
        </is>
      </c>
      <c r="F45" s="1" t="inlineStr">
        <is>
          <t>aBalados@abalados.es</t>
        </is>
      </c>
      <c r="G45" s="1" t="inlineStr">
        <is>
          <t>Saja Renovables, S.L.</t>
        </is>
      </c>
      <c r="H45" s="1">
        <f>VLOOKUP($G45,DATOS!$B:$E,2,FALSE)</f>
        <v/>
      </c>
      <c r="I45" s="1">
        <f>VLOOKUP($G45,DATOS!$B:$E,3,FALSE)</f>
        <v/>
      </c>
      <c r="J45" s="1">
        <f>VLOOKUP($G45,DATOS!$B:$E,4,FALSE)</f>
        <v/>
      </c>
      <c r="K45" s="1" t="inlineStr">
        <is>
          <t>Servicios extraordinarios - Operación &amp; Mantenimiento</t>
        </is>
      </c>
      <c r="M45" s="1" t="inlineStr">
        <is>
          <t>Oferta 250113 – Revamping inversores Saja Renovables</t>
        </is>
      </c>
      <c r="Q45" s="1" t="inlineStr">
        <is>
          <t>Revamping 1inversor Huawei SUN200 100KTL M2</t>
        </is>
      </c>
      <c r="R45" s="5">
        <f>21256/2</f>
        <v/>
      </c>
      <c r="S45" s="1" t="inlineStr">
        <is>
          <t>Hitos 1 &amp; 2 (100% ejecutado)</t>
        </is>
      </c>
      <c r="U45" s="482" t="n"/>
      <c r="W45" s="482" t="n"/>
      <c r="Y45" s="482" t="n"/>
      <c r="AB45" s="6" t="inlineStr">
        <is>
          <t>ES85 2080 3509 1130 4009 6171</t>
        </is>
      </c>
      <c r="AC45" s="1" t="inlineStr">
        <is>
          <t>pagado</t>
        </is>
      </c>
      <c r="AD45" s="5">
        <f>L45+N45+P45+R45+T45+V45+X45+Z45</f>
        <v/>
      </c>
      <c r="AE45" s="5">
        <f>IF((LEFT(K45,6))="Contab",L45,0)</f>
        <v/>
      </c>
      <c r="AF45" s="6">
        <f>VLOOKUP(G45,CLIENTES!B:E,4,FALSE)</f>
        <v/>
      </c>
      <c r="AG45" s="5">
        <f>AF45*AE45</f>
        <v/>
      </c>
      <c r="AH45" s="5">
        <f>AD45*1.21</f>
        <v/>
      </c>
      <c r="AI45" s="261">
        <f>IF(AE45&lt;&gt;0,AG45/AD45,"N/A")</f>
        <v/>
      </c>
      <c r="AJ45" s="5">
        <f>IF(AC45="pendiente",AD45,0)</f>
        <v/>
      </c>
      <c r="AK45" s="1">
        <f>VLOOKUP(G45,CLIENTES!B:D,3,FALSE)</f>
        <v/>
      </c>
      <c r="AL45" s="1" t="inlineStr">
        <is>
          <t>OM_Otros</t>
        </is>
      </c>
      <c r="AM45" s="1" t="inlineStr">
        <is>
          <t>Extraordinario</t>
        </is>
      </c>
    </row>
    <row r="46" ht="15" customHeight="1" s="700">
      <c r="A46" s="1">
        <f>A45+1</f>
        <v/>
      </c>
      <c r="B46" s="26" t="n">
        <v>45699</v>
      </c>
      <c r="C46" s="1" t="inlineStr">
        <is>
          <t>c/ Las Cruzadas 3A, local D</t>
        </is>
      </c>
      <c r="D46" s="1" t="inlineStr">
        <is>
          <t>Sevilla 41004</t>
        </is>
      </c>
      <c r="E46" s="1" t="inlineStr">
        <is>
          <t>CIF B91938662</t>
        </is>
      </c>
      <c r="F46" s="1" t="inlineStr">
        <is>
          <t>aBalados@abalados.es</t>
        </is>
      </c>
      <c r="G46" s="1" t="inlineStr">
        <is>
          <t>Lara C.B.</t>
        </is>
      </c>
      <c r="H46" s="1">
        <f>VLOOKUP($G46,DATOS!$B:$E,2,FALSE)</f>
        <v/>
      </c>
      <c r="I46" s="1">
        <f>VLOOKUP($G46,DATOS!$B:$E,3,FALSE)</f>
        <v/>
      </c>
      <c r="J46" s="4">
        <f>VLOOKUP($G46,DATOS!$B:$E,4,FALSE)</f>
        <v/>
      </c>
      <c r="K46" s="1" t="inlineStr">
        <is>
          <t>Servicios extraordinarios - Operación &amp; Mantenimiento</t>
        </is>
      </c>
      <c r="M46" s="1" t="inlineStr">
        <is>
          <t>Asistencia para cambio de tragaluces</t>
        </is>
      </c>
      <c r="Q46" s="1" t="inlineStr">
        <is>
          <t>Cubierta PSFV Senia 1.1MW: Retirada 177 módulos y revisión cubierta</t>
        </is>
      </c>
      <c r="R46" s="5" t="n">
        <v>7350</v>
      </c>
      <c r="S46" s="1" t="inlineStr">
        <is>
          <t>Cubierta PSFV Senia 0.4MW: Retirada 140 módulos y revisión cubierta</t>
        </is>
      </c>
      <c r="T46" s="5" t="n">
        <v>4095</v>
      </c>
      <c r="AB46" s="6" t="inlineStr">
        <is>
          <t>ES85 2080 3509 1130 4009 6171</t>
        </is>
      </c>
      <c r="AC46" s="1" t="inlineStr">
        <is>
          <t>pagado</t>
        </is>
      </c>
      <c r="AD46" s="5">
        <f>L46+N46+P46+R46+T46+V46+X46+Z46</f>
        <v/>
      </c>
      <c r="AE46" s="5">
        <f>IF((LEFT(K46,6))="Contab",L46,0)</f>
        <v/>
      </c>
      <c r="AF46" s="6">
        <f>VLOOKUP(G46,CLIENTES!B:E,4,FALSE)</f>
        <v/>
      </c>
      <c r="AG46" s="5">
        <f>AF46*AE46</f>
        <v/>
      </c>
      <c r="AH46" s="5">
        <f>AD46*1.21</f>
        <v/>
      </c>
      <c r="AI46" s="261">
        <f>IF(AE46&lt;&gt;0,AG46/AD46,"N/A")</f>
        <v/>
      </c>
      <c r="AJ46" s="5">
        <f>IF(AC46="pendiente",AD46,0)</f>
        <v/>
      </c>
      <c r="AK46" s="1">
        <f>VLOOKUP(G46,CLIENTES!B:D,3,FALSE)</f>
        <v/>
      </c>
      <c r="AL46" s="1" t="inlineStr">
        <is>
          <t>WOC_OM</t>
        </is>
      </c>
      <c r="AM46" s="1" t="inlineStr">
        <is>
          <t>Extraordinario</t>
        </is>
      </c>
    </row>
    <row r="47" ht="15" customFormat="1" customHeight="1" s="146">
      <c r="A47" s="146">
        <f>A46+1</f>
        <v/>
      </c>
      <c r="B47" s="149" t="n">
        <v>45699</v>
      </c>
      <c r="C47" s="146" t="inlineStr">
        <is>
          <t>c/ Las Cruzadas 3A, local D</t>
        </is>
      </c>
      <c r="D47" s="146" t="inlineStr">
        <is>
          <t>Sevilla 41004</t>
        </is>
      </c>
      <c r="E47" s="146" t="inlineStr">
        <is>
          <t>CIF B91938662</t>
        </is>
      </c>
      <c r="F47" s="146" t="inlineStr">
        <is>
          <t>aBalados@abalados.es</t>
        </is>
      </c>
      <c r="G47" s="146" t="inlineStr">
        <is>
          <t>aBalados Recycling, S.L.</t>
        </is>
      </c>
      <c r="H47" s="146">
        <f>VLOOKUP($G47,DATOS!$B:$E,2,FALSE)</f>
        <v/>
      </c>
      <c r="I47" s="146">
        <f>VLOOKUP($G47,DATOS!$B:$E,3,FALSE)</f>
        <v/>
      </c>
      <c r="J47" s="473">
        <f>VLOOKUP($G47,DATOS!$B:$E,4,FALSE)</f>
        <v/>
      </c>
      <c r="K47" s="146" t="inlineStr">
        <is>
          <t>Refacturación gastos y/o servicios prestados a nombre de la sociedad</t>
        </is>
      </c>
      <c r="L47" s="147" t="n"/>
      <c r="N47" s="147" t="n"/>
      <c r="O47" s="146" t="inlineStr">
        <is>
          <t>Portes equipamiento (Albarán Embilco 01-24011733; 28/08/2024)</t>
        </is>
      </c>
      <c r="P47" s="147" t="n">
        <v>23.01</v>
      </c>
      <c r="R47" s="147" t="n"/>
      <c r="T47" s="147" t="n"/>
      <c r="V47" s="147" t="n"/>
      <c r="X47" s="147" t="n"/>
      <c r="Z47" s="147" t="n"/>
      <c r="AA47" s="147" t="n"/>
      <c r="AB47" s="148" t="inlineStr">
        <is>
          <t>ES85 2080 3509 1130 4009 6171</t>
        </is>
      </c>
      <c r="AC47" s="146" t="inlineStr">
        <is>
          <t>pagado</t>
        </is>
      </c>
      <c r="AD47" s="147">
        <f>L47+N47+P47+R47+T47+V47+X47+Z47</f>
        <v/>
      </c>
      <c r="AE47" s="147">
        <f>IF((LEFT(K47,6))="Contab",L47,0)</f>
        <v/>
      </c>
      <c r="AF47" s="148">
        <f>VLOOKUP(G47,CLIENTES!B:E,4,FALSE)</f>
        <v/>
      </c>
      <c r="AG47" s="147">
        <f>AF47*AE47</f>
        <v/>
      </c>
      <c r="AH47" s="147">
        <f>AD47*1.21</f>
        <v/>
      </c>
      <c r="AI47" s="257">
        <f>IF(AE47&lt;&gt;0,AG47/AD47,"N/A")</f>
        <v/>
      </c>
      <c r="AJ47" s="147">
        <f>IF(AC47="pendiente",AD47,0)</f>
        <v/>
      </c>
      <c r="AK47" s="146">
        <f>VLOOKUP(G47,CLIENTES!B:D,3,FALSE)</f>
        <v/>
      </c>
      <c r="AL47" s="146" t="inlineStr">
        <is>
          <t>Asset</t>
        </is>
      </c>
      <c r="AM47" s="146" t="inlineStr">
        <is>
          <t>Extraordinario</t>
        </is>
      </c>
    </row>
    <row r="48" ht="15" customHeight="1" s="700">
      <c r="A48" s="1">
        <f>A47+1</f>
        <v/>
      </c>
      <c r="B48" s="26" t="n">
        <v>45743</v>
      </c>
      <c r="C48" s="1" t="inlineStr">
        <is>
          <t>c/ Las Cruzadas 3A, local D</t>
        </is>
      </c>
      <c r="D48" s="1" t="inlineStr">
        <is>
          <t>Sevilla 41004</t>
        </is>
      </c>
      <c r="E48" s="1" t="inlineStr">
        <is>
          <t>CIF B91938662</t>
        </is>
      </c>
      <c r="F48" s="1" t="inlineStr">
        <is>
          <t>aBalados@abalados.es</t>
        </is>
      </c>
      <c r="G48" s="1" t="inlineStr">
        <is>
          <t>Valcabado Renovables 220 kV, S.L.</t>
        </is>
      </c>
      <c r="H48" s="1">
        <f>VLOOKUP($G48,DATOS!$B:$E,2,FALSE)</f>
        <v/>
      </c>
      <c r="I48" s="1">
        <f>VLOOKUP($G48,DATOS!$B:$E,3,FALSE)</f>
        <v/>
      </c>
      <c r="J48" s="4">
        <f>VLOOKUP($G48,DATOS!$B:$E,4,FALSE)</f>
        <v/>
      </c>
      <c r="K48" s="258" t="inlineStr">
        <is>
          <t>Contrato de Asset Management - Subestación Valcabado</t>
        </is>
      </c>
      <c r="L48" s="259" t="n"/>
      <c r="M48" s="258" t="n"/>
      <c r="N48" s="259" t="n"/>
      <c r="O48" s="258" t="inlineStr">
        <is>
          <t>Fee Trimestral - 01 Enero/31 Marzo 2025</t>
        </is>
      </c>
      <c r="P48" s="259">
        <f>3* 2898*1.098*1.033*1.032</f>
        <v/>
      </c>
      <c r="Q48" s="1" t="inlineStr">
        <is>
          <t>Tasa actualización IPC General (Marzo 2024 - Marzo 2025) no disponible</t>
        </is>
      </c>
      <c r="W48" s="258" t="n"/>
      <c r="X48" s="259" t="n"/>
      <c r="Y48" s="258" t="n"/>
      <c r="Z48" s="259" t="n"/>
      <c r="AA48" s="259" t="n"/>
      <c r="AB48" s="6" t="inlineStr">
        <is>
          <t>ES85 2080 3509 1130 4009 6171</t>
        </is>
      </c>
      <c r="AC48" s="1" t="inlineStr">
        <is>
          <t>pagado</t>
        </is>
      </c>
      <c r="AD48" s="5">
        <f>L48+N48+P48+R48+T48+V48+X48+Z48</f>
        <v/>
      </c>
      <c r="AE48" s="5">
        <f>IF((LEFT(K48,6))="Contab",L48,0)</f>
        <v/>
      </c>
      <c r="AF48" s="6">
        <f>VLOOKUP(G48,CLIENTES!B:E,4,FALSE)</f>
        <v/>
      </c>
      <c r="AG48" s="5">
        <f>AF48*AE48</f>
        <v/>
      </c>
      <c r="AH48" s="5">
        <f>AD48*1.21</f>
        <v/>
      </c>
      <c r="AI48" s="261">
        <f>IF(AE48&lt;&gt;0,AG48/AD48,"N/A")</f>
        <v/>
      </c>
      <c r="AJ48" s="5">
        <f>IF(AC48="pendiente",AD48,0)</f>
        <v/>
      </c>
      <c r="AK48" s="1">
        <f>VLOOKUP(G48,CLIENTES!B:D,3,FALSE)</f>
        <v/>
      </c>
      <c r="AL48" s="258" t="inlineStr">
        <is>
          <t>nudos</t>
        </is>
      </c>
      <c r="AM48" s="258" t="inlineStr">
        <is>
          <t>Explotación</t>
        </is>
      </c>
    </row>
    <row r="49" ht="15" customHeight="1" s="700">
      <c r="A49" s="1">
        <f>A48+1</f>
        <v/>
      </c>
      <c r="B49" s="26" t="n">
        <v>45743</v>
      </c>
      <c r="C49" s="1" t="inlineStr">
        <is>
          <t>c/ Las Cruzadas 3A, local D</t>
        </is>
      </c>
      <c r="D49" s="1" t="inlineStr">
        <is>
          <t>Sevilla 41004</t>
        </is>
      </c>
      <c r="E49" s="1" t="inlineStr">
        <is>
          <t>CIF B91938662</t>
        </is>
      </c>
      <c r="F49" s="1" t="inlineStr">
        <is>
          <t>aBalados@abalados.es</t>
        </is>
      </c>
      <c r="G49" s="1" t="inlineStr">
        <is>
          <t>Grijota Renovables, S.L.</t>
        </is>
      </c>
      <c r="H49" s="1">
        <f>VLOOKUP($G49,DATOS!$B:$E,2,FALSE)</f>
        <v/>
      </c>
      <c r="I49" s="1">
        <f>VLOOKUP($G49,DATOS!$B:$E,3,FALSE)</f>
        <v/>
      </c>
      <c r="J49" s="4">
        <f>VLOOKUP($G49,DATOS!$B:$E,4,FALSE)</f>
        <v/>
      </c>
      <c r="K49" s="1" t="inlineStr">
        <is>
          <t>Contrato de Asset Management - Subestación Grijota</t>
        </is>
      </c>
      <c r="O49" s="1" t="inlineStr">
        <is>
          <t>Fee Trimestral - 01 Enero/31 Marzo 2025</t>
        </is>
      </c>
      <c r="P49" s="5">
        <f>3* 1035*1.108*1.023*1.028</f>
        <v/>
      </c>
      <c r="AB49" s="6" t="inlineStr">
        <is>
          <t>ES85 2080 3509 1130 4009 6171</t>
        </is>
      </c>
      <c r="AC49" s="1" t="inlineStr">
        <is>
          <t>pagado</t>
        </is>
      </c>
      <c r="AD49" s="5">
        <f>L49+N49+P49+R49+T49+V49+X49+Z49</f>
        <v/>
      </c>
      <c r="AE49" s="5">
        <f>IF((LEFT(K49,6))="Contab",L49,0)</f>
        <v/>
      </c>
      <c r="AF49" s="6">
        <f>VLOOKUP(G49,CLIENTES!B:E,4,FALSE)</f>
        <v/>
      </c>
      <c r="AG49" s="5">
        <f>AF49*AE49</f>
        <v/>
      </c>
      <c r="AH49" s="5">
        <f>AD49*1.21</f>
        <v/>
      </c>
      <c r="AI49" s="261">
        <f>IF(AE49&lt;&gt;0,AG49/AD49,"N/A")</f>
        <v/>
      </c>
      <c r="AJ49" s="5">
        <f>IF(AC49="pendiente",AD49,0)</f>
        <v/>
      </c>
      <c r="AK49" s="1">
        <f>VLOOKUP(G49,CLIENTES!B:D,3,FALSE)</f>
        <v/>
      </c>
      <c r="AL49" s="1" t="inlineStr">
        <is>
          <t>nudos</t>
        </is>
      </c>
      <c r="AM49" s="1" t="inlineStr">
        <is>
          <t>Promoción</t>
        </is>
      </c>
    </row>
    <row r="50" ht="15" customHeight="1" s="700">
      <c r="A50" s="1">
        <f>A49+1</f>
        <v/>
      </c>
      <c r="B50" s="26" t="n">
        <v>45743</v>
      </c>
      <c r="C50" s="1" t="inlineStr">
        <is>
          <t>c/ Las Cruzadas 3A, local D</t>
        </is>
      </c>
      <c r="D50" s="1" t="inlineStr">
        <is>
          <t>Sevilla 41004</t>
        </is>
      </c>
      <c r="E50" s="1" t="inlineStr">
        <is>
          <t>CIF B91938662</t>
        </is>
      </c>
      <c r="F50" s="1" t="inlineStr">
        <is>
          <t>aBalados@abalados.es</t>
        </is>
      </c>
      <c r="G50" s="1" t="inlineStr">
        <is>
          <t>Cubillos Renovables, S.L.</t>
        </is>
      </c>
      <c r="H50" s="1">
        <f>VLOOKUP($G50,DATOS!$B:$E,2,FALSE)</f>
        <v/>
      </c>
      <c r="I50" s="1">
        <f>VLOOKUP($G50,DATOS!$B:$E,3,FALSE)</f>
        <v/>
      </c>
      <c r="J50" s="4">
        <f>VLOOKUP($G50,DATOS!$B:$E,4,FALSE)</f>
        <v/>
      </c>
      <c r="K50" s="1" t="inlineStr">
        <is>
          <t>Contrato de Asset Management - Subestación Majuelo</t>
        </is>
      </c>
      <c r="O50" s="1" t="inlineStr">
        <is>
          <t>Fee Trimestral - 01 Enero/31 Marzo 2025</t>
        </is>
      </c>
      <c r="P50" s="5">
        <f>3* 2898*1.105*1.026*1.023</f>
        <v/>
      </c>
      <c r="AB50" s="6" t="inlineStr">
        <is>
          <t>ES85 2080 3509 1130 4009 6171</t>
        </is>
      </c>
      <c r="AC50" s="1" t="inlineStr">
        <is>
          <t>pagado</t>
        </is>
      </c>
      <c r="AD50" s="5">
        <f>L50+N50+P50+R50+T50+V50+X50+Z50</f>
        <v/>
      </c>
      <c r="AE50" s="5">
        <f>IF((LEFT(K50,6))="Contab",L50,0)</f>
        <v/>
      </c>
      <c r="AF50" s="6">
        <f>VLOOKUP(G50,CLIENTES!B:E,4,FALSE)</f>
        <v/>
      </c>
      <c r="AG50" s="5">
        <f>AF50*AE50</f>
        <v/>
      </c>
      <c r="AH50" s="5">
        <f>AD50*1.21</f>
        <v/>
      </c>
      <c r="AI50" s="261">
        <f>IF(AE50&lt;&gt;0,AG50/AD50,"N/A")</f>
        <v/>
      </c>
      <c r="AJ50" s="5">
        <f>IF(AC50="pendiente",AD50,0)</f>
        <v/>
      </c>
      <c r="AK50" s="1">
        <f>VLOOKUP(G50,CLIENTES!B:D,3,FALSE)</f>
        <v/>
      </c>
      <c r="AL50" s="1" t="inlineStr">
        <is>
          <t>nudos</t>
        </is>
      </c>
      <c r="AM50" s="1" t="inlineStr">
        <is>
          <t>Explotación</t>
        </is>
      </c>
    </row>
    <row r="51" ht="15" customHeight="1" s="700">
      <c r="A51" s="1">
        <f>A50+1</f>
        <v/>
      </c>
      <c r="B51" s="26" t="n">
        <v>45743</v>
      </c>
      <c r="C51" s="1" t="inlineStr">
        <is>
          <t>c/ Las Cruzadas 3A, local D</t>
        </is>
      </c>
      <c r="D51" s="1" t="inlineStr">
        <is>
          <t>Sevilla 41004</t>
        </is>
      </c>
      <c r="E51" s="1" t="inlineStr">
        <is>
          <t>CIF B91938662</t>
        </is>
      </c>
      <c r="F51" s="1" t="inlineStr">
        <is>
          <t>aBalados@abalados.es</t>
        </is>
      </c>
      <c r="G51" s="1" t="inlineStr">
        <is>
          <t>Tordesillas Renovables, S.L.</t>
        </is>
      </c>
      <c r="H51" s="1">
        <f>VLOOKUP($G51,DATOS!$B:$E,2,FALSE)</f>
        <v/>
      </c>
      <c r="I51" s="1">
        <f>VLOOKUP($G51,DATOS!$B:$E,3,FALSE)</f>
        <v/>
      </c>
      <c r="J51" s="4">
        <f>VLOOKUP($G51,DATOS!$B:$E,4,FALSE)</f>
        <v/>
      </c>
      <c r="K51" s="1" t="inlineStr">
        <is>
          <t>Contrato de Asset Management - Subestación Tordesillas</t>
        </is>
      </c>
      <c r="O51" s="1" t="inlineStr">
        <is>
          <t>Fee Trimestral - 01 Enero/31 Marzo 2025</t>
        </is>
      </c>
      <c r="P51" s="5">
        <f>3* 1200*1.073*1.035*1.018</f>
        <v/>
      </c>
      <c r="AB51" s="6" t="inlineStr">
        <is>
          <t>ES85 2080 3509 1130 4009 6171</t>
        </is>
      </c>
      <c r="AC51" s="1" t="inlineStr">
        <is>
          <t>pagado</t>
        </is>
      </c>
      <c r="AD51" s="5">
        <f>L51+N51+P51+R51+T51+V51+X51+Z51</f>
        <v/>
      </c>
      <c r="AE51" s="5">
        <f>IF((LEFT(K51,6))="Contab",L51,0)</f>
        <v/>
      </c>
      <c r="AF51" s="6">
        <f>VLOOKUP(G51,CLIENTES!B:E,4,FALSE)</f>
        <v/>
      </c>
      <c r="AG51" s="5">
        <f>AF51*AE51</f>
        <v/>
      </c>
      <c r="AH51" s="5">
        <f>AD51*1.21</f>
        <v/>
      </c>
      <c r="AI51" s="261">
        <f>IF(AE51&lt;&gt;0,AG51/AD51,"N/A")</f>
        <v/>
      </c>
      <c r="AJ51" s="5">
        <f>IF(AC51="pendiente",AD51,0)</f>
        <v/>
      </c>
      <c r="AK51" s="1">
        <f>VLOOKUP(G51,CLIENTES!B:D,3,FALSE)</f>
        <v/>
      </c>
      <c r="AL51" s="1" t="inlineStr">
        <is>
          <t>nudos</t>
        </is>
      </c>
      <c r="AM51" s="1" t="inlineStr">
        <is>
          <t>Promoción</t>
        </is>
      </c>
    </row>
    <row r="52" ht="15" customHeight="1" s="700">
      <c r="A52" s="1">
        <f>A51+1</f>
        <v/>
      </c>
      <c r="B52" s="26" t="n">
        <v>45743</v>
      </c>
      <c r="C52" s="1" t="inlineStr">
        <is>
          <t>c/ Las Cruzadas 3A, local D</t>
        </is>
      </c>
      <c r="D52" s="1" t="inlineStr">
        <is>
          <t>Sevilla 41004</t>
        </is>
      </c>
      <c r="E52" s="1" t="inlineStr">
        <is>
          <t>CIF B91938662</t>
        </is>
      </c>
      <c r="F52" s="1" t="inlineStr">
        <is>
          <t>aBalados@abalados.es</t>
        </is>
      </c>
      <c r="G52" s="1" t="inlineStr">
        <is>
          <t>Monte Reina Renovables, S.L.</t>
        </is>
      </c>
      <c r="H52" s="1">
        <f>VLOOKUP($G52,DATOS!$B:$E,2,FALSE)</f>
        <v/>
      </c>
      <c r="I52" s="1">
        <f>VLOOKUP($G52,DATOS!$B:$E,3,FALSE)</f>
        <v/>
      </c>
      <c r="J52" s="4">
        <f>VLOOKUP($G52,DATOS!$B:$E,4,FALSE)</f>
        <v/>
      </c>
      <c r="K52" s="1" t="inlineStr">
        <is>
          <t>Contrato de Asset Management - Subestación Valdecarretas</t>
        </is>
      </c>
      <c r="O52" s="1" t="inlineStr">
        <is>
          <t>Fee Trimestral - 01 Enero/31 Marzo 2025</t>
        </is>
      </c>
      <c r="P52" s="5">
        <f>3* 1380*1.073*1.035*1.018</f>
        <v/>
      </c>
      <c r="AB52" s="6" t="inlineStr">
        <is>
          <t>ES85 2080 3509 1130 4009 6171</t>
        </is>
      </c>
      <c r="AC52" s="1" t="inlineStr">
        <is>
          <t>pagado</t>
        </is>
      </c>
      <c r="AD52" s="5">
        <f>L52+N52+P52+R52+T52+V52+X52+Z52</f>
        <v/>
      </c>
      <c r="AE52" s="5">
        <f>IF((LEFT(K52,6))="Contab",L52,0)</f>
        <v/>
      </c>
      <c r="AF52" s="6">
        <f>VLOOKUP(G52,CLIENTES!B:E,4,FALSE)</f>
        <v/>
      </c>
      <c r="AG52" s="5">
        <f>AF52*AE52</f>
        <v/>
      </c>
      <c r="AH52" s="5">
        <f>AD52*1.21</f>
        <v/>
      </c>
      <c r="AI52" s="261">
        <f>IF(AE52&lt;&gt;0,AG52/AD52,"N/A")</f>
        <v/>
      </c>
      <c r="AJ52" s="5">
        <f>IF(AC52="pendiente",AD52,0)</f>
        <v/>
      </c>
      <c r="AK52" s="1">
        <f>VLOOKUP(G52,CLIENTES!B:D,3,FALSE)</f>
        <v/>
      </c>
      <c r="AL52" s="1" t="inlineStr">
        <is>
          <t>nudos</t>
        </is>
      </c>
      <c r="AM52" s="1" t="inlineStr">
        <is>
          <t>Promoción</t>
        </is>
      </c>
    </row>
    <row r="53" ht="15" customHeight="1" s="700">
      <c r="A53" s="1">
        <f>A52+1</f>
        <v/>
      </c>
      <c r="B53" s="26" t="n">
        <v>45743</v>
      </c>
      <c r="C53" s="1" t="inlineStr">
        <is>
          <t>c/ Las Cruzadas 3A, local D</t>
        </is>
      </c>
      <c r="D53" s="1" t="inlineStr">
        <is>
          <t>Sevilla 41004</t>
        </is>
      </c>
      <c r="E53" s="1" t="inlineStr">
        <is>
          <t>CIF B91938662</t>
        </is>
      </c>
      <c r="F53" s="1" t="inlineStr">
        <is>
          <t>aBalados@abalados.es</t>
        </is>
      </c>
      <c r="G53" s="1" t="inlineStr">
        <is>
          <t>Herrera Renovables 400, A.I.E.</t>
        </is>
      </c>
      <c r="H53" s="1">
        <f>VLOOKUP($G53,DATOS!$B:$E,2,FALSE)</f>
        <v/>
      </c>
      <c r="I53" s="1">
        <f>VLOOKUP($G53,DATOS!$B:$E,3,FALSE)</f>
        <v/>
      </c>
      <c r="J53" s="4">
        <f>VLOOKUP($G53,DATOS!$B:$E,4,FALSE)</f>
        <v/>
      </c>
      <c r="K53" s="1" t="inlineStr">
        <is>
          <t>Contrato de Asset Management - Subestación Herrera</t>
        </is>
      </c>
      <c r="O53" s="1" t="inlineStr">
        <is>
          <t>Fee Trimestral - 01 Enero/31 Marzo 2025</t>
        </is>
      </c>
      <c r="P53" s="5">
        <f>3* 1250*1.068*1.032*1.024</f>
        <v/>
      </c>
      <c r="AB53" s="6" t="inlineStr">
        <is>
          <t>ES85 2080 3509 1130 4009 6171</t>
        </is>
      </c>
      <c r="AC53" s="1" t="inlineStr">
        <is>
          <t>pagado</t>
        </is>
      </c>
      <c r="AD53" s="5">
        <f>L53+N53+P53+R53+T53+V53+X53+Z53</f>
        <v/>
      </c>
      <c r="AE53" s="5">
        <f>IF((LEFT(K53,6))="Contab",L53,0)</f>
        <v/>
      </c>
      <c r="AF53" s="6">
        <f>VLOOKUP(G53,CLIENTES!B:E,4,FALSE)</f>
        <v/>
      </c>
      <c r="AG53" s="5">
        <f>AF53*AE53</f>
        <v/>
      </c>
      <c r="AH53" s="5">
        <f>AD53*1.21</f>
        <v/>
      </c>
      <c r="AI53" s="261">
        <f>IF(AE53&lt;&gt;0,AG53/AD53,"N/A")</f>
        <v/>
      </c>
      <c r="AJ53" s="5">
        <f>IF(AC53="pendiente",AD53,0)</f>
        <v/>
      </c>
      <c r="AK53" s="1">
        <f>VLOOKUP(G53,CLIENTES!B:D,3,FALSE)</f>
        <v/>
      </c>
      <c r="AL53" s="1" t="inlineStr">
        <is>
          <t>nudos</t>
        </is>
      </c>
      <c r="AM53" s="1" t="inlineStr">
        <is>
          <t>Promoción</t>
        </is>
      </c>
    </row>
    <row r="54" ht="15" customHeight="1" s="700">
      <c r="A54" s="1">
        <f>A53+1</f>
        <v/>
      </c>
      <c r="B54" s="26" t="n">
        <v>45743</v>
      </c>
      <c r="C54" s="1" t="inlineStr">
        <is>
          <t>c/ Las Cruzadas 3A, local D</t>
        </is>
      </c>
      <c r="D54" s="1" t="inlineStr">
        <is>
          <t>Sevilla 41004</t>
        </is>
      </c>
      <c r="E54" s="1" t="inlineStr">
        <is>
          <t>CIF B91938662</t>
        </is>
      </c>
      <c r="F54" s="1" t="inlineStr">
        <is>
          <t>aBalados@abalados.es</t>
        </is>
      </c>
      <c r="G54" s="1" t="inlineStr">
        <is>
          <t>Gazules Renovables, S.L.</t>
        </is>
      </c>
      <c r="H54" s="1">
        <f>VLOOKUP($G54,DATOS!$B:$E,2,FALSE)</f>
        <v/>
      </c>
      <c r="I54" s="1">
        <f>VLOOKUP($G54,DATOS!$B:$E,3,FALSE)</f>
        <v/>
      </c>
      <c r="J54" s="4">
        <f>VLOOKUP($G54,DATOS!$B:$E,4,FALSE)</f>
        <v/>
      </c>
      <c r="K54" s="1" t="inlineStr">
        <is>
          <t>Contrato de Asset Management - Subestación Gazules</t>
        </is>
      </c>
      <c r="O54" s="1" t="inlineStr">
        <is>
          <t>Fee Trimestral - 01 Enero/31 Marzo 2025</t>
        </is>
      </c>
      <c r="P54" s="5">
        <f>3* 2900*1.068*1.032*1.024</f>
        <v/>
      </c>
      <c r="AB54" s="6" t="inlineStr">
        <is>
          <t>ES85 2080 3509 1130 4009 6171</t>
        </is>
      </c>
      <c r="AC54" s="1" t="inlineStr">
        <is>
          <t>pagado</t>
        </is>
      </c>
      <c r="AD54" s="5">
        <f>L54+N54+P54+R54+T54+V54+X54+Z54</f>
        <v/>
      </c>
      <c r="AE54" s="5">
        <f>IF((LEFT(K54,6))="Contab",L54,0)</f>
        <v/>
      </c>
      <c r="AF54" s="6">
        <f>VLOOKUP(G54,CLIENTES!B:E,4,FALSE)</f>
        <v/>
      </c>
      <c r="AG54" s="5">
        <f>AF54*AE54</f>
        <v/>
      </c>
      <c r="AH54" s="5">
        <f>AD54*1.21</f>
        <v/>
      </c>
      <c r="AI54" s="261">
        <f>IF(AE54&lt;&gt;0,AG54/AD54,"N/A")</f>
        <v/>
      </c>
      <c r="AJ54" s="5">
        <f>IF(AC54="pendiente",AD54,0)</f>
        <v/>
      </c>
      <c r="AK54" s="1">
        <f>VLOOKUP(G54,CLIENTES!B:D,3,FALSE)</f>
        <v/>
      </c>
      <c r="AL54" s="1" t="inlineStr">
        <is>
          <t>nudos</t>
        </is>
      </c>
      <c r="AM54" s="1" t="inlineStr">
        <is>
          <t>Explotación</t>
        </is>
      </c>
    </row>
    <row r="55" ht="15" customHeight="1" s="700">
      <c r="A55" s="1">
        <f>A54+1</f>
        <v/>
      </c>
      <c r="B55" s="26" t="n">
        <v>45743</v>
      </c>
      <c r="C55" s="1" t="inlineStr">
        <is>
          <t>c/ Las Cruzadas 3A, local D</t>
        </is>
      </c>
      <c r="D55" s="1" t="inlineStr">
        <is>
          <t>Sevilla 41004</t>
        </is>
      </c>
      <c r="E55" s="1" t="inlineStr">
        <is>
          <t>CIF B91938662</t>
        </is>
      </c>
      <c r="F55" s="1" t="inlineStr">
        <is>
          <t>aBalados@abalados.es</t>
        </is>
      </c>
      <c r="G55" s="1" t="inlineStr">
        <is>
          <t>Evacuación Tordesillas 400 kV, S.L.</t>
        </is>
      </c>
      <c r="H55" s="1">
        <f>VLOOKUP($G55,DATOS!$B:$E,2,FALSE)</f>
        <v/>
      </c>
      <c r="I55" s="1">
        <f>VLOOKUP($G55,DATOS!$B:$E,3,FALSE)</f>
        <v/>
      </c>
      <c r="J55" s="4">
        <f>VLOOKUP($G55,DATOS!$B:$E,4,FALSE)</f>
        <v/>
      </c>
      <c r="K55" s="1" t="inlineStr">
        <is>
          <t>Contrato de Asset Management - LAAT T2 (Tordesillas)</t>
        </is>
      </c>
      <c r="O55" s="1" t="inlineStr">
        <is>
          <t>Fee Trimestral - 01 Enero/31 Marzo 2025</t>
        </is>
      </c>
      <c r="P55" s="5">
        <f>1200*1.059*1.034*(19/31)+1200*1.059*1.034*1.029*(12/31)  +  2* 1200*1.059*1.034*1.029</f>
        <v/>
      </c>
      <c r="Q55" s="1" t="inlineStr">
        <is>
          <t>Tasa actualización IPC General (Enero 2024 - Enero 2025): 2,9%</t>
        </is>
      </c>
      <c r="S55" s="1" t="inlineStr">
        <is>
          <t>Fecha actualización: 20 Enero</t>
        </is>
      </c>
      <c r="AB55" s="6" t="inlineStr">
        <is>
          <t>ES85 2080 3509 1130 4009 6171</t>
        </is>
      </c>
      <c r="AC55" s="1" t="inlineStr">
        <is>
          <t>pagado</t>
        </is>
      </c>
      <c r="AD55" s="5">
        <f>L55+N55+P55+R55+T55+V55+X55+Z55</f>
        <v/>
      </c>
      <c r="AE55" s="5">
        <f>IF((LEFT(K55,6))="Contab",L55,0)</f>
        <v/>
      </c>
      <c r="AF55" s="6">
        <f>VLOOKUP(G55,CLIENTES!B:E,4,FALSE)</f>
        <v/>
      </c>
      <c r="AG55" s="5">
        <f>AF55*AE55</f>
        <v/>
      </c>
      <c r="AH55" s="5">
        <f>AD55*1.21</f>
        <v/>
      </c>
      <c r="AI55" s="261">
        <f>IF(AE55&lt;&gt;0,AG55/AD55,"N/A")</f>
        <v/>
      </c>
      <c r="AJ55" s="5">
        <f>IF(AC55="pendiente",AD55,0)</f>
        <v/>
      </c>
      <c r="AK55" s="1">
        <f>VLOOKUP(G55,CLIENTES!B:D,3,FALSE)</f>
        <v/>
      </c>
      <c r="AL55" s="1" t="inlineStr">
        <is>
          <t>nudos</t>
        </is>
      </c>
      <c r="AM55" s="1" t="inlineStr">
        <is>
          <t>Promoción</t>
        </is>
      </c>
    </row>
    <row r="56" ht="15" customHeight="1" s="700">
      <c r="A56" s="1">
        <f>A55+1</f>
        <v/>
      </c>
      <c r="B56" s="26" t="n">
        <v>45743</v>
      </c>
      <c r="C56" s="1" t="inlineStr">
        <is>
          <t>c/ Las Cruzadas 3A, local D</t>
        </is>
      </c>
      <c r="D56" s="1" t="inlineStr">
        <is>
          <t>Sevilla 41004</t>
        </is>
      </c>
      <c r="E56" s="1" t="inlineStr">
        <is>
          <t>CIF B91938662</t>
        </is>
      </c>
      <c r="F56" s="1" t="inlineStr">
        <is>
          <t>aBalados@abalados.es</t>
        </is>
      </c>
      <c r="G56" s="1" t="inlineStr">
        <is>
          <t>Energías Limpias de Carmona, S.L.</t>
        </is>
      </c>
      <c r="H56" s="1">
        <f>VLOOKUP($G56,DATOS!$B:$E,2,FALSE)</f>
        <v/>
      </c>
      <c r="I56" s="1">
        <f>VLOOKUP($G56,DATOS!$B:$E,3,FALSE)</f>
        <v/>
      </c>
      <c r="J56" s="4">
        <f>VLOOKUP($G56,DATOS!$B:$E,4,FALSE)</f>
        <v/>
      </c>
      <c r="K56" s="1" t="inlineStr">
        <is>
          <t>Contrato de Asset Management - Subestación Carmona220</t>
        </is>
      </c>
      <c r="O56" s="1" t="inlineStr">
        <is>
          <t>Fee Trimestral - 01 Enero/31 Marzo 2025</t>
        </is>
      </c>
      <c r="P56" s="5">
        <f>1* 1250*1.06*1.028  +  1250*1.06*1.028*(1/28)+1250*1.06*1.028*1.03*(27/28)  +  1* 1250*1.06*1.028*1.03</f>
        <v/>
      </c>
      <c r="Q56" s="1" t="inlineStr">
        <is>
          <t>Tasa actualización IPC General (Febrero 2024 - Febrero 2025): 3,0%</t>
        </is>
      </c>
      <c r="S56" s="1" t="inlineStr">
        <is>
          <t>Fecha actualización: 02 Febrero</t>
        </is>
      </c>
      <c r="AB56" s="6" t="inlineStr">
        <is>
          <t>ES85 2080 3509 1130 4009 6171</t>
        </is>
      </c>
      <c r="AC56" s="1" t="inlineStr">
        <is>
          <t>pagado</t>
        </is>
      </c>
      <c r="AD56" s="5">
        <f>L56+N56+P56+R56+T56+V56+X56+Z56</f>
        <v/>
      </c>
      <c r="AE56" s="5">
        <f>IF((LEFT(K56,6))="Contab",L56,0)</f>
        <v/>
      </c>
      <c r="AF56" s="6">
        <f>VLOOKUP(G56,CLIENTES!B:E,4,FALSE)</f>
        <v/>
      </c>
      <c r="AG56" s="5">
        <f>AF56*AE56</f>
        <v/>
      </c>
      <c r="AH56" s="5">
        <f>AD56*1.21</f>
        <v/>
      </c>
      <c r="AI56" s="261">
        <f>IF(AE56&lt;&gt;0,AG56/AD56,"N/A")</f>
        <v/>
      </c>
      <c r="AJ56" s="5">
        <f>IF(AC56="pendiente",AD56,0)</f>
        <v/>
      </c>
      <c r="AK56" s="1">
        <f>VLOOKUP(G56,CLIENTES!B:D,3,FALSE)</f>
        <v/>
      </c>
      <c r="AL56" s="1" t="inlineStr">
        <is>
          <t>nudos</t>
        </is>
      </c>
      <c r="AM56" s="1" t="inlineStr">
        <is>
          <t>Promoción</t>
        </is>
      </c>
    </row>
    <row r="57" ht="15" customHeight="1" s="700">
      <c r="A57" s="1">
        <f>A56+1</f>
        <v/>
      </c>
      <c r="B57" s="26" t="n">
        <v>45743</v>
      </c>
      <c r="C57" s="1" t="inlineStr">
        <is>
          <t>c/ Las Cruzadas 3A, local D</t>
        </is>
      </c>
      <c r="D57" s="1" t="inlineStr">
        <is>
          <t>Sevilla 41004</t>
        </is>
      </c>
      <c r="E57" s="1" t="inlineStr">
        <is>
          <t>CIF B91938662</t>
        </is>
      </c>
      <c r="F57" s="1" t="inlineStr">
        <is>
          <t>aBalados@abalados.es</t>
        </is>
      </c>
      <c r="G57" s="1" t="inlineStr">
        <is>
          <t>Martinez Montes Tordesillas, S.L.</t>
        </is>
      </c>
      <c r="H57" s="1">
        <f>VLOOKUP($G57,DATOS!$B:$E,2,FALSE)</f>
        <v/>
      </c>
      <c r="I57" s="1">
        <f>VLOOKUP($G57,DATOS!$B:$E,3,FALSE)</f>
        <v/>
      </c>
      <c r="J57" s="4">
        <f>VLOOKUP($G57,DATOS!$B:$E,4,FALSE)</f>
        <v/>
      </c>
      <c r="K57" s="1" t="inlineStr">
        <is>
          <t>Contrato de Asset Management - Subestación Martínez Montes (Tordesillas)</t>
        </is>
      </c>
      <c r="O57" s="1" t="inlineStr">
        <is>
          <t>Fee Trimestral - 01 Enero/31 Marzo 2025</t>
        </is>
      </c>
      <c r="P57" s="5">
        <f>1* 1200*1.06*1.028  +  1200*1.06*1.028*(7/28)+1200*1.06*1.028*1.03*(21/28)  +  1* 1200*1.06*1.028*1.03</f>
        <v/>
      </c>
      <c r="Q57" s="1" t="inlineStr">
        <is>
          <t>Tasa actualización IPC General (Febrero 2024 - Febrero 2025): 3,0%</t>
        </is>
      </c>
      <c r="S57" s="1" t="inlineStr">
        <is>
          <t>Fecha actualización: 08 Febrero</t>
        </is>
      </c>
      <c r="AB57" s="6" t="inlineStr">
        <is>
          <t>ES85 2080 3509 1130 4009 6171</t>
        </is>
      </c>
      <c r="AC57" s="1" t="inlineStr">
        <is>
          <t>pagado</t>
        </is>
      </c>
      <c r="AD57" s="5">
        <f>L57+N57+P57+R57+T57+V57+X57+Z57</f>
        <v/>
      </c>
      <c r="AE57" s="5">
        <f>IF((LEFT(K57,6))="Contab",L57,0)</f>
        <v/>
      </c>
      <c r="AF57" s="6">
        <f>VLOOKUP(G57,CLIENTES!B:E,4,FALSE)</f>
        <v/>
      </c>
      <c r="AG57" s="5">
        <f>AF57*AE57</f>
        <v/>
      </c>
      <c r="AH57" s="5">
        <f>AD57*1.21</f>
        <v/>
      </c>
      <c r="AI57" s="261">
        <f>IF(AE57&lt;&gt;0,AG57/AD57,"N/A")</f>
        <v/>
      </c>
      <c r="AJ57" s="5">
        <f>IF(AC57="pendiente",AD57,0)</f>
        <v/>
      </c>
      <c r="AK57" s="1">
        <f>VLOOKUP(G57,CLIENTES!B:D,3,FALSE)</f>
        <v/>
      </c>
      <c r="AL57" s="1" t="inlineStr">
        <is>
          <t>nudos</t>
        </is>
      </c>
      <c r="AM57" s="1" t="inlineStr">
        <is>
          <t>Promoción</t>
        </is>
      </c>
    </row>
    <row r="58" ht="15" customHeight="1" s="700">
      <c r="A58" s="1">
        <f>A57+1</f>
        <v/>
      </c>
      <c r="B58" s="26" t="n">
        <v>45743</v>
      </c>
      <c r="C58" s="1" t="inlineStr">
        <is>
          <t>c/ Las Cruzadas 3A, local D</t>
        </is>
      </c>
      <c r="D58" s="1" t="inlineStr">
        <is>
          <t>Sevilla 41004</t>
        </is>
      </c>
      <c r="E58" s="1" t="inlineStr">
        <is>
          <t>CIF B91938662</t>
        </is>
      </c>
      <c r="F58" s="1" t="inlineStr">
        <is>
          <t>aBalados@abalados.es</t>
        </is>
      </c>
      <c r="G58" s="1" t="inlineStr">
        <is>
          <t>SET Carmona 400 kV Renovables, S.L.</t>
        </is>
      </c>
      <c r="H58" s="1">
        <f>VLOOKUP($G58,DATOS!$B:$E,2,FALSE)</f>
        <v/>
      </c>
      <c r="I58" s="1">
        <f>VLOOKUP($G58,DATOS!$B:$E,3,FALSE)</f>
        <v/>
      </c>
      <c r="J58" s="4">
        <f>VLOOKUP($G58,DATOS!$B:$E,4,FALSE)</f>
        <v/>
      </c>
      <c r="K58" s="1" t="inlineStr">
        <is>
          <t>Contrato de Asset Management - Subestación Carmona400</t>
        </is>
      </c>
      <c r="O58" s="1" t="inlineStr">
        <is>
          <t>Fee Trimestral - 01 Enero/31 Marzo 2025</t>
        </is>
      </c>
      <c r="P58" s="5">
        <f>1* 2950*1.06*1.028  +  2950*1.06*1.028*(7/28)+2950*1.06*1.028*1.03*(21/28)  +  1* 2950*1.06*1.028*1.03</f>
        <v/>
      </c>
      <c r="Q58" s="1" t="inlineStr">
        <is>
          <t>Tasa actualización IPC General (Febrero 2024 - Febrero 2025): 3,0%</t>
        </is>
      </c>
      <c r="S58" s="1" t="inlineStr">
        <is>
          <t>Fecha actualización: 08 Febrero</t>
        </is>
      </c>
      <c r="AB58" s="6" t="inlineStr">
        <is>
          <t>ES85 2080 3509 1130 4009 6171</t>
        </is>
      </c>
      <c r="AC58" s="1" t="inlineStr">
        <is>
          <t>pagado</t>
        </is>
      </c>
      <c r="AD58" s="5">
        <f>L58+N58+P58+R58+T58+V58+X58+Z58</f>
        <v/>
      </c>
      <c r="AE58" s="5">
        <f>IF((LEFT(K58,6))="Contab",L58,0)</f>
        <v/>
      </c>
      <c r="AF58" s="6">
        <f>VLOOKUP(G58,CLIENTES!B:E,4,FALSE)</f>
        <v/>
      </c>
      <c r="AG58" s="5">
        <f>AF58*AE58</f>
        <v/>
      </c>
      <c r="AH58" s="5">
        <f>AD58*1.21</f>
        <v/>
      </c>
      <c r="AI58" s="261">
        <f>IF(AE58&lt;&gt;0,AG58/AD58,"N/A")</f>
        <v/>
      </c>
      <c r="AJ58" s="5">
        <f>IF(AC58="pendiente",AD58,0)</f>
        <v/>
      </c>
      <c r="AK58" s="1">
        <f>VLOOKUP(G58,CLIENTES!B:D,3,FALSE)</f>
        <v/>
      </c>
      <c r="AL58" s="1" t="inlineStr">
        <is>
          <t>nudos</t>
        </is>
      </c>
      <c r="AM58" s="1" t="inlineStr">
        <is>
          <t>Explotación</t>
        </is>
      </c>
    </row>
    <row r="59" ht="15" customHeight="1" s="700">
      <c r="A59" s="1">
        <f>A58+1</f>
        <v/>
      </c>
      <c r="B59" s="26" t="n">
        <v>45743</v>
      </c>
      <c r="C59" s="1" t="inlineStr">
        <is>
          <t>c/ Las Cruzadas 3A, local D</t>
        </is>
      </c>
      <c r="D59" s="1" t="inlineStr">
        <is>
          <t>Sevilla 41004</t>
        </is>
      </c>
      <c r="E59" s="1" t="inlineStr">
        <is>
          <t>CIF B91938662</t>
        </is>
      </c>
      <c r="F59" s="1" t="inlineStr">
        <is>
          <t>aBalados@abalados.es</t>
        </is>
      </c>
      <c r="G59" s="1" t="inlineStr">
        <is>
          <t>Evacuación Carmona 400-220 kV Renovables, S.L.</t>
        </is>
      </c>
      <c r="H59" s="1">
        <f>VLOOKUP($G59,DATOS!$B:$E,2,FALSE)</f>
        <v/>
      </c>
      <c r="I59" s="1">
        <f>VLOOKUP($G59,DATOS!$B:$E,3,FALSE)</f>
        <v/>
      </c>
      <c r="J59" s="4">
        <f>VLOOKUP($G59,DATOS!$B:$E,4,FALSE)</f>
        <v/>
      </c>
      <c r="K59" s="1" t="inlineStr">
        <is>
          <t>Contrato de Asset Management - LAAT 220/400kV</t>
        </is>
      </c>
      <c r="O59" s="1" t="inlineStr">
        <is>
          <t>Fee Trimestral - 01 Enero/31 Marzo 2025</t>
        </is>
      </c>
      <c r="P59" s="5">
        <f>1200*1.059*1.034*(24/31)+1200*1.059*1.034*1.029*(7/31)  +  2* 1200*1.059*1.034*1.029</f>
        <v/>
      </c>
      <c r="Q59" s="1" t="inlineStr">
        <is>
          <t>Tasa actualización IPC General (Enero 2024 - Enero 2025): 2,9%</t>
        </is>
      </c>
      <c r="S59" s="1" t="inlineStr">
        <is>
          <t>Fecha actualización: 25 Enero</t>
        </is>
      </c>
      <c r="AB59" s="6" t="inlineStr">
        <is>
          <t>ES85 2080 3509 1130 4009 6171</t>
        </is>
      </c>
      <c r="AC59" s="1" t="inlineStr">
        <is>
          <t>pagado</t>
        </is>
      </c>
      <c r="AD59" s="5">
        <f>L59+N59+P59+R59+T59+V59+X59+Z59</f>
        <v/>
      </c>
      <c r="AE59" s="5">
        <f>IF((LEFT(K59,6))="Contab",L59,0)</f>
        <v/>
      </c>
      <c r="AF59" s="6">
        <f>VLOOKUP(G59,CLIENTES!B:E,4,FALSE)</f>
        <v/>
      </c>
      <c r="AG59" s="5">
        <f>AF59*AE59</f>
        <v/>
      </c>
      <c r="AH59" s="5">
        <f>AD59*1.21</f>
        <v/>
      </c>
      <c r="AI59" s="261">
        <f>IF(AE59&lt;&gt;0,AG59/AD59,"N/A")</f>
        <v/>
      </c>
      <c r="AJ59" s="5">
        <f>IF(AC59="pendiente",AD59,0)</f>
        <v/>
      </c>
      <c r="AK59" s="1">
        <f>VLOOKUP(G59,CLIENTES!B:D,3,FALSE)</f>
        <v/>
      </c>
      <c r="AL59" s="1" t="inlineStr">
        <is>
          <t>nudos</t>
        </is>
      </c>
      <c r="AM59" s="1" t="inlineStr">
        <is>
          <t>Promoción</t>
        </is>
      </c>
    </row>
    <row r="60" ht="15" customHeight="1" s="700">
      <c r="A60" s="1">
        <f>A59+1</f>
        <v/>
      </c>
      <c r="B60" s="26" t="n">
        <v>45743</v>
      </c>
      <c r="C60" s="1" t="inlineStr">
        <is>
          <t>c/ Las Cruzadas 3A, local D</t>
        </is>
      </c>
      <c r="D60" s="1" t="inlineStr">
        <is>
          <t>Sevilla 41004</t>
        </is>
      </c>
      <c r="E60" s="1" t="inlineStr">
        <is>
          <t>CIF B91938662</t>
        </is>
      </c>
      <c r="F60" s="1" t="inlineStr">
        <is>
          <t>aBalados@abalados.es</t>
        </is>
      </c>
      <c r="G60" s="1" t="inlineStr">
        <is>
          <t>La Serranilla Renovables 132 kV, A.I.E.</t>
        </is>
      </c>
      <c r="H60" s="1">
        <f>VLOOKUP($G60,DATOS!$B:$E,2,FALSE)</f>
        <v/>
      </c>
      <c r="I60" s="1">
        <f>VLOOKUP($G60,DATOS!$B:$E,3,FALSE)</f>
        <v/>
      </c>
      <c r="J60" s="4">
        <f>VLOOKUP($G60,DATOS!$B:$E,4,FALSE)</f>
        <v/>
      </c>
      <c r="K60" s="1" t="inlineStr">
        <is>
          <t>Contrato de Asset Management - Subestación María Castro</t>
        </is>
      </c>
      <c r="O60" s="1" t="inlineStr">
        <is>
          <t>Fee Trimestral - 01 Enero/31 Marzo 2025</t>
        </is>
      </c>
      <c r="P60" s="5">
        <f>3* 1275*1.041*1.033</f>
        <v/>
      </c>
      <c r="AB60" s="6" t="inlineStr">
        <is>
          <t>ES85 2080 3509 1130 4009 6171</t>
        </is>
      </c>
      <c r="AC60" s="1" t="inlineStr">
        <is>
          <t>pagado</t>
        </is>
      </c>
      <c r="AD60" s="5">
        <f>L60+N60+P60+R60+T60+V60+X60+Z60</f>
        <v/>
      </c>
      <c r="AE60" s="5">
        <f>IF((LEFT(K60,6))="Contab",L60,0)</f>
        <v/>
      </c>
      <c r="AF60" s="6">
        <f>VLOOKUP(G60,CLIENTES!B:E,4,FALSE)</f>
        <v/>
      </c>
      <c r="AG60" s="5">
        <f>AF60*AE60</f>
        <v/>
      </c>
      <c r="AH60" s="5">
        <f>AD60*1.21</f>
        <v/>
      </c>
      <c r="AI60" s="261">
        <f>IF(AE60&lt;&gt;0,AG60/AD60,"N/A")</f>
        <v/>
      </c>
      <c r="AJ60" s="5">
        <f>IF(AC60="pendiente",AD60,0)</f>
        <v/>
      </c>
      <c r="AK60" s="1">
        <f>VLOOKUP(G60,CLIENTES!B:D,3,FALSE)</f>
        <v/>
      </c>
      <c r="AL60" s="1" t="inlineStr">
        <is>
          <t>nudos</t>
        </is>
      </c>
      <c r="AM60" s="1" t="inlineStr">
        <is>
          <t>Promoción</t>
        </is>
      </c>
    </row>
    <row r="61" ht="15" customHeight="1" s="700">
      <c r="A61" s="1">
        <f>A60+1</f>
        <v/>
      </c>
      <c r="B61" s="26" t="n">
        <v>45743</v>
      </c>
      <c r="C61" s="1" t="inlineStr">
        <is>
          <t>c/ Las Cruzadas 3A, local D</t>
        </is>
      </c>
      <c r="D61" s="1" t="inlineStr">
        <is>
          <t>Sevilla 41004</t>
        </is>
      </c>
      <c r="E61" s="1" t="inlineStr">
        <is>
          <t>CIF B91938662</t>
        </is>
      </c>
      <c r="F61" s="1" t="inlineStr">
        <is>
          <t>aBalados@abalados.es</t>
        </is>
      </c>
      <c r="G61" s="1" t="inlineStr">
        <is>
          <t>Línea Covatillas, A.I.E.</t>
        </is>
      </c>
      <c r="H61" s="1">
        <f>VLOOKUP($G61,DATOS!$B:$E,2,FALSE)</f>
        <v/>
      </c>
      <c r="I61" s="1">
        <f>VLOOKUP($G61,DATOS!$B:$E,3,FALSE)</f>
        <v/>
      </c>
      <c r="J61" s="4">
        <f>VLOOKUP($G61,DATOS!$B:$E,4,FALSE)</f>
        <v/>
      </c>
      <c r="K61" s="1" t="inlineStr">
        <is>
          <t>Contrato de Asset Management - LAAT 132kV</t>
        </is>
      </c>
      <c r="O61" s="1" t="inlineStr">
        <is>
          <t>Fee Trimestral - 01 Enero/31 Marzo 2025</t>
        </is>
      </c>
      <c r="P61" s="5">
        <f>3* 2545*1.032*1.036</f>
        <v/>
      </c>
      <c r="S61" s="5" t="n"/>
      <c r="AB61" s="6" t="inlineStr">
        <is>
          <t>ES85 2080 3509 1130 4009 6171</t>
        </is>
      </c>
      <c r="AC61" s="1" t="inlineStr">
        <is>
          <t>pagado</t>
        </is>
      </c>
      <c r="AD61" s="5">
        <f>L61+N61+P61+R61+T61+V61+X61+Z61</f>
        <v/>
      </c>
      <c r="AE61" s="5">
        <f>IF((LEFT(K61,6))="Contab",L61,0)</f>
        <v/>
      </c>
      <c r="AF61" s="6">
        <f>VLOOKUP(G61,CLIENTES!B:E,4,FALSE)</f>
        <v/>
      </c>
      <c r="AG61" s="5">
        <f>AF61*AE61</f>
        <v/>
      </c>
      <c r="AH61" s="5">
        <f>AD61*1.21</f>
        <v/>
      </c>
      <c r="AI61" s="261">
        <f>IF(AE61&lt;&gt;0,AG61/AD61,"N/A")</f>
        <v/>
      </c>
      <c r="AJ61" s="5">
        <f>IF(AC61="pendiente",AD61,0)</f>
        <v/>
      </c>
      <c r="AK61" s="1">
        <f>VLOOKUP(G61,CLIENTES!B:D,3,FALSE)</f>
        <v/>
      </c>
      <c r="AL61" s="1" t="inlineStr">
        <is>
          <t>nudos</t>
        </is>
      </c>
      <c r="AM61" s="1" t="inlineStr">
        <is>
          <t>Explotación</t>
        </is>
      </c>
    </row>
    <row r="62" ht="15" customHeight="1" s="700">
      <c r="A62" s="1">
        <f>A61+1</f>
        <v/>
      </c>
      <c r="B62" s="26" t="n">
        <v>45743</v>
      </c>
      <c r="C62" s="1" t="inlineStr">
        <is>
          <t>c/ Las Cruzadas 3A, local D</t>
        </is>
      </c>
      <c r="D62" s="1" t="inlineStr">
        <is>
          <t>Sevilla 41004</t>
        </is>
      </c>
      <c r="E62" s="1" t="inlineStr">
        <is>
          <t>CIF B91938662</t>
        </is>
      </c>
      <c r="F62" s="1" t="inlineStr">
        <is>
          <t>aBalados@abalados.es</t>
        </is>
      </c>
      <c r="G62" s="1" t="inlineStr">
        <is>
          <t>Herrera Sotillo Renovables, A.I.E.</t>
        </is>
      </c>
      <c r="H62" s="1">
        <f>VLOOKUP($G62,DATOS!$B:$E,2,FALSE)</f>
        <v/>
      </c>
      <c r="I62" s="1">
        <f>VLOOKUP($G62,DATOS!$B:$E,3,FALSE)</f>
        <v/>
      </c>
      <c r="J62" s="4">
        <f>VLOOKUP($G62,DATOS!$B:$E,4,FALSE)</f>
        <v/>
      </c>
      <c r="K62" s="1" t="inlineStr">
        <is>
          <t>Contrato de Asset Management - Subestación Sotillo</t>
        </is>
      </c>
      <c r="O62" s="1" t="inlineStr">
        <is>
          <t>Fee Trimestral - 01 Enero/31 Marzo 2025</t>
        </is>
      </c>
      <c r="P62" s="5">
        <f>3* 1250*1.019*1.034</f>
        <v/>
      </c>
      <c r="AB62" s="6" t="inlineStr">
        <is>
          <t>ES85 2080 3509 1130 4009 6171</t>
        </is>
      </c>
      <c r="AC62" s="1" t="inlineStr">
        <is>
          <t>pagado</t>
        </is>
      </c>
      <c r="AD62" s="5">
        <f>L62+N62+P62+R62+T62+V62+X62+Z62</f>
        <v/>
      </c>
      <c r="AE62" s="5">
        <f>IF((LEFT(K62,6))="Contab",L62,0)</f>
        <v/>
      </c>
      <c r="AF62" s="6">
        <f>VLOOKUP(G62,CLIENTES!B:E,4,FALSE)</f>
        <v/>
      </c>
      <c r="AG62" s="5">
        <f>AF62*AE62</f>
        <v/>
      </c>
      <c r="AH62" s="5">
        <f>AD62*1.21</f>
        <v/>
      </c>
      <c r="AI62" s="261">
        <f>IF(AE62&lt;&gt;0,AG62/AD62,"N/A")</f>
        <v/>
      </c>
      <c r="AJ62" s="5">
        <f>IF(AC62="pendiente",AD62,0)</f>
        <v/>
      </c>
      <c r="AK62" s="1">
        <f>VLOOKUP(G62,CLIENTES!B:D,3,FALSE)</f>
        <v/>
      </c>
      <c r="AL62" s="1" t="inlineStr">
        <is>
          <t>nudos</t>
        </is>
      </c>
      <c r="AM62" s="1" t="inlineStr">
        <is>
          <t>Promoción</t>
        </is>
      </c>
    </row>
    <row r="63" ht="15" customHeight="1" s="700">
      <c r="A63" s="1">
        <f>A62+1</f>
        <v/>
      </c>
      <c r="B63" s="26" t="n">
        <v>45743</v>
      </c>
      <c r="C63" s="1" t="inlineStr">
        <is>
          <t>c/ Las Cruzadas 3A, local D</t>
        </is>
      </c>
      <c r="D63" s="1" t="inlineStr">
        <is>
          <t>Sevilla 41004</t>
        </is>
      </c>
      <c r="E63" s="1" t="inlineStr">
        <is>
          <t>CIF B91938662</t>
        </is>
      </c>
      <c r="F63" s="1" t="inlineStr">
        <is>
          <t>aBalados@abalados.es</t>
        </is>
      </c>
      <c r="G63" s="1" t="inlineStr">
        <is>
          <t>Cuádruple Belinchón, S.L.</t>
        </is>
      </c>
      <c r="H63" s="1">
        <f>VLOOKUP($G63,DATOS!$B:$E,2,FALSE)</f>
        <v/>
      </c>
      <c r="I63" s="1">
        <f>VLOOKUP($G63,DATOS!$B:$E,3,FALSE)</f>
        <v/>
      </c>
      <c r="J63" s="4">
        <f>VLOOKUP($G63,DATOS!$B:$E,4,FALSE)</f>
        <v/>
      </c>
      <c r="K63" s="1" t="inlineStr">
        <is>
          <t>Contrato de Asset Management - LAAT 132kV</t>
        </is>
      </c>
      <c r="O63" s="1" t="inlineStr">
        <is>
          <t>Fee Trimestral - 01 Enero/31 Marzo 2025</t>
        </is>
      </c>
      <c r="P63" s="5">
        <f>3* 2675*1.032*1.024</f>
        <v/>
      </c>
      <c r="AB63" s="6" t="inlineStr">
        <is>
          <t>ES85 2080 3509 1130 4009 6171</t>
        </is>
      </c>
      <c r="AC63" s="1" t="inlineStr">
        <is>
          <t>pagado</t>
        </is>
      </c>
      <c r="AD63" s="5">
        <f>L63+N63+P63+R63+T63+V63+X63+Z63</f>
        <v/>
      </c>
      <c r="AE63" s="5">
        <f>IF((LEFT(K63,6))="Contab",L63,0)</f>
        <v/>
      </c>
      <c r="AF63" s="6">
        <f>VLOOKUP(G63,CLIENTES!B:E,4,FALSE)</f>
        <v/>
      </c>
      <c r="AG63" s="5">
        <f>AF63*AE63</f>
        <v/>
      </c>
      <c r="AH63" s="5">
        <f>AD63*1.21</f>
        <v/>
      </c>
      <c r="AI63" s="261">
        <f>IF(AE63&lt;&gt;0,AG63/AD63,"N/A")</f>
        <v/>
      </c>
      <c r="AJ63" s="5">
        <f>IF(AC63="pendiente",AD63,0)</f>
        <v/>
      </c>
      <c r="AK63" s="1">
        <f>VLOOKUP(G63,CLIENTES!B:D,3,FALSE)</f>
        <v/>
      </c>
      <c r="AL63" s="1" t="inlineStr">
        <is>
          <t>nudos</t>
        </is>
      </c>
      <c r="AM63" s="1" t="inlineStr">
        <is>
          <t>Explotación</t>
        </is>
      </c>
    </row>
    <row r="64" ht="15" customHeight="1" s="700">
      <c r="A64" s="1">
        <f>A63+1</f>
        <v/>
      </c>
      <c r="B64" s="26" t="n">
        <v>45743</v>
      </c>
      <c r="C64" s="1" t="inlineStr">
        <is>
          <t>c/ Las Cruzadas 3A, local D</t>
        </is>
      </c>
      <c r="D64" s="1" t="inlineStr">
        <is>
          <t>Sevilla 41004</t>
        </is>
      </c>
      <c r="E64" s="1" t="inlineStr">
        <is>
          <t>CIF B91938662</t>
        </is>
      </c>
      <c r="F64" s="1" t="inlineStr">
        <is>
          <t>aBalados@abalados.es</t>
        </is>
      </c>
      <c r="G64" s="1" t="inlineStr">
        <is>
          <t>Renovables Brovales 400 kV, S.L.</t>
        </is>
      </c>
      <c r="H64" s="1">
        <f>VLOOKUP($G64,DATOS!$B:$E,2,FALSE)</f>
        <v/>
      </c>
      <c r="I64" s="1">
        <f>VLOOKUP($G64,DATOS!$B:$E,3,FALSE)</f>
        <v/>
      </c>
      <c r="J64" s="4">
        <f>VLOOKUP($G64,DATOS!$B:$E,4,FALSE)</f>
        <v/>
      </c>
      <c r="K64" s="1" t="inlineStr">
        <is>
          <t>Contrato de Asset Management - Subestación BrovalesF1</t>
        </is>
      </c>
      <c r="O64" s="1" t="inlineStr">
        <is>
          <t>Fee Trimestral - 01 Enero/31 Marzo 2025</t>
        </is>
      </c>
      <c r="P64" s="5">
        <f>3* 3025*1.035*1.015</f>
        <v/>
      </c>
      <c r="S64" s="5" t="n"/>
      <c r="AB64" s="6" t="inlineStr">
        <is>
          <t>ES85 2080 3509 1130 4009 6171</t>
        </is>
      </c>
      <c r="AC64" s="1" t="inlineStr">
        <is>
          <t>pagado</t>
        </is>
      </c>
      <c r="AD64" s="5">
        <f>L64+N64+P64+R64+T64+V64+X64+Z64</f>
        <v/>
      </c>
      <c r="AE64" s="5">
        <f>IF((LEFT(K64,6))="Contab",L64,0)</f>
        <v/>
      </c>
      <c r="AF64" s="6">
        <f>VLOOKUP(G64,CLIENTES!B:E,4,FALSE)</f>
        <v/>
      </c>
      <c r="AG64" s="5">
        <f>AF64*AE64</f>
        <v/>
      </c>
      <c r="AH64" s="5">
        <f>AD64*1.21</f>
        <v/>
      </c>
      <c r="AI64" s="261">
        <f>IF(AE64&lt;&gt;0,AG64/AD64,"N/A")</f>
        <v/>
      </c>
      <c r="AJ64" s="5">
        <f>IF(AC64="pendiente",AD64,0)</f>
        <v/>
      </c>
      <c r="AK64" s="1">
        <f>VLOOKUP(G64,CLIENTES!B:D,3,FALSE)</f>
        <v/>
      </c>
      <c r="AL64" s="1" t="inlineStr">
        <is>
          <t>nudos</t>
        </is>
      </c>
      <c r="AM64" s="1" t="inlineStr">
        <is>
          <t>Explotación</t>
        </is>
      </c>
    </row>
    <row r="65" ht="15" customHeight="1" s="700">
      <c r="A65" s="1">
        <f>A64+1</f>
        <v/>
      </c>
      <c r="B65" s="26" t="n">
        <v>45743</v>
      </c>
      <c r="C65" s="1" t="inlineStr">
        <is>
          <t>c/ Las Cruzadas 3A, local D</t>
        </is>
      </c>
      <c r="D65" s="1" t="inlineStr">
        <is>
          <t>Sevilla 41004</t>
        </is>
      </c>
      <c r="E65" s="1" t="inlineStr">
        <is>
          <t>CIF B91938662</t>
        </is>
      </c>
      <c r="F65" s="1" t="inlineStr">
        <is>
          <t>aBalados@abalados.es</t>
        </is>
      </c>
      <c r="G65" s="1" t="inlineStr">
        <is>
          <t>Huerta Sevilla Renovables, S.L.</t>
        </is>
      </c>
      <c r="H65" s="1">
        <f>VLOOKUP($G65,DATOS!$B:$E,2,FALSE)</f>
        <v/>
      </c>
      <c r="I65" s="1">
        <f>VLOOKUP($G65,DATOS!$B:$E,3,FALSE)</f>
        <v/>
      </c>
      <c r="J65" s="4">
        <f>VLOOKUP($G65,DATOS!$B:$E,4,FALSE)</f>
        <v/>
      </c>
      <c r="K65" s="1" t="inlineStr">
        <is>
          <t>Contrato de Asset Management - Subestación BrovalesF3</t>
        </is>
      </c>
      <c r="O65" s="1" t="inlineStr">
        <is>
          <t>Fee Trimestral - 01 Enero/31 Marzo 2025</t>
        </is>
      </c>
      <c r="P65" s="5">
        <f>3* 2960*1.032*1.024</f>
        <v/>
      </c>
      <c r="Y65" s="5" t="n"/>
      <c r="AB65" s="6" t="inlineStr">
        <is>
          <t>ES85 2080 3509 1130 4009 6171</t>
        </is>
      </c>
      <c r="AC65" s="1" t="inlineStr">
        <is>
          <t>pagado</t>
        </is>
      </c>
      <c r="AD65" s="5">
        <f>L65+N65+P65+R65+T65+V65+X65+Z65</f>
        <v/>
      </c>
      <c r="AE65" s="5">
        <f>IF((LEFT(K65,6))="Contab",L65,0)</f>
        <v/>
      </c>
      <c r="AF65" s="6">
        <f>VLOOKUP(G65,CLIENTES!B:E,4,FALSE)</f>
        <v/>
      </c>
      <c r="AG65" s="5">
        <f>AF65*AE65</f>
        <v/>
      </c>
      <c r="AH65" s="5">
        <f>AD65*1.21</f>
        <v/>
      </c>
      <c r="AI65" s="261">
        <f>IF(AE65&lt;&gt;0,AG65/AD65,"N/A")</f>
        <v/>
      </c>
      <c r="AJ65" s="5">
        <f>IF(AC65="pendiente",AD65,0)</f>
        <v/>
      </c>
      <c r="AK65" s="1">
        <f>VLOOKUP(G65,CLIENTES!B:D,3,FALSE)</f>
        <v/>
      </c>
      <c r="AL65" s="1" t="inlineStr">
        <is>
          <t>nudos</t>
        </is>
      </c>
      <c r="AM65" s="1" t="inlineStr">
        <is>
          <t>Explotación</t>
        </is>
      </c>
    </row>
    <row r="66" ht="15" customHeight="1" s="700">
      <c r="A66" s="1">
        <f>A65+1</f>
        <v/>
      </c>
      <c r="B66" s="26" t="n">
        <v>45743</v>
      </c>
      <c r="C66" s="1" t="inlineStr">
        <is>
          <t>c/ Las Cruzadas 3A, local D</t>
        </is>
      </c>
      <c r="D66" s="1" t="inlineStr">
        <is>
          <t>Sevilla 41004</t>
        </is>
      </c>
      <c r="E66" s="1" t="inlineStr">
        <is>
          <t>CIF B91938662</t>
        </is>
      </c>
      <c r="F66" s="1" t="inlineStr">
        <is>
          <t>aBalados@abalados.es</t>
        </is>
      </c>
      <c r="G66" s="1" t="inlineStr">
        <is>
          <t>Belisol 132 kV, S.L.</t>
        </is>
      </c>
      <c r="H66" s="1">
        <f>VLOOKUP($G66,DATOS!$B:$E,2,FALSE)</f>
        <v/>
      </c>
      <c r="I66" s="1">
        <f>VLOOKUP($G66,DATOS!$B:$E,3,FALSE)</f>
        <v/>
      </c>
      <c r="J66" s="4">
        <f>VLOOKUP($G66,DATOS!$B:$E,4,FALSE)</f>
        <v/>
      </c>
      <c r="K66" s="1" t="inlineStr">
        <is>
          <t>Contrato de Asset Management - Subestación Belisol</t>
        </is>
      </c>
      <c r="O66" s="1" t="inlineStr">
        <is>
          <t>Fee Trimestral - 01 Enero/31 Marzo 2025</t>
        </is>
      </c>
      <c r="P66" s="5">
        <f>1* 3045*1.028  +  3045*1.028*(9/28)+3045*1.028*1.03*(19/28)  +  1* 3045*1.028*1.03</f>
        <v/>
      </c>
      <c r="Q66" s="1" t="inlineStr">
        <is>
          <t>Tasa actualización IPC General (Febrero 2024 - Febrero 2025): 3,0%</t>
        </is>
      </c>
      <c r="S66" s="1" t="inlineStr">
        <is>
          <t>Fecha actualización: 10 Febrero</t>
        </is>
      </c>
      <c r="AB66" s="6" t="inlineStr">
        <is>
          <t>ES85 2080 3509 1130 4009 6171</t>
        </is>
      </c>
      <c r="AC66" s="1" t="inlineStr">
        <is>
          <t>pagado</t>
        </is>
      </c>
      <c r="AD66" s="5">
        <f>L66+N66+P66+R66+T66+V66+X66+Z66</f>
        <v/>
      </c>
      <c r="AE66" s="5">
        <f>IF((LEFT(K66,6))="Contab",L66,0)</f>
        <v/>
      </c>
      <c r="AF66" s="6">
        <f>VLOOKUP(G66,CLIENTES!B:E,4,FALSE)</f>
        <v/>
      </c>
      <c r="AG66" s="5">
        <f>AF66*AE66</f>
        <v/>
      </c>
      <c r="AH66" s="5">
        <f>AD66*1.21</f>
        <v/>
      </c>
      <c r="AI66" s="261">
        <f>IF(AE66&lt;&gt;0,AG66/AD66,"N/A")</f>
        <v/>
      </c>
      <c r="AJ66" s="5">
        <f>IF(AC66="pendiente",AD66,0)</f>
        <v/>
      </c>
      <c r="AK66" s="1">
        <f>VLOOKUP(G66,CLIENTES!B:D,3,FALSE)</f>
        <v/>
      </c>
      <c r="AL66" s="1" t="inlineStr">
        <is>
          <t>nudos</t>
        </is>
      </c>
      <c r="AM66" s="1" t="inlineStr">
        <is>
          <t>Explotación</t>
        </is>
      </c>
    </row>
    <row r="67" ht="15" customHeight="1" s="700">
      <c r="A67" s="1">
        <f>A66+1</f>
        <v/>
      </c>
      <c r="B67" s="26" t="n">
        <v>45743</v>
      </c>
      <c r="C67" s="1" t="inlineStr">
        <is>
          <t>c/ Las Cruzadas 3A, local D</t>
        </is>
      </c>
      <c r="D67" s="1" t="inlineStr">
        <is>
          <t>Sevilla 41004</t>
        </is>
      </c>
      <c r="E67" s="1" t="inlineStr">
        <is>
          <t>CIF B91938662</t>
        </is>
      </c>
      <c r="F67" s="1" t="inlineStr">
        <is>
          <t>aBalados@abalados.es</t>
        </is>
      </c>
      <c r="G67" s="1" t="inlineStr">
        <is>
          <t>Brazatortas 220 Renovables, S.L.</t>
        </is>
      </c>
      <c r="H67" s="1">
        <f>VLOOKUP($G67,DATOS!$B:$E,2,FALSE)</f>
        <v/>
      </c>
      <c r="I67" s="1">
        <f>VLOOKUP($G67,DATOS!$B:$E,3,FALSE)</f>
        <v/>
      </c>
      <c r="J67" s="4">
        <f>VLOOKUP($G67,DATOS!$B:$E,4,FALSE)</f>
        <v/>
      </c>
      <c r="K67" s="1" t="inlineStr">
        <is>
          <t>Contrato de Asset Management - Subestación Brazatortas220</t>
        </is>
      </c>
      <c r="O67" s="1" t="inlineStr">
        <is>
          <t>Fee Trimestral - 01 Enero/31 Marzo 2025</t>
        </is>
      </c>
      <c r="P67" s="5">
        <f>3* 3015*1.031*1.028</f>
        <v/>
      </c>
      <c r="Q67" s="1" t="inlineStr">
        <is>
          <t>Tasa actualización IPC General (Diciembre 2023 - Diciembre 2024): 2,8%</t>
        </is>
      </c>
      <c r="U67" s="1" t="inlineStr">
        <is>
          <t>Regularización IPC trimestre anterior (05Diciembre-31Diciembre 2024)</t>
        </is>
      </c>
      <c r="V67" s="5">
        <f>3015*1.031*(27/31) *0.028</f>
        <v/>
      </c>
      <c r="AB67" s="6" t="inlineStr">
        <is>
          <t>ES85 2080 3509 1130 4009 6171</t>
        </is>
      </c>
      <c r="AC67" s="1" t="inlineStr">
        <is>
          <t>pagado</t>
        </is>
      </c>
      <c r="AD67" s="5">
        <f>L67+N67+P67+R67+T67+V67+X67+Z67</f>
        <v/>
      </c>
      <c r="AE67" s="5">
        <f>IF((LEFT(K67,6))="Contab",L67,0)</f>
        <v/>
      </c>
      <c r="AF67" s="6">
        <f>VLOOKUP(G67,CLIENTES!B:E,4,FALSE)</f>
        <v/>
      </c>
      <c r="AG67" s="5">
        <f>AF67*AE67</f>
        <v/>
      </c>
      <c r="AH67" s="5">
        <f>AD67*1.21</f>
        <v/>
      </c>
      <c r="AI67" s="261">
        <f>IF(AE67&lt;&gt;0,AG67/AD67,"N/A")</f>
        <v/>
      </c>
      <c r="AJ67" s="5">
        <f>IF(AC67="pendiente",AD67,0)</f>
        <v/>
      </c>
      <c r="AK67" s="1">
        <f>VLOOKUP(G67,CLIENTES!B:D,3,FALSE)</f>
        <v/>
      </c>
      <c r="AL67" s="1" t="inlineStr">
        <is>
          <t>nudos</t>
        </is>
      </c>
      <c r="AM67" s="1" t="inlineStr">
        <is>
          <t>Explotación</t>
        </is>
      </c>
    </row>
    <row r="68" ht="15" customHeight="1" s="700">
      <c r="A68" s="1">
        <f>A67+1</f>
        <v/>
      </c>
      <c r="B68" s="26" t="n">
        <v>45743</v>
      </c>
      <c r="C68" s="1" t="inlineStr">
        <is>
          <t>c/ Las Cruzadas 3A, local D</t>
        </is>
      </c>
      <c r="D68" s="1" t="inlineStr">
        <is>
          <t>Sevilla 41004</t>
        </is>
      </c>
      <c r="E68" s="1" t="inlineStr">
        <is>
          <t>CIF B91938662</t>
        </is>
      </c>
      <c r="F68" s="1" t="inlineStr">
        <is>
          <t>aBalados@abalados.es</t>
        </is>
      </c>
      <c r="G68" s="1" t="inlineStr">
        <is>
          <t>Evacuación Liquesun, S.L.</t>
        </is>
      </c>
      <c r="H68" s="1">
        <f>VLOOKUP($G68,DATOS!$B:$E,2,FALSE)</f>
        <v/>
      </c>
      <c r="I68" s="1">
        <f>VLOOKUP($G68,DATOS!$B:$E,3,FALSE)</f>
        <v/>
      </c>
      <c r="J68" s="4">
        <f>VLOOKUP($G68,DATOS!$B:$E,4,FALSE)</f>
        <v/>
      </c>
      <c r="K68" s="1" t="inlineStr">
        <is>
          <t>Contrato de Asset Management - LSAT 30kV</t>
        </is>
      </c>
      <c r="O68" s="1" t="inlineStr">
        <is>
          <t>Fee Trimestral - 01 Enero/31 Marzo 2025</t>
        </is>
      </c>
      <c r="P68" s="5">
        <f>3* 750*1.032</f>
        <v/>
      </c>
      <c r="Q68" s="1" t="inlineStr">
        <is>
          <t>Tasa actualización IPC General (Marzo 2024 - Marzo 2025) no disponible</t>
        </is>
      </c>
      <c r="AB68" s="6" t="inlineStr">
        <is>
          <t>ES85 2080 3509 1130 4009 6171</t>
        </is>
      </c>
      <c r="AC68" s="1" t="inlineStr">
        <is>
          <t>pagado</t>
        </is>
      </c>
      <c r="AD68" s="5">
        <f>L68+N68+P68+R68+T68+V68+X68+Z68</f>
        <v/>
      </c>
      <c r="AE68" s="5">
        <f>IF((LEFT(K68,6))="Contab",L68,0)</f>
        <v/>
      </c>
      <c r="AF68" s="6">
        <f>VLOOKUP(G68,CLIENTES!B:E,4,FALSE)</f>
        <v/>
      </c>
      <c r="AG68" s="5">
        <f>AF68*AE68</f>
        <v/>
      </c>
      <c r="AH68" s="5">
        <f>AD68*1.21</f>
        <v/>
      </c>
      <c r="AI68" s="261">
        <f>IF(AE68&lt;&gt;0,AG68/AD68,"N/A")</f>
        <v/>
      </c>
      <c r="AJ68" s="5">
        <f>IF(AC68="pendiente",AD68,0)</f>
        <v/>
      </c>
      <c r="AK68" s="1">
        <f>VLOOKUP(G68,CLIENTES!B:D,3,FALSE)</f>
        <v/>
      </c>
      <c r="AL68" s="1" t="inlineStr">
        <is>
          <t>nudos</t>
        </is>
      </c>
      <c r="AM68" s="1" t="inlineStr">
        <is>
          <t>Promoción</t>
        </is>
      </c>
    </row>
    <row r="69" ht="15" customHeight="1" s="700">
      <c r="A69" s="1">
        <f>A68+1</f>
        <v/>
      </c>
      <c r="B69" s="26" t="n">
        <v>45743</v>
      </c>
      <c r="C69" s="1" t="inlineStr">
        <is>
          <t>c/ Las Cruzadas 3A, local D</t>
        </is>
      </c>
      <c r="D69" s="1" t="inlineStr">
        <is>
          <t>Sevilla 41004</t>
        </is>
      </c>
      <c r="E69" s="1" t="inlineStr">
        <is>
          <t>CIF B91938662</t>
        </is>
      </c>
      <c r="F69" s="1" t="inlineStr">
        <is>
          <t>aBalados@abalados.es</t>
        </is>
      </c>
      <c r="G69" s="1" t="inlineStr">
        <is>
          <t>Colectora Carmona, S.L.</t>
        </is>
      </c>
      <c r="H69" s="1">
        <f>VLOOKUP($G69,DATOS!$B:$E,2,FALSE)</f>
        <v/>
      </c>
      <c r="I69" s="1">
        <f>VLOOKUP($G69,DATOS!$B:$E,3,FALSE)</f>
        <v/>
      </c>
      <c r="J69" s="4">
        <f>VLOOKUP($G69,DATOS!$B:$E,4,FALSE)</f>
        <v/>
      </c>
      <c r="K69" s="1" t="inlineStr">
        <is>
          <t>Contrato de Asset Management - Subestación Colectora Carmona</t>
        </is>
      </c>
      <c r="O69" s="1" t="inlineStr">
        <is>
          <t>Fee Trimestral - 01 Enero/31 Marzo 2025</t>
        </is>
      </c>
      <c r="P69" s="5">
        <f>3* 1250*1.032*1.024</f>
        <v/>
      </c>
      <c r="AB69" s="6" t="inlineStr">
        <is>
          <t>ES85 2080 3509 1130 4009 6171</t>
        </is>
      </c>
      <c r="AC69" s="1" t="inlineStr">
        <is>
          <t>pagado</t>
        </is>
      </c>
      <c r="AD69" s="5">
        <f>L69+N69+P69+R69+T69+V69+X69+Z69</f>
        <v/>
      </c>
      <c r="AE69" s="5">
        <f>IF((LEFT(K69,6))="Contab",L69,0)</f>
        <v/>
      </c>
      <c r="AF69" s="6">
        <f>VLOOKUP(G69,CLIENTES!B:E,4,FALSE)</f>
        <v/>
      </c>
      <c r="AG69" s="5">
        <f>AF69*AE69</f>
        <v/>
      </c>
      <c r="AH69" s="5">
        <f>AD69*1.21</f>
        <v/>
      </c>
      <c r="AI69" s="261">
        <f>IF(AE69&lt;&gt;0,AG69/AD69,"N/A")</f>
        <v/>
      </c>
      <c r="AJ69" s="5">
        <f>IF(AC69="pendiente",AD69,0)</f>
        <v/>
      </c>
      <c r="AK69" s="1">
        <f>VLOOKUP(G69,CLIENTES!B:D,3,FALSE)</f>
        <v/>
      </c>
      <c r="AL69" s="1" t="inlineStr">
        <is>
          <t>nudos</t>
        </is>
      </c>
      <c r="AM69" s="1" t="inlineStr">
        <is>
          <t>Promoción</t>
        </is>
      </c>
    </row>
    <row r="70" ht="15" customHeight="1" s="700">
      <c r="A70" s="1">
        <f>A69+1</f>
        <v/>
      </c>
      <c r="B70" s="26" t="n">
        <v>45743</v>
      </c>
      <c r="C70" s="1" t="inlineStr">
        <is>
          <t>c/ Las Cruzadas 3A, local D</t>
        </is>
      </c>
      <c r="D70" s="1" t="inlineStr">
        <is>
          <t>Sevilla 41004</t>
        </is>
      </c>
      <c r="E70" s="1" t="inlineStr">
        <is>
          <t>CIF B91938662</t>
        </is>
      </c>
      <c r="F70" s="1" t="inlineStr">
        <is>
          <t>aBalados@abalados.es</t>
        </is>
      </c>
      <c r="G70" s="1" t="inlineStr">
        <is>
          <t>Toro Renovables, S.L.</t>
        </is>
      </c>
      <c r="H70" s="1">
        <f>VLOOKUP($G70,DATOS!$B:$E,2,FALSE)</f>
        <v/>
      </c>
      <c r="I70" s="1">
        <f>VLOOKUP($G70,DATOS!$B:$E,3,FALSE)</f>
        <v/>
      </c>
      <c r="J70" s="4">
        <f>VLOOKUP($G70,DATOS!$B:$E,4,FALSE)</f>
        <v/>
      </c>
      <c r="K70" s="1" t="inlineStr">
        <is>
          <t>Contrato de Asset Management - Subestación Toro400</t>
        </is>
      </c>
      <c r="O70" s="1" t="inlineStr">
        <is>
          <t>Fee Trimestral - 01 Enero/31 Marzo 2025</t>
        </is>
      </c>
      <c r="P70" s="5">
        <f>3*2800*1.036</f>
        <v/>
      </c>
      <c r="AB70" s="6" t="inlineStr">
        <is>
          <t>ES85 2080 3509 1130 4009 6171</t>
        </is>
      </c>
      <c r="AC70" s="1" t="inlineStr">
        <is>
          <t>pagado</t>
        </is>
      </c>
      <c r="AD70" s="5">
        <f>L70+N70+P70+R70+T70+V70+X70+Z70</f>
        <v/>
      </c>
      <c r="AE70" s="5">
        <f>IF((LEFT(K70,6))="Contab",L70,0)</f>
        <v/>
      </c>
      <c r="AF70" s="6">
        <f>VLOOKUP(G70,CLIENTES!B:E,4,FALSE)</f>
        <v/>
      </c>
      <c r="AG70" s="5">
        <f>AF70*AE70</f>
        <v/>
      </c>
      <c r="AH70" s="5">
        <f>AD70*1.21</f>
        <v/>
      </c>
      <c r="AI70" s="261">
        <f>IF(AE70&lt;&gt;0,AG70/AD70,"N/A")</f>
        <v/>
      </c>
      <c r="AJ70" s="5">
        <f>IF(AC70="pendiente",AD70,0)</f>
        <v/>
      </c>
      <c r="AK70" s="1">
        <f>VLOOKUP(G70,CLIENTES!B:D,3,FALSE)</f>
        <v/>
      </c>
      <c r="AL70" s="1" t="inlineStr">
        <is>
          <t>nudos</t>
        </is>
      </c>
      <c r="AM70" s="1" t="inlineStr">
        <is>
          <t>Explotación</t>
        </is>
      </c>
    </row>
    <row r="71" ht="15" customHeight="1" s="700">
      <c r="A71" s="1">
        <f>A70+1</f>
        <v/>
      </c>
      <c r="B71" s="26" t="n">
        <v>45743</v>
      </c>
      <c r="C71" s="1" t="inlineStr">
        <is>
          <t>c/ Las Cruzadas 3A, local D</t>
        </is>
      </c>
      <c r="D71" s="1" t="inlineStr">
        <is>
          <t>Sevilla 41004</t>
        </is>
      </c>
      <c r="E71" s="1" t="inlineStr">
        <is>
          <t>CIF B91938662</t>
        </is>
      </c>
      <c r="F71" s="1" t="inlineStr">
        <is>
          <t>aBalados@abalados.es</t>
        </is>
      </c>
      <c r="G71" s="1" t="inlineStr">
        <is>
          <t>Renovables Brovales Segura de León 400 kV, S.L.</t>
        </is>
      </c>
      <c r="H71" s="1">
        <f>VLOOKUP($G71,DATOS!$B:$E,2,FALSE)</f>
        <v/>
      </c>
      <c r="I71" s="1">
        <f>VLOOKUP($G71,DATOS!$B:$E,3,FALSE)</f>
        <v/>
      </c>
      <c r="J71" s="4">
        <f>VLOOKUP($G71,DATOS!$B:$E,4,FALSE)</f>
        <v/>
      </c>
      <c r="K71" s="1" t="inlineStr">
        <is>
          <t>Contrato de Asset Management - Subestación BrovalesF2</t>
        </is>
      </c>
      <c r="O71" s="1" t="inlineStr">
        <is>
          <t>Fee Trimestral - 01 Enero/31 Marzo 2025</t>
        </is>
      </c>
      <c r="P71" s="5">
        <f>3* 3025*1.032*1.024</f>
        <v/>
      </c>
      <c r="AB71" s="6" t="inlineStr">
        <is>
          <t>ES85 2080 3509 1130 4009 6171</t>
        </is>
      </c>
      <c r="AC71" s="1" t="inlineStr">
        <is>
          <t>pagado</t>
        </is>
      </c>
      <c r="AD71" s="5">
        <f>L71+N71+P71+R71+T71+V71+X71+Z71</f>
        <v/>
      </c>
      <c r="AE71" s="5">
        <f>IF((LEFT(K71,6))="Contab",L71,0)</f>
        <v/>
      </c>
      <c r="AF71" s="6">
        <f>VLOOKUP(G71,CLIENTES!B:E,4,FALSE)</f>
        <v/>
      </c>
      <c r="AG71" s="5">
        <f>AF71*AE71</f>
        <v/>
      </c>
      <c r="AH71" s="5">
        <f>AD71*1.21</f>
        <v/>
      </c>
      <c r="AI71" s="261">
        <f>IF(AE71&lt;&gt;0,AG71/AD71,"N/A")</f>
        <v/>
      </c>
      <c r="AJ71" s="5">
        <f>IF(AC71="pendiente",AD71,0)</f>
        <v/>
      </c>
      <c r="AK71" s="1">
        <f>VLOOKUP(G71,CLIENTES!B:D,3,FALSE)</f>
        <v/>
      </c>
      <c r="AL71" s="1" t="inlineStr">
        <is>
          <t>nudos</t>
        </is>
      </c>
      <c r="AM71" s="1" t="inlineStr">
        <is>
          <t>Explotación</t>
        </is>
      </c>
    </row>
    <row r="72" ht="15" customHeight="1" s="700">
      <c r="A72" s="1">
        <f>A71+1</f>
        <v/>
      </c>
      <c r="B72" s="26" t="n">
        <v>45743</v>
      </c>
      <c r="C72" s="1" t="inlineStr">
        <is>
          <t>c/ Las Cruzadas 3A, local D</t>
        </is>
      </c>
      <c r="D72" s="1" t="inlineStr">
        <is>
          <t>Sevilla 41004</t>
        </is>
      </c>
      <c r="E72" s="1" t="inlineStr">
        <is>
          <t>CIF B91938662</t>
        </is>
      </c>
      <c r="F72" s="1" t="inlineStr">
        <is>
          <t>aBalados@abalados.es</t>
        </is>
      </c>
      <c r="G72" s="1" t="inlineStr">
        <is>
          <t>Promotores Benejama Generación, S.L.</t>
        </is>
      </c>
      <c r="H72" s="1">
        <f>VLOOKUP($G72,DATOS!$B:$E,2,FALSE)</f>
        <v/>
      </c>
      <c r="I72" s="1">
        <f>VLOOKUP($G72,DATOS!$B:$E,3,FALSE)</f>
        <v/>
      </c>
      <c r="J72" s="4">
        <f>VLOOKUP($G72,DATOS!$B:$E,4,FALSE)</f>
        <v/>
      </c>
      <c r="K72" s="1" t="inlineStr">
        <is>
          <t>Contrato de Asset Management - Subestación Benejama Generación</t>
        </is>
      </c>
      <c r="O72" s="1" t="inlineStr">
        <is>
          <t>Fee Trimestral - 01 Enero/31 Marzo 2025</t>
        </is>
      </c>
      <c r="P72" s="5">
        <f>3* 1350*1.032</f>
        <v/>
      </c>
      <c r="Q72" s="1" t="inlineStr">
        <is>
          <t>Tasa actualización IPC General (Marzo 2024 - Marzo 2025) no disponible</t>
        </is>
      </c>
      <c r="AB72" s="6" t="inlineStr">
        <is>
          <t>ES85 2080 3509 1130 4009 6171</t>
        </is>
      </c>
      <c r="AC72" s="1" t="inlineStr">
        <is>
          <t>pagado</t>
        </is>
      </c>
      <c r="AD72" s="5">
        <f>L72+N72+P72+R72+T72+V72+X72+Z72</f>
        <v/>
      </c>
      <c r="AE72" s="5">
        <f>IF((LEFT(K72,6))="Contab",L72,0)</f>
        <v/>
      </c>
      <c r="AF72" s="6">
        <f>VLOOKUP(G72,CLIENTES!B:E,4,FALSE)</f>
        <v/>
      </c>
      <c r="AG72" s="5">
        <f>AF72*AE72</f>
        <v/>
      </c>
      <c r="AH72" s="5">
        <f>AD72*1.21</f>
        <v/>
      </c>
      <c r="AI72" s="261">
        <f>IF(AE72&lt;&gt;0,AG72/AD72,"N/A")</f>
        <v/>
      </c>
      <c r="AJ72" s="5">
        <f>IF(AC72="pendiente",AD72,0)</f>
        <v/>
      </c>
      <c r="AK72" s="1">
        <f>VLOOKUP(G72,CLIENTES!B:D,3,FALSE)</f>
        <v/>
      </c>
      <c r="AL72" s="1" t="inlineStr">
        <is>
          <t>nudos</t>
        </is>
      </c>
      <c r="AM72" s="1" t="inlineStr">
        <is>
          <t>Promoción</t>
        </is>
      </c>
    </row>
    <row r="73" ht="15" customHeight="1" s="700">
      <c r="A73" s="1">
        <f>A72+1</f>
        <v/>
      </c>
      <c r="B73" s="26" t="n">
        <v>45743</v>
      </c>
      <c r="C73" s="1" t="inlineStr">
        <is>
          <t>c/ Las Cruzadas 3A, local D</t>
        </is>
      </c>
      <c r="D73" s="1" t="inlineStr">
        <is>
          <t>Sevilla 41004</t>
        </is>
      </c>
      <c r="E73" s="1" t="inlineStr">
        <is>
          <t>CIF B91938662</t>
        </is>
      </c>
      <c r="F73" s="1" t="inlineStr">
        <is>
          <t>aBalados@abalados.es</t>
        </is>
      </c>
      <c r="G73" s="1" t="inlineStr">
        <is>
          <t>ICE Santa Engracia, S.L.</t>
        </is>
      </c>
      <c r="H73" s="1">
        <f>VLOOKUP($G73,DATOS!$B:$E,2,FALSE)</f>
        <v/>
      </c>
      <c r="I73" s="1">
        <f>VLOOKUP($G73,DATOS!$B:$E,3,FALSE)</f>
        <v/>
      </c>
      <c r="J73" s="4">
        <f>VLOOKUP($G73,DATOS!$B:$E,4,FALSE)</f>
        <v/>
      </c>
      <c r="K73" s="1" t="inlineStr">
        <is>
          <t>Contrato de Asset Management - Subestación Santa Engracia</t>
        </is>
      </c>
      <c r="O73" s="1" t="inlineStr">
        <is>
          <t>Fee Trimestral - 01 Enero/31 Marzo 2025</t>
        </is>
      </c>
      <c r="P73" s="5">
        <f>3* 1350*1.033</f>
        <v/>
      </c>
      <c r="AB73" s="6" t="inlineStr">
        <is>
          <t>ES85 2080 3509 1130 4009 6171</t>
        </is>
      </c>
      <c r="AC73" s="1" t="inlineStr">
        <is>
          <t>pagado</t>
        </is>
      </c>
      <c r="AD73" s="5">
        <f>L73+N73+P73+R73+T73+V73+X73+Z73</f>
        <v/>
      </c>
      <c r="AE73" s="5">
        <f>IF((LEFT(K73,6))="Contab",L73,0)</f>
        <v/>
      </c>
      <c r="AF73" s="6">
        <f>VLOOKUP(G73,CLIENTES!B:E,4,FALSE)</f>
        <v/>
      </c>
      <c r="AG73" s="5">
        <f>AF73*AE73</f>
        <v/>
      </c>
      <c r="AH73" s="5">
        <f>AD73*1.21</f>
        <v/>
      </c>
      <c r="AI73" s="261">
        <f>IF(AE73&lt;&gt;0,AG73/AD73,"N/A")</f>
        <v/>
      </c>
      <c r="AJ73" s="5">
        <f>IF(AC73="pendiente",AD73,0)</f>
        <v/>
      </c>
      <c r="AK73" s="1">
        <f>VLOOKUP(G73,CLIENTES!B:D,3,FALSE)</f>
        <v/>
      </c>
      <c r="AL73" s="1" t="inlineStr">
        <is>
          <t>nudos</t>
        </is>
      </c>
      <c r="AM73" s="1" t="inlineStr">
        <is>
          <t>Promoción</t>
        </is>
      </c>
    </row>
    <row r="74" ht="15" customHeight="1" s="700">
      <c r="A74" s="1">
        <f>A73+1</f>
        <v/>
      </c>
      <c r="B74" s="26" t="n">
        <v>45743</v>
      </c>
      <c r="C74" s="1" t="inlineStr">
        <is>
          <t>c/ Las Cruzadas 3A, local D</t>
        </is>
      </c>
      <c r="D74" s="1" t="inlineStr">
        <is>
          <t>Sevilla 41004</t>
        </is>
      </c>
      <c r="E74" s="1" t="inlineStr">
        <is>
          <t>CIF B91938662</t>
        </is>
      </c>
      <c r="F74" s="1" t="inlineStr">
        <is>
          <t>aBalados@abalados.es</t>
        </is>
      </c>
      <c r="G74" s="1" t="inlineStr">
        <is>
          <t>Becerril Renovables, S.L.</t>
        </is>
      </c>
      <c r="H74" s="1">
        <f>VLOOKUP($G74,DATOS!$B:$E,2,FALSE)</f>
        <v/>
      </c>
      <c r="I74" s="1">
        <f>VLOOKUP($G74,DATOS!$B:$E,3,FALSE)</f>
        <v/>
      </c>
      <c r="J74" s="4">
        <f>VLOOKUP($G74,DATOS!$B:$E,4,FALSE)</f>
        <v/>
      </c>
      <c r="K74" s="1" t="inlineStr">
        <is>
          <t>Contrato de Asset Management - Subestación Becerril</t>
        </is>
      </c>
      <c r="O74" s="1" t="inlineStr">
        <is>
          <t>Fee Trimestral - 01 Enero/31 Marzo 2025</t>
        </is>
      </c>
      <c r="P74" s="5">
        <f>1* 1350*1.028  +  1350*1.028*(16/28)+1350*1.028*1.03*(12/28)  +  1* 1350*1.028*1.03</f>
        <v/>
      </c>
      <c r="Q74" s="1" t="inlineStr">
        <is>
          <t>Tasa actualización IPC General (Febrero 2024 - Febrero 2025): 3,0%</t>
        </is>
      </c>
      <c r="S74" s="1" t="inlineStr">
        <is>
          <t>Fecha actualización: 17 Febrero</t>
        </is>
      </c>
      <c r="AB74" s="6" t="inlineStr">
        <is>
          <t>ES85 2080 3509 1130 4009 6171</t>
        </is>
      </c>
      <c r="AC74" s="1" t="inlineStr">
        <is>
          <t>pendiente</t>
        </is>
      </c>
      <c r="AD74" s="5">
        <f>L74+N74+P74+R74+T74+V74+X74+Z74</f>
        <v/>
      </c>
      <c r="AE74" s="5">
        <f>IF((LEFT(K74,6))="Contab",L74,0)</f>
        <v/>
      </c>
      <c r="AF74" s="6">
        <f>VLOOKUP(G74,CLIENTES!B:E,4,FALSE)</f>
        <v/>
      </c>
      <c r="AG74" s="5">
        <f>AF74*AE74</f>
        <v/>
      </c>
      <c r="AH74" s="5">
        <f>AD74*1.21</f>
        <v/>
      </c>
      <c r="AI74" s="261">
        <f>IF(AE74&lt;&gt;0,AG74/AD74,"N/A")</f>
        <v/>
      </c>
      <c r="AJ74" s="5">
        <f>IF(AC74="pendiente",AD74,0)</f>
        <v/>
      </c>
      <c r="AK74" s="1">
        <f>VLOOKUP(G74,CLIENTES!B:D,3,FALSE)</f>
        <v/>
      </c>
      <c r="AL74" s="1" t="inlineStr">
        <is>
          <t>nudos</t>
        </is>
      </c>
      <c r="AM74" s="1" t="inlineStr">
        <is>
          <t>Promoción</t>
        </is>
      </c>
    </row>
    <row r="75" ht="15" customHeight="1" s="700">
      <c r="A75" s="1">
        <f>A74+1</f>
        <v/>
      </c>
      <c r="B75" s="26" t="n">
        <v>45743</v>
      </c>
      <c r="C75" s="1" t="inlineStr">
        <is>
          <t>c/ Las Cruzadas 3A, local D</t>
        </is>
      </c>
      <c r="D75" s="1" t="inlineStr">
        <is>
          <t>Sevilla 41004</t>
        </is>
      </c>
      <c r="E75" s="1" t="inlineStr">
        <is>
          <t>CIF B91938662</t>
        </is>
      </c>
      <c r="F75" s="1" t="inlineStr">
        <is>
          <t>aBalados@abalados.es</t>
        </is>
      </c>
      <c r="G75" s="1" t="inlineStr">
        <is>
          <t>Transformadora Almodóvar Renovables, S.L.</t>
        </is>
      </c>
      <c r="H75" s="1">
        <f>VLOOKUP($G75,DATOS!$B:$E,2,FALSE)</f>
        <v/>
      </c>
      <c r="I75" s="1">
        <f>VLOOKUP($G75,DATOS!$B:$E,3,FALSE)</f>
        <v/>
      </c>
      <c r="J75" s="4">
        <f>VLOOKUP($G75,DATOS!$B:$E,4,FALSE)</f>
        <v/>
      </c>
      <c r="K75" s="1" t="inlineStr">
        <is>
          <t>Contrato de Asset Management - Subestación Almodóvar</t>
        </is>
      </c>
      <c r="O75" s="1" t="inlineStr">
        <is>
          <t>Fee Trimestral - 01 Enero/31 Marzo 2025</t>
        </is>
      </c>
      <c r="P75" s="5">
        <f>3* 1350*1.032*1.024</f>
        <v/>
      </c>
      <c r="AB75" s="6" t="inlineStr">
        <is>
          <t>ES85 2080 3509 1130 4009 6171</t>
        </is>
      </c>
      <c r="AC75" s="1" t="inlineStr">
        <is>
          <t>pagado</t>
        </is>
      </c>
      <c r="AD75" s="5">
        <f>L75+N75+P75+R75+T75+V75+X75+Z75</f>
        <v/>
      </c>
      <c r="AE75" s="5">
        <f>IF((LEFT(K75,6))="Contab",L75,0)</f>
        <v/>
      </c>
      <c r="AF75" s="6">
        <f>VLOOKUP(G75,CLIENTES!B:E,4,FALSE)</f>
        <v/>
      </c>
      <c r="AG75" s="5">
        <f>AF75*AE75</f>
        <v/>
      </c>
      <c r="AH75" s="5">
        <f>AD75*1.21</f>
        <v/>
      </c>
      <c r="AI75" s="261">
        <f>IF(AE75&lt;&gt;0,AG75/AD75,"N/A")</f>
        <v/>
      </c>
      <c r="AJ75" s="5">
        <f>IF(AC75="pendiente",AD75,0)</f>
        <v/>
      </c>
      <c r="AK75" s="1">
        <f>VLOOKUP(G75,CLIENTES!B:D,3,FALSE)</f>
        <v/>
      </c>
      <c r="AL75" s="1" t="inlineStr">
        <is>
          <t>nudos</t>
        </is>
      </c>
      <c r="AM75" s="1" t="inlineStr">
        <is>
          <t>Promoción</t>
        </is>
      </c>
    </row>
    <row r="76" ht="15" customHeight="1" s="700">
      <c r="A76" s="1">
        <f>A75+1</f>
        <v/>
      </c>
      <c r="B76" s="26" t="n">
        <v>45743</v>
      </c>
      <c r="C76" s="1" t="inlineStr">
        <is>
          <t>c/ Las Cruzadas 3A, local D</t>
        </is>
      </c>
      <c r="D76" s="1" t="inlineStr">
        <is>
          <t>Sevilla 41004</t>
        </is>
      </c>
      <c r="E76" s="1" t="inlineStr">
        <is>
          <t>CIF B91938662</t>
        </is>
      </c>
      <c r="F76" s="1" t="inlineStr">
        <is>
          <t>aBalados@abalados.es</t>
        </is>
      </c>
      <c r="G76" s="1" t="inlineStr">
        <is>
          <t>Teodomiro Renovables, S.L.</t>
        </is>
      </c>
      <c r="H76" s="1">
        <f>VLOOKUP($G76,DATOS!$B:$E,2,FALSE)</f>
        <v/>
      </c>
      <c r="I76" s="1">
        <f>VLOOKUP($G76,DATOS!$B:$E,3,FALSE)</f>
        <v/>
      </c>
      <c r="J76" s="4">
        <f>VLOOKUP($G76,DATOS!$B:$E,4,FALSE)</f>
        <v/>
      </c>
      <c r="K76" s="1" t="inlineStr">
        <is>
          <t>Contrato de Asset Management - Subestación Teodomiro</t>
        </is>
      </c>
      <c r="O76" s="1" t="inlineStr">
        <is>
          <t>Fee Trimestral - 01 Enero/31 Marzo 2025</t>
        </is>
      </c>
      <c r="P76" s="5">
        <f>3* 1350*1.032</f>
        <v/>
      </c>
      <c r="Q76" s="1" t="inlineStr">
        <is>
          <t>Tasa actualización IPC General (Marzo 2024 - Marzo 2025) no disponible</t>
        </is>
      </c>
      <c r="AB76" s="6" t="inlineStr">
        <is>
          <t>ES85 2080 3509 1130 4009 6171</t>
        </is>
      </c>
      <c r="AC76" s="1" t="inlineStr">
        <is>
          <t>pagado</t>
        </is>
      </c>
      <c r="AD76" s="5">
        <f>L76+N76+P76+R76+T76+V76+X76+Z76</f>
        <v/>
      </c>
      <c r="AE76" s="5">
        <f>IF((LEFT(K76,6))="Contab",L76,0)</f>
        <v/>
      </c>
      <c r="AF76" s="6">
        <f>VLOOKUP(G76,CLIENTES!B:E,4,FALSE)</f>
        <v/>
      </c>
      <c r="AG76" s="5">
        <f>AF76*AE76</f>
        <v/>
      </c>
      <c r="AH76" s="5">
        <f>AD76*1.21</f>
        <v/>
      </c>
      <c r="AI76" s="261">
        <f>IF(AE76&lt;&gt;0,AG76/AD76,"N/A")</f>
        <v/>
      </c>
      <c r="AJ76" s="5">
        <f>IF(AC76="pendiente",AD76,0)</f>
        <v/>
      </c>
      <c r="AK76" s="1">
        <f>VLOOKUP(G76,CLIENTES!B:D,3,FALSE)</f>
        <v/>
      </c>
      <c r="AL76" s="1" t="inlineStr">
        <is>
          <t>nudos</t>
        </is>
      </c>
      <c r="AM76" s="1" t="inlineStr">
        <is>
          <t>Promoción</t>
        </is>
      </c>
    </row>
    <row r="77" ht="15" customHeight="1" s="700">
      <c r="A77" s="1">
        <f>A76+1</f>
        <v/>
      </c>
      <c r="B77" s="26" t="n">
        <v>45743</v>
      </c>
      <c r="C77" s="1" t="inlineStr">
        <is>
          <t>c/ Las Cruzadas 3A, local D</t>
        </is>
      </c>
      <c r="D77" s="1" t="inlineStr">
        <is>
          <t>Sevilla 41004</t>
        </is>
      </c>
      <c r="E77" s="1" t="inlineStr">
        <is>
          <t>CIF B91938662</t>
        </is>
      </c>
      <c r="F77" s="1" t="inlineStr">
        <is>
          <t>aBalados@abalados.es</t>
        </is>
      </c>
      <c r="G77" s="1" t="inlineStr">
        <is>
          <t>Nudo SE Zaratan 220 kV, S.L.</t>
        </is>
      </c>
      <c r="H77" s="1">
        <f>VLOOKUP($G77,DATOS!$B:$E,2,FALSE)</f>
        <v/>
      </c>
      <c r="I77" s="1">
        <f>VLOOKUP($G77,DATOS!$B:$E,3,FALSE)</f>
        <v/>
      </c>
      <c r="J77" s="4">
        <f>VLOOKUP($G77,DATOS!$B:$E,4,FALSE)</f>
        <v/>
      </c>
      <c r="K77" s="1" t="inlineStr">
        <is>
          <t>Contrato de Asset Management - Subestación Ciguñuela</t>
        </is>
      </c>
      <c r="O77" s="1" t="inlineStr">
        <is>
          <t>Fee Trimestral - 01 Enero/31 Marzo 2025</t>
        </is>
      </c>
      <c r="P77" s="5">
        <f>3* 1350*1.034</f>
        <v/>
      </c>
      <c r="S77" s="5" t="n"/>
      <c r="AB77" s="6" t="inlineStr">
        <is>
          <t>ES85 2080 3509 1130 4009 6171</t>
        </is>
      </c>
      <c r="AC77" s="1" t="inlineStr">
        <is>
          <t>pagado</t>
        </is>
      </c>
      <c r="AD77" s="5">
        <f>L77+N77+P77+R77+T77+V77+X77+Z77</f>
        <v/>
      </c>
      <c r="AE77" s="5">
        <f>IF((LEFT(K77,6))="Contab",L77,0)</f>
        <v/>
      </c>
      <c r="AF77" s="6">
        <f>VLOOKUP(G77,CLIENTES!B:E,4,FALSE)</f>
        <v/>
      </c>
      <c r="AG77" s="5">
        <f>AF77*AE77</f>
        <v/>
      </c>
      <c r="AH77" s="5">
        <f>AD77*1.21</f>
        <v/>
      </c>
      <c r="AI77" s="261">
        <f>IF(AE77&lt;&gt;0,AG77/AD77,"N/A")</f>
        <v/>
      </c>
      <c r="AJ77" s="5">
        <f>IF(AC77="pendiente",AD77,0)</f>
        <v/>
      </c>
      <c r="AK77" s="1">
        <f>VLOOKUP(G77,CLIENTES!B:D,3,FALSE)</f>
        <v/>
      </c>
      <c r="AL77" s="1" t="inlineStr">
        <is>
          <t>nudos</t>
        </is>
      </c>
      <c r="AM77" s="1" t="inlineStr">
        <is>
          <t>Promoción</t>
        </is>
      </c>
    </row>
    <row r="78" ht="15" customHeight="1" s="700">
      <c r="A78" s="1">
        <f>A77+1</f>
        <v/>
      </c>
      <c r="B78" s="26" t="n">
        <v>45743</v>
      </c>
      <c r="C78" s="1" t="inlineStr">
        <is>
          <t>c/ Las Cruzadas 3A, local D</t>
        </is>
      </c>
      <c r="D78" s="1" t="inlineStr">
        <is>
          <t>Sevilla 41004</t>
        </is>
      </c>
      <c r="E78" s="1" t="inlineStr">
        <is>
          <t>CIF B91938662</t>
        </is>
      </c>
      <c r="F78" s="1" t="inlineStr">
        <is>
          <t>aBalados@abalados.es</t>
        </is>
      </c>
      <c r="G78" s="263" t="inlineStr">
        <is>
          <t>Promotores Benejama Colectora, S.L.</t>
        </is>
      </c>
      <c r="H78" s="1">
        <f>VLOOKUP($G78,DATOS!$B:$E,2,FALSE)</f>
        <v/>
      </c>
      <c r="I78" s="1">
        <f>VLOOKUP($G78,DATOS!$B:$E,3,FALSE)</f>
        <v/>
      </c>
      <c r="J78" s="4">
        <f>VLOOKUP($G78,DATOS!$B:$E,4,FALSE)</f>
        <v/>
      </c>
      <c r="K78" s="1" t="inlineStr">
        <is>
          <t>Contrato de Asset Management - Subestación Benejama Colectora</t>
        </is>
      </c>
      <c r="O78" s="263" t="inlineStr">
        <is>
          <t>Fee Liquidación - 01 Enero 2025 / Terminación contrato (31 Enero 2025)</t>
        </is>
      </c>
      <c r="P78" s="5">
        <f>1* 1350*1.033</f>
        <v/>
      </c>
      <c r="AB78" s="6" t="inlineStr">
        <is>
          <t>ES85 2080 3509 1130 4009 6171</t>
        </is>
      </c>
      <c r="AC78" s="1" t="inlineStr">
        <is>
          <t>pagado</t>
        </is>
      </c>
      <c r="AD78" s="5">
        <f>L78+N78+P78+R78+T78+V78+X78+Z78</f>
        <v/>
      </c>
      <c r="AE78" s="5">
        <f>IF((LEFT(K78,6))="Contab",L78,0)</f>
        <v/>
      </c>
      <c r="AF78" s="6">
        <f>VLOOKUP(G78,CLIENTES!B:E,4,FALSE)</f>
        <v/>
      </c>
      <c r="AG78" s="5">
        <f>AF78*AE78</f>
        <v/>
      </c>
      <c r="AH78" s="5">
        <f>AD78*1.21</f>
        <v/>
      </c>
      <c r="AI78" s="261">
        <f>IF(AE78&lt;&gt;0,AG78/AD78,"N/A")</f>
        <v/>
      </c>
      <c r="AJ78" s="5">
        <f>IF(AC78="pendiente",AD78,0)</f>
        <v/>
      </c>
      <c r="AK78" s="1">
        <f>VLOOKUP(G78,CLIENTES!B:D,3,FALSE)</f>
        <v/>
      </c>
      <c r="AL78" s="1" t="inlineStr">
        <is>
          <t>nudos</t>
        </is>
      </c>
      <c r="AM78" s="1" t="inlineStr">
        <is>
          <t>Promoción</t>
        </is>
      </c>
    </row>
    <row r="79" ht="15" customHeight="1" s="700">
      <c r="A79" s="1">
        <f>A78+1</f>
        <v/>
      </c>
      <c r="B79" s="26" t="n">
        <v>45743</v>
      </c>
      <c r="C79" s="1" t="inlineStr">
        <is>
          <t>c/ Las Cruzadas 3A, local D</t>
        </is>
      </c>
      <c r="D79" s="1" t="inlineStr">
        <is>
          <t>Sevilla 41004</t>
        </is>
      </c>
      <c r="E79" s="1" t="inlineStr">
        <is>
          <t>CIF B91938662</t>
        </is>
      </c>
      <c r="F79" s="1" t="inlineStr">
        <is>
          <t>aBalados@abalados.es</t>
        </is>
      </c>
      <c r="G79" s="1" t="inlineStr">
        <is>
          <t>Las Monas Gallego, A.I.E.</t>
        </is>
      </c>
      <c r="H79" s="1">
        <f>VLOOKUP($G79,DATOS!$B:$E,2,FALSE)</f>
        <v/>
      </c>
      <c r="I79" s="1">
        <f>VLOOKUP($G79,DATOS!$B:$E,3,FALSE)</f>
        <v/>
      </c>
      <c r="J79" s="4">
        <f>VLOOKUP($G79,DATOS!$B:$E,4,FALSE)</f>
        <v/>
      </c>
      <c r="K79" s="1" t="inlineStr">
        <is>
          <t>Contrato de Asset Management - Subestación Las Monas</t>
        </is>
      </c>
      <c r="O79" s="1" t="inlineStr">
        <is>
          <t>Fee Trimestral - 01 Enero/31 Marzo 2025</t>
        </is>
      </c>
      <c r="P79" s="5">
        <f>3* 1350*1.015</f>
        <v/>
      </c>
      <c r="S79" s="5" t="n"/>
      <c r="AB79" s="6" t="inlineStr">
        <is>
          <t>ES85 2080 3509 1130 4009 6171</t>
        </is>
      </c>
      <c r="AC79" s="1" t="inlineStr">
        <is>
          <t>pagado</t>
        </is>
      </c>
      <c r="AD79" s="5">
        <f>L79+N79+P79+R79+T79+V79+X79+Z79</f>
        <v/>
      </c>
      <c r="AE79" s="5">
        <f>IF((LEFT(K79,6))="Contab",L79,0)</f>
        <v/>
      </c>
      <c r="AF79" s="6">
        <f>VLOOKUP(G79,CLIENTES!B:E,4,FALSE)</f>
        <v/>
      </c>
      <c r="AG79" s="5">
        <f>AF79*AE79</f>
        <v/>
      </c>
      <c r="AH79" s="5">
        <f>AD79*1.21</f>
        <v/>
      </c>
      <c r="AI79" s="261">
        <f>IF(AE79&lt;&gt;0,AG79/AD79,"N/A")</f>
        <v/>
      </c>
      <c r="AJ79" s="5">
        <f>IF(AC79="pendiente",AD79,0)</f>
        <v/>
      </c>
      <c r="AK79" s="1">
        <f>VLOOKUP(G79,CLIENTES!B:D,3,FALSE)</f>
        <v/>
      </c>
      <c r="AL79" s="1" t="inlineStr">
        <is>
          <t>nudos</t>
        </is>
      </c>
      <c r="AM79" s="1" t="inlineStr">
        <is>
          <t>Promoción</t>
        </is>
      </c>
    </row>
    <row r="80" ht="15" customHeight="1" s="700">
      <c r="A80" s="1">
        <f>A79+1</f>
        <v/>
      </c>
      <c r="B80" s="26" t="n">
        <v>45743</v>
      </c>
      <c r="C80" s="1" t="inlineStr">
        <is>
          <t>c/ Las Cruzadas 3A, local D</t>
        </is>
      </c>
      <c r="D80" s="1" t="inlineStr">
        <is>
          <t>Sevilla 41004</t>
        </is>
      </c>
      <c r="E80" s="1" t="inlineStr">
        <is>
          <t>CIF B91938662</t>
        </is>
      </c>
      <c r="F80" s="1" t="inlineStr">
        <is>
          <t>aBalados@abalados.es</t>
        </is>
      </c>
      <c r="G80" s="1" t="inlineStr">
        <is>
          <t>Maria Renovables, S.L.</t>
        </is>
      </c>
      <c r="H80" s="1">
        <f>VLOOKUP($G80,DATOS!$B:$E,2,FALSE)</f>
        <v/>
      </c>
      <c r="I80" s="1">
        <f>VLOOKUP($G80,DATOS!$B:$E,3,FALSE)</f>
        <v/>
      </c>
      <c r="J80" s="4">
        <f>VLOOKUP($G80,DATOS!$B:$E,4,FALSE)</f>
        <v/>
      </c>
      <c r="K80" s="1" t="inlineStr">
        <is>
          <t>Contrato de Asset Management - Subestación María</t>
        </is>
      </c>
      <c r="O80" s="1" t="inlineStr">
        <is>
          <t>Fee Trimestral - 01 Enero/31 Marzo 2025</t>
        </is>
      </c>
      <c r="P80" s="5">
        <f>1350*1.034*(18/31)+1350*1.034*1.029*(13/31)  +  2* 1350*1.034*1.029</f>
        <v/>
      </c>
      <c r="Q80" s="1" t="inlineStr">
        <is>
          <t>Tasa actualización IPC General (Enero 2024 - Enero 2025): 2,9%</t>
        </is>
      </c>
      <c r="S80" s="1" t="inlineStr">
        <is>
          <t>Fecha actualización: 19 Enero</t>
        </is>
      </c>
      <c r="AB80" s="6" t="inlineStr">
        <is>
          <t>ES85 2080 3509 1130 4009 6171</t>
        </is>
      </c>
      <c r="AC80" s="1" t="inlineStr">
        <is>
          <t>pagado</t>
        </is>
      </c>
      <c r="AD80" s="5">
        <f>L80+N80+P80+R80+T80+V80+X80+Z80</f>
        <v/>
      </c>
      <c r="AE80" s="5">
        <f>IF((LEFT(K80,6))="Contab",L80,0)</f>
        <v/>
      </c>
      <c r="AF80" s="6">
        <f>VLOOKUP(G80,CLIENTES!B:E,4,FALSE)</f>
        <v/>
      </c>
      <c r="AG80" s="5">
        <f>AF80*AE80</f>
        <v/>
      </c>
      <c r="AH80" s="5">
        <f>AD80*1.21</f>
        <v/>
      </c>
      <c r="AI80" s="261">
        <f>IF(AE80&lt;&gt;0,AG80/AD80,"N/A")</f>
        <v/>
      </c>
      <c r="AJ80" s="5">
        <f>IF(AC80="pendiente",AD80,0)</f>
        <v/>
      </c>
      <c r="AK80" s="1">
        <f>VLOOKUP(G80,CLIENTES!B:D,3,FALSE)</f>
        <v/>
      </c>
      <c r="AL80" s="1" t="inlineStr">
        <is>
          <t>nudos</t>
        </is>
      </c>
      <c r="AM80" s="1" t="inlineStr">
        <is>
          <t>Promoción</t>
        </is>
      </c>
    </row>
    <row r="81" ht="15" customHeight="1" s="700">
      <c r="A81" s="1">
        <f>A80+1</f>
        <v/>
      </c>
      <c r="B81" s="26" t="n">
        <v>45743</v>
      </c>
      <c r="C81" s="1" t="inlineStr">
        <is>
          <t>c/ Las Cruzadas 3A, local D</t>
        </is>
      </c>
      <c r="D81" s="1" t="inlineStr">
        <is>
          <t>Sevilla 41004</t>
        </is>
      </c>
      <c r="E81" s="1" t="inlineStr">
        <is>
          <t>CIF B91938662</t>
        </is>
      </c>
      <c r="F81" s="1" t="inlineStr">
        <is>
          <t>aBalados@abalados.es</t>
        </is>
      </c>
      <c r="G81" s="1" t="inlineStr">
        <is>
          <t>Escatrón Promotores 400 y 220, S.L.</t>
        </is>
      </c>
      <c r="H81" s="1">
        <f>VLOOKUP($G81,DATOS!$B:$E,2,FALSE)</f>
        <v/>
      </c>
      <c r="I81" s="1">
        <f>VLOOKUP($G81,DATOS!$B:$E,3,FALSE)</f>
        <v/>
      </c>
      <c r="J81" s="4">
        <f>VLOOKUP($G81,DATOS!$B:$E,4,FALSE)</f>
        <v/>
      </c>
      <c r="K81" s="1" t="inlineStr">
        <is>
          <t>Contrato de Asset Management - Subestación Escatrón</t>
        </is>
      </c>
      <c r="O81" s="1" t="inlineStr">
        <is>
          <t>Fee Trimestral - 01 Enero/31 Marzo 2025</t>
        </is>
      </c>
      <c r="P81" s="5">
        <f>3* 1350*1.032</f>
        <v/>
      </c>
      <c r="Q81" s="1" t="inlineStr">
        <is>
          <t>Tasa actualización IPC General (Marzo 2024 - Marzo 2025) no disponible</t>
        </is>
      </c>
      <c r="AB81" s="6" t="inlineStr">
        <is>
          <t>ES85 2080 3509 1130 4009 6171</t>
        </is>
      </c>
      <c r="AC81" s="1" t="inlineStr">
        <is>
          <t>pagado</t>
        </is>
      </c>
      <c r="AD81" s="5">
        <f>L81+N81+P81+R81+T81+V81+X81+Z81</f>
        <v/>
      </c>
      <c r="AE81" s="5">
        <f>IF((LEFT(K81,6))="Contab",L81,0)</f>
        <v/>
      </c>
      <c r="AF81" s="6">
        <f>VLOOKUP(G81,CLIENTES!B:E,4,FALSE)</f>
        <v/>
      </c>
      <c r="AG81" s="5">
        <f>AF81*AE81</f>
        <v/>
      </c>
      <c r="AH81" s="5">
        <f>AD81*1.21</f>
        <v/>
      </c>
      <c r="AI81" s="261">
        <f>IF(AE81&lt;&gt;0,AG81/AD81,"N/A")</f>
        <v/>
      </c>
      <c r="AJ81" s="5">
        <f>IF(AC81="pendiente",AD81,0)</f>
        <v/>
      </c>
      <c r="AK81" s="1">
        <f>VLOOKUP(G81,CLIENTES!B:D,3,FALSE)</f>
        <v/>
      </c>
      <c r="AL81" s="1" t="inlineStr">
        <is>
          <t>nudos</t>
        </is>
      </c>
      <c r="AM81" s="1" t="inlineStr">
        <is>
          <t>Promoción</t>
        </is>
      </c>
    </row>
    <row r="82" ht="15" customHeight="1" s="700">
      <c r="A82" s="1">
        <f>A81+1</f>
        <v/>
      </c>
      <c r="B82" s="26" t="n">
        <v>45743</v>
      </c>
      <c r="C82" s="1" t="inlineStr">
        <is>
          <t>c/ Las Cruzadas 3A, local D</t>
        </is>
      </c>
      <c r="D82" s="1" t="inlineStr">
        <is>
          <t>Sevilla 41004</t>
        </is>
      </c>
      <c r="E82" s="1" t="inlineStr">
        <is>
          <t>CIF B91938662</t>
        </is>
      </c>
      <c r="F82" s="1" t="inlineStr">
        <is>
          <t>aBalados@abalados.es</t>
        </is>
      </c>
      <c r="G82" s="1" t="inlineStr">
        <is>
          <t>Comunidad de Bienes Grupotec Rotonda</t>
        </is>
      </c>
      <c r="H82" s="1">
        <f>VLOOKUP($G82,DATOS!$B:$E,2,FALSE)</f>
        <v/>
      </c>
      <c r="I82" s="1">
        <f>VLOOKUP($G82,DATOS!$B:$E,3,FALSE)</f>
        <v/>
      </c>
      <c r="J82" s="4">
        <f>VLOOKUP($G82,DATOS!$B:$E,4,FALSE)</f>
        <v/>
      </c>
      <c r="K82" s="1" t="inlineStr">
        <is>
          <t>Contrato de Asset Management - Subestación Almansol</t>
        </is>
      </c>
      <c r="O82" s="1" t="inlineStr">
        <is>
          <t>Fee Trimestral - 01 Enero/31 Marzo 2025</t>
        </is>
      </c>
      <c r="P82" s="5">
        <f>3* 2960*1.024</f>
        <v/>
      </c>
      <c r="AB82" s="6" t="inlineStr">
        <is>
          <t>ES85 2080 3509 1130 4009 6171</t>
        </is>
      </c>
      <c r="AC82" s="1" t="inlineStr">
        <is>
          <t>pagado</t>
        </is>
      </c>
      <c r="AD82" s="5">
        <f>L82+N82+P82+R82+T82+V82+X82+Z82</f>
        <v/>
      </c>
      <c r="AE82" s="5">
        <f>IF((LEFT(K82,6))="Contab",L82,0)</f>
        <v/>
      </c>
      <c r="AF82" s="6">
        <f>VLOOKUP(G82,CLIENTES!B:E,4,FALSE)</f>
        <v/>
      </c>
      <c r="AG82" s="5">
        <f>AF82*AE82</f>
        <v/>
      </c>
      <c r="AH82" s="5">
        <f>AD82*1.21</f>
        <v/>
      </c>
      <c r="AI82" s="261">
        <f>IF(AE82&lt;&gt;0,AG82/AD82,"N/A")</f>
        <v/>
      </c>
      <c r="AJ82" s="5">
        <f>IF(AC82="pendiente",AD82,0)</f>
        <v/>
      </c>
      <c r="AK82" s="1">
        <f>VLOOKUP(G82,CLIENTES!B:D,3,FALSE)</f>
        <v/>
      </c>
      <c r="AL82" s="1" t="inlineStr">
        <is>
          <t>nudos</t>
        </is>
      </c>
      <c r="AM82" s="1" t="inlineStr">
        <is>
          <t>Explotación</t>
        </is>
      </c>
    </row>
    <row r="83" ht="15" customHeight="1" s="700">
      <c r="A83" s="1">
        <f>A82+1</f>
        <v/>
      </c>
      <c r="B83" s="26" t="n">
        <v>45743</v>
      </c>
      <c r="C83" s="1" t="inlineStr">
        <is>
          <t>c/ Las Cruzadas 3A, local D</t>
        </is>
      </c>
      <c r="D83" s="1" t="inlineStr">
        <is>
          <t>Sevilla 41004</t>
        </is>
      </c>
      <c r="E83" s="1" t="inlineStr">
        <is>
          <t>CIF B91938662</t>
        </is>
      </c>
      <c r="F83" s="1" t="inlineStr">
        <is>
          <t>aBalados@abalados.es</t>
        </is>
      </c>
      <c r="G83" s="1" t="inlineStr">
        <is>
          <t>ICE Sequero, S.L.</t>
        </is>
      </c>
      <c r="H83" s="1">
        <f>VLOOKUP($G83,DATOS!$B:$E,2,FALSE)</f>
        <v/>
      </c>
      <c r="I83" s="1">
        <f>VLOOKUP($G83,DATOS!$B:$E,3,FALSE)</f>
        <v/>
      </c>
      <c r="J83" s="4">
        <f>VLOOKUP($G83,DATOS!$B:$E,4,FALSE)</f>
        <v/>
      </c>
      <c r="K83" s="1" t="inlineStr">
        <is>
          <t>Contrato de Asset Management - Subestación Colectora Sequero</t>
        </is>
      </c>
      <c r="O83" s="1" t="inlineStr">
        <is>
          <t>Fee Trimestral - 01 Enero/31 Marzo 2025</t>
        </is>
      </c>
      <c r="P83" s="5">
        <f>3* 1350*1.015</f>
        <v/>
      </c>
      <c r="S83" s="5" t="n"/>
      <c r="AB83" s="6" t="inlineStr">
        <is>
          <t>ES85 2080 3509 1130 4009 6171</t>
        </is>
      </c>
      <c r="AC83" s="1" t="inlineStr">
        <is>
          <t>pendiente</t>
        </is>
      </c>
      <c r="AD83" s="5">
        <f>L83+N83+P83+R83+T83+V83+X83+Z83</f>
        <v/>
      </c>
      <c r="AE83" s="5">
        <f>IF((LEFT(K83,6))="Contab",L83,0)</f>
        <v/>
      </c>
      <c r="AF83" s="6">
        <f>VLOOKUP(G83,CLIENTES!B:E,4,FALSE)</f>
        <v/>
      </c>
      <c r="AG83" s="5">
        <f>AF83*AE83</f>
        <v/>
      </c>
      <c r="AH83" s="5">
        <f>AD83*1.21</f>
        <v/>
      </c>
      <c r="AI83" s="261">
        <f>IF(AE83&lt;&gt;0,AG83/AD83,"N/A")</f>
        <v/>
      </c>
      <c r="AJ83" s="5">
        <f>IF(AC83="pendiente",AD83,0)</f>
        <v/>
      </c>
      <c r="AK83" s="1">
        <f>VLOOKUP(G83,CLIENTES!B:D,3,FALSE)</f>
        <v/>
      </c>
      <c r="AL83" s="1" t="inlineStr">
        <is>
          <t>nudos</t>
        </is>
      </c>
      <c r="AM83" s="1" t="inlineStr">
        <is>
          <t>Promoción</t>
        </is>
      </c>
    </row>
    <row r="84" ht="15" customHeight="1" s="700">
      <c r="A84" s="1">
        <f>A83+1</f>
        <v/>
      </c>
      <c r="B84" s="26" t="n">
        <v>45743</v>
      </c>
      <c r="C84" s="1" t="inlineStr">
        <is>
          <t>c/ Las Cruzadas 3A, local D</t>
        </is>
      </c>
      <c r="D84" s="1" t="inlineStr">
        <is>
          <t>Sevilla 41004</t>
        </is>
      </c>
      <c r="E84" s="1" t="inlineStr">
        <is>
          <t>CIF B91938662</t>
        </is>
      </c>
      <c r="F84" s="1" t="inlineStr">
        <is>
          <t>aBalados@abalados.es</t>
        </is>
      </c>
      <c r="G84" s="1" t="inlineStr">
        <is>
          <t>Renedo Renovables, S.L.</t>
        </is>
      </c>
      <c r="H84" s="1">
        <f>VLOOKUP($G84,DATOS!$B:$E,2,FALSE)</f>
        <v/>
      </c>
      <c r="I84" s="1">
        <f>VLOOKUP($G84,DATOS!$B:$E,3,FALSE)</f>
        <v/>
      </c>
      <c r="J84" s="4">
        <f>VLOOKUP($G84,DATOS!$B:$E,4,FALSE)</f>
        <v/>
      </c>
      <c r="K84" s="1" t="inlineStr">
        <is>
          <t>Contrato de Asset Management - Nudo Renedo</t>
        </is>
      </c>
      <c r="O84" s="1" t="inlineStr">
        <is>
          <t>Fee Trimestral - 01 Enero/31 Marzo 2025</t>
        </is>
      </c>
      <c r="P84" s="5">
        <f>3* 2295*1.018</f>
        <v/>
      </c>
      <c r="AB84" s="6" t="inlineStr">
        <is>
          <t>ES85 2080 3509 1130 4009 6171</t>
        </is>
      </c>
      <c r="AC84" s="1" t="inlineStr">
        <is>
          <t>pendiente</t>
        </is>
      </c>
      <c r="AD84" s="5">
        <f>L84+N84+P84+R84+T84+V84+X84+Z84</f>
        <v/>
      </c>
      <c r="AE84" s="5">
        <f>IF((LEFT(K84,6))="Contab",L84,0)</f>
        <v/>
      </c>
      <c r="AF84" s="6">
        <f>VLOOKUP(G84,CLIENTES!B:E,4,FALSE)</f>
        <v/>
      </c>
      <c r="AG84" s="5">
        <f>AF84*AE84</f>
        <v/>
      </c>
      <c r="AH84" s="5">
        <f>AD84*1.21</f>
        <v/>
      </c>
      <c r="AI84" s="261">
        <f>IF(AE84&lt;&gt;0,AG84/AD84,"N/A")</f>
        <v/>
      </c>
      <c r="AJ84" s="5">
        <f>IF(AC84="pendiente",AD84,0)</f>
        <v/>
      </c>
      <c r="AK84" s="1">
        <f>VLOOKUP(G84,CLIENTES!B:D,3,FALSE)</f>
        <v/>
      </c>
      <c r="AL84" s="1" t="inlineStr">
        <is>
          <t>nudos</t>
        </is>
      </c>
      <c r="AM84" s="1" t="inlineStr">
        <is>
          <t>Promoción</t>
        </is>
      </c>
    </row>
    <row r="85" ht="15" customHeight="1" s="700">
      <c r="A85" s="1">
        <f>A84+1</f>
        <v/>
      </c>
      <c r="B85" s="26" t="n">
        <v>45743</v>
      </c>
      <c r="C85" s="1" t="inlineStr">
        <is>
          <t>c/ Las Cruzadas 3A, local D</t>
        </is>
      </c>
      <c r="D85" s="1" t="inlineStr">
        <is>
          <t>Sevilla 41004</t>
        </is>
      </c>
      <c r="E85" s="1" t="inlineStr">
        <is>
          <t>CIF B91938662</t>
        </is>
      </c>
      <c r="F85" s="1" t="inlineStr">
        <is>
          <t>aBalados@abalados.es</t>
        </is>
      </c>
      <c r="G85" s="1" t="inlineStr">
        <is>
          <t>Irina Generación 220, A.I.E.</t>
        </is>
      </c>
      <c r="H85" s="1">
        <f>VLOOKUP($G85,DATOS!$B:$E,2,FALSE)</f>
        <v/>
      </c>
      <c r="I85" s="1">
        <f>VLOOKUP($G85,DATOS!$B:$E,3,FALSE)</f>
        <v/>
      </c>
      <c r="J85" s="4">
        <f>VLOOKUP($G85,DATOS!$B:$E,4,FALSE)</f>
        <v/>
      </c>
      <c r="K85" s="1" t="inlineStr">
        <is>
          <t>Contrato de Asset Management - Subestación Irina</t>
        </is>
      </c>
      <c r="O85" s="1" t="inlineStr">
        <is>
          <t>Fee Trimestral - 01 Enero/31 Marzo 2025</t>
        </is>
      </c>
      <c r="P85" s="5">
        <f>3* 2985*1.018</f>
        <v/>
      </c>
      <c r="S85" s="1" t="inlineStr">
        <is>
          <t>Recargo por pago fuera de plazo Autoliquidación 4T2023</t>
        </is>
      </c>
      <c r="T85" s="5" t="n">
        <v>35.15</v>
      </c>
      <c r="AB85" s="6" t="inlineStr">
        <is>
          <t>ES85 2080 3509 1130 4009 6171</t>
        </is>
      </c>
      <c r="AC85" s="1" t="inlineStr">
        <is>
          <t>pagado</t>
        </is>
      </c>
      <c r="AD85" s="5">
        <f>L85+N85+P85+R85+T85+V85+X85+Z85</f>
        <v/>
      </c>
      <c r="AE85" s="5">
        <f>IF((LEFT(K85,6))="Contab",L85,0)</f>
        <v/>
      </c>
      <c r="AF85" s="6">
        <f>VLOOKUP(G85,CLIENTES!B:E,4,FALSE)</f>
        <v/>
      </c>
      <c r="AG85" s="5">
        <f>AF85*AE85</f>
        <v/>
      </c>
      <c r="AH85" s="5">
        <f>AD85*1.21</f>
        <v/>
      </c>
      <c r="AI85" s="261">
        <f>IF(AE85&lt;&gt;0,AG85/AD85,"N/A")</f>
        <v/>
      </c>
      <c r="AJ85" s="5">
        <f>IF(AC85="pendiente",AD85,0)</f>
        <v/>
      </c>
      <c r="AK85" s="1">
        <f>VLOOKUP(G85,CLIENTES!B:D,3,FALSE)</f>
        <v/>
      </c>
      <c r="AL85" s="1" t="inlineStr">
        <is>
          <t>nudos</t>
        </is>
      </c>
      <c r="AM85" s="1" t="inlineStr">
        <is>
          <t>Explotación</t>
        </is>
      </c>
    </row>
    <row r="86" ht="15" customHeight="1" s="700">
      <c r="A86" s="1">
        <f>A85+1</f>
        <v/>
      </c>
      <c r="B86" s="26" t="n">
        <v>45743</v>
      </c>
      <c r="C86" s="1" t="inlineStr">
        <is>
          <t>c/ Las Cruzadas 3A, local D</t>
        </is>
      </c>
      <c r="D86" s="1" t="inlineStr">
        <is>
          <t>Sevilla 41004</t>
        </is>
      </c>
      <c r="E86" s="1" t="inlineStr">
        <is>
          <t>CIF B91938662</t>
        </is>
      </c>
      <c r="F86" s="1" t="inlineStr">
        <is>
          <t>aBalados@abalados.es</t>
        </is>
      </c>
      <c r="G86" s="1" t="inlineStr">
        <is>
          <t>Manzasol 132 kV, S.L.</t>
        </is>
      </c>
      <c r="H86" s="1">
        <f>VLOOKUP($G86,DATOS!$B:$E,2,FALSE)</f>
        <v/>
      </c>
      <c r="I86" s="1">
        <f>VLOOKUP($G86,DATOS!$B:$E,3,FALSE)</f>
        <v/>
      </c>
      <c r="J86" s="4">
        <f>VLOOKUP($G86,DATOS!$B:$E,4,FALSE)</f>
        <v/>
      </c>
      <c r="K86" s="1" t="inlineStr">
        <is>
          <t>Contrato de Asset Management - Subestación Manzasol</t>
        </is>
      </c>
      <c r="O86" s="1" t="inlineStr">
        <is>
          <t>Fee Trimestral - 01 Enero/31 Marzo 2025</t>
        </is>
      </c>
      <c r="P86" s="5">
        <f>3* 3015*1.028</f>
        <v/>
      </c>
      <c r="Q86" s="1" t="inlineStr">
        <is>
          <t>Tasa actualización IPC General (Diciembre 2023 - Diciembre 2024): 2,8%</t>
        </is>
      </c>
      <c r="U86" s="1" t="inlineStr">
        <is>
          <t>Regularización IPC trimestre anterior (11Diciembre-31Diciembre 2024)</t>
        </is>
      </c>
      <c r="V86" s="5">
        <f>3015*(21/31) *0.028</f>
        <v/>
      </c>
      <c r="AB86" s="6" t="inlineStr">
        <is>
          <t>ES85 2080 3509 1130 4009 6171</t>
        </is>
      </c>
      <c r="AC86" s="1" t="inlineStr">
        <is>
          <t>pagado</t>
        </is>
      </c>
      <c r="AD86" s="5">
        <f>L86+N86+P86+R86+T86+V86+X86+Z86</f>
        <v/>
      </c>
      <c r="AE86" s="5">
        <f>IF((LEFT(K86,6))="Contab",L86,0)</f>
        <v/>
      </c>
      <c r="AF86" s="6">
        <f>VLOOKUP(G86,CLIENTES!B:E,4,FALSE)</f>
        <v/>
      </c>
      <c r="AG86" s="5">
        <f>AF86*AE86</f>
        <v/>
      </c>
      <c r="AH86" s="5">
        <f>AD86*1.21</f>
        <v/>
      </c>
      <c r="AI86" s="261">
        <f>IF(AE86&lt;&gt;0,AG86/AD86,"N/A")</f>
        <v/>
      </c>
      <c r="AJ86" s="5">
        <f>IF(AC86="pendiente",AD86,0)</f>
        <v/>
      </c>
      <c r="AK86" s="1">
        <f>VLOOKUP(G86,CLIENTES!B:D,3,FALSE)</f>
        <v/>
      </c>
      <c r="AL86" s="1" t="inlineStr">
        <is>
          <t>nudos</t>
        </is>
      </c>
      <c r="AM86" s="1" t="inlineStr">
        <is>
          <t>Explotación</t>
        </is>
      </c>
    </row>
    <row r="87" ht="15" customHeight="1" s="700">
      <c r="A87" s="1">
        <f>A86+1</f>
        <v/>
      </c>
      <c r="B87" s="26" t="n">
        <v>45743</v>
      </c>
      <c r="C87" s="1" t="inlineStr">
        <is>
          <t>c/ Las Cruzadas 3A, local D</t>
        </is>
      </c>
      <c r="D87" s="1" t="inlineStr">
        <is>
          <t>Sevilla 41004</t>
        </is>
      </c>
      <c r="E87" s="1" t="inlineStr">
        <is>
          <t>CIF B91938662</t>
        </is>
      </c>
      <c r="F87" s="1" t="inlineStr">
        <is>
          <t>aBalados@abalados.es</t>
        </is>
      </c>
      <c r="G87" s="1" t="inlineStr">
        <is>
          <t>SE Colectora Ayora Renovables, A.I.E.</t>
        </is>
      </c>
      <c r="H87" s="1">
        <f>VLOOKUP($G87,DATOS!$B:$E,2,FALSE)</f>
        <v/>
      </c>
      <c r="I87" s="1">
        <f>VLOOKUP($G87,DATOS!$B:$E,3,FALSE)</f>
        <v/>
      </c>
      <c r="J87" s="4">
        <f>VLOOKUP($G87,DATOS!$B:$E,4,FALSE)</f>
        <v/>
      </c>
      <c r="K87" s="1" t="inlineStr">
        <is>
          <t>Contrato de Asset Management - Subestación Ayora</t>
        </is>
      </c>
      <c r="O87" s="1" t="inlineStr">
        <is>
          <t>Fee Trimestral - 01 Enero/31 Marzo 2025</t>
        </is>
      </c>
      <c r="P87" s="5">
        <f>3* 1350*1.018</f>
        <v/>
      </c>
      <c r="AB87" s="6" t="inlineStr">
        <is>
          <t>ES85 2080 3509 1130 4009 6171</t>
        </is>
      </c>
      <c r="AC87" s="1" t="inlineStr">
        <is>
          <t>pagado</t>
        </is>
      </c>
      <c r="AD87" s="5">
        <f>L87+N87+P87+R87+T87+V87+X87+Z87</f>
        <v/>
      </c>
      <c r="AE87" s="5">
        <f>IF((LEFT(K87,6))="Contab",L87,0)</f>
        <v/>
      </c>
      <c r="AF87" s="6">
        <f>VLOOKUP(G87,CLIENTES!B:E,4,FALSE)</f>
        <v/>
      </c>
      <c r="AG87" s="5">
        <f>AF87*AE87</f>
        <v/>
      </c>
      <c r="AH87" s="5">
        <f>AD87*1.21</f>
        <v/>
      </c>
      <c r="AI87" s="261">
        <f>IF(AE87&lt;&gt;0,AG87/AD87,"N/A")</f>
        <v/>
      </c>
      <c r="AJ87" s="5">
        <f>IF(AC87="pendiente",AD87,0)</f>
        <v/>
      </c>
      <c r="AK87" s="1">
        <f>VLOOKUP(G87,CLIENTES!B:D,3,FALSE)</f>
        <v/>
      </c>
      <c r="AL87" s="1" t="inlineStr">
        <is>
          <t>nudos</t>
        </is>
      </c>
      <c r="AM87" s="1" t="inlineStr">
        <is>
          <t>Promoción</t>
        </is>
      </c>
    </row>
    <row r="88" ht="15" customHeight="1" s="700">
      <c r="A88" s="1">
        <f>A87+1</f>
        <v/>
      </c>
      <c r="B88" s="26" t="n">
        <v>45743</v>
      </c>
      <c r="C88" s="1" t="inlineStr">
        <is>
          <t>c/ Las Cruzadas 3A, local D</t>
        </is>
      </c>
      <c r="D88" s="1" t="inlineStr">
        <is>
          <t>Sevilla 41004</t>
        </is>
      </c>
      <c r="E88" s="1" t="inlineStr">
        <is>
          <t>CIF B91938662</t>
        </is>
      </c>
      <c r="F88" s="1" t="inlineStr">
        <is>
          <t>aBalados@abalados.es</t>
        </is>
      </c>
      <c r="G88" s="1" t="inlineStr">
        <is>
          <t>Renovables Valle Solar Fotovoltaica, A.I.E.</t>
        </is>
      </c>
      <c r="H88" s="1">
        <f>VLOOKUP($G88,DATOS!$B:$E,2,FALSE)</f>
        <v/>
      </c>
      <c r="I88" s="1">
        <f>VLOOKUP($G88,DATOS!$B:$E,3,FALSE)</f>
        <v/>
      </c>
      <c r="J88" s="4">
        <f>VLOOKUP($G88,DATOS!$B:$E,4,FALSE)</f>
        <v/>
      </c>
      <c r="K88" s="1" t="inlineStr">
        <is>
          <t>Contrato de Asset Management - Subestación Valle Solar</t>
        </is>
      </c>
      <c r="O88" s="1" t="inlineStr">
        <is>
          <t>Fee Trimestral - 01 Enero/31 Marzo 2025</t>
        </is>
      </c>
      <c r="P88" s="5">
        <f>3* 1350*1.018</f>
        <v/>
      </c>
      <c r="AB88" s="6" t="inlineStr">
        <is>
          <t>ES85 2080 3509 1130 4009 6171</t>
        </is>
      </c>
      <c r="AC88" s="1" t="inlineStr">
        <is>
          <t>pagado</t>
        </is>
      </c>
      <c r="AD88" s="5">
        <f>L88+N88+P88+R88+T88+V88+X88+Z88</f>
        <v/>
      </c>
      <c r="AE88" s="5">
        <f>IF((LEFT(K88,6))="Contab",L88,0)</f>
        <v/>
      </c>
      <c r="AF88" s="6">
        <f>VLOOKUP(G88,CLIENTES!B:E,4,FALSE)</f>
        <v/>
      </c>
      <c r="AG88" s="5">
        <f>AF88*AE88</f>
        <v/>
      </c>
      <c r="AH88" s="5">
        <f>AD88*1.21</f>
        <v/>
      </c>
      <c r="AI88" s="261">
        <f>IF(AE88&lt;&gt;0,AG88/AD88,"N/A")</f>
        <v/>
      </c>
      <c r="AJ88" s="5">
        <f>IF(AC88="pendiente",AD88,0)</f>
        <v/>
      </c>
      <c r="AK88" s="1">
        <f>VLOOKUP(G88,CLIENTES!B:D,3,FALSE)</f>
        <v/>
      </c>
      <c r="AL88" s="1" t="inlineStr">
        <is>
          <t>nudos</t>
        </is>
      </c>
      <c r="AM88" s="1" t="inlineStr">
        <is>
          <t>Promoción</t>
        </is>
      </c>
    </row>
    <row r="89" ht="15" customHeight="1" s="700">
      <c r="A89" s="1">
        <f>A88+1</f>
        <v/>
      </c>
      <c r="B89" s="26" t="n">
        <v>45743</v>
      </c>
      <c r="C89" s="1" t="inlineStr">
        <is>
          <t>c/ Las Cruzadas 3A, local D</t>
        </is>
      </c>
      <c r="D89" s="1" t="inlineStr">
        <is>
          <t>Sevilla 41004</t>
        </is>
      </c>
      <c r="E89" s="1" t="inlineStr">
        <is>
          <t>CIF B91938662</t>
        </is>
      </c>
      <c r="F89" s="1" t="inlineStr">
        <is>
          <t>aBalados@abalados.es</t>
        </is>
      </c>
      <c r="G89" s="1" t="inlineStr">
        <is>
          <t>San Pedro Pinatar Renovables, S.L.</t>
        </is>
      </c>
      <c r="H89" s="1">
        <f>VLOOKUP($G89,DATOS!$B:$E,2,FALSE)</f>
        <v/>
      </c>
      <c r="I89" s="1">
        <f>VLOOKUP($G89,DATOS!$B:$E,3,FALSE)</f>
        <v/>
      </c>
      <c r="J89" s="4">
        <f>VLOOKUP($G89,DATOS!$B:$E,4,FALSE)</f>
        <v/>
      </c>
      <c r="K89" s="1" t="inlineStr">
        <is>
          <t>Contrato de Asset Management - Subestación San Pedro</t>
        </is>
      </c>
      <c r="O89" s="1" t="inlineStr">
        <is>
          <t>Fee Trimestral - 01 Enero/31 Marzo 2025</t>
        </is>
      </c>
      <c r="P89" s="5">
        <f>1* 1350  +  1350*(18/28)+1350*1.03*(10/28)  +  1* 1350*1.03</f>
        <v/>
      </c>
      <c r="Q89" s="1" t="inlineStr">
        <is>
          <t>Tasa actualización IPC General (Febrero 2024 - Febrero 2025): 3,0%</t>
        </is>
      </c>
      <c r="S89" s="1" t="inlineStr">
        <is>
          <t>Fecha actualización: 19 Febrero</t>
        </is>
      </c>
      <c r="AB89" s="6" t="inlineStr">
        <is>
          <t>ES85 2080 3509 1130 4009 6171</t>
        </is>
      </c>
      <c r="AC89" s="1" t="inlineStr">
        <is>
          <t>pagado</t>
        </is>
      </c>
      <c r="AD89" s="5">
        <f>L89+N89+P89+R89+T89+V89+X89+Z89</f>
        <v/>
      </c>
      <c r="AE89" s="5">
        <f>IF((LEFT(K89,6))="Contab",L89,0)</f>
        <v/>
      </c>
      <c r="AF89" s="6">
        <f>VLOOKUP(G89,CLIENTES!B:E,4,FALSE)</f>
        <v/>
      </c>
      <c r="AG89" s="5">
        <f>AF89*AE89</f>
        <v/>
      </c>
      <c r="AH89" s="5">
        <f>AD89*1.21</f>
        <v/>
      </c>
      <c r="AI89" s="261">
        <f>IF(AE89&lt;&gt;0,AG89/AD89,"N/A")</f>
        <v/>
      </c>
      <c r="AJ89" s="5">
        <f>IF(AC89="pendiente",AD89,0)</f>
        <v/>
      </c>
      <c r="AK89" s="1">
        <f>VLOOKUP(G89,CLIENTES!B:D,3,FALSE)</f>
        <v/>
      </c>
      <c r="AL89" s="1" t="inlineStr">
        <is>
          <t>nudos</t>
        </is>
      </c>
      <c r="AM89" s="1" t="inlineStr">
        <is>
          <t>Promoción</t>
        </is>
      </c>
    </row>
    <row r="90" ht="15" customHeight="1" s="700">
      <c r="A90" s="1">
        <f>A89+1</f>
        <v/>
      </c>
      <c r="B90" s="26" t="n">
        <v>45743</v>
      </c>
      <c r="C90" s="1" t="inlineStr">
        <is>
          <t>c/ Las Cruzadas 3A, local D</t>
        </is>
      </c>
      <c r="D90" s="1" t="inlineStr">
        <is>
          <t>Sevilla 41004</t>
        </is>
      </c>
      <c r="E90" s="1" t="inlineStr">
        <is>
          <t>CIF B91938662</t>
        </is>
      </c>
      <c r="F90" s="1" t="inlineStr">
        <is>
          <t>aBalados@abalados.es</t>
        </is>
      </c>
      <c r="G90" s="1" t="inlineStr">
        <is>
          <t>Evacuación Salteras, S.L.</t>
        </is>
      </c>
      <c r="H90" s="1">
        <f>VLOOKUP($G90,DATOS!$B:$E,2,FALSE)</f>
        <v/>
      </c>
      <c r="I90" s="1">
        <f>VLOOKUP($G90,DATOS!$B:$E,3,FALSE)</f>
        <v/>
      </c>
      <c r="J90" s="4">
        <f>VLOOKUP($G90,DATOS!$B:$E,4,FALSE)</f>
        <v/>
      </c>
      <c r="K90" s="1" t="inlineStr">
        <is>
          <t>Contrato de Asset Management - Subestación Campofrío</t>
        </is>
      </c>
      <c r="O90" s="1" t="inlineStr">
        <is>
          <t>Fee Trimestral - 01 Enero/31 Marzo 2025</t>
        </is>
      </c>
      <c r="P90" s="5">
        <f>1* 2825  +  2825*(8/28)+2825*1.03*(20/28)  +  1* 2825*1.03</f>
        <v/>
      </c>
      <c r="Q90" s="1" t="inlineStr">
        <is>
          <t>Tasa actualización IPC General (Febrero 2024 - Febrero 2025): 3,0%</t>
        </is>
      </c>
      <c r="S90" s="1" t="inlineStr">
        <is>
          <t>Fecha actualización: 09 Febrero</t>
        </is>
      </c>
      <c r="V90" s="1" t="n"/>
      <c r="X90" s="1" t="n"/>
      <c r="AB90" s="6" t="inlineStr">
        <is>
          <t>ES85 2080 3509 1130 4009 6171</t>
        </is>
      </c>
      <c r="AC90" s="1" t="inlineStr">
        <is>
          <t>pagado</t>
        </is>
      </c>
      <c r="AD90" s="5">
        <f>L90+N90+P90+R90+T90+V90+X90+Z90</f>
        <v/>
      </c>
      <c r="AE90" s="5">
        <f>IF((LEFT(K90,6))="Contab",L90,0)</f>
        <v/>
      </c>
      <c r="AF90" s="6">
        <f>VLOOKUP(G90,CLIENTES!B:E,4,FALSE)</f>
        <v/>
      </c>
      <c r="AG90" s="5">
        <f>AF90*AE90</f>
        <v/>
      </c>
      <c r="AH90" s="5">
        <f>AD90*1.21</f>
        <v/>
      </c>
      <c r="AI90" s="261">
        <f>IF(AE90&lt;&gt;0,AG90/AD90,"N/A")</f>
        <v/>
      </c>
      <c r="AJ90" s="5">
        <f>IF(AC90="pendiente",AD90,0)</f>
        <v/>
      </c>
      <c r="AK90" s="1">
        <f>VLOOKUP(G90,CLIENTES!B:D,3,FALSE)</f>
        <v/>
      </c>
      <c r="AL90" s="1" t="inlineStr">
        <is>
          <t>nudos</t>
        </is>
      </c>
      <c r="AM90" s="1" t="inlineStr">
        <is>
          <t>Explotación</t>
        </is>
      </c>
    </row>
    <row r="91" ht="15" customHeight="1" s="700">
      <c r="A91" s="1">
        <f>A90+1</f>
        <v/>
      </c>
      <c r="B91" s="26" t="n">
        <v>45743</v>
      </c>
      <c r="C91" s="1" t="inlineStr">
        <is>
          <t>c/ Las Cruzadas 3A, local D</t>
        </is>
      </c>
      <c r="D91" s="1" t="inlineStr">
        <is>
          <t>Sevilla 41004</t>
        </is>
      </c>
      <c r="E91" s="1" t="inlineStr">
        <is>
          <t>CIF B91938662</t>
        </is>
      </c>
      <c r="F91" s="1" t="inlineStr">
        <is>
          <t>aBalados@abalados.es</t>
        </is>
      </c>
      <c r="G91" s="1" t="inlineStr">
        <is>
          <t>Tordesillas T2Prima 132kV, S.L.</t>
        </is>
      </c>
      <c r="H91" s="1">
        <f>VLOOKUP($G91,DATOS!$B:$E,2,FALSE)</f>
        <v/>
      </c>
      <c r="I91" s="1">
        <f>VLOOKUP($G91,DATOS!$B:$E,3,FALSE)</f>
        <v/>
      </c>
      <c r="J91" s="4">
        <f>VLOOKUP($G91,DATOS!$B:$E,4,FALSE)</f>
        <v/>
      </c>
      <c r="K91" s="1" t="inlineStr">
        <is>
          <t>Contrato de Asset Management - Subestación T2Prima</t>
        </is>
      </c>
      <c r="O91" s="1" t="inlineStr">
        <is>
          <t>Fee Trimestral - 01 Enero/31 Marzo 2025</t>
        </is>
      </c>
      <c r="P91" s="5">
        <f>1* 1350  +  1350*(7/28)+1350*1.03*(21/28)  +  1* 1350*1.03</f>
        <v/>
      </c>
      <c r="Q91" s="1" t="inlineStr">
        <is>
          <t>Tasa actualización IPC General (Febrero 2024 - Febrero 2025): 3,0%</t>
        </is>
      </c>
      <c r="S91" s="1" t="inlineStr">
        <is>
          <t>Fecha actualización: 08 Febrero</t>
        </is>
      </c>
      <c r="AB91" s="6" t="inlineStr">
        <is>
          <t>ES85 2080 3509 1130 4009 6171</t>
        </is>
      </c>
      <c r="AC91" s="1" t="inlineStr">
        <is>
          <t>pagado</t>
        </is>
      </c>
      <c r="AD91" s="5">
        <f>L91+N91+P91+R91+T91+V91+X91+Z91</f>
        <v/>
      </c>
      <c r="AE91" s="5">
        <f>IF((LEFT(K91,6))="Contab",L91,0)</f>
        <v/>
      </c>
      <c r="AF91" s="6">
        <f>VLOOKUP(G91,CLIENTES!B:E,4,FALSE)</f>
        <v/>
      </c>
      <c r="AG91" s="5">
        <f>AF91*AE91</f>
        <v/>
      </c>
      <c r="AH91" s="5">
        <f>AD91*1.21</f>
        <v/>
      </c>
      <c r="AI91" s="261">
        <f>IF(AE91&lt;&gt;0,AG91/AD91,"N/A")</f>
        <v/>
      </c>
      <c r="AJ91" s="5">
        <f>IF(AC91="pendiente",AD91,0)</f>
        <v/>
      </c>
      <c r="AK91" s="1">
        <f>VLOOKUP(G91,CLIENTES!B:D,3,FALSE)</f>
        <v/>
      </c>
      <c r="AL91" s="1" t="inlineStr">
        <is>
          <t>nudos</t>
        </is>
      </c>
      <c r="AM91" s="1" t="inlineStr">
        <is>
          <t>Promoción</t>
        </is>
      </c>
    </row>
    <row r="92" ht="15" customHeight="1" s="700">
      <c r="A92" s="1">
        <f>A91+1</f>
        <v/>
      </c>
      <c r="B92" s="26" t="n">
        <v>45743</v>
      </c>
      <c r="C92" s="1" t="inlineStr">
        <is>
          <t>c/ Las Cruzadas 3A, local D</t>
        </is>
      </c>
      <c r="D92" s="1" t="inlineStr">
        <is>
          <t>Sevilla 41004</t>
        </is>
      </c>
      <c r="E92" s="1" t="inlineStr">
        <is>
          <t>CIF B91938662</t>
        </is>
      </c>
      <c r="F92" s="1" t="inlineStr">
        <is>
          <t>aBalados@abalados.es</t>
        </is>
      </c>
      <c r="G92" s="1" t="inlineStr">
        <is>
          <t>Energías Renovables El Canto, S.L.</t>
        </is>
      </c>
      <c r="H92" s="1">
        <f>VLOOKUP($G92,DATOS!$B:$E,2,FALSE)</f>
        <v/>
      </c>
      <c r="I92" s="1">
        <f>VLOOKUP($G92,DATOS!$B:$E,3,FALSE)</f>
        <v/>
      </c>
      <c r="J92" s="4">
        <f>VLOOKUP($G92,DATOS!$B:$E,4,FALSE)</f>
        <v/>
      </c>
      <c r="K92" s="1" t="inlineStr">
        <is>
          <t>Contrato de Asset Management - Subestación El Canto</t>
        </is>
      </c>
      <c r="O92" s="1" t="inlineStr">
        <is>
          <t>Fee Trimestral - 01 Enero/31 Marzo 2025</t>
        </is>
      </c>
      <c r="P92" s="5">
        <f>3* 1350</f>
        <v/>
      </c>
      <c r="AB92" s="6" t="inlineStr">
        <is>
          <t>ES85 2080 3509 1130 4009 6171</t>
        </is>
      </c>
      <c r="AC92" s="1" t="inlineStr">
        <is>
          <t>pagado</t>
        </is>
      </c>
      <c r="AD92" s="5">
        <f>L92+N92+P92+R92+T92+V92+X92+Z92</f>
        <v/>
      </c>
      <c r="AE92" s="5">
        <f>IF((LEFT(K92,6))="Contab",L92,0)</f>
        <v/>
      </c>
      <c r="AF92" s="6">
        <f>VLOOKUP(G92,CLIENTES!B:E,4,FALSE)</f>
        <v/>
      </c>
      <c r="AG92" s="5">
        <f>AF92*AE92</f>
        <v/>
      </c>
      <c r="AH92" s="5">
        <f>AD92*1.21</f>
        <v/>
      </c>
      <c r="AI92" s="261">
        <f>IF(AE92&lt;&gt;0,AG92/AD92,"N/A")</f>
        <v/>
      </c>
      <c r="AJ92" s="5">
        <f>IF(AC92="pendiente",AD92,0)</f>
        <v/>
      </c>
      <c r="AK92" s="1">
        <f>VLOOKUP(G92,CLIENTES!B:D,3,FALSE)</f>
        <v/>
      </c>
      <c r="AL92" s="1" t="inlineStr">
        <is>
          <t>nudos</t>
        </is>
      </c>
      <c r="AM92" s="1" t="inlineStr">
        <is>
          <t>Promoción</t>
        </is>
      </c>
    </row>
    <row r="93" ht="15" customHeight="1" s="700">
      <c r="A93" s="1">
        <f>A92+1</f>
        <v/>
      </c>
      <c r="B93" s="26" t="n">
        <v>45743</v>
      </c>
      <c r="C93" s="1" t="inlineStr">
        <is>
          <t>c/ Las Cruzadas 3A, local D</t>
        </is>
      </c>
      <c r="D93" s="1" t="inlineStr">
        <is>
          <t>Sevilla 41004</t>
        </is>
      </c>
      <c r="E93" s="1" t="inlineStr">
        <is>
          <t>CIF B91938662</t>
        </is>
      </c>
      <c r="F93" s="1" t="inlineStr">
        <is>
          <t>aBalados@abalados.es</t>
        </is>
      </c>
      <c r="G93" s="1" t="inlineStr">
        <is>
          <t>ICE Andújar, S.L.</t>
        </is>
      </c>
      <c r="H93" s="1">
        <f>VLOOKUP($G93,DATOS!$B:$E,2,FALSE)</f>
        <v/>
      </c>
      <c r="I93" s="1">
        <f>VLOOKUP($G93,DATOS!$B:$E,3,FALSE)</f>
        <v/>
      </c>
      <c r="J93" s="4">
        <f>VLOOKUP($G93,DATOS!$B:$E,4,FALSE)</f>
        <v/>
      </c>
      <c r="K93" s="1" t="inlineStr">
        <is>
          <t>Contrato de Asset Management - Subestación Andújar</t>
        </is>
      </c>
      <c r="O93" s="1" t="inlineStr">
        <is>
          <t>Fee Trimestral - 01 Enero/31 Marzo 2025</t>
        </is>
      </c>
      <c r="P93" s="5">
        <f>3* 1350</f>
        <v/>
      </c>
      <c r="AB93" s="6" t="inlineStr">
        <is>
          <t>ES85 2080 3509 1130 4009 6171</t>
        </is>
      </c>
      <c r="AC93" s="1" t="inlineStr">
        <is>
          <t>pendiente</t>
        </is>
      </c>
      <c r="AD93" s="5">
        <f>L93+N93+P93+R93+T93+V93+X93+Z93</f>
        <v/>
      </c>
      <c r="AE93" s="5">
        <f>IF((LEFT(K93,6))="Contab",L93,0)</f>
        <v/>
      </c>
      <c r="AF93" s="6">
        <f>VLOOKUP(G93,CLIENTES!B:E,4,FALSE)</f>
        <v/>
      </c>
      <c r="AG93" s="5">
        <f>AF93*AE93</f>
        <v/>
      </c>
      <c r="AH93" s="5">
        <f>AD93*1.21</f>
        <v/>
      </c>
      <c r="AI93" s="261">
        <f>IF(AE93&lt;&gt;0,AG93/AD93,"N/A")</f>
        <v/>
      </c>
      <c r="AJ93" s="5">
        <f>IF(AC93="pendiente",AD93,0)</f>
        <v/>
      </c>
      <c r="AK93" s="1">
        <f>VLOOKUP(G93,CLIENTES!B:D,3,FALSE)</f>
        <v/>
      </c>
      <c r="AL93" s="1" t="inlineStr">
        <is>
          <t>nudos</t>
        </is>
      </c>
      <c r="AM93" s="1" t="inlineStr">
        <is>
          <t>Promoción</t>
        </is>
      </c>
    </row>
    <row r="94" ht="15" customHeight="1" s="700">
      <c r="A94" s="1">
        <f>A93+1</f>
        <v/>
      </c>
      <c r="B94" s="26" t="n">
        <v>45743</v>
      </c>
      <c r="C94" s="1" t="inlineStr">
        <is>
          <t>c/ Las Cruzadas 3A, local D</t>
        </is>
      </c>
      <c r="D94" s="1" t="inlineStr">
        <is>
          <t>Sevilla 41004</t>
        </is>
      </c>
      <c r="E94" s="1" t="inlineStr">
        <is>
          <t>CIF B91938662</t>
        </is>
      </c>
      <c r="F94" s="1" t="inlineStr">
        <is>
          <t>aBalados@abalados.es</t>
        </is>
      </c>
      <c r="G94" s="1" t="inlineStr">
        <is>
          <t>Promotores Albatarrec 220 kV, S.L.</t>
        </is>
      </c>
      <c r="H94" s="1">
        <f>VLOOKUP($G94,DATOS!$B:$E,2,FALSE)</f>
        <v/>
      </c>
      <c r="I94" s="1">
        <f>VLOOKUP($G94,DATOS!$B:$E,3,FALSE)</f>
        <v/>
      </c>
      <c r="J94" s="4">
        <f>VLOOKUP($G94,DATOS!$B:$E,4,FALSE)</f>
        <v/>
      </c>
      <c r="K94" s="1" t="inlineStr">
        <is>
          <t>Contrato de Asset Management - Subestación Seros</t>
        </is>
      </c>
      <c r="O94" s="1" t="inlineStr">
        <is>
          <t>Fee Trimestral - 01 Enero/31 Marzo 2025</t>
        </is>
      </c>
      <c r="P94" s="5">
        <f>3* 1350</f>
        <v/>
      </c>
      <c r="AB94" s="6" t="inlineStr">
        <is>
          <t>ES85 2080 3509 1130 4009 6171</t>
        </is>
      </c>
      <c r="AC94" s="1" t="inlineStr">
        <is>
          <t>pagado</t>
        </is>
      </c>
      <c r="AD94" s="5">
        <f>L94+N94+P94+R94+T94+V94+X94+Z94</f>
        <v/>
      </c>
      <c r="AE94" s="5">
        <f>IF((LEFT(K94,6))="Contab",L94,0)</f>
        <v/>
      </c>
      <c r="AF94" s="6">
        <f>VLOOKUP(G94,CLIENTES!B:E,4,FALSE)</f>
        <v/>
      </c>
      <c r="AG94" s="5">
        <f>AF94*AE94</f>
        <v/>
      </c>
      <c r="AH94" s="5">
        <f>AD94*1.21</f>
        <v/>
      </c>
      <c r="AI94" s="261">
        <f>IF(AE94&lt;&gt;0,AG94/AD94,"N/A")</f>
        <v/>
      </c>
      <c r="AJ94" s="5">
        <f>IF(AC94="pendiente",AD94,0)</f>
        <v/>
      </c>
      <c r="AK94" s="1">
        <f>VLOOKUP(G94,CLIENTES!B:D,3,FALSE)</f>
        <v/>
      </c>
      <c r="AL94" s="1" t="inlineStr">
        <is>
          <t>nudos</t>
        </is>
      </c>
      <c r="AM94" s="1" t="inlineStr">
        <is>
          <t>Promoción</t>
        </is>
      </c>
    </row>
    <row r="95" ht="15" customHeight="1" s="700" thickBot="1">
      <c r="A95" s="1">
        <f>A94+1</f>
        <v/>
      </c>
      <c r="B95" s="26" t="n">
        <v>45743</v>
      </c>
      <c r="C95" s="1" t="inlineStr">
        <is>
          <t>c/ Las Cruzadas 3A, local D</t>
        </is>
      </c>
      <c r="D95" s="1" t="inlineStr">
        <is>
          <t>Sevilla 41004</t>
        </is>
      </c>
      <c r="E95" s="1" t="inlineStr">
        <is>
          <t>CIF B91938662</t>
        </is>
      </c>
      <c r="F95" s="1" t="inlineStr">
        <is>
          <t>aBalados@abalados.es</t>
        </is>
      </c>
      <c r="G95" s="1" t="inlineStr">
        <is>
          <t>Pujalt Infras Privativas Ignis Forestalia, S.L.</t>
        </is>
      </c>
      <c r="H95" s="1">
        <f>VLOOKUP($G95,DATOS!$B:$E,2,FALSE)</f>
        <v/>
      </c>
      <c r="I95" s="1">
        <f>VLOOKUP($G95,DATOS!$B:$E,3,FALSE)</f>
        <v/>
      </c>
      <c r="J95" s="4">
        <f>VLOOKUP($G95,DATOS!$B:$E,4,FALSE)</f>
        <v/>
      </c>
      <c r="K95" s="1" t="inlineStr">
        <is>
          <t>Contrato de Asset Management - Ampliación SET Pujalt</t>
        </is>
      </c>
      <c r="O95" s="1" t="inlineStr">
        <is>
          <t>Fee Trimestral - Inicio contrato (16Enero 2025) / 31Marzo 2025</t>
        </is>
      </c>
      <c r="P95" s="5">
        <f>1350*(16/31) + 2* 1350</f>
        <v/>
      </c>
      <c r="AB95" s="6" t="inlineStr">
        <is>
          <t>ES85 2080 3509 1130 4009 6171</t>
        </is>
      </c>
      <c r="AC95" s="1" t="inlineStr">
        <is>
          <t>pagado</t>
        </is>
      </c>
      <c r="AD95" s="5">
        <f>L95+N95+P95+R95+T95+V95+X95+Z95</f>
        <v/>
      </c>
      <c r="AE95" s="5">
        <f>IF((LEFT(K95,6))="Contab",L95,0)</f>
        <v/>
      </c>
      <c r="AF95" s="6">
        <f>VLOOKUP(G95,CLIENTES!B:E,4,FALSE)</f>
        <v/>
      </c>
      <c r="AG95" s="5">
        <f>AF95*AE95</f>
        <v/>
      </c>
      <c r="AH95" s="5">
        <f>AD95*1.21</f>
        <v/>
      </c>
      <c r="AI95" s="261">
        <f>IF(AE95&lt;&gt;0,AG95/AD95,"N/A")</f>
        <v/>
      </c>
      <c r="AJ95" s="5">
        <f>IF(AC95="pendiente",AD95,0)</f>
        <v/>
      </c>
      <c r="AK95" s="1">
        <f>VLOOKUP(G95,CLIENTES!B:D,3,FALSE)</f>
        <v/>
      </c>
      <c r="AL95" s="1" t="inlineStr">
        <is>
          <t>nudos</t>
        </is>
      </c>
      <c r="AM95" s="1" t="inlineStr">
        <is>
          <t>Promoción</t>
        </is>
      </c>
    </row>
    <row r="96" ht="15" customFormat="1" customHeight="1" s="522">
      <c r="A96" s="522">
        <f>A95+1</f>
        <v/>
      </c>
      <c r="B96" s="521" t="n">
        <v>45743</v>
      </c>
      <c r="C96" s="522" t="inlineStr">
        <is>
          <t>c/ Las Cruzadas 3A, local D</t>
        </is>
      </c>
      <c r="D96" s="522" t="inlineStr">
        <is>
          <t>Sevilla 41004</t>
        </is>
      </c>
      <c r="E96" s="522" t="inlineStr">
        <is>
          <t>CIF B91938662</t>
        </is>
      </c>
      <c r="F96" s="522" t="inlineStr">
        <is>
          <t>aBalados@abalados.es</t>
        </is>
      </c>
      <c r="G96" s="522" t="inlineStr">
        <is>
          <t>Sun Tol I, S.L.U.</t>
        </is>
      </c>
      <c r="H96" s="522">
        <f>VLOOKUP($G96,DATOS!$B:$E,2,FALSE)</f>
        <v/>
      </c>
      <c r="I96" s="522">
        <f>VLOOKUP($G96,DATOS!$B:$E,3,FALSE)</f>
        <v/>
      </c>
      <c r="J96" s="523">
        <f>VLOOKUP($G96,DATOS!$B:$E,4,FALSE)</f>
        <v/>
      </c>
      <c r="K96" s="522" t="inlineStr">
        <is>
          <t>Legal Services</t>
        </is>
      </c>
      <c r="L96" s="524" t="n"/>
      <c r="M96" s="522" t="inlineStr">
        <is>
          <t>II addendum to PV solar plant development services agreement</t>
        </is>
      </c>
      <c r="N96" s="524" t="n"/>
      <c r="P96" s="524" t="n"/>
      <c r="Q96" s="522" t="inlineStr">
        <is>
          <t>Quarterly fee - December 22nd 2024 / March 22nd 2025</t>
        </is>
      </c>
      <c r="R96" s="524">
        <f>3040*3</f>
        <v/>
      </c>
      <c r="T96" s="524" t="n"/>
      <c r="V96" s="524" t="n"/>
      <c r="X96" s="524" t="n"/>
      <c r="Z96" s="524" t="n"/>
      <c r="AA96" s="524" t="n"/>
      <c r="AB96" s="525" t="inlineStr">
        <is>
          <t>ES85 2080 3509 1130 4009 6171</t>
        </is>
      </c>
      <c r="AC96" s="522" t="inlineStr">
        <is>
          <t>pagado</t>
        </is>
      </c>
      <c r="AD96" s="524">
        <f>L96+N96+P96+R96+T96+V96+X96+Z96</f>
        <v/>
      </c>
      <c r="AE96" s="524">
        <f>IF((LEFT(K96,6))="Contab",L96,0)</f>
        <v/>
      </c>
      <c r="AF96" s="525">
        <f>VLOOKUP(G96,CLIENTES!B:E,4,FALSE)</f>
        <v/>
      </c>
      <c r="AG96" s="524">
        <f>AF96*AE96</f>
        <v/>
      </c>
      <c r="AH96" s="524">
        <f>AD96*1.21</f>
        <v/>
      </c>
      <c r="AI96" s="526">
        <f>IF(AE96&lt;&gt;0,AG96/AD96,"N/A")</f>
        <v/>
      </c>
      <c r="AJ96" s="524">
        <f>IF(AC96="pendiente",AD96,0)</f>
        <v/>
      </c>
      <c r="AK96" s="522">
        <f>VLOOKUP(G96,CLIENTES!B:D,3,FALSE)</f>
        <v/>
      </c>
      <c r="AL96" s="522" t="inlineStr">
        <is>
          <t>nudos</t>
        </is>
      </c>
      <c r="AM96" s="522" t="inlineStr">
        <is>
          <t>Legal</t>
        </is>
      </c>
    </row>
    <row r="97" ht="15" customHeight="1" s="700">
      <c r="A97" s="1">
        <f>A96+1</f>
        <v/>
      </c>
      <c r="B97" s="26" t="n">
        <v>45743</v>
      </c>
      <c r="C97" s="1" t="inlineStr">
        <is>
          <t>c/ Las Cruzadas 3A, local D</t>
        </is>
      </c>
      <c r="D97" s="1" t="inlineStr">
        <is>
          <t>Sevilla 41004</t>
        </is>
      </c>
      <c r="E97" s="1" t="inlineStr">
        <is>
          <t>CIF B91938662</t>
        </is>
      </c>
      <c r="F97" s="1" t="inlineStr">
        <is>
          <t>aBalados@abalados.es</t>
        </is>
      </c>
      <c r="G97" s="1" t="inlineStr">
        <is>
          <t>Sun Tol I, S.L.U.</t>
        </is>
      </c>
      <c r="H97" s="1">
        <f>VLOOKUP($G97,DATOS!$B:$E,2,FALSE)</f>
        <v/>
      </c>
      <c r="I97" s="1">
        <f>VLOOKUP($G97,DATOS!$B:$E,3,FALSE)</f>
        <v/>
      </c>
      <c r="J97" s="4">
        <f>VLOOKUP($G97,DATOS!$B:$E,4,FALSE)</f>
        <v/>
      </c>
      <c r="K97" s="1" t="inlineStr">
        <is>
          <t>PV Solar Plant Development Service Agreement</t>
        </is>
      </c>
      <c r="M97" s="1" t="inlineStr">
        <is>
          <t>PSF Castillejo I - 31,21 MWp</t>
        </is>
      </c>
      <c r="Q97" s="1" t="inlineStr">
        <is>
          <t>10% on the signature of the last of the common agreements.</t>
        </is>
      </c>
      <c r="R97" s="5">
        <f>10%*45630</f>
        <v/>
      </c>
      <c r="AB97" s="6" t="inlineStr">
        <is>
          <t>ES85 2080 3509 1130 4009 6171</t>
        </is>
      </c>
      <c r="AC97" s="1" t="inlineStr">
        <is>
          <t>pagado</t>
        </is>
      </c>
      <c r="AD97" s="5">
        <f>L97+N97+P97+R97+T97+V97+X97+Z97</f>
        <v/>
      </c>
      <c r="AE97" s="5">
        <f>IF((LEFT(K97,6))="Contab",L97,0)</f>
        <v/>
      </c>
      <c r="AF97" s="6">
        <f>VLOOKUP(G97,CLIENTES!B:E,4,FALSE)</f>
        <v/>
      </c>
      <c r="AG97" s="5">
        <f>AF97*AE97</f>
        <v/>
      </c>
      <c r="AH97" s="5">
        <f>AD97*1.21</f>
        <v/>
      </c>
      <c r="AI97" s="261">
        <f>IF(AE97&lt;&gt;0,AG97/AD97,"N/A")</f>
        <v/>
      </c>
      <c r="AJ97" s="5">
        <f>IF(AC97="pendiente",AD97,0)</f>
        <v/>
      </c>
      <c r="AK97" s="1">
        <f>VLOOKUP(G97,CLIENTES!B:D,3,FALSE)</f>
        <v/>
      </c>
      <c r="AL97" s="1" t="inlineStr">
        <is>
          <t>Ingeniería</t>
        </is>
      </c>
      <c r="AM97" s="1" t="inlineStr">
        <is>
          <t>Promoción</t>
        </is>
      </c>
    </row>
    <row r="98" ht="15" customHeight="1" s="700">
      <c r="A98" s="1">
        <f>A97+1</f>
        <v/>
      </c>
      <c r="B98" s="26" t="n">
        <v>45743</v>
      </c>
      <c r="C98" s="1" t="inlineStr">
        <is>
          <t>c/ Las Cruzadas 3A, local D</t>
        </is>
      </c>
      <c r="D98" s="1" t="inlineStr">
        <is>
          <t>Sevilla 41004</t>
        </is>
      </c>
      <c r="E98" s="1" t="inlineStr">
        <is>
          <t>CIF B91938662</t>
        </is>
      </c>
      <c r="F98" s="1" t="inlineStr">
        <is>
          <t>aBalados@abalados.es</t>
        </is>
      </c>
      <c r="G98" s="1" t="inlineStr">
        <is>
          <t>VALCASADO SOLAR, S.L.U.</t>
        </is>
      </c>
      <c r="H98" s="1">
        <f>VLOOKUP($G98,DATOS!$B:$E,2,FALSE)</f>
        <v/>
      </c>
      <c r="I98" s="1">
        <f>VLOOKUP($G98,DATOS!$B:$E,3,FALSE)</f>
        <v/>
      </c>
      <c r="J98" s="4">
        <f>VLOOKUP($G98,DATOS!$B:$E,4,FALSE)</f>
        <v/>
      </c>
      <c r="K98" s="1" t="inlineStr">
        <is>
          <t>Contrato de Asset Management - PSFV Valcasado</t>
        </is>
      </c>
      <c r="O98" s="1" t="inlineStr">
        <is>
          <t>Fee Trimestral - 01 Enero/31 Marzo 2025</t>
        </is>
      </c>
      <c r="P98" s="5">
        <f>3*(28320/12)</f>
        <v/>
      </c>
      <c r="AB98" s="6" t="inlineStr">
        <is>
          <t>ES85 2080 3509 1130 4009 6171</t>
        </is>
      </c>
      <c r="AC98" s="1" t="inlineStr">
        <is>
          <t>pagado</t>
        </is>
      </c>
      <c r="AD98" s="5">
        <f>L98+N98+P98+R98+T98+V98+X98+Z98</f>
        <v/>
      </c>
      <c r="AE98" s="5">
        <f>IF((LEFT(K98,6))="Contab",L98,0)</f>
        <v/>
      </c>
      <c r="AF98" s="6">
        <f>VLOOKUP(G98,CLIENTES!B:E,4,FALSE)</f>
        <v/>
      </c>
      <c r="AG98" s="5">
        <f>AF98*AE98</f>
        <v/>
      </c>
      <c r="AH98" s="5">
        <f>AD98*1.21</f>
        <v/>
      </c>
      <c r="AI98" s="261">
        <f>IF(AE98&lt;&gt;0,AG98/AD98,"N/A")</f>
        <v/>
      </c>
      <c r="AJ98" s="5">
        <f>IF(AC98="pendiente",AD98,0)</f>
        <v/>
      </c>
      <c r="AK98" s="1">
        <f>VLOOKUP(G98,CLIENTES!B:D,3,FALSE)</f>
        <v/>
      </c>
      <c r="AL98" s="1" t="inlineStr">
        <is>
          <t>Asset</t>
        </is>
      </c>
      <c r="AM98" s="1" t="inlineStr">
        <is>
          <t>Explotación</t>
        </is>
      </c>
    </row>
    <row r="99" ht="15" customHeight="1" s="700" thickBot="1">
      <c r="A99" s="1">
        <f>A98+1</f>
        <v/>
      </c>
      <c r="B99" s="26" t="n">
        <v>45743</v>
      </c>
      <c r="C99" s="1" t="inlineStr">
        <is>
          <t>c/ Las Cruzadas 3A, local D</t>
        </is>
      </c>
      <c r="D99" s="1" t="inlineStr">
        <is>
          <t>Sevilla 41004</t>
        </is>
      </c>
      <c r="E99" s="1" t="inlineStr">
        <is>
          <t>CIF B91938662</t>
        </is>
      </c>
      <c r="F99" s="1" t="inlineStr">
        <is>
          <t>aBalados@abalados.es</t>
        </is>
      </c>
      <c r="G99" s="1" t="inlineStr">
        <is>
          <t>Asociación Molinos de Guadaíra</t>
        </is>
      </c>
      <c r="H99" s="1">
        <f>VLOOKUP($G99,DATOS!$B:$E,2,FALSE)</f>
        <v/>
      </c>
      <c r="I99" s="1">
        <f>VLOOKUP($G99,DATOS!$B:$E,3,FALSE)</f>
        <v/>
      </c>
      <c r="J99" s="4">
        <f>VLOOKUP($G99,DATOS!$B:$E,4,FALSE)</f>
        <v/>
      </c>
      <c r="K99" s="527" t="inlineStr">
        <is>
          <t>Servicios Contabilidad 1T2025</t>
        </is>
      </c>
      <c r="L99" s="528">
        <f>3* 200*1.024</f>
        <v/>
      </c>
      <c r="M99" s="527" t="n"/>
      <c r="N99" s="528" t="n"/>
      <c r="O99" s="527" t="n"/>
      <c r="P99" s="528" t="n"/>
      <c r="Q99" s="527" t="n"/>
      <c r="R99" s="528" t="n"/>
      <c r="S99" s="527" t="n"/>
      <c r="T99" s="528" t="n"/>
      <c r="U99" s="527" t="n"/>
      <c r="V99" s="528" t="n"/>
      <c r="W99" s="527" t="n"/>
      <c r="X99" s="528" t="n"/>
      <c r="Y99" s="527" t="n"/>
      <c r="Z99" s="528" t="n"/>
      <c r="AA99" s="528" t="n"/>
      <c r="AB99" s="6" t="inlineStr">
        <is>
          <t>ES85 2080 3509 1130 4009 6171</t>
        </is>
      </c>
      <c r="AC99" s="1" t="inlineStr">
        <is>
          <t>pagado</t>
        </is>
      </c>
      <c r="AD99" s="5">
        <f>L99+N99+P99+R99+T99+V99+X99+Z99</f>
        <v/>
      </c>
      <c r="AE99" s="5">
        <f>IF((LEFT(K99,6))="Contab",L99,0)</f>
        <v/>
      </c>
      <c r="AF99" s="6">
        <f>VLOOKUP(G99,CLIENTES!B:E,4,FALSE)</f>
        <v/>
      </c>
      <c r="AG99" s="5">
        <f>AF99*AE99</f>
        <v/>
      </c>
      <c r="AH99" s="5">
        <f>AD99*1.21</f>
        <v/>
      </c>
      <c r="AI99" s="261">
        <f>IF(AE99&lt;&gt;0,AG99/AD99,"N/A")</f>
        <v/>
      </c>
      <c r="AJ99" s="5">
        <f>IF(AC99="pendiente",AD99,0)</f>
        <v/>
      </c>
      <c r="AK99" s="1">
        <f>VLOOKUP(G99,CLIENTES!B:D,3,FALSE)</f>
        <v/>
      </c>
      <c r="AL99" s="527" t="inlineStr">
        <is>
          <t>Asset</t>
        </is>
      </c>
      <c r="AM99" s="527" t="inlineStr">
        <is>
          <t>Administración</t>
        </is>
      </c>
    </row>
    <row r="100" ht="15" customFormat="1" customHeight="1" s="522">
      <c r="A100" s="522">
        <f>A99+1</f>
        <v/>
      </c>
      <c r="B100" s="521" t="n">
        <v>45743</v>
      </c>
      <c r="C100" s="522" t="inlineStr">
        <is>
          <t>c/ Las Cruzadas 3A, local D</t>
        </is>
      </c>
      <c r="D100" s="522" t="inlineStr">
        <is>
          <t>Sevilla 41004</t>
        </is>
      </c>
      <c r="E100" s="522" t="inlineStr">
        <is>
          <t>CIF B91938662</t>
        </is>
      </c>
      <c r="F100" s="522" t="inlineStr">
        <is>
          <t>aBalados@abalados.es</t>
        </is>
      </c>
      <c r="G100" s="522" t="inlineStr">
        <is>
          <t>Saja Renovables, S.L.</t>
        </is>
      </c>
      <c r="H100" s="522">
        <f>VLOOKUP($G100,DATOS!$B:$E,2,FALSE)</f>
        <v/>
      </c>
      <c r="I100" s="522">
        <f>VLOOKUP($G100,DATOS!$B:$E,3,FALSE)</f>
        <v/>
      </c>
      <c r="J100" s="523">
        <f>VLOOKUP($G100,DATOS!$B:$E,4,FALSE)</f>
        <v/>
      </c>
      <c r="K100" s="1" t="inlineStr">
        <is>
          <t>Honorarios - Contrato Operación &amp; Mantenimiento</t>
        </is>
      </c>
      <c r="L100" s="5" t="n"/>
      <c r="M100" s="1" t="inlineStr">
        <is>
          <t>Fee Trimestral - 01 Enero/31 Marzo 2025</t>
        </is>
      </c>
      <c r="N100" s="5">
        <f>3*(46575/12)</f>
        <v/>
      </c>
      <c r="O100" s="1" t="n"/>
      <c r="P100" s="5" t="n"/>
      <c r="Q100" s="1" t="inlineStr">
        <is>
          <t xml:space="preserve">   · PSFV Atarfe I</t>
        </is>
      </c>
      <c r="R100" s="5" t="n"/>
      <c r="S100" s="1" t="inlineStr">
        <is>
          <t xml:space="preserve">   · PSFV Atarfe V</t>
        </is>
      </c>
      <c r="T100" s="5" t="n"/>
      <c r="U100" s="1" t="inlineStr">
        <is>
          <t xml:space="preserve">   · PSFV Moclin I</t>
        </is>
      </c>
      <c r="V100" s="5" t="n"/>
      <c r="W100" s="1" t="n"/>
      <c r="X100" s="5" t="n"/>
      <c r="Y100" s="1" t="n"/>
      <c r="Z100" s="5" t="n"/>
      <c r="AA100" s="5" t="n"/>
      <c r="AB100" s="525" t="inlineStr">
        <is>
          <t>ES85 2080 3509 1130 4009 6171</t>
        </is>
      </c>
      <c r="AC100" s="522" t="inlineStr">
        <is>
          <t>pagado</t>
        </is>
      </c>
      <c r="AD100" s="524">
        <f>L100+N100+P100+R100+T100+V100+X100+Z100</f>
        <v/>
      </c>
      <c r="AE100" s="524">
        <f>IF((LEFT(K100,6))="Contab",L100,0)</f>
        <v/>
      </c>
      <c r="AF100" s="525">
        <f>VLOOKUP(G100,CLIENTES!B:E,4,FALSE)</f>
        <v/>
      </c>
      <c r="AG100" s="524">
        <f>AF100*AE100</f>
        <v/>
      </c>
      <c r="AH100" s="524">
        <f>AD100*1.21</f>
        <v/>
      </c>
      <c r="AI100" s="526">
        <f>IF(AE100&lt;&gt;0,AG100/AD100,"N/A")</f>
        <v/>
      </c>
      <c r="AJ100" s="524">
        <f>IF(AC100="pendiente",AD100,0)</f>
        <v/>
      </c>
      <c r="AK100" s="522">
        <f>VLOOKUP(G100,CLIENTES!B:D,3,FALSE)</f>
        <v/>
      </c>
      <c r="AL100" s="1" t="inlineStr">
        <is>
          <t>OM_Otros</t>
        </is>
      </c>
      <c r="AM100" s="1" t="inlineStr">
        <is>
          <t>Explotación</t>
        </is>
      </c>
    </row>
    <row r="101" ht="15" customHeight="1" s="700">
      <c r="A101" s="1">
        <f>A100+1</f>
        <v/>
      </c>
      <c r="B101" s="26" t="n">
        <v>45743</v>
      </c>
      <c r="C101" s="1" t="inlineStr">
        <is>
          <t>c/ Las Cruzadas 3A, local D</t>
        </is>
      </c>
      <c r="D101" s="1" t="inlineStr">
        <is>
          <t>Sevilla 41004</t>
        </is>
      </c>
      <c r="E101" s="1" t="inlineStr">
        <is>
          <t>CIF B91938662</t>
        </is>
      </c>
      <c r="F101" s="1" t="inlineStr">
        <is>
          <t>aBalados@abalados.es</t>
        </is>
      </c>
      <c r="G101" s="1" t="inlineStr">
        <is>
          <t>C2C Inver Park, S.L.</t>
        </is>
      </c>
      <c r="H101" s="1">
        <f>VLOOKUP($G101,DATOS!$B:$E,2,FALSE)</f>
        <v/>
      </c>
      <c r="I101" s="1">
        <f>VLOOKUP($G101,DATOS!$B:$E,3,FALSE)</f>
        <v/>
      </c>
      <c r="J101" s="4">
        <f>VLOOKUP($G101,DATOS!$B:$E,4,FALSE)</f>
        <v/>
      </c>
      <c r="K101" s="1" t="inlineStr">
        <is>
          <t>Honorarios - Contrato Operación &amp; Mantenimiento</t>
        </is>
      </c>
      <c r="M101" s="1" t="inlineStr">
        <is>
          <t>Fee Trimestral - 01 Enero/31 Marzo 2025</t>
        </is>
      </c>
      <c r="N101" s="5">
        <f>3*(25470/12)</f>
        <v/>
      </c>
      <c r="Q101" s="1" t="inlineStr">
        <is>
          <t xml:space="preserve">   · PSFV C2C Inver Park</t>
        </is>
      </c>
      <c r="AB101" s="6" t="inlineStr">
        <is>
          <t>ES85 2080 3509 1130 4009 6171</t>
        </is>
      </c>
      <c r="AC101" s="1" t="inlineStr">
        <is>
          <t>pagado</t>
        </is>
      </c>
      <c r="AD101" s="5">
        <f>L101+N101+P101+R101+T101+V101+X101+Z101</f>
        <v/>
      </c>
      <c r="AE101" s="5">
        <f>IF((LEFT(K101,6))="Contab",L101,0)</f>
        <v/>
      </c>
      <c r="AF101" s="6">
        <f>VLOOKUP(G101,CLIENTES!B:E,4,FALSE)</f>
        <v/>
      </c>
      <c r="AG101" s="5">
        <f>AF101*AE101</f>
        <v/>
      </c>
      <c r="AH101" s="5">
        <f>AD101*1.21</f>
        <v/>
      </c>
      <c r="AI101" s="261">
        <f>IF(AE101&lt;&gt;0,AG101/AD101,"N/A")</f>
        <v/>
      </c>
      <c r="AJ101" s="5">
        <f>IF(AC101="pendiente",AD101,0)</f>
        <v/>
      </c>
      <c r="AK101" s="1">
        <f>VLOOKUP(G101,CLIENTES!B:D,3,FALSE)</f>
        <v/>
      </c>
      <c r="AL101" s="1" t="inlineStr">
        <is>
          <t>OM_Otros</t>
        </is>
      </c>
      <c r="AM101" s="1" t="inlineStr">
        <is>
          <t>Explotación</t>
        </is>
      </c>
    </row>
    <row r="102" ht="15" customFormat="1" customHeight="1" s="527" thickBot="1">
      <c r="A102" s="527">
        <f>A101+1</f>
        <v/>
      </c>
      <c r="B102" s="529" t="n">
        <v>45743</v>
      </c>
      <c r="C102" s="527" t="inlineStr">
        <is>
          <t>c/ Las Cruzadas 3A, local D</t>
        </is>
      </c>
      <c r="D102" s="527" t="inlineStr">
        <is>
          <t>Sevilla 41004</t>
        </is>
      </c>
      <c r="E102" s="527" t="inlineStr">
        <is>
          <t>CIF B91938662</t>
        </is>
      </c>
      <c r="F102" s="527" t="inlineStr">
        <is>
          <t>aBalados@abalados.es</t>
        </is>
      </c>
      <c r="G102" s="527" t="inlineStr">
        <is>
          <t>Desarrollos Fotovoltaicos Mas del Bou, S.L.</t>
        </is>
      </c>
      <c r="H102" s="527">
        <f>VLOOKUP($G102,DATOS!$B:$E,2,FALSE)</f>
        <v/>
      </c>
      <c r="I102" s="527">
        <f>VLOOKUP($G102,DATOS!$B:$E,3,FALSE)</f>
        <v/>
      </c>
      <c r="J102" s="530">
        <f>VLOOKUP($G102,DATOS!$B:$E,4,FALSE)</f>
        <v/>
      </c>
      <c r="K102" s="1" t="inlineStr">
        <is>
          <t>Honorarios - Contrato Operación &amp; Mantenimiento</t>
        </is>
      </c>
      <c r="L102" s="5" t="n"/>
      <c r="M102" s="1" t="inlineStr">
        <is>
          <t>Fee Trimestral - 01 Enero/31 Marzo 2025</t>
        </is>
      </c>
      <c r="N102" s="5">
        <f>3*(5186/12)</f>
        <v/>
      </c>
      <c r="O102" s="1" t="n"/>
      <c r="P102" s="5" t="n"/>
      <c r="Q102" s="1" t="inlineStr">
        <is>
          <t xml:space="preserve">   · PSFV Cubierta Mas del Bou</t>
        </is>
      </c>
      <c r="R102" s="5" t="n"/>
      <c r="S102" s="1" t="n"/>
      <c r="T102" s="5" t="n"/>
      <c r="U102" s="1" t="n"/>
      <c r="V102" s="5" t="n"/>
      <c r="W102" s="1" t="n"/>
      <c r="X102" s="5" t="n"/>
      <c r="Y102" s="1" t="n"/>
      <c r="Z102" s="5" t="n"/>
      <c r="AA102" s="5" t="n"/>
      <c r="AB102" s="531" t="inlineStr">
        <is>
          <t>ES85 2080 3509 1130 4009 6171</t>
        </is>
      </c>
      <c r="AC102" s="527" t="inlineStr">
        <is>
          <t>pagado</t>
        </is>
      </c>
      <c r="AD102" s="528">
        <f>L102+N102+P102+R102+T102+V102+X102+Z102</f>
        <v/>
      </c>
      <c r="AE102" s="528">
        <f>IF((LEFT(K102,6))="Contab",L102,0)</f>
        <v/>
      </c>
      <c r="AF102" s="531">
        <f>VLOOKUP(G102,CLIENTES!B:E,4,FALSE)</f>
        <v/>
      </c>
      <c r="AG102" s="528">
        <f>AF102*AE102</f>
        <v/>
      </c>
      <c r="AH102" s="528">
        <f>AD102*1.21</f>
        <v/>
      </c>
      <c r="AI102" s="532">
        <f>IF(AE102&lt;&gt;0,AG102/AD102,"N/A")</f>
        <v/>
      </c>
      <c r="AJ102" s="528">
        <f>IF(AC102="pendiente",AD102,0)</f>
        <v/>
      </c>
      <c r="AK102" s="527">
        <f>VLOOKUP(G102,CLIENTES!B:D,3,FALSE)</f>
        <v/>
      </c>
      <c r="AL102" s="1" t="inlineStr">
        <is>
          <t>OM_Otros</t>
        </is>
      </c>
      <c r="AM102" s="1" t="inlineStr">
        <is>
          <t>Explotación</t>
        </is>
      </c>
    </row>
    <row r="103" ht="15" customHeight="1" s="700">
      <c r="A103" s="1">
        <f>A102+1</f>
        <v/>
      </c>
      <c r="B103" s="26" t="n">
        <v>45743</v>
      </c>
      <c r="C103" s="1" t="inlineStr">
        <is>
          <t>c/ Las Cruzadas 3A, local D</t>
        </is>
      </c>
      <c r="D103" s="1" t="inlineStr">
        <is>
          <t>Sevilla 41004</t>
        </is>
      </c>
      <c r="E103" s="1" t="inlineStr">
        <is>
          <t>CIF B91938662</t>
        </is>
      </c>
      <c r="F103" s="1" t="inlineStr">
        <is>
          <t>aBalados@abalados.es</t>
        </is>
      </c>
      <c r="G103" s="1" t="inlineStr">
        <is>
          <t>Cuádruple Belinchón, S.L.</t>
        </is>
      </c>
      <c r="H103" s="1">
        <f>VLOOKUP($G103,DATOS!$B:$E,2,FALSE)</f>
        <v/>
      </c>
      <c r="I103" s="1">
        <f>VLOOKUP($G103,DATOS!$B:$E,3,FALSE)</f>
        <v/>
      </c>
      <c r="J103" s="4">
        <f>VLOOKUP($G103,DATOS!$B:$E,4,FALSE)</f>
        <v/>
      </c>
      <c r="K103" s="522" t="inlineStr">
        <is>
          <t>Servicios extraordinarios - Asset Management (LAAT 132kV)</t>
        </is>
      </c>
      <c r="L103" s="524" t="n"/>
      <c r="M103" s="522" t="n"/>
      <c r="N103" s="524" t="n"/>
      <c r="O103" s="522" t="inlineStr">
        <is>
          <t>Servicios Jurídicos</t>
        </is>
      </c>
      <c r="P103" s="524" t="n"/>
      <c r="Q103" s="522" t="inlineStr">
        <is>
          <t>Asistencia con el cierre del contrato de O&amp;M</t>
        </is>
      </c>
      <c r="R103" s="524" t="n">
        <v>650</v>
      </c>
      <c r="S103" s="522" t="inlineStr">
        <is>
          <t>Versión definitiva Contrato O&amp;M según oferta 18 de abril de 2023</t>
        </is>
      </c>
      <c r="T103" s="524" t="n"/>
      <c r="U103" s="522" t="n"/>
      <c r="V103" s="524" t="n"/>
      <c r="W103" s="522" t="n"/>
      <c r="X103" s="524" t="n"/>
      <c r="Y103" s="522" t="n"/>
      <c r="Z103" s="524" t="n"/>
      <c r="AA103" s="524" t="n"/>
      <c r="AB103" s="6" t="inlineStr">
        <is>
          <t>ES85 2080 3509 1130 4009 6171</t>
        </is>
      </c>
      <c r="AC103" s="1" t="inlineStr">
        <is>
          <t>pagado</t>
        </is>
      </c>
      <c r="AD103" s="5">
        <f>L103+N103+P103+R103+T103+V103+X103+Z103</f>
        <v/>
      </c>
      <c r="AE103" s="5">
        <f>IF((LEFT(K103,6))="Contab",L103,0)</f>
        <v/>
      </c>
      <c r="AF103" s="6">
        <f>VLOOKUP(G103,CLIENTES!B:E,4,FALSE)</f>
        <v/>
      </c>
      <c r="AG103" s="5">
        <f>AF103*AE103</f>
        <v/>
      </c>
      <c r="AH103" s="5">
        <f>AD103*1.21</f>
        <v/>
      </c>
      <c r="AI103" s="261">
        <f>IF(AE103&lt;&gt;0,AG103/AD103,"N/A")</f>
        <v/>
      </c>
      <c r="AJ103" s="5">
        <f>IF(AC103="pendiente",AD103,0)</f>
        <v/>
      </c>
      <c r="AK103" s="1">
        <f>VLOOKUP(G103,CLIENTES!B:D,3,FALSE)</f>
        <v/>
      </c>
      <c r="AL103" s="522" t="inlineStr">
        <is>
          <t>nudos</t>
        </is>
      </c>
      <c r="AM103" s="522" t="inlineStr">
        <is>
          <t>Extraordinario</t>
        </is>
      </c>
    </row>
    <row r="104" ht="15" customHeight="1" s="700">
      <c r="A104" s="1">
        <f>A103+1</f>
        <v/>
      </c>
      <c r="B104" s="26" t="n">
        <v>45743</v>
      </c>
      <c r="C104" s="1" t="inlineStr">
        <is>
          <t>c/ Las Cruzadas 3A, local D</t>
        </is>
      </c>
      <c r="D104" s="1" t="inlineStr">
        <is>
          <t>Sevilla 41004</t>
        </is>
      </c>
      <c r="E104" s="1" t="inlineStr">
        <is>
          <t>CIF B91938662</t>
        </is>
      </c>
      <c r="F104" s="1" t="inlineStr">
        <is>
          <t>aBalados@abalados.es</t>
        </is>
      </c>
      <c r="G104" s="1" t="inlineStr">
        <is>
          <t>Monte Reina Renovables, S.L.</t>
        </is>
      </c>
      <c r="H104" s="1">
        <f>VLOOKUP($G104,DATOS!$B:$E,2,FALSE)</f>
        <v/>
      </c>
      <c r="I104" s="1">
        <f>VLOOKUP($G104,DATOS!$B:$E,3,FALSE)</f>
        <v/>
      </c>
      <c r="J104" s="4">
        <f>VLOOKUP($G104,DATOS!$B:$E,4,FALSE)</f>
        <v/>
      </c>
      <c r="K104" s="1" t="inlineStr">
        <is>
          <t>Servicios extraordinarios - Asset Management (subestación Valdecarretas)</t>
        </is>
      </c>
      <c r="O104" s="1" t="inlineStr">
        <is>
          <t>Servicios Jurídicos</t>
        </is>
      </c>
      <c r="Q104" s="1" t="inlineStr">
        <is>
          <t>Asistencia con la obtención de permisos</t>
        </is>
      </c>
      <c r="R104" s="5">
        <f>0.5*3510</f>
        <v/>
      </c>
      <c r="S104" s="1" t="inlineStr">
        <is>
          <t>Gestión y Coordinación para Permitting, según oferta 14 de octubre de 2024</t>
        </is>
      </c>
      <c r="AB104" s="6" t="inlineStr">
        <is>
          <t>ES85 2080 3509 1130 4009 6171</t>
        </is>
      </c>
      <c r="AC104" s="1" t="inlineStr">
        <is>
          <t>pagado</t>
        </is>
      </c>
      <c r="AD104" s="5">
        <f>L104+N104+P104+R104+T104+V104+X104+Z104</f>
        <v/>
      </c>
      <c r="AE104" s="5">
        <f>IF((LEFT(K104,6))="Contab",L104,0)</f>
        <v/>
      </c>
      <c r="AF104" s="6">
        <f>VLOOKUP(G104,CLIENTES!B:E,4,FALSE)</f>
        <v/>
      </c>
      <c r="AG104" s="5">
        <f>AF104*AE104</f>
        <v/>
      </c>
      <c r="AH104" s="5">
        <f>AD104*1.21</f>
        <v/>
      </c>
      <c r="AI104" s="261">
        <f>IF(AE104&lt;&gt;0,AG104/AD104,"N/A")</f>
        <v/>
      </c>
      <c r="AJ104" s="5">
        <f>IF(AC104="pendiente",AD104,0)</f>
        <v/>
      </c>
      <c r="AK104" s="1">
        <f>VLOOKUP(G104,CLIENTES!B:D,3,FALSE)</f>
        <v/>
      </c>
      <c r="AL104" s="1" t="inlineStr">
        <is>
          <t>nudos</t>
        </is>
      </c>
      <c r="AM104" s="1" t="inlineStr">
        <is>
          <t>Extraordinario</t>
        </is>
      </c>
    </row>
    <row r="105" ht="15" customHeight="1" s="700" thickBot="1">
      <c r="A105" s="1">
        <f>A104+1</f>
        <v/>
      </c>
      <c r="B105" s="26" t="n">
        <v>45743</v>
      </c>
      <c r="C105" s="1" t="inlineStr">
        <is>
          <t>c/ Las Cruzadas 3A, local D</t>
        </is>
      </c>
      <c r="D105" s="1" t="inlineStr">
        <is>
          <t>Sevilla 41004</t>
        </is>
      </c>
      <c r="E105" s="1" t="inlineStr">
        <is>
          <t>CIF B91938662</t>
        </is>
      </c>
      <c r="F105" s="1" t="inlineStr">
        <is>
          <t>aBalados@abalados.es</t>
        </is>
      </c>
      <c r="G105" s="1" t="inlineStr">
        <is>
          <t>Inversión Cubiertas Solares S.L.U.</t>
        </is>
      </c>
      <c r="H105" s="1">
        <f>VLOOKUP($G105,DATOS!$B:$E,2,FALSE)</f>
        <v/>
      </c>
      <c r="I105" s="1">
        <f>VLOOKUP($G105,DATOS!$B:$E,3,FALSE)</f>
        <v/>
      </c>
      <c r="J105" s="4">
        <f>VLOOKUP($G105,DATOS!$B:$E,4,FALSE)</f>
        <v/>
      </c>
      <c r="K105" s="1" t="inlineStr">
        <is>
          <t>Servicios extraordinarios - Operación &amp; Mantenimiento</t>
        </is>
      </c>
      <c r="M105" s="1" t="inlineStr">
        <is>
          <t>Mantenimiento Correctivo extraordinario - Siniestro DANA</t>
        </is>
      </c>
      <c r="Q105" s="1" t="inlineStr">
        <is>
          <t>Revamping - Ingeniería, suministro e instalación de nuevo Inversor Huawei</t>
        </is>
      </c>
      <c r="R105" s="5" t="n">
        <v>4426.68</v>
      </c>
      <c r="S105" s="1" t="inlineStr">
        <is>
          <t>Subsanación error de lectura en contadores. Suministro y sustitución de equipos de medida.</t>
        </is>
      </c>
      <c r="T105" s="5" t="n">
        <v>699.78</v>
      </c>
      <c r="AB105" s="6" t="inlineStr">
        <is>
          <t>ES85 2080 3509 1130 4009 6171</t>
        </is>
      </c>
      <c r="AC105" s="1" t="inlineStr">
        <is>
          <t>pagado</t>
        </is>
      </c>
      <c r="AD105" s="5">
        <f>L105+N105+P105+R105+T105+V105+X105+Z105</f>
        <v/>
      </c>
      <c r="AE105" s="5">
        <f>IF((LEFT(K105,6))="Contab",L105,0)</f>
        <v/>
      </c>
      <c r="AF105" s="6">
        <f>VLOOKUP(G105,CLIENTES!B:E,4,FALSE)</f>
        <v/>
      </c>
      <c r="AG105" s="5">
        <f>AF105*AE105</f>
        <v/>
      </c>
      <c r="AH105" s="5">
        <f>AD105*1.21</f>
        <v/>
      </c>
      <c r="AI105" s="261">
        <f>IF(AE105&lt;&gt;0,AG105/AD105,"N/A")</f>
        <v/>
      </c>
      <c r="AJ105" s="5">
        <f>IF(AC105="pendiente",AD105,0)</f>
        <v/>
      </c>
      <c r="AK105" s="1">
        <f>VLOOKUP(G105,CLIENTES!B:D,3,FALSE)</f>
        <v/>
      </c>
      <c r="AL105" s="1" t="inlineStr">
        <is>
          <t>WOC_OM</t>
        </is>
      </c>
      <c r="AM105" s="1" t="inlineStr">
        <is>
          <t>Extraordinario</t>
        </is>
      </c>
    </row>
    <row r="106" ht="15" customFormat="1" customHeight="1" s="522">
      <c r="A106" s="522">
        <f>A105+1</f>
        <v/>
      </c>
      <c r="B106" s="521" t="n">
        <v>45743</v>
      </c>
      <c r="C106" s="522" t="inlineStr">
        <is>
          <t>c/ Las Cruzadas 3A, local D</t>
        </is>
      </c>
      <c r="D106" s="522" t="inlineStr">
        <is>
          <t>Sevilla 41004</t>
        </is>
      </c>
      <c r="E106" s="522" t="inlineStr">
        <is>
          <t>CIF B91938662</t>
        </is>
      </c>
      <c r="F106" s="522" t="inlineStr">
        <is>
          <t>aBalados@abalados.es</t>
        </is>
      </c>
      <c r="G106" s="522" t="inlineStr">
        <is>
          <t>Evacuación Carmona 400-220 kV Renovables, S.L.</t>
        </is>
      </c>
      <c r="H106" s="522">
        <f>VLOOKUP($G106,DATOS!$B:$E,2,FALSE)</f>
        <v/>
      </c>
      <c r="I106" s="522">
        <f>VLOOKUP($G106,DATOS!$B:$E,3,FALSE)</f>
        <v/>
      </c>
      <c r="J106" s="522">
        <f>VLOOKUP($G106,DATOS!$B:$E,4,FALSE)</f>
        <v/>
      </c>
      <c r="K106" s="522" t="inlineStr">
        <is>
          <t>Refacturación gastos y/o servicios prestados a nombre de la sociedad</t>
        </is>
      </c>
      <c r="L106" s="524" t="n"/>
      <c r="M106" s="522" t="inlineStr">
        <is>
          <t>Jofran Mensajeros, S.L - Envio de documentación</t>
        </is>
      </c>
      <c r="N106" s="524" t="n">
        <v>117.64</v>
      </c>
      <c r="P106" s="524" t="n"/>
      <c r="Q106" s="522" t="inlineStr">
        <is>
          <t>REGISTRO MERCANTIL DE SEVILLA Nº 9395</t>
        </is>
      </c>
      <c r="R106" s="524" t="n">
        <v>27.95</v>
      </c>
      <c r="S106" s="522" t="inlineStr">
        <is>
          <t>REGISTRO MERCANTIL DE SEVILLA Nº 9393</t>
        </is>
      </c>
      <c r="T106" s="524" t="n">
        <v>33.96</v>
      </c>
      <c r="V106" s="524" t="n"/>
      <c r="X106" s="524" t="n"/>
      <c r="Z106" s="524" t="n"/>
      <c r="AA106" s="524" t="n"/>
      <c r="AB106" s="525" t="inlineStr">
        <is>
          <t>ES85 2080 3509 1130 4009 6171</t>
        </is>
      </c>
      <c r="AC106" s="522" t="inlineStr">
        <is>
          <t>pagado</t>
        </is>
      </c>
      <c r="AD106" s="524">
        <f>L106+N106+P106+R106+T106+V106+X106+Z106</f>
        <v/>
      </c>
      <c r="AE106" s="524">
        <f>IF((LEFT(K106,6))="Contab",L106,0)</f>
        <v/>
      </c>
      <c r="AF106" s="525">
        <f>VLOOKUP(G106,CLIENTES!B:E,4,FALSE)</f>
        <v/>
      </c>
      <c r="AG106" s="524">
        <f>AF106*AE106</f>
        <v/>
      </c>
      <c r="AH106" s="524">
        <f>AD106*1.21</f>
        <v/>
      </c>
      <c r="AI106" s="526">
        <f>IF(AE106&lt;&gt;0,AG106/AD106,"N/A")</f>
        <v/>
      </c>
      <c r="AJ106" s="524">
        <f>IF(AC106="pendiente",AD106,0)</f>
        <v/>
      </c>
      <c r="AK106" s="522">
        <f>VLOOKUP(G106,CLIENTES!B:D,3,FALSE)</f>
        <v/>
      </c>
      <c r="AL106" s="522" t="inlineStr">
        <is>
          <t>nudos</t>
        </is>
      </c>
      <c r="AM106" s="522" t="inlineStr">
        <is>
          <t>Refacturación</t>
        </is>
      </c>
    </row>
    <row r="107" ht="15" customHeight="1" s="700">
      <c r="A107" s="1">
        <f>A106+1</f>
        <v/>
      </c>
      <c r="B107" s="26" t="n">
        <v>45743</v>
      </c>
      <c r="C107" s="1" t="inlineStr">
        <is>
          <t>c/ Las Cruzadas 3A, local D</t>
        </is>
      </c>
      <c r="D107" s="1" t="inlineStr">
        <is>
          <t>Sevilla 41004</t>
        </is>
      </c>
      <c r="E107" s="1" t="inlineStr">
        <is>
          <t>CIF B91938662</t>
        </is>
      </c>
      <c r="F107" s="1" t="inlineStr">
        <is>
          <t>aBalados@abalados.es</t>
        </is>
      </c>
      <c r="G107" s="1" t="inlineStr">
        <is>
          <t>Tordesillas Renovables, S.L.</t>
        </is>
      </c>
      <c r="H107" s="1">
        <f>VLOOKUP($G107,DATOS!$B:$E,2,FALSE)</f>
        <v/>
      </c>
      <c r="I107" s="1">
        <f>VLOOKUP($G107,DATOS!$B:$E,3,FALSE)</f>
        <v/>
      </c>
      <c r="J107" s="1">
        <f>VLOOKUP($G107,DATOS!$B:$E,4,FALSE)</f>
        <v/>
      </c>
      <c r="K107" s="1" t="inlineStr">
        <is>
          <t>Refacturación gastos y/o servicios prestados a nombre de la sociedad</t>
        </is>
      </c>
      <c r="M107" s="1" t="inlineStr">
        <is>
          <t>Jofran Mensajeros, S.L - Envio de documentación</t>
        </is>
      </c>
      <c r="N107" s="5" t="n">
        <v>22.48</v>
      </c>
      <c r="O107" s="1" t="inlineStr">
        <is>
          <t>OFICINA VIRTUAL DE CORREOS nº  F240454627</t>
        </is>
      </c>
      <c r="P107" s="5" t="n">
        <v>26.27</v>
      </c>
      <c r="AB107" s="6" t="inlineStr">
        <is>
          <t>ES85 2080 3509 1130 4009 6171</t>
        </is>
      </c>
      <c r="AC107" s="1" t="inlineStr">
        <is>
          <t>pagado</t>
        </is>
      </c>
      <c r="AD107" s="5">
        <f>L107+N107+P107+R107+T107+V107+X107+Z107</f>
        <v/>
      </c>
      <c r="AE107" s="5">
        <f>IF((LEFT(K107,6))="Contab",L107,0)</f>
        <v/>
      </c>
      <c r="AF107" s="6">
        <f>VLOOKUP(G107,CLIENTES!B:E,4,FALSE)</f>
        <v/>
      </c>
      <c r="AG107" s="5">
        <f>AF107*AE107</f>
        <v/>
      </c>
      <c r="AH107" s="5">
        <f>AD107*1.21</f>
        <v/>
      </c>
      <c r="AI107" s="261">
        <f>IF(AE107&lt;&gt;0,AG107/AD107,"N/A")</f>
        <v/>
      </c>
      <c r="AJ107" s="5">
        <f>IF(AC107="pendiente",AD107,0)</f>
        <v/>
      </c>
      <c r="AK107" s="1">
        <f>VLOOKUP(G107,CLIENTES!B:D,3,FALSE)</f>
        <v/>
      </c>
      <c r="AL107" s="1" t="inlineStr">
        <is>
          <t>nudos</t>
        </is>
      </c>
      <c r="AM107" s="1" t="inlineStr">
        <is>
          <t>Refacturación</t>
        </is>
      </c>
    </row>
    <row r="108" ht="15" customHeight="1" s="700">
      <c r="A108" s="1">
        <f>A107+1</f>
        <v/>
      </c>
      <c r="B108" s="26" t="n">
        <v>45743</v>
      </c>
      <c r="C108" s="1" t="inlineStr">
        <is>
          <t>c/ Las Cruzadas 3A, local D</t>
        </is>
      </c>
      <c r="D108" s="1" t="inlineStr">
        <is>
          <t>Sevilla 41004</t>
        </is>
      </c>
      <c r="E108" s="1" t="inlineStr">
        <is>
          <t>CIF B91938662</t>
        </is>
      </c>
      <c r="F108" s="1" t="inlineStr">
        <is>
          <t>aBalados@abalados.es</t>
        </is>
      </c>
      <c r="G108" s="1" t="inlineStr">
        <is>
          <t>Gazules Renovables, S.L.</t>
        </is>
      </c>
      <c r="H108" s="1">
        <f>VLOOKUP($G108,DATOS!$B:$E,2,FALSE)</f>
        <v/>
      </c>
      <c r="I108" s="1">
        <f>VLOOKUP($G108,DATOS!$B:$E,3,FALSE)</f>
        <v/>
      </c>
      <c r="J108" s="1">
        <f>VLOOKUP($G108,DATOS!$B:$E,4,FALSE)</f>
        <v/>
      </c>
      <c r="K108" s="1" t="inlineStr">
        <is>
          <t>Refacturación gastos y/o servicios prestados a nombre de la sociedad</t>
        </is>
      </c>
      <c r="M108" s="1" t="inlineStr">
        <is>
          <t>Jofran Mensajeros, S.L - Envio de documentación</t>
        </is>
      </c>
      <c r="N108" s="5" t="n">
        <v>25</v>
      </c>
      <c r="AB108" s="6" t="inlineStr">
        <is>
          <t>ES85 2080 3509 1130 4009 6171</t>
        </is>
      </c>
      <c r="AC108" s="1" t="inlineStr">
        <is>
          <t>pagado</t>
        </is>
      </c>
      <c r="AD108" s="5">
        <f>L108+N108+P108+R108+T108+V108+X108+Z108</f>
        <v/>
      </c>
      <c r="AE108" s="5">
        <f>IF((LEFT(K108,6))="Contab",L108,0)</f>
        <v/>
      </c>
      <c r="AF108" s="6">
        <f>VLOOKUP(G108,CLIENTES!B:E,4,FALSE)</f>
        <v/>
      </c>
      <c r="AG108" s="5">
        <f>AF108*AE108</f>
        <v/>
      </c>
      <c r="AH108" s="5">
        <f>AD108*1.21</f>
        <v/>
      </c>
      <c r="AI108" s="261">
        <f>IF(AE108&lt;&gt;0,AG108/AD108,"N/A")</f>
        <v/>
      </c>
      <c r="AJ108" s="5">
        <f>IF(AC108="pendiente",AD108,0)</f>
        <v/>
      </c>
      <c r="AK108" s="1">
        <f>VLOOKUP(G108,CLIENTES!B:D,3,FALSE)</f>
        <v/>
      </c>
      <c r="AL108" s="1" t="inlineStr">
        <is>
          <t>nudos</t>
        </is>
      </c>
      <c r="AM108" s="1" t="inlineStr">
        <is>
          <t>Refacturación</t>
        </is>
      </c>
    </row>
    <row r="109" ht="15" customHeight="1" s="700">
      <c r="A109" s="1">
        <f>A108+1</f>
        <v/>
      </c>
      <c r="B109" s="26" t="n">
        <v>45743</v>
      </c>
      <c r="C109" s="1" t="inlineStr">
        <is>
          <t>c/ Las Cruzadas 3A, local D</t>
        </is>
      </c>
      <c r="D109" s="1" t="inlineStr">
        <is>
          <t>Sevilla 41004</t>
        </is>
      </c>
      <c r="E109" s="1" t="inlineStr">
        <is>
          <t>CIF B91938662</t>
        </is>
      </c>
      <c r="F109" s="1" t="inlineStr">
        <is>
          <t>aBalados@abalados.es</t>
        </is>
      </c>
      <c r="G109" s="1" t="inlineStr">
        <is>
          <t>Evacuación Tordesillas 400 kV, S.L.</t>
        </is>
      </c>
      <c r="H109" s="1">
        <f>VLOOKUP($G109,DATOS!$B:$E,2,FALSE)</f>
        <v/>
      </c>
      <c r="I109" s="1">
        <f>VLOOKUP($G109,DATOS!$B:$E,3,FALSE)</f>
        <v/>
      </c>
      <c r="J109" s="1">
        <f>VLOOKUP($G109,DATOS!$B:$E,4,FALSE)</f>
        <v/>
      </c>
      <c r="K109" s="1" t="inlineStr">
        <is>
          <t>Refacturación gastos y/o servicios prestados a nombre de la sociedad</t>
        </is>
      </c>
      <c r="M109" s="1" t="inlineStr">
        <is>
          <t>Jofran Mensajeros, S.L - Envio de documentación</t>
        </is>
      </c>
      <c r="N109" s="5" t="n">
        <v>32</v>
      </c>
      <c r="AB109" s="6" t="inlineStr">
        <is>
          <t>ES85 2080 3509 1130 4009 6171</t>
        </is>
      </c>
      <c r="AC109" s="1" t="inlineStr">
        <is>
          <t>pagado</t>
        </is>
      </c>
      <c r="AD109" s="5">
        <f>L109+N109+P109+R109+T109+V109+X109+Z109</f>
        <v/>
      </c>
      <c r="AE109" s="5">
        <f>IF((LEFT(K109,6))="Contab",L109,0)</f>
        <v/>
      </c>
      <c r="AF109" s="6">
        <f>VLOOKUP(G109,CLIENTES!B:E,4,FALSE)</f>
        <v/>
      </c>
      <c r="AG109" s="5">
        <f>AF109*AE109</f>
        <v/>
      </c>
      <c r="AH109" s="5">
        <f>AD109*1.21</f>
        <v/>
      </c>
      <c r="AI109" s="261">
        <f>IF(AE109&lt;&gt;0,AG109/AD109,"N/A")</f>
        <v/>
      </c>
      <c r="AJ109" s="5">
        <f>IF(AC109="pendiente",AD109,0)</f>
        <v/>
      </c>
      <c r="AK109" s="1">
        <f>VLOOKUP(G109,CLIENTES!B:D,3,FALSE)</f>
        <v/>
      </c>
      <c r="AL109" s="1" t="inlineStr">
        <is>
          <t>nudos</t>
        </is>
      </c>
      <c r="AM109" s="1" t="inlineStr">
        <is>
          <t>Refacturación</t>
        </is>
      </c>
    </row>
    <row r="110" ht="15" customHeight="1" s="700">
      <c r="A110" s="1">
        <f>A109+1</f>
        <v/>
      </c>
      <c r="B110" s="26" t="n">
        <v>45743</v>
      </c>
      <c r="C110" s="1" t="inlineStr">
        <is>
          <t>c/ Las Cruzadas 3A, local D</t>
        </is>
      </c>
      <c r="D110" s="1" t="inlineStr">
        <is>
          <t>Sevilla 41004</t>
        </is>
      </c>
      <c r="E110" s="1" t="inlineStr">
        <is>
          <t>CIF B91938662</t>
        </is>
      </c>
      <c r="F110" s="1" t="inlineStr">
        <is>
          <t>aBalados@abalados.es</t>
        </is>
      </c>
      <c r="G110" s="1" t="inlineStr">
        <is>
          <t>Energías Limpias de Carmona, S.L.</t>
        </is>
      </c>
      <c r="H110" s="1">
        <f>VLOOKUP($G110,DATOS!$B:$E,2,FALSE)</f>
        <v/>
      </c>
      <c r="I110" s="1">
        <f>VLOOKUP($G110,DATOS!$B:$E,3,FALSE)</f>
        <v/>
      </c>
      <c r="J110" s="1">
        <f>VLOOKUP($G110,DATOS!$B:$E,4,FALSE)</f>
        <v/>
      </c>
      <c r="K110" s="1" t="inlineStr">
        <is>
          <t>Refacturación gastos y/o servicios prestados a nombre de la sociedad</t>
        </is>
      </c>
      <c r="M110" s="1" t="inlineStr">
        <is>
          <t>Jofran Mensajeros, S.L - Envio de documentación</t>
        </is>
      </c>
      <c r="N110" s="5" t="n">
        <v>30.83</v>
      </c>
      <c r="AB110" s="6" t="inlineStr">
        <is>
          <t>ES85 2080 3509 1130 4009 6171</t>
        </is>
      </c>
      <c r="AC110" s="1" t="inlineStr">
        <is>
          <t>pagado</t>
        </is>
      </c>
      <c r="AD110" s="5">
        <f>L110+N110+P110+R110+T110+V110+X110+Z110</f>
        <v/>
      </c>
      <c r="AE110" s="5">
        <f>IF((LEFT(K110,6))="Contab",L110,0)</f>
        <v/>
      </c>
      <c r="AF110" s="6">
        <f>VLOOKUP(G110,CLIENTES!B:E,4,FALSE)</f>
        <v/>
      </c>
      <c r="AG110" s="5">
        <f>AF110*AE110</f>
        <v/>
      </c>
      <c r="AH110" s="5">
        <f>AD110*1.21</f>
        <v/>
      </c>
      <c r="AI110" s="261">
        <f>IF(AE110&lt;&gt;0,AG110/AD110,"N/A")</f>
        <v/>
      </c>
      <c r="AJ110" s="5">
        <f>IF(AC110="pendiente",AD110,0)</f>
        <v/>
      </c>
      <c r="AK110" s="1">
        <f>VLOOKUP(G110,CLIENTES!B:D,3,FALSE)</f>
        <v/>
      </c>
      <c r="AL110" s="1" t="inlineStr">
        <is>
          <t>nudos</t>
        </is>
      </c>
      <c r="AM110" s="1" t="inlineStr">
        <is>
          <t>Refacturación</t>
        </is>
      </c>
    </row>
    <row r="111" ht="15" customHeight="1" s="700">
      <c r="A111" s="1">
        <f>A110+1</f>
        <v/>
      </c>
      <c r="B111" s="26" t="n">
        <v>45743</v>
      </c>
      <c r="C111" s="1" t="inlineStr">
        <is>
          <t>c/ Las Cruzadas 3A, local D</t>
        </is>
      </c>
      <c r="D111" s="1" t="inlineStr">
        <is>
          <t>Sevilla 41004</t>
        </is>
      </c>
      <c r="E111" s="1" t="inlineStr">
        <is>
          <t>CIF B91938662</t>
        </is>
      </c>
      <c r="F111" s="1" t="inlineStr">
        <is>
          <t>aBalados@abalados.es</t>
        </is>
      </c>
      <c r="G111" s="1" t="inlineStr">
        <is>
          <t>SET Carmona 400 kV Renovables, S.L.</t>
        </is>
      </c>
      <c r="H111" s="1">
        <f>VLOOKUP($G111,DATOS!$B:$E,2,FALSE)</f>
        <v/>
      </c>
      <c r="I111" s="1">
        <f>VLOOKUP($G111,DATOS!$B:$E,3,FALSE)</f>
        <v/>
      </c>
      <c r="J111" s="1">
        <f>VLOOKUP($G111,DATOS!$B:$E,4,FALSE)</f>
        <v/>
      </c>
      <c r="K111" s="1" t="inlineStr">
        <is>
          <t>Refacturación gastos y/o servicios prestados a nombre de la sociedad</t>
        </is>
      </c>
      <c r="M111" s="1" t="inlineStr">
        <is>
          <t>Jofran Mensajeros, S.L - Envio de documentación</t>
        </is>
      </c>
      <c r="N111" s="5" t="n">
        <v>19.08</v>
      </c>
      <c r="AB111" s="6" t="inlineStr">
        <is>
          <t>ES85 2080 3509 1130 4009 6171</t>
        </is>
      </c>
      <c r="AC111" s="1" t="inlineStr">
        <is>
          <t>pagado</t>
        </is>
      </c>
      <c r="AD111" s="5">
        <f>L111+N111+P111+R111+T111+V111+X111+Z111</f>
        <v/>
      </c>
      <c r="AE111" s="5">
        <f>IF((LEFT(K111,6))="Contab",L111,0)</f>
        <v/>
      </c>
      <c r="AF111" s="6">
        <f>VLOOKUP(G111,CLIENTES!B:E,4,FALSE)</f>
        <v/>
      </c>
      <c r="AG111" s="5">
        <f>AF111*AE111</f>
        <v/>
      </c>
      <c r="AH111" s="5">
        <f>AD111*1.21</f>
        <v/>
      </c>
      <c r="AI111" s="261">
        <f>IF(AE111&lt;&gt;0,AG111/AD111,"N/A")</f>
        <v/>
      </c>
      <c r="AJ111" s="5">
        <f>IF(AC111="pendiente",AD111,0)</f>
        <v/>
      </c>
      <c r="AK111" s="1">
        <f>VLOOKUP(G111,CLIENTES!B:D,3,FALSE)</f>
        <v/>
      </c>
      <c r="AL111" s="1" t="inlineStr">
        <is>
          <t>nudos</t>
        </is>
      </c>
      <c r="AM111" s="1" t="inlineStr">
        <is>
          <t>Refacturación</t>
        </is>
      </c>
    </row>
    <row r="112" ht="15" customHeight="1" s="700">
      <c r="A112" s="1">
        <f>A111+1</f>
        <v/>
      </c>
      <c r="B112" s="26" t="n">
        <v>45743</v>
      </c>
      <c r="C112" s="1" t="inlineStr">
        <is>
          <t>c/ Las Cruzadas 3A, local D</t>
        </is>
      </c>
      <c r="D112" s="1" t="inlineStr">
        <is>
          <t>Sevilla 41004</t>
        </is>
      </c>
      <c r="E112" s="1" t="inlineStr">
        <is>
          <t>CIF B91938662</t>
        </is>
      </c>
      <c r="F112" s="1" t="inlineStr">
        <is>
          <t>aBalados@abalados.es</t>
        </is>
      </c>
      <c r="G112" s="1" t="inlineStr">
        <is>
          <t>Herrera Sotillo Renovables, A.I.E.</t>
        </is>
      </c>
      <c r="H112" s="1">
        <f>VLOOKUP($G112,DATOS!$B:$E,2,FALSE)</f>
        <v/>
      </c>
      <c r="I112" s="1">
        <f>VLOOKUP($G112,DATOS!$B:$E,3,FALSE)</f>
        <v/>
      </c>
      <c r="J112" s="1">
        <f>VLOOKUP($G112,DATOS!$B:$E,4,FALSE)</f>
        <v/>
      </c>
      <c r="K112" s="1" t="inlineStr">
        <is>
          <t>Refacturación gastos y/o servicios prestados a nombre de la sociedad</t>
        </is>
      </c>
      <c r="M112" s="1" t="inlineStr">
        <is>
          <t>REGISTRO MERCANTIL DE MADRID 2024/80730</t>
        </is>
      </c>
      <c r="N112" s="5" t="n">
        <v>48.68</v>
      </c>
      <c r="O112" s="1" t="inlineStr">
        <is>
          <t>REGISTRO MERCANTIL DE MADRID Nº 80713</t>
        </is>
      </c>
      <c r="P112" s="5" t="n">
        <v>38.01</v>
      </c>
      <c r="AB112" s="6" t="inlineStr">
        <is>
          <t>ES85 2080 3509 1130 4009 6171</t>
        </is>
      </c>
      <c r="AC112" s="1" t="inlineStr">
        <is>
          <t>pagado</t>
        </is>
      </c>
      <c r="AD112" s="5">
        <f>L112+N112+P112+R112+T112+V112+X112+Z112</f>
        <v/>
      </c>
      <c r="AE112" s="5">
        <f>IF((LEFT(K112,6))="Contab",L112,0)</f>
        <v/>
      </c>
      <c r="AF112" s="6">
        <f>VLOOKUP(G112,CLIENTES!B:E,4,FALSE)</f>
        <v/>
      </c>
      <c r="AG112" s="5">
        <f>AF112*AE112</f>
        <v/>
      </c>
      <c r="AH112" s="5">
        <f>AD112*1.21</f>
        <v/>
      </c>
      <c r="AI112" s="261">
        <f>IF(AE112&lt;&gt;0,AG112/AD112,"N/A")</f>
        <v/>
      </c>
      <c r="AJ112" s="5">
        <f>IF(AC112="pendiente",AD112,0)</f>
        <v/>
      </c>
      <c r="AK112" s="1">
        <f>VLOOKUP(G112,CLIENTES!B:D,3,FALSE)</f>
        <v/>
      </c>
      <c r="AL112" s="1" t="inlineStr">
        <is>
          <t>nudos</t>
        </is>
      </c>
      <c r="AM112" s="1" t="inlineStr">
        <is>
          <t>Refacturación</t>
        </is>
      </c>
    </row>
    <row r="113" ht="15" customHeight="1" s="700">
      <c r="A113" s="1">
        <f>A112+1</f>
        <v/>
      </c>
      <c r="B113" s="26" t="n">
        <v>45743</v>
      </c>
      <c r="C113" s="1" t="inlineStr">
        <is>
          <t>c/ Las Cruzadas 3A, local D</t>
        </is>
      </c>
      <c r="D113" s="1" t="inlineStr">
        <is>
          <t>Sevilla 41004</t>
        </is>
      </c>
      <c r="E113" s="1" t="inlineStr">
        <is>
          <t>CIF B91938662</t>
        </is>
      </c>
      <c r="F113" s="1" t="inlineStr">
        <is>
          <t>aBalados@abalados.es</t>
        </is>
      </c>
      <c r="G113" s="1" t="inlineStr">
        <is>
          <t>Renovables Brovales 400 kV, S.L.</t>
        </is>
      </c>
      <c r="H113" s="1">
        <f>VLOOKUP($G113,DATOS!$B:$E,2,FALSE)</f>
        <v/>
      </c>
      <c r="I113" s="1">
        <f>VLOOKUP($G113,DATOS!$B:$E,3,FALSE)</f>
        <v/>
      </c>
      <c r="J113" s="1">
        <f>VLOOKUP($G113,DATOS!$B:$E,4,FALSE)</f>
        <v/>
      </c>
      <c r="K113" s="1" t="inlineStr">
        <is>
          <t>Refacturación gastos y/o servicios prestados a nombre de la sociedad</t>
        </is>
      </c>
      <c r="M113" s="1" t="inlineStr">
        <is>
          <t>REGISTRO MERCANTIL DE SEVILLA Nº 2025/319</t>
        </is>
      </c>
      <c r="N113" s="5" t="n">
        <v>27.95</v>
      </c>
      <c r="O113" s="1" t="inlineStr">
        <is>
          <t>REGISTRO MERCANTIL DE SEVILLA Nº 2025/327</t>
        </is>
      </c>
      <c r="P113" s="5" t="n">
        <v>27.95</v>
      </c>
      <c r="Q113" s="1" t="inlineStr">
        <is>
          <t>REGISTRO DE LA PROPIEDAD Nº 2025/90</t>
        </is>
      </c>
      <c r="R113" s="5" t="n">
        <v>9.02</v>
      </c>
      <c r="AB113" s="6" t="inlineStr">
        <is>
          <t>ES85 2080 3509 1130 4009 6171</t>
        </is>
      </c>
      <c r="AC113" s="1" t="inlineStr">
        <is>
          <t>pagado</t>
        </is>
      </c>
      <c r="AD113" s="5">
        <f>L113+N113+P113+R113+T113+V113+X113+Z113</f>
        <v/>
      </c>
      <c r="AE113" s="5">
        <f>IF((LEFT(K113,6))="Contab",L113,0)</f>
        <v/>
      </c>
      <c r="AF113" s="6">
        <f>VLOOKUP(G113,CLIENTES!B:E,4,FALSE)</f>
        <v/>
      </c>
      <c r="AG113" s="5">
        <f>AF113*AE113</f>
        <v/>
      </c>
      <c r="AH113" s="5">
        <f>AD113*1.21</f>
        <v/>
      </c>
      <c r="AI113" s="261">
        <f>IF(AE113&lt;&gt;0,AG113/AD113,"N/A")</f>
        <v/>
      </c>
      <c r="AJ113" s="5">
        <f>IF(AC113="pendiente",AD113,0)</f>
        <v/>
      </c>
      <c r="AK113" s="1">
        <f>VLOOKUP(G113,CLIENTES!B:D,3,FALSE)</f>
        <v/>
      </c>
      <c r="AL113" s="1" t="inlineStr">
        <is>
          <t>nudos</t>
        </is>
      </c>
      <c r="AM113" s="1" t="inlineStr">
        <is>
          <t>Refacturación</t>
        </is>
      </c>
    </row>
    <row r="114" ht="15" customHeight="1" s="700">
      <c r="A114" s="1">
        <f>A113+1</f>
        <v/>
      </c>
      <c r="B114" s="26" t="n">
        <v>45743</v>
      </c>
      <c r="C114" s="1" t="inlineStr">
        <is>
          <t>c/ Las Cruzadas 3A, local D</t>
        </is>
      </c>
      <c r="D114" s="1" t="inlineStr">
        <is>
          <t>Sevilla 41004</t>
        </is>
      </c>
      <c r="E114" s="1" t="inlineStr">
        <is>
          <t>CIF B91938662</t>
        </is>
      </c>
      <c r="F114" s="1" t="inlineStr">
        <is>
          <t>aBalados@abalados.es</t>
        </is>
      </c>
      <c r="G114" s="1" t="inlineStr">
        <is>
          <t>Huerta Sevilla Renovables, S.L.</t>
        </is>
      </c>
      <c r="H114" s="1">
        <f>VLOOKUP($G114,DATOS!$B:$E,2,FALSE)</f>
        <v/>
      </c>
      <c r="I114" s="1">
        <f>VLOOKUP($G114,DATOS!$B:$E,3,FALSE)</f>
        <v/>
      </c>
      <c r="J114" s="1">
        <f>VLOOKUP($G114,DATOS!$B:$E,4,FALSE)</f>
        <v/>
      </c>
      <c r="K114" s="1" t="inlineStr">
        <is>
          <t>Refacturación gastos y/o servicios prestados a nombre de la sociedad</t>
        </is>
      </c>
      <c r="M114" s="1" t="inlineStr">
        <is>
          <t>Jofran Mensajeros, S.L - Envio de documentación</t>
        </is>
      </c>
      <c r="N114" s="5" t="n">
        <v>16.36</v>
      </c>
      <c r="O114" s="1" t="inlineStr">
        <is>
          <t>REGISTRO MERCANTIL DE MADRID Nº 2025/2433</t>
        </is>
      </c>
      <c r="P114" s="5" t="n">
        <v>41.47</v>
      </c>
      <c r="Q114" s="1" t="inlineStr">
        <is>
          <t>REGISTRO MERCANTIL DE MADRID Nº 2025/2576</t>
        </is>
      </c>
      <c r="R114" s="5" t="n">
        <v>61.9</v>
      </c>
      <c r="AB114" s="6" t="inlineStr">
        <is>
          <t>ES85 2080 3509 1130 4009 6171</t>
        </is>
      </c>
      <c r="AC114" s="1" t="inlineStr">
        <is>
          <t>pagado</t>
        </is>
      </c>
      <c r="AD114" s="5">
        <f>L114+N114+P114+R114+T114+V114+X114+Z114</f>
        <v/>
      </c>
      <c r="AE114" s="5">
        <f>IF((LEFT(K114,6))="Contab",L114,0)</f>
        <v/>
      </c>
      <c r="AF114" s="6">
        <f>VLOOKUP(G114,CLIENTES!B:E,4,FALSE)</f>
        <v/>
      </c>
      <c r="AG114" s="5">
        <f>AF114*AE114</f>
        <v/>
      </c>
      <c r="AH114" s="5">
        <f>AD114*1.21</f>
        <v/>
      </c>
      <c r="AI114" s="261">
        <f>IF(AE114&lt;&gt;0,AG114/AD114,"N/A")</f>
        <v/>
      </c>
      <c r="AJ114" s="5">
        <f>IF(AC114="pendiente",AD114,0)</f>
        <v/>
      </c>
      <c r="AK114" s="1">
        <f>VLOOKUP(G114,CLIENTES!B:D,3,FALSE)</f>
        <v/>
      </c>
      <c r="AL114" s="1" t="inlineStr">
        <is>
          <t>nudos</t>
        </is>
      </c>
      <c r="AM114" s="1" t="inlineStr">
        <is>
          <t>Refacturación</t>
        </is>
      </c>
    </row>
    <row r="115" ht="15" customHeight="1" s="700">
      <c r="A115" s="1">
        <f>A114+1</f>
        <v/>
      </c>
      <c r="B115" s="26" t="n">
        <v>45743</v>
      </c>
      <c r="C115" s="1" t="inlineStr">
        <is>
          <t>c/ Las Cruzadas 3A, local D</t>
        </is>
      </c>
      <c r="D115" s="1" t="inlineStr">
        <is>
          <t>Sevilla 41004</t>
        </is>
      </c>
      <c r="E115" s="1" t="inlineStr">
        <is>
          <t>CIF B91938662</t>
        </is>
      </c>
      <c r="F115" s="1" t="inlineStr">
        <is>
          <t>aBalados@abalados.es</t>
        </is>
      </c>
      <c r="G115" s="1" t="inlineStr">
        <is>
          <t>Cuádruple Belinchón, S.L.</t>
        </is>
      </c>
      <c r="H115" s="1">
        <f>VLOOKUP($G115,DATOS!$B:$E,2,FALSE)</f>
        <v/>
      </c>
      <c r="I115" s="1">
        <f>VLOOKUP($G115,DATOS!$B:$E,3,FALSE)</f>
        <v/>
      </c>
      <c r="J115" s="1">
        <f>VLOOKUP($G115,DATOS!$B:$E,4,FALSE)</f>
        <v/>
      </c>
      <c r="K115" s="1" t="inlineStr">
        <is>
          <t>Refacturación gastos y/o servicios prestados a nombre de la sociedad</t>
        </is>
      </c>
      <c r="M115" s="1" t="inlineStr">
        <is>
          <t>Jofran Mensajeros, S.L - Envio de documentación</t>
        </is>
      </c>
      <c r="N115" s="5" t="n">
        <v>45.89</v>
      </c>
      <c r="O115" s="1" t="inlineStr">
        <is>
          <t>REGISTRO MERCANTIL DE MADRID Nº2025/2578</t>
        </is>
      </c>
      <c r="P115" s="5" t="n">
        <v>45.08</v>
      </c>
      <c r="Q115" s="1" t="inlineStr">
        <is>
          <t>REGISTRO MERCANTIL DE MADRID Nº 2025/2577</t>
        </is>
      </c>
      <c r="R115" s="5" t="n">
        <v>58.9</v>
      </c>
      <c r="AB115" s="6" t="inlineStr">
        <is>
          <t>ES85 2080 3509 1130 4009 6171</t>
        </is>
      </c>
      <c r="AC115" s="1" t="inlineStr">
        <is>
          <t>pagado</t>
        </is>
      </c>
      <c r="AD115" s="5">
        <f>L115+N115+P115+R115+T115+V115+X115+Z115</f>
        <v/>
      </c>
      <c r="AE115" s="5">
        <f>IF((LEFT(K115,6))="Contab",L115,0)</f>
        <v/>
      </c>
      <c r="AF115" s="6">
        <f>VLOOKUP(G115,CLIENTES!B:E,4,FALSE)</f>
        <v/>
      </c>
      <c r="AG115" s="5">
        <f>AF115*AE115</f>
        <v/>
      </c>
      <c r="AH115" s="5">
        <f>AD115*1.21</f>
        <v/>
      </c>
      <c r="AI115" s="261">
        <f>IF(AE115&lt;&gt;0,AG115/AD115,"N/A")</f>
        <v/>
      </c>
      <c r="AJ115" s="5">
        <f>IF(AC115="pendiente",AD115,0)</f>
        <v/>
      </c>
      <c r="AK115" s="1">
        <f>VLOOKUP(G115,CLIENTES!B:D,3,FALSE)</f>
        <v/>
      </c>
      <c r="AL115" s="1" t="inlineStr">
        <is>
          <t>nudos</t>
        </is>
      </c>
      <c r="AM115" s="1" t="inlineStr">
        <is>
          <t>Refacturación</t>
        </is>
      </c>
    </row>
    <row r="116" ht="15" customHeight="1" s="700">
      <c r="A116" s="1">
        <f>A115+1</f>
        <v/>
      </c>
      <c r="B116" s="26" t="n">
        <v>45743</v>
      </c>
      <c r="C116" s="1" t="inlineStr">
        <is>
          <t>c/ Las Cruzadas 3A, local D</t>
        </is>
      </c>
      <c r="D116" s="1" t="inlineStr">
        <is>
          <t>Sevilla 41004</t>
        </is>
      </c>
      <c r="E116" s="1" t="inlineStr">
        <is>
          <t>CIF B91938662</t>
        </is>
      </c>
      <c r="F116" s="1" t="inlineStr">
        <is>
          <t>aBalados@abalados.es</t>
        </is>
      </c>
      <c r="G116" s="1" t="inlineStr">
        <is>
          <t>Brazatortas 220 Renovables, S.L.</t>
        </is>
      </c>
      <c r="H116" s="1">
        <f>VLOOKUP($G116,DATOS!$B:$E,2,FALSE)</f>
        <v/>
      </c>
      <c r="I116" s="1">
        <f>VLOOKUP($G116,DATOS!$B:$E,3,FALSE)</f>
        <v/>
      </c>
      <c r="J116" s="1">
        <f>VLOOKUP($G116,DATOS!$B:$E,4,FALSE)</f>
        <v/>
      </c>
      <c r="K116" s="1" t="inlineStr">
        <is>
          <t>Refacturación gastos y/o servicios prestados a nombre de la sociedad</t>
        </is>
      </c>
      <c r="M116" s="1" t="inlineStr">
        <is>
          <t>OFICINA VIRTUAL DE CORREOS Nº TI350873800</t>
        </is>
      </c>
      <c r="N116" s="5" t="n">
        <v>71.94</v>
      </c>
      <c r="AB116" s="6" t="inlineStr">
        <is>
          <t>ES85 2080 3509 1130 4009 6171</t>
        </is>
      </c>
      <c r="AC116" s="1" t="inlineStr">
        <is>
          <t>pagado</t>
        </is>
      </c>
      <c r="AD116" s="5">
        <f>L116+N116+P116+R116+T116+V116+X116+Z116</f>
        <v/>
      </c>
      <c r="AE116" s="5">
        <f>IF((LEFT(K116,6))="Contab",L116,0)</f>
        <v/>
      </c>
      <c r="AF116" s="6">
        <f>VLOOKUP(G116,CLIENTES!B:E,4,FALSE)</f>
        <v/>
      </c>
      <c r="AG116" s="5">
        <f>AF116*AE116</f>
        <v/>
      </c>
      <c r="AH116" s="5">
        <f>AD116*1.21</f>
        <v/>
      </c>
      <c r="AI116" s="261">
        <f>IF(AE116&lt;&gt;0,AG116/AD116,"N/A")</f>
        <v/>
      </c>
      <c r="AJ116" s="5">
        <f>IF(AC116="pendiente",AD116,0)</f>
        <v/>
      </c>
      <c r="AK116" s="1">
        <f>VLOOKUP(G116,CLIENTES!B:D,3,FALSE)</f>
        <v/>
      </c>
      <c r="AL116" s="1" t="inlineStr">
        <is>
          <t>nudos</t>
        </is>
      </c>
      <c r="AM116" s="1" t="inlineStr">
        <is>
          <t>Refacturación</t>
        </is>
      </c>
    </row>
    <row r="117" ht="15" customHeight="1" s="700">
      <c r="A117" s="1">
        <f>A116+1</f>
        <v/>
      </c>
      <c r="B117" s="26" t="n">
        <v>45743</v>
      </c>
      <c r="C117" s="1" t="inlineStr">
        <is>
          <t>c/ Las Cruzadas 3A, local D</t>
        </is>
      </c>
      <c r="D117" s="1" t="inlineStr">
        <is>
          <t>Sevilla 41004</t>
        </is>
      </c>
      <c r="E117" s="1" t="inlineStr">
        <is>
          <t>CIF B91938662</t>
        </is>
      </c>
      <c r="F117" s="1" t="inlineStr">
        <is>
          <t>aBalados@abalados.es</t>
        </is>
      </c>
      <c r="G117" s="1" t="inlineStr">
        <is>
          <t>Belisol 132 kV, S.L.</t>
        </is>
      </c>
      <c r="H117" s="1">
        <f>VLOOKUP($G117,DATOS!$B:$E,2,FALSE)</f>
        <v/>
      </c>
      <c r="I117" s="1">
        <f>VLOOKUP($G117,DATOS!$B:$E,3,FALSE)</f>
        <v/>
      </c>
      <c r="J117" s="1">
        <f>VLOOKUP($G117,DATOS!$B:$E,4,FALSE)</f>
        <v/>
      </c>
      <c r="K117" s="1" t="inlineStr">
        <is>
          <t>Refacturación gastos y/o servicios prestados a nombre de la sociedad</t>
        </is>
      </c>
      <c r="M117" s="1" t="inlineStr">
        <is>
          <t>REGISTRO MERCANTIL DE ALBACETE Nº 2025/269</t>
        </is>
      </c>
      <c r="N117" s="5" t="n">
        <v>24.34</v>
      </c>
      <c r="O117" s="1" t="inlineStr">
        <is>
          <t>REGISTRO MERCANTIL DE ALBACETE Nº 2025·270</t>
        </is>
      </c>
      <c r="P117" s="5" t="n">
        <v>24.34</v>
      </c>
      <c r="AB117" s="6" t="inlineStr">
        <is>
          <t>ES85 2080 3509 1130 4009 6171</t>
        </is>
      </c>
      <c r="AC117" s="1" t="inlineStr">
        <is>
          <t>pagado</t>
        </is>
      </c>
      <c r="AD117" s="5">
        <f>L117+N117+P117+R117+T117+V117+X117+Z117</f>
        <v/>
      </c>
      <c r="AE117" s="5">
        <f>IF((LEFT(K117,6))="Contab",L117,0)</f>
        <v/>
      </c>
      <c r="AF117" s="6">
        <f>VLOOKUP(G117,CLIENTES!B:E,4,FALSE)</f>
        <v/>
      </c>
      <c r="AG117" s="5">
        <f>AF117*AE117</f>
        <v/>
      </c>
      <c r="AH117" s="5">
        <f>AD117*1.21</f>
        <v/>
      </c>
      <c r="AI117" s="261">
        <f>IF(AE117&lt;&gt;0,AG117/AD117,"N/A")</f>
        <v/>
      </c>
      <c r="AJ117" s="5">
        <f>IF(AC117="pendiente",AD117,0)</f>
        <v/>
      </c>
      <c r="AK117" s="1">
        <f>VLOOKUP(G117,CLIENTES!B:D,3,FALSE)</f>
        <v/>
      </c>
      <c r="AL117" s="1" t="inlineStr">
        <is>
          <t>nudos</t>
        </is>
      </c>
      <c r="AM117" s="1" t="inlineStr">
        <is>
          <t>Refacturación</t>
        </is>
      </c>
    </row>
    <row r="118" ht="15" customHeight="1" s="700">
      <c r="A118" s="1">
        <f>A117+1</f>
        <v/>
      </c>
      <c r="B118" s="26" t="n">
        <v>45743</v>
      </c>
      <c r="C118" s="1" t="inlineStr">
        <is>
          <t>c/ Las Cruzadas 3A, local D</t>
        </is>
      </c>
      <c r="D118" s="1" t="inlineStr">
        <is>
          <t>Sevilla 41004</t>
        </is>
      </c>
      <c r="E118" s="1" t="inlineStr">
        <is>
          <t>CIF B91938662</t>
        </is>
      </c>
      <c r="F118" s="1" t="inlineStr">
        <is>
          <t>aBalados@abalados.es</t>
        </is>
      </c>
      <c r="G118" s="1" t="inlineStr">
        <is>
          <t>Becerril Renovables, S.L.</t>
        </is>
      </c>
      <c r="H118" s="1">
        <f>VLOOKUP($G118,DATOS!$B:$E,2,FALSE)</f>
        <v/>
      </c>
      <c r="I118" s="1">
        <f>VLOOKUP($G118,DATOS!$B:$E,3,FALSE)</f>
        <v/>
      </c>
      <c r="J118" s="1">
        <f>VLOOKUP($G118,DATOS!$B:$E,4,FALSE)</f>
        <v/>
      </c>
      <c r="K118" s="1" t="inlineStr">
        <is>
          <t>Refacturación gastos y/o servicios prestados a nombre de la sociedad</t>
        </is>
      </c>
      <c r="M118" s="1" t="inlineStr">
        <is>
          <t>Jofran Mensajeros, S.L - Envio de documentación</t>
        </is>
      </c>
      <c r="N118" s="5" t="n">
        <v>12.72</v>
      </c>
      <c r="O118" s="1" t="inlineStr">
        <is>
          <t>REGISTRO MERCANTIL DE MADRID Nº 72439</t>
        </is>
      </c>
      <c r="P118" s="5" t="n">
        <v>9.59</v>
      </c>
      <c r="AB118" s="6" t="inlineStr">
        <is>
          <t>ES85 2080 3509 1130 4009 6171</t>
        </is>
      </c>
      <c r="AC118" s="1" t="inlineStr">
        <is>
          <t>pendiente</t>
        </is>
      </c>
      <c r="AD118" s="5">
        <f>L118+N118+P118+R118+T118+V118+X118+Z118</f>
        <v/>
      </c>
      <c r="AE118" s="5">
        <f>IF((LEFT(K118,6))="Contab",L118,0)</f>
        <v/>
      </c>
      <c r="AF118" s="6">
        <f>VLOOKUP(G118,CLIENTES!B:E,4,FALSE)</f>
        <v/>
      </c>
      <c r="AG118" s="5">
        <f>AF118*AE118</f>
        <v/>
      </c>
      <c r="AH118" s="5">
        <f>AD118*1.21</f>
        <v/>
      </c>
      <c r="AI118" s="261">
        <f>IF(AE118&lt;&gt;0,AG118/AD118,"N/A")</f>
        <v/>
      </c>
      <c r="AJ118" s="5">
        <f>IF(AC118="pendiente",AD118,0)</f>
        <v/>
      </c>
      <c r="AK118" s="1">
        <f>VLOOKUP(G118,CLIENTES!B:D,3,FALSE)</f>
        <v/>
      </c>
      <c r="AL118" s="1" t="inlineStr">
        <is>
          <t>nudos</t>
        </is>
      </c>
      <c r="AM118" s="1" t="inlineStr">
        <is>
          <t>Refacturación</t>
        </is>
      </c>
    </row>
    <row r="119" ht="15" customHeight="1" s="700">
      <c r="A119" s="1">
        <f>A118+1</f>
        <v/>
      </c>
      <c r="B119" s="26" t="n">
        <v>45743</v>
      </c>
      <c r="C119" s="1" t="inlineStr">
        <is>
          <t>c/ Las Cruzadas 3A, local D</t>
        </is>
      </c>
      <c r="D119" s="1" t="inlineStr">
        <is>
          <t>Sevilla 41004</t>
        </is>
      </c>
      <c r="E119" s="1" t="inlineStr">
        <is>
          <t>CIF B91938662</t>
        </is>
      </c>
      <c r="F119" s="1" t="inlineStr">
        <is>
          <t>aBalados@abalados.es</t>
        </is>
      </c>
      <c r="G119" s="1" t="inlineStr">
        <is>
          <t>Toro Renovables, S.L.</t>
        </is>
      </c>
      <c r="H119" s="1">
        <f>VLOOKUP($G119,DATOS!$B:$E,2,FALSE)</f>
        <v/>
      </c>
      <c r="I119" s="1">
        <f>VLOOKUP($G119,DATOS!$B:$E,3,FALSE)</f>
        <v/>
      </c>
      <c r="J119" s="1">
        <f>VLOOKUP($G119,DATOS!$B:$E,4,FALSE)</f>
        <v/>
      </c>
      <c r="K119" s="1" t="inlineStr">
        <is>
          <t>Refacturación gastos y/o servicios prestados a nombre de la sociedad</t>
        </is>
      </c>
      <c r="M119" s="1" t="inlineStr">
        <is>
          <t>Jofran Mensajeros, S.L - Envio de documentación</t>
        </is>
      </c>
      <c r="N119" s="5" t="n">
        <v>29.08</v>
      </c>
      <c r="Q119" s="1" t="inlineStr">
        <is>
          <t>OFICINA VIRTUAL DE CORREOS Nº 250001042</t>
        </is>
      </c>
      <c r="R119" s="5" t="n">
        <v>10</v>
      </c>
      <c r="AB119" s="6" t="inlineStr">
        <is>
          <t>ES85 2080 3509 1130 4009 6171</t>
        </is>
      </c>
      <c r="AC119" s="1" t="inlineStr">
        <is>
          <t>pagado</t>
        </is>
      </c>
      <c r="AD119" s="5">
        <f>L119+N119+P119+R119+T119+V119+X119+Z119</f>
        <v/>
      </c>
      <c r="AE119" s="5">
        <f>IF((LEFT(K119,6))="Contab",L119,0)</f>
        <v/>
      </c>
      <c r="AF119" s="6">
        <f>VLOOKUP(G119,CLIENTES!B:E,4,FALSE)</f>
        <v/>
      </c>
      <c r="AG119" s="5">
        <f>AF119*AE119</f>
        <v/>
      </c>
      <c r="AH119" s="5">
        <f>AD119*1.21</f>
        <v/>
      </c>
      <c r="AI119" s="261">
        <f>IF(AE119&lt;&gt;0,AG119/AD119,"N/A")</f>
        <v/>
      </c>
      <c r="AJ119" s="5">
        <f>IF(AC119="pendiente",AD119,0)</f>
        <v/>
      </c>
      <c r="AK119" s="1">
        <f>VLOOKUP(G119,CLIENTES!B:D,3,FALSE)</f>
        <v/>
      </c>
      <c r="AL119" s="1" t="inlineStr">
        <is>
          <t>nudos</t>
        </is>
      </c>
      <c r="AM119" s="1" t="inlineStr">
        <is>
          <t>Refacturación</t>
        </is>
      </c>
    </row>
    <row r="120" ht="15" customHeight="1" s="700">
      <c r="A120" s="1">
        <f>A119+1</f>
        <v/>
      </c>
      <c r="B120" s="26" t="n">
        <v>45743</v>
      </c>
      <c r="C120" s="1" t="inlineStr">
        <is>
          <t>c/ Las Cruzadas 3A, local D</t>
        </is>
      </c>
      <c r="D120" s="1" t="inlineStr">
        <is>
          <t>Sevilla 41004</t>
        </is>
      </c>
      <c r="E120" s="1" t="inlineStr">
        <is>
          <t>CIF B91938662</t>
        </is>
      </c>
      <c r="F120" s="1" t="inlineStr">
        <is>
          <t>aBalados@abalados.es</t>
        </is>
      </c>
      <c r="G120" s="1" t="inlineStr">
        <is>
          <t>ICE Santa Engracia, S.L.</t>
        </is>
      </c>
      <c r="H120" s="1">
        <f>VLOOKUP($G120,DATOS!$B:$E,2,FALSE)</f>
        <v/>
      </c>
      <c r="I120" s="1">
        <f>VLOOKUP($G120,DATOS!$B:$E,3,FALSE)</f>
        <v/>
      </c>
      <c r="J120" s="1">
        <f>VLOOKUP($G120,DATOS!$B:$E,4,FALSE)</f>
        <v/>
      </c>
      <c r="K120" s="1" t="inlineStr">
        <is>
          <t>Refacturación gastos y/o servicios prestados a nombre de la sociedad</t>
        </is>
      </c>
      <c r="M120" s="1" t="inlineStr">
        <is>
          <t>REGISTRO MERCANTIL DE LA RIOJA Nº 2025/85</t>
        </is>
      </c>
      <c r="N120" s="5" t="n">
        <v>8.390000000000001</v>
      </c>
      <c r="AB120" s="6" t="inlineStr">
        <is>
          <t>ES85 2080 3509 1130 4009 6171</t>
        </is>
      </c>
      <c r="AC120" s="1" t="inlineStr">
        <is>
          <t>pagado</t>
        </is>
      </c>
      <c r="AD120" s="5">
        <f>L120+N120+P120+R120+T120+V120+X120+Z120</f>
        <v/>
      </c>
      <c r="AE120" s="5">
        <f>IF((LEFT(K120,6))="Contab",L120,0)</f>
        <v/>
      </c>
      <c r="AF120" s="6">
        <f>VLOOKUP(G120,CLIENTES!B:E,4,FALSE)</f>
        <v/>
      </c>
      <c r="AG120" s="5">
        <f>AF120*AE120</f>
        <v/>
      </c>
      <c r="AH120" s="5">
        <f>AD120*1.21</f>
        <v/>
      </c>
      <c r="AI120" s="261">
        <f>IF(AE120&lt;&gt;0,AG120/AD120,"N/A")</f>
        <v/>
      </c>
      <c r="AJ120" s="5">
        <f>IF(AC120="pendiente",AD120,0)</f>
        <v/>
      </c>
      <c r="AK120" s="1">
        <f>VLOOKUP(G120,CLIENTES!B:D,3,FALSE)</f>
        <v/>
      </c>
      <c r="AL120" s="1" t="inlineStr">
        <is>
          <t>nudos</t>
        </is>
      </c>
      <c r="AM120" s="1" t="inlineStr">
        <is>
          <t>Refacturación</t>
        </is>
      </c>
    </row>
    <row r="121" ht="15" customHeight="1" s="700">
      <c r="A121" s="1">
        <f>A120+1</f>
        <v/>
      </c>
      <c r="B121" s="26" t="n">
        <v>45743</v>
      </c>
      <c r="C121" s="1" t="inlineStr">
        <is>
          <t>c/ Las Cruzadas 3A, local D</t>
        </is>
      </c>
      <c r="D121" s="1" t="inlineStr">
        <is>
          <t>Sevilla 41004</t>
        </is>
      </c>
      <c r="E121" s="1" t="inlineStr">
        <is>
          <t>CIF B91938662</t>
        </is>
      </c>
      <c r="F121" s="1" t="inlineStr">
        <is>
          <t>aBalados@abalados.es</t>
        </is>
      </c>
      <c r="G121" s="1" t="inlineStr">
        <is>
          <t>Irina Generación 220, A.I.E.</t>
        </is>
      </c>
      <c r="H121" s="1">
        <f>VLOOKUP($G121,DATOS!$B:$E,2,FALSE)</f>
        <v/>
      </c>
      <c r="I121" s="1">
        <f>VLOOKUP($G121,DATOS!$B:$E,3,FALSE)</f>
        <v/>
      </c>
      <c r="J121" s="1">
        <f>VLOOKUP($G121,DATOS!$B:$E,4,FALSE)</f>
        <v/>
      </c>
      <c r="K121" s="1" t="inlineStr">
        <is>
          <t>Refacturación gastos y/o servicios prestados a nombre de la sociedad</t>
        </is>
      </c>
      <c r="M121" s="1" t="inlineStr">
        <is>
          <t>REGISTRO DE LA PROPIEDAD DE MEDIA DEL CAMPO NAVA DEL REU 2025/175</t>
        </is>
      </c>
      <c r="N121" s="5" t="n">
        <v>9.02</v>
      </c>
      <c r="AB121" s="6" t="inlineStr">
        <is>
          <t>ES85 2080 3509 1130 4009 6171</t>
        </is>
      </c>
      <c r="AC121" s="1" t="inlineStr">
        <is>
          <t>pagado</t>
        </is>
      </c>
      <c r="AD121" s="5">
        <f>L121+N121+P121+R121+T121+V121+X121+Z121</f>
        <v/>
      </c>
      <c r="AE121" s="5">
        <f>IF((LEFT(K121,6))="Contab",L121,0)</f>
        <v/>
      </c>
      <c r="AF121" s="6">
        <f>VLOOKUP(G121,CLIENTES!B:E,4,FALSE)</f>
        <v/>
      </c>
      <c r="AG121" s="5">
        <f>AF121*AE121</f>
        <v/>
      </c>
      <c r="AH121" s="5">
        <f>AD121*1.21</f>
        <v/>
      </c>
      <c r="AI121" s="261">
        <f>IF(AE121&lt;&gt;0,AG121/AD121,"N/A")</f>
        <v/>
      </c>
      <c r="AJ121" s="5">
        <f>IF(AC121="pendiente",AD121,0)</f>
        <v/>
      </c>
      <c r="AK121" s="1">
        <f>VLOOKUP(G121,CLIENTES!B:D,3,FALSE)</f>
        <v/>
      </c>
      <c r="AL121" s="1" t="inlineStr">
        <is>
          <t>nudos</t>
        </is>
      </c>
      <c r="AM121" s="1" t="inlineStr">
        <is>
          <t>Refacturación</t>
        </is>
      </c>
    </row>
    <row r="122" ht="15" customHeight="1" s="700">
      <c r="A122" s="1">
        <f>A121+1</f>
        <v/>
      </c>
      <c r="B122" s="26" t="n">
        <v>45743</v>
      </c>
      <c r="C122" s="1" t="inlineStr">
        <is>
          <t>c/ Las Cruzadas 3A, local D</t>
        </is>
      </c>
      <c r="D122" s="1" t="inlineStr">
        <is>
          <t>Sevilla 41004</t>
        </is>
      </c>
      <c r="E122" s="1" t="inlineStr">
        <is>
          <t>CIF B91938662</t>
        </is>
      </c>
      <c r="F122" s="1" t="inlineStr">
        <is>
          <t>aBalados@abalados.es</t>
        </is>
      </c>
      <c r="G122" s="1" t="inlineStr">
        <is>
          <t>SE Colectora Ayora Renovables, A.I.E.</t>
        </is>
      </c>
      <c r="H122" s="1">
        <f>VLOOKUP($G122,DATOS!$B:$E,2,FALSE)</f>
        <v/>
      </c>
      <c r="I122" s="1">
        <f>VLOOKUP($G122,DATOS!$B:$E,3,FALSE)</f>
        <v/>
      </c>
      <c r="J122" s="1">
        <f>VLOOKUP($G122,DATOS!$B:$E,4,FALSE)</f>
        <v/>
      </c>
      <c r="K122" s="1" t="inlineStr">
        <is>
          <t>Refacturación gastos y/o servicios prestados a nombre de la sociedad</t>
        </is>
      </c>
      <c r="M122" s="1" t="inlineStr">
        <is>
          <t>Jofran Mensajeros, S.L - Envio de documentación</t>
        </is>
      </c>
      <c r="N122" s="5" t="n">
        <v>18.66</v>
      </c>
      <c r="O122" s="1" t="inlineStr">
        <is>
          <t>Servicios por Docusing nº 48471912</t>
        </is>
      </c>
      <c r="P122" s="5" t="n">
        <v>456</v>
      </c>
      <c r="AB122" s="6" t="inlineStr">
        <is>
          <t>ES85 2080 3509 1130 4009 6171</t>
        </is>
      </c>
      <c r="AC122" s="1" t="inlineStr">
        <is>
          <t>pagado</t>
        </is>
      </c>
      <c r="AD122" s="5">
        <f>L122+N122+P122+R122+T122+V122+X122+Z122</f>
        <v/>
      </c>
      <c r="AE122" s="5">
        <f>IF((LEFT(K122,6))="Contab",L122,0)</f>
        <v/>
      </c>
      <c r="AF122" s="6">
        <f>VLOOKUP(G122,CLIENTES!B:E,4,FALSE)</f>
        <v/>
      </c>
      <c r="AG122" s="5">
        <f>AF122*AE122</f>
        <v/>
      </c>
      <c r="AH122" s="5">
        <f>AD122*1.21</f>
        <v/>
      </c>
      <c r="AI122" s="261">
        <f>IF(AE122&lt;&gt;0,AG122/AD122,"N/A")</f>
        <v/>
      </c>
      <c r="AJ122" s="5">
        <f>IF(AC122="pendiente",AD122,0)</f>
        <v/>
      </c>
      <c r="AK122" s="1">
        <f>VLOOKUP(G122,CLIENTES!B:D,3,FALSE)</f>
        <v/>
      </c>
      <c r="AL122" s="1" t="inlineStr">
        <is>
          <t>nudos</t>
        </is>
      </c>
      <c r="AM122" s="1" t="inlineStr">
        <is>
          <t>Refacturación</t>
        </is>
      </c>
    </row>
    <row r="123" ht="15" customHeight="1" s="700">
      <c r="A123" s="1">
        <f>A122+1</f>
        <v/>
      </c>
      <c r="B123" s="26" t="n">
        <v>45743</v>
      </c>
      <c r="C123" s="1" t="inlineStr">
        <is>
          <t>c/ Las Cruzadas 3A, local D</t>
        </is>
      </c>
      <c r="D123" s="1" t="inlineStr">
        <is>
          <t>Sevilla 41004</t>
        </is>
      </c>
      <c r="E123" s="1" t="inlineStr">
        <is>
          <t>CIF B91938662</t>
        </is>
      </c>
      <c r="F123" s="1" t="inlineStr">
        <is>
          <t>aBalados@abalados.es</t>
        </is>
      </c>
      <c r="G123" s="1" t="inlineStr">
        <is>
          <t>Renovables Valle Solar Fotovoltaica, A.I.E.</t>
        </is>
      </c>
      <c r="H123" s="1">
        <f>VLOOKUP($G123,DATOS!$B:$E,2,FALSE)</f>
        <v/>
      </c>
      <c r="I123" s="1">
        <f>VLOOKUP($G123,DATOS!$B:$E,3,FALSE)</f>
        <v/>
      </c>
      <c r="J123" s="1">
        <f>VLOOKUP($G123,DATOS!$B:$E,4,FALSE)</f>
        <v/>
      </c>
      <c r="K123" s="1" t="inlineStr">
        <is>
          <t>Refacturación gastos y/o servicios prestados a nombre de la sociedad</t>
        </is>
      </c>
      <c r="M123" s="1" t="inlineStr">
        <is>
          <t>Jofran Mensajeros, S.L - Envio de documentación</t>
        </is>
      </c>
      <c r="N123" s="5" t="n">
        <v>18.66</v>
      </c>
      <c r="AB123" s="6" t="inlineStr">
        <is>
          <t>ES85 2080 3509 1130 4009 6171</t>
        </is>
      </c>
      <c r="AC123" s="1" t="inlineStr">
        <is>
          <t>pagado</t>
        </is>
      </c>
      <c r="AD123" s="5">
        <f>L123+N123+P123+R123+T123+V123+X123+Z123</f>
        <v/>
      </c>
      <c r="AE123" s="5">
        <f>IF((LEFT(K123,6))="Contab",L123,0)</f>
        <v/>
      </c>
      <c r="AF123" s="6">
        <f>VLOOKUP(G123,CLIENTES!B:E,4,FALSE)</f>
        <v/>
      </c>
      <c r="AG123" s="5">
        <f>AF123*AE123</f>
        <v/>
      </c>
      <c r="AH123" s="5">
        <f>AD123*1.21</f>
        <v/>
      </c>
      <c r="AI123" s="261">
        <f>IF(AE123&lt;&gt;0,AG123/AD123,"N/A")</f>
        <v/>
      </c>
      <c r="AJ123" s="5">
        <f>IF(AC123="pendiente",AD123,0)</f>
        <v/>
      </c>
      <c r="AK123" s="1">
        <f>VLOOKUP(G123,CLIENTES!B:D,3,FALSE)</f>
        <v/>
      </c>
      <c r="AL123" s="1" t="inlineStr">
        <is>
          <t>nudos</t>
        </is>
      </c>
      <c r="AM123" s="1" t="inlineStr">
        <is>
          <t>Refacturación</t>
        </is>
      </c>
    </row>
    <row r="124" ht="15" customHeight="1" s="700">
      <c r="A124" s="1">
        <f>A123+1</f>
        <v/>
      </c>
      <c r="B124" s="26" t="n">
        <v>45743</v>
      </c>
      <c r="C124" s="1" t="inlineStr">
        <is>
          <t>c/ Las Cruzadas 3A, local D</t>
        </is>
      </c>
      <c r="D124" s="1" t="inlineStr">
        <is>
          <t>Sevilla 41004</t>
        </is>
      </c>
      <c r="E124" s="1" t="inlineStr">
        <is>
          <t>CIF B91938662</t>
        </is>
      </c>
      <c r="F124" s="1" t="inlineStr">
        <is>
          <t>aBalados@abalados.es</t>
        </is>
      </c>
      <c r="G124" s="1" t="inlineStr">
        <is>
          <t>Comunidad de Bienes Grupotec Rotonda</t>
        </is>
      </c>
      <c r="H124" s="1">
        <f>VLOOKUP($G124,DATOS!$B:$E,2,FALSE)</f>
        <v/>
      </c>
      <c r="I124" s="1">
        <f>VLOOKUP($G124,DATOS!$B:$E,3,FALSE)</f>
        <v/>
      </c>
      <c r="J124" s="1">
        <f>VLOOKUP($G124,DATOS!$B:$E,4,FALSE)</f>
        <v/>
      </c>
      <c r="K124" s="1" t="inlineStr">
        <is>
          <t>Refacturación gastos y/o servicios prestados a nombre de la sociedad</t>
        </is>
      </c>
      <c r="M124" s="1" t="inlineStr">
        <is>
          <t>REGISTRO DE LA PROPIEDAD DE CHINCHILLA DEL MONTE Nº 2025/233</t>
        </is>
      </c>
      <c r="N124" s="5" t="n">
        <v>9.02</v>
      </c>
      <c r="AB124" s="6" t="inlineStr">
        <is>
          <t>ES85 2080 3509 1130 4009 6171</t>
        </is>
      </c>
      <c r="AC124" s="1" t="inlineStr">
        <is>
          <t>pagado</t>
        </is>
      </c>
      <c r="AD124" s="5">
        <f>L124+N124+P124+R124+T124+V124+X124+Z124</f>
        <v/>
      </c>
      <c r="AE124" s="5">
        <f>IF((LEFT(K124,6))="Contab",L124,0)</f>
        <v/>
      </c>
      <c r="AF124" s="6">
        <f>VLOOKUP(G124,CLIENTES!B:E,4,FALSE)</f>
        <v/>
      </c>
      <c r="AG124" s="5">
        <f>AF124*AE124</f>
        <v/>
      </c>
      <c r="AH124" s="5">
        <f>AD124*1.21</f>
        <v/>
      </c>
      <c r="AI124" s="261">
        <f>IF(AE124&lt;&gt;0,AG124/AD124,"N/A")</f>
        <v/>
      </c>
      <c r="AJ124" s="5">
        <f>IF(AC124="pendiente",AD124,0)</f>
        <v/>
      </c>
      <c r="AK124" s="1">
        <f>VLOOKUP(G124,CLIENTES!B:D,3,FALSE)</f>
        <v/>
      </c>
      <c r="AL124" s="1" t="inlineStr">
        <is>
          <t>nudos</t>
        </is>
      </c>
      <c r="AM124" s="1" t="inlineStr">
        <is>
          <t>Refacturación</t>
        </is>
      </c>
    </row>
    <row r="125" ht="15" customHeight="1" s="700">
      <c r="A125" s="1">
        <f>A124+1</f>
        <v/>
      </c>
      <c r="B125" s="26" t="n">
        <v>45743</v>
      </c>
      <c r="C125" s="1" t="inlineStr">
        <is>
          <t>c/ Las Cruzadas 3A, local D</t>
        </is>
      </c>
      <c r="D125" s="1" t="inlineStr">
        <is>
          <t>Sevilla 41004</t>
        </is>
      </c>
      <c r="E125" s="1" t="inlineStr">
        <is>
          <t>CIF B91938662</t>
        </is>
      </c>
      <c r="F125" s="1" t="inlineStr">
        <is>
          <t>aBalados@abalados.es</t>
        </is>
      </c>
      <c r="G125" s="1" t="inlineStr">
        <is>
          <t>Grijota Renovables, S.L.</t>
        </is>
      </c>
      <c r="H125" s="1">
        <f>VLOOKUP($G125,DATOS!$B:$E,2,FALSE)</f>
        <v/>
      </c>
      <c r="I125" s="1">
        <f>VLOOKUP($G125,DATOS!$B:$E,3,FALSE)</f>
        <v/>
      </c>
      <c r="J125" s="1">
        <f>VLOOKUP($G125,DATOS!$B:$E,4,FALSE)</f>
        <v/>
      </c>
      <c r="K125" s="1" t="inlineStr">
        <is>
          <t>Refacturación gastos y/o servicios prestados a nombre de la sociedad</t>
        </is>
      </c>
      <c r="M125" s="1" t="inlineStr">
        <is>
          <t>Jofran Mensajeros, S.L - Envio de documentación</t>
        </is>
      </c>
      <c r="N125" s="5" t="n">
        <v>19.3</v>
      </c>
      <c r="O125" s="1" t="inlineStr">
        <is>
          <t>REGISTRO MERCANTIL DE MADRID Nº 72435</t>
        </is>
      </c>
      <c r="P125" s="5" t="n">
        <v>10.49</v>
      </c>
      <c r="AB125" s="6" t="inlineStr">
        <is>
          <t>ES85 2080 3509 1130 4009 6171</t>
        </is>
      </c>
      <c r="AC125" s="1" t="inlineStr">
        <is>
          <t>pagado</t>
        </is>
      </c>
      <c r="AD125" s="5">
        <f>L125+N125+P125+R125+T125+V125+X125+Z125</f>
        <v/>
      </c>
      <c r="AE125" s="5">
        <f>IF((LEFT(K125,6))="Contab",L125,0)</f>
        <v/>
      </c>
      <c r="AF125" s="6">
        <f>VLOOKUP(G125,CLIENTES!B:E,4,FALSE)</f>
        <v/>
      </c>
      <c r="AG125" s="5">
        <f>AF125*AE125</f>
        <v/>
      </c>
      <c r="AH125" s="5">
        <f>AD125*1.21</f>
        <v/>
      </c>
      <c r="AI125" s="261">
        <f>IF(AE125&lt;&gt;0,AG125/AD125,"N/A")</f>
        <v/>
      </c>
      <c r="AJ125" s="5">
        <f>IF(AC125="pendiente",AD125,0)</f>
        <v/>
      </c>
      <c r="AK125" s="1">
        <f>VLOOKUP(G125,CLIENTES!B:D,3,FALSE)</f>
        <v/>
      </c>
      <c r="AL125" s="1" t="inlineStr">
        <is>
          <t>nudos</t>
        </is>
      </c>
      <c r="AM125" s="1" t="inlineStr">
        <is>
          <t>Refacturación</t>
        </is>
      </c>
    </row>
    <row r="126" ht="15" customHeight="1" s="700">
      <c r="A126" s="1">
        <f>A125+1</f>
        <v/>
      </c>
      <c r="B126" s="26" t="n">
        <v>45743</v>
      </c>
      <c r="C126" s="1" t="inlineStr">
        <is>
          <t>c/ Las Cruzadas 3A, local D</t>
        </is>
      </c>
      <c r="D126" s="1" t="inlineStr">
        <is>
          <t>Sevilla 41004</t>
        </is>
      </c>
      <c r="E126" s="1" t="inlineStr">
        <is>
          <t>CIF B91938662</t>
        </is>
      </c>
      <c r="F126" s="1" t="inlineStr">
        <is>
          <t>aBalados@abalados.es</t>
        </is>
      </c>
      <c r="G126" s="1" t="inlineStr">
        <is>
          <t>Monte Reina Renovables, S.L.</t>
        </is>
      </c>
      <c r="H126" s="1">
        <f>VLOOKUP($G126,DATOS!$B:$E,2,FALSE)</f>
        <v/>
      </c>
      <c r="I126" s="1">
        <f>VLOOKUP($G126,DATOS!$B:$E,3,FALSE)</f>
        <v/>
      </c>
      <c r="J126" s="1">
        <f>VLOOKUP($G126,DATOS!$B:$E,4,FALSE)</f>
        <v/>
      </c>
      <c r="K126" s="1" t="inlineStr">
        <is>
          <t>Refacturación gastos y/o servicios prestados a nombre de la sociedad</t>
        </is>
      </c>
      <c r="M126" s="1" t="inlineStr">
        <is>
          <t>OFICINA VIRTUAL DE CORREOS Nº F250018739</t>
        </is>
      </c>
      <c r="N126" s="5" t="n">
        <v>27.74</v>
      </c>
      <c r="O126" s="1" t="inlineStr">
        <is>
          <t>OFICINA VIRTUAL DE CORREOS Nº F250018852</t>
        </is>
      </c>
      <c r="P126" s="5" t="n">
        <v>27.74</v>
      </c>
      <c r="Q126" s="1" t="inlineStr">
        <is>
          <t>OFICINA VIRTUAL DE CORREOS Nº F250018945</t>
        </is>
      </c>
      <c r="R126" s="5" t="n">
        <v>27.74</v>
      </c>
      <c r="AB126" s="6" t="inlineStr">
        <is>
          <t>ES85 2080 3509 1130 4009 6171</t>
        </is>
      </c>
      <c r="AC126" s="1" t="inlineStr">
        <is>
          <t>pagado</t>
        </is>
      </c>
      <c r="AD126" s="5">
        <f>L126+N126+P126+R126+T126+V126+X126+Z126</f>
        <v/>
      </c>
      <c r="AE126" s="5">
        <f>IF((LEFT(K126,6))="Contab",L126,0)</f>
        <v/>
      </c>
      <c r="AF126" s="6">
        <f>VLOOKUP(G126,CLIENTES!B:E,4,FALSE)</f>
        <v/>
      </c>
      <c r="AG126" s="5">
        <f>AF126*AE126</f>
        <v/>
      </c>
      <c r="AH126" s="5">
        <f>AD126*1.21</f>
        <v/>
      </c>
      <c r="AI126" s="261">
        <f>IF(AE126&lt;&gt;0,AG126/AD126,"N/A")</f>
        <v/>
      </c>
      <c r="AJ126" s="5">
        <f>IF(AC126="pendiente",AD126,0)</f>
        <v/>
      </c>
      <c r="AK126" s="1">
        <f>VLOOKUP(G126,CLIENTES!B:D,3,FALSE)</f>
        <v/>
      </c>
      <c r="AL126" s="1" t="inlineStr">
        <is>
          <t>nudos</t>
        </is>
      </c>
      <c r="AM126" s="1" t="inlineStr">
        <is>
          <t>Refacturación</t>
        </is>
      </c>
    </row>
    <row r="127" ht="15" customHeight="1" s="700">
      <c r="A127" s="1">
        <f>A126+1</f>
        <v/>
      </c>
      <c r="B127" s="26" t="n">
        <v>45743</v>
      </c>
      <c r="C127" s="1" t="inlineStr">
        <is>
          <t>c/ Las Cruzadas 3A, local D</t>
        </is>
      </c>
      <c r="D127" s="1" t="inlineStr">
        <is>
          <t>Sevilla 41004</t>
        </is>
      </c>
      <c r="E127" s="1" t="inlineStr">
        <is>
          <t>CIF B91938662</t>
        </is>
      </c>
      <c r="F127" s="1" t="inlineStr">
        <is>
          <t>aBalados@abalados.es</t>
        </is>
      </c>
      <c r="G127" s="1" t="inlineStr">
        <is>
          <t>Línea Covatillas, A.I.E.</t>
        </is>
      </c>
      <c r="H127" s="1">
        <f>VLOOKUP($G127,DATOS!$B:$E,2,FALSE)</f>
        <v/>
      </c>
      <c r="I127" s="1">
        <f>VLOOKUP($G127,DATOS!$B:$E,3,FALSE)</f>
        <v/>
      </c>
      <c r="J127" s="1">
        <f>VLOOKUP($G127,DATOS!$B:$E,4,FALSE)</f>
        <v/>
      </c>
      <c r="K127" s="1" t="inlineStr">
        <is>
          <t>Refacturación gastos y/o servicios prestados a nombre de la sociedad</t>
        </is>
      </c>
      <c r="M127" s="1" t="inlineStr">
        <is>
          <t>Jofran Mensajeros, S.L - Envio de documentación</t>
        </is>
      </c>
      <c r="N127" s="5" t="n">
        <v>6.36</v>
      </c>
      <c r="O127" s="1" t="inlineStr">
        <is>
          <t>REGISTRO MERCANTIL DE MADRID Nº 61444</t>
        </is>
      </c>
      <c r="P127" s="5" t="n">
        <v>35.91</v>
      </c>
      <c r="Q127" s="1" t="inlineStr">
        <is>
          <t>REGISTRO MERCANTIL DE MADRID Nº 61575</t>
        </is>
      </c>
      <c r="R127" s="5" t="n">
        <v>58.9</v>
      </c>
      <c r="AB127" s="6" t="inlineStr">
        <is>
          <t>ES85 2080 3509 1130 4009 6171</t>
        </is>
      </c>
      <c r="AC127" s="1" t="inlineStr">
        <is>
          <t>pagado</t>
        </is>
      </c>
      <c r="AD127" s="5">
        <f>L127+N127+P127+R127+T127+V127+X127+Z127</f>
        <v/>
      </c>
      <c r="AE127" s="5">
        <f>IF((LEFT(K127,6))="Contab",L127,0)</f>
        <v/>
      </c>
      <c r="AF127" s="6">
        <f>VLOOKUP(G127,CLIENTES!B:E,4,FALSE)</f>
        <v/>
      </c>
      <c r="AG127" s="5">
        <f>AF127*AE127</f>
        <v/>
      </c>
      <c r="AH127" s="5">
        <f>AD127*1.21</f>
        <v/>
      </c>
      <c r="AI127" s="261">
        <f>IF(AE127&lt;&gt;0,AG127/AD127,"N/A")</f>
        <v/>
      </c>
      <c r="AJ127" s="5">
        <f>IF(AC127="pendiente",AD127,0)</f>
        <v/>
      </c>
      <c r="AK127" s="1">
        <f>VLOOKUP(G127,CLIENTES!B:D,3,FALSE)</f>
        <v/>
      </c>
      <c r="AL127" s="1" t="inlineStr">
        <is>
          <t>nudos</t>
        </is>
      </c>
      <c r="AM127" s="1" t="inlineStr">
        <is>
          <t>Refacturación</t>
        </is>
      </c>
    </row>
    <row r="128" ht="15" customHeight="1" s="700">
      <c r="A128" s="1">
        <f>A127+1</f>
        <v/>
      </c>
      <c r="B128" s="26" t="n">
        <v>45743</v>
      </c>
      <c r="C128" s="1" t="inlineStr">
        <is>
          <t>c/ Las Cruzadas 3A, local D</t>
        </is>
      </c>
      <c r="D128" s="1" t="inlineStr">
        <is>
          <t>Sevilla 41004</t>
        </is>
      </c>
      <c r="E128" s="1" t="inlineStr">
        <is>
          <t>CIF B91938662</t>
        </is>
      </c>
      <c r="F128" s="1" t="inlineStr">
        <is>
          <t>aBalados@abalados.es</t>
        </is>
      </c>
      <c r="G128" s="1" t="inlineStr">
        <is>
          <t>Energías Renovables El Canto, S.L.</t>
        </is>
      </c>
      <c r="H128" s="1">
        <f>VLOOKUP($G128,DATOS!$B:$E,2,FALSE)</f>
        <v/>
      </c>
      <c r="I128" s="1">
        <f>VLOOKUP($G128,DATOS!$B:$E,3,FALSE)</f>
        <v/>
      </c>
      <c r="J128" s="1">
        <f>VLOOKUP($G128,DATOS!$B:$E,4,FALSE)</f>
        <v/>
      </c>
      <c r="K128" s="1" t="inlineStr">
        <is>
          <t>Refacturación gastos y/o servicios prestados a nombre de la sociedad</t>
        </is>
      </c>
      <c r="M128" s="1" t="inlineStr">
        <is>
          <t>Jofran Mensajeros, S.L - Envio de documentación</t>
        </is>
      </c>
      <c r="N128" s="5" t="n">
        <v>22.72</v>
      </c>
      <c r="O128" s="1" t="inlineStr">
        <is>
          <t>REGISTRO MERCANTIL DE SEVILLA Nº 2025/1293</t>
        </is>
      </c>
      <c r="P128" s="5" t="n">
        <v>27.95</v>
      </c>
      <c r="Q128" s="1" t="inlineStr">
        <is>
          <t>REGISTRO MERCANTIL DE SEVILLA Nº 202/1318</t>
        </is>
      </c>
      <c r="R128" s="5" t="n">
        <v>27.95</v>
      </c>
      <c r="AB128" s="6" t="inlineStr">
        <is>
          <t>ES85 2080 3509 1130 4009 6171</t>
        </is>
      </c>
      <c r="AC128" s="1" t="inlineStr">
        <is>
          <t>pagado</t>
        </is>
      </c>
      <c r="AD128" s="5">
        <f>L128+N128+P128+R128+T128+V128+X128+Z128</f>
        <v/>
      </c>
      <c r="AE128" s="5">
        <f>IF((LEFT(K128,6))="Contab",L128,0)</f>
        <v/>
      </c>
      <c r="AF128" s="6">
        <f>VLOOKUP(G128,CLIENTES!B:E,4,FALSE)</f>
        <v/>
      </c>
      <c r="AG128" s="5">
        <f>AF128*AE128</f>
        <v/>
      </c>
      <c r="AH128" s="5">
        <f>AD128*1.21</f>
        <v/>
      </c>
      <c r="AI128" s="261">
        <f>IF(AE128&lt;&gt;0,AG128/AD128,"N/A")</f>
        <v/>
      </c>
      <c r="AJ128" s="5">
        <f>IF(AC128="pendiente",AD128,0)</f>
        <v/>
      </c>
      <c r="AK128" s="1">
        <f>VLOOKUP(G128,CLIENTES!B:D,3,FALSE)</f>
        <v/>
      </c>
      <c r="AL128" s="1" t="inlineStr">
        <is>
          <t>nudos</t>
        </is>
      </c>
      <c r="AM128" s="1" t="inlineStr">
        <is>
          <t>Refacturación</t>
        </is>
      </c>
    </row>
    <row r="129" ht="15" customHeight="1" s="700">
      <c r="A129" s="1">
        <f>A128+1</f>
        <v/>
      </c>
      <c r="B129" s="26" t="n">
        <v>45743</v>
      </c>
      <c r="C129" s="1" t="inlineStr">
        <is>
          <t>c/ Las Cruzadas 3A, local D</t>
        </is>
      </c>
      <c r="D129" s="1" t="inlineStr">
        <is>
          <t>Sevilla 41004</t>
        </is>
      </c>
      <c r="E129" s="1" t="inlineStr">
        <is>
          <t>CIF B91938662</t>
        </is>
      </c>
      <c r="F129" s="1" t="inlineStr">
        <is>
          <t>aBalados@abalados.es</t>
        </is>
      </c>
      <c r="G129" s="1" t="inlineStr">
        <is>
          <t>Martinez Montes Tordesillas, S.L.</t>
        </is>
      </c>
      <c r="H129" s="1">
        <f>VLOOKUP($G129,DATOS!$B:$E,2,FALSE)</f>
        <v/>
      </c>
      <c r="I129" s="1">
        <f>VLOOKUP($G129,DATOS!$B:$E,3,FALSE)</f>
        <v/>
      </c>
      <c r="J129" s="1">
        <f>VLOOKUP($G129,DATOS!$B:$E,4,FALSE)</f>
        <v/>
      </c>
      <c r="K129" s="1" t="inlineStr">
        <is>
          <t>Refacturación gastos y/o servicios prestados a nombre de la sociedad</t>
        </is>
      </c>
      <c r="M129" s="1" t="inlineStr">
        <is>
          <t>Jofran Mensajeros, S.L - Envio de documentación</t>
        </is>
      </c>
      <c r="N129" s="5" t="n">
        <v>12.72</v>
      </c>
      <c r="AB129" s="6" t="inlineStr">
        <is>
          <t>ES85 2080 3509 1130 4009 6171</t>
        </is>
      </c>
      <c r="AC129" s="1" t="inlineStr">
        <is>
          <t>pagado</t>
        </is>
      </c>
      <c r="AD129" s="5">
        <f>L129+N129+P129+R129+T129+V129+X129+Z129</f>
        <v/>
      </c>
      <c r="AE129" s="5">
        <f>IF((LEFT(K129,6))="Contab",L129,0)</f>
        <v/>
      </c>
      <c r="AF129" s="6">
        <f>VLOOKUP(G129,CLIENTES!B:E,4,FALSE)</f>
        <v/>
      </c>
      <c r="AG129" s="5">
        <f>AF129*AE129</f>
        <v/>
      </c>
      <c r="AH129" s="5">
        <f>AD129*1.21</f>
        <v/>
      </c>
      <c r="AI129" s="261">
        <f>IF(AE129&lt;&gt;0,AG129/AD129,"N/A")</f>
        <v/>
      </c>
      <c r="AJ129" s="5">
        <f>IF(AC129="pendiente",AD129,0)</f>
        <v/>
      </c>
      <c r="AK129" s="1">
        <f>VLOOKUP(G129,CLIENTES!B:D,3,FALSE)</f>
        <v/>
      </c>
      <c r="AL129" s="1" t="inlineStr">
        <is>
          <t>nudos</t>
        </is>
      </c>
      <c r="AM129" s="1" t="inlineStr">
        <is>
          <t>Refacturación</t>
        </is>
      </c>
    </row>
    <row r="130" ht="15" customHeight="1" s="700">
      <c r="A130" s="1">
        <f>A129+1</f>
        <v/>
      </c>
      <c r="B130" s="26" t="n">
        <v>45743</v>
      </c>
      <c r="C130" s="1" t="inlineStr">
        <is>
          <t>c/ Las Cruzadas 3A, local D</t>
        </is>
      </c>
      <c r="D130" s="1" t="inlineStr">
        <is>
          <t>Sevilla 41004</t>
        </is>
      </c>
      <c r="E130" s="1" t="inlineStr">
        <is>
          <t>CIF B91938662</t>
        </is>
      </c>
      <c r="F130" s="1" t="inlineStr">
        <is>
          <t>aBalados@abalados.es</t>
        </is>
      </c>
      <c r="G130" s="1" t="inlineStr">
        <is>
          <t>Renedo Renovables, S.L.</t>
        </is>
      </c>
      <c r="H130" s="1">
        <f>VLOOKUP($G130,DATOS!$B:$E,2,FALSE)</f>
        <v/>
      </c>
      <c r="I130" s="1">
        <f>VLOOKUP($G130,DATOS!$B:$E,3,FALSE)</f>
        <v/>
      </c>
      <c r="J130" s="1">
        <f>VLOOKUP($G130,DATOS!$B:$E,4,FALSE)</f>
        <v/>
      </c>
      <c r="K130" s="1" t="inlineStr">
        <is>
          <t>Refacturación gastos y/o servicios prestados a nombre de la sociedad</t>
        </is>
      </c>
      <c r="M130" s="1" t="inlineStr">
        <is>
          <t>Jofran Mensajeros, S.L - Envio de documentación</t>
        </is>
      </c>
      <c r="N130" s="5" t="n">
        <v>58.16</v>
      </c>
      <c r="AB130" s="6" t="inlineStr">
        <is>
          <t>ES85 2080 3509 1130 4009 6171</t>
        </is>
      </c>
      <c r="AC130" s="1" t="inlineStr">
        <is>
          <t>pagado</t>
        </is>
      </c>
      <c r="AD130" s="5">
        <f>L130+N130+P130+R130+T130+V130+X130+Z130</f>
        <v/>
      </c>
      <c r="AE130" s="5">
        <f>IF((LEFT(K130,6))="Contab",L130,0)</f>
        <v/>
      </c>
      <c r="AF130" s="6">
        <f>VLOOKUP(G130,CLIENTES!B:E,4,FALSE)</f>
        <v/>
      </c>
      <c r="AG130" s="5">
        <f>AF130*AE130</f>
        <v/>
      </c>
      <c r="AH130" s="5">
        <f>AD130*1.21</f>
        <v/>
      </c>
      <c r="AI130" s="261">
        <f>IF(AE130&lt;&gt;0,AG130/AD130,"N/A")</f>
        <v/>
      </c>
      <c r="AJ130" s="5">
        <f>IF(AC130="pendiente",AD130,0)</f>
        <v/>
      </c>
      <c r="AK130" s="1">
        <f>VLOOKUP(G130,CLIENTES!B:D,3,FALSE)</f>
        <v/>
      </c>
      <c r="AL130" s="1" t="inlineStr">
        <is>
          <t>nudos</t>
        </is>
      </c>
      <c r="AM130" s="1" t="inlineStr">
        <is>
          <t>Refacturación</t>
        </is>
      </c>
    </row>
    <row r="131" ht="15" customHeight="1" s="700">
      <c r="A131" s="1">
        <f>A130+1</f>
        <v/>
      </c>
      <c r="B131" s="26" t="n">
        <v>45743</v>
      </c>
      <c r="C131" s="1" t="inlineStr">
        <is>
          <t>c/ Las Cruzadas 3A, local D</t>
        </is>
      </c>
      <c r="D131" s="1" t="inlineStr">
        <is>
          <t>Sevilla 41004</t>
        </is>
      </c>
      <c r="E131" s="1" t="inlineStr">
        <is>
          <t>CIF B91938662</t>
        </is>
      </c>
      <c r="F131" s="1" t="inlineStr">
        <is>
          <t>aBalados@abalados.es</t>
        </is>
      </c>
      <c r="G131" s="1" t="inlineStr">
        <is>
          <t>Evacuación Salteras, S.L.</t>
        </is>
      </c>
      <c r="H131" s="1">
        <f>VLOOKUP($G131,DATOS!$B:$E,2,FALSE)</f>
        <v/>
      </c>
      <c r="I131" s="1">
        <f>VLOOKUP($G131,DATOS!$B:$E,3,FALSE)</f>
        <v/>
      </c>
      <c r="J131" s="1">
        <f>VLOOKUP($G131,DATOS!$B:$E,4,FALSE)</f>
        <v/>
      </c>
      <c r="K131" s="1" t="inlineStr">
        <is>
          <t>Refacturación gastos y/o servicios prestados a nombre de la sociedad</t>
        </is>
      </c>
      <c r="M131" s="1" t="inlineStr">
        <is>
          <t>Jofran Mensajeros, S.L - Envio de documentación</t>
        </is>
      </c>
      <c r="N131" s="5" t="n">
        <v>12.72</v>
      </c>
      <c r="AB131" s="6" t="inlineStr">
        <is>
          <t>ES85 2080 3509 1130 4009 6171</t>
        </is>
      </c>
      <c r="AC131" s="1" t="inlineStr">
        <is>
          <t>pagado</t>
        </is>
      </c>
      <c r="AD131" s="5">
        <f>L131+N131+P131+R131+T131+V131+X131+Z131</f>
        <v/>
      </c>
      <c r="AE131" s="5">
        <f>IF((LEFT(K131,6))="Contab",L131,0)</f>
        <v/>
      </c>
      <c r="AF131" s="6">
        <f>VLOOKUP(G131,CLIENTES!B:E,4,FALSE)</f>
        <v/>
      </c>
      <c r="AG131" s="5">
        <f>AF131*AE131</f>
        <v/>
      </c>
      <c r="AH131" s="5">
        <f>AD131*1.21</f>
        <v/>
      </c>
      <c r="AI131" s="261">
        <f>IF(AE131&lt;&gt;0,AG131/AD131,"N/A")</f>
        <v/>
      </c>
      <c r="AJ131" s="5">
        <f>IF(AC131="pendiente",AD131,0)</f>
        <v/>
      </c>
      <c r="AK131" s="1">
        <f>VLOOKUP(G131,CLIENTES!B:D,3,FALSE)</f>
        <v/>
      </c>
      <c r="AL131" s="1" t="inlineStr">
        <is>
          <t>nudos</t>
        </is>
      </c>
      <c r="AM131" s="1" t="inlineStr">
        <is>
          <t>Refacturación</t>
        </is>
      </c>
    </row>
    <row r="132" ht="15" customHeight="1" s="700">
      <c r="A132" s="1">
        <f>A131+1</f>
        <v/>
      </c>
      <c r="B132" s="26" t="n">
        <v>45743</v>
      </c>
      <c r="C132" s="1" t="inlineStr">
        <is>
          <t>c/ Las Cruzadas 3A, local D</t>
        </is>
      </c>
      <c r="D132" s="1" t="inlineStr">
        <is>
          <t>Sevilla 41004</t>
        </is>
      </c>
      <c r="E132" s="1" t="inlineStr">
        <is>
          <t>CIF B91938662</t>
        </is>
      </c>
      <c r="F132" s="1" t="inlineStr">
        <is>
          <t>aBalados@abalados.es</t>
        </is>
      </c>
      <c r="G132" s="1" t="inlineStr">
        <is>
          <t>San Pedro Pinatar Renovables, S.L.</t>
        </is>
      </c>
      <c r="H132" s="1">
        <f>VLOOKUP($G132,DATOS!$B:$E,2,FALSE)</f>
        <v/>
      </c>
      <c r="I132" s="1">
        <f>VLOOKUP($G132,DATOS!$B:$E,3,FALSE)</f>
        <v/>
      </c>
      <c r="J132" s="1">
        <f>VLOOKUP($G132,DATOS!$B:$E,4,FALSE)</f>
        <v/>
      </c>
      <c r="K132" s="1" t="inlineStr">
        <is>
          <t>Refacturación gastos y/o servicios prestados a nombre de la sociedad</t>
        </is>
      </c>
      <c r="M132" s="1" t="inlineStr">
        <is>
          <t>Jofran Mensajeros, S.L - Envio de documentación</t>
        </is>
      </c>
      <c r="N132" s="5" t="n">
        <v>25.88</v>
      </c>
      <c r="O132" s="1" t="inlineStr">
        <is>
          <t>REGISTRO MERCANTIL DE MADRID Nº 2025/10841</t>
        </is>
      </c>
      <c r="P132" s="5" t="n">
        <v>48.68</v>
      </c>
      <c r="Q132" s="1" t="inlineStr">
        <is>
          <t>REGISTRO MERCANTIL DE MADRID Nº 2025/10902</t>
        </is>
      </c>
      <c r="R132" s="5" t="n">
        <v>39.97</v>
      </c>
      <c r="AB132" s="6" t="inlineStr">
        <is>
          <t>ES85 2080 3509 1130 4009 6171</t>
        </is>
      </c>
      <c r="AC132" s="1" t="inlineStr">
        <is>
          <t>pagado</t>
        </is>
      </c>
      <c r="AD132" s="5">
        <f>L132+N132+P132+R132+T132+V132+X132+Z132</f>
        <v/>
      </c>
      <c r="AE132" s="5">
        <f>IF((LEFT(K132,6))="Contab",L132,0)</f>
        <v/>
      </c>
      <c r="AF132" s="6">
        <f>VLOOKUP(G132,CLIENTES!B:E,4,FALSE)</f>
        <v/>
      </c>
      <c r="AG132" s="5">
        <f>AF132*AE132</f>
        <v/>
      </c>
      <c r="AH132" s="5">
        <f>AD132*1.21</f>
        <v/>
      </c>
      <c r="AI132" s="261">
        <f>IF(AE132&lt;&gt;0,AG132/AD132,"N/A")</f>
        <v/>
      </c>
      <c r="AJ132" s="5">
        <f>IF(AC132="pendiente",AD132,0)</f>
        <v/>
      </c>
      <c r="AK132" s="1">
        <f>VLOOKUP(G132,CLIENTES!B:D,3,FALSE)</f>
        <v/>
      </c>
      <c r="AL132" s="1" t="inlineStr">
        <is>
          <t>nudos</t>
        </is>
      </c>
      <c r="AM132" s="1" t="inlineStr">
        <is>
          <t>Refacturación</t>
        </is>
      </c>
    </row>
    <row r="133" ht="15" customHeight="1" s="700">
      <c r="A133" s="1">
        <f>A132+1</f>
        <v/>
      </c>
      <c r="B133" s="26" t="n">
        <v>45743</v>
      </c>
      <c r="C133" s="1" t="inlineStr">
        <is>
          <t>c/ Las Cruzadas 3A, local D</t>
        </is>
      </c>
      <c r="D133" s="1" t="inlineStr">
        <is>
          <t>Sevilla 41004</t>
        </is>
      </c>
      <c r="E133" s="1" t="inlineStr">
        <is>
          <t>CIF B91938662</t>
        </is>
      </c>
      <c r="F133" s="1" t="inlineStr">
        <is>
          <t>aBalados@abalados.es</t>
        </is>
      </c>
      <c r="G133" s="1" t="inlineStr">
        <is>
          <t>ICE Andújar, S.L.</t>
        </is>
      </c>
      <c r="H133" s="1">
        <f>VLOOKUP($G133,DATOS!$B:$E,2,FALSE)</f>
        <v/>
      </c>
      <c r="I133" s="1">
        <f>VLOOKUP($G133,DATOS!$B:$E,3,FALSE)</f>
        <v/>
      </c>
      <c r="J133" s="1">
        <f>VLOOKUP($G133,DATOS!$B:$E,4,FALSE)</f>
        <v/>
      </c>
      <c r="K133" s="1" t="inlineStr">
        <is>
          <t>Refacturación gastos y/o servicios prestados a nombre de la sociedad</t>
        </is>
      </c>
      <c r="M133" s="1" t="inlineStr">
        <is>
          <t>Jofran Mensajeros, S.L - Envio de documentación</t>
        </is>
      </c>
      <c r="N133" s="5" t="n">
        <v>51.31</v>
      </c>
      <c r="AB133" s="6" t="inlineStr">
        <is>
          <t>ES85 2080 3509 1130 4009 6171</t>
        </is>
      </c>
      <c r="AC133" s="1" t="inlineStr">
        <is>
          <t>pendiente</t>
        </is>
      </c>
      <c r="AD133" s="5">
        <f>L133+N133+P133+R133+T133+V133+X133+Z133</f>
        <v/>
      </c>
      <c r="AE133" s="5">
        <f>IF((LEFT(K133,6))="Contab",L133,0)</f>
        <v/>
      </c>
      <c r="AF133" s="6">
        <f>VLOOKUP(G133,CLIENTES!B:E,4,FALSE)</f>
        <v/>
      </c>
      <c r="AG133" s="5">
        <f>AF133*AE133</f>
        <v/>
      </c>
      <c r="AH133" s="5">
        <f>AD133*1.21</f>
        <v/>
      </c>
      <c r="AI133" s="261">
        <f>IF(AE133&lt;&gt;0,AG133/AD133,"N/A")</f>
        <v/>
      </c>
      <c r="AJ133" s="5">
        <f>IF(AC133="pendiente",AD133,0)</f>
        <v/>
      </c>
      <c r="AK133" s="1">
        <f>VLOOKUP(G133,CLIENTES!B:D,3,FALSE)</f>
        <v/>
      </c>
      <c r="AL133" s="1" t="inlineStr">
        <is>
          <t>nudos</t>
        </is>
      </c>
      <c r="AM133" s="1" t="inlineStr">
        <is>
          <t>Refacturación</t>
        </is>
      </c>
    </row>
    <row r="134" ht="15" customHeight="1" s="700">
      <c r="A134" s="1">
        <f>A133+1</f>
        <v/>
      </c>
      <c r="B134" s="26" t="n">
        <v>45743</v>
      </c>
      <c r="C134" s="1" t="inlineStr">
        <is>
          <t>c/ Las Cruzadas 3A, local D</t>
        </is>
      </c>
      <c r="D134" s="1" t="inlineStr">
        <is>
          <t>Sevilla 41004</t>
        </is>
      </c>
      <c r="E134" s="1" t="inlineStr">
        <is>
          <t>CIF B91938662</t>
        </is>
      </c>
      <c r="F134" s="1" t="inlineStr">
        <is>
          <t>aBalados@abalados.es</t>
        </is>
      </c>
      <c r="G134" s="1" t="inlineStr">
        <is>
          <t>Valcabado Renovables 220 kV, S.L.</t>
        </is>
      </c>
      <c r="H134" s="1">
        <f>VLOOKUP($G134,DATOS!$B:$E,2,FALSE)</f>
        <v/>
      </c>
      <c r="I134" s="1">
        <f>VLOOKUP($G134,DATOS!$B:$E,3,FALSE)</f>
        <v/>
      </c>
      <c r="J134" s="1">
        <f>VLOOKUP($G134,DATOS!$B:$E,4,FALSE)</f>
        <v/>
      </c>
      <c r="K134" s="1" t="inlineStr">
        <is>
          <t>Refacturación gastos y/o servicios prestados a nombre de la sociedad</t>
        </is>
      </c>
      <c r="M134" s="1" t="inlineStr">
        <is>
          <t>OFICINA VIRTUAL DE CORREO Nº 240437247</t>
        </is>
      </c>
      <c r="N134" s="5" t="n">
        <v>26.27</v>
      </c>
      <c r="O134" s="1" t="inlineStr">
        <is>
          <t>ABREFACIL S.L.  (EL BOMBIN) Nº F25/4</t>
        </is>
      </c>
      <c r="P134" s="5" t="n">
        <v>4.96</v>
      </c>
      <c r="AB134" s="6" t="inlineStr">
        <is>
          <t>ES85 2080 3509 1130 4009 6171</t>
        </is>
      </c>
      <c r="AC134" s="1" t="inlineStr">
        <is>
          <t>pagado</t>
        </is>
      </c>
      <c r="AD134" s="5">
        <f>L134+N134+P134+R134+T134+V134+X134+Z134</f>
        <v/>
      </c>
      <c r="AE134" s="5">
        <f>IF((LEFT(K134,6))="Contab",L134,0)</f>
        <v/>
      </c>
      <c r="AF134" s="6">
        <f>VLOOKUP(G134,CLIENTES!B:E,4,FALSE)</f>
        <v/>
      </c>
      <c r="AG134" s="5">
        <f>AF134*AE134</f>
        <v/>
      </c>
      <c r="AH134" s="5">
        <f>AD134*1.21</f>
        <v/>
      </c>
      <c r="AI134" s="261">
        <f>IF(AE134&lt;&gt;0,AG134/AD134,"N/A")</f>
        <v/>
      </c>
      <c r="AJ134" s="5">
        <f>IF(AC134="pendiente",AD134,0)</f>
        <v/>
      </c>
      <c r="AK134" s="1">
        <f>VLOOKUP(G134,CLIENTES!B:D,3,FALSE)</f>
        <v/>
      </c>
      <c r="AL134" s="1" t="inlineStr">
        <is>
          <t>nudos</t>
        </is>
      </c>
      <c r="AM134" s="1" t="inlineStr">
        <is>
          <t>Refacturación</t>
        </is>
      </c>
    </row>
    <row r="135" ht="15" customHeight="1" s="700">
      <c r="A135" s="1">
        <f>A134+1</f>
        <v/>
      </c>
      <c r="B135" s="26" t="n">
        <v>45743</v>
      </c>
      <c r="C135" s="1" t="inlineStr">
        <is>
          <t>c/ Las Cruzadas 3A, local D</t>
        </is>
      </c>
      <c r="D135" s="1" t="inlineStr">
        <is>
          <t>Sevilla 41004</t>
        </is>
      </c>
      <c r="E135" s="1" t="inlineStr">
        <is>
          <t>CIF B91938662</t>
        </is>
      </c>
      <c r="F135" s="1" t="inlineStr">
        <is>
          <t>aBalados@abalados.es</t>
        </is>
      </c>
      <c r="G135" s="1" t="inlineStr">
        <is>
          <t>ICE Sequero, S.L.</t>
        </is>
      </c>
      <c r="H135" s="1">
        <f>VLOOKUP($G135,DATOS!$B:$E,2,FALSE)</f>
        <v/>
      </c>
      <c r="I135" s="1">
        <f>VLOOKUP($G135,DATOS!$B:$E,3,FALSE)</f>
        <v/>
      </c>
      <c r="J135" s="1">
        <f>VLOOKUP($G135,DATOS!$B:$E,4,FALSE)</f>
        <v/>
      </c>
      <c r="K135" s="1" t="inlineStr">
        <is>
          <t>Refacturación gastos y/o servicios prestados a nombre de la sociedad</t>
        </is>
      </c>
      <c r="M135" s="1" t="inlineStr">
        <is>
          <t>Jofran Mensajeros, S.L - Envio de documentación</t>
        </is>
      </c>
      <c r="N135" s="5" t="n">
        <v>10.94</v>
      </c>
      <c r="O135" s="1" t="inlineStr">
        <is>
          <t>OFICINA VIRTUAL DE CORREO Nº250846716</t>
        </is>
      </c>
      <c r="P135" s="5" t="n">
        <v>27.74</v>
      </c>
      <c r="AB135" s="6" t="inlineStr">
        <is>
          <t>ES85 2080 3509 1130 4009 6171</t>
        </is>
      </c>
      <c r="AC135" s="1" t="inlineStr">
        <is>
          <t>pendiente</t>
        </is>
      </c>
      <c r="AD135" s="5">
        <f>L135+N135+P135+R135+T135+V135+X135+Z135</f>
        <v/>
      </c>
      <c r="AE135" s="5">
        <f>IF((LEFT(K135,6))="Contab",L135,0)</f>
        <v/>
      </c>
      <c r="AF135" s="6">
        <f>VLOOKUP(G135,CLIENTES!B:E,4,FALSE)</f>
        <v/>
      </c>
      <c r="AG135" s="5">
        <f>AF135*AE135</f>
        <v/>
      </c>
      <c r="AH135" s="5">
        <f>AD135*1.21</f>
        <v/>
      </c>
      <c r="AI135" s="261">
        <f>IF(AE135&lt;&gt;0,AG135/AD135,"N/A")</f>
        <v/>
      </c>
      <c r="AJ135" s="5">
        <f>IF(AC135="pendiente",AD135,0)</f>
        <v/>
      </c>
      <c r="AK135" s="1">
        <f>VLOOKUP(G135,CLIENTES!B:D,3,FALSE)</f>
        <v/>
      </c>
      <c r="AL135" s="1" t="inlineStr">
        <is>
          <t>nudos</t>
        </is>
      </c>
      <c r="AM135" s="1" t="inlineStr">
        <is>
          <t>Refacturación</t>
        </is>
      </c>
    </row>
    <row r="136" ht="15" customHeight="1" s="700">
      <c r="A136" s="1">
        <f>A135+1</f>
        <v/>
      </c>
      <c r="B136" s="26" t="n">
        <v>45743</v>
      </c>
      <c r="C136" s="1" t="inlineStr">
        <is>
          <t>c/ Las Cruzadas 3A, local D</t>
        </is>
      </c>
      <c r="D136" s="1" t="inlineStr">
        <is>
          <t>Sevilla 41004</t>
        </is>
      </c>
      <c r="E136" s="1" t="inlineStr">
        <is>
          <t>CIF B91938662</t>
        </is>
      </c>
      <c r="F136" s="1" t="inlineStr">
        <is>
          <t>aBalados@abalados.es</t>
        </is>
      </c>
      <c r="G136" s="1" t="inlineStr">
        <is>
          <t>Promotores Albatarrec 220 kV, S.L.</t>
        </is>
      </c>
      <c r="H136" s="1">
        <f>VLOOKUP($G136,DATOS!$B:$E,2,FALSE)</f>
        <v/>
      </c>
      <c r="I136" s="1">
        <f>VLOOKUP($G136,DATOS!$B:$E,3,FALSE)</f>
        <v/>
      </c>
      <c r="J136" s="1">
        <f>VLOOKUP($G136,DATOS!$B:$E,4,FALSE)</f>
        <v/>
      </c>
      <c r="K136" s="1" t="inlineStr">
        <is>
          <t>Refacturación gastos y/o servicios prestados a nombre de la sociedad</t>
        </is>
      </c>
      <c r="M136" s="1" t="inlineStr">
        <is>
          <t>Jofran Mensajeros, S.L - Envio de documentación</t>
        </is>
      </c>
      <c r="N136" s="5" t="n">
        <v>12.94</v>
      </c>
      <c r="O136" s="1" t="inlineStr">
        <is>
          <t>REGISTRO MERCANTIL DE MADRID Nº 2025/13303</t>
        </is>
      </c>
      <c r="P136" s="5" t="n">
        <v>65.51000000000001</v>
      </c>
      <c r="Q136" s="1" t="inlineStr">
        <is>
          <t>REGISTRO MERCANTIL DE MADRID Nº 2025/13304</t>
        </is>
      </c>
      <c r="R136" s="5" t="n">
        <v>42.97</v>
      </c>
      <c r="AB136" s="6" t="inlineStr">
        <is>
          <t>ES85 2080 3509 1130 4009 6171</t>
        </is>
      </c>
      <c r="AC136" s="1" t="inlineStr">
        <is>
          <t>pagado</t>
        </is>
      </c>
      <c r="AD136" s="5">
        <f>L136+N136+P136+R136+T136+V136+X136+Z136</f>
        <v/>
      </c>
      <c r="AE136" s="5">
        <f>IF((LEFT(K136,6))="Contab",L136,0)</f>
        <v/>
      </c>
      <c r="AF136" s="6">
        <f>VLOOKUP(G136,CLIENTES!B:E,4,FALSE)</f>
        <v/>
      </c>
      <c r="AG136" s="5">
        <f>AF136*AE136</f>
        <v/>
      </c>
      <c r="AH136" s="5">
        <f>AD136*1.21</f>
        <v/>
      </c>
      <c r="AI136" s="261">
        <f>IF(AE136&lt;&gt;0,AG136/AD136,"N/A")</f>
        <v/>
      </c>
      <c r="AJ136" s="5">
        <f>IF(AC136="pendiente",AD136,0)</f>
        <v/>
      </c>
      <c r="AK136" s="1">
        <f>VLOOKUP(G136,CLIENTES!B:D,3,FALSE)</f>
        <v/>
      </c>
      <c r="AL136" s="1" t="inlineStr">
        <is>
          <t>nudos</t>
        </is>
      </c>
      <c r="AM136" s="1" t="inlineStr">
        <is>
          <t>Refacturación</t>
        </is>
      </c>
    </row>
    <row r="137" ht="15" customHeight="1" s="700">
      <c r="A137" s="1">
        <f>A136+1</f>
        <v/>
      </c>
      <c r="B137" s="26" t="n">
        <v>45743</v>
      </c>
      <c r="C137" s="1" t="inlineStr">
        <is>
          <t>c/ Las Cruzadas 3A, local D</t>
        </is>
      </c>
      <c r="D137" s="1" t="inlineStr">
        <is>
          <t>Sevilla 41004</t>
        </is>
      </c>
      <c r="E137" s="1" t="inlineStr">
        <is>
          <t>CIF B91938662</t>
        </is>
      </c>
      <c r="F137" s="1" t="inlineStr">
        <is>
          <t>aBalados@abalados.es</t>
        </is>
      </c>
      <c r="G137" s="1" t="inlineStr">
        <is>
          <t>Maria Renovables, S.L.</t>
        </is>
      </c>
      <c r="H137" s="1">
        <f>VLOOKUP($G137,DATOS!$B:$E,2,FALSE)</f>
        <v/>
      </c>
      <c r="I137" s="1">
        <f>VLOOKUP($G137,DATOS!$B:$E,3,FALSE)</f>
        <v/>
      </c>
      <c r="J137" s="1">
        <f>VLOOKUP($G137,DATOS!$B:$E,4,FALSE)</f>
        <v/>
      </c>
      <c r="K137" s="1" t="inlineStr">
        <is>
          <t>Refacturación gastos y/o servicios prestados a nombre de la sociedad</t>
        </is>
      </c>
      <c r="M137" s="1" t="inlineStr">
        <is>
          <t>Jofran Mensajeros, S.L - Envio de documentación</t>
        </is>
      </c>
      <c r="N137" s="5" t="n">
        <v>12.72</v>
      </c>
      <c r="AB137" s="6" t="inlineStr">
        <is>
          <t>ES85 2080 3509 1130 4009 6171</t>
        </is>
      </c>
      <c r="AC137" s="1" t="inlineStr">
        <is>
          <t>pagado</t>
        </is>
      </c>
      <c r="AD137" s="5">
        <f>L137+N137+P137+R137+T137+V137+X137+Z137</f>
        <v/>
      </c>
      <c r="AE137" s="5">
        <f>IF((LEFT(K137,6))="Contab",L137,0)</f>
        <v/>
      </c>
      <c r="AF137" s="6">
        <f>VLOOKUP(G137,CLIENTES!B:E,4,FALSE)</f>
        <v/>
      </c>
      <c r="AG137" s="5">
        <f>AF137*AE137</f>
        <v/>
      </c>
      <c r="AH137" s="5">
        <f>AD137*1.21</f>
        <v/>
      </c>
      <c r="AI137" s="261">
        <f>IF(AE137&lt;&gt;0,AG137/AD137,"N/A")</f>
        <v/>
      </c>
      <c r="AJ137" s="5">
        <f>IF(AC137="pendiente",AD137,0)</f>
        <v/>
      </c>
      <c r="AK137" s="1">
        <f>VLOOKUP(G137,CLIENTES!B:D,3,FALSE)</f>
        <v/>
      </c>
      <c r="AL137" s="1" t="inlineStr">
        <is>
          <t>nudos</t>
        </is>
      </c>
      <c r="AM137" s="1" t="inlineStr">
        <is>
          <t>Refacturación</t>
        </is>
      </c>
    </row>
    <row r="138" ht="15" customHeight="1" s="700">
      <c r="A138" s="1">
        <f>A137+1</f>
        <v/>
      </c>
      <c r="B138" s="26" t="n">
        <v>45743</v>
      </c>
      <c r="C138" s="1" t="inlineStr">
        <is>
          <t>c/ Las Cruzadas 3A, local D</t>
        </is>
      </c>
      <c r="D138" s="1" t="inlineStr">
        <is>
          <t>Sevilla 41004</t>
        </is>
      </c>
      <c r="E138" s="1" t="inlineStr">
        <is>
          <t>CIF B91938662</t>
        </is>
      </c>
      <c r="F138" s="1" t="inlineStr">
        <is>
          <t>aBalados@abalados.es</t>
        </is>
      </c>
      <c r="G138" s="1" t="inlineStr">
        <is>
          <t>Tordesillas T2PRIMA 132KV, S.L.</t>
        </is>
      </c>
      <c r="H138" s="1">
        <f>VLOOKUP($G138,DATOS!$B:$E,2,FALSE)</f>
        <v/>
      </c>
      <c r="I138" s="1">
        <f>VLOOKUP($G138,DATOS!$B:$E,3,FALSE)</f>
        <v/>
      </c>
      <c r="J138" s="1">
        <f>VLOOKUP($G138,DATOS!$B:$E,4,FALSE)</f>
        <v/>
      </c>
      <c r="K138" s="1" t="inlineStr">
        <is>
          <t>Refacturación gastos y/o servicios prestados a nombre de la sociedad</t>
        </is>
      </c>
      <c r="M138" s="1" t="inlineStr">
        <is>
          <t>Jofran Mensajeros, S.L - Envio de documentación</t>
        </is>
      </c>
      <c r="N138" s="5" t="n">
        <v>6.58</v>
      </c>
      <c r="AB138" s="6" t="inlineStr">
        <is>
          <t>ES85 2080 3509 1130 4009 6171</t>
        </is>
      </c>
      <c r="AC138" s="1" t="inlineStr">
        <is>
          <t>pagado</t>
        </is>
      </c>
      <c r="AD138" s="5">
        <f>L138+N138+P138+R138+T138+V138+X138+Z138</f>
        <v/>
      </c>
      <c r="AE138" s="5">
        <f>IF((LEFT(K138,6))="Contab",L138,0)</f>
        <v/>
      </c>
      <c r="AF138" s="6">
        <f>VLOOKUP(G138,CLIENTES!B:E,4,FALSE)</f>
        <v/>
      </c>
      <c r="AG138" s="5">
        <f>AF138*AE138</f>
        <v/>
      </c>
      <c r="AH138" s="5">
        <f>AD138*1.21</f>
        <v/>
      </c>
      <c r="AI138" s="261">
        <f>IF(AE138&lt;&gt;0,AG138/AD138,"N/A")</f>
        <v/>
      </c>
      <c r="AJ138" s="5">
        <f>IF(AC138="pendiente",AD138,0)</f>
        <v/>
      </c>
      <c r="AK138" s="1">
        <f>VLOOKUP(G138,CLIENTES!B:D,3,FALSE)</f>
        <v/>
      </c>
      <c r="AL138" s="1" t="inlineStr">
        <is>
          <t>nudos</t>
        </is>
      </c>
      <c r="AM138" s="1" t="inlineStr">
        <is>
          <t>Refacturación</t>
        </is>
      </c>
    </row>
    <row r="139" ht="15" customHeight="1" s="700">
      <c r="A139" s="1">
        <f>A138+1</f>
        <v/>
      </c>
      <c r="B139" s="26" t="n">
        <v>45743</v>
      </c>
      <c r="C139" s="1" t="inlineStr">
        <is>
          <t>c/ Las Cruzadas 3A, local D</t>
        </is>
      </c>
      <c r="D139" s="1" t="inlineStr">
        <is>
          <t>Sevilla 41004</t>
        </is>
      </c>
      <c r="E139" s="1" t="inlineStr">
        <is>
          <t>CIF B91938662</t>
        </is>
      </c>
      <c r="F139" s="1" t="inlineStr">
        <is>
          <t>aBalados@abalados.es</t>
        </is>
      </c>
      <c r="G139" s="1" t="inlineStr">
        <is>
          <t>Colectora Carmona, S.L.</t>
        </is>
      </c>
      <c r="H139" s="1">
        <f>VLOOKUP($G139,DATOS!$B:$E,2,FALSE)</f>
        <v/>
      </c>
      <c r="I139" s="1">
        <f>VLOOKUP($G139,DATOS!$B:$E,3,FALSE)</f>
        <v/>
      </c>
      <c r="J139" s="1">
        <f>VLOOKUP($G139,DATOS!$B:$E,4,FALSE)</f>
        <v/>
      </c>
      <c r="K139" s="1" t="inlineStr">
        <is>
          <t>Refacturación gastos y/o servicios prestados a nombre de la sociedad</t>
        </is>
      </c>
      <c r="M139" s="1" t="inlineStr">
        <is>
          <t>Jofran Mensajeros, S.L - Envio de documentación</t>
        </is>
      </c>
      <c r="N139" s="5" t="n">
        <v>5.93</v>
      </c>
      <c r="AB139" s="6" t="inlineStr">
        <is>
          <t>ES85 2080 3509 1130 4009 6171</t>
        </is>
      </c>
      <c r="AC139" s="1" t="inlineStr">
        <is>
          <t>pagado</t>
        </is>
      </c>
      <c r="AD139" s="5">
        <f>L139+N139+P139+R139+T139+V139+X139+Z139</f>
        <v/>
      </c>
      <c r="AE139" s="5">
        <f>IF((LEFT(K139,6))="Contab",L139,0)</f>
        <v/>
      </c>
      <c r="AF139" s="6">
        <f>VLOOKUP(G139,CLIENTES!B:E,4,FALSE)</f>
        <v/>
      </c>
      <c r="AG139" s="5">
        <f>AF139*AE139</f>
        <v/>
      </c>
      <c r="AH139" s="5">
        <f>AD139*1.21</f>
        <v/>
      </c>
      <c r="AI139" s="261">
        <f>IF(AE139&lt;&gt;0,AG139/AD139,"N/A")</f>
        <v/>
      </c>
      <c r="AJ139" s="5">
        <f>IF(AC139="pendiente",AD139,0)</f>
        <v/>
      </c>
      <c r="AK139" s="1">
        <f>VLOOKUP(G139,CLIENTES!B:D,3,FALSE)</f>
        <v/>
      </c>
      <c r="AL139" s="1" t="inlineStr">
        <is>
          <t>nudos</t>
        </is>
      </c>
      <c r="AM139" s="1" t="inlineStr">
        <is>
          <t>Refacturación</t>
        </is>
      </c>
    </row>
    <row r="140" ht="15" customHeight="1" s="700">
      <c r="A140" s="1">
        <f>A139+1</f>
        <v/>
      </c>
      <c r="B140" s="26" t="n">
        <v>45743</v>
      </c>
      <c r="C140" s="1" t="inlineStr">
        <is>
          <t>c/ Las Cruzadas 3A, local D</t>
        </is>
      </c>
      <c r="D140" s="1" t="inlineStr">
        <is>
          <t>Sevilla 41004</t>
        </is>
      </c>
      <c r="E140" s="1" t="inlineStr">
        <is>
          <t>CIF B91938662</t>
        </is>
      </c>
      <c r="F140" s="1" t="inlineStr">
        <is>
          <t>aBalados@abalados.es</t>
        </is>
      </c>
      <c r="G140" s="1" t="inlineStr">
        <is>
          <t>Promotores Benejama Generación, S.L.</t>
        </is>
      </c>
      <c r="H140" s="1">
        <f>VLOOKUP($G140,DATOS!$B:$E,2,FALSE)</f>
        <v/>
      </c>
      <c r="I140" s="1">
        <f>VLOOKUP($G140,DATOS!$B:$E,3,FALSE)</f>
        <v/>
      </c>
      <c r="J140" s="1">
        <f>VLOOKUP($G140,DATOS!$B:$E,4,FALSE)</f>
        <v/>
      </c>
      <c r="K140" s="1" t="inlineStr">
        <is>
          <t>Refacturación gastos y/o servicios prestados a nombre de la sociedad</t>
        </is>
      </c>
      <c r="M140" s="1" t="inlineStr">
        <is>
          <t>Jofran Mensajeros, S.L - Envio de documentación</t>
        </is>
      </c>
      <c r="N140" s="5" t="n">
        <v>7.65</v>
      </c>
      <c r="AB140" s="6" t="inlineStr">
        <is>
          <t>ES85 2080 3509 1130 4009 6171</t>
        </is>
      </c>
      <c r="AC140" s="1" t="inlineStr">
        <is>
          <t>pagado</t>
        </is>
      </c>
      <c r="AD140" s="5">
        <f>L140+N140+P140+R140+T140+V140+X140+Z140</f>
        <v/>
      </c>
      <c r="AE140" s="5">
        <f>IF((LEFT(K140,6))="Contab",L140,0)</f>
        <v/>
      </c>
      <c r="AF140" s="6">
        <f>VLOOKUP(G140,CLIENTES!B:E,4,FALSE)</f>
        <v/>
      </c>
      <c r="AG140" s="5">
        <f>AF140*AE140</f>
        <v/>
      </c>
      <c r="AH140" s="5">
        <f>AD140*1.21</f>
        <v/>
      </c>
      <c r="AI140" s="261">
        <f>IF(AE140&lt;&gt;0,AG140/AD140,"N/A")</f>
        <v/>
      </c>
      <c r="AJ140" s="5">
        <f>IF(AC140="pendiente",AD140,0)</f>
        <v/>
      </c>
      <c r="AK140" s="1">
        <f>VLOOKUP(G140,CLIENTES!B:D,3,FALSE)</f>
        <v/>
      </c>
      <c r="AL140" s="1" t="inlineStr">
        <is>
          <t>nudos</t>
        </is>
      </c>
      <c r="AM140" s="1" t="inlineStr">
        <is>
          <t>Refacturación</t>
        </is>
      </c>
    </row>
    <row r="141" ht="15" customFormat="1" customHeight="1" s="527" thickBot="1">
      <c r="A141" s="527">
        <f>A140+1</f>
        <v/>
      </c>
      <c r="B141" s="529" t="n">
        <v>45743</v>
      </c>
      <c r="C141" s="527" t="inlineStr">
        <is>
          <t>c/ Las Cruzadas 3A, local D</t>
        </is>
      </c>
      <c r="D141" s="527" t="inlineStr">
        <is>
          <t>Sevilla 41004</t>
        </is>
      </c>
      <c r="E141" s="527" t="inlineStr">
        <is>
          <t>CIF B91938662</t>
        </is>
      </c>
      <c r="F141" s="527" t="inlineStr">
        <is>
          <t>aBalados@abalados.es</t>
        </is>
      </c>
      <c r="G141" s="527" t="inlineStr">
        <is>
          <t>Arcadia Renovables, S.L.</t>
        </is>
      </c>
      <c r="H141" s="527">
        <f>VLOOKUP($G141,DATOS!$B:$E,2,FALSE)</f>
        <v/>
      </c>
      <c r="I141" s="527">
        <f>VLOOKUP($G141,DATOS!$B:$E,3,FALSE)</f>
        <v/>
      </c>
      <c r="J141" s="527">
        <f>VLOOKUP($G141,DATOS!$B:$E,4,FALSE)</f>
        <v/>
      </c>
      <c r="K141" s="527" t="inlineStr">
        <is>
          <t>Refacturación gastos y/o servicios prestados a nombre de la sociedad</t>
        </is>
      </c>
      <c r="L141" s="528" t="n"/>
      <c r="M141" s="527" t="inlineStr">
        <is>
          <t>Registro de la Propiedad de CARMONA sumatorio servidumbres</t>
        </is>
      </c>
      <c r="N141" s="528" t="n">
        <v>229.1239669421488</v>
      </c>
      <c r="P141" s="528" t="n"/>
      <c r="R141" s="528" t="n"/>
      <c r="T141" s="528" t="n"/>
      <c r="V141" s="528" t="n"/>
      <c r="X141" s="528" t="n"/>
      <c r="Z141" s="528" t="n"/>
      <c r="AA141" s="528" t="n"/>
      <c r="AB141" s="531" t="inlineStr">
        <is>
          <t>ES85 2080 3509 1130 4009 6171</t>
        </is>
      </c>
      <c r="AC141" s="527" t="inlineStr">
        <is>
          <t>pendiente</t>
        </is>
      </c>
      <c r="AD141" s="528">
        <f>L141+N141+P141+R141+T141+V141+X141+Z141</f>
        <v/>
      </c>
      <c r="AE141" s="528">
        <f>IF((LEFT(K141,6))="Contab",L141,0)</f>
        <v/>
      </c>
      <c r="AF141" s="531">
        <f>VLOOKUP(G141,CLIENTES!B:E,4,FALSE)</f>
        <v/>
      </c>
      <c r="AG141" s="528">
        <f>AF141*AE141</f>
        <v/>
      </c>
      <c r="AH141" s="528">
        <f>AD141*1.21</f>
        <v/>
      </c>
      <c r="AI141" s="532">
        <f>IF(AE141&lt;&gt;0,AG141/AD141,"N/A")</f>
        <v/>
      </c>
      <c r="AJ141" s="528">
        <f>IF(AC141="pendiente",AD141,0)</f>
        <v/>
      </c>
      <c r="AK141" s="527">
        <f>VLOOKUP(G141,CLIENTES!B:D,3,FALSE)</f>
        <v/>
      </c>
      <c r="AL141" s="527" t="inlineStr">
        <is>
          <t>nudos</t>
        </is>
      </c>
      <c r="AM141" s="527" t="inlineStr">
        <is>
          <t>Refacturación</t>
        </is>
      </c>
    </row>
    <row r="142" ht="15" customFormat="1" customHeight="1" s="258">
      <c r="A142" s="258">
        <f>A141+1</f>
        <v/>
      </c>
      <c r="B142" s="299" t="n">
        <v>45750</v>
      </c>
      <c r="C142" s="258" t="inlineStr">
        <is>
          <t>c/ Las Cruzadas 3A, local D</t>
        </is>
      </c>
      <c r="D142" s="258" t="inlineStr">
        <is>
          <t>Sevilla 41004</t>
        </is>
      </c>
      <c r="E142" s="258" t="inlineStr">
        <is>
          <t>CIF B91938662</t>
        </is>
      </c>
      <c r="F142" s="258" t="inlineStr">
        <is>
          <t>aBalados@abalados.es</t>
        </is>
      </c>
      <c r="G142" s="258" t="inlineStr">
        <is>
          <t>Dehesa Asomadilla Inversiones S.L.U.</t>
        </is>
      </c>
      <c r="H142" s="258">
        <f>VLOOKUP($G142,DATOS!$B:$E,2,FALSE)</f>
        <v/>
      </c>
      <c r="I142" s="258">
        <f>VLOOKUP($G142,DATOS!$B:$E,3,FALSE)</f>
        <v/>
      </c>
      <c r="J142" s="258">
        <f>VLOOKUP($G142,DATOS!$B:$E,4,FALSE)</f>
        <v/>
      </c>
      <c r="K142" s="258" t="inlineStr">
        <is>
          <t>Contabilidad y Fiscalidad de proyecto Valverde - 2º Trimestre</t>
        </is>
      </c>
      <c r="L142" s="259">
        <f>'Tarifa 2025'!$D$5/4</f>
        <v/>
      </c>
      <c r="M142" s="258" t="inlineStr">
        <is>
          <t>SPV Management  Proyecto Valverde - 2º Trimestre</t>
        </is>
      </c>
      <c r="N142" s="259">
        <f>'Tarifa 2025'!$F$5/4</f>
        <v/>
      </c>
      <c r="O142" s="258" t="inlineStr">
        <is>
          <t>O&amp;M Management Proyecto Valverde - 2º Trimestre</t>
        </is>
      </c>
      <c r="P142" s="259">
        <f>'Tarifa 2025'!$H$5/4</f>
        <v/>
      </c>
      <c r="Q142" s="258" t="inlineStr">
        <is>
          <t>Consultoría - 2º Trimestre</t>
        </is>
      </c>
      <c r="R142" s="259">
        <f>'Tarifa 2025'!$J$5/4</f>
        <v/>
      </c>
      <c r="S142" s="258" t="inlineStr">
        <is>
          <t>Corrección 1T2025</t>
        </is>
      </c>
      <c r="T142" s="259">
        <f>(L142-L2)+(N142-N2)+(P142-P2)+(R142-R2)</f>
        <v/>
      </c>
      <c r="V142" s="259" t="n"/>
      <c r="X142" s="259" t="n"/>
      <c r="Y142" s="258" t="inlineStr">
        <is>
          <t>Gastos derivados de contrato (3,5%)</t>
        </is>
      </c>
      <c r="Z142" s="259">
        <f>(L142+N142+P142+R142+T142+V142+X142)*0.035</f>
        <v/>
      </c>
      <c r="AA142" s="259" t="n"/>
      <c r="AB142" s="260" t="inlineStr">
        <is>
          <t>ES85 2080 3509 1130 4009 6171</t>
        </is>
      </c>
      <c r="AC142" s="258" t="inlineStr">
        <is>
          <t>pagado</t>
        </is>
      </c>
      <c r="AD142" s="259">
        <f>L142+N142+P142+R142+T142+V142+X142+Z142</f>
        <v/>
      </c>
      <c r="AE142" s="259">
        <f>IF((LEFT(K142,6))="Contab",L142,0)</f>
        <v/>
      </c>
      <c r="AF142" s="465">
        <f>VLOOKUP(G142,CLIENTES!B:E,4,FALSE)</f>
        <v/>
      </c>
      <c r="AG142" s="259">
        <f>AF142*AE142</f>
        <v/>
      </c>
      <c r="AH142" s="259">
        <f>AD142*1.21</f>
        <v/>
      </c>
      <c r="AI142" s="264">
        <f>IF(AE142&lt;&gt;0,AG142/AD142,"N/A")</f>
        <v/>
      </c>
      <c r="AJ142" s="259">
        <f>IF(AC142="pendiente",AD142,0)</f>
        <v/>
      </c>
      <c r="AK142" s="258">
        <f>VLOOKUP(G142,CLIENTES!B:D,3,FALSE)</f>
        <v/>
      </c>
      <c r="AL142" s="258" t="inlineStr">
        <is>
          <t>WOC_Asset</t>
        </is>
      </c>
      <c r="AM142" s="258" t="inlineStr">
        <is>
          <t>Administración</t>
        </is>
      </c>
    </row>
    <row r="143" ht="15" customHeight="1" s="700">
      <c r="A143" s="1">
        <f>A142+1</f>
        <v/>
      </c>
      <c r="B143" s="26" t="n">
        <v>45750</v>
      </c>
      <c r="C143" s="1" t="inlineStr">
        <is>
          <t>c/ Las Cruzadas 3A, local D</t>
        </is>
      </c>
      <c r="D143" s="1" t="inlineStr">
        <is>
          <t>Sevilla 41004</t>
        </is>
      </c>
      <c r="E143" s="1" t="inlineStr">
        <is>
          <t>CIF B91938662</t>
        </is>
      </c>
      <c r="F143" s="1" t="inlineStr">
        <is>
          <t>aBalados@abalados.es</t>
        </is>
      </c>
      <c r="G143" s="1" t="inlineStr">
        <is>
          <t>Asomadilla Solar 2007 S.L.U.</t>
        </is>
      </c>
      <c r="H143" s="1">
        <f>VLOOKUP($G143,DATOS!$B:$E,2,FALSE)</f>
        <v/>
      </c>
      <c r="I143" s="1">
        <f>VLOOKUP($G143,DATOS!$B:$E,3,FALSE)</f>
        <v/>
      </c>
      <c r="J143" s="1">
        <f>VLOOKUP($G143,DATOS!$B:$E,4,FALSE)</f>
        <v/>
      </c>
      <c r="K143" s="1" t="inlineStr">
        <is>
          <t>Contabilidad y Fiscalidad de proyecto Castuera - 2º Trimestre</t>
        </is>
      </c>
      <c r="L143" s="5">
        <f>'Tarifa 2025'!$D$6/4</f>
        <v/>
      </c>
      <c r="M143" s="1" t="inlineStr">
        <is>
          <t>SPV Management  Proyecto Castuera - 2º Trimestre</t>
        </is>
      </c>
      <c r="N143" s="5">
        <f>'Tarifa 2025'!$F$6/4</f>
        <v/>
      </c>
      <c r="O143" s="1" t="inlineStr">
        <is>
          <t>O&amp;M Management Proyecto Castuera - 2º Trimestre</t>
        </is>
      </c>
      <c r="P143" s="5">
        <f>'Tarifa 2025'!$H$6/4</f>
        <v/>
      </c>
      <c r="Q143" s="1" t="inlineStr">
        <is>
          <t>Consultoría - 2º Trimestre</t>
        </is>
      </c>
      <c r="R143" s="5">
        <f>'Tarifa 2025'!$J$6/4</f>
        <v/>
      </c>
      <c r="S143" s="1" t="inlineStr">
        <is>
          <t>Corrección 1T2025</t>
        </is>
      </c>
      <c r="T143" s="5">
        <f>(L143-L3)+(N143-N3)+(P143-P3)+(R143-R3)</f>
        <v/>
      </c>
      <c r="Y143" s="1" t="inlineStr">
        <is>
          <t>Gastos derivados de contrato (3,5%)</t>
        </is>
      </c>
      <c r="Z143" s="5">
        <f>(L143+N143+P143+R143+T143+V143+X143)*0.035</f>
        <v/>
      </c>
      <c r="AB143" s="6" t="inlineStr">
        <is>
          <t>ES85 2080 3509 1130 4009 6171</t>
        </is>
      </c>
      <c r="AC143" s="1" t="inlineStr">
        <is>
          <t>pagado</t>
        </is>
      </c>
      <c r="AD143" s="5">
        <f>L143+N143+P143+R143+T143+V143+X143+Z143</f>
        <v/>
      </c>
      <c r="AE143" s="5">
        <f>IF((LEFT(K143,6))="Contab",L143,0)</f>
        <v/>
      </c>
      <c r="AF143" s="466">
        <f>VLOOKUP(G143,CLIENTES!B:E,4,FALSE)</f>
        <v/>
      </c>
      <c r="AG143" s="5">
        <f>AF143*AE143</f>
        <v/>
      </c>
      <c r="AH143" s="5">
        <f>AD143*1.21</f>
        <v/>
      </c>
      <c r="AI143" s="261">
        <f>IF(AE143&lt;&gt;0,AG143/AD143,"N/A")</f>
        <v/>
      </c>
      <c r="AJ143" s="5">
        <f>IF(AC143="pendiente",AD143,0)</f>
        <v/>
      </c>
      <c r="AK143" s="1">
        <f>VLOOKUP(G143,CLIENTES!B:D,3,FALSE)</f>
        <v/>
      </c>
      <c r="AL143" s="1" t="inlineStr">
        <is>
          <t>WOC_Asset</t>
        </is>
      </c>
      <c r="AM143" s="1" t="inlineStr">
        <is>
          <t>Administración</t>
        </is>
      </c>
    </row>
    <row r="144" ht="15" customHeight="1" s="700">
      <c r="A144" s="1">
        <f>A143+1</f>
        <v/>
      </c>
      <c r="B144" s="26" t="n">
        <v>45750</v>
      </c>
      <c r="C144" s="1" t="inlineStr">
        <is>
          <t>c/ Las Cruzadas 3A, local D</t>
        </is>
      </c>
      <c r="D144" s="1" t="inlineStr">
        <is>
          <t>Sevilla 41004</t>
        </is>
      </c>
      <c r="E144" s="1" t="inlineStr">
        <is>
          <t>CIF B91938662</t>
        </is>
      </c>
      <c r="F144" s="1" t="inlineStr">
        <is>
          <t>aBalados@abalados.es</t>
        </is>
      </c>
      <c r="G144" s="1" t="inlineStr">
        <is>
          <t>Inversión Cubiertas Solares S.L.U.</t>
        </is>
      </c>
      <c r="H144" s="1">
        <f>VLOOKUP($G144,DATOS!$B:$E,2,FALSE)</f>
        <v/>
      </c>
      <c r="I144" s="1">
        <f>VLOOKUP($G144,DATOS!$B:$E,3,FALSE)</f>
        <v/>
      </c>
      <c r="J144" s="1">
        <f>VLOOKUP($G144,DATOS!$B:$E,4,FALSE)</f>
        <v/>
      </c>
      <c r="K144" s="1" t="inlineStr">
        <is>
          <t>Contabilidad y Fiscalidad de proyecto Paiporta - 2º Trimestre</t>
        </is>
      </c>
      <c r="L144" s="5">
        <f>'Tarifa 2025'!$D$7/4</f>
        <v/>
      </c>
      <c r="M144" s="1" t="inlineStr">
        <is>
          <t>SPV Management  Proyecto Paiporta - 2º Trimestre</t>
        </is>
      </c>
      <c r="N144" s="5">
        <f>'Tarifa 2025'!$F$7/4</f>
        <v/>
      </c>
      <c r="O144" s="1" t="inlineStr">
        <is>
          <t>O&amp;M Management Proyecto Paiporta - 2º Trimestre</t>
        </is>
      </c>
      <c r="P144" s="5">
        <f>'Tarifa 2025'!$H$7/4</f>
        <v/>
      </c>
      <c r="Q144" s="1" t="inlineStr">
        <is>
          <t>Consultoría - 2º Trimestre</t>
        </is>
      </c>
      <c r="R144" s="5">
        <f>'Tarifa 2025'!$J$7/4</f>
        <v/>
      </c>
      <c r="S144" s="1" t="inlineStr">
        <is>
          <t>Corrección 1T2025</t>
        </is>
      </c>
      <c r="T144" s="5">
        <f>(L144-L4)+(N144-N4)+(P144-P4)+(R144-R4)</f>
        <v/>
      </c>
      <c r="Y144" s="1" t="inlineStr">
        <is>
          <t>Gastos derivados de contrato (3,5%)</t>
        </is>
      </c>
      <c r="Z144" s="5">
        <f>(L144+N144+P144+R144+T144+V144+X144)*0.035</f>
        <v/>
      </c>
      <c r="AB144" s="6" t="inlineStr">
        <is>
          <t>ES85 2080 3509 1130 4009 6171</t>
        </is>
      </c>
      <c r="AC144" s="1" t="inlineStr">
        <is>
          <t>pagado</t>
        </is>
      </c>
      <c r="AD144" s="5">
        <f>L144+N144+P144+R144+T144+V144+X144+Z144</f>
        <v/>
      </c>
      <c r="AE144" s="5">
        <f>IF((LEFT(K144,6))="Contab",L144,0)</f>
        <v/>
      </c>
      <c r="AF144" s="466">
        <f>VLOOKUP(G144,CLIENTES!B:E,4,FALSE)</f>
        <v/>
      </c>
      <c r="AG144" s="5">
        <f>AF144*AE144</f>
        <v/>
      </c>
      <c r="AH144" s="5">
        <f>AD144*1.21</f>
        <v/>
      </c>
      <c r="AI144" s="261">
        <f>IF(AE144&lt;&gt;0,AG144/AD144,"N/A")</f>
        <v/>
      </c>
      <c r="AJ144" s="5">
        <f>IF(AC144="pendiente",AD144,0)</f>
        <v/>
      </c>
      <c r="AK144" s="1">
        <f>VLOOKUP(G144,CLIENTES!B:D,3,FALSE)</f>
        <v/>
      </c>
      <c r="AL144" s="1" t="inlineStr">
        <is>
          <t>WOC_Asset</t>
        </is>
      </c>
      <c r="AM144" s="1" t="inlineStr">
        <is>
          <t>Administración</t>
        </is>
      </c>
    </row>
    <row r="145" ht="15" customHeight="1" s="700">
      <c r="A145" s="1">
        <f>A144+1</f>
        <v/>
      </c>
      <c r="B145" s="26" t="n">
        <v>45750</v>
      </c>
      <c r="C145" s="1" t="inlineStr">
        <is>
          <t>c/ Las Cruzadas 3A, local D</t>
        </is>
      </c>
      <c r="D145" s="1" t="inlineStr">
        <is>
          <t>Sevilla 41004</t>
        </is>
      </c>
      <c r="E145" s="1" t="inlineStr">
        <is>
          <t>CIF B91938662</t>
        </is>
      </c>
      <c r="F145" s="1" t="inlineStr">
        <is>
          <t>aBalados@abalados.es</t>
        </is>
      </c>
      <c r="G145" s="1" t="inlineStr">
        <is>
          <t>Lugec Inversión Solar S.L.U.</t>
        </is>
      </c>
      <c r="H145" s="1">
        <f>VLOOKUP($G145,DATOS!$B:$E,2,FALSE)</f>
        <v/>
      </c>
      <c r="I145" s="1">
        <f>VLOOKUP($G145,DATOS!$B:$E,3,FALSE)</f>
        <v/>
      </c>
      <c r="J145" s="1">
        <f>VLOOKUP($G145,DATOS!$B:$E,4,FALSE)</f>
        <v/>
      </c>
      <c r="K145" s="1" t="inlineStr">
        <is>
          <t>Contabilidad y Fiscalidad de proyecto Bonaire - 2º Trimestre</t>
        </is>
      </c>
      <c r="L145" s="5">
        <f>'Tarifa 2025'!$D$8/4</f>
        <v/>
      </c>
      <c r="M145" s="1" t="inlineStr">
        <is>
          <t>SPV Management  Proyecto Bonaire - 2º Trimestre</t>
        </is>
      </c>
      <c r="N145" s="5">
        <f>'Tarifa 2025'!$F$8/4</f>
        <v/>
      </c>
      <c r="O145" s="1" t="inlineStr">
        <is>
          <t>O&amp;M Management Proyecto Bonaire - 2º Trimestre</t>
        </is>
      </c>
      <c r="P145" s="5">
        <f>'Tarifa 2025'!$H$8/4</f>
        <v/>
      </c>
      <c r="Q145" s="1" t="inlineStr">
        <is>
          <t>Consultoría - 2º Trimestre</t>
        </is>
      </c>
      <c r="R145" s="5">
        <f>'Tarifa 2025'!$J$8/4</f>
        <v/>
      </c>
      <c r="S145" s="1" t="inlineStr">
        <is>
          <t>Corrección 1T2025</t>
        </is>
      </c>
      <c r="T145" s="5">
        <f>(L145-L5)+(N145-N5)+(P145-P5)+(R145-R5)</f>
        <v/>
      </c>
      <c r="Y145" s="1" t="inlineStr">
        <is>
          <t>Gastos derivados de contrato (3,5%)</t>
        </is>
      </c>
      <c r="Z145" s="5">
        <f>(L145+N145+P145+R145+T145+V145+X145)*0.035</f>
        <v/>
      </c>
      <c r="AB145" s="6" t="inlineStr">
        <is>
          <t>ES85 2080 3509 1130 4009 6171</t>
        </is>
      </c>
      <c r="AC145" s="1" t="inlineStr">
        <is>
          <t>pagado</t>
        </is>
      </c>
      <c r="AD145" s="5">
        <f>L145+N145+P145+R145+T145+V145+X145+Z145</f>
        <v/>
      </c>
      <c r="AE145" s="5">
        <f>IF((LEFT(K145,6))="Contab",L145,0)</f>
        <v/>
      </c>
      <c r="AF145" s="466">
        <f>VLOOKUP(G145,CLIENTES!B:E,4,FALSE)</f>
        <v/>
      </c>
      <c r="AG145" s="5">
        <f>AF145*AE145</f>
        <v/>
      </c>
      <c r="AH145" s="5">
        <f>AD145*1.21</f>
        <v/>
      </c>
      <c r="AI145" s="261">
        <f>IF(AE145&lt;&gt;0,AG145/AD145,"N/A")</f>
        <v/>
      </c>
      <c r="AJ145" s="5">
        <f>IF(AC145="pendiente",AD145,0)</f>
        <v/>
      </c>
      <c r="AK145" s="1">
        <f>VLOOKUP(G145,CLIENTES!B:D,3,FALSE)</f>
        <v/>
      </c>
      <c r="AL145" s="1" t="inlineStr">
        <is>
          <t>WOC_Asset</t>
        </is>
      </c>
      <c r="AM145" s="1" t="inlineStr">
        <is>
          <t>Administración</t>
        </is>
      </c>
    </row>
    <row r="146" ht="15" customHeight="1" s="700">
      <c r="A146" s="1">
        <f>A145+1</f>
        <v/>
      </c>
      <c r="B146" s="26" t="n">
        <v>45750</v>
      </c>
      <c r="C146" s="1" t="inlineStr">
        <is>
          <t>c/ Las Cruzadas 3A, local D</t>
        </is>
      </c>
      <c r="D146" s="1" t="inlineStr">
        <is>
          <t>Sevilla 41004</t>
        </is>
      </c>
      <c r="E146" s="1" t="inlineStr">
        <is>
          <t>CIF B91938662</t>
        </is>
      </c>
      <c r="F146" s="1" t="inlineStr">
        <is>
          <t>aBalados@abalados.es</t>
        </is>
      </c>
      <c r="G146" s="1" t="inlineStr">
        <is>
          <t>LOCABA SOLAR S.L.U.</t>
        </is>
      </c>
      <c r="H146" s="1">
        <f>VLOOKUP($G146,DATOS!$B:$E,2,FALSE)</f>
        <v/>
      </c>
      <c r="I146" s="1">
        <f>VLOOKUP($G146,DATOS!$B:$E,3,FALSE)</f>
        <v/>
      </c>
      <c r="J146" s="1">
        <f>VLOOKUP($G146,DATOS!$B:$E,4,FALSE)</f>
        <v/>
      </c>
      <c r="K146" s="1" t="inlineStr">
        <is>
          <t>Contabilidad y Fiscalidad de proyecto Coreses - 2º Trimestre</t>
        </is>
      </c>
      <c r="L146" s="5">
        <f>'Tarifa 2025'!$D$9/4</f>
        <v/>
      </c>
      <c r="M146" s="1" t="inlineStr">
        <is>
          <t>SPV Management  Proyecto Coreses - 2º Trimestre</t>
        </is>
      </c>
      <c r="N146" s="5">
        <f>'Tarifa 2025'!$F$9/4</f>
        <v/>
      </c>
      <c r="O146" s="1" t="inlineStr">
        <is>
          <t>O&amp;M Management Proyecto Coreses - 2º Trimestre</t>
        </is>
      </c>
      <c r="P146" s="5">
        <f>'Tarifa 2025'!$H$9/4</f>
        <v/>
      </c>
      <c r="Q146" s="1" t="inlineStr">
        <is>
          <t>Consultoría - 2º Trimestre</t>
        </is>
      </c>
      <c r="R146" s="5">
        <f>'Tarifa 2025'!$J$9/4</f>
        <v/>
      </c>
      <c r="S146" s="1" t="inlineStr">
        <is>
          <t>Corrección 1T2025</t>
        </is>
      </c>
      <c r="T146" s="5">
        <f>(L146-L6)+(N146-N6)+(P146-P6)+(R146-R6)</f>
        <v/>
      </c>
      <c r="Y146" s="1" t="inlineStr">
        <is>
          <t>Gastos derivados de contrato (3,5%)</t>
        </is>
      </c>
      <c r="Z146" s="5">
        <f>(L146+N146+P146+R146+T146+V146+X146)*0.035</f>
        <v/>
      </c>
      <c r="AB146" s="6" t="inlineStr">
        <is>
          <t>ES85 2080 3509 1130 4009 6171</t>
        </is>
      </c>
      <c r="AC146" s="258" t="inlineStr">
        <is>
          <t>pagado</t>
        </is>
      </c>
      <c r="AD146" s="5">
        <f>L146+N146+P146+R146+T146+V146+X146+Z146</f>
        <v/>
      </c>
      <c r="AE146" s="5">
        <f>IF((LEFT(K146,6))="Contab",L146,0)</f>
        <v/>
      </c>
      <c r="AF146" s="466">
        <f>VLOOKUP(G146,CLIENTES!B:E,4,FALSE)</f>
        <v/>
      </c>
      <c r="AG146" s="5">
        <f>AF146*AE146</f>
        <v/>
      </c>
      <c r="AH146" s="5">
        <f>AD146*1.21</f>
        <v/>
      </c>
      <c r="AI146" s="261">
        <f>IF(AE146&lt;&gt;0,AG146/AD146,"N/A")</f>
        <v/>
      </c>
      <c r="AJ146" s="5">
        <f>IF(AC146="pendiente",AD146,0)</f>
        <v/>
      </c>
      <c r="AK146" s="1">
        <f>VLOOKUP(G146,CLIENTES!B:D,3,FALSE)</f>
        <v/>
      </c>
      <c r="AL146" s="1" t="inlineStr">
        <is>
          <t>WOC_Asset</t>
        </is>
      </c>
      <c r="AM146" s="1" t="inlineStr">
        <is>
          <t>Administración</t>
        </is>
      </c>
    </row>
    <row r="147" ht="15" customHeight="1" s="700">
      <c r="A147" s="1">
        <f>A146+1</f>
        <v/>
      </c>
      <c r="B147" s="26" t="n">
        <v>45750</v>
      </c>
      <c r="C147" s="1" t="inlineStr">
        <is>
          <t>c/ Las Cruzadas 3A, local D</t>
        </is>
      </c>
      <c r="D147" s="1" t="inlineStr">
        <is>
          <t>Sevilla 41004</t>
        </is>
      </c>
      <c r="E147" s="1" t="inlineStr">
        <is>
          <t>CIF B91938662</t>
        </is>
      </c>
      <c r="F147" s="1" t="inlineStr">
        <is>
          <t>aBalados@abalados.es</t>
        </is>
      </c>
      <c r="G147" s="1" t="inlineStr">
        <is>
          <t>Agrupación Solar el Algarrobo I, S.L.U.</t>
        </is>
      </c>
      <c r="H147" s="1">
        <f>VLOOKUP($G147,DATOS!$B:$E,2,FALSE)</f>
        <v/>
      </c>
      <c r="I147" s="1">
        <f>VLOOKUP($G147,DATOS!$B:$E,3,FALSE)</f>
        <v/>
      </c>
      <c r="J147" s="1">
        <f>VLOOKUP($G147,DATOS!$B:$E,4,FALSE)</f>
        <v/>
      </c>
      <c r="K147" s="1" t="inlineStr">
        <is>
          <t>Contabilidad y Fiscalidad de proyecto Algarrobo I - 2º Trimestre</t>
        </is>
      </c>
      <c r="L147" s="5">
        <f>'Tarifa 2025'!$D$12*1.89/5.49/4</f>
        <v/>
      </c>
      <c r="M147" s="1" t="inlineStr">
        <is>
          <t>SPV Management  Proyecto Algarrobo I -  2º Trimestre</t>
        </is>
      </c>
      <c r="N147" s="5">
        <f>'Tarifa 2025'!$F$12*1.89/5.49/4</f>
        <v/>
      </c>
      <c r="O147" s="1" t="inlineStr">
        <is>
          <t>O&amp;M Management Proyecto Algarrobo I - 2º Trimestre</t>
        </is>
      </c>
      <c r="P147" s="5">
        <f>'Tarifa 2025'!$H$12*1.89/5.49/4</f>
        <v/>
      </c>
      <c r="Q147" s="1" t="inlineStr">
        <is>
          <t>Consultoría - 2º Trimestre</t>
        </is>
      </c>
      <c r="R147" s="5">
        <f>'Tarifa 2025'!$J$12*(1.89/(1.89+1.89+1.71))/4</f>
        <v/>
      </c>
      <c r="S147" s="1" t="inlineStr">
        <is>
          <t>Corrección 1T2025</t>
        </is>
      </c>
      <c r="T147" s="5">
        <f>(L147-L7)+(N147-N7)+(P147-P7)+(R147-R7)</f>
        <v/>
      </c>
      <c r="Y147" s="1" t="inlineStr">
        <is>
          <t>Gastos derivados de contrato (3,5%)</t>
        </is>
      </c>
      <c r="Z147" s="5">
        <f>(L147+N147+P147+R147+T147+V147+X147)*0.035</f>
        <v/>
      </c>
      <c r="AB147" s="6" t="inlineStr">
        <is>
          <t>ES85 2080 3509 1130 4009 6171</t>
        </is>
      </c>
      <c r="AC147" s="1" t="inlineStr">
        <is>
          <t>pagado</t>
        </is>
      </c>
      <c r="AD147" s="5">
        <f>L147+N147+P147+R147+T147+V147+X147+Z147</f>
        <v/>
      </c>
      <c r="AE147" s="5">
        <f>IF((LEFT(K147,6))="Contab",L147,0)</f>
        <v/>
      </c>
      <c r="AF147" s="466">
        <f>VLOOKUP(G147,CLIENTES!B:E,4,FALSE)</f>
        <v/>
      </c>
      <c r="AG147" s="5">
        <f>AF147*AE147</f>
        <v/>
      </c>
      <c r="AH147" s="5">
        <f>AD147*1.21</f>
        <v/>
      </c>
      <c r="AI147" s="261">
        <f>IF(AE147&lt;&gt;0,AG147/AD147,"N/A")</f>
        <v/>
      </c>
      <c r="AJ147" s="5">
        <f>IF(AC147="pendiente",AD147,0)</f>
        <v/>
      </c>
      <c r="AK147" s="1">
        <f>VLOOKUP(G147,CLIENTES!B:D,3,FALSE)</f>
        <v/>
      </c>
      <c r="AL147" s="1" t="inlineStr">
        <is>
          <t>WOC_Asset</t>
        </is>
      </c>
      <c r="AM147" s="1" t="inlineStr">
        <is>
          <t>Administración</t>
        </is>
      </c>
    </row>
    <row r="148" ht="15" customHeight="1" s="700">
      <c r="A148" s="1">
        <f>A147+1</f>
        <v/>
      </c>
      <c r="B148" s="26" t="n">
        <v>45750</v>
      </c>
      <c r="C148" s="1" t="inlineStr">
        <is>
          <t>c/ Las Cruzadas 3A, local D</t>
        </is>
      </c>
      <c r="D148" s="1" t="inlineStr">
        <is>
          <t>Sevilla 41004</t>
        </is>
      </c>
      <c r="E148" s="1" t="inlineStr">
        <is>
          <t>CIF B91938662</t>
        </is>
      </c>
      <c r="F148" s="1" t="inlineStr">
        <is>
          <t>aBalados@abalados.es</t>
        </is>
      </c>
      <c r="G148" s="1" t="inlineStr">
        <is>
          <t>Agrupación Solar el Algarrobo II, S.L.U.</t>
        </is>
      </c>
      <c r="H148" s="1">
        <f>VLOOKUP($G148,DATOS!$B:$E,2,FALSE)</f>
        <v/>
      </c>
      <c r="I148" s="1">
        <f>VLOOKUP($G148,DATOS!$B:$E,3,FALSE)</f>
        <v/>
      </c>
      <c r="J148" s="1">
        <f>VLOOKUP($G148,DATOS!$B:$E,4,FALSE)</f>
        <v/>
      </c>
      <c r="K148" s="1" t="inlineStr">
        <is>
          <t>Contabilidad y Fiscalidad de proyecto Algarrobo II - 2º Trimestre</t>
        </is>
      </c>
      <c r="L148" s="5">
        <f>'Tarifa 2025'!$D$12*1.89/5.49/4</f>
        <v/>
      </c>
      <c r="M148" s="1" t="inlineStr">
        <is>
          <t>SPV Management  Proyecto Algarrobo II -  2º Trimestre</t>
        </is>
      </c>
      <c r="N148" s="5">
        <f>'Tarifa 2025'!$F$12*1.89/5.49/4</f>
        <v/>
      </c>
      <c r="O148" s="1" t="inlineStr">
        <is>
          <t>O&amp;M Management Proyecto Algarrobo II - 2º Trimestre</t>
        </is>
      </c>
      <c r="P148" s="5">
        <f>'Tarifa 2025'!$H$12*1.89/5.49/4</f>
        <v/>
      </c>
      <c r="Q148" s="1" t="inlineStr">
        <is>
          <t>Consultoría - 2º Trimestre</t>
        </is>
      </c>
      <c r="R148" s="5">
        <f>'Tarifa 2025'!$J$12*(1.89/(1.89+1.89+1.71))/4</f>
        <v/>
      </c>
      <c r="S148" s="1" t="inlineStr">
        <is>
          <t>Corrección 1T2025</t>
        </is>
      </c>
      <c r="T148" s="5">
        <f>(L148-L8)+(N148-N8)+(P148-P8)+(R148-R8)</f>
        <v/>
      </c>
      <c r="Y148" s="1" t="inlineStr">
        <is>
          <t>Gastos derivados de contrato (3,5%)</t>
        </is>
      </c>
      <c r="Z148" s="5">
        <f>(L148+N148+P148+R148+T148+V148+X148)*0.035</f>
        <v/>
      </c>
      <c r="AB148" s="6" t="inlineStr">
        <is>
          <t>ES85 2080 3509 1130 4009 6171</t>
        </is>
      </c>
      <c r="AC148" s="1" t="inlineStr">
        <is>
          <t>pagado</t>
        </is>
      </c>
      <c r="AD148" s="5">
        <f>L148+N148+P148+R148+T148+V148+X148+Z148</f>
        <v/>
      </c>
      <c r="AE148" s="5">
        <f>IF((LEFT(K148,6))="Contab",L148,0)</f>
        <v/>
      </c>
      <c r="AF148" s="466">
        <f>VLOOKUP(G148,CLIENTES!B:E,4,FALSE)</f>
        <v/>
      </c>
      <c r="AG148" s="5">
        <f>AF148*AE148</f>
        <v/>
      </c>
      <c r="AH148" s="5">
        <f>AD148*1.21</f>
        <v/>
      </c>
      <c r="AI148" s="261">
        <f>IF(AE148&lt;&gt;0,AG148/AD148,"N/A")</f>
        <v/>
      </c>
      <c r="AJ148" s="5">
        <f>IF(AC148="pendiente",AD148,0)</f>
        <v/>
      </c>
      <c r="AK148" s="1">
        <f>VLOOKUP(G148,CLIENTES!B:D,3,FALSE)</f>
        <v/>
      </c>
      <c r="AL148" s="1" t="inlineStr">
        <is>
          <t>WOC_Asset</t>
        </is>
      </c>
      <c r="AM148" s="1" t="inlineStr">
        <is>
          <t>Administración</t>
        </is>
      </c>
    </row>
    <row r="149" ht="15" customHeight="1" s="700">
      <c r="A149" s="1">
        <f>A148+1</f>
        <v/>
      </c>
      <c r="B149" s="26" t="n">
        <v>45750</v>
      </c>
      <c r="C149" s="1" t="inlineStr">
        <is>
          <t>c/ Las Cruzadas 3A, local D</t>
        </is>
      </c>
      <c r="D149" s="1" t="inlineStr">
        <is>
          <t>Sevilla 41004</t>
        </is>
      </c>
      <c r="E149" s="1" t="inlineStr">
        <is>
          <t>CIF B91938662</t>
        </is>
      </c>
      <c r="F149" s="1" t="inlineStr">
        <is>
          <t>aBalados@abalados.es</t>
        </is>
      </c>
      <c r="G149" s="1" t="inlineStr">
        <is>
          <t>Agrupación Solar el Algarrobo III, S.L.U.</t>
        </is>
      </c>
      <c r="H149" s="1">
        <f>VLOOKUP($G149,DATOS!$B:$E,2,FALSE)</f>
        <v/>
      </c>
      <c r="I149" s="1">
        <f>VLOOKUP($G149,DATOS!$B:$E,3,FALSE)</f>
        <v/>
      </c>
      <c r="J149" s="1">
        <f>VLOOKUP($G149,DATOS!$B:$E,4,FALSE)</f>
        <v/>
      </c>
      <c r="K149" s="1" t="inlineStr">
        <is>
          <t>Contabilidad y Fiscalidad de proyecto Algarrobo III - 2º Trimestre</t>
        </is>
      </c>
      <c r="L149" s="5">
        <f>'Tarifa 2025'!$D$12*1.71/5.49/4</f>
        <v/>
      </c>
      <c r="M149" s="1" t="inlineStr">
        <is>
          <t>SPV Management  Proyecto Algarrobo III -  2º Trimestre</t>
        </is>
      </c>
      <c r="N149" s="5">
        <f>'Tarifa 2025'!$F$12*1.71/5.49/4</f>
        <v/>
      </c>
      <c r="O149" s="1" t="inlineStr">
        <is>
          <t>O&amp;M Management Proyecto Algarrobo III - 2º Trimestre</t>
        </is>
      </c>
      <c r="P149" s="5">
        <f>'Tarifa 2025'!$H$12*1.71/5.49/4</f>
        <v/>
      </c>
      <c r="Q149" s="1" t="inlineStr">
        <is>
          <t>Consultoría - 2º Trimestre</t>
        </is>
      </c>
      <c r="R149" s="5">
        <f>'Tarifa 2025'!$J$12*(1.71/(1.89+1.89+1.71))/4</f>
        <v/>
      </c>
      <c r="S149" s="1" t="inlineStr">
        <is>
          <t>Corrección 1T2025</t>
        </is>
      </c>
      <c r="T149" s="5">
        <f>(L149-L9)+(N149-N9)+(P149-P9)+(R149-R9)</f>
        <v/>
      </c>
      <c r="Y149" s="1" t="inlineStr">
        <is>
          <t>Gastos derivados de contrato (3,5%)</t>
        </is>
      </c>
      <c r="Z149" s="5">
        <f>(L149+N149+P149+R149+T149+V149+X149)*0.035</f>
        <v/>
      </c>
      <c r="AB149" s="6" t="inlineStr">
        <is>
          <t>ES85 2080 3509 1130 4009 6171</t>
        </is>
      </c>
      <c r="AC149" s="1" t="inlineStr">
        <is>
          <t>pagado</t>
        </is>
      </c>
      <c r="AD149" s="5">
        <f>L149+N149+P149+R149+T149+V149+X149+Z149</f>
        <v/>
      </c>
      <c r="AE149" s="5">
        <f>IF((LEFT(K149,6))="Contab",L149,0)</f>
        <v/>
      </c>
      <c r="AF149" s="466">
        <f>VLOOKUP(G149,CLIENTES!B:E,4,FALSE)</f>
        <v/>
      </c>
      <c r="AG149" s="5">
        <f>AF149*AE149</f>
        <v/>
      </c>
      <c r="AH149" s="5">
        <f>AD149*1.21</f>
        <v/>
      </c>
      <c r="AI149" s="261">
        <f>IF(AE149&lt;&gt;0,AG149/AD149,"N/A")</f>
        <v/>
      </c>
      <c r="AJ149" s="5">
        <f>IF(AC149="pendiente",AD149,0)</f>
        <v/>
      </c>
      <c r="AK149" s="1">
        <f>VLOOKUP(G149,CLIENTES!B:D,3,FALSE)</f>
        <v/>
      </c>
      <c r="AL149" s="1" t="inlineStr">
        <is>
          <t>WOC_Asset</t>
        </is>
      </c>
      <c r="AM149" s="1" t="inlineStr">
        <is>
          <t>Administración</t>
        </is>
      </c>
    </row>
    <row r="150" ht="15" customHeight="1" s="700">
      <c r="A150" s="1">
        <f>A149+1</f>
        <v/>
      </c>
      <c r="B150" s="26" t="n">
        <v>45750</v>
      </c>
      <c r="C150" s="1" t="inlineStr">
        <is>
          <t>c/ Las Cruzadas 3A, local D</t>
        </is>
      </c>
      <c r="D150" s="1" t="inlineStr">
        <is>
          <t>Sevilla 41004</t>
        </is>
      </c>
      <c r="E150" s="1" t="inlineStr">
        <is>
          <t>CIF B91938662</t>
        </is>
      </c>
      <c r="F150" s="1" t="inlineStr">
        <is>
          <t>aBalados@abalados.es</t>
        </is>
      </c>
      <c r="G150" s="1" t="inlineStr">
        <is>
          <t>WOC Fotovoltaica España Proyecto Sollana S.L.U.</t>
        </is>
      </c>
      <c r="H150" s="1">
        <f>VLOOKUP($G150,DATOS!$B:$E,2,FALSE)</f>
        <v/>
      </c>
      <c r="I150" s="1">
        <f>VLOOKUP($G150,DATOS!$B:$E,3,FALSE)</f>
        <v/>
      </c>
      <c r="J150" s="1">
        <f>VLOOKUP($G150,DATOS!$B:$E,4,FALSE)</f>
        <v/>
      </c>
      <c r="K150" s="1" t="inlineStr">
        <is>
          <t>Contabilidad y Fiscalidad de proyecto Sollana - 2º Trimestre</t>
        </is>
      </c>
      <c r="L150" s="5">
        <f>'Tarifa 2025'!$D$13/4</f>
        <v/>
      </c>
      <c r="M150" s="1" t="inlineStr">
        <is>
          <t>SPV Management  Proyecto Sollana - 2º Trimestre</t>
        </is>
      </c>
      <c r="N150" s="5">
        <f>'Tarifa 2025'!$F$13/4</f>
        <v/>
      </c>
      <c r="O150" s="1" t="inlineStr">
        <is>
          <t>O&amp;M Management Proyecto Sollana - 2º Trimestre</t>
        </is>
      </c>
      <c r="P150" s="5">
        <f>'Tarifa 2025'!$H$13/4</f>
        <v/>
      </c>
      <c r="Q150" s="1" t="inlineStr">
        <is>
          <t>Consultoría - 2º Trimestre</t>
        </is>
      </c>
      <c r="R150" s="5">
        <f>'Tarifa 2025'!$J$13/4</f>
        <v/>
      </c>
      <c r="S150" s="1" t="inlineStr">
        <is>
          <t>Corrección 1T2025</t>
        </is>
      </c>
      <c r="T150" s="5">
        <f>(L150-L10)+(N150-N10)+(P150-P10)+(R150-R10)</f>
        <v/>
      </c>
      <c r="Y150" s="1" t="inlineStr">
        <is>
          <t>Gastos derivados de contrato (3,5%)</t>
        </is>
      </c>
      <c r="Z150" s="5">
        <f>(L150+N150+P150+R150+T150+V150+X150)*0.035</f>
        <v/>
      </c>
      <c r="AB150" s="6" t="inlineStr">
        <is>
          <t>ES85 2080 3509 1130 4009 6171</t>
        </is>
      </c>
      <c r="AC150" s="1" t="inlineStr">
        <is>
          <t>pagado</t>
        </is>
      </c>
      <c r="AD150" s="5">
        <f>L150+N150+P150+R150+T150+V150+X150+Z150</f>
        <v/>
      </c>
      <c r="AE150" s="5">
        <f>IF((LEFT(K150,6))="Contab",L150,0)</f>
        <v/>
      </c>
      <c r="AF150" s="466">
        <f>VLOOKUP(G150,CLIENTES!B:E,4,FALSE)</f>
        <v/>
      </c>
      <c r="AG150" s="5">
        <f>AF150*AE150</f>
        <v/>
      </c>
      <c r="AH150" s="5">
        <f>AD150*1.21</f>
        <v/>
      </c>
      <c r="AI150" s="261">
        <f>IF(AE150&lt;&gt;0,AG150/AD150,"N/A")</f>
        <v/>
      </c>
      <c r="AJ150" s="5">
        <f>IF(AC150="pendiente",AD150,0)</f>
        <v/>
      </c>
      <c r="AK150" s="1">
        <f>VLOOKUP(G150,CLIENTES!B:D,3,FALSE)</f>
        <v/>
      </c>
      <c r="AL150" s="1" t="inlineStr">
        <is>
          <t>WOC_Asset</t>
        </is>
      </c>
      <c r="AM150" s="1" t="inlineStr">
        <is>
          <t>Administración</t>
        </is>
      </c>
    </row>
    <row r="151" ht="15" customHeight="1" s="700">
      <c r="A151" s="1">
        <f>A150+1</f>
        <v/>
      </c>
      <c r="B151" s="26" t="n">
        <v>45750</v>
      </c>
      <c r="C151" s="1" t="inlineStr">
        <is>
          <t>c/ Las Cruzadas 3A, local D</t>
        </is>
      </c>
      <c r="D151" s="1" t="inlineStr">
        <is>
          <t>Sevilla 41004</t>
        </is>
      </c>
      <c r="E151" s="1" t="inlineStr">
        <is>
          <t>CIF B91938662</t>
        </is>
      </c>
      <c r="F151" s="1" t="inlineStr">
        <is>
          <t>aBalados@abalados.es</t>
        </is>
      </c>
      <c r="G151" s="1" t="inlineStr">
        <is>
          <t>ES Garrovers Energía Solar S.L.U.</t>
        </is>
      </c>
      <c r="H151" s="1">
        <f>VLOOKUP($G151,DATOS!$B:$E,2,FALSE)</f>
        <v/>
      </c>
      <c r="I151" s="1">
        <f>VLOOKUP($G151,DATOS!$B:$E,3,FALSE)</f>
        <v/>
      </c>
      <c r="J151" s="1">
        <f>VLOOKUP($G151,DATOS!$B:$E,4,FALSE)</f>
        <v/>
      </c>
      <c r="K151" s="1" t="inlineStr">
        <is>
          <t>Contabilidad y Fiscalidad de proyecto Artà - 2º Trimestre</t>
        </is>
      </c>
      <c r="L151" s="5">
        <f>'Tarifa 2025'!$D$14/4</f>
        <v/>
      </c>
      <c r="M151" s="1" t="inlineStr">
        <is>
          <t>SPV Management  Proyecto Artà - 2º Trimestre</t>
        </is>
      </c>
      <c r="N151" s="5">
        <f>'Tarifa 2025'!$F$14/4</f>
        <v/>
      </c>
      <c r="O151" s="1" t="inlineStr">
        <is>
          <t>O&amp;M Management Proyecto Artà - 2º Trimestre</t>
        </is>
      </c>
      <c r="P151" s="5">
        <f>'Tarifa 2025'!$H$14/4</f>
        <v/>
      </c>
      <c r="Q151" s="1" t="inlineStr">
        <is>
          <t>Consultoría - 2º Trimestre</t>
        </is>
      </c>
      <c r="R151" s="5">
        <f>'Tarifa 2025'!$J$14/4</f>
        <v/>
      </c>
      <c r="S151" s="1" t="inlineStr">
        <is>
          <t>Corrección 1T2025</t>
        </is>
      </c>
      <c r="T151" s="5">
        <f>(L151-L11)+(N151-N11)+(P151-P11)+(R151-R11)</f>
        <v/>
      </c>
      <c r="Y151" s="1" t="inlineStr">
        <is>
          <t>Gastos derivados de contrato (3,5%)</t>
        </is>
      </c>
      <c r="Z151" s="5">
        <f>(L151+N151+P151+R151+T151+V151+X151)*0.035</f>
        <v/>
      </c>
      <c r="AB151" s="6" t="inlineStr">
        <is>
          <t>ES85 2080 3509 1130 4009 6171</t>
        </is>
      </c>
      <c r="AC151" s="1" t="inlineStr">
        <is>
          <t>pagado</t>
        </is>
      </c>
      <c r="AD151" s="5">
        <f>L151+N151+P151+R151+T151+V151+X151+Z151</f>
        <v/>
      </c>
      <c r="AE151" s="5">
        <f>IF((LEFT(K151,6))="Contab",L151,0)</f>
        <v/>
      </c>
      <c r="AF151" s="466">
        <f>VLOOKUP(G151,CLIENTES!B:E,4,FALSE)</f>
        <v/>
      </c>
      <c r="AG151" s="5">
        <f>AF151*AE151</f>
        <v/>
      </c>
      <c r="AH151" s="5">
        <f>AD151*1.21</f>
        <v/>
      </c>
      <c r="AI151" s="261">
        <f>IF(AE151&lt;&gt;0,AG151/AD151,"N/A")</f>
        <v/>
      </c>
      <c r="AJ151" s="5">
        <f>IF(AC151="pendiente",AD151,0)</f>
        <v/>
      </c>
      <c r="AK151" s="1">
        <f>VLOOKUP(G151,CLIENTES!B:D,3,FALSE)</f>
        <v/>
      </c>
      <c r="AL151" s="1" t="inlineStr">
        <is>
          <t>WOC_Asset</t>
        </is>
      </c>
      <c r="AM151" s="1" t="inlineStr">
        <is>
          <t>Administración</t>
        </is>
      </c>
    </row>
    <row r="152" ht="15" customHeight="1" s="700">
      <c r="A152" s="1">
        <f>A151+1</f>
        <v/>
      </c>
      <c r="B152" s="26" t="n">
        <v>45750</v>
      </c>
      <c r="C152" s="1" t="inlineStr">
        <is>
          <t>c/ Las Cruzadas 3A, local D</t>
        </is>
      </c>
      <c r="D152" s="1" t="inlineStr">
        <is>
          <t>Sevilla 41004</t>
        </is>
      </c>
      <c r="E152" s="1" t="inlineStr">
        <is>
          <t>CIF B91938662</t>
        </is>
      </c>
      <c r="F152" s="1" t="inlineStr">
        <is>
          <t>aBalados@abalados.es</t>
        </is>
      </c>
      <c r="G152" s="1" t="inlineStr">
        <is>
          <t>Contreras Parque Solar S.L.U.</t>
        </is>
      </c>
      <c r="H152" s="1">
        <f>VLOOKUP($G152,DATOS!$B:$E,2,FALSE)</f>
        <v/>
      </c>
      <c r="I152" s="1">
        <f>VLOOKUP($G152,DATOS!$B:$E,3,FALSE)</f>
        <v/>
      </c>
      <c r="J152" s="1">
        <f>VLOOKUP($G152,DATOS!$B:$E,4,FALSE)</f>
        <v/>
      </c>
      <c r="K152" s="1" t="inlineStr">
        <is>
          <t>Contabilidad y Fiscalidad de proyecto Contreras- 2º Trimestre</t>
        </is>
      </c>
      <c r="L152" s="5">
        <f>'Tarifa 2025'!$D$15/4</f>
        <v/>
      </c>
      <c r="M152" s="1" t="inlineStr">
        <is>
          <t>SPV Management  Proyecto Contreras - 2º Trimestre</t>
        </is>
      </c>
      <c r="N152" s="5">
        <f>'Tarifa 2025'!$F$15/4</f>
        <v/>
      </c>
      <c r="O152" s="1" t="inlineStr">
        <is>
          <t>O&amp;M Management Proyecto Contreras - 2º Trimestre</t>
        </is>
      </c>
      <c r="P152" s="5">
        <f>'Tarifa 2025'!$H$15/4</f>
        <v/>
      </c>
      <c r="Q152" s="1" t="inlineStr">
        <is>
          <t>Consultoría - 2º Trimestre</t>
        </is>
      </c>
      <c r="R152" s="5">
        <f>'Tarifa 2025'!$J$15/4</f>
        <v/>
      </c>
      <c r="S152" s="1" t="inlineStr">
        <is>
          <t>Corrección 1T2025</t>
        </is>
      </c>
      <c r="T152" s="5">
        <f>(L152-L12)+(N152-N12)+(P152-P12)+(R152-R12)</f>
        <v/>
      </c>
      <c r="Y152" s="1" t="inlineStr">
        <is>
          <t>Gastos derivados de contrato (3,5%)</t>
        </is>
      </c>
      <c r="Z152" s="5">
        <f>(L152+N152+P152+R152+T152+V152+X152)*0.035</f>
        <v/>
      </c>
      <c r="AB152" s="6" t="inlineStr">
        <is>
          <t>ES85 2080 3509 1130 4009 6171</t>
        </is>
      </c>
      <c r="AC152" s="1" t="inlineStr">
        <is>
          <t>pagado</t>
        </is>
      </c>
      <c r="AD152" s="5">
        <f>L152+N152+P152+R152+T152+V152+X152+Z152</f>
        <v/>
      </c>
      <c r="AE152" s="5">
        <f>IF((LEFT(K152,6))="Contab",L152,0)</f>
        <v/>
      </c>
      <c r="AF152" s="466">
        <f>VLOOKUP(G152,CLIENTES!B:E,4,FALSE)</f>
        <v/>
      </c>
      <c r="AG152" s="5">
        <f>AF152*AE152</f>
        <v/>
      </c>
      <c r="AH152" s="5">
        <f>AD152*1.21</f>
        <v/>
      </c>
      <c r="AI152" s="261">
        <f>IF(AE152&lt;&gt;0,AG152/AD152,"N/A")</f>
        <v/>
      </c>
      <c r="AJ152" s="5">
        <f>IF(AC152="pendiente",AD152,0)</f>
        <v/>
      </c>
      <c r="AK152" s="1">
        <f>VLOOKUP(G152,CLIENTES!B:D,3,FALSE)</f>
        <v/>
      </c>
      <c r="AL152" s="1" t="inlineStr">
        <is>
          <t>WOC_Asset</t>
        </is>
      </c>
      <c r="AM152" s="1" t="inlineStr">
        <is>
          <t>Administración</t>
        </is>
      </c>
    </row>
    <row r="153" ht="15" customHeight="1" s="700">
      <c r="A153" s="1">
        <f>A152+1</f>
        <v/>
      </c>
      <c r="B153" s="26" t="n">
        <v>45750</v>
      </c>
      <c r="C153" s="1" t="inlineStr">
        <is>
          <t>c/ Las Cruzadas 3A, local D</t>
        </is>
      </c>
      <c r="D153" s="1" t="inlineStr">
        <is>
          <t>Sevilla 41004</t>
        </is>
      </c>
      <c r="E153" s="1" t="inlineStr">
        <is>
          <t>CIF B91938662</t>
        </is>
      </c>
      <c r="F153" s="1" t="inlineStr">
        <is>
          <t>aBalados@abalados.es</t>
        </is>
      </c>
      <c r="G153" s="1" t="inlineStr">
        <is>
          <t>Lo Illán  Parque Solar S.L.U.</t>
        </is>
      </c>
      <c r="H153" s="1">
        <f>VLOOKUP($G153,DATOS!$B:$E,2,FALSE)</f>
        <v/>
      </c>
      <c r="I153" s="1">
        <f>VLOOKUP($G153,DATOS!$B:$E,3,FALSE)</f>
        <v/>
      </c>
      <c r="J153" s="1">
        <f>VLOOKUP($G153,DATOS!$B:$E,4,FALSE)</f>
        <v/>
      </c>
      <c r="K153" s="1" t="inlineStr">
        <is>
          <t>Contabilidad y Fiscalidad de proyecto Lo Illán - 2º Trimestre</t>
        </is>
      </c>
      <c r="L153" s="5">
        <f>'Tarifa 2025'!$D$16/4</f>
        <v/>
      </c>
      <c r="M153" s="1" t="inlineStr">
        <is>
          <t>SPV Management  Proyecto Lo Illán - 2º Trimestre</t>
        </is>
      </c>
      <c r="N153" s="5">
        <f>'Tarifa 2025'!$F$16/4</f>
        <v/>
      </c>
      <c r="O153" s="1" t="inlineStr">
        <is>
          <t>O&amp;M Management Proyecto Lo Illán - 2º Trimestre</t>
        </is>
      </c>
      <c r="P153" s="5">
        <f>'Tarifa 2025'!$H$16/4</f>
        <v/>
      </c>
      <c r="Q153" s="1" t="inlineStr">
        <is>
          <t>Consultoría - 2º Trimestre</t>
        </is>
      </c>
      <c r="R153" s="5">
        <f>'Tarifa 2025'!$J$16/4</f>
        <v/>
      </c>
      <c r="S153" s="1" t="inlineStr">
        <is>
          <t>Corrección 1T2025</t>
        </is>
      </c>
      <c r="T153" s="5">
        <f>(L153-L13)+(N153-N13)+(P153-P13)+(R153-R13)</f>
        <v/>
      </c>
      <c r="Y153" s="1" t="inlineStr">
        <is>
          <t>Gastos derivados de contrato (3,5%)</t>
        </is>
      </c>
      <c r="Z153" s="5">
        <f>(L153+N153+P153+R153+T153+V153+X153)*0.035</f>
        <v/>
      </c>
      <c r="AB153" s="6" t="inlineStr">
        <is>
          <t>ES85 2080 3509 1130 4009 6171</t>
        </is>
      </c>
      <c r="AC153" s="1" t="inlineStr">
        <is>
          <t>pagado</t>
        </is>
      </c>
      <c r="AD153" s="5">
        <f>L153+N153+P153+R153+T153+V153+X153+Z153</f>
        <v/>
      </c>
      <c r="AE153" s="5">
        <f>IF((LEFT(K153,6))="Contab",L153,0)</f>
        <v/>
      </c>
      <c r="AF153" s="466">
        <f>VLOOKUP(G153,CLIENTES!B:E,4,FALSE)</f>
        <v/>
      </c>
      <c r="AG153" s="5">
        <f>AF153*AE153</f>
        <v/>
      </c>
      <c r="AH153" s="5">
        <f>AD153*1.21</f>
        <v/>
      </c>
      <c r="AI153" s="261">
        <f>IF(AE153&lt;&gt;0,AG153/AD153,"N/A")</f>
        <v/>
      </c>
      <c r="AJ153" s="5">
        <f>IF(AC153="pendiente",AD153,0)</f>
        <v/>
      </c>
      <c r="AK153" s="1">
        <f>VLOOKUP(G153,CLIENTES!B:D,3,FALSE)</f>
        <v/>
      </c>
      <c r="AL153" s="1" t="inlineStr">
        <is>
          <t>WOC_Asset</t>
        </is>
      </c>
      <c r="AM153" s="1" t="inlineStr">
        <is>
          <t>Administración</t>
        </is>
      </c>
    </row>
    <row r="154" ht="15" customHeight="1" s="700">
      <c r="A154" s="1">
        <f>A153+1</f>
        <v/>
      </c>
      <c r="B154" s="26" t="n">
        <v>45750</v>
      </c>
      <c r="C154" s="1" t="inlineStr">
        <is>
          <t>c/ Las Cruzadas 3A, local D</t>
        </is>
      </c>
      <c r="D154" s="1" t="inlineStr">
        <is>
          <t>Sevilla 41004</t>
        </is>
      </c>
      <c r="E154" s="1" t="inlineStr">
        <is>
          <t>CIF B91938662</t>
        </is>
      </c>
      <c r="F154" s="1" t="inlineStr">
        <is>
          <t>aBalados@abalados.es</t>
        </is>
      </c>
      <c r="G154" s="1" t="inlineStr">
        <is>
          <t>Turbinto Parque Solar S.L.U.</t>
        </is>
      </c>
      <c r="H154" s="1">
        <f>VLOOKUP($G154,DATOS!$B:$E,2,FALSE)</f>
        <v/>
      </c>
      <c r="I154" s="1">
        <f>VLOOKUP($G154,DATOS!$B:$E,3,FALSE)</f>
        <v/>
      </c>
      <c r="J154" s="1">
        <f>VLOOKUP($G154,DATOS!$B:$E,4,FALSE)</f>
        <v/>
      </c>
      <c r="K154" s="1" t="inlineStr">
        <is>
          <t>Contabilidad y Fiscalidad de proyecto Turbinto - 2º Trimestre</t>
        </is>
      </c>
      <c r="L154" s="5">
        <f>'Tarifa 2025'!$D$17/4</f>
        <v/>
      </c>
      <c r="M154" s="1" t="inlineStr">
        <is>
          <t>SPV Management  Proyecto Turbinto - 2º Trimestre</t>
        </is>
      </c>
      <c r="N154" s="5">
        <f>'Tarifa 2025'!$F$17/4</f>
        <v/>
      </c>
      <c r="O154" s="1" t="inlineStr">
        <is>
          <t>O&amp;M Management Proyecto Turbinto - 2º Trimestre</t>
        </is>
      </c>
      <c r="P154" s="5">
        <f>'Tarifa 2025'!$H$17/4</f>
        <v/>
      </c>
      <c r="Q154" s="1" t="inlineStr">
        <is>
          <t>Consultoría - 2º Trimestre</t>
        </is>
      </c>
      <c r="R154" s="5">
        <f>'Tarifa 2025'!$J$17/4</f>
        <v/>
      </c>
      <c r="S154" s="1" t="inlineStr">
        <is>
          <t>Corrección 1T2025</t>
        </is>
      </c>
      <c r="T154" s="5">
        <f>(L154-L14)+(N154-N14)+(P154-P14)+(R154-R14)</f>
        <v/>
      </c>
      <c r="Y154" s="1" t="inlineStr">
        <is>
          <t>Gastos derivados de contrato (3,5%)</t>
        </is>
      </c>
      <c r="Z154" s="5">
        <f>(L154+N154+P154+R154+T154+V154+X154)*0.035</f>
        <v/>
      </c>
      <c r="AB154" s="6" t="inlineStr">
        <is>
          <t>ES85 2080 3509 1130 4009 6171</t>
        </is>
      </c>
      <c r="AC154" s="1" t="inlineStr">
        <is>
          <t>pagado</t>
        </is>
      </c>
      <c r="AD154" s="5">
        <f>L154+N154+P154+R154+T154+V154+X154+Z154</f>
        <v/>
      </c>
      <c r="AE154" s="5">
        <f>IF((LEFT(K154,6))="Contab",L154,0)</f>
        <v/>
      </c>
      <c r="AF154" s="466">
        <f>VLOOKUP(G154,CLIENTES!B:E,4,FALSE)</f>
        <v/>
      </c>
      <c r="AG154" s="5">
        <f>AF154*AE154</f>
        <v/>
      </c>
      <c r="AH154" s="5">
        <f>AD154*1.21</f>
        <v/>
      </c>
      <c r="AI154" s="261">
        <f>IF(AE154&lt;&gt;0,AG154/AD154,"N/A")</f>
        <v/>
      </c>
      <c r="AJ154" s="5">
        <f>IF(AC154="pendiente",AD154,0)</f>
        <v/>
      </c>
      <c r="AK154" s="1">
        <f>VLOOKUP(G154,CLIENTES!B:D,3,FALSE)</f>
        <v/>
      </c>
      <c r="AL154" s="1" t="inlineStr">
        <is>
          <t>WOC_Asset</t>
        </is>
      </c>
      <c r="AM154" s="1" t="inlineStr">
        <is>
          <t>Administración</t>
        </is>
      </c>
    </row>
    <row r="155" ht="15" customHeight="1" s="700">
      <c r="A155" s="1">
        <f>A154+1</f>
        <v/>
      </c>
      <c r="B155" s="26" t="n">
        <v>45750</v>
      </c>
      <c r="C155" s="1" t="inlineStr">
        <is>
          <t>c/ Las Cruzadas 3A, local D</t>
        </is>
      </c>
      <c r="D155" s="1" t="inlineStr">
        <is>
          <t>Sevilla 41004</t>
        </is>
      </c>
      <c r="E155" s="1" t="inlineStr">
        <is>
          <t>CIF B91938662</t>
        </is>
      </c>
      <c r="F155" s="1" t="inlineStr">
        <is>
          <t>aBalados@abalados.es</t>
        </is>
      </c>
      <c r="G155" s="1" t="inlineStr">
        <is>
          <t>Amberg V S.L.U.</t>
        </is>
      </c>
      <c r="H155" s="1">
        <f>VLOOKUP($G155,DATOS!$B:$E,2,FALSE)</f>
        <v/>
      </c>
      <c r="I155" s="1">
        <f>VLOOKUP($G155,DATOS!$B:$E,3,FALSE)</f>
        <v/>
      </c>
      <c r="J155" s="1">
        <f>VLOOKUP($G155,DATOS!$B:$E,4,FALSE)</f>
        <v/>
      </c>
      <c r="K155" s="1" t="inlineStr">
        <is>
          <t>Contabilidad y Fiscalidad de proyecto - 2º Trimestre</t>
        </is>
      </c>
      <c r="L155" s="5">
        <f>'Tarifa 2025'!$D$18/4/6</f>
        <v/>
      </c>
      <c r="M155" s="1" t="inlineStr">
        <is>
          <t>SPV Management de Proyecto - 2º Trimestre</t>
        </is>
      </c>
      <c r="N155" s="5">
        <f>'Tarifa 2025'!$F$18/6/4</f>
        <v/>
      </c>
      <c r="O155" s="1" t="inlineStr">
        <is>
          <t>O&amp;M Management de Proyecto - 2º Trimestre</t>
        </is>
      </c>
      <c r="P155" s="5">
        <f>'Tarifa 2025'!$H$18/6/4</f>
        <v/>
      </c>
      <c r="S155" s="1" t="inlineStr">
        <is>
          <t>Corrección 1T2025</t>
        </is>
      </c>
      <c r="T155" s="5">
        <f>(L155-L15)+(N155-N15)+(P155-P15)+(R155-R15)</f>
        <v/>
      </c>
      <c r="Y155" s="1" t="inlineStr">
        <is>
          <t>Gastos derivados de contrato (3,5%)</t>
        </is>
      </c>
      <c r="Z155" s="5">
        <f>(L155+N155+P155+R155+T155+V155+X155)*0.035</f>
        <v/>
      </c>
      <c r="AB155" s="6" t="inlineStr">
        <is>
          <t>ES85 2080 3509 1130 4009 6171</t>
        </is>
      </c>
      <c r="AC155" s="1" t="inlineStr">
        <is>
          <t>pagado</t>
        </is>
      </c>
      <c r="AD155" s="5">
        <f>L155+N155+P155+R155+T155+V155+X155+Z155</f>
        <v/>
      </c>
      <c r="AE155" s="5">
        <f>IF((LEFT(K155,6))="Contab",L155,0)</f>
        <v/>
      </c>
      <c r="AF155" s="466">
        <f>VLOOKUP(G155,CLIENTES!B:E,4,FALSE)</f>
        <v/>
      </c>
      <c r="AG155" s="5">
        <f>AF155*AE155</f>
        <v/>
      </c>
      <c r="AH155" s="5">
        <f>AD155*1.21</f>
        <v/>
      </c>
      <c r="AI155" s="261">
        <f>IF(AE155&lt;&gt;0,AG155/AD155,"N/A")</f>
        <v/>
      </c>
      <c r="AJ155" s="5">
        <f>IF(AC155="pendiente",AD155,0)</f>
        <v/>
      </c>
      <c r="AK155" s="1">
        <f>VLOOKUP(G155,CLIENTES!B:D,3,FALSE)</f>
        <v/>
      </c>
      <c r="AL155" s="1" t="inlineStr">
        <is>
          <t>WOC_Asset</t>
        </is>
      </c>
      <c r="AM155" s="1" t="inlineStr">
        <is>
          <t>Administración</t>
        </is>
      </c>
    </row>
    <row r="156" ht="15" customHeight="1" s="700">
      <c r="A156" s="1">
        <f>A155+1</f>
        <v/>
      </c>
      <c r="B156" s="26" t="n">
        <v>45750</v>
      </c>
      <c r="C156" s="1" t="inlineStr">
        <is>
          <t>c/ Las Cruzadas 3A, local D</t>
        </is>
      </c>
      <c r="D156" s="1" t="inlineStr">
        <is>
          <t>Sevilla 41004</t>
        </is>
      </c>
      <c r="E156" s="1" t="inlineStr">
        <is>
          <t>CIF B91938662</t>
        </is>
      </c>
      <c r="F156" s="1" t="inlineStr">
        <is>
          <t>aBalados@abalados.es</t>
        </is>
      </c>
      <c r="G156" s="1" t="inlineStr">
        <is>
          <t>Solar Photo Collect S.L.U.</t>
        </is>
      </c>
      <c r="H156" s="1">
        <f>VLOOKUP($G156,DATOS!$B:$E,2,FALSE)</f>
        <v/>
      </c>
      <c r="I156" s="1">
        <f>VLOOKUP($G156,DATOS!$B:$E,3,FALSE)</f>
        <v/>
      </c>
      <c r="J156" s="1">
        <f>VLOOKUP($G156,DATOS!$B:$E,4,FALSE)</f>
        <v/>
      </c>
      <c r="K156" s="1" t="inlineStr">
        <is>
          <t>Contabilidad y Fiscalidad de proyecto - 2º Trimestre</t>
        </is>
      </c>
      <c r="L156" s="5">
        <f>'Tarifa 2025'!$D$18/4/6</f>
        <v/>
      </c>
      <c r="M156" s="1" t="inlineStr">
        <is>
          <t>SPV Management de Proyecto - 2º Trimestre</t>
        </is>
      </c>
      <c r="N156" s="5">
        <f>'Tarifa 2025'!$F$18/6/4</f>
        <v/>
      </c>
      <c r="O156" s="1" t="inlineStr">
        <is>
          <t>O&amp;M Management de Proyecto - 2º Trimestre</t>
        </is>
      </c>
      <c r="P156" s="5">
        <f>'Tarifa 2025'!$H$18/6/4</f>
        <v/>
      </c>
      <c r="S156" s="1" t="inlineStr">
        <is>
          <t>Corrección 1T2025</t>
        </is>
      </c>
      <c r="T156" s="5">
        <f>(L156-L16)+(N156-N16)+(P156-P16)+(R156-R16)</f>
        <v/>
      </c>
      <c r="Y156" s="1" t="inlineStr">
        <is>
          <t>Gastos derivados de contrato (3,5%)</t>
        </is>
      </c>
      <c r="Z156" s="5">
        <f>(L156+N156+P156+R156+T156+V156+X156)*0.035</f>
        <v/>
      </c>
      <c r="AB156" s="6" t="inlineStr">
        <is>
          <t>ES85 2080 3509 1130 4009 6171</t>
        </is>
      </c>
      <c r="AC156" s="1" t="inlineStr">
        <is>
          <t>pagado</t>
        </is>
      </c>
      <c r="AD156" s="5">
        <f>L156+N156+P156+R156+T156+V156+X156+Z156</f>
        <v/>
      </c>
      <c r="AE156" s="5">
        <f>IF((LEFT(K156,6))="Contab",L156,0)</f>
        <v/>
      </c>
      <c r="AF156" s="466">
        <f>VLOOKUP(G156,CLIENTES!B:E,4,FALSE)</f>
        <v/>
      </c>
      <c r="AG156" s="5">
        <f>AF156*AE156</f>
        <v/>
      </c>
      <c r="AH156" s="5">
        <f>AD156*1.21</f>
        <v/>
      </c>
      <c r="AI156" s="261">
        <f>IF(AE156&lt;&gt;0,AG156/AD156,"N/A")</f>
        <v/>
      </c>
      <c r="AJ156" s="5">
        <f>IF(AC156="pendiente",AD156,0)</f>
        <v/>
      </c>
      <c r="AK156" s="1">
        <f>VLOOKUP(G156,CLIENTES!B:D,3,FALSE)</f>
        <v/>
      </c>
      <c r="AL156" s="1" t="inlineStr">
        <is>
          <t>WOC_Asset</t>
        </is>
      </c>
      <c r="AM156" s="1" t="inlineStr">
        <is>
          <t>Administración</t>
        </is>
      </c>
    </row>
    <row r="157" ht="15" customHeight="1" s="700">
      <c r="A157" s="1">
        <f>A156+1</f>
        <v/>
      </c>
      <c r="B157" s="26" t="n">
        <v>45750</v>
      </c>
      <c r="C157" s="1" t="inlineStr">
        <is>
          <t>c/ Las Cruzadas 3A, local D</t>
        </is>
      </c>
      <c r="D157" s="1" t="inlineStr">
        <is>
          <t>Sevilla 41004</t>
        </is>
      </c>
      <c r="E157" s="1" t="inlineStr">
        <is>
          <t>CIF B91938662</t>
        </is>
      </c>
      <c r="F157" s="1" t="inlineStr">
        <is>
          <t>aBalados@abalados.es</t>
        </is>
      </c>
      <c r="G157" s="1" t="inlineStr">
        <is>
          <t xml:space="preserve">Rasteding PV I, S.L.U. </t>
        </is>
      </c>
      <c r="H157" s="1">
        <f>VLOOKUP($G157,DATOS!$B:$E,2,FALSE)</f>
        <v/>
      </c>
      <c r="I157" s="1">
        <f>VLOOKUP($G157,DATOS!$B:$E,3,FALSE)</f>
        <v/>
      </c>
      <c r="J157" s="1">
        <f>VLOOKUP($G157,DATOS!$B:$E,4,FALSE)</f>
        <v/>
      </c>
      <c r="K157" s="1" t="inlineStr">
        <is>
          <t>Contabilidad y Fiscalidad de proyecto - 2º Trimestre</t>
        </is>
      </c>
      <c r="L157" s="5">
        <f>'Tarifa 2025'!$D$18/4/6</f>
        <v/>
      </c>
      <c r="M157" s="1" t="inlineStr">
        <is>
          <t>SPV Management de Proyecto - 2º Trimestre</t>
        </is>
      </c>
      <c r="N157" s="5">
        <f>'Tarifa 2025'!$F$18/6/4</f>
        <v/>
      </c>
      <c r="O157" s="1" t="inlineStr">
        <is>
          <t>O&amp;M Management de Proyecto - 2º Trimestre</t>
        </is>
      </c>
      <c r="P157" s="5">
        <f>'Tarifa 2025'!$H$18/6/4</f>
        <v/>
      </c>
      <c r="S157" s="1" t="inlineStr">
        <is>
          <t>Corrección 1T2025</t>
        </is>
      </c>
      <c r="T157" s="5">
        <f>(L157-L17)+(N157-N17)+(P157-P17)+(R157-R17)</f>
        <v/>
      </c>
      <c r="Y157" s="1" t="inlineStr">
        <is>
          <t>Gastos derivados de contrato (3,5%)</t>
        </is>
      </c>
      <c r="Z157" s="5">
        <f>(L157+N157+P157+R157+T157+V157+X157)*0.035</f>
        <v/>
      </c>
      <c r="AB157" s="6" t="inlineStr">
        <is>
          <t>ES85 2080 3509 1130 4009 6171</t>
        </is>
      </c>
      <c r="AC157" s="1" t="inlineStr">
        <is>
          <t>pagado</t>
        </is>
      </c>
      <c r="AD157" s="5">
        <f>L157+N157+P157+R157+T157+V157+X157+Z157</f>
        <v/>
      </c>
      <c r="AE157" s="5">
        <f>IF((LEFT(K157,6))="Contab",L157,0)</f>
        <v/>
      </c>
      <c r="AF157" s="466">
        <f>VLOOKUP(G157,CLIENTES!B:E,4,FALSE)</f>
        <v/>
      </c>
      <c r="AG157" s="5">
        <f>AF157*AE157</f>
        <v/>
      </c>
      <c r="AH157" s="5">
        <f>AD157*1.21</f>
        <v/>
      </c>
      <c r="AI157" s="261">
        <f>IF(AE157&lt;&gt;0,AG157/AD157,"N/A")</f>
        <v/>
      </c>
      <c r="AJ157" s="5">
        <f>IF(AC157="pendiente",AD157,0)</f>
        <v/>
      </c>
      <c r="AK157" s="1">
        <f>VLOOKUP(G157,CLIENTES!B:D,3,FALSE)</f>
        <v/>
      </c>
      <c r="AL157" s="1" t="inlineStr">
        <is>
          <t>WOC_Asset</t>
        </is>
      </c>
      <c r="AM157" s="1" t="inlineStr">
        <is>
          <t>Administración</t>
        </is>
      </c>
    </row>
    <row r="158" ht="15" customHeight="1" s="700">
      <c r="A158" s="1">
        <f>A157+1</f>
        <v/>
      </c>
      <c r="B158" s="26" t="n">
        <v>45750</v>
      </c>
      <c r="C158" s="1" t="inlineStr">
        <is>
          <t>c/ Las Cruzadas 3A, local D</t>
        </is>
      </c>
      <c r="D158" s="1" t="inlineStr">
        <is>
          <t>Sevilla 41004</t>
        </is>
      </c>
      <c r="E158" s="1" t="inlineStr">
        <is>
          <t>CIF B91938662</t>
        </is>
      </c>
      <c r="F158" s="1" t="inlineStr">
        <is>
          <t>aBalados@abalados.es</t>
        </is>
      </c>
      <c r="G158" s="1" t="inlineStr">
        <is>
          <t>Amberg II S.L.U.</t>
        </is>
      </c>
      <c r="H158" s="1">
        <f>VLOOKUP($G158,DATOS!$B:$E,2,FALSE)</f>
        <v/>
      </c>
      <c r="I158" s="1">
        <f>VLOOKUP($G158,DATOS!$B:$E,3,FALSE)</f>
        <v/>
      </c>
      <c r="J158" s="1">
        <f>VLOOKUP($G158,DATOS!$B:$E,4,FALSE)</f>
        <v/>
      </c>
      <c r="K158" s="1" t="inlineStr">
        <is>
          <t>Contabilidad y Fiscalidad de proyecto - 2º Trimestre</t>
        </is>
      </c>
      <c r="L158" s="5">
        <f>'Tarifa 2025'!$D$18/4/6</f>
        <v/>
      </c>
      <c r="M158" s="1" t="inlineStr">
        <is>
          <t>SPV Management de Proyecto - 2º Trimestre</t>
        </is>
      </c>
      <c r="N158" s="5">
        <f>'Tarifa 2025'!$F$18/6/4</f>
        <v/>
      </c>
      <c r="O158" s="1" t="inlineStr">
        <is>
          <t>O&amp;M Management de Proyecto - 2º Trimestre</t>
        </is>
      </c>
      <c r="P158" s="5">
        <f>'Tarifa 2025'!$H$18/6/4</f>
        <v/>
      </c>
      <c r="S158" s="1" t="inlineStr">
        <is>
          <t>Corrección 1T2025</t>
        </is>
      </c>
      <c r="T158" s="5">
        <f>(L158-L18)+(N158-N18)+(P158-P18)+(R158-R18)</f>
        <v/>
      </c>
      <c r="Y158" s="1" t="inlineStr">
        <is>
          <t>Gastos derivados de contrato (3,5%)</t>
        </is>
      </c>
      <c r="Z158" s="5">
        <f>(L158+N158+P158+R158+T158+V158+X158)*0.035</f>
        <v/>
      </c>
      <c r="AB158" s="6" t="inlineStr">
        <is>
          <t>ES85 2080 3509 1130 4009 6171</t>
        </is>
      </c>
      <c r="AC158" s="1" t="inlineStr">
        <is>
          <t>pagado</t>
        </is>
      </c>
      <c r="AD158" s="5">
        <f>L158+N158+P158+R158+T158+V158+X158+Z158</f>
        <v/>
      </c>
      <c r="AE158" s="5">
        <f>IF((LEFT(K158,6))="Contab",L158,0)</f>
        <v/>
      </c>
      <c r="AF158" s="466">
        <f>VLOOKUP(G158,CLIENTES!B:E,4,FALSE)</f>
        <v/>
      </c>
      <c r="AG158" s="5">
        <f>AF158*AE158</f>
        <v/>
      </c>
      <c r="AH158" s="5">
        <f>AD158*1.21</f>
        <v/>
      </c>
      <c r="AI158" s="261">
        <f>IF(AE158&lt;&gt;0,AG158/AD158,"N/A")</f>
        <v/>
      </c>
      <c r="AJ158" s="5">
        <f>IF(AC158="pendiente",AD158,0)</f>
        <v/>
      </c>
      <c r="AK158" s="1">
        <f>VLOOKUP(G158,CLIENTES!B:D,3,FALSE)</f>
        <v/>
      </c>
      <c r="AL158" s="1" t="inlineStr">
        <is>
          <t>WOC_Asset</t>
        </is>
      </c>
      <c r="AM158" s="1" t="inlineStr">
        <is>
          <t>Administración</t>
        </is>
      </c>
    </row>
    <row r="159" ht="15" customHeight="1" s="700">
      <c r="A159" s="1">
        <f>A158+1</f>
        <v/>
      </c>
      <c r="B159" s="26" t="n">
        <v>45750</v>
      </c>
      <c r="C159" s="1" t="inlineStr">
        <is>
          <t>c/ Las Cruzadas 3A, local D</t>
        </is>
      </c>
      <c r="D159" s="1" t="inlineStr">
        <is>
          <t>Sevilla 41004</t>
        </is>
      </c>
      <c r="E159" s="1" t="inlineStr">
        <is>
          <t>CIF B91938662</t>
        </is>
      </c>
      <c r="F159" s="1" t="inlineStr">
        <is>
          <t>aBalados@abalados.es</t>
        </is>
      </c>
      <c r="G159" s="1" t="inlineStr">
        <is>
          <t>Tiksi PV II S.L.U.</t>
        </is>
      </c>
      <c r="H159" s="1">
        <f>VLOOKUP($G159,DATOS!$B:$E,2,FALSE)</f>
        <v/>
      </c>
      <c r="I159" s="1">
        <f>VLOOKUP($G159,DATOS!$B:$E,3,FALSE)</f>
        <v/>
      </c>
      <c r="J159" s="1">
        <f>VLOOKUP($G159,DATOS!$B:$E,4,FALSE)</f>
        <v/>
      </c>
      <c r="K159" s="1" t="inlineStr">
        <is>
          <t>Contabilidad y Fiscalidad de proyecto - 2º Trimestre</t>
        </is>
      </c>
      <c r="L159" s="5">
        <f>'Tarifa 2025'!$D$18/4/6</f>
        <v/>
      </c>
      <c r="M159" s="1" t="inlineStr">
        <is>
          <t>SPV Management de Proyecto - 2º Trimestre</t>
        </is>
      </c>
      <c r="N159" s="5">
        <f>'Tarifa 2025'!$F$18/6/4</f>
        <v/>
      </c>
      <c r="O159" s="1" t="inlineStr">
        <is>
          <t>O&amp;M Management de Proyecto - 2º Trimestre</t>
        </is>
      </c>
      <c r="P159" s="5">
        <f>'Tarifa 2025'!$H$18/6/4</f>
        <v/>
      </c>
      <c r="S159" s="1" t="inlineStr">
        <is>
          <t>Corrección 1T2025</t>
        </is>
      </c>
      <c r="T159" s="5">
        <f>(L159-L19)+(N159-N19)+(P159-P19)+(R159-R19)</f>
        <v/>
      </c>
      <c r="Y159" s="1" t="inlineStr">
        <is>
          <t>Gastos derivados de contrato (3,5%)</t>
        </is>
      </c>
      <c r="Z159" s="5">
        <f>(L159+N159+P159+R159+T159+V159+X159)*0.035</f>
        <v/>
      </c>
      <c r="AB159" s="6" t="inlineStr">
        <is>
          <t>ES85 2080 3509 1130 4009 6171</t>
        </is>
      </c>
      <c r="AC159" s="1" t="inlineStr">
        <is>
          <t>pagado</t>
        </is>
      </c>
      <c r="AD159" s="5">
        <f>L159+N159+P159+R159+T159+V159+X159+Z159</f>
        <v/>
      </c>
      <c r="AE159" s="5">
        <f>IF((LEFT(K159,6))="Contab",L159,0)</f>
        <v/>
      </c>
      <c r="AF159" s="466">
        <f>VLOOKUP(G159,CLIENTES!B:E,4,FALSE)</f>
        <v/>
      </c>
      <c r="AG159" s="5">
        <f>AF159*AE159</f>
        <v/>
      </c>
      <c r="AH159" s="5">
        <f>AD159*1.21</f>
        <v/>
      </c>
      <c r="AI159" s="261">
        <f>IF(AE159&lt;&gt;0,AG159/AD159,"N/A")</f>
        <v/>
      </c>
      <c r="AJ159" s="5">
        <f>IF(AC159="pendiente",AD159,0)</f>
        <v/>
      </c>
      <c r="AK159" s="1">
        <f>VLOOKUP(G159,CLIENTES!B:D,3,FALSE)</f>
        <v/>
      </c>
      <c r="AL159" s="1" t="inlineStr">
        <is>
          <t>WOC_Asset</t>
        </is>
      </c>
      <c r="AM159" s="1" t="inlineStr">
        <is>
          <t>Administración</t>
        </is>
      </c>
    </row>
    <row r="160" ht="15" customFormat="1" customHeight="1" s="146">
      <c r="A160" s="146">
        <f>A159+1</f>
        <v/>
      </c>
      <c r="B160" s="149" t="n">
        <v>45750</v>
      </c>
      <c r="C160" s="146" t="inlineStr">
        <is>
          <t>c/ Las Cruzadas 3A, local D</t>
        </is>
      </c>
      <c r="D160" s="146" t="inlineStr">
        <is>
          <t>Sevilla 41004</t>
        </is>
      </c>
      <c r="E160" s="146" t="inlineStr">
        <is>
          <t>CIF B91938662</t>
        </is>
      </c>
      <c r="F160" s="146" t="inlineStr">
        <is>
          <t>aBalados@abalados.es</t>
        </is>
      </c>
      <c r="G160" s="146" t="inlineStr">
        <is>
          <t>Solar Photo Corp S.L.U.</t>
        </is>
      </c>
      <c r="H160" s="146">
        <f>VLOOKUP($G160,DATOS!$B:$E,2,FALSE)</f>
        <v/>
      </c>
      <c r="I160" s="146">
        <f>VLOOKUP($G160,DATOS!$B:$E,3,FALSE)</f>
        <v/>
      </c>
      <c r="J160" s="146">
        <f>VLOOKUP($G160,DATOS!$B:$E,4,FALSE)</f>
        <v/>
      </c>
      <c r="K160" s="146" t="inlineStr">
        <is>
          <t>Contabilidad y Fiscalidad de proyecto - 2º Trimestre</t>
        </is>
      </c>
      <c r="L160" s="147">
        <f>'Tarifa 2025'!$D$18/4/6</f>
        <v/>
      </c>
      <c r="M160" s="146" t="inlineStr">
        <is>
          <t>SPV Management de Proyecto - 2º Trimestre</t>
        </is>
      </c>
      <c r="N160" s="147">
        <f>'Tarifa 2025'!$F$18/6/4</f>
        <v/>
      </c>
      <c r="O160" s="146" t="inlineStr">
        <is>
          <t>O&amp;M Management de Proyecto - 2º Trimestre</t>
        </is>
      </c>
      <c r="P160" s="147">
        <f>'Tarifa 2025'!$H$18/6/4</f>
        <v/>
      </c>
      <c r="R160" s="147" t="n"/>
      <c r="S160" s="146" t="inlineStr">
        <is>
          <t>Corrección 1T2025</t>
        </is>
      </c>
      <c r="T160" s="147">
        <f>(L160-L20)+(N160-N20)+(P160-P20)+(R160-R20)</f>
        <v/>
      </c>
      <c r="V160" s="147" t="n"/>
      <c r="X160" s="147" t="n"/>
      <c r="Y160" s="146" t="inlineStr">
        <is>
          <t>Gastos derivados de contrato (3,5%)</t>
        </is>
      </c>
      <c r="Z160" s="147">
        <f>(L160+N160+P160+R160+T160+V160+X160)*0.035</f>
        <v/>
      </c>
      <c r="AA160" s="147" t="n"/>
      <c r="AB160" s="148" t="inlineStr">
        <is>
          <t>ES85 2080 3509 1130 4009 6171</t>
        </is>
      </c>
      <c r="AC160" s="146" t="inlineStr">
        <is>
          <t>pagado</t>
        </is>
      </c>
      <c r="AD160" s="147">
        <f>L160+N160+P160+R160+T160+V160+X160+Z160</f>
        <v/>
      </c>
      <c r="AE160" s="147">
        <f>IF((LEFT(K160,6))="Contab",L160,0)</f>
        <v/>
      </c>
      <c r="AF160" s="467">
        <f>VLOOKUP(G160,CLIENTES!B:E,4,FALSE)</f>
        <v/>
      </c>
      <c r="AG160" s="147">
        <f>AF160*AE160</f>
        <v/>
      </c>
      <c r="AH160" s="147">
        <f>AD160*1.21</f>
        <v/>
      </c>
      <c r="AI160" s="257">
        <f>IF(AE160&lt;&gt;0,AG160/AD160,"N/A")</f>
        <v/>
      </c>
      <c r="AJ160" s="147">
        <f>IF(AC160="pendiente",AD160,0)</f>
        <v/>
      </c>
      <c r="AK160" s="146">
        <f>VLOOKUP(G160,CLIENTES!B:D,3,FALSE)</f>
        <v/>
      </c>
      <c r="AL160" s="146" t="inlineStr">
        <is>
          <t>WOC_Asset</t>
        </is>
      </c>
      <c r="AM160" s="146" t="inlineStr">
        <is>
          <t>Administración</t>
        </is>
      </c>
    </row>
    <row r="161" ht="15" customFormat="1" customHeight="1" s="258">
      <c r="A161" s="258">
        <f>A160+1</f>
        <v/>
      </c>
      <c r="B161" s="299" t="n">
        <v>45750</v>
      </c>
      <c r="C161" s="258" t="inlineStr">
        <is>
          <t>c/ Las Cruzadas 3A, local D</t>
        </is>
      </c>
      <c r="D161" s="258" t="inlineStr">
        <is>
          <t>Sevilla 41004</t>
        </is>
      </c>
      <c r="E161" s="258" t="inlineStr">
        <is>
          <t>CIF B91938662</t>
        </is>
      </c>
      <c r="F161" s="258" t="inlineStr">
        <is>
          <t>aBalados@abalados.es</t>
        </is>
      </c>
      <c r="G161" s="258" t="inlineStr">
        <is>
          <t>Dehesa Asomadilla Inversiones S.L.U.</t>
        </is>
      </c>
      <c r="H161" s="258">
        <f>VLOOKUP($G161,DATOS!$B:$E,2,FALSE)</f>
        <v/>
      </c>
      <c r="I161" s="258">
        <f>VLOOKUP($G161,DATOS!$B:$E,3,FALSE)</f>
        <v/>
      </c>
      <c r="J161" s="258">
        <f>VLOOKUP($G161,DATOS!$B:$E,4,FALSE)</f>
        <v/>
      </c>
      <c r="K161" s="258" t="inlineStr">
        <is>
          <t>Honorarios - Contrato O&amp;M 1º Trimestre</t>
        </is>
      </c>
      <c r="L161" s="535" t="n">
        <v>34407.88317690637</v>
      </c>
      <c r="N161" s="259" t="n"/>
      <c r="P161" s="719" t="n"/>
      <c r="R161" s="259" t="n"/>
      <c r="T161" s="259" t="n"/>
      <c r="V161" s="259" t="n"/>
      <c r="X161" s="259" t="n"/>
      <c r="Y161" s="258" t="inlineStr">
        <is>
          <t>Gastos derivados de contrato (3,5%)</t>
        </is>
      </c>
      <c r="Z161" s="259">
        <f>(L161+N161+P161+R161+T161+V161+X161)*0.035</f>
        <v/>
      </c>
      <c r="AA161" s="259" t="n"/>
      <c r="AB161" s="260" t="inlineStr">
        <is>
          <t>ES85 2080 3509 1130 4009 6171</t>
        </is>
      </c>
      <c r="AC161" s="258" t="inlineStr">
        <is>
          <t>pagado</t>
        </is>
      </c>
      <c r="AD161" s="259">
        <f>L161+N161+P161+R161+T161+V161+X161+Z161</f>
        <v/>
      </c>
      <c r="AE161" s="259">
        <f>IF((LEFT(K161,6))="Contab",L161,0)</f>
        <v/>
      </c>
      <c r="AF161" s="260">
        <f>VLOOKUP(G161,CLIENTES!B:E,4,FALSE)</f>
        <v/>
      </c>
      <c r="AG161" s="259">
        <f>AF161*AE161</f>
        <v/>
      </c>
      <c r="AH161" s="259">
        <f>AD161*1.21</f>
        <v/>
      </c>
      <c r="AI161" s="264">
        <f>IF(AE161&lt;&gt;0,AG161/AD161,"N/A")</f>
        <v/>
      </c>
      <c r="AJ161" s="259">
        <f>IF(AC161="pendiente",AD161,0)</f>
        <v/>
      </c>
      <c r="AK161" s="258">
        <f>VLOOKUP(G161,CLIENTES!B:D,3,FALSE)</f>
        <v/>
      </c>
      <c r="AL161" s="258" t="inlineStr">
        <is>
          <t>WOC_OM</t>
        </is>
      </c>
      <c r="AM161" s="258" t="inlineStr">
        <is>
          <t>Explotación</t>
        </is>
      </c>
    </row>
    <row r="162" ht="15" customHeight="1" s="700">
      <c r="A162" s="1">
        <f>A161+1</f>
        <v/>
      </c>
      <c r="B162" s="26" t="n">
        <v>45750</v>
      </c>
      <c r="C162" s="1" t="inlineStr">
        <is>
          <t>c/ Las Cruzadas 3A, local D</t>
        </is>
      </c>
      <c r="D162" s="1" t="inlineStr">
        <is>
          <t>Sevilla 41004</t>
        </is>
      </c>
      <c r="E162" s="1" t="inlineStr">
        <is>
          <t>CIF B91938662</t>
        </is>
      </c>
      <c r="F162" s="1" t="inlineStr">
        <is>
          <t>aBalados@abalados.es</t>
        </is>
      </c>
      <c r="G162" s="1" t="inlineStr">
        <is>
          <t>Asomadilla Solar 2007 S.L.U.</t>
        </is>
      </c>
      <c r="H162" s="1">
        <f>VLOOKUP($G162,DATOS!$B:$E,2,FALSE)</f>
        <v/>
      </c>
      <c r="I162" s="1">
        <f>VLOOKUP($G162,DATOS!$B:$E,3,FALSE)</f>
        <v/>
      </c>
      <c r="J162" s="1">
        <f>VLOOKUP($G162,DATOS!$B:$E,4,FALSE)</f>
        <v/>
      </c>
      <c r="K162" s="1" t="inlineStr">
        <is>
          <t>Honorarios - Contrato O&amp;M 1º Trimestre</t>
        </is>
      </c>
      <c r="L162" s="536" t="n">
        <v>22021.04523322008</v>
      </c>
      <c r="Y162" s="1" t="inlineStr">
        <is>
          <t>Gastos derivados de contrato (3,5%)</t>
        </is>
      </c>
      <c r="Z162" s="5">
        <f>(L162+N162+P162+R162+T162+V162+X162)*0.035</f>
        <v/>
      </c>
      <c r="AB162" s="6" t="inlineStr">
        <is>
          <t>ES85 2080 3509 1130 4009 6171</t>
        </is>
      </c>
      <c r="AC162" s="1" t="inlineStr">
        <is>
          <t>pagado</t>
        </is>
      </c>
      <c r="AD162" s="5">
        <f>L162+N162+P162+R162+T162+V162+X162+Z162</f>
        <v/>
      </c>
      <c r="AE162" s="5">
        <f>IF((LEFT(K162,6))="Contab",L162,0)</f>
        <v/>
      </c>
      <c r="AF162" s="6">
        <f>VLOOKUP(G162,CLIENTES!B:E,4,FALSE)</f>
        <v/>
      </c>
      <c r="AG162" s="5">
        <f>AF162*AE162</f>
        <v/>
      </c>
      <c r="AH162" s="5">
        <f>AD162*1.21</f>
        <v/>
      </c>
      <c r="AI162" s="261">
        <f>IF(AE162&lt;&gt;0,AG162/AD162,"N/A")</f>
        <v/>
      </c>
      <c r="AJ162" s="5">
        <f>IF(AC162="pendiente",AD162,0)</f>
        <v/>
      </c>
      <c r="AK162" s="1">
        <f>VLOOKUP(G162,CLIENTES!B:D,3,FALSE)</f>
        <v/>
      </c>
      <c r="AL162" s="1" t="inlineStr">
        <is>
          <t>WOC_OM</t>
        </is>
      </c>
      <c r="AM162" s="1" t="inlineStr">
        <is>
          <t>Explotación</t>
        </is>
      </c>
    </row>
    <row r="163" ht="15" customHeight="1" s="700">
      <c r="A163" s="1">
        <f>A162+1</f>
        <v/>
      </c>
      <c r="B163" s="26" t="n">
        <v>45750</v>
      </c>
      <c r="C163" s="1" t="inlineStr">
        <is>
          <t>c/ Las Cruzadas 3A, local D</t>
        </is>
      </c>
      <c r="D163" s="1" t="inlineStr">
        <is>
          <t>Sevilla 41004</t>
        </is>
      </c>
      <c r="E163" s="1" t="inlineStr">
        <is>
          <t>CIF B91938662</t>
        </is>
      </c>
      <c r="F163" s="1" t="inlineStr">
        <is>
          <t>aBalados@abalados.es</t>
        </is>
      </c>
      <c r="G163" s="1" t="inlineStr">
        <is>
          <t>ES Garrovers Energía Solar S.L.U.</t>
        </is>
      </c>
      <c r="H163" s="1">
        <f>VLOOKUP($G163,DATOS!$B:$E,2,FALSE)</f>
        <v/>
      </c>
      <c r="I163" s="1">
        <f>VLOOKUP($G163,DATOS!$B:$E,3,FALSE)</f>
        <v/>
      </c>
      <c r="J163" s="1">
        <f>VLOOKUP($G163,DATOS!$B:$E,4,FALSE)</f>
        <v/>
      </c>
      <c r="K163" s="1" t="inlineStr">
        <is>
          <t>Honorarios - Contrato O&amp;M 1º Trimestre</t>
        </is>
      </c>
      <c r="L163" s="536" t="n">
        <v>25938.09378140574</v>
      </c>
      <c r="Y163" s="1" t="inlineStr">
        <is>
          <t>Gastos derivados de contrato (3,5%)</t>
        </is>
      </c>
      <c r="Z163" s="5">
        <f>(L163+N163+P163+R163+T163+V163+X163)*0.035</f>
        <v/>
      </c>
      <c r="AB163" s="6" t="inlineStr">
        <is>
          <t>ES85 2080 3509 1130 4009 6171</t>
        </is>
      </c>
      <c r="AC163" s="1" t="inlineStr">
        <is>
          <t>pagado</t>
        </is>
      </c>
      <c r="AD163" s="5">
        <f>L163+N163+P163+R163+T163+V163+X163+Z163</f>
        <v/>
      </c>
      <c r="AE163" s="5">
        <f>IF((LEFT(K163,6))="Contab",L163,0)</f>
        <v/>
      </c>
      <c r="AF163" s="6">
        <f>VLOOKUP(G163,CLIENTES!B:E,4,FALSE)</f>
        <v/>
      </c>
      <c r="AG163" s="5">
        <f>AF163*AE163</f>
        <v/>
      </c>
      <c r="AH163" s="5">
        <f>AD163*1.21</f>
        <v/>
      </c>
      <c r="AI163" s="261">
        <f>IF(AE163&lt;&gt;0,AG163/AD163,"N/A")</f>
        <v/>
      </c>
      <c r="AJ163" s="5">
        <f>IF(AC163="pendiente",AD163,0)</f>
        <v/>
      </c>
      <c r="AK163" s="1">
        <f>VLOOKUP(G163,CLIENTES!B:D,3,FALSE)</f>
        <v/>
      </c>
      <c r="AL163" s="1" t="inlineStr">
        <is>
          <t>WOC_OM</t>
        </is>
      </c>
      <c r="AM163" s="1" t="inlineStr">
        <is>
          <t>Explotación</t>
        </is>
      </c>
    </row>
    <row r="164" ht="15" customHeight="1" s="700">
      <c r="A164" s="1">
        <f>A163+1</f>
        <v/>
      </c>
      <c r="B164" s="26" t="n">
        <v>45750</v>
      </c>
      <c r="C164" s="1" t="inlineStr">
        <is>
          <t>c/ Las Cruzadas 3A, local D</t>
        </is>
      </c>
      <c r="D164" s="1" t="inlineStr">
        <is>
          <t>Sevilla 41004</t>
        </is>
      </c>
      <c r="E164" s="1" t="inlineStr">
        <is>
          <t>CIF B91938662</t>
        </is>
      </c>
      <c r="F164" s="1" t="inlineStr">
        <is>
          <t>aBalados@abalados.es</t>
        </is>
      </c>
      <c r="G164" s="1" t="inlineStr">
        <is>
          <t>WOC Fotovoltaica España Proyecto Sollana S.L.U.</t>
        </is>
      </c>
      <c r="H164" s="1">
        <f>VLOOKUP($G164,DATOS!$B:$E,2,FALSE)</f>
        <v/>
      </c>
      <c r="I164" s="1">
        <f>VLOOKUP($G164,DATOS!$B:$E,3,FALSE)</f>
        <v/>
      </c>
      <c r="J164" s="1">
        <f>VLOOKUP($G164,DATOS!$B:$E,4,FALSE)</f>
        <v/>
      </c>
      <c r="K164" s="1" t="inlineStr">
        <is>
          <t>Honorarios - Contrato O&amp;M 1º Trimestre</t>
        </is>
      </c>
      <c r="L164" s="536" t="n">
        <v>14275.34438962105</v>
      </c>
      <c r="Y164" s="1" t="inlineStr">
        <is>
          <t>Gastos derivados de contrato (3,5%)</t>
        </is>
      </c>
      <c r="Z164" s="5">
        <f>(L164+N164+P164+R164+T164+V164+X164)*0.035</f>
        <v/>
      </c>
      <c r="AB164" s="6" t="inlineStr">
        <is>
          <t>ES85 2080 3509 1130 4009 6171</t>
        </is>
      </c>
      <c r="AC164" s="1" t="inlineStr">
        <is>
          <t>pagado</t>
        </is>
      </c>
      <c r="AD164" s="5">
        <f>L164+N164+P164+R164+T164+V164+X164+Z164</f>
        <v/>
      </c>
      <c r="AE164" s="5">
        <f>IF((LEFT(K164,6))="Contab",L164,0)</f>
        <v/>
      </c>
      <c r="AF164" s="6">
        <f>VLOOKUP(G164,CLIENTES!B:E,4,FALSE)</f>
        <v/>
      </c>
      <c r="AG164" s="5">
        <f>AF164*AE164</f>
        <v/>
      </c>
      <c r="AH164" s="5">
        <f>AD164*1.21</f>
        <v/>
      </c>
      <c r="AI164" s="261">
        <f>IF(AE164&lt;&gt;0,AG164/AD164,"N/A")</f>
        <v/>
      </c>
      <c r="AJ164" s="5">
        <f>IF(AC164="pendiente",AD164,0)</f>
        <v/>
      </c>
      <c r="AK164" s="1">
        <f>VLOOKUP(G164,CLIENTES!B:D,3,FALSE)</f>
        <v/>
      </c>
      <c r="AL164" s="1" t="inlineStr">
        <is>
          <t>WOC_OM</t>
        </is>
      </c>
      <c r="AM164" s="1" t="inlineStr">
        <is>
          <t>Explotación</t>
        </is>
      </c>
    </row>
    <row r="165" ht="15" customHeight="1" s="700">
      <c r="A165" s="1">
        <f>A164+1</f>
        <v/>
      </c>
      <c r="B165" s="26" t="n">
        <v>45750</v>
      </c>
      <c r="C165" s="1" t="inlineStr">
        <is>
          <t>c/ Las Cruzadas 3A, local D</t>
        </is>
      </c>
      <c r="D165" s="1" t="inlineStr">
        <is>
          <t>Sevilla 41004</t>
        </is>
      </c>
      <c r="E165" s="1" t="inlineStr">
        <is>
          <t>CIF B91938662</t>
        </is>
      </c>
      <c r="F165" s="1" t="inlineStr">
        <is>
          <t>aBalados@abalados.es</t>
        </is>
      </c>
      <c r="G165" s="1" t="inlineStr">
        <is>
          <t>Inversión Cubiertas Solares S.L.U.</t>
        </is>
      </c>
      <c r="H165" s="1">
        <f>VLOOKUP($G165,DATOS!$B:$E,2,FALSE)</f>
        <v/>
      </c>
      <c r="I165" s="1">
        <f>VLOOKUP($G165,DATOS!$B:$E,3,FALSE)</f>
        <v/>
      </c>
      <c r="J165" s="1">
        <f>VLOOKUP($G165,DATOS!$B:$E,4,FALSE)</f>
        <v/>
      </c>
      <c r="K165" s="1" t="inlineStr">
        <is>
          <t>Honorarios - Contrato O&amp;M 1º Trimestre</t>
        </is>
      </c>
      <c r="L165" s="536" t="n">
        <v>1523.175263130934</v>
      </c>
      <c r="Y165" s="1" t="inlineStr">
        <is>
          <t>Gastos derivados de contrato (3,5%)</t>
        </is>
      </c>
      <c r="Z165" s="5">
        <f>(L165+N165+P165+R165+T165+V165+X165)*0.035</f>
        <v/>
      </c>
      <c r="AB165" s="6" t="inlineStr">
        <is>
          <t>ES85 2080 3509 1130 4009 6171</t>
        </is>
      </c>
      <c r="AC165" s="1" t="inlineStr">
        <is>
          <t>pagado</t>
        </is>
      </c>
      <c r="AD165" s="5">
        <f>L165+N165+P165+R165+T165+V165+X165+Z165</f>
        <v/>
      </c>
      <c r="AE165" s="5">
        <f>IF((LEFT(K165,6))="Contab",L165,0)</f>
        <v/>
      </c>
      <c r="AF165" s="6">
        <f>VLOOKUP(G165,CLIENTES!B:E,4,FALSE)</f>
        <v/>
      </c>
      <c r="AG165" s="5">
        <f>AF165*AE165</f>
        <v/>
      </c>
      <c r="AH165" s="5">
        <f>AD165*1.21</f>
        <v/>
      </c>
      <c r="AI165" s="261">
        <f>IF(AE165&lt;&gt;0,AG165/AD165,"N/A")</f>
        <v/>
      </c>
      <c r="AJ165" s="5">
        <f>IF(AC165="pendiente",AD165,0)</f>
        <v/>
      </c>
      <c r="AK165" s="1">
        <f>VLOOKUP(G165,CLIENTES!B:D,3,FALSE)</f>
        <v/>
      </c>
      <c r="AL165" s="1" t="inlineStr">
        <is>
          <t>WOC_OM</t>
        </is>
      </c>
      <c r="AM165" s="1" t="inlineStr">
        <is>
          <t>Explotación</t>
        </is>
      </c>
    </row>
    <row r="166" ht="15" customHeight="1" s="700">
      <c r="A166" s="1">
        <f>A165+1</f>
        <v/>
      </c>
      <c r="B166" s="26" t="n">
        <v>45750</v>
      </c>
      <c r="C166" s="1" t="inlineStr">
        <is>
          <t>c/ Las Cruzadas 3A, local D</t>
        </is>
      </c>
      <c r="D166" s="1" t="inlineStr">
        <is>
          <t>Sevilla 41004</t>
        </is>
      </c>
      <c r="E166" s="1" t="inlineStr">
        <is>
          <t>CIF B91938662</t>
        </is>
      </c>
      <c r="F166" s="1" t="inlineStr">
        <is>
          <t>aBalados@abalados.es</t>
        </is>
      </c>
      <c r="G166" s="1" t="inlineStr">
        <is>
          <t>Lugec Inversión Solar S.L.U.</t>
        </is>
      </c>
      <c r="H166" s="1">
        <f>VLOOKUP($G166,DATOS!$B:$E,2,FALSE)</f>
        <v/>
      </c>
      <c r="I166" s="1">
        <f>VLOOKUP($G166,DATOS!$B:$E,3,FALSE)</f>
        <v/>
      </c>
      <c r="J166" s="1">
        <f>VLOOKUP($G166,DATOS!$B:$E,4,FALSE)</f>
        <v/>
      </c>
      <c r="K166" s="1" t="inlineStr">
        <is>
          <t>Honorarios - Contrato O&amp;M 1º Trimestre</t>
        </is>
      </c>
      <c r="L166" s="536" t="n">
        <v>4114.18727134347</v>
      </c>
      <c r="Y166" s="1" t="inlineStr">
        <is>
          <t>Gastos derivados de contrato (3,5%)</t>
        </is>
      </c>
      <c r="Z166" s="5">
        <f>(L166+N166+P166+R166+T166+V166+X166)*0.035</f>
        <v/>
      </c>
      <c r="AB166" s="6" t="inlineStr">
        <is>
          <t>ES85 2080 3509 1130 4009 6171</t>
        </is>
      </c>
      <c r="AC166" s="1" t="inlineStr">
        <is>
          <t>pagado</t>
        </is>
      </c>
      <c r="AD166" s="5">
        <f>L166+N166+P166+R166+T166+V166+X166+Z166</f>
        <v/>
      </c>
      <c r="AE166" s="5">
        <f>IF((LEFT(K166,6))="Contab",L166,0)</f>
        <v/>
      </c>
      <c r="AF166" s="6">
        <f>VLOOKUP(G166,CLIENTES!B:E,4,FALSE)</f>
        <v/>
      </c>
      <c r="AG166" s="5">
        <f>AF166*AE166</f>
        <v/>
      </c>
      <c r="AH166" s="5">
        <f>AD166*1.21</f>
        <v/>
      </c>
      <c r="AI166" s="261">
        <f>IF(AE166&lt;&gt;0,AG166/AD166,"N/A")</f>
        <v/>
      </c>
      <c r="AJ166" s="5">
        <f>IF(AC166="pendiente",AD166,0)</f>
        <v/>
      </c>
      <c r="AK166" s="1">
        <f>VLOOKUP(G166,CLIENTES!B:D,3,FALSE)</f>
        <v/>
      </c>
      <c r="AL166" s="1" t="inlineStr">
        <is>
          <t>WOC_OM</t>
        </is>
      </c>
      <c r="AM166" s="1" t="inlineStr">
        <is>
          <t>Explotación</t>
        </is>
      </c>
    </row>
    <row r="167" ht="15" customHeight="1" s="700">
      <c r="A167" s="1">
        <f>A166+1</f>
        <v/>
      </c>
      <c r="B167" s="26" t="n">
        <v>45750</v>
      </c>
      <c r="C167" s="1" t="inlineStr">
        <is>
          <t>c/ Las Cruzadas 3A, local D</t>
        </is>
      </c>
      <c r="D167" s="1" t="inlineStr">
        <is>
          <t>Sevilla 41004</t>
        </is>
      </c>
      <c r="E167" s="1" t="inlineStr">
        <is>
          <t>CIF B91938662</t>
        </is>
      </c>
      <c r="F167" s="1" t="inlineStr">
        <is>
          <t>aBalados@abalados.es</t>
        </is>
      </c>
      <c r="G167" s="1" t="inlineStr">
        <is>
          <t>Agrupación Solar el Algarrobo I, S.L.U.</t>
        </is>
      </c>
      <c r="H167" s="1">
        <f>VLOOKUP($G167,DATOS!$B:$E,2,FALSE)</f>
        <v/>
      </c>
      <c r="I167" s="1">
        <f>VLOOKUP($G167,DATOS!$B:$E,3,FALSE)</f>
        <v/>
      </c>
      <c r="J167" s="1">
        <f>VLOOKUP($G167,DATOS!$B:$E,4,FALSE)</f>
        <v/>
      </c>
      <c r="K167" s="1" t="inlineStr">
        <is>
          <t>Honorarios - Contrato O&amp;M 1º Trimestre</t>
        </is>
      </c>
      <c r="L167" s="536" t="n">
        <v>11723.97979537169</v>
      </c>
      <c r="M167" s="1" t="inlineStr">
        <is>
          <t>Garantía 30% (dotada en 2017)</t>
        </is>
      </c>
      <c r="Y167" s="1" t="inlineStr">
        <is>
          <t>Gastos derivados de contrato (3,5%)</t>
        </is>
      </c>
      <c r="Z167" s="5">
        <f>(L167+N167+P167+R167+T167+V167+X167)*0.035</f>
        <v/>
      </c>
      <c r="AB167" s="6" t="inlineStr">
        <is>
          <t>ES85 2080 3509 1130 4009 6171</t>
        </is>
      </c>
      <c r="AC167" s="1" t="inlineStr">
        <is>
          <t>pagado</t>
        </is>
      </c>
      <c r="AD167" s="5">
        <f>L167+N167+P167+R167+T167+V167+X167+Z167</f>
        <v/>
      </c>
      <c r="AE167" s="5">
        <f>IF((LEFT(K167,6))="Contab",L167,0)</f>
        <v/>
      </c>
      <c r="AF167" s="6">
        <f>VLOOKUP(G167,CLIENTES!B:E,4,FALSE)</f>
        <v/>
      </c>
      <c r="AG167" s="5">
        <f>AF167*AE167</f>
        <v/>
      </c>
      <c r="AH167" s="5">
        <f>AD167*1.21</f>
        <v/>
      </c>
      <c r="AI167" s="261">
        <f>IF(AE167&lt;&gt;0,AG167/AD167,"N/A")</f>
        <v/>
      </c>
      <c r="AJ167" s="5">
        <f>IF(AC167="pendiente",AD167,0)</f>
        <v/>
      </c>
      <c r="AK167" s="1">
        <f>VLOOKUP(G167,CLIENTES!B:D,3,FALSE)</f>
        <v/>
      </c>
      <c r="AL167" s="1" t="inlineStr">
        <is>
          <t>WOC_OM</t>
        </is>
      </c>
      <c r="AM167" s="1" t="inlineStr">
        <is>
          <t>Explotación</t>
        </is>
      </c>
    </row>
    <row r="168" ht="15" customHeight="1" s="700">
      <c r="A168" s="1">
        <f>A167+1</f>
        <v/>
      </c>
      <c r="B168" s="26" t="n">
        <v>45750</v>
      </c>
      <c r="C168" s="1" t="inlineStr">
        <is>
          <t>c/ Las Cruzadas 3A, local D</t>
        </is>
      </c>
      <c r="D168" s="1" t="inlineStr">
        <is>
          <t>Sevilla 41004</t>
        </is>
      </c>
      <c r="E168" s="1" t="inlineStr">
        <is>
          <t>CIF B91938662</t>
        </is>
      </c>
      <c r="F168" s="1" t="inlineStr">
        <is>
          <t>aBalados@abalados.es</t>
        </is>
      </c>
      <c r="G168" s="1" t="inlineStr">
        <is>
          <t>Agrupación Solar el Algarrobo II, S.L.U.</t>
        </is>
      </c>
      <c r="H168" s="1">
        <f>VLOOKUP($G168,DATOS!$B:$E,2,FALSE)</f>
        <v/>
      </c>
      <c r="I168" s="1">
        <f>VLOOKUP($G168,DATOS!$B:$E,3,FALSE)</f>
        <v/>
      </c>
      <c r="J168" s="1">
        <f>VLOOKUP($G168,DATOS!$B:$E,4,FALSE)</f>
        <v/>
      </c>
      <c r="K168" s="1" t="inlineStr">
        <is>
          <t>Honorarios - Contrato O&amp;M 1º Trimestre</t>
        </is>
      </c>
      <c r="L168" s="536" t="n">
        <v>11723.97979537169</v>
      </c>
      <c r="M168" s="1" t="inlineStr">
        <is>
          <t>Garantía 30% (dotada en 2017)</t>
        </is>
      </c>
      <c r="Y168" s="1" t="inlineStr">
        <is>
          <t>Gastos derivados de contrato (3,5%)</t>
        </is>
      </c>
      <c r="Z168" s="5">
        <f>(L168+N168+P168+R168+T168+V168+X168)*0.035</f>
        <v/>
      </c>
      <c r="AB168" s="6" t="inlineStr">
        <is>
          <t>ES85 2080 3509 1130 4009 6171</t>
        </is>
      </c>
      <c r="AC168" s="1" t="inlineStr">
        <is>
          <t>pagado</t>
        </is>
      </c>
      <c r="AD168" s="5">
        <f>L168+N168+P168+R168+T168+V168+X168+Z168</f>
        <v/>
      </c>
      <c r="AE168" s="5">
        <f>IF((LEFT(K168,6))="Contab",L168,0)</f>
        <v/>
      </c>
      <c r="AF168" s="6">
        <f>VLOOKUP(G168,CLIENTES!B:E,4,FALSE)</f>
        <v/>
      </c>
      <c r="AG168" s="5">
        <f>AF168*AE168</f>
        <v/>
      </c>
      <c r="AH168" s="5">
        <f>AD168*1.21</f>
        <v/>
      </c>
      <c r="AI168" s="261">
        <f>IF(AE168&lt;&gt;0,AG168/AD168,"N/A")</f>
        <v/>
      </c>
      <c r="AJ168" s="5">
        <f>IF(AC168="pendiente",AD168,0)</f>
        <v/>
      </c>
      <c r="AK168" s="1">
        <f>VLOOKUP(G168,CLIENTES!B:D,3,FALSE)</f>
        <v/>
      </c>
      <c r="AL168" s="1" t="inlineStr">
        <is>
          <t>WOC_OM</t>
        </is>
      </c>
      <c r="AM168" s="1" t="inlineStr">
        <is>
          <t>Explotación</t>
        </is>
      </c>
    </row>
    <row r="169" ht="15" customHeight="1" s="700">
      <c r="A169" s="1">
        <f>A168+1</f>
        <v/>
      </c>
      <c r="B169" s="26" t="n">
        <v>45750</v>
      </c>
      <c r="C169" s="1" t="inlineStr">
        <is>
          <t>c/ Las Cruzadas 3A, local D</t>
        </is>
      </c>
      <c r="D169" s="1" t="inlineStr">
        <is>
          <t>Sevilla 41004</t>
        </is>
      </c>
      <c r="E169" s="1" t="inlineStr">
        <is>
          <t>CIF B91938662</t>
        </is>
      </c>
      <c r="F169" s="1" t="inlineStr">
        <is>
          <t>aBalados@abalados.es</t>
        </is>
      </c>
      <c r="G169" s="1" t="inlineStr">
        <is>
          <t>Agrupación Solar el Algarrobo III, S.L.U.</t>
        </is>
      </c>
      <c r="H169" s="1">
        <f>VLOOKUP($G169,DATOS!$B:$E,2,FALSE)</f>
        <v/>
      </c>
      <c r="I169" s="1">
        <f>VLOOKUP($G169,DATOS!$B:$E,3,FALSE)</f>
        <v/>
      </c>
      <c r="J169" s="1">
        <f>VLOOKUP($G169,DATOS!$B:$E,4,FALSE)</f>
        <v/>
      </c>
      <c r="K169" s="1" t="inlineStr">
        <is>
          <t>Honorarios - Contrato O&amp;M 1º Trimestre</t>
        </is>
      </c>
      <c r="L169" s="536" t="n">
        <v>10607.41029105058</v>
      </c>
      <c r="M169" s="1" t="inlineStr">
        <is>
          <t>Garantía 30% (dotada en 2017)</t>
        </is>
      </c>
      <c r="Y169" s="1" t="inlineStr">
        <is>
          <t>Gastos derivados de contrato (3,5%)</t>
        </is>
      </c>
      <c r="Z169" s="5">
        <f>(L169+N169+P169+R169+T169+V169+X169)*0.035</f>
        <v/>
      </c>
      <c r="AB169" s="6" t="inlineStr">
        <is>
          <t>ES85 2080 3509 1130 4009 6171</t>
        </is>
      </c>
      <c r="AC169" s="1" t="inlineStr">
        <is>
          <t>pagado</t>
        </is>
      </c>
      <c r="AD169" s="5">
        <f>L169+N169+P169+R169+T169+V169+X169+Z169</f>
        <v/>
      </c>
      <c r="AE169" s="5">
        <f>IF((LEFT(K169,6))="Contab",L169,0)</f>
        <v/>
      </c>
      <c r="AF169" s="6">
        <f>VLOOKUP(G169,CLIENTES!B:E,4,FALSE)</f>
        <v/>
      </c>
      <c r="AG169" s="5">
        <f>AF169*AE169</f>
        <v/>
      </c>
      <c r="AH169" s="5">
        <f>AD169*1.21</f>
        <v/>
      </c>
      <c r="AI169" s="261">
        <f>IF(AE169&lt;&gt;0,AG169/AD169,"N/A")</f>
        <v/>
      </c>
      <c r="AJ169" s="5">
        <f>IF(AC169="pendiente",AD169,0)</f>
        <v/>
      </c>
      <c r="AK169" s="1">
        <f>VLOOKUP(G169,CLIENTES!B:D,3,FALSE)</f>
        <v/>
      </c>
      <c r="AL169" s="1" t="inlineStr">
        <is>
          <t>WOC_OM</t>
        </is>
      </c>
      <c r="AM169" s="1" t="inlineStr">
        <is>
          <t>Explotación</t>
        </is>
      </c>
    </row>
    <row r="170" ht="15" customHeight="1" s="700">
      <c r="A170" s="1">
        <f>A169+1</f>
        <v/>
      </c>
      <c r="B170" s="26" t="n">
        <v>45750</v>
      </c>
      <c r="C170" s="1" t="inlineStr">
        <is>
          <t>c/ Las Cruzadas 3A, local D</t>
        </is>
      </c>
      <c r="D170" s="1" t="inlineStr">
        <is>
          <t>Sevilla 41004</t>
        </is>
      </c>
      <c r="E170" s="1" t="inlineStr">
        <is>
          <t>CIF B91938662</t>
        </is>
      </c>
      <c r="F170" s="1" t="inlineStr">
        <is>
          <t>aBalados@abalados.es</t>
        </is>
      </c>
      <c r="G170" s="1" t="inlineStr">
        <is>
          <t>Locaba Solar S.L.U.</t>
        </is>
      </c>
      <c r="H170" s="1">
        <f>VLOOKUP($G170,DATOS!$B:$E,2,FALSE)</f>
        <v/>
      </c>
      <c r="I170" s="1">
        <f>VLOOKUP($G170,DATOS!$B:$E,3,FALSE)</f>
        <v/>
      </c>
      <c r="J170" s="1">
        <f>VLOOKUP($G170,DATOS!$B:$E,4,FALSE)</f>
        <v/>
      </c>
      <c r="K170" s="1" t="inlineStr">
        <is>
          <t>Honorarios - Contrato O&amp;M 1º Trimestre</t>
        </is>
      </c>
      <c r="L170" s="536" t="n">
        <v>23317.4514668617</v>
      </c>
      <c r="M170" s="1" t="inlineStr">
        <is>
          <t>Garantía 30% (dotada en 2017)</t>
        </is>
      </c>
      <c r="Y170" s="1" t="inlineStr">
        <is>
          <t>Gastos derivados de contrato (3,5%)</t>
        </is>
      </c>
      <c r="Z170" s="5">
        <f>(L170+N170+P170+R170+T170+V170+X170)*0.035</f>
        <v/>
      </c>
      <c r="AB170" s="6" t="inlineStr">
        <is>
          <t>ES85 2080 3509 1130 4009 6171</t>
        </is>
      </c>
      <c r="AC170" s="1" t="inlineStr">
        <is>
          <t>pagado</t>
        </is>
      </c>
      <c r="AD170" s="5">
        <f>L170+N170+P170+R170+T170+V170+X170+Z170</f>
        <v/>
      </c>
      <c r="AE170" s="5">
        <f>IF((LEFT(K170,6))="Contab",L170,0)</f>
        <v/>
      </c>
      <c r="AF170" s="6">
        <f>VLOOKUP(G170,CLIENTES!B:E,4,FALSE)</f>
        <v/>
      </c>
      <c r="AG170" s="5">
        <f>AF170*AE170</f>
        <v/>
      </c>
      <c r="AH170" s="5">
        <f>AD170*1.21</f>
        <v/>
      </c>
      <c r="AI170" s="261">
        <f>IF(AE170&lt;&gt;0,AG170/AD170,"N/A")</f>
        <v/>
      </c>
      <c r="AJ170" s="5">
        <f>IF(AC170="pendiente",AD170,0)</f>
        <v/>
      </c>
      <c r="AK170" s="1">
        <f>VLOOKUP(G170,CLIENTES!B:D,3,FALSE)</f>
        <v/>
      </c>
      <c r="AL170" s="1" t="inlineStr">
        <is>
          <t>WOC_OM</t>
        </is>
      </c>
      <c r="AM170" s="1" t="inlineStr">
        <is>
          <t>Explotación</t>
        </is>
      </c>
    </row>
    <row r="171" ht="15" customHeight="1" s="700">
      <c r="A171" s="1">
        <f>A170+1</f>
        <v/>
      </c>
      <c r="B171" s="26" t="n">
        <v>45750</v>
      </c>
      <c r="C171" s="1" t="inlineStr">
        <is>
          <t>c/ Las Cruzadas 3A, local D</t>
        </is>
      </c>
      <c r="D171" s="1" t="inlineStr">
        <is>
          <t>Sevilla 41004</t>
        </is>
      </c>
      <c r="E171" s="1" t="inlineStr">
        <is>
          <t>CIF B91938662</t>
        </is>
      </c>
      <c r="F171" s="1" t="inlineStr">
        <is>
          <t>aBalados@abalados.es</t>
        </is>
      </c>
      <c r="G171" s="1" t="inlineStr">
        <is>
          <t>Lo Illán  Parque Solar S.L.U.</t>
        </is>
      </c>
      <c r="H171" s="1">
        <f>VLOOKUP($G171,DATOS!$B:$E,2,FALSE)</f>
        <v/>
      </c>
      <c r="I171" s="1">
        <f>VLOOKUP($G171,DATOS!$B:$E,3,FALSE)</f>
        <v/>
      </c>
      <c r="J171" s="1">
        <f>VLOOKUP($G171,DATOS!$B:$E,4,FALSE)</f>
        <v/>
      </c>
      <c r="K171" s="1" t="inlineStr">
        <is>
          <t>Honorarios - Contrato O&amp;M 1º Trimestre</t>
        </is>
      </c>
      <c r="L171" s="536" t="n">
        <v>11549.82679197542</v>
      </c>
      <c r="Y171" s="1" t="inlineStr">
        <is>
          <t>Gastos derivados de contrato (3,5%)</t>
        </is>
      </c>
      <c r="Z171" s="5">
        <f>(L171+N171+P171+R171+T171+V171+X171)*0.035</f>
        <v/>
      </c>
      <c r="AB171" s="6" t="inlineStr">
        <is>
          <t>ES85 2080 3509 1130 4009 6171</t>
        </is>
      </c>
      <c r="AC171" s="1" t="inlineStr">
        <is>
          <t>pagado</t>
        </is>
      </c>
      <c r="AD171" s="5">
        <f>L171+N171+P171+R171+T171+V171+X171+Z171</f>
        <v/>
      </c>
      <c r="AE171" s="5">
        <f>IF((LEFT(K171,6))="Contab",L171,0)</f>
        <v/>
      </c>
      <c r="AF171" s="6">
        <f>VLOOKUP(G171,CLIENTES!B:E,4,FALSE)</f>
        <v/>
      </c>
      <c r="AG171" s="5">
        <f>AF171*AE171</f>
        <v/>
      </c>
      <c r="AH171" s="5">
        <f>AD171*1.21</f>
        <v/>
      </c>
      <c r="AI171" s="261">
        <f>IF(AE171&lt;&gt;0,AG171/AD171,"N/A")</f>
        <v/>
      </c>
      <c r="AJ171" s="5">
        <f>IF(AC171="pendiente",AD171,0)</f>
        <v/>
      </c>
      <c r="AK171" s="1">
        <f>VLOOKUP(G171,CLIENTES!B:D,3,FALSE)</f>
        <v/>
      </c>
      <c r="AL171" s="1" t="inlineStr">
        <is>
          <t>WOC_OM</t>
        </is>
      </c>
      <c r="AM171" s="1" t="inlineStr">
        <is>
          <t>Explotación</t>
        </is>
      </c>
    </row>
    <row r="172" ht="15" customHeight="1" s="700">
      <c r="A172" s="1">
        <f>A171+1</f>
        <v/>
      </c>
      <c r="B172" s="26" t="n">
        <v>45750</v>
      </c>
      <c r="C172" s="1" t="inlineStr">
        <is>
          <t>c/ Las Cruzadas 3A, local D</t>
        </is>
      </c>
      <c r="D172" s="1" t="inlineStr">
        <is>
          <t>Sevilla 41004</t>
        </is>
      </c>
      <c r="E172" s="1" t="inlineStr">
        <is>
          <t>CIF B91938662</t>
        </is>
      </c>
      <c r="F172" s="1" t="inlineStr">
        <is>
          <t>aBalados@abalados.es</t>
        </is>
      </c>
      <c r="G172" s="1" t="inlineStr">
        <is>
          <t>Contreras Parque Solar S.L.U.</t>
        </is>
      </c>
      <c r="H172" s="1">
        <f>VLOOKUP($G172,DATOS!$B:$E,2,FALSE)</f>
        <v/>
      </c>
      <c r="I172" s="1">
        <f>VLOOKUP($G172,DATOS!$B:$E,3,FALSE)</f>
        <v/>
      </c>
      <c r="J172" s="1">
        <f>VLOOKUP($G172,DATOS!$B:$E,4,FALSE)</f>
        <v/>
      </c>
      <c r="K172" s="1" t="inlineStr">
        <is>
          <t>Honorarios - Contrato O&amp;M 1º Trimestre</t>
        </is>
      </c>
      <c r="L172" s="536" t="n">
        <v>17598.58545360271</v>
      </c>
      <c r="Y172" s="1" t="inlineStr">
        <is>
          <t>Gastos derivados de contrato (3,5%)</t>
        </is>
      </c>
      <c r="Z172" s="5">
        <f>(L172+N172+P172+R172+T172+V172+X172)*0.035</f>
        <v/>
      </c>
      <c r="AB172" s="6" t="inlineStr">
        <is>
          <t>ES85 2080 3509 1130 4009 6171</t>
        </is>
      </c>
      <c r="AC172" s="1" t="inlineStr">
        <is>
          <t>pagado</t>
        </is>
      </c>
      <c r="AD172" s="5">
        <f>L172+N172+P172+R172+T172+V172+X172+Z172</f>
        <v/>
      </c>
      <c r="AE172" s="5">
        <f>IF((LEFT(K172,6))="Contab",L172,0)</f>
        <v/>
      </c>
      <c r="AF172" s="6">
        <f>VLOOKUP(G172,CLIENTES!B:E,4,FALSE)</f>
        <v/>
      </c>
      <c r="AG172" s="5">
        <f>AF172*AE172</f>
        <v/>
      </c>
      <c r="AH172" s="5">
        <f>AD172*1.21</f>
        <v/>
      </c>
      <c r="AI172" s="261">
        <f>IF(AE172&lt;&gt;0,AG172/AD172,"N/A")</f>
        <v/>
      </c>
      <c r="AJ172" s="5">
        <f>IF(AC172="pendiente",AD172,0)</f>
        <v/>
      </c>
      <c r="AK172" s="1">
        <f>VLOOKUP(G172,CLIENTES!B:D,3,FALSE)</f>
        <v/>
      </c>
      <c r="AL172" s="1" t="inlineStr">
        <is>
          <t>WOC_OM</t>
        </is>
      </c>
      <c r="AM172" s="1" t="inlineStr">
        <is>
          <t>Explotación</t>
        </is>
      </c>
    </row>
    <row r="173" ht="15" customFormat="1" customHeight="1" s="146">
      <c r="A173" s="146">
        <f>A172+1</f>
        <v/>
      </c>
      <c r="B173" s="149" t="n">
        <v>45750</v>
      </c>
      <c r="C173" s="146" t="inlineStr">
        <is>
          <t>c/ Las Cruzadas 3A, local D</t>
        </is>
      </c>
      <c r="D173" s="146" t="inlineStr">
        <is>
          <t>Sevilla 41004</t>
        </is>
      </c>
      <c r="E173" s="146" t="inlineStr">
        <is>
          <t>CIF B91938662</t>
        </is>
      </c>
      <c r="F173" s="146" t="inlineStr">
        <is>
          <t>aBalados@abalados.es</t>
        </is>
      </c>
      <c r="G173" s="146" t="inlineStr">
        <is>
          <t>Turbinto Parque Solar S.L.U.</t>
        </is>
      </c>
      <c r="H173" s="146">
        <f>VLOOKUP($G173,DATOS!$B:$E,2,FALSE)</f>
        <v/>
      </c>
      <c r="I173" s="146">
        <f>VLOOKUP($G173,DATOS!$B:$E,3,FALSE)</f>
        <v/>
      </c>
      <c r="J173" s="146">
        <f>VLOOKUP($G173,DATOS!$B:$E,4,FALSE)</f>
        <v/>
      </c>
      <c r="K173" s="146" t="inlineStr">
        <is>
          <t>Honorarios - Contrato O&amp;M 1º Trimestre</t>
        </is>
      </c>
      <c r="L173" s="537" t="n">
        <v>12539.49552772436</v>
      </c>
      <c r="N173" s="147" t="n"/>
      <c r="P173" s="147" t="n"/>
      <c r="R173" s="147" t="n"/>
      <c r="T173" s="147" t="n"/>
      <c r="V173" s="147" t="n"/>
      <c r="X173" s="147" t="n"/>
      <c r="Y173" s="146" t="inlineStr">
        <is>
          <t>Gastos derivados de contrato (3,5%)</t>
        </is>
      </c>
      <c r="Z173" s="147">
        <f>(L173+N173+P173+R173+T173+V173+X173)*0.035</f>
        <v/>
      </c>
      <c r="AA173" s="147" t="n"/>
      <c r="AB173" s="148" t="inlineStr">
        <is>
          <t>ES85 2080 3509 1130 4009 6171</t>
        </is>
      </c>
      <c r="AC173" s="146" t="inlineStr">
        <is>
          <t>pagado</t>
        </is>
      </c>
      <c r="AD173" s="147">
        <f>L173+N173+P173+R173+T173+V173+X173+Z173</f>
        <v/>
      </c>
      <c r="AE173" s="147">
        <f>IF((LEFT(K173,6))="Contab",L173,0)</f>
        <v/>
      </c>
      <c r="AF173" s="148">
        <f>VLOOKUP(G173,CLIENTES!B:E,4,FALSE)</f>
        <v/>
      </c>
      <c r="AG173" s="147">
        <f>AF173*AE173</f>
        <v/>
      </c>
      <c r="AH173" s="147">
        <f>AD173*1.21</f>
        <v/>
      </c>
      <c r="AI173" s="257">
        <f>IF(AE173&lt;&gt;0,AG173/AD173,"N/A")</f>
        <v/>
      </c>
      <c r="AJ173" s="147">
        <f>IF(AC173="pendiente",AD173,0)</f>
        <v/>
      </c>
      <c r="AK173" s="146">
        <f>VLOOKUP(G173,CLIENTES!B:D,3,FALSE)</f>
        <v/>
      </c>
      <c r="AL173" s="146" t="inlineStr">
        <is>
          <t>WOC_OM</t>
        </is>
      </c>
      <c r="AM173" s="146" t="inlineStr">
        <is>
          <t>Explotación</t>
        </is>
      </c>
    </row>
    <row r="174" ht="15" customHeight="1" s="700">
      <c r="A174" s="1">
        <f>A173+1</f>
        <v/>
      </c>
      <c r="B174" s="26" t="n">
        <v>45750</v>
      </c>
      <c r="C174" s="1" t="inlineStr">
        <is>
          <t>c/ Las Cruzadas 3A, local D</t>
        </is>
      </c>
      <c r="D174" s="1" t="inlineStr">
        <is>
          <t>Sevilla 41004</t>
        </is>
      </c>
      <c r="E174" s="1" t="inlineStr">
        <is>
          <t>CIF B91938662</t>
        </is>
      </c>
      <c r="F174" s="1" t="inlineStr">
        <is>
          <t>aBalados@abalados.es</t>
        </is>
      </c>
      <c r="G174" s="1" t="inlineStr">
        <is>
          <t>Solar Photo Collect S.L.U.</t>
        </is>
      </c>
      <c r="H174" s="1">
        <f>VLOOKUP($G174,DATOS!$B:$E,2,FALSE)</f>
        <v/>
      </c>
      <c r="I174" s="1">
        <f>VLOOKUP($G174,DATOS!$B:$E,3,FALSE)</f>
        <v/>
      </c>
      <c r="J174" s="1">
        <f>VLOOKUP($G174,DATOS!$B:$E,4,FALSE)</f>
        <v/>
      </c>
      <c r="K174" s="1" t="inlineStr">
        <is>
          <t>Honorarios - Contrato O&amp;M 1º Trimestre</t>
        </is>
      </c>
      <c r="L174" s="536" t="n">
        <v>16745.12613288354</v>
      </c>
      <c r="Y174" s="1" t="inlineStr">
        <is>
          <t>Gastos derivados de contrato (3,5%)</t>
        </is>
      </c>
      <c r="Z174" s="5">
        <f>(L174+N174+P174+R174+T174+V174+X174)*0.035</f>
        <v/>
      </c>
      <c r="AB174" s="6" t="inlineStr">
        <is>
          <t>ES85 2080 3509 1130 4009 6171</t>
        </is>
      </c>
      <c r="AC174" s="1" t="inlineStr">
        <is>
          <t>pagado</t>
        </is>
      </c>
      <c r="AD174" s="5">
        <f>L174+N174+P174+R174+T174+V174+X174+Z174</f>
        <v/>
      </c>
      <c r="AE174" s="5">
        <f>IF((LEFT(K174,6))="Contab",L174,0)</f>
        <v/>
      </c>
      <c r="AF174" s="6">
        <f>VLOOKUP(G174,CLIENTES!B:E,4,FALSE)</f>
        <v/>
      </c>
      <c r="AG174" s="5">
        <f>AF174*AE174</f>
        <v/>
      </c>
      <c r="AH174" s="5">
        <f>AD174*1.21</f>
        <v/>
      </c>
      <c r="AI174" s="261">
        <f>IF(AE174&lt;&gt;0,AG174/AD174,"N/A")</f>
        <v/>
      </c>
      <c r="AJ174" s="5">
        <f>IF(AC174="pendiente",AD174,0)</f>
        <v/>
      </c>
      <c r="AK174" s="1">
        <f>VLOOKUP(G174,CLIENTES!B:D,3,FALSE)</f>
        <v/>
      </c>
      <c r="AL174" s="1" t="inlineStr">
        <is>
          <t>WOC_OM</t>
        </is>
      </c>
      <c r="AM174" s="1" t="inlineStr">
        <is>
          <t>Explotación</t>
        </is>
      </c>
    </row>
    <row r="175" ht="15" customHeight="1" s="700">
      <c r="A175" s="1">
        <f>A174+1</f>
        <v/>
      </c>
      <c r="B175" s="26" t="n">
        <v>45750</v>
      </c>
      <c r="C175" s="1" t="inlineStr">
        <is>
          <t>c/ Las Cruzadas 3A, local D</t>
        </is>
      </c>
      <c r="D175" s="1" t="inlineStr">
        <is>
          <t>Sevilla 41004</t>
        </is>
      </c>
      <c r="E175" s="1" t="inlineStr">
        <is>
          <t>CIF B91938662</t>
        </is>
      </c>
      <c r="F175" s="1" t="inlineStr">
        <is>
          <t>aBalados@abalados.es</t>
        </is>
      </c>
      <c r="G175" s="1" t="inlineStr">
        <is>
          <t>Solar Photo Corp S.L.U.</t>
        </is>
      </c>
      <c r="H175" s="1">
        <f>VLOOKUP($G175,DATOS!$B:$E,2,FALSE)</f>
        <v/>
      </c>
      <c r="I175" s="1">
        <f>VLOOKUP($G175,DATOS!$B:$E,3,FALSE)</f>
        <v/>
      </c>
      <c r="J175" s="1">
        <f>VLOOKUP($G175,DATOS!$B:$E,4,FALSE)</f>
        <v/>
      </c>
      <c r="K175" s="1" t="inlineStr">
        <is>
          <t>Honorarios - Contrato O&amp;M 1º Trimestre</t>
        </is>
      </c>
      <c r="L175" s="536" t="n">
        <v>7442.24366345754</v>
      </c>
      <c r="Y175" s="1" t="inlineStr">
        <is>
          <t>Gastos derivados de contrato (3,5%)</t>
        </is>
      </c>
      <c r="Z175" s="5">
        <f>(L175+N175+P175+R175+T175+V175+X175)*0.035</f>
        <v/>
      </c>
      <c r="AB175" s="6" t="inlineStr">
        <is>
          <t>ES85 2080 3509 1130 4009 6171</t>
        </is>
      </c>
      <c r="AC175" s="1" t="inlineStr">
        <is>
          <t>pagado</t>
        </is>
      </c>
      <c r="AD175" s="5">
        <f>L175+N175+P175+R175+T175+V175+X175+Z175</f>
        <v/>
      </c>
      <c r="AE175" s="5">
        <f>IF((LEFT(K175,6))="Contab",L175,0)</f>
        <v/>
      </c>
      <c r="AF175" s="6">
        <f>VLOOKUP(G175,CLIENTES!B:E,4,FALSE)</f>
        <v/>
      </c>
      <c r="AG175" s="5">
        <f>AF175*AE175</f>
        <v/>
      </c>
      <c r="AH175" s="5">
        <f>AD175*1.21</f>
        <v/>
      </c>
      <c r="AI175" s="261">
        <f>IF(AE175&lt;&gt;0,AG175/AD175,"N/A")</f>
        <v/>
      </c>
      <c r="AJ175" s="5">
        <f>IF(AC175="pendiente",AD175,0)</f>
        <v/>
      </c>
      <c r="AK175" s="1">
        <f>VLOOKUP(G175,CLIENTES!B:D,3,FALSE)</f>
        <v/>
      </c>
      <c r="AL175" s="1" t="inlineStr">
        <is>
          <t>WOC_OM</t>
        </is>
      </c>
      <c r="AM175" s="1" t="inlineStr">
        <is>
          <t>Explotación</t>
        </is>
      </c>
    </row>
    <row r="176" ht="15" customHeight="1" s="700">
      <c r="A176" s="1">
        <f>A175+1</f>
        <v/>
      </c>
      <c r="B176" s="26" t="n">
        <v>45750</v>
      </c>
      <c r="C176" s="1" t="inlineStr">
        <is>
          <t>c/ Las Cruzadas 3A, local D</t>
        </is>
      </c>
      <c r="D176" s="1" t="inlineStr">
        <is>
          <t>Sevilla 41004</t>
        </is>
      </c>
      <c r="E176" s="1" t="inlineStr">
        <is>
          <t>CIF B91938662</t>
        </is>
      </c>
      <c r="F176" s="1" t="inlineStr">
        <is>
          <t>aBalados@abalados.es</t>
        </is>
      </c>
      <c r="G176" s="1" t="inlineStr">
        <is>
          <t xml:space="preserve">Rasteding PV I, S.L.U. </t>
        </is>
      </c>
      <c r="H176" s="1">
        <f>VLOOKUP($G176,DATOS!$B:$E,2,FALSE)</f>
        <v/>
      </c>
      <c r="I176" s="1">
        <f>VLOOKUP($G176,DATOS!$B:$E,3,FALSE)</f>
        <v/>
      </c>
      <c r="J176" s="1">
        <f>VLOOKUP($G176,DATOS!$B:$E,4,FALSE)</f>
        <v/>
      </c>
      <c r="K176" s="1" t="inlineStr">
        <is>
          <t>Honorarios - Contrato O&amp;M 1º Trimestre</t>
        </is>
      </c>
      <c r="L176" s="536" t="n">
        <v>3841.954307971025</v>
      </c>
      <c r="Y176" s="1" t="inlineStr">
        <is>
          <t>Gastos derivados de contrato (3,5%)</t>
        </is>
      </c>
      <c r="Z176" s="5">
        <f>(L176+N176+P176+R176+T176+V176+X176)*0.035</f>
        <v/>
      </c>
      <c r="AB176" s="6" t="inlineStr">
        <is>
          <t>ES85 2080 3509 1130 4009 6171</t>
        </is>
      </c>
      <c r="AC176" s="1" t="inlineStr">
        <is>
          <t>pagado</t>
        </is>
      </c>
      <c r="AD176" s="5">
        <f>L176+N176+P176+R176+T176+V176+X176+Z176</f>
        <v/>
      </c>
      <c r="AE176" s="5">
        <f>IF((LEFT(K176,6))="Contab",L176,0)</f>
        <v/>
      </c>
      <c r="AF176" s="6">
        <f>VLOOKUP(G176,CLIENTES!B:E,4,FALSE)</f>
        <v/>
      </c>
      <c r="AG176" s="5">
        <f>AF176*AE176</f>
        <v/>
      </c>
      <c r="AH176" s="5">
        <f>AD176*1.21</f>
        <v/>
      </c>
      <c r="AI176" s="261">
        <f>IF(AE176&lt;&gt;0,AG176/AD176,"N/A")</f>
        <v/>
      </c>
      <c r="AJ176" s="5">
        <f>IF(AC176="pendiente",AD176,0)</f>
        <v/>
      </c>
      <c r="AK176" s="1">
        <f>VLOOKUP(G176,CLIENTES!B:D,3,FALSE)</f>
        <v/>
      </c>
      <c r="AL176" s="1" t="inlineStr">
        <is>
          <t>WOC_OM</t>
        </is>
      </c>
      <c r="AM176" s="1" t="inlineStr">
        <is>
          <t>Explotación</t>
        </is>
      </c>
    </row>
    <row r="177" ht="15" customHeight="1" s="700">
      <c r="A177" s="1">
        <f>A176+1</f>
        <v/>
      </c>
      <c r="B177" s="26" t="n">
        <v>45750</v>
      </c>
      <c r="C177" s="1" t="inlineStr">
        <is>
          <t>c/ Las Cruzadas 3A, local D</t>
        </is>
      </c>
      <c r="D177" s="1" t="inlineStr">
        <is>
          <t>Sevilla 41004</t>
        </is>
      </c>
      <c r="E177" s="1" t="inlineStr">
        <is>
          <t>CIF B91938662</t>
        </is>
      </c>
      <c r="F177" s="1" t="inlineStr">
        <is>
          <t>aBalados@abalados.es</t>
        </is>
      </c>
      <c r="G177" s="1" t="inlineStr">
        <is>
          <t>Tiksi PV II S.L.U.</t>
        </is>
      </c>
      <c r="H177" s="1">
        <f>VLOOKUP($G177,DATOS!$B:$E,2,FALSE)</f>
        <v/>
      </c>
      <c r="I177" s="1">
        <f>VLOOKUP($G177,DATOS!$B:$E,3,FALSE)</f>
        <v/>
      </c>
      <c r="J177" s="1">
        <f>VLOOKUP($G177,DATOS!$B:$E,4,FALSE)</f>
        <v/>
      </c>
      <c r="K177" s="1" t="inlineStr">
        <is>
          <t>Honorarios - Contrato O&amp;M 1º Trimestre</t>
        </is>
      </c>
      <c r="L177" s="536" t="n">
        <v>5215.52136837105</v>
      </c>
      <c r="Y177" s="1" t="inlineStr">
        <is>
          <t>Gastos derivados de contrato (3,5%)</t>
        </is>
      </c>
      <c r="Z177" s="5">
        <f>(L177+N177+P177+R177+T177+V177+X177)*0.035</f>
        <v/>
      </c>
      <c r="AB177" s="6" t="inlineStr">
        <is>
          <t>ES85 2080 3509 1130 4009 6171</t>
        </is>
      </c>
      <c r="AC177" s="1" t="inlineStr">
        <is>
          <t>pagado</t>
        </is>
      </c>
      <c r="AD177" s="5">
        <f>L177+N177+P177+R177+T177+V177+X177+Z177</f>
        <v/>
      </c>
      <c r="AE177" s="5">
        <f>IF((LEFT(K177,6))="Contab",L177,0)</f>
        <v/>
      </c>
      <c r="AF177" s="6">
        <f>VLOOKUP(G177,CLIENTES!B:E,4,FALSE)</f>
        <v/>
      </c>
      <c r="AG177" s="5">
        <f>AF177*AE177</f>
        <v/>
      </c>
      <c r="AH177" s="5">
        <f>AD177*1.21</f>
        <v/>
      </c>
      <c r="AI177" s="261">
        <f>IF(AE177&lt;&gt;0,AG177/AD177,"N/A")</f>
        <v/>
      </c>
      <c r="AJ177" s="5">
        <f>IF(AC177="pendiente",AD177,0)</f>
        <v/>
      </c>
      <c r="AK177" s="1">
        <f>VLOOKUP(G177,CLIENTES!B:D,3,FALSE)</f>
        <v/>
      </c>
      <c r="AL177" s="1" t="inlineStr">
        <is>
          <t>WOC_OM</t>
        </is>
      </c>
      <c r="AM177" s="1" t="inlineStr">
        <is>
          <t>Explotación</t>
        </is>
      </c>
    </row>
    <row r="178" ht="15" customHeight="1" s="700">
      <c r="A178" s="1">
        <f>A177+1</f>
        <v/>
      </c>
      <c r="B178" s="26" t="n">
        <v>45750</v>
      </c>
      <c r="C178" s="1" t="inlineStr">
        <is>
          <t>c/ Las Cruzadas 3A, local D</t>
        </is>
      </c>
      <c r="D178" s="1" t="inlineStr">
        <is>
          <t>Sevilla 41004</t>
        </is>
      </c>
      <c r="E178" s="1" t="inlineStr">
        <is>
          <t>CIF B91938662</t>
        </is>
      </c>
      <c r="F178" s="1" t="inlineStr">
        <is>
          <t>aBalados@abalados.es</t>
        </is>
      </c>
      <c r="G178" s="1" t="inlineStr">
        <is>
          <t>Amberg V S.L.U.</t>
        </is>
      </c>
      <c r="H178" s="1">
        <f>VLOOKUP($G178,DATOS!$B:$E,2,FALSE)</f>
        <v/>
      </c>
      <c r="I178" s="1">
        <f>VLOOKUP($G178,DATOS!$B:$E,3,FALSE)</f>
        <v/>
      </c>
      <c r="J178" s="1">
        <f>VLOOKUP($G178,DATOS!$B:$E,4,FALSE)</f>
        <v/>
      </c>
      <c r="K178" s="1" t="inlineStr">
        <is>
          <t>Honorarios - Contrato O&amp;M 1º Trimestre</t>
        </is>
      </c>
      <c r="L178" s="536" t="n">
        <v>7362.297260642487</v>
      </c>
      <c r="Y178" s="1" t="inlineStr">
        <is>
          <t>Gastos derivados de contrato (3,5%)</t>
        </is>
      </c>
      <c r="Z178" s="5">
        <f>(L178+N178+P178+R178+T178+V178+X178)*0.035</f>
        <v/>
      </c>
      <c r="AB178" s="6" t="inlineStr">
        <is>
          <t>ES85 2080 3509 1130 4009 6171</t>
        </is>
      </c>
      <c r="AC178" s="1" t="inlineStr">
        <is>
          <t>pagado</t>
        </is>
      </c>
      <c r="AD178" s="5">
        <f>L178+N178+P178+R178+T178+V178+X178+Z178</f>
        <v/>
      </c>
      <c r="AE178" s="5">
        <f>IF((LEFT(K178,6))="Contab",L178,0)</f>
        <v/>
      </c>
      <c r="AF178" s="6">
        <f>VLOOKUP(G178,CLIENTES!B:E,4,FALSE)</f>
        <v/>
      </c>
      <c r="AG178" s="5">
        <f>AF178*AE178</f>
        <v/>
      </c>
      <c r="AH178" s="5">
        <f>AD178*1.21</f>
        <v/>
      </c>
      <c r="AI178" s="261">
        <f>IF(AE178&lt;&gt;0,AG178/AD178,"N/A")</f>
        <v/>
      </c>
      <c r="AJ178" s="5">
        <f>IF(AC178="pendiente",AD178,0)</f>
        <v/>
      </c>
      <c r="AK178" s="1">
        <f>VLOOKUP(G178,CLIENTES!B:D,3,FALSE)</f>
        <v/>
      </c>
      <c r="AL178" s="1" t="inlineStr">
        <is>
          <t>WOC_OM</t>
        </is>
      </c>
      <c r="AM178" s="1" t="inlineStr">
        <is>
          <t>Explotación</t>
        </is>
      </c>
    </row>
    <row r="179" ht="15" customFormat="1" customHeight="1" s="146">
      <c r="A179" s="146">
        <f>A178+1</f>
        <v/>
      </c>
      <c r="B179" s="149" t="n">
        <v>45750</v>
      </c>
      <c r="C179" s="146" t="inlineStr">
        <is>
          <t>c/ Las Cruzadas 3A, local D</t>
        </is>
      </c>
      <c r="D179" s="146" t="inlineStr">
        <is>
          <t>Sevilla 41004</t>
        </is>
      </c>
      <c r="E179" s="146" t="inlineStr">
        <is>
          <t>CIF B91938662</t>
        </is>
      </c>
      <c r="F179" s="146" t="inlineStr">
        <is>
          <t>aBalados@abalados.es</t>
        </is>
      </c>
      <c r="G179" s="146" t="inlineStr">
        <is>
          <t>Amberg II S.L.U.</t>
        </is>
      </c>
      <c r="H179" s="146">
        <f>VLOOKUP($G179,DATOS!$B:$E,2,FALSE)</f>
        <v/>
      </c>
      <c r="I179" s="146">
        <f>VLOOKUP($G179,DATOS!$B:$E,3,FALSE)</f>
        <v/>
      </c>
      <c r="J179" s="146">
        <f>VLOOKUP($G179,DATOS!$B:$E,4,FALSE)</f>
        <v/>
      </c>
      <c r="K179" s="146" t="inlineStr">
        <is>
          <t>Honorarios - Contrato O&amp;M 1º Trimestre</t>
        </is>
      </c>
      <c r="L179" s="537" t="n">
        <v>3964.917857460571</v>
      </c>
      <c r="N179" s="147" t="n"/>
      <c r="P179" s="147" t="n"/>
      <c r="R179" s="147" t="n"/>
      <c r="T179" s="147" t="n"/>
      <c r="V179" s="147" t="n"/>
      <c r="X179" s="147" t="n"/>
      <c r="Y179" s="146" t="inlineStr">
        <is>
          <t>Gastos derivados de contrato (3,5%)</t>
        </is>
      </c>
      <c r="Z179" s="147">
        <f>(L179+N179+P179+R179+T179+V179+X179)*0.035</f>
        <v/>
      </c>
      <c r="AA179" s="147" t="n"/>
      <c r="AB179" s="148" t="inlineStr">
        <is>
          <t>ES85 2080 3509 1130 4009 6171</t>
        </is>
      </c>
      <c r="AC179" s="146" t="inlineStr">
        <is>
          <t>pagado</t>
        </is>
      </c>
      <c r="AD179" s="147">
        <f>L179+N179+P179+R179+T179+V179+X179+Z179</f>
        <v/>
      </c>
      <c r="AE179" s="147">
        <f>IF((LEFT(K179,6))="Contab",L179,0)</f>
        <v/>
      </c>
      <c r="AF179" s="148">
        <f>VLOOKUP(G179,CLIENTES!B:E,4,FALSE)</f>
        <v/>
      </c>
      <c r="AG179" s="147">
        <f>AF179*AE179</f>
        <v/>
      </c>
      <c r="AH179" s="147">
        <f>AD179*1.21</f>
        <v/>
      </c>
      <c r="AI179" s="257">
        <f>IF(AE179&lt;&gt;0,AG179/AD179,"N/A")</f>
        <v/>
      </c>
      <c r="AJ179" s="147">
        <f>IF(AC179="pendiente",AD179,0)</f>
        <v/>
      </c>
      <c r="AK179" s="146">
        <f>VLOOKUP(G179,CLIENTES!B:D,3,FALSE)</f>
        <v/>
      </c>
      <c r="AL179" s="146" t="inlineStr">
        <is>
          <t>WOC_OM</t>
        </is>
      </c>
      <c r="AM179" s="146" t="inlineStr">
        <is>
          <t>Explotación</t>
        </is>
      </c>
    </row>
    <row r="180" ht="15" customHeight="1" s="700">
      <c r="A180" s="1">
        <f>A179+1</f>
        <v/>
      </c>
      <c r="B180" s="26" t="n">
        <v>45750</v>
      </c>
      <c r="C180" s="1" t="inlineStr">
        <is>
          <t>c/ Las Cruzadas 3A, local D</t>
        </is>
      </c>
      <c r="D180" s="1" t="inlineStr">
        <is>
          <t>Sevilla 41004</t>
        </is>
      </c>
      <c r="E180" s="1" t="inlineStr">
        <is>
          <t>CIF B91938662</t>
        </is>
      </c>
      <c r="F180" s="1" t="inlineStr">
        <is>
          <t>aBalados@abalados.es</t>
        </is>
      </c>
      <c r="G180" s="1" t="inlineStr">
        <is>
          <t>FP LUX REIO PV VALLADOLID, S.L.U.</t>
        </is>
      </c>
      <c r="H180" s="1" t="inlineStr">
        <is>
          <t>CIF B71334833</t>
        </is>
      </c>
      <c r="I180" s="1" t="inlineStr">
        <is>
          <t>c/ Las Cruzadas 3A, local D</t>
        </is>
      </c>
      <c r="J180" s="4" t="inlineStr">
        <is>
          <t>41004 Sevilla</t>
        </is>
      </c>
      <c r="K180" s="1" t="inlineStr">
        <is>
          <t>Asset Management 2Q2025 | 01.04 - 30.06</t>
        </is>
      </c>
      <c r="L180" s="5">
        <f>'Tarifa 2025'!D29/4</f>
        <v/>
      </c>
      <c r="O180" s="1" t="inlineStr">
        <is>
          <t>Gestión de Activos 2T2025 | 01.04 - 30.06</t>
        </is>
      </c>
      <c r="AB180" s="6" t="inlineStr">
        <is>
          <t>ES85 2080 3509 1130 4009 6171</t>
        </is>
      </c>
      <c r="AC180" s="1" t="inlineStr">
        <is>
          <t>pagado</t>
        </is>
      </c>
      <c r="AD180" s="5">
        <f>L180+N180+P180+R180+T180+V180+X180+Z180</f>
        <v/>
      </c>
      <c r="AE180" s="259">
        <f>IF((LEFT(K180,4))="Cont",N180,0)</f>
        <v/>
      </c>
      <c r="AF180" s="260" t="n">
        <v>0.1</v>
      </c>
      <c r="AG180" s="259">
        <f>AF180*AE180</f>
        <v/>
      </c>
      <c r="AH180" s="259">
        <f>AD180*1.21</f>
        <v/>
      </c>
      <c r="AI180" s="264">
        <f>IF(AE180&lt;&gt;0,AG180/AD180,"N/A")</f>
        <v/>
      </c>
      <c r="AJ180" s="259">
        <f>IF(AC180="pendiente",AD180,0)</f>
        <v/>
      </c>
      <c r="AK180" s="258" t="inlineStr">
        <is>
          <t>2020-006</t>
        </is>
      </c>
      <c r="AL180" s="1" t="inlineStr">
        <is>
          <t>OM_Otros</t>
        </is>
      </c>
      <c r="AM180" s="258" t="inlineStr">
        <is>
          <t>Explotación</t>
        </is>
      </c>
    </row>
    <row r="181" ht="15" customHeight="1" s="700">
      <c r="A181" s="1">
        <f>A180+1</f>
        <v/>
      </c>
      <c r="B181" s="26" t="n">
        <v>45750</v>
      </c>
      <c r="C181" s="1" t="inlineStr">
        <is>
          <t>c/ Las Cruzadas 3A, local D</t>
        </is>
      </c>
      <c r="D181" s="1" t="inlineStr">
        <is>
          <t>Sevilla 41004</t>
        </is>
      </c>
      <c r="E181" s="1" t="inlineStr">
        <is>
          <t>CIF B91938662</t>
        </is>
      </c>
      <c r="F181" s="1" t="inlineStr">
        <is>
          <t>aBalados@abalados.es</t>
        </is>
      </c>
      <c r="G181" s="1" t="inlineStr">
        <is>
          <t>FP LUX REIO PV ZARAGOZA SL.</t>
        </is>
      </c>
      <c r="H181" s="1">
        <f>VLOOKUP($G181,DATOS!$B:$E,2,FALSE)</f>
        <v/>
      </c>
      <c r="I181" s="1">
        <f>VLOOKUP($G181,DATOS!$B:$E,3,FALSE)</f>
        <v/>
      </c>
      <c r="J181" s="4">
        <f>VLOOKUP($G181,DATOS!$B:$E,4,FALSE)</f>
        <v/>
      </c>
      <c r="K181" s="1" t="inlineStr">
        <is>
          <t>Proyecto El Marqués - Zaragoza</t>
        </is>
      </c>
      <c r="M181" s="1" t="inlineStr">
        <is>
          <t>Asset Management fee - 1st quarter 2025</t>
        </is>
      </c>
      <c r="N181" s="5">
        <f>'Tarifa 2025'!D25/4</f>
        <v/>
      </c>
      <c r="Q181" s="1" t="inlineStr">
        <is>
          <t>Honorarios de gestión de activo - 2o trimestre 2025</t>
        </is>
      </c>
      <c r="AB181" s="6" t="inlineStr">
        <is>
          <t>ES85 2080 3509 1130 4009 6171</t>
        </is>
      </c>
      <c r="AC181" s="1" t="inlineStr">
        <is>
          <t>pagado</t>
        </is>
      </c>
      <c r="AD181" s="5">
        <f>L181+N181+P181+R181+T181+V181+X181+Z181</f>
        <v/>
      </c>
      <c r="AE181" s="5">
        <f>IF((LEFT(K181,6))="Contab",L181,0)</f>
        <v/>
      </c>
      <c r="AF181" s="6">
        <f>VLOOKUP(G181,CLIENTES!B:E,4,FALSE)</f>
        <v/>
      </c>
      <c r="AG181" s="5">
        <f>AF181*AE181</f>
        <v/>
      </c>
      <c r="AH181" s="5">
        <f>AD181*1.21</f>
        <v/>
      </c>
      <c r="AI181" s="261">
        <f>IF(AE181&lt;&gt;0,AG181/AD181,"N/A")</f>
        <v/>
      </c>
      <c r="AJ181" s="5">
        <f>IF(AC181="pendiente",AD181,0)</f>
        <v/>
      </c>
      <c r="AK181" s="1">
        <f>VLOOKUP(G181,CLIENTES!B:D,3,FALSE)</f>
        <v/>
      </c>
      <c r="AL181" s="1" t="inlineStr">
        <is>
          <t>OM_Otros</t>
        </is>
      </c>
      <c r="AM181" s="1" t="inlineStr">
        <is>
          <t>Explotación</t>
        </is>
      </c>
    </row>
    <row r="182" ht="15" customFormat="1" customHeight="1" s="146">
      <c r="A182" s="146">
        <f>A181+1</f>
        <v/>
      </c>
      <c r="B182" s="149" t="n">
        <v>45750</v>
      </c>
      <c r="C182" s="146" t="inlineStr">
        <is>
          <t>c/ Las Cruzadas 3A, local D</t>
        </is>
      </c>
      <c r="D182" s="146" t="inlineStr">
        <is>
          <t>Sevilla 41004</t>
        </is>
      </c>
      <c r="E182" s="146" t="inlineStr">
        <is>
          <t>CIF B91938662</t>
        </is>
      </c>
      <c r="F182" s="146" t="inlineStr">
        <is>
          <t>aBalados@abalados.es</t>
        </is>
      </c>
      <c r="G182" s="146" t="inlineStr">
        <is>
          <t>FP LUX REIO PV ZARAGOZA SL.</t>
        </is>
      </c>
      <c r="H182" s="146">
        <f>VLOOKUP($G182,DATOS!$B:$E,2,FALSE)</f>
        <v/>
      </c>
      <c r="I182" s="146">
        <f>VLOOKUP($G182,DATOS!$B:$E,3,FALSE)</f>
        <v/>
      </c>
      <c r="J182" s="473">
        <f>VLOOKUP($G182,DATOS!$B:$E,4,FALSE)</f>
        <v/>
      </c>
      <c r="K182" s="146" t="inlineStr">
        <is>
          <t>Proyecto El Marqués - Zaragoza</t>
        </is>
      </c>
      <c r="L182" s="147" t="n"/>
      <c r="M182" s="146" t="inlineStr">
        <is>
          <t>Honorarios - Contrato O&amp;M 2º Trimestre 2025</t>
        </is>
      </c>
      <c r="N182" s="147" t="n">
        <v>23574.28356888</v>
      </c>
      <c r="P182" s="147" t="n"/>
      <c r="Q182" s="146" t="inlineStr">
        <is>
          <t>O&amp;M Fee - 2Q2025</t>
        </is>
      </c>
      <c r="R182" s="147" t="n"/>
      <c r="T182" s="147" t="n"/>
      <c r="V182" s="147" t="n"/>
      <c r="X182" s="147" t="n"/>
      <c r="Z182" s="147" t="n"/>
      <c r="AA182" s="147" t="n"/>
      <c r="AB182" s="148" t="inlineStr">
        <is>
          <t>ES85 2080 3509 1130 4009 6171</t>
        </is>
      </c>
      <c r="AC182" s="146" t="inlineStr">
        <is>
          <t>pagado</t>
        </is>
      </c>
      <c r="AD182" s="147">
        <f>L182+N182+P182+R182+T182+V182+X182+Z182</f>
        <v/>
      </c>
      <c r="AE182" s="147">
        <f>IF((LEFT(K182,6))="Contab",L182,0)</f>
        <v/>
      </c>
      <c r="AF182" s="148">
        <f>VLOOKUP(G182,CLIENTES!B:E,4,FALSE)</f>
        <v/>
      </c>
      <c r="AG182" s="147">
        <f>AF182*AE182</f>
        <v/>
      </c>
      <c r="AH182" s="147">
        <f>AD182*1.21</f>
        <v/>
      </c>
      <c r="AI182" s="257">
        <f>IF(AE182&lt;&gt;0,AG182/AD182,"N/A")</f>
        <v/>
      </c>
      <c r="AJ182" s="147">
        <f>IF(AC182="pendiente",AD182,0)</f>
        <v/>
      </c>
      <c r="AK182" s="146">
        <f>VLOOKUP(G182,CLIENTES!B:D,3,FALSE)</f>
        <v/>
      </c>
      <c r="AL182" s="146" t="inlineStr">
        <is>
          <t>OM_Otros</t>
        </is>
      </c>
      <c r="AM182" s="146" t="inlineStr">
        <is>
          <t>Explotación</t>
        </is>
      </c>
    </row>
    <row r="183" ht="15" customHeight="1" s="700">
      <c r="A183" s="1">
        <f>A182+1</f>
        <v/>
      </c>
      <c r="B183" s="26" t="n">
        <v>45755</v>
      </c>
      <c r="C183" s="1" t="inlineStr">
        <is>
          <t>c/ Las Cruzadas 3A, local D</t>
        </is>
      </c>
      <c r="D183" s="1" t="inlineStr">
        <is>
          <t>Sevilla 41004</t>
        </is>
      </c>
      <c r="E183" s="1" t="inlineStr">
        <is>
          <t>CIF B91938662</t>
        </is>
      </c>
      <c r="F183" s="1" t="inlineStr">
        <is>
          <t>aBalados@abalados.es</t>
        </is>
      </c>
      <c r="G183" s="1" t="inlineStr">
        <is>
          <t>Sun Tol I, S.L.U.</t>
        </is>
      </c>
      <c r="H183" s="1">
        <f>VLOOKUP($G183,DATOS!$B:$E,2,FALSE)</f>
        <v/>
      </c>
      <c r="I183" s="1">
        <f>VLOOKUP($G183,DATOS!$B:$E,3,FALSE)</f>
        <v/>
      </c>
      <c r="J183" s="4">
        <f>VLOOKUP($G183,DATOS!$B:$E,4,FALSE)</f>
        <v/>
      </c>
      <c r="K183" s="1" t="inlineStr">
        <is>
          <t>Extraordinary Assistance for PSFV Castillejo I</t>
        </is>
      </c>
      <c r="M183" s="1" t="inlineStr">
        <is>
          <t>PV Solar Plant Development Service Agreement</t>
        </is>
      </c>
      <c r="O183" s="1" t="inlineStr">
        <is>
          <t>II addendum to PV solar plant development services agreement</t>
        </is>
      </c>
      <c r="Q183" s="1" t="inlineStr">
        <is>
          <t>Site visit 21/12/2021 - La Pueblanueva: Meeting with the Major</t>
        </is>
      </c>
      <c r="R183" s="5" t="n">
        <v>965.53</v>
      </c>
      <c r="S183" s="1" t="inlineStr">
        <is>
          <t>Site visit 19/05/2022 - Toledo: Meeting with Authorities</t>
        </is>
      </c>
      <c r="T183" s="5" t="n">
        <v>932.5</v>
      </c>
      <c r="U183" s="1" t="inlineStr">
        <is>
          <t>Site visit 27/04/2023 - Madrid: Signature on Notary</t>
        </is>
      </c>
      <c r="V183" s="5" t="n">
        <v>990.47</v>
      </c>
      <c r="W183" s="1" t="inlineStr">
        <is>
          <t>Site visit 18/12/2024 - Madrid: EPC Negotiations</t>
        </is>
      </c>
      <c r="X183" s="5" t="n">
        <v>986</v>
      </c>
      <c r="Y183" s="1" t="inlineStr">
        <is>
          <t>Site visit 21/02/2025 - Madrid: Incorporation of the Company</t>
        </is>
      </c>
      <c r="Z183" s="5" t="n">
        <v>1005</v>
      </c>
      <c r="AB183" s="6" t="inlineStr">
        <is>
          <t>ES85 2080 3509 1130 4009 6171</t>
        </is>
      </c>
      <c r="AC183" s="1" t="inlineStr">
        <is>
          <t>pagado</t>
        </is>
      </c>
      <c r="AD183" s="5">
        <f>L183+N183+P183+R183+T183+V183+X183+Z183</f>
        <v/>
      </c>
      <c r="AE183" s="5">
        <f>IF((LEFT(K183,6))="Contab",L183,0)</f>
        <v/>
      </c>
      <c r="AF183" s="6">
        <f>VLOOKUP(G183,CLIENTES!B:E,4,FALSE)</f>
        <v/>
      </c>
      <c r="AG183" s="5">
        <f>AF183*AE183</f>
        <v/>
      </c>
      <c r="AH183" s="5">
        <f>AD183*1.21</f>
        <v/>
      </c>
      <c r="AI183" s="261">
        <f>IF(AE183&lt;&gt;0,AG183/AD183,"N/A")</f>
        <v/>
      </c>
      <c r="AJ183" s="5">
        <f>IF(AC183="pendiente",AD183,0)</f>
        <v/>
      </c>
      <c r="AK183" s="1">
        <f>VLOOKUP(G183,CLIENTES!B:D,3,FALSE)</f>
        <v/>
      </c>
      <c r="AL183" s="1" t="inlineStr">
        <is>
          <t>Ingeniería</t>
        </is>
      </c>
      <c r="AM183" s="1" t="inlineStr">
        <is>
          <t>Promoción</t>
        </is>
      </c>
    </row>
    <row r="184" ht="15" customFormat="1" customHeight="1" s="475">
      <c r="A184" s="475">
        <f>A183+1</f>
        <v/>
      </c>
      <c r="B184" s="476" t="n">
        <v>45798</v>
      </c>
      <c r="C184" s="475" t="inlineStr">
        <is>
          <t>c/ Las Cruzadas 3A, local D</t>
        </is>
      </c>
      <c r="D184" s="475" t="inlineStr">
        <is>
          <t>Sevilla 41004</t>
        </is>
      </c>
      <c r="E184" s="475" t="inlineStr">
        <is>
          <t>CIF B91938662</t>
        </is>
      </c>
      <c r="F184" s="475" t="inlineStr">
        <is>
          <t>aBalados@abalados.es</t>
        </is>
      </c>
      <c r="G184" s="475" t="inlineStr">
        <is>
          <t>ASINPE S.L.</t>
        </is>
      </c>
      <c r="H184" s="475">
        <f>VLOOKUP($G184,DATOS!$B:$E,2,FALSE)</f>
        <v/>
      </c>
      <c r="I184" s="475">
        <f>VLOOKUP($G184,DATOS!$B:$E,3,FALSE)</f>
        <v/>
      </c>
      <c r="J184" s="475">
        <f>VLOOKUP($G184,DATOS!$B:$E,4,FALSE)</f>
        <v/>
      </c>
      <c r="K184" s="475" t="inlineStr">
        <is>
          <t>Repercusión del 50% del gasto correspondientes a las facturas:</t>
        </is>
      </c>
      <c r="L184" s="563" t="n"/>
      <c r="M184" s="475" t="inlineStr">
        <is>
          <t>·  0288-EP25 con fecha 21/04/2025</t>
        </is>
      </c>
      <c r="N184" s="477">
        <f>2170/2</f>
        <v/>
      </c>
      <c r="O184" s="475" t="inlineStr">
        <is>
          <t>·  112 con fecha 16/04/2025</t>
        </is>
      </c>
      <c r="P184" s="477">
        <f>16.53/2</f>
        <v/>
      </c>
      <c r="R184" s="477" t="n"/>
      <c r="T184" s="477" t="n"/>
      <c r="V184" s="477" t="n"/>
      <c r="X184" s="477" t="n"/>
      <c r="Z184" s="477" t="n"/>
      <c r="AA184" s="477" t="n"/>
      <c r="AB184" s="478" t="inlineStr">
        <is>
          <t>ES85 2080 3509 1130 4009 6171</t>
        </is>
      </c>
      <c r="AC184" s="475" t="inlineStr">
        <is>
          <t>pagado</t>
        </is>
      </c>
      <c r="AD184" s="477">
        <f>L184+N184+P184+R184+T184+V184+X184+Z184</f>
        <v/>
      </c>
      <c r="AE184" s="477">
        <f>IF((LEFT(K184,6))="Contab",L184,0)</f>
        <v/>
      </c>
      <c r="AF184" s="478">
        <f>VLOOKUP(G184,CLIENTES!B:E,4,FALSE)</f>
        <v/>
      </c>
      <c r="AG184" s="477">
        <f>AF184*AE184</f>
        <v/>
      </c>
      <c r="AH184" s="477">
        <f>AD184*1.21</f>
        <v/>
      </c>
      <c r="AI184" s="479">
        <f>IF(AE184&lt;&gt;0,AG184/AD184,"N/A")</f>
        <v/>
      </c>
      <c r="AJ184" s="477">
        <f>IF(AC184="pendiente",AD184,0)</f>
        <v/>
      </c>
      <c r="AK184" s="475">
        <f>VLOOKUP(G184,CLIENTES!B:D,3,FALSE)</f>
        <v/>
      </c>
    </row>
    <row r="185" ht="15" customFormat="1" customHeight="1" s="258">
      <c r="A185" s="258">
        <f>A184+1</f>
        <v/>
      </c>
      <c r="B185" s="299" t="n">
        <v>45833</v>
      </c>
      <c r="C185" s="258" t="inlineStr">
        <is>
          <t>c/ Las Cruzadas 3A, local D</t>
        </is>
      </c>
      <c r="D185" s="258" t="inlineStr">
        <is>
          <t>Sevilla 41004</t>
        </is>
      </c>
      <c r="E185" s="258" t="inlineStr">
        <is>
          <t>CIF B91938662</t>
        </is>
      </c>
      <c r="F185" s="258" t="inlineStr">
        <is>
          <t>aBalados@abalados.es</t>
        </is>
      </c>
      <c r="G185" s="258" t="inlineStr">
        <is>
          <t>Valcabado Renovables 220 kV, S.L.</t>
        </is>
      </c>
      <c r="H185" s="258">
        <f>VLOOKUP($G185,DATOS!$B:$E,2,FALSE)</f>
        <v/>
      </c>
      <c r="I185" s="258">
        <f>VLOOKUP($G185,DATOS!$B:$E,3,FALSE)</f>
        <v/>
      </c>
      <c r="J185" s="568">
        <f>VLOOKUP($G185,DATOS!$B:$E,4,FALSE)</f>
        <v/>
      </c>
      <c r="K185" s="258" t="inlineStr">
        <is>
          <t>Contrato de Asset Management - Subestación Valcabado</t>
        </is>
      </c>
      <c r="L185" s="259" t="n"/>
      <c r="N185" s="259" t="n"/>
      <c r="O185" s="258" t="inlineStr">
        <is>
          <t>Fee Trimestral - 01 Abril/30 Junio 2025</t>
        </is>
      </c>
      <c r="P185" s="259">
        <f>3* 2898*1.098*1.033*1.032*1.023</f>
        <v/>
      </c>
      <c r="Q185" s="258" t="inlineStr">
        <is>
          <t>Tasa actualización IPC General (Marzo 2024 - Marzo 2025): 2,3%</t>
        </is>
      </c>
      <c r="R185" s="259" t="n"/>
      <c r="T185" s="259" t="n"/>
      <c r="U185" s="258" t="inlineStr">
        <is>
          <t>Regularización IPC trimestre anterior (22Marzo-31Marzo 2025)</t>
        </is>
      </c>
      <c r="V185" s="259">
        <f>2898*1.098*1.033*1.032*(10/31) *0.023</f>
        <v/>
      </c>
      <c r="X185" s="259" t="n"/>
      <c r="Z185" s="259" t="n"/>
      <c r="AA185" s="259" t="n"/>
      <c r="AB185" s="260" t="inlineStr">
        <is>
          <t>ES85 2080 3509 1130 4009 6171</t>
        </is>
      </c>
      <c r="AC185" s="258" t="inlineStr">
        <is>
          <t>pagado</t>
        </is>
      </c>
      <c r="AD185" s="259">
        <f>L185+N185+P185+R185+T185+V185+X185+Z185</f>
        <v/>
      </c>
      <c r="AE185" s="259">
        <f>IF((LEFT(K185,6))="Contab",L185,0)</f>
        <v/>
      </c>
      <c r="AF185" s="260">
        <f>VLOOKUP(G185,CLIENTES!B:E,4,FALSE)</f>
        <v/>
      </c>
      <c r="AG185" s="259">
        <f>AF185*AE185</f>
        <v/>
      </c>
      <c r="AH185" s="259">
        <f>AD185*1.21</f>
        <v/>
      </c>
      <c r="AI185" s="264">
        <f>IF(AE185&lt;&gt;0,AG185/AD185,"N/A")</f>
        <v/>
      </c>
      <c r="AJ185" s="259">
        <f>IF(AC185="pendiente",AD185,0)</f>
        <v/>
      </c>
      <c r="AK185" s="258">
        <f>VLOOKUP(G185,CLIENTES!B:D,3,FALSE)</f>
        <v/>
      </c>
      <c r="AL185" s="258" t="inlineStr">
        <is>
          <t>nudos</t>
        </is>
      </c>
      <c r="AM185" s="258" t="inlineStr">
        <is>
          <t>Explotación</t>
        </is>
      </c>
    </row>
    <row r="186" ht="15" customHeight="1" s="700">
      <c r="A186" s="1">
        <f>A185+1</f>
        <v/>
      </c>
      <c r="B186" s="26" t="n">
        <v>45833</v>
      </c>
      <c r="C186" s="1" t="inlineStr">
        <is>
          <t>c/ Las Cruzadas 3A, local D</t>
        </is>
      </c>
      <c r="D186" s="1" t="inlineStr">
        <is>
          <t>Sevilla 41004</t>
        </is>
      </c>
      <c r="E186" s="1" t="inlineStr">
        <is>
          <t>CIF B91938662</t>
        </is>
      </c>
      <c r="F186" s="1" t="inlineStr">
        <is>
          <t>aBalados@abalados.es</t>
        </is>
      </c>
      <c r="G186" s="1" t="inlineStr">
        <is>
          <t>Grijota Renovables, S.L.</t>
        </is>
      </c>
      <c r="H186" s="1">
        <f>VLOOKUP($G186,DATOS!$B:$E,2,FALSE)</f>
        <v/>
      </c>
      <c r="I186" s="1">
        <f>VLOOKUP($G186,DATOS!$B:$E,3,FALSE)</f>
        <v/>
      </c>
      <c r="J186" s="4">
        <f>VLOOKUP($G186,DATOS!$B:$E,4,FALSE)</f>
        <v/>
      </c>
      <c r="K186" s="1" t="inlineStr">
        <is>
          <t>Contrato de Asset Management - Subestación Grijota</t>
        </is>
      </c>
      <c r="O186" s="1" t="inlineStr">
        <is>
          <t>Fee Trimestral - 01 Abril/30 Junio 2025</t>
        </is>
      </c>
      <c r="P186" s="5">
        <f>3 * 1035*1.108*1.023*1.028</f>
        <v/>
      </c>
      <c r="AB186" s="6" t="inlineStr">
        <is>
          <t>ES85 2080 3509 1130 4009 6171</t>
        </is>
      </c>
      <c r="AC186" s="1" t="inlineStr">
        <is>
          <t>pagado</t>
        </is>
      </c>
      <c r="AD186" s="5">
        <f>L186+N186+P186+R186+T186+V186+X186+Z186</f>
        <v/>
      </c>
      <c r="AE186" s="5">
        <f>IF((LEFT(K186,6))="Contab",L186,0)</f>
        <v/>
      </c>
      <c r="AF186" s="6">
        <f>VLOOKUP(G186,CLIENTES!B:E,4,FALSE)</f>
        <v/>
      </c>
      <c r="AG186" s="5">
        <f>AF186*AE186</f>
        <v/>
      </c>
      <c r="AH186" s="5">
        <f>AD186*1.21</f>
        <v/>
      </c>
      <c r="AI186" s="261">
        <f>IF(AE186&lt;&gt;0,AG186/AD186,"N/A")</f>
        <v/>
      </c>
      <c r="AJ186" s="5">
        <f>IF(AC186="pendiente",AD186,0)</f>
        <v/>
      </c>
      <c r="AK186" s="1">
        <f>VLOOKUP(G186,CLIENTES!B:D,3,FALSE)</f>
        <v/>
      </c>
      <c r="AL186" s="1" t="inlineStr">
        <is>
          <t>nudos</t>
        </is>
      </c>
      <c r="AM186" s="1" t="inlineStr">
        <is>
          <t>Explotación</t>
        </is>
      </c>
    </row>
    <row r="187" ht="15" customHeight="1" s="700">
      <c r="A187" s="1">
        <f>A186+1</f>
        <v/>
      </c>
      <c r="B187" s="26" t="n">
        <v>45833</v>
      </c>
      <c r="C187" s="1" t="inlineStr">
        <is>
          <t>c/ Las Cruzadas 3A, local D</t>
        </is>
      </c>
      <c r="D187" s="1" t="inlineStr">
        <is>
          <t>Sevilla 41004</t>
        </is>
      </c>
      <c r="E187" s="1" t="inlineStr">
        <is>
          <t>CIF B91938662</t>
        </is>
      </c>
      <c r="F187" s="1" t="inlineStr">
        <is>
          <t>aBalados@abalados.es</t>
        </is>
      </c>
      <c r="G187" s="1" t="inlineStr">
        <is>
          <t>Cubillos Renovables, S.L.</t>
        </is>
      </c>
      <c r="H187" s="1">
        <f>VLOOKUP($G187,DATOS!$B:$E,2,FALSE)</f>
        <v/>
      </c>
      <c r="I187" s="1">
        <f>VLOOKUP($G187,DATOS!$B:$E,3,FALSE)</f>
        <v/>
      </c>
      <c r="J187" s="4">
        <f>VLOOKUP($G187,DATOS!$B:$E,4,FALSE)</f>
        <v/>
      </c>
      <c r="K187" s="1" t="inlineStr">
        <is>
          <t>Contrato de Asset Management - Subestación Majuelo</t>
        </is>
      </c>
      <c r="O187" s="1" t="inlineStr">
        <is>
          <t>Fee Trimestral - 01 Abril/30 Junio 2025</t>
        </is>
      </c>
      <c r="P187" s="5">
        <f>3* 2898*1.105*1.026*1.023</f>
        <v/>
      </c>
      <c r="AB187" s="6" t="inlineStr">
        <is>
          <t>ES85 2080 3509 1130 4009 6171</t>
        </is>
      </c>
      <c r="AC187" s="1" t="inlineStr">
        <is>
          <t>pagado</t>
        </is>
      </c>
      <c r="AD187" s="5">
        <f>L187+N187+P187+R187+T187+V187+X187+Z187</f>
        <v/>
      </c>
      <c r="AE187" s="5">
        <f>IF((LEFT(K187,6))="Contab",L187,0)</f>
        <v/>
      </c>
      <c r="AF187" s="6">
        <f>VLOOKUP(G187,CLIENTES!B:E,4,FALSE)</f>
        <v/>
      </c>
      <c r="AG187" s="5">
        <f>AF187*AE187</f>
        <v/>
      </c>
      <c r="AH187" s="5">
        <f>AD187*1.21</f>
        <v/>
      </c>
      <c r="AI187" s="261">
        <f>IF(AE187&lt;&gt;0,AG187/AD187,"N/A")</f>
        <v/>
      </c>
      <c r="AJ187" s="5">
        <f>IF(AC187="pendiente",AD187,0)</f>
        <v/>
      </c>
      <c r="AK187" s="1">
        <f>VLOOKUP(G187,CLIENTES!B:D,3,FALSE)</f>
        <v/>
      </c>
      <c r="AL187" s="1" t="inlineStr">
        <is>
          <t>nudos</t>
        </is>
      </c>
      <c r="AM187" s="1" t="inlineStr">
        <is>
          <t>Explotación</t>
        </is>
      </c>
    </row>
    <row r="188" ht="15" customHeight="1" s="700">
      <c r="A188" s="1">
        <f>A187+1</f>
        <v/>
      </c>
      <c r="B188" s="26" t="n">
        <v>45833</v>
      </c>
      <c r="C188" s="1" t="inlineStr">
        <is>
          <t>c/ Las Cruzadas 3A, local D</t>
        </is>
      </c>
      <c r="D188" s="1" t="inlineStr">
        <is>
          <t>Sevilla 41004</t>
        </is>
      </c>
      <c r="E188" s="1" t="inlineStr">
        <is>
          <t>CIF B91938662</t>
        </is>
      </c>
      <c r="F188" s="1" t="inlineStr">
        <is>
          <t>aBalados@abalados.es</t>
        </is>
      </c>
      <c r="G188" s="1" t="inlineStr">
        <is>
          <t>Tordesillas Renovables, S.L.</t>
        </is>
      </c>
      <c r="H188" s="1">
        <f>VLOOKUP($G188,DATOS!$B:$E,2,FALSE)</f>
        <v/>
      </c>
      <c r="I188" s="1">
        <f>VLOOKUP($G188,DATOS!$B:$E,3,FALSE)</f>
        <v/>
      </c>
      <c r="J188" s="4">
        <f>VLOOKUP($G188,DATOS!$B:$E,4,FALSE)</f>
        <v/>
      </c>
      <c r="K188" s="1" t="inlineStr">
        <is>
          <t>Contrato de Asset Management - Subestación Tordesillas</t>
        </is>
      </c>
      <c r="O188" s="1" t="inlineStr">
        <is>
          <t>Fee Trimestral - 01 Abril/30 Junio 2025</t>
        </is>
      </c>
      <c r="P188" s="5">
        <f>3* 1200*1.073*1.035*1.018</f>
        <v/>
      </c>
      <c r="AB188" s="6" t="inlineStr">
        <is>
          <t>ES85 2080 3509 1130 4009 6171</t>
        </is>
      </c>
      <c r="AC188" s="1" t="inlineStr">
        <is>
          <t>pagado</t>
        </is>
      </c>
      <c r="AD188" s="5">
        <f>L188+N188+P188+R188+T188+V188+X188+Z188</f>
        <v/>
      </c>
      <c r="AE188" s="5">
        <f>IF((LEFT(K188,6))="Contab",L188,0)</f>
        <v/>
      </c>
      <c r="AF188" s="6">
        <f>VLOOKUP(G188,CLIENTES!B:E,4,FALSE)</f>
        <v/>
      </c>
      <c r="AG188" s="5">
        <f>AF188*AE188</f>
        <v/>
      </c>
      <c r="AH188" s="5">
        <f>AD188*1.21</f>
        <v/>
      </c>
      <c r="AI188" s="261">
        <f>IF(AE188&lt;&gt;0,AG188/AD188,"N/A")</f>
        <v/>
      </c>
      <c r="AJ188" s="5">
        <f>IF(AC188="pendiente",AD188,0)</f>
        <v/>
      </c>
      <c r="AK188" s="1">
        <f>VLOOKUP(G188,CLIENTES!B:D,3,FALSE)</f>
        <v/>
      </c>
      <c r="AL188" s="1" t="inlineStr">
        <is>
          <t>nudos</t>
        </is>
      </c>
      <c r="AM188" s="1" t="inlineStr">
        <is>
          <t>Promoción</t>
        </is>
      </c>
    </row>
    <row r="189" ht="15" customHeight="1" s="700">
      <c r="A189" s="1">
        <f>A188+1</f>
        <v/>
      </c>
      <c r="B189" s="26" t="n">
        <v>45833</v>
      </c>
      <c r="C189" s="1" t="inlineStr">
        <is>
          <t>c/ Las Cruzadas 3A, local D</t>
        </is>
      </c>
      <c r="D189" s="1" t="inlineStr">
        <is>
          <t>Sevilla 41004</t>
        </is>
      </c>
      <c r="E189" s="1" t="inlineStr">
        <is>
          <t>CIF B91938662</t>
        </is>
      </c>
      <c r="F189" s="1" t="inlineStr">
        <is>
          <t>aBalados@abalados.es</t>
        </is>
      </c>
      <c r="G189" s="1" t="inlineStr">
        <is>
          <t>Monte Reina Renovables, S.L.</t>
        </is>
      </c>
      <c r="H189" s="1">
        <f>VLOOKUP($G189,DATOS!$B:$E,2,FALSE)</f>
        <v/>
      </c>
      <c r="I189" s="1">
        <f>VLOOKUP($G189,DATOS!$B:$E,3,FALSE)</f>
        <v/>
      </c>
      <c r="J189" s="4">
        <f>VLOOKUP($G189,DATOS!$B:$E,4,FALSE)</f>
        <v/>
      </c>
      <c r="K189" s="1" t="inlineStr">
        <is>
          <t>Contrato de Asset Management - Subestación Valdecarretas</t>
        </is>
      </c>
      <c r="O189" s="1" t="inlineStr">
        <is>
          <t>Fee Trimestral - 01 Abril/30 Junio 2025</t>
        </is>
      </c>
      <c r="P189" s="5">
        <f>3* 1380*1.073*1.035*1.018</f>
        <v/>
      </c>
      <c r="AB189" s="6" t="inlineStr">
        <is>
          <t>ES85 2080 3509 1130 4009 6171</t>
        </is>
      </c>
      <c r="AC189" s="1" t="inlineStr">
        <is>
          <t>pagado</t>
        </is>
      </c>
      <c r="AD189" s="5">
        <f>L189+N189+P189+R189+T189+V189+X189+Z189</f>
        <v/>
      </c>
      <c r="AE189" s="5">
        <f>IF((LEFT(K189,6))="Contab",L189,0)</f>
        <v/>
      </c>
      <c r="AF189" s="6">
        <f>VLOOKUP(G189,CLIENTES!B:E,4,FALSE)</f>
        <v/>
      </c>
      <c r="AG189" s="5">
        <f>AF189*AE189</f>
        <v/>
      </c>
      <c r="AH189" s="5">
        <f>AD189*1.21</f>
        <v/>
      </c>
      <c r="AI189" s="261">
        <f>IF(AE189&lt;&gt;0,AG189/AD189,"N/A")</f>
        <v/>
      </c>
      <c r="AJ189" s="5">
        <f>IF(AC189="pendiente",AD189,0)</f>
        <v/>
      </c>
      <c r="AK189" s="1">
        <f>VLOOKUP(G189,CLIENTES!B:D,3,FALSE)</f>
        <v/>
      </c>
      <c r="AL189" s="1" t="inlineStr">
        <is>
          <t>nudos</t>
        </is>
      </c>
      <c r="AM189" s="1" t="inlineStr">
        <is>
          <t>Promoción</t>
        </is>
      </c>
    </row>
    <row r="190" ht="15" customHeight="1" s="700">
      <c r="A190" s="1">
        <f>A189+1</f>
        <v/>
      </c>
      <c r="B190" s="26" t="n">
        <v>45833</v>
      </c>
      <c r="C190" s="1" t="inlineStr">
        <is>
          <t>c/ Las Cruzadas 3A, local D</t>
        </is>
      </c>
      <c r="D190" s="1" t="inlineStr">
        <is>
          <t>Sevilla 41004</t>
        </is>
      </c>
      <c r="E190" s="1" t="inlineStr">
        <is>
          <t>CIF B91938662</t>
        </is>
      </c>
      <c r="F190" s="1" t="inlineStr">
        <is>
          <t>aBalados@abalados.es</t>
        </is>
      </c>
      <c r="G190" s="1" t="inlineStr">
        <is>
          <t>Herrera Renovables 400, A.I.E.</t>
        </is>
      </c>
      <c r="H190" s="1">
        <f>VLOOKUP($G190,DATOS!$B:$E,2,FALSE)</f>
        <v/>
      </c>
      <c r="I190" s="1">
        <f>VLOOKUP($G190,DATOS!$B:$E,3,FALSE)</f>
        <v/>
      </c>
      <c r="J190" s="4">
        <f>VLOOKUP($G190,DATOS!$B:$E,4,FALSE)</f>
        <v/>
      </c>
      <c r="K190" s="1" t="inlineStr">
        <is>
          <t>Contrato de Asset Management - Subestación Herrera</t>
        </is>
      </c>
      <c r="O190" s="1" t="inlineStr">
        <is>
          <t>Fee Trimestral - 01 Abril/30 Junio 2025</t>
        </is>
      </c>
      <c r="P190" s="5">
        <f>3* 1250*1.068*1.032*1.024</f>
        <v/>
      </c>
      <c r="AB190" s="6" t="inlineStr">
        <is>
          <t>ES85 2080 3509 1130 4009 6171</t>
        </is>
      </c>
      <c r="AC190" s="1" t="inlineStr">
        <is>
          <t>pagado</t>
        </is>
      </c>
      <c r="AD190" s="5">
        <f>L190+N190+P190+R190+T190+V190+X190+Z190</f>
        <v/>
      </c>
      <c r="AE190" s="5">
        <f>IF((LEFT(K190,6))="Contab",L190,0)</f>
        <v/>
      </c>
      <c r="AF190" s="6">
        <f>VLOOKUP(G190,CLIENTES!B:E,4,FALSE)</f>
        <v/>
      </c>
      <c r="AG190" s="5">
        <f>AF190*AE190</f>
        <v/>
      </c>
      <c r="AH190" s="5">
        <f>AD190*1.21</f>
        <v/>
      </c>
      <c r="AI190" s="261">
        <f>IF(AE190&lt;&gt;0,AG190/AD190,"N/A")</f>
        <v/>
      </c>
      <c r="AJ190" s="5">
        <f>IF(AC190="pendiente",AD190,0)</f>
        <v/>
      </c>
      <c r="AK190" s="1">
        <f>VLOOKUP(G190,CLIENTES!B:D,3,FALSE)</f>
        <v/>
      </c>
      <c r="AL190" s="1" t="inlineStr">
        <is>
          <t>nudos</t>
        </is>
      </c>
      <c r="AM190" s="1" t="inlineStr">
        <is>
          <t>Promoción</t>
        </is>
      </c>
    </row>
    <row r="191" ht="15" customHeight="1" s="700">
      <c r="A191" s="1">
        <f>A190+1</f>
        <v/>
      </c>
      <c r="B191" s="26" t="n">
        <v>45833</v>
      </c>
      <c r="C191" s="1" t="inlineStr">
        <is>
          <t>c/ Las Cruzadas 3A, local D</t>
        </is>
      </c>
      <c r="D191" s="1" t="inlineStr">
        <is>
          <t>Sevilla 41004</t>
        </is>
      </c>
      <c r="E191" s="1" t="inlineStr">
        <is>
          <t>CIF B91938662</t>
        </is>
      </c>
      <c r="F191" s="1" t="inlineStr">
        <is>
          <t>aBalados@abalados.es</t>
        </is>
      </c>
      <c r="G191" s="1" t="inlineStr">
        <is>
          <t>Gazules Renovables, S.L.</t>
        </is>
      </c>
      <c r="H191" s="1">
        <f>VLOOKUP($G191,DATOS!$B:$E,2,FALSE)</f>
        <v/>
      </c>
      <c r="I191" s="1">
        <f>VLOOKUP($G191,DATOS!$B:$E,3,FALSE)</f>
        <v/>
      </c>
      <c r="J191" s="4">
        <f>VLOOKUP($G191,DATOS!$B:$E,4,FALSE)</f>
        <v/>
      </c>
      <c r="K191" s="1" t="inlineStr">
        <is>
          <t>Contrato de Asset Management - Subestación Gazules</t>
        </is>
      </c>
      <c r="O191" s="1" t="inlineStr">
        <is>
          <t>Fee Trimestral - 01 Abril/30 Junio 2025</t>
        </is>
      </c>
      <c r="P191" s="5">
        <f>3* 2900*1.068*1.032*1.024</f>
        <v/>
      </c>
      <c r="AB191" s="6" t="inlineStr">
        <is>
          <t>ES85 2080 3509 1130 4009 6171</t>
        </is>
      </c>
      <c r="AC191" s="1" t="inlineStr">
        <is>
          <t>pagado</t>
        </is>
      </c>
      <c r="AD191" s="5">
        <f>L191+N191+P191+R191+T191+V191+X191+Z191</f>
        <v/>
      </c>
      <c r="AE191" s="5">
        <f>IF((LEFT(K191,6))="Contab",L191,0)</f>
        <v/>
      </c>
      <c r="AF191" s="6">
        <f>VLOOKUP(G191,CLIENTES!B:E,4,FALSE)</f>
        <v/>
      </c>
      <c r="AG191" s="5">
        <f>AF191*AE191</f>
        <v/>
      </c>
      <c r="AH191" s="5">
        <f>AD191*1.21</f>
        <v/>
      </c>
      <c r="AI191" s="261">
        <f>IF(AE191&lt;&gt;0,AG191/AD191,"N/A")</f>
        <v/>
      </c>
      <c r="AJ191" s="5">
        <f>IF(AC191="pendiente",AD191,0)</f>
        <v/>
      </c>
      <c r="AK191" s="1">
        <f>VLOOKUP(G191,CLIENTES!B:D,3,FALSE)</f>
        <v/>
      </c>
      <c r="AL191" s="1" t="inlineStr">
        <is>
          <t>nudos</t>
        </is>
      </c>
      <c r="AM191" s="1" t="inlineStr">
        <is>
          <t>Explotación</t>
        </is>
      </c>
    </row>
    <row r="192" ht="15" customHeight="1" s="700">
      <c r="A192" s="1">
        <f>A191+1</f>
        <v/>
      </c>
      <c r="B192" s="26" t="n">
        <v>45833</v>
      </c>
      <c r="C192" s="1" t="inlineStr">
        <is>
          <t>c/ Las Cruzadas 3A, local D</t>
        </is>
      </c>
      <c r="D192" s="1" t="inlineStr">
        <is>
          <t>Sevilla 41004</t>
        </is>
      </c>
      <c r="E192" s="1" t="inlineStr">
        <is>
          <t>CIF B91938662</t>
        </is>
      </c>
      <c r="F192" s="1" t="inlineStr">
        <is>
          <t>aBalados@abalados.es</t>
        </is>
      </c>
      <c r="G192" s="1" t="inlineStr">
        <is>
          <t>Evacuación Tordesillas 400 kV, S.L.</t>
        </is>
      </c>
      <c r="H192" s="1">
        <f>VLOOKUP($G192,DATOS!$B:$E,2,FALSE)</f>
        <v/>
      </c>
      <c r="I192" s="1">
        <f>VLOOKUP($G192,DATOS!$B:$E,3,FALSE)</f>
        <v/>
      </c>
      <c r="J192" s="4">
        <f>VLOOKUP($G192,DATOS!$B:$E,4,FALSE)</f>
        <v/>
      </c>
      <c r="K192" s="1" t="inlineStr">
        <is>
          <t>Contrato de Asset Management - LAAT T2 (Tordesillas)</t>
        </is>
      </c>
      <c r="O192" s="1" t="inlineStr">
        <is>
          <t>Fee Trimestral - 01 Abril/30 Junio 2025</t>
        </is>
      </c>
      <c r="P192" s="5">
        <f>3* 1200*1.059*1.034*1.029</f>
        <v/>
      </c>
      <c r="AB192" s="6" t="inlineStr">
        <is>
          <t>ES85 2080 3509 1130 4009 6171</t>
        </is>
      </c>
      <c r="AC192" s="1" t="inlineStr">
        <is>
          <t>pagado</t>
        </is>
      </c>
      <c r="AD192" s="5">
        <f>L192+N192+P192+R192+T192+V192+X192+Z192</f>
        <v/>
      </c>
      <c r="AE192" s="5">
        <f>IF((LEFT(K192,6))="Contab",L192,0)</f>
        <v/>
      </c>
      <c r="AF192" s="6">
        <f>VLOOKUP(G192,CLIENTES!B:E,4,FALSE)</f>
        <v/>
      </c>
      <c r="AG192" s="5">
        <f>AF192*AE192</f>
        <v/>
      </c>
      <c r="AH192" s="5">
        <f>AD192*1.21</f>
        <v/>
      </c>
      <c r="AI192" s="261">
        <f>IF(AE192&lt;&gt;0,AG192/AD192,"N/A")</f>
        <v/>
      </c>
      <c r="AJ192" s="5">
        <f>IF(AC192="pendiente",AD192,0)</f>
        <v/>
      </c>
      <c r="AK192" s="1">
        <f>VLOOKUP(G192,CLIENTES!B:D,3,FALSE)</f>
        <v/>
      </c>
      <c r="AL192" s="1" t="inlineStr">
        <is>
          <t>nudos</t>
        </is>
      </c>
      <c r="AM192" s="1" t="inlineStr">
        <is>
          <t>Promoción</t>
        </is>
      </c>
    </row>
    <row r="193" ht="15" customHeight="1" s="700">
      <c r="A193" s="1">
        <f>A192+1</f>
        <v/>
      </c>
      <c r="B193" s="26" t="n">
        <v>45833</v>
      </c>
      <c r="C193" s="1" t="inlineStr">
        <is>
          <t>c/ Las Cruzadas 3A, local D</t>
        </is>
      </c>
      <c r="D193" s="1" t="inlineStr">
        <is>
          <t>Sevilla 41004</t>
        </is>
      </c>
      <c r="E193" s="1" t="inlineStr">
        <is>
          <t>CIF B91938662</t>
        </is>
      </c>
      <c r="F193" s="1" t="inlineStr">
        <is>
          <t>aBalados@abalados.es</t>
        </is>
      </c>
      <c r="G193" s="1" t="inlineStr">
        <is>
          <t>Energías Limpias de Carmona, S.L.</t>
        </is>
      </c>
      <c r="H193" s="1">
        <f>VLOOKUP($G193,DATOS!$B:$E,2,FALSE)</f>
        <v/>
      </c>
      <c r="I193" s="1">
        <f>VLOOKUP($G193,DATOS!$B:$E,3,FALSE)</f>
        <v/>
      </c>
      <c r="J193" s="4">
        <f>VLOOKUP($G193,DATOS!$B:$E,4,FALSE)</f>
        <v/>
      </c>
      <c r="K193" s="1" t="inlineStr">
        <is>
          <t>Contrato de Asset Management - Subestación Carmona220</t>
        </is>
      </c>
      <c r="O193" s="1" t="inlineStr">
        <is>
          <t>Fee Trimestral - 01 Abril/30 Junio 2025</t>
        </is>
      </c>
      <c r="P193" s="5">
        <f>3* 1250*1.06*1.028*1.03</f>
        <v/>
      </c>
      <c r="AB193" s="6" t="inlineStr">
        <is>
          <t>ES85 2080 3509 1130 4009 6171</t>
        </is>
      </c>
      <c r="AC193" s="1" t="inlineStr">
        <is>
          <t>pagado</t>
        </is>
      </c>
      <c r="AD193" s="5">
        <f>L193+N193+P193+R193+T193+V193+X193+Z193</f>
        <v/>
      </c>
      <c r="AE193" s="5">
        <f>IF((LEFT(K193,6))="Contab",L193,0)</f>
        <v/>
      </c>
      <c r="AF193" s="6">
        <f>VLOOKUP(G193,CLIENTES!B:E,4,FALSE)</f>
        <v/>
      </c>
      <c r="AG193" s="5">
        <f>AF193*AE193</f>
        <v/>
      </c>
      <c r="AH193" s="5">
        <f>AD193*1.21</f>
        <v/>
      </c>
      <c r="AI193" s="261">
        <f>IF(AE193&lt;&gt;0,AG193/AD193,"N/A")</f>
        <v/>
      </c>
      <c r="AJ193" s="5">
        <f>IF(AC193="pendiente",AD193,0)</f>
        <v/>
      </c>
      <c r="AK193" s="1">
        <f>VLOOKUP(G193,CLIENTES!B:D,3,FALSE)</f>
        <v/>
      </c>
      <c r="AL193" s="1" t="inlineStr">
        <is>
          <t>nudos</t>
        </is>
      </c>
      <c r="AM193" s="1" t="inlineStr">
        <is>
          <t>Promoción</t>
        </is>
      </c>
    </row>
    <row r="194" ht="15" customHeight="1" s="700">
      <c r="A194" s="1">
        <f>A193+1</f>
        <v/>
      </c>
      <c r="B194" s="26" t="n">
        <v>45833</v>
      </c>
      <c r="C194" s="1" t="inlineStr">
        <is>
          <t>c/ Las Cruzadas 3A, local D</t>
        </is>
      </c>
      <c r="D194" s="1" t="inlineStr">
        <is>
          <t>Sevilla 41004</t>
        </is>
      </c>
      <c r="E194" s="1" t="inlineStr">
        <is>
          <t>CIF B91938662</t>
        </is>
      </c>
      <c r="F194" s="1" t="inlineStr">
        <is>
          <t>aBalados@abalados.es</t>
        </is>
      </c>
      <c r="G194" s="1" t="inlineStr">
        <is>
          <t>Martinez Montes Tordesillas, S.L.</t>
        </is>
      </c>
      <c r="H194" s="1">
        <f>VLOOKUP($G194,DATOS!$B:$E,2,FALSE)</f>
        <v/>
      </c>
      <c r="I194" s="1">
        <f>VLOOKUP($G194,DATOS!$B:$E,3,FALSE)</f>
        <v/>
      </c>
      <c r="J194" s="4">
        <f>VLOOKUP($G194,DATOS!$B:$E,4,FALSE)</f>
        <v/>
      </c>
      <c r="K194" s="1" t="inlineStr">
        <is>
          <t>Contrato de Asset Management - Subestación Martínez Montes (Tordesillas)</t>
        </is>
      </c>
      <c r="O194" s="1" t="inlineStr">
        <is>
          <t>Fee Trimestral - 01 Abril/30 Junio 2025</t>
        </is>
      </c>
      <c r="P194" s="5">
        <f>3* 1200*1.06*1.028*1.03</f>
        <v/>
      </c>
      <c r="AB194" s="6" t="inlineStr">
        <is>
          <t>ES85 2080 3509 1130 4009 6171</t>
        </is>
      </c>
      <c r="AC194" s="1" t="inlineStr">
        <is>
          <t>pagado</t>
        </is>
      </c>
      <c r="AD194" s="5">
        <f>L194+N194+P194+R194+T194+V194+X194+Z194</f>
        <v/>
      </c>
      <c r="AE194" s="5">
        <f>IF((LEFT(K194,6))="Contab",L194,0)</f>
        <v/>
      </c>
      <c r="AF194" s="6">
        <f>VLOOKUP(G194,CLIENTES!B:E,4,FALSE)</f>
        <v/>
      </c>
      <c r="AG194" s="5">
        <f>AF194*AE194</f>
        <v/>
      </c>
      <c r="AH194" s="5">
        <f>AD194*1.21</f>
        <v/>
      </c>
      <c r="AI194" s="261">
        <f>IF(AE194&lt;&gt;0,AG194/AD194,"N/A")</f>
        <v/>
      </c>
      <c r="AJ194" s="5">
        <f>IF(AC194="pendiente",AD194,0)</f>
        <v/>
      </c>
      <c r="AK194" s="1">
        <f>VLOOKUP(G194,CLIENTES!B:D,3,FALSE)</f>
        <v/>
      </c>
      <c r="AL194" s="1" t="inlineStr">
        <is>
          <t>nudos</t>
        </is>
      </c>
      <c r="AM194" s="1" t="inlineStr">
        <is>
          <t>Promoción</t>
        </is>
      </c>
    </row>
    <row r="195" ht="15" customHeight="1" s="700">
      <c r="A195" s="1">
        <f>A194+1</f>
        <v/>
      </c>
      <c r="B195" s="26" t="n">
        <v>45833</v>
      </c>
      <c r="C195" s="1" t="inlineStr">
        <is>
          <t>c/ Las Cruzadas 3A, local D</t>
        </is>
      </c>
      <c r="D195" s="1" t="inlineStr">
        <is>
          <t>Sevilla 41004</t>
        </is>
      </c>
      <c r="E195" s="1" t="inlineStr">
        <is>
          <t>CIF B91938662</t>
        </is>
      </c>
      <c r="F195" s="1" t="inlineStr">
        <is>
          <t>aBalados@abalados.es</t>
        </is>
      </c>
      <c r="G195" s="1" t="inlineStr">
        <is>
          <t>SET Carmona 400 kV Renovables, S.L.</t>
        </is>
      </c>
      <c r="H195" s="1">
        <f>VLOOKUP($G195,DATOS!$B:$E,2,FALSE)</f>
        <v/>
      </c>
      <c r="I195" s="1">
        <f>VLOOKUP($G195,DATOS!$B:$E,3,FALSE)</f>
        <v/>
      </c>
      <c r="J195" s="4">
        <f>VLOOKUP($G195,DATOS!$B:$E,4,FALSE)</f>
        <v/>
      </c>
      <c r="K195" s="1" t="inlineStr">
        <is>
          <t>Contrato de Asset Management - Subestación Carmona400</t>
        </is>
      </c>
      <c r="O195" s="1" t="inlineStr">
        <is>
          <t>Fee Trimestral - 01 Abril/30 Junio 2025</t>
        </is>
      </c>
      <c r="P195" s="5">
        <f>3* 2950*1.06*1.028*1.03</f>
        <v/>
      </c>
      <c r="AB195" s="6" t="inlineStr">
        <is>
          <t>ES85 2080 3509 1130 4009 6171</t>
        </is>
      </c>
      <c r="AC195" s="1" t="inlineStr">
        <is>
          <t>pagado</t>
        </is>
      </c>
      <c r="AD195" s="5">
        <f>L195+N195+P195+R195+T195+V195+X195+Z195</f>
        <v/>
      </c>
      <c r="AE195" s="5">
        <f>IF((LEFT(K195,6))="Contab",L195,0)</f>
        <v/>
      </c>
      <c r="AF195" s="6">
        <f>VLOOKUP(G195,CLIENTES!B:E,4,FALSE)</f>
        <v/>
      </c>
      <c r="AG195" s="5">
        <f>AF195*AE195</f>
        <v/>
      </c>
      <c r="AH195" s="5">
        <f>AD195*1.21</f>
        <v/>
      </c>
      <c r="AI195" s="261">
        <f>IF(AE195&lt;&gt;0,AG195/AD195,"N/A")</f>
        <v/>
      </c>
      <c r="AJ195" s="5">
        <f>IF(AC195="pendiente",AD195,0)</f>
        <v/>
      </c>
      <c r="AK195" s="1">
        <f>VLOOKUP(G195,CLIENTES!B:D,3,FALSE)</f>
        <v/>
      </c>
      <c r="AL195" s="1" t="inlineStr">
        <is>
          <t>nudos</t>
        </is>
      </c>
      <c r="AM195" s="1" t="inlineStr">
        <is>
          <t>Explotación</t>
        </is>
      </c>
    </row>
    <row r="196" ht="15" customHeight="1" s="700">
      <c r="A196" s="1">
        <f>A195+1</f>
        <v/>
      </c>
      <c r="B196" s="26" t="n">
        <v>45833</v>
      </c>
      <c r="C196" s="1" t="inlineStr">
        <is>
          <t>c/ Las Cruzadas 3A, local D</t>
        </is>
      </c>
      <c r="D196" s="1" t="inlineStr">
        <is>
          <t>Sevilla 41004</t>
        </is>
      </c>
      <c r="E196" s="1" t="inlineStr">
        <is>
          <t>CIF B91938662</t>
        </is>
      </c>
      <c r="F196" s="1" t="inlineStr">
        <is>
          <t>aBalados@abalados.es</t>
        </is>
      </c>
      <c r="G196" s="1" t="inlineStr">
        <is>
          <t>Evacuación Carmona 400-220 kV Renovables, S.L.</t>
        </is>
      </c>
      <c r="H196" s="1">
        <f>VLOOKUP($G196,DATOS!$B:$E,2,FALSE)</f>
        <v/>
      </c>
      <c r="I196" s="1">
        <f>VLOOKUP($G196,DATOS!$B:$E,3,FALSE)</f>
        <v/>
      </c>
      <c r="J196" s="4">
        <f>VLOOKUP($G196,DATOS!$B:$E,4,FALSE)</f>
        <v/>
      </c>
      <c r="K196" s="1" t="inlineStr">
        <is>
          <t>Contrato de Asset Management - LAAT 220/400kV</t>
        </is>
      </c>
      <c r="O196" s="1" t="inlineStr">
        <is>
          <t>Fee Trimestral - 01 Abril/30 Junio 2025</t>
        </is>
      </c>
      <c r="P196" s="5">
        <f>3* 1200*1.059*1.034*1.029</f>
        <v/>
      </c>
      <c r="AB196" s="6" t="inlineStr">
        <is>
          <t>ES85 2080 3509 1130 4009 6171</t>
        </is>
      </c>
      <c r="AC196" s="1" t="inlineStr">
        <is>
          <t>pagado</t>
        </is>
      </c>
      <c r="AD196" s="5">
        <f>L196+N196+P196+R196+T196+V196+X196+Z196</f>
        <v/>
      </c>
      <c r="AE196" s="5">
        <f>IF((LEFT(K196,6))="Contab",L196,0)</f>
        <v/>
      </c>
      <c r="AF196" s="6">
        <f>VLOOKUP(G196,CLIENTES!B:E,4,FALSE)</f>
        <v/>
      </c>
      <c r="AG196" s="5">
        <f>AF196*AE196</f>
        <v/>
      </c>
      <c r="AH196" s="5">
        <f>AD196*1.21</f>
        <v/>
      </c>
      <c r="AI196" s="261">
        <f>IF(AE196&lt;&gt;0,AG196/AD196,"N/A")</f>
        <v/>
      </c>
      <c r="AJ196" s="5">
        <f>IF(AC196="pendiente",AD196,0)</f>
        <v/>
      </c>
      <c r="AK196" s="1">
        <f>VLOOKUP(G196,CLIENTES!B:D,3,FALSE)</f>
        <v/>
      </c>
      <c r="AL196" s="1" t="inlineStr">
        <is>
          <t>nudos</t>
        </is>
      </c>
      <c r="AM196" s="1" t="inlineStr">
        <is>
          <t>Promoción</t>
        </is>
      </c>
    </row>
    <row r="197" ht="15" customHeight="1" s="700">
      <c r="A197" s="1">
        <f>A196+1</f>
        <v/>
      </c>
      <c r="B197" s="26" t="n">
        <v>45833</v>
      </c>
      <c r="C197" s="1" t="inlineStr">
        <is>
          <t>c/ Las Cruzadas 3A, local D</t>
        </is>
      </c>
      <c r="D197" s="1" t="inlineStr">
        <is>
          <t>Sevilla 41004</t>
        </is>
      </c>
      <c r="E197" s="1" t="inlineStr">
        <is>
          <t>CIF B91938662</t>
        </is>
      </c>
      <c r="F197" s="1" t="inlineStr">
        <is>
          <t>aBalados@abalados.es</t>
        </is>
      </c>
      <c r="G197" s="1" t="inlineStr">
        <is>
          <t>La Serranilla Renovables 132 kV, A.I.E.</t>
        </is>
      </c>
      <c r="H197" s="1">
        <f>VLOOKUP($G197,DATOS!$B:$E,2,FALSE)</f>
        <v/>
      </c>
      <c r="I197" s="1">
        <f>VLOOKUP($G197,DATOS!$B:$E,3,FALSE)</f>
        <v/>
      </c>
      <c r="J197" s="4">
        <f>VLOOKUP($G197,DATOS!$B:$E,4,FALSE)</f>
        <v/>
      </c>
      <c r="K197" s="1" t="inlineStr">
        <is>
          <t>Contrato de Asset Management - Subestación María Castro</t>
        </is>
      </c>
      <c r="O197" s="1" t="inlineStr">
        <is>
          <t>Fee Trimestral - 01 Abril/30 Junio 2025</t>
        </is>
      </c>
      <c r="P197" s="5">
        <f>1275*1.041*1.033*(20/30)+1275*1.041*1.033*1.022*(10/30)  +  2* 1275*1.041*1.033*1.022</f>
        <v/>
      </c>
      <c r="Q197" s="1" t="inlineStr">
        <is>
          <t>Tasa actualización IPC General (Abril 2024 - Abril 2025): 2,2%</t>
        </is>
      </c>
      <c r="S197" s="1" t="inlineStr">
        <is>
          <t>Fecha actualización: 21 Abril</t>
        </is>
      </c>
      <c r="AB197" s="6" t="inlineStr">
        <is>
          <t>ES85 2080 3509 1130 4009 6171</t>
        </is>
      </c>
      <c r="AC197" s="1" t="inlineStr">
        <is>
          <t>pagado</t>
        </is>
      </c>
      <c r="AD197" s="5">
        <f>L197+N197+P197+R197+T197+V197+X197+Z197</f>
        <v/>
      </c>
      <c r="AE197" s="5">
        <f>IF((LEFT(K197,6))="Contab",L197,0)</f>
        <v/>
      </c>
      <c r="AF197" s="6">
        <f>VLOOKUP(G197,CLIENTES!B:E,4,FALSE)</f>
        <v/>
      </c>
      <c r="AG197" s="5">
        <f>AF197*AE197</f>
        <v/>
      </c>
      <c r="AH197" s="5">
        <f>AD197*1.21</f>
        <v/>
      </c>
      <c r="AI197" s="261">
        <f>IF(AE197&lt;&gt;0,AG197/AD197,"N/A")</f>
        <v/>
      </c>
      <c r="AJ197" s="5">
        <f>IF(AC197="pendiente",AD197,0)</f>
        <v/>
      </c>
      <c r="AK197" s="1">
        <f>VLOOKUP(G197,CLIENTES!B:D,3,FALSE)</f>
        <v/>
      </c>
      <c r="AL197" s="1" t="inlineStr">
        <is>
          <t>nudos</t>
        </is>
      </c>
      <c r="AM197" s="1" t="inlineStr">
        <is>
          <t>Promoción</t>
        </is>
      </c>
    </row>
    <row r="198" ht="15" customHeight="1" s="700">
      <c r="A198" s="1">
        <f>A197+1</f>
        <v/>
      </c>
      <c r="B198" s="26" t="n">
        <v>45833</v>
      </c>
      <c r="C198" s="1" t="inlineStr">
        <is>
          <t>c/ Las Cruzadas 3A, local D</t>
        </is>
      </c>
      <c r="D198" s="1" t="inlineStr">
        <is>
          <t>Sevilla 41004</t>
        </is>
      </c>
      <c r="E198" s="1" t="inlineStr">
        <is>
          <t>CIF B91938662</t>
        </is>
      </c>
      <c r="F198" s="1" t="inlineStr">
        <is>
          <t>aBalados@abalados.es</t>
        </is>
      </c>
      <c r="G198" s="1" t="inlineStr">
        <is>
          <t>Línea Covatillas, A.I.E.</t>
        </is>
      </c>
      <c r="H198" s="1">
        <f>VLOOKUP($G198,DATOS!$B:$E,2,FALSE)</f>
        <v/>
      </c>
      <c r="I198" s="1">
        <f>VLOOKUP($G198,DATOS!$B:$E,3,FALSE)</f>
        <v/>
      </c>
      <c r="J198" s="4">
        <f>VLOOKUP($G198,DATOS!$B:$E,4,FALSE)</f>
        <v/>
      </c>
      <c r="K198" s="1" t="inlineStr">
        <is>
          <t>Contrato de Asset Management - LAAT 132kV</t>
        </is>
      </c>
      <c r="O198" s="1" t="inlineStr">
        <is>
          <t>Fee Trimestral - 01 Abril/30 Junio 2025</t>
        </is>
      </c>
      <c r="P198" s="5">
        <f>1* 2545*1.032*1.036  +  2545*1.032*1.036*(23/31)+2545*1.032*1.036*1.02*(8/31)  +  1* 2545*1.032*1.036*1.02</f>
        <v/>
      </c>
      <c r="Q198" s="1" t="inlineStr">
        <is>
          <t>Tasa actualización IPC General (Mayo 2024 - Mayo 2025): 2%</t>
        </is>
      </c>
      <c r="S198" s="1" t="inlineStr">
        <is>
          <t>Fecha actualización: 24 Mayo</t>
        </is>
      </c>
      <c r="AB198" s="6" t="inlineStr">
        <is>
          <t>ES85 2080 3509 1130 4009 6171</t>
        </is>
      </c>
      <c r="AC198" s="1" t="inlineStr">
        <is>
          <t>pagado</t>
        </is>
      </c>
      <c r="AD198" s="5">
        <f>L198+N198+P198+R198+T198+V198+X198+Z198</f>
        <v/>
      </c>
      <c r="AE198" s="5">
        <f>IF((LEFT(K198,6))="Contab",L198,0)</f>
        <v/>
      </c>
      <c r="AF198" s="6">
        <f>VLOOKUP(G198,CLIENTES!B:E,4,FALSE)</f>
        <v/>
      </c>
      <c r="AG198" s="5">
        <f>AF198*AE198</f>
        <v/>
      </c>
      <c r="AH198" s="5">
        <f>AD198*1.21</f>
        <v/>
      </c>
      <c r="AI198" s="261">
        <f>IF(AE198&lt;&gt;0,AG198/AD198,"N/A")</f>
        <v/>
      </c>
      <c r="AJ198" s="5">
        <f>IF(AC198="pendiente",AD198,0)</f>
        <v/>
      </c>
      <c r="AK198" s="1">
        <f>VLOOKUP(G198,CLIENTES!B:D,3,FALSE)</f>
        <v/>
      </c>
      <c r="AL198" s="1" t="inlineStr">
        <is>
          <t>nudos</t>
        </is>
      </c>
      <c r="AM198" s="1" t="inlineStr">
        <is>
          <t>Explotación</t>
        </is>
      </c>
    </row>
    <row r="199" ht="15" customHeight="1" s="700">
      <c r="A199" s="1">
        <f>A198+1</f>
        <v/>
      </c>
      <c r="B199" s="26" t="n">
        <v>45833</v>
      </c>
      <c r="C199" s="1" t="inlineStr">
        <is>
          <t>c/ Las Cruzadas 3A, local D</t>
        </is>
      </c>
      <c r="D199" s="1" t="inlineStr">
        <is>
          <t>Sevilla 41004</t>
        </is>
      </c>
      <c r="E199" s="1" t="inlineStr">
        <is>
          <t>CIF B91938662</t>
        </is>
      </c>
      <c r="F199" s="1" t="inlineStr">
        <is>
          <t>aBalados@abalados.es</t>
        </is>
      </c>
      <c r="G199" s="1" t="inlineStr">
        <is>
          <t>Herrera Sotillo Renovables, A.I.E.</t>
        </is>
      </c>
      <c r="H199" s="1">
        <f>VLOOKUP($G199,DATOS!$B:$E,2,FALSE)</f>
        <v/>
      </c>
      <c r="I199" s="1">
        <f>VLOOKUP($G199,DATOS!$B:$E,3,FALSE)</f>
        <v/>
      </c>
      <c r="J199" s="4">
        <f>VLOOKUP($G199,DATOS!$B:$E,4,FALSE)</f>
        <v/>
      </c>
      <c r="K199" s="1" t="inlineStr">
        <is>
          <t>Contrato de Asset Management - Subestación Sotillo</t>
        </is>
      </c>
      <c r="O199" s="1" t="inlineStr">
        <is>
          <t>Fee Trimestral - 01 Abril/30 Junio 2025</t>
        </is>
      </c>
      <c r="P199" s="5">
        <f>3* 1250*1.019*1.034</f>
        <v/>
      </c>
      <c r="Q199" s="1" t="inlineStr">
        <is>
          <t>Tasa actualización IPC General (Junio 2024 - Junio 2025) no disponible</t>
        </is>
      </c>
      <c r="AB199" s="6" t="inlineStr">
        <is>
          <t>ES85 2080 3509 1130 4009 6171</t>
        </is>
      </c>
      <c r="AC199" s="1" t="inlineStr">
        <is>
          <t>pagado</t>
        </is>
      </c>
      <c r="AD199" s="5">
        <f>L199+N199+P199+R199+T199+V199+X199+Z199</f>
        <v/>
      </c>
      <c r="AE199" s="5">
        <f>IF((LEFT(K199,6))="Contab",L199,0)</f>
        <v/>
      </c>
      <c r="AF199" s="6">
        <f>VLOOKUP(G199,CLIENTES!B:E,4,FALSE)</f>
        <v/>
      </c>
      <c r="AG199" s="5">
        <f>AF199*AE199</f>
        <v/>
      </c>
      <c r="AH199" s="5">
        <f>AD199*1.21</f>
        <v/>
      </c>
      <c r="AI199" s="261">
        <f>IF(AE199&lt;&gt;0,AG199/AD199,"N/A")</f>
        <v/>
      </c>
      <c r="AJ199" s="5">
        <f>IF(AC199="pendiente",AD199,0)</f>
        <v/>
      </c>
      <c r="AK199" s="1">
        <f>VLOOKUP(G199,CLIENTES!B:D,3,FALSE)</f>
        <v/>
      </c>
      <c r="AL199" s="1" t="inlineStr">
        <is>
          <t>nudos</t>
        </is>
      </c>
      <c r="AM199" s="1" t="inlineStr">
        <is>
          <t>Promoción</t>
        </is>
      </c>
    </row>
    <row r="200" ht="15" customHeight="1" s="700">
      <c r="A200" s="1">
        <f>A199+1</f>
        <v/>
      </c>
      <c r="B200" s="26" t="n">
        <v>45833</v>
      </c>
      <c r="C200" s="1" t="inlineStr">
        <is>
          <t>c/ Las Cruzadas 3A, local D</t>
        </is>
      </c>
      <c r="D200" s="1" t="inlineStr">
        <is>
          <t>Sevilla 41004</t>
        </is>
      </c>
      <c r="E200" s="1" t="inlineStr">
        <is>
          <t>CIF B91938662</t>
        </is>
      </c>
      <c r="F200" s="1" t="inlineStr">
        <is>
          <t>aBalados@abalados.es</t>
        </is>
      </c>
      <c r="G200" s="1" t="inlineStr">
        <is>
          <t>Cuádruple Belinchón, S.L.</t>
        </is>
      </c>
      <c r="H200" s="1">
        <f>VLOOKUP($G200,DATOS!$B:$E,2,FALSE)</f>
        <v/>
      </c>
      <c r="I200" s="1">
        <f>VLOOKUP($G200,DATOS!$B:$E,3,FALSE)</f>
        <v/>
      </c>
      <c r="J200" s="4">
        <f>VLOOKUP($G200,DATOS!$B:$E,4,FALSE)</f>
        <v/>
      </c>
      <c r="K200" s="1" t="inlineStr">
        <is>
          <t>Contrato de Asset Management - LAAT 132kV</t>
        </is>
      </c>
      <c r="O200" s="1" t="inlineStr">
        <is>
          <t>Fee Trimestral - 01 Abril/30 Junio 2025</t>
        </is>
      </c>
      <c r="P200" s="5">
        <f>3* 2675*1.032*1.024</f>
        <v/>
      </c>
      <c r="AB200" s="6" t="inlineStr">
        <is>
          <t>ES85 2080 3509 1130 4009 6171</t>
        </is>
      </c>
      <c r="AC200" s="1" t="inlineStr">
        <is>
          <t>pagado</t>
        </is>
      </c>
      <c r="AD200" s="5">
        <f>L200+N200+P200+R200+T200+V200+X200+Z200</f>
        <v/>
      </c>
      <c r="AE200" s="5">
        <f>IF((LEFT(K200,6))="Contab",L200,0)</f>
        <v/>
      </c>
      <c r="AF200" s="6">
        <f>VLOOKUP(G200,CLIENTES!B:E,4,FALSE)</f>
        <v/>
      </c>
      <c r="AG200" s="5">
        <f>AF200*AE200</f>
        <v/>
      </c>
      <c r="AH200" s="5">
        <f>AD200*1.21</f>
        <v/>
      </c>
      <c r="AI200" s="261">
        <f>IF(AE200&lt;&gt;0,AG200/AD200,"N/A")</f>
        <v/>
      </c>
      <c r="AJ200" s="5">
        <f>IF(AC200="pendiente",AD200,0)</f>
        <v/>
      </c>
      <c r="AK200" s="1">
        <f>VLOOKUP(G200,CLIENTES!B:D,3,FALSE)</f>
        <v/>
      </c>
      <c r="AL200" s="1" t="inlineStr">
        <is>
          <t>nudos</t>
        </is>
      </c>
      <c r="AM200" s="1" t="inlineStr">
        <is>
          <t>Explotación</t>
        </is>
      </c>
    </row>
    <row r="201" ht="15" customHeight="1" s="700">
      <c r="A201" s="1">
        <f>A200+1</f>
        <v/>
      </c>
      <c r="B201" s="26" t="n">
        <v>45833</v>
      </c>
      <c r="C201" s="1" t="inlineStr">
        <is>
          <t>c/ Las Cruzadas 3A, local D</t>
        </is>
      </c>
      <c r="D201" s="1" t="inlineStr">
        <is>
          <t>Sevilla 41004</t>
        </is>
      </c>
      <c r="E201" s="1" t="inlineStr">
        <is>
          <t>CIF B91938662</t>
        </is>
      </c>
      <c r="F201" s="1" t="inlineStr">
        <is>
          <t>aBalados@abalados.es</t>
        </is>
      </c>
      <c r="G201" s="1" t="inlineStr">
        <is>
          <t>Renovables Brovales 400 kV, S.L.</t>
        </is>
      </c>
      <c r="H201" s="1">
        <f>VLOOKUP($G201,DATOS!$B:$E,2,FALSE)</f>
        <v/>
      </c>
      <c r="I201" s="1">
        <f>VLOOKUP($G201,DATOS!$B:$E,3,FALSE)</f>
        <v/>
      </c>
      <c r="J201" s="4">
        <f>VLOOKUP($G201,DATOS!$B:$E,4,FALSE)</f>
        <v/>
      </c>
      <c r="K201" s="1" t="inlineStr">
        <is>
          <t>Contrato de Asset Management - Subestación BrovalesF1</t>
        </is>
      </c>
      <c r="O201" s="1" t="inlineStr">
        <is>
          <t>Fee Trimestral - 01 Abril/30 Junio 2025</t>
        </is>
      </c>
      <c r="P201" s="5">
        <f>3* 3025*1.035*1.015</f>
        <v/>
      </c>
      <c r="S201" s="5" t="n"/>
      <c r="AB201" s="6" t="inlineStr">
        <is>
          <t>ES85 2080 3509 1130 4009 6171</t>
        </is>
      </c>
      <c r="AC201" s="1" t="inlineStr">
        <is>
          <t>pagado</t>
        </is>
      </c>
      <c r="AD201" s="5">
        <f>L201+N201+P201+R201+T201+V201+X201+Z201</f>
        <v/>
      </c>
      <c r="AE201" s="5">
        <f>IF((LEFT(K201,6))="Contab",L201,0)</f>
        <v/>
      </c>
      <c r="AF201" s="6">
        <f>VLOOKUP(G201,CLIENTES!B:E,4,FALSE)</f>
        <v/>
      </c>
      <c r="AG201" s="5">
        <f>AF201*AE201</f>
        <v/>
      </c>
      <c r="AH201" s="5">
        <f>AD201*1.21</f>
        <v/>
      </c>
      <c r="AI201" s="261">
        <f>IF(AE201&lt;&gt;0,AG201/AD201,"N/A")</f>
        <v/>
      </c>
      <c r="AJ201" s="5">
        <f>IF(AC201="pendiente",AD201,0)</f>
        <v/>
      </c>
      <c r="AK201" s="1">
        <f>VLOOKUP(G201,CLIENTES!B:D,3,FALSE)</f>
        <v/>
      </c>
      <c r="AL201" s="1" t="inlineStr">
        <is>
          <t>nudos</t>
        </is>
      </c>
      <c r="AM201" s="1" t="inlineStr">
        <is>
          <t>Explotación</t>
        </is>
      </c>
    </row>
    <row r="202" ht="15" customHeight="1" s="700">
      <c r="A202" s="1">
        <f>A201+1</f>
        <v/>
      </c>
      <c r="B202" s="26" t="n">
        <v>45833</v>
      </c>
      <c r="C202" s="1" t="inlineStr">
        <is>
          <t>c/ Las Cruzadas 3A, local D</t>
        </is>
      </c>
      <c r="D202" s="1" t="inlineStr">
        <is>
          <t>Sevilla 41004</t>
        </is>
      </c>
      <c r="E202" s="1" t="inlineStr">
        <is>
          <t>CIF B91938662</t>
        </is>
      </c>
      <c r="F202" s="1" t="inlineStr">
        <is>
          <t>aBalados@abalados.es</t>
        </is>
      </c>
      <c r="G202" s="1" t="inlineStr">
        <is>
          <t>Huerta Sevilla Renovables, S.L.</t>
        </is>
      </c>
      <c r="H202" s="1">
        <f>VLOOKUP($G202,DATOS!$B:$E,2,FALSE)</f>
        <v/>
      </c>
      <c r="I202" s="1">
        <f>VLOOKUP($G202,DATOS!$B:$E,3,FALSE)</f>
        <v/>
      </c>
      <c r="J202" s="4">
        <f>VLOOKUP($G202,DATOS!$B:$E,4,FALSE)</f>
        <v/>
      </c>
      <c r="K202" s="1" t="inlineStr">
        <is>
          <t>Contrato de Asset Management - Subestación BrovalesF3</t>
        </is>
      </c>
      <c r="O202" s="1" t="inlineStr">
        <is>
          <t>Fee Trimestral - 01 Abril/30 Junio 2025</t>
        </is>
      </c>
      <c r="P202" s="5">
        <f>3* 2960*1.032*1.024</f>
        <v/>
      </c>
      <c r="Y202" s="5" t="n"/>
      <c r="AB202" s="6" t="inlineStr">
        <is>
          <t>ES85 2080 3509 1130 4009 6171</t>
        </is>
      </c>
      <c r="AC202" s="1" t="inlineStr">
        <is>
          <t>pagado</t>
        </is>
      </c>
      <c r="AD202" s="5">
        <f>L202+N202+P202+R202+T202+V202+X202+Z202</f>
        <v/>
      </c>
      <c r="AE202" s="5">
        <f>IF((LEFT(K202,6))="Contab",L202,0)</f>
        <v/>
      </c>
      <c r="AF202" s="6">
        <f>VLOOKUP(G202,CLIENTES!B:E,4,FALSE)</f>
        <v/>
      </c>
      <c r="AG202" s="5">
        <f>AF202*AE202</f>
        <v/>
      </c>
      <c r="AH202" s="5">
        <f>AD202*1.21</f>
        <v/>
      </c>
      <c r="AI202" s="261">
        <f>IF(AE202&lt;&gt;0,AG202/AD202,"N/A")</f>
        <v/>
      </c>
      <c r="AJ202" s="5">
        <f>IF(AC202="pendiente",AD202,0)</f>
        <v/>
      </c>
      <c r="AK202" s="1">
        <f>VLOOKUP(G202,CLIENTES!B:D,3,FALSE)</f>
        <v/>
      </c>
      <c r="AL202" s="1" t="inlineStr">
        <is>
          <t>nudos</t>
        </is>
      </c>
      <c r="AM202" s="1" t="inlineStr">
        <is>
          <t>Explotación</t>
        </is>
      </c>
    </row>
    <row r="203" ht="15" customHeight="1" s="700">
      <c r="A203" s="1">
        <f>A202+1</f>
        <v/>
      </c>
      <c r="B203" s="26" t="n">
        <v>45833</v>
      </c>
      <c r="C203" s="1" t="inlineStr">
        <is>
          <t>c/ Las Cruzadas 3A, local D</t>
        </is>
      </c>
      <c r="D203" s="1" t="inlineStr">
        <is>
          <t>Sevilla 41004</t>
        </is>
      </c>
      <c r="E203" s="1" t="inlineStr">
        <is>
          <t>CIF B91938662</t>
        </is>
      </c>
      <c r="F203" s="1" t="inlineStr">
        <is>
          <t>aBalados@abalados.es</t>
        </is>
      </c>
      <c r="G203" s="1" t="inlineStr">
        <is>
          <t>Belisol 132 kV, S.L.</t>
        </is>
      </c>
      <c r="H203" s="1">
        <f>VLOOKUP($G203,DATOS!$B:$E,2,FALSE)</f>
        <v/>
      </c>
      <c r="I203" s="1">
        <f>VLOOKUP($G203,DATOS!$B:$E,3,FALSE)</f>
        <v/>
      </c>
      <c r="J203" s="4">
        <f>VLOOKUP($G203,DATOS!$B:$E,4,FALSE)</f>
        <v/>
      </c>
      <c r="K203" s="1" t="inlineStr">
        <is>
          <t>Contrato de Asset Management - Subestación Belisol</t>
        </is>
      </c>
      <c r="O203" s="1" t="inlineStr">
        <is>
          <t>Fee Trimestral - 01 Abril/30 Junio 2025</t>
        </is>
      </c>
      <c r="P203" s="5">
        <f>3* 3045*1.028*1.03</f>
        <v/>
      </c>
      <c r="AB203" s="6" t="inlineStr">
        <is>
          <t>ES85 2080 3509 1130 4009 6171</t>
        </is>
      </c>
      <c r="AC203" s="1" t="inlineStr">
        <is>
          <t>pagado</t>
        </is>
      </c>
      <c r="AD203" s="5">
        <f>L203+N203+P203+R203+T203+V203+X203+Z203</f>
        <v/>
      </c>
      <c r="AE203" s="5">
        <f>IF((LEFT(K203,6))="Contab",L203,0)</f>
        <v/>
      </c>
      <c r="AF203" s="6">
        <f>VLOOKUP(G203,CLIENTES!B:E,4,FALSE)</f>
        <v/>
      </c>
      <c r="AG203" s="5">
        <f>AF203*AE203</f>
        <v/>
      </c>
      <c r="AH203" s="5">
        <f>AD203*1.21</f>
        <v/>
      </c>
      <c r="AI203" s="261">
        <f>IF(AE203&lt;&gt;0,AG203/AD203,"N/A")</f>
        <v/>
      </c>
      <c r="AJ203" s="5">
        <f>IF(AC203="pendiente",AD203,0)</f>
        <v/>
      </c>
      <c r="AK203" s="1">
        <f>VLOOKUP(G203,CLIENTES!B:D,3,FALSE)</f>
        <v/>
      </c>
      <c r="AL203" s="1" t="inlineStr">
        <is>
          <t>nudos</t>
        </is>
      </c>
      <c r="AM203" s="1" t="inlineStr">
        <is>
          <t>Explotación</t>
        </is>
      </c>
    </row>
    <row r="204" ht="15" customHeight="1" s="700">
      <c r="A204" s="1">
        <f>A203+1</f>
        <v/>
      </c>
      <c r="B204" s="26" t="n">
        <v>45833</v>
      </c>
      <c r="C204" s="1" t="inlineStr">
        <is>
          <t>c/ Las Cruzadas 3A, local D</t>
        </is>
      </c>
      <c r="D204" s="1" t="inlineStr">
        <is>
          <t>Sevilla 41004</t>
        </is>
      </c>
      <c r="E204" s="1" t="inlineStr">
        <is>
          <t>CIF B91938662</t>
        </is>
      </c>
      <c r="F204" s="1" t="inlineStr">
        <is>
          <t>aBalados@abalados.es</t>
        </is>
      </c>
      <c r="G204" s="1" t="inlineStr">
        <is>
          <t>Brazatortas 220 Renovables, S.L.</t>
        </is>
      </c>
      <c r="H204" s="1">
        <f>VLOOKUP($G204,DATOS!$B:$E,2,FALSE)</f>
        <v/>
      </c>
      <c r="I204" s="1">
        <f>VLOOKUP($G204,DATOS!$B:$E,3,FALSE)</f>
        <v/>
      </c>
      <c r="J204" s="4">
        <f>VLOOKUP($G204,DATOS!$B:$E,4,FALSE)</f>
        <v/>
      </c>
      <c r="K204" s="1" t="inlineStr">
        <is>
          <t>Contrato de Asset Management - Subestación Brazatortas220</t>
        </is>
      </c>
      <c r="O204" s="1" t="inlineStr">
        <is>
          <t>Fee Trimestral - 01 Abril/30 Junio 2025</t>
        </is>
      </c>
      <c r="P204" s="5">
        <f>3* 3015*1.031*1.028</f>
        <v/>
      </c>
      <c r="AB204" s="6" t="inlineStr">
        <is>
          <t>ES85 2080 3509 1130 4009 6171</t>
        </is>
      </c>
      <c r="AC204" s="1" t="inlineStr">
        <is>
          <t>pagado</t>
        </is>
      </c>
      <c r="AD204" s="5">
        <f>L204+N204+P204+R204+T204+V204+X204+Z204</f>
        <v/>
      </c>
      <c r="AE204" s="5">
        <f>IF((LEFT(K204,6))="Contab",L204,0)</f>
        <v/>
      </c>
      <c r="AF204" s="6">
        <f>VLOOKUP(G204,CLIENTES!B:E,4,FALSE)</f>
        <v/>
      </c>
      <c r="AG204" s="5">
        <f>AF204*AE204</f>
        <v/>
      </c>
      <c r="AH204" s="5">
        <f>AD204*1.21</f>
        <v/>
      </c>
      <c r="AI204" s="261">
        <f>IF(AE204&lt;&gt;0,AG204/AD204,"N/A")</f>
        <v/>
      </c>
      <c r="AJ204" s="5">
        <f>IF(AC204="pendiente",AD204,0)</f>
        <v/>
      </c>
      <c r="AK204" s="1">
        <f>VLOOKUP(G204,CLIENTES!B:D,3,FALSE)</f>
        <v/>
      </c>
      <c r="AL204" s="1" t="inlineStr">
        <is>
          <t>nudos</t>
        </is>
      </c>
      <c r="AM204" s="1" t="inlineStr">
        <is>
          <t>Explotación</t>
        </is>
      </c>
    </row>
    <row r="205" ht="15" customHeight="1" s="700">
      <c r="A205" s="1">
        <f>A204+1</f>
        <v/>
      </c>
      <c r="B205" s="26" t="n">
        <v>45833</v>
      </c>
      <c r="C205" s="1" t="inlineStr">
        <is>
          <t>c/ Las Cruzadas 3A, local D</t>
        </is>
      </c>
      <c r="D205" s="1" t="inlineStr">
        <is>
          <t>Sevilla 41004</t>
        </is>
      </c>
      <c r="E205" s="1" t="inlineStr">
        <is>
          <t>CIF B91938662</t>
        </is>
      </c>
      <c r="F205" s="1" t="inlineStr">
        <is>
          <t>aBalados@abalados.es</t>
        </is>
      </c>
      <c r="G205" s="1" t="inlineStr">
        <is>
          <t>Evacuación Liquesun, S.L.</t>
        </is>
      </c>
      <c r="H205" s="1">
        <f>VLOOKUP($G205,DATOS!$B:$E,2,FALSE)</f>
        <v/>
      </c>
      <c r="I205" s="1">
        <f>VLOOKUP($G205,DATOS!$B:$E,3,FALSE)</f>
        <v/>
      </c>
      <c r="J205" s="4">
        <f>VLOOKUP($G205,DATOS!$B:$E,4,FALSE)</f>
        <v/>
      </c>
      <c r="K205" s="1" t="inlineStr">
        <is>
          <t>Contrato de Asset Management - LSAT 30kV</t>
        </is>
      </c>
      <c r="O205" s="1" t="inlineStr">
        <is>
          <t>Fee Trimestral - 01 Abril/30 Junio 2025</t>
        </is>
      </c>
      <c r="P205" s="5">
        <f>3* 750*1.032*1.023</f>
        <v/>
      </c>
      <c r="Q205" s="1" t="inlineStr">
        <is>
          <t>Tasa actualización IPC General (Marzo 2024 - Marzo 2025): 2,3%</t>
        </is>
      </c>
      <c r="U205" s="1" t="inlineStr">
        <is>
          <t>Regularización IPC trimestre anterior (3Marzo-31Marzo 2025)</t>
        </is>
      </c>
      <c r="V205" s="5">
        <f>750*1.032*(29/31)*0.023</f>
        <v/>
      </c>
      <c r="AB205" s="6" t="inlineStr">
        <is>
          <t>ES85 2080 3509 1130 4009 6171</t>
        </is>
      </c>
      <c r="AC205" s="1" t="inlineStr">
        <is>
          <t>pagado</t>
        </is>
      </c>
      <c r="AD205" s="5">
        <f>L205+N205+P205+R205+T205+V205+X205+Z205</f>
        <v/>
      </c>
      <c r="AE205" s="5">
        <f>IF((LEFT(K205,6))="Contab",L205,0)</f>
        <v/>
      </c>
      <c r="AF205" s="6">
        <f>VLOOKUP(G205,CLIENTES!B:E,4,FALSE)</f>
        <v/>
      </c>
      <c r="AG205" s="5">
        <f>AF205*AE205</f>
        <v/>
      </c>
      <c r="AH205" s="5">
        <f>AD205*1.21</f>
        <v/>
      </c>
      <c r="AI205" s="261">
        <f>IF(AE205&lt;&gt;0,AG205/AD205,"N/A")</f>
        <v/>
      </c>
      <c r="AJ205" s="5">
        <f>IF(AC205="pendiente",AD205,0)</f>
        <v/>
      </c>
      <c r="AK205" s="1">
        <f>VLOOKUP(G205,CLIENTES!B:D,3,FALSE)</f>
        <v/>
      </c>
      <c r="AL205" s="1" t="inlineStr">
        <is>
          <t>nudos</t>
        </is>
      </c>
      <c r="AM205" s="1" t="inlineStr">
        <is>
          <t>Promoción</t>
        </is>
      </c>
    </row>
    <row r="206" ht="15" customHeight="1" s="700">
      <c r="A206" s="1">
        <f>A205+1</f>
        <v/>
      </c>
      <c r="B206" s="26" t="n">
        <v>45833</v>
      </c>
      <c r="C206" s="1" t="inlineStr">
        <is>
          <t>c/ Las Cruzadas 3A, local D</t>
        </is>
      </c>
      <c r="D206" s="1" t="inlineStr">
        <is>
          <t>Sevilla 41004</t>
        </is>
      </c>
      <c r="E206" s="1" t="inlineStr">
        <is>
          <t>CIF B91938662</t>
        </is>
      </c>
      <c r="F206" s="1" t="inlineStr">
        <is>
          <t>aBalados@abalados.es</t>
        </is>
      </c>
      <c r="G206" s="1" t="inlineStr">
        <is>
          <t>Colectora Carmona, S.L.</t>
        </is>
      </c>
      <c r="H206" s="1">
        <f>VLOOKUP($G206,DATOS!$B:$E,2,FALSE)</f>
        <v/>
      </c>
      <c r="I206" s="1">
        <f>VLOOKUP($G206,DATOS!$B:$E,3,FALSE)</f>
        <v/>
      </c>
      <c r="J206" s="4">
        <f>VLOOKUP($G206,DATOS!$B:$E,4,FALSE)</f>
        <v/>
      </c>
      <c r="K206" s="1" t="inlineStr">
        <is>
          <t>Contrato de Asset Management - Subestación Colectora Carmona</t>
        </is>
      </c>
      <c r="O206" s="1" t="inlineStr">
        <is>
          <t>Fee Trimestral - 01 Abril/30 Junio 2025</t>
        </is>
      </c>
      <c r="P206" s="5">
        <f>3* 2900*1.032*1.024</f>
        <v/>
      </c>
      <c r="Q206" s="1" t="inlineStr">
        <is>
          <t>Fee aplicable Explotación (2.900€/mes): Inicio en 01 Abril 2025</t>
        </is>
      </c>
      <c r="AB206" s="6" t="inlineStr">
        <is>
          <t>ES85 2080 3509 1130 4009 6171</t>
        </is>
      </c>
      <c r="AC206" s="1" t="inlineStr">
        <is>
          <t>pagado</t>
        </is>
      </c>
      <c r="AD206" s="5">
        <f>L206+N206+P206+R206+T206+V206+X206+Z206</f>
        <v/>
      </c>
      <c r="AE206" s="5">
        <f>IF((LEFT(K206,6))="Contab",L206,0)</f>
        <v/>
      </c>
      <c r="AF206" s="6">
        <f>VLOOKUP(G206,CLIENTES!B:E,4,FALSE)</f>
        <v/>
      </c>
      <c r="AG206" s="5">
        <f>AF206*AE206</f>
        <v/>
      </c>
      <c r="AH206" s="5">
        <f>AD206*1.21</f>
        <v/>
      </c>
      <c r="AI206" s="261">
        <f>IF(AE206&lt;&gt;0,AG206/AD206,"N/A")</f>
        <v/>
      </c>
      <c r="AJ206" s="5">
        <f>IF(AC206="pendiente",AD206,0)</f>
        <v/>
      </c>
      <c r="AK206" s="1">
        <f>VLOOKUP(G206,CLIENTES!B:D,3,FALSE)</f>
        <v/>
      </c>
      <c r="AL206" s="1" t="inlineStr">
        <is>
          <t>nudos</t>
        </is>
      </c>
      <c r="AM206" s="1" t="inlineStr">
        <is>
          <t>Explotación</t>
        </is>
      </c>
    </row>
    <row r="207" ht="15" customHeight="1" s="700">
      <c r="A207" s="1">
        <f>A206+1</f>
        <v/>
      </c>
      <c r="B207" s="26" t="n">
        <v>45833</v>
      </c>
      <c r="C207" s="1" t="inlineStr">
        <is>
          <t>c/ Las Cruzadas 3A, local D</t>
        </is>
      </c>
      <c r="D207" s="1" t="inlineStr">
        <is>
          <t>Sevilla 41004</t>
        </is>
      </c>
      <c r="E207" s="1" t="inlineStr">
        <is>
          <t>CIF B91938662</t>
        </is>
      </c>
      <c r="F207" s="1" t="inlineStr">
        <is>
          <t>aBalados@abalados.es</t>
        </is>
      </c>
      <c r="G207" s="1" t="inlineStr">
        <is>
          <t>Toro Renovables, S.L.</t>
        </is>
      </c>
      <c r="H207" s="1">
        <f>VLOOKUP($G207,DATOS!$B:$E,2,FALSE)</f>
        <v/>
      </c>
      <c r="I207" s="1">
        <f>VLOOKUP($G207,DATOS!$B:$E,3,FALSE)</f>
        <v/>
      </c>
      <c r="J207" s="4">
        <f>VLOOKUP($G207,DATOS!$B:$E,4,FALSE)</f>
        <v/>
      </c>
      <c r="K207" s="1" t="inlineStr">
        <is>
          <t>Contrato de Asset Management - Subestación Toro400</t>
        </is>
      </c>
      <c r="O207" s="1" t="inlineStr">
        <is>
          <t>Fee Trimestral - 01 Abril/30 Junio 2025</t>
        </is>
      </c>
      <c r="P207" s="5">
        <f>1*2800*1.036  +  2*2800*1.036*1.02</f>
        <v/>
      </c>
      <c r="Q207" s="1" t="inlineStr">
        <is>
          <t>Tasa actualización IPC General (Mayo 2024 - Mayo 2025): 2%</t>
        </is>
      </c>
      <c r="S207" s="1" t="inlineStr">
        <is>
          <t>Fecha actualización: 01 Mayo</t>
        </is>
      </c>
      <c r="AB207" s="6" t="inlineStr">
        <is>
          <t>ES85 2080 3509 1130 4009 6171</t>
        </is>
      </c>
      <c r="AC207" s="1" t="inlineStr">
        <is>
          <t>pagado</t>
        </is>
      </c>
      <c r="AD207" s="5">
        <f>L207+N207+P207+R207+T207+V207+X207+Z207</f>
        <v/>
      </c>
      <c r="AE207" s="5">
        <f>IF((LEFT(K207,6))="Contab",L207,0)</f>
        <v/>
      </c>
      <c r="AF207" s="6">
        <f>VLOOKUP(G207,CLIENTES!B:E,4,FALSE)</f>
        <v/>
      </c>
      <c r="AG207" s="5">
        <f>AF207*AE207</f>
        <v/>
      </c>
      <c r="AH207" s="5">
        <f>AD207*1.21</f>
        <v/>
      </c>
      <c r="AI207" s="261">
        <f>IF(AE207&lt;&gt;0,AG207/AD207,"N/A")</f>
        <v/>
      </c>
      <c r="AJ207" s="5">
        <f>IF(AC207="pendiente",AD207,0)</f>
        <v/>
      </c>
      <c r="AK207" s="1">
        <f>VLOOKUP(G207,CLIENTES!B:D,3,FALSE)</f>
        <v/>
      </c>
      <c r="AL207" s="1" t="inlineStr">
        <is>
          <t>nudos</t>
        </is>
      </c>
      <c r="AM207" s="1" t="inlineStr">
        <is>
          <t>Explotación</t>
        </is>
      </c>
    </row>
    <row r="208" ht="15" customHeight="1" s="700">
      <c r="A208" s="1">
        <f>A207+1</f>
        <v/>
      </c>
      <c r="B208" s="26" t="n">
        <v>45833</v>
      </c>
      <c r="C208" s="1" t="inlineStr">
        <is>
          <t>c/ Las Cruzadas 3A, local D</t>
        </is>
      </c>
      <c r="D208" s="1" t="inlineStr">
        <is>
          <t>Sevilla 41004</t>
        </is>
      </c>
      <c r="E208" s="1" t="inlineStr">
        <is>
          <t>CIF B91938662</t>
        </is>
      </c>
      <c r="F208" s="1" t="inlineStr">
        <is>
          <t>aBalados@abalados.es</t>
        </is>
      </c>
      <c r="G208" s="1" t="inlineStr">
        <is>
          <t>Renovables Brovales Segura de León 400 kV, S.L.</t>
        </is>
      </c>
      <c r="H208" s="1">
        <f>VLOOKUP($G208,DATOS!$B:$E,2,FALSE)</f>
        <v/>
      </c>
      <c r="I208" s="1">
        <f>VLOOKUP($G208,DATOS!$B:$E,3,FALSE)</f>
        <v/>
      </c>
      <c r="J208" s="4">
        <f>VLOOKUP($G208,DATOS!$B:$E,4,FALSE)</f>
        <v/>
      </c>
      <c r="K208" s="1" t="inlineStr">
        <is>
          <t>Contrato de Asset Management - Subestación BrovalesF2</t>
        </is>
      </c>
      <c r="O208" s="1" t="inlineStr">
        <is>
          <t>Fee Trimestral - 01 Abril/30 Junio 2025</t>
        </is>
      </c>
      <c r="P208" s="5">
        <f>3* 3025*1.032*1.024</f>
        <v/>
      </c>
      <c r="AB208" s="6" t="inlineStr">
        <is>
          <t>ES85 2080 3509 1130 4009 6171</t>
        </is>
      </c>
      <c r="AC208" s="1" t="inlineStr">
        <is>
          <t>pagado</t>
        </is>
      </c>
      <c r="AD208" s="5">
        <f>L208+N208+P208+R208+T208+V208+X208+Z208</f>
        <v/>
      </c>
      <c r="AE208" s="5">
        <f>IF((LEFT(K208,6))="Contab",L208,0)</f>
        <v/>
      </c>
      <c r="AF208" s="6">
        <f>VLOOKUP(G208,CLIENTES!B:E,4,FALSE)</f>
        <v/>
      </c>
      <c r="AG208" s="5">
        <f>AF208*AE208</f>
        <v/>
      </c>
      <c r="AH208" s="5">
        <f>AD208*1.21</f>
        <v/>
      </c>
      <c r="AI208" s="261">
        <f>IF(AE208&lt;&gt;0,AG208/AD208,"N/A")</f>
        <v/>
      </c>
      <c r="AJ208" s="5">
        <f>IF(AC208="pendiente",AD208,0)</f>
        <v/>
      </c>
      <c r="AK208" s="1">
        <f>VLOOKUP(G208,CLIENTES!B:D,3,FALSE)</f>
        <v/>
      </c>
      <c r="AL208" s="1" t="inlineStr">
        <is>
          <t>nudos</t>
        </is>
      </c>
      <c r="AM208" s="1" t="inlineStr">
        <is>
          <t>Explotación</t>
        </is>
      </c>
    </row>
    <row r="209" ht="15" customHeight="1" s="700">
      <c r="A209" s="1">
        <f>A208+1</f>
        <v/>
      </c>
      <c r="B209" s="26" t="n">
        <v>45833</v>
      </c>
      <c r="C209" s="1" t="inlineStr">
        <is>
          <t>c/ Las Cruzadas 3A, local D</t>
        </is>
      </c>
      <c r="D209" s="1" t="inlineStr">
        <is>
          <t>Sevilla 41004</t>
        </is>
      </c>
      <c r="E209" s="1" t="inlineStr">
        <is>
          <t>CIF B91938662</t>
        </is>
      </c>
      <c r="F209" s="1" t="inlineStr">
        <is>
          <t>aBalados@abalados.es</t>
        </is>
      </c>
      <c r="G209" s="1" t="inlineStr">
        <is>
          <t>Promotores Benejama Generación, S.L.</t>
        </is>
      </c>
      <c r="H209" s="1">
        <f>VLOOKUP($G209,DATOS!$B:$E,2,FALSE)</f>
        <v/>
      </c>
      <c r="I209" s="1">
        <f>VLOOKUP($G209,DATOS!$B:$E,3,FALSE)</f>
        <v/>
      </c>
      <c r="J209" s="4">
        <f>VLOOKUP($G209,DATOS!$B:$E,4,FALSE)</f>
        <v/>
      </c>
      <c r="K209" s="1" t="inlineStr">
        <is>
          <t>Contrato de Asset Management - Subestación Benejama Generación</t>
        </is>
      </c>
      <c r="O209" s="1" t="inlineStr">
        <is>
          <t>Fee Trimestral - 01 Abril/30 Junio 2025</t>
        </is>
      </c>
      <c r="P209" s="5">
        <f>3* 1350*1.032*1.023</f>
        <v/>
      </c>
      <c r="Q209" s="1" t="inlineStr">
        <is>
          <t>Tasa actualización IPC General (Marzo 2024 - Marzo 2025): 2,3%</t>
        </is>
      </c>
      <c r="U209" s="1" t="inlineStr">
        <is>
          <t>Regularización IPC trimestre anterior (23Marzo-31Marzo 2025)</t>
        </is>
      </c>
      <c r="V209" s="5">
        <f>1350*1.032*(9/31)*0.023</f>
        <v/>
      </c>
      <c r="AB209" s="6" t="inlineStr">
        <is>
          <t>ES85 2080 3509 1130 4009 6171</t>
        </is>
      </c>
      <c r="AC209" s="1" t="inlineStr">
        <is>
          <t>pagado</t>
        </is>
      </c>
      <c r="AD209" s="5">
        <f>L209+N209+P209+R209+T209+V209+X209+Z209</f>
        <v/>
      </c>
      <c r="AE209" s="5">
        <f>IF((LEFT(K209,6))="Contab",L209,0)</f>
        <v/>
      </c>
      <c r="AF209" s="6">
        <f>VLOOKUP(G209,CLIENTES!B:E,4,FALSE)</f>
        <v/>
      </c>
      <c r="AG209" s="5">
        <f>AF209*AE209</f>
        <v/>
      </c>
      <c r="AH209" s="5">
        <f>AD209*1.21</f>
        <v/>
      </c>
      <c r="AI209" s="261">
        <f>IF(AE209&lt;&gt;0,AG209/AD209,"N/A")</f>
        <v/>
      </c>
      <c r="AJ209" s="5">
        <f>IF(AC209="pendiente",AD209,0)</f>
        <v/>
      </c>
      <c r="AK209" s="1">
        <f>VLOOKUP(G209,CLIENTES!B:D,3,FALSE)</f>
        <v/>
      </c>
      <c r="AL209" s="1" t="inlineStr">
        <is>
          <t>nudos</t>
        </is>
      </c>
      <c r="AM209" s="1" t="inlineStr">
        <is>
          <t>Promoción</t>
        </is>
      </c>
    </row>
    <row r="210" ht="15" customHeight="1" s="700">
      <c r="A210" s="1">
        <f>A209+1</f>
        <v/>
      </c>
      <c r="B210" s="26" t="n">
        <v>45833</v>
      </c>
      <c r="C210" s="1" t="inlineStr">
        <is>
          <t>c/ Las Cruzadas 3A, local D</t>
        </is>
      </c>
      <c r="D210" s="1" t="inlineStr">
        <is>
          <t>Sevilla 41004</t>
        </is>
      </c>
      <c r="E210" s="1" t="inlineStr">
        <is>
          <t>CIF B91938662</t>
        </is>
      </c>
      <c r="F210" s="1" t="inlineStr">
        <is>
          <t>aBalados@abalados.es</t>
        </is>
      </c>
      <c r="G210" s="1" t="inlineStr">
        <is>
          <t>ICE Santa Engracia, S.L.</t>
        </is>
      </c>
      <c r="H210" s="1">
        <f>VLOOKUP($G210,DATOS!$B:$E,2,FALSE)</f>
        <v/>
      </c>
      <c r="I210" s="1">
        <f>VLOOKUP($G210,DATOS!$B:$E,3,FALSE)</f>
        <v/>
      </c>
      <c r="J210" s="4">
        <f>VLOOKUP($G210,DATOS!$B:$E,4,FALSE)</f>
        <v/>
      </c>
      <c r="K210" s="1" t="inlineStr">
        <is>
          <t>Contrato de Asset Management - Subestación Santa Engracia</t>
        </is>
      </c>
      <c r="O210" s="1" t="inlineStr">
        <is>
          <t>Fee Trimestral - 01 Abril/30 Junio 2025</t>
        </is>
      </c>
      <c r="P210" s="5">
        <f>1350*1.033*(10/30)+1350*1.033*1.022*(20/30)  +  2* 1350*1.033*1.022</f>
        <v/>
      </c>
      <c r="Q210" s="1" t="inlineStr">
        <is>
          <t>Tasa actualización IPC General (Abril 2024 - Abril 2025): 2,2%</t>
        </is>
      </c>
      <c r="S210" s="1" t="inlineStr">
        <is>
          <t>Fecha actualización: 11 Abril</t>
        </is>
      </c>
      <c r="AB210" s="6" t="inlineStr">
        <is>
          <t>ES85 2080 3509 1130 4009 6171</t>
        </is>
      </c>
      <c r="AC210" s="1" t="inlineStr">
        <is>
          <t>pagado</t>
        </is>
      </c>
      <c r="AD210" s="5">
        <f>L210+N210+P210+R210+T210+V210+X210+Z210</f>
        <v/>
      </c>
      <c r="AE210" s="5">
        <f>IF((LEFT(K210,6))="Contab",L210,0)</f>
        <v/>
      </c>
      <c r="AF210" s="6">
        <f>VLOOKUP(G210,CLIENTES!B:E,4,FALSE)</f>
        <v/>
      </c>
      <c r="AG210" s="5">
        <f>AF210*AE210</f>
        <v/>
      </c>
      <c r="AH210" s="5">
        <f>AD210*1.21</f>
        <v/>
      </c>
      <c r="AI210" s="261">
        <f>IF(AE210&lt;&gt;0,AG210/AD210,"N/A")</f>
        <v/>
      </c>
      <c r="AJ210" s="5">
        <f>IF(AC210="pendiente",AD210,0)</f>
        <v/>
      </c>
      <c r="AK210" s="1">
        <f>VLOOKUP(G210,CLIENTES!B:D,3,FALSE)</f>
        <v/>
      </c>
      <c r="AL210" s="1" t="inlineStr">
        <is>
          <t>nudos</t>
        </is>
      </c>
      <c r="AM210" s="1" t="inlineStr">
        <is>
          <t>Promoción</t>
        </is>
      </c>
    </row>
    <row r="211" ht="15" customHeight="1" s="700">
      <c r="A211" s="1">
        <f>A210+1</f>
        <v/>
      </c>
      <c r="B211" s="26" t="n">
        <v>45833</v>
      </c>
      <c r="C211" s="1" t="inlineStr">
        <is>
          <t>c/ Las Cruzadas 3A, local D</t>
        </is>
      </c>
      <c r="D211" s="1" t="inlineStr">
        <is>
          <t>Sevilla 41004</t>
        </is>
      </c>
      <c r="E211" s="1" t="inlineStr">
        <is>
          <t>CIF B91938662</t>
        </is>
      </c>
      <c r="F211" s="1" t="inlineStr">
        <is>
          <t>aBalados@abalados.es</t>
        </is>
      </c>
      <c r="G211" s="1" t="inlineStr">
        <is>
          <t>Becerril Renovables, S.L.</t>
        </is>
      </c>
      <c r="H211" s="1">
        <f>VLOOKUP($G211,DATOS!$B:$E,2,FALSE)</f>
        <v/>
      </c>
      <c r="I211" s="1">
        <f>VLOOKUP($G211,DATOS!$B:$E,3,FALSE)</f>
        <v/>
      </c>
      <c r="J211" s="4">
        <f>VLOOKUP($G211,DATOS!$B:$E,4,FALSE)</f>
        <v/>
      </c>
      <c r="K211" s="1" t="inlineStr">
        <is>
          <t>Contrato de Asset Management - Subestación Becerril</t>
        </is>
      </c>
      <c r="O211" s="1" t="inlineStr">
        <is>
          <t>Fee Trimestral - 01 Abril/30 Junio 2025</t>
        </is>
      </c>
      <c r="P211" s="5">
        <f>3* 1350*1.028*1.03</f>
        <v/>
      </c>
      <c r="AB211" s="6" t="inlineStr">
        <is>
          <t>ES85 2080 3509 1130 4009 6171</t>
        </is>
      </c>
      <c r="AC211" s="1" t="inlineStr">
        <is>
          <t>pendiente</t>
        </is>
      </c>
      <c r="AD211" s="5">
        <f>L211+N211+P211+R211+T211+V211+X211+Z211</f>
        <v/>
      </c>
      <c r="AE211" s="5">
        <f>IF((LEFT(K211,6))="Contab",L211,0)</f>
        <v/>
      </c>
      <c r="AF211" s="6">
        <f>VLOOKUP(G211,CLIENTES!B:E,4,FALSE)</f>
        <v/>
      </c>
      <c r="AG211" s="5">
        <f>AF211*AE211</f>
        <v/>
      </c>
      <c r="AH211" s="5">
        <f>AD211*1.21</f>
        <v/>
      </c>
      <c r="AI211" s="261">
        <f>IF(AE211&lt;&gt;0,AG211/AD211,"N/A")</f>
        <v/>
      </c>
      <c r="AJ211" s="5">
        <f>IF(AC211="pendiente",AD211,0)</f>
        <v/>
      </c>
      <c r="AK211" s="1">
        <f>VLOOKUP(G211,CLIENTES!B:D,3,FALSE)</f>
        <v/>
      </c>
      <c r="AL211" s="1" t="inlineStr">
        <is>
          <t>nudos</t>
        </is>
      </c>
      <c r="AM211" s="1" t="inlineStr">
        <is>
          <t>Explotación</t>
        </is>
      </c>
    </row>
    <row r="212" ht="15" customHeight="1" s="700">
      <c r="A212" s="1">
        <f>A211+1</f>
        <v/>
      </c>
      <c r="B212" s="26" t="n">
        <v>45833</v>
      </c>
      <c r="C212" s="1" t="inlineStr">
        <is>
          <t>c/ Las Cruzadas 3A, local D</t>
        </is>
      </c>
      <c r="D212" s="1" t="inlineStr">
        <is>
          <t>Sevilla 41004</t>
        </is>
      </c>
      <c r="E212" s="1" t="inlineStr">
        <is>
          <t>CIF B91938662</t>
        </is>
      </c>
      <c r="F212" s="1" t="inlineStr">
        <is>
          <t>aBalados@abalados.es</t>
        </is>
      </c>
      <c r="G212" s="1" t="inlineStr">
        <is>
          <t>Transformadora Almodóvar Renovables, S.L.</t>
        </is>
      </c>
      <c r="H212" s="1">
        <f>VLOOKUP($G212,DATOS!$B:$E,2,FALSE)</f>
        <v/>
      </c>
      <c r="I212" s="1">
        <f>VLOOKUP($G212,DATOS!$B:$E,3,FALSE)</f>
        <v/>
      </c>
      <c r="J212" s="4">
        <f>VLOOKUP($G212,DATOS!$B:$E,4,FALSE)</f>
        <v/>
      </c>
      <c r="K212" s="1" t="inlineStr">
        <is>
          <t>Contrato de Asset Management - Subestación Almodóvar</t>
        </is>
      </c>
      <c r="O212" s="1" t="inlineStr">
        <is>
          <t>Fee Trimestral - 01 Abril/30 Junio 2025</t>
        </is>
      </c>
      <c r="P212" s="5">
        <f>3* 1350*1.032*1.024</f>
        <v/>
      </c>
      <c r="AB212" s="6" t="inlineStr">
        <is>
          <t>ES85 2080 3509 1130 4009 6171</t>
        </is>
      </c>
      <c r="AC212" s="1" t="inlineStr">
        <is>
          <t>pagado</t>
        </is>
      </c>
      <c r="AD212" s="5">
        <f>L212+N212+P212+R212+T212+V212+X212+Z212</f>
        <v/>
      </c>
      <c r="AE212" s="5">
        <f>IF((LEFT(K212,6))="Contab",L212,0)</f>
        <v/>
      </c>
      <c r="AF212" s="6">
        <f>VLOOKUP(G212,CLIENTES!B:E,4,FALSE)</f>
        <v/>
      </c>
      <c r="AG212" s="5">
        <f>AF212*AE212</f>
        <v/>
      </c>
      <c r="AH212" s="5">
        <f>AD212*1.21</f>
        <v/>
      </c>
      <c r="AI212" s="261">
        <f>IF(AE212&lt;&gt;0,AG212/AD212,"N/A")</f>
        <v/>
      </c>
      <c r="AJ212" s="5">
        <f>IF(AC212="pendiente",AD212,0)</f>
        <v/>
      </c>
      <c r="AK212" s="1">
        <f>VLOOKUP(G212,CLIENTES!B:D,3,FALSE)</f>
        <v/>
      </c>
      <c r="AL212" s="1" t="inlineStr">
        <is>
          <t>nudos</t>
        </is>
      </c>
      <c r="AM212" s="1" t="inlineStr">
        <is>
          <t>Promoción</t>
        </is>
      </c>
    </row>
    <row r="213" ht="15" customHeight="1" s="700">
      <c r="A213" s="1">
        <f>A212+1</f>
        <v/>
      </c>
      <c r="B213" s="26" t="n">
        <v>45833</v>
      </c>
      <c r="C213" s="1" t="inlineStr">
        <is>
          <t>c/ Las Cruzadas 3A, local D</t>
        </is>
      </c>
      <c r="D213" s="1" t="inlineStr">
        <is>
          <t>Sevilla 41004</t>
        </is>
      </c>
      <c r="E213" s="1" t="inlineStr">
        <is>
          <t>CIF B91938662</t>
        </is>
      </c>
      <c r="F213" s="1" t="inlineStr">
        <is>
          <t>aBalados@abalados.es</t>
        </is>
      </c>
      <c r="G213" s="1" t="inlineStr">
        <is>
          <t>Teodomiro Renovables, S.L.</t>
        </is>
      </c>
      <c r="H213" s="1">
        <f>VLOOKUP($G213,DATOS!$B:$E,2,FALSE)</f>
        <v/>
      </c>
      <c r="I213" s="1">
        <f>VLOOKUP($G213,DATOS!$B:$E,3,FALSE)</f>
        <v/>
      </c>
      <c r="J213" s="4">
        <f>VLOOKUP($G213,DATOS!$B:$E,4,FALSE)</f>
        <v/>
      </c>
      <c r="K213" s="1" t="inlineStr">
        <is>
          <t>Contrato de Asset Management - Subestación Teodomiro</t>
        </is>
      </c>
      <c r="O213" s="1" t="inlineStr">
        <is>
          <t>Fee Trimestral - 01 Abril/30 Junio 2025</t>
        </is>
      </c>
      <c r="P213" s="5">
        <f>1350*1.032*1.023*(15/30) + 2950*1.032*1.023*(15/30)   +   2* 2950*1.032*1.023</f>
        <v/>
      </c>
      <c r="Q213" s="1" t="inlineStr">
        <is>
          <t>Fee aplicable PreCod (1.350€/mes): 1 Abril - 15 Abril 2025</t>
        </is>
      </c>
      <c r="S213" s="1" t="inlineStr">
        <is>
          <t>Fee aplicable Explotación (2.950€/mes): 16 Abril - 30 Junio 2025</t>
        </is>
      </c>
      <c r="U213" s="1" t="inlineStr">
        <is>
          <t>Regularización IPC trimestre anterior (1Marzo-31Marzo 2025)</t>
        </is>
      </c>
      <c r="V213" s="5">
        <f>1350*1.032*0.023</f>
        <v/>
      </c>
      <c r="AB213" s="6" t="inlineStr">
        <is>
          <t>ES85 2080 3509 1130 4009 6171</t>
        </is>
      </c>
      <c r="AC213" s="1" t="inlineStr">
        <is>
          <t>pagado</t>
        </is>
      </c>
      <c r="AD213" s="5">
        <f>L213+N213+P213+R213+T213+V213+X213+Z213</f>
        <v/>
      </c>
      <c r="AE213" s="5">
        <f>IF((LEFT(K213,6))="Contab",L213,0)</f>
        <v/>
      </c>
      <c r="AF213" s="6">
        <f>VLOOKUP(G213,CLIENTES!B:E,4,FALSE)</f>
        <v/>
      </c>
      <c r="AG213" s="5">
        <f>AF213*AE213</f>
        <v/>
      </c>
      <c r="AH213" s="5">
        <f>AD213*1.21</f>
        <v/>
      </c>
      <c r="AI213" s="261">
        <f>IF(AE213&lt;&gt;0,AG213/AD213,"N/A")</f>
        <v/>
      </c>
      <c r="AJ213" s="5">
        <f>IF(AC213="pendiente",AD213,0)</f>
        <v/>
      </c>
      <c r="AK213" s="1">
        <f>VLOOKUP(G213,CLIENTES!B:D,3,FALSE)</f>
        <v/>
      </c>
      <c r="AL213" s="1" t="inlineStr">
        <is>
          <t>nudos</t>
        </is>
      </c>
      <c r="AM213" s="1" t="inlineStr">
        <is>
          <t>Explotación</t>
        </is>
      </c>
    </row>
    <row r="214" ht="15" customHeight="1" s="700">
      <c r="A214" s="1">
        <f>A213+1</f>
        <v/>
      </c>
      <c r="B214" s="26" t="n">
        <v>45833</v>
      </c>
      <c r="C214" s="1" t="inlineStr">
        <is>
          <t>c/ Las Cruzadas 3A, local D</t>
        </is>
      </c>
      <c r="D214" s="1" t="inlineStr">
        <is>
          <t>Sevilla 41004</t>
        </is>
      </c>
      <c r="E214" s="1" t="inlineStr">
        <is>
          <t>CIF B91938662</t>
        </is>
      </c>
      <c r="F214" s="1" t="inlineStr">
        <is>
          <t>aBalados@abalados.es</t>
        </is>
      </c>
      <c r="G214" s="1" t="inlineStr">
        <is>
          <t>Nudo SE Zaratan 220 kV, S.L.</t>
        </is>
      </c>
      <c r="H214" s="1">
        <f>VLOOKUP($G214,DATOS!$B:$E,2,FALSE)</f>
        <v/>
      </c>
      <c r="I214" s="1">
        <f>VLOOKUP($G214,DATOS!$B:$E,3,FALSE)</f>
        <v/>
      </c>
      <c r="J214" s="4">
        <f>VLOOKUP($G214,DATOS!$B:$E,4,FALSE)</f>
        <v/>
      </c>
      <c r="K214" s="1" t="inlineStr">
        <is>
          <t>Contrato de Asset Management - Subestación Ciguñuela</t>
        </is>
      </c>
      <c r="O214" s="1" t="inlineStr">
        <is>
          <t>Fee Trimestral - 01 Abril/30 Junio 2025</t>
        </is>
      </c>
      <c r="P214" s="5">
        <f>3* 1350*1.034</f>
        <v/>
      </c>
      <c r="Q214" s="1" t="inlineStr">
        <is>
          <t>Tasa actualización IPC General (Junio 2024 - Junio 2025) no disponible</t>
        </is>
      </c>
      <c r="S214" s="5" t="n"/>
      <c r="AB214" s="6" t="inlineStr">
        <is>
          <t>ES85 2080 3509 1130 4009 6171</t>
        </is>
      </c>
      <c r="AC214" s="1" t="inlineStr">
        <is>
          <t>pagado</t>
        </is>
      </c>
      <c r="AD214" s="5">
        <f>L214+N214+P214+R214+T214+V214+X214+Z214</f>
        <v/>
      </c>
      <c r="AE214" s="5">
        <f>IF((LEFT(K214,6))="Contab",L214,0)</f>
        <v/>
      </c>
      <c r="AF214" s="6">
        <f>VLOOKUP(G214,CLIENTES!B:E,4,FALSE)</f>
        <v/>
      </c>
      <c r="AG214" s="5">
        <f>AF214*AE214</f>
        <v/>
      </c>
      <c r="AH214" s="5">
        <f>AD214*1.21</f>
        <v/>
      </c>
      <c r="AI214" s="261">
        <f>IF(AE214&lt;&gt;0,AG214/AD214,"N/A")</f>
        <v/>
      </c>
      <c r="AJ214" s="5">
        <f>IF(AC214="pendiente",AD214,0)</f>
        <v/>
      </c>
      <c r="AK214" s="1">
        <f>VLOOKUP(G214,CLIENTES!B:D,3,FALSE)</f>
        <v/>
      </c>
      <c r="AL214" s="1" t="inlineStr">
        <is>
          <t>nudos</t>
        </is>
      </c>
      <c r="AM214" s="1" t="inlineStr">
        <is>
          <t>Promoción</t>
        </is>
      </c>
    </row>
    <row r="215" ht="15" customHeight="1" s="700">
      <c r="A215" s="1">
        <f>A214+1</f>
        <v/>
      </c>
      <c r="B215" s="26" t="n">
        <v>45833</v>
      </c>
      <c r="C215" s="1" t="inlineStr">
        <is>
          <t>c/ Las Cruzadas 3A, local D</t>
        </is>
      </c>
      <c r="D215" s="1" t="inlineStr">
        <is>
          <t>Sevilla 41004</t>
        </is>
      </c>
      <c r="E215" s="1" t="inlineStr">
        <is>
          <t>CIF B91938662</t>
        </is>
      </c>
      <c r="F215" s="1" t="inlineStr">
        <is>
          <t>aBalados@abalados.es</t>
        </is>
      </c>
      <c r="G215" s="1" t="inlineStr">
        <is>
          <t>Las Monas Gallego, A.I.E.</t>
        </is>
      </c>
      <c r="H215" s="1">
        <f>VLOOKUP($G215,DATOS!$B:$E,2,FALSE)</f>
        <v/>
      </c>
      <c r="I215" s="1">
        <f>VLOOKUP($G215,DATOS!$B:$E,3,FALSE)</f>
        <v/>
      </c>
      <c r="J215" s="4">
        <f>VLOOKUP($G215,DATOS!$B:$E,4,FALSE)</f>
        <v/>
      </c>
      <c r="K215" s="1" t="inlineStr">
        <is>
          <t>Contrato de Asset Management - Subestación Las Monas</t>
        </is>
      </c>
      <c r="O215" s="1" t="inlineStr">
        <is>
          <t>Fee Trimestral - 01 Abril/30 Junio 2025</t>
        </is>
      </c>
      <c r="P215" s="5">
        <f>3* 1350*1.015</f>
        <v/>
      </c>
      <c r="S215" s="5" t="n"/>
      <c r="AB215" s="6" t="inlineStr">
        <is>
          <t>ES85 2080 3509 1130 4009 6171</t>
        </is>
      </c>
      <c r="AC215" s="1" t="inlineStr">
        <is>
          <t>pagado</t>
        </is>
      </c>
      <c r="AD215" s="5">
        <f>L215+N215+P215+R215+T215+V215+X215+Z215</f>
        <v/>
      </c>
      <c r="AE215" s="5">
        <f>IF((LEFT(K215,6))="Contab",L215,0)</f>
        <v/>
      </c>
      <c r="AF215" s="6">
        <f>VLOOKUP(G215,CLIENTES!B:E,4,FALSE)</f>
        <v/>
      </c>
      <c r="AG215" s="5">
        <f>AF215*AE215</f>
        <v/>
      </c>
      <c r="AH215" s="5">
        <f>AD215*1.21</f>
        <v/>
      </c>
      <c r="AI215" s="261">
        <f>IF(AE215&lt;&gt;0,AG215/AD215,"N/A")</f>
        <v/>
      </c>
      <c r="AJ215" s="5">
        <f>IF(AC215="pendiente",AD215,0)</f>
        <v/>
      </c>
      <c r="AK215" s="1">
        <f>VLOOKUP(G215,CLIENTES!B:D,3,FALSE)</f>
        <v/>
      </c>
      <c r="AL215" s="1" t="inlineStr">
        <is>
          <t>nudos</t>
        </is>
      </c>
      <c r="AM215" s="1" t="inlineStr">
        <is>
          <t>Promoción</t>
        </is>
      </c>
    </row>
    <row r="216" ht="15" customHeight="1" s="700">
      <c r="A216" s="1">
        <f>A215+1</f>
        <v/>
      </c>
      <c r="B216" s="26" t="n">
        <v>45833</v>
      </c>
      <c r="C216" s="1" t="inlineStr">
        <is>
          <t>c/ Las Cruzadas 3A, local D</t>
        </is>
      </c>
      <c r="D216" s="1" t="inlineStr">
        <is>
          <t>Sevilla 41004</t>
        </is>
      </c>
      <c r="E216" s="1" t="inlineStr">
        <is>
          <t>CIF B91938662</t>
        </is>
      </c>
      <c r="F216" s="1" t="inlineStr">
        <is>
          <t>aBalados@abalados.es</t>
        </is>
      </c>
      <c r="G216" s="1" t="inlineStr">
        <is>
          <t>Maria Renovables, S.L.</t>
        </is>
      </c>
      <c r="H216" s="1">
        <f>VLOOKUP($G216,DATOS!$B:$E,2,FALSE)</f>
        <v/>
      </c>
      <c r="I216" s="1">
        <f>VLOOKUP($G216,DATOS!$B:$E,3,FALSE)</f>
        <v/>
      </c>
      <c r="J216" s="4">
        <f>VLOOKUP($G216,DATOS!$B:$E,4,FALSE)</f>
        <v/>
      </c>
      <c r="K216" s="1" t="inlineStr">
        <is>
          <t>Contrato de Asset Management - Subestación María</t>
        </is>
      </c>
      <c r="O216" s="1" t="inlineStr">
        <is>
          <t>Fee Trimestral - 01 Abril/30 Junio 2025</t>
        </is>
      </c>
      <c r="P216" s="5">
        <f>3* 1350*1.034*1.029</f>
        <v/>
      </c>
      <c r="AB216" s="6" t="inlineStr">
        <is>
          <t>ES85 2080 3509 1130 4009 6171</t>
        </is>
      </c>
      <c r="AC216" s="1" t="inlineStr">
        <is>
          <t>pagado</t>
        </is>
      </c>
      <c r="AD216" s="5">
        <f>L216+N216+P216+R216+T216+V216+X216+Z216</f>
        <v/>
      </c>
      <c r="AE216" s="5">
        <f>IF((LEFT(K216,6))="Contab",L216,0)</f>
        <v/>
      </c>
      <c r="AF216" s="6">
        <f>VLOOKUP(G216,CLIENTES!B:E,4,FALSE)</f>
        <v/>
      </c>
      <c r="AG216" s="5">
        <f>AF216*AE216</f>
        <v/>
      </c>
      <c r="AH216" s="5">
        <f>AD216*1.21</f>
        <v/>
      </c>
      <c r="AI216" s="261">
        <f>IF(AE216&lt;&gt;0,AG216/AD216,"N/A")</f>
        <v/>
      </c>
      <c r="AJ216" s="5">
        <f>IF(AC216="pendiente",AD216,0)</f>
        <v/>
      </c>
      <c r="AK216" s="1">
        <f>VLOOKUP(G216,CLIENTES!B:D,3,FALSE)</f>
        <v/>
      </c>
      <c r="AL216" s="1" t="inlineStr">
        <is>
          <t>nudos</t>
        </is>
      </c>
      <c r="AM216" s="1" t="inlineStr">
        <is>
          <t>Promoción</t>
        </is>
      </c>
    </row>
    <row r="217" ht="15" customHeight="1" s="700">
      <c r="A217" s="1">
        <f>A216+1</f>
        <v/>
      </c>
      <c r="B217" s="26" t="n">
        <v>45833</v>
      </c>
      <c r="C217" s="1" t="inlineStr">
        <is>
          <t>c/ Las Cruzadas 3A, local D</t>
        </is>
      </c>
      <c r="D217" s="1" t="inlineStr">
        <is>
          <t>Sevilla 41004</t>
        </is>
      </c>
      <c r="E217" s="1" t="inlineStr">
        <is>
          <t>CIF B91938662</t>
        </is>
      </c>
      <c r="F217" s="1" t="inlineStr">
        <is>
          <t>aBalados@abalados.es</t>
        </is>
      </c>
      <c r="G217" s="1" t="inlineStr">
        <is>
          <t>Escatrón Promotores 400 y 220, S.L.</t>
        </is>
      </c>
      <c r="H217" s="1">
        <f>VLOOKUP($G217,DATOS!$B:$E,2,FALSE)</f>
        <v/>
      </c>
      <c r="I217" s="1">
        <f>VLOOKUP($G217,DATOS!$B:$E,3,FALSE)</f>
        <v/>
      </c>
      <c r="J217" s="4">
        <f>VLOOKUP($G217,DATOS!$B:$E,4,FALSE)</f>
        <v/>
      </c>
      <c r="K217" s="1" t="inlineStr">
        <is>
          <t>Contrato de Asset Management - Subestación Escatrón</t>
        </is>
      </c>
      <c r="O217" s="1" t="inlineStr">
        <is>
          <t>Fee Trimestral - 01 Abril/30 Junio 2025</t>
        </is>
      </c>
      <c r="P217" s="5">
        <f>3* 1350*1.032*1.023</f>
        <v/>
      </c>
      <c r="Q217" s="1" t="inlineStr">
        <is>
          <t>Tasa actualización IPC General (Marzo 2024 - Marzo 2025): 2,3%</t>
        </is>
      </c>
      <c r="U217" s="1" t="inlineStr">
        <is>
          <t>Regularización IPC trimestre anterior (23Marzo-31Marzo 2025)</t>
        </is>
      </c>
      <c r="V217" s="5">
        <f>1350*1.032*(9/31)*0.023</f>
        <v/>
      </c>
      <c r="AB217" s="6" t="inlineStr">
        <is>
          <t>ES85 2080 3509 1130 4009 6171</t>
        </is>
      </c>
      <c r="AC217" s="1" t="inlineStr">
        <is>
          <t>pagado</t>
        </is>
      </c>
      <c r="AD217" s="5">
        <f>L217+N217+P217+R217+T217+V217+X217+Z217</f>
        <v/>
      </c>
      <c r="AE217" s="5">
        <f>IF((LEFT(K217,6))="Contab",L217,0)</f>
        <v/>
      </c>
      <c r="AF217" s="6">
        <f>VLOOKUP(G217,CLIENTES!B:E,4,FALSE)</f>
        <v/>
      </c>
      <c r="AG217" s="5">
        <f>AF217*AE217</f>
        <v/>
      </c>
      <c r="AH217" s="5">
        <f>AD217*1.21</f>
        <v/>
      </c>
      <c r="AI217" s="261">
        <f>IF(AE217&lt;&gt;0,AG217/AD217,"N/A")</f>
        <v/>
      </c>
      <c r="AJ217" s="5">
        <f>IF(AC217="pendiente",AD217,0)</f>
        <v/>
      </c>
      <c r="AK217" s="1">
        <f>VLOOKUP(G217,CLIENTES!B:D,3,FALSE)</f>
        <v/>
      </c>
      <c r="AL217" s="1" t="inlineStr">
        <is>
          <t>nudos</t>
        </is>
      </c>
      <c r="AM217" s="1" t="inlineStr">
        <is>
          <t>Promoción</t>
        </is>
      </c>
    </row>
    <row r="218" ht="15" customHeight="1" s="700">
      <c r="A218" s="1">
        <f>A217+1</f>
        <v/>
      </c>
      <c r="B218" s="26" t="n">
        <v>45833</v>
      </c>
      <c r="C218" s="1" t="inlineStr">
        <is>
          <t>c/ Las Cruzadas 3A, local D</t>
        </is>
      </c>
      <c r="D218" s="1" t="inlineStr">
        <is>
          <t>Sevilla 41004</t>
        </is>
      </c>
      <c r="E218" s="1" t="inlineStr">
        <is>
          <t>CIF B91938662</t>
        </is>
      </c>
      <c r="F218" s="1" t="inlineStr">
        <is>
          <t>aBalados@abalados.es</t>
        </is>
      </c>
      <c r="G218" s="1" t="inlineStr">
        <is>
          <t>Comunidad de Bienes Grupotec Rotonda</t>
        </is>
      </c>
      <c r="H218" s="1">
        <f>VLOOKUP($G218,DATOS!$B:$E,2,FALSE)</f>
        <v/>
      </c>
      <c r="I218" s="1">
        <f>VLOOKUP($G218,DATOS!$B:$E,3,FALSE)</f>
        <v/>
      </c>
      <c r="J218" s="4">
        <f>VLOOKUP($G218,DATOS!$B:$E,4,FALSE)</f>
        <v/>
      </c>
      <c r="K218" s="1" t="inlineStr">
        <is>
          <t>Contrato de Asset Management - Subestación Almansol</t>
        </is>
      </c>
      <c r="O218" s="1" t="inlineStr">
        <is>
          <t>Fee Trimestral - 01 Abril/30 Junio 2025</t>
        </is>
      </c>
      <c r="P218" s="5">
        <f>3* 2960*1.024</f>
        <v/>
      </c>
      <c r="AB218" s="6" t="inlineStr">
        <is>
          <t>ES85 2080 3509 1130 4009 6171</t>
        </is>
      </c>
      <c r="AC218" s="1" t="inlineStr">
        <is>
          <t>pagado</t>
        </is>
      </c>
      <c r="AD218" s="5">
        <f>L218+N218+P218+R218+T218+V218+X218+Z218</f>
        <v/>
      </c>
      <c r="AE218" s="5">
        <f>IF((LEFT(K218,6))="Contab",L218,0)</f>
        <v/>
      </c>
      <c r="AF218" s="6">
        <f>VLOOKUP(G218,CLIENTES!B:E,4,FALSE)</f>
        <v/>
      </c>
      <c r="AG218" s="5">
        <f>AF218*AE218</f>
        <v/>
      </c>
      <c r="AH218" s="5">
        <f>AD218*1.21</f>
        <v/>
      </c>
      <c r="AI218" s="261">
        <f>IF(AE218&lt;&gt;0,AG218/AD218,"N/A")</f>
        <v/>
      </c>
      <c r="AJ218" s="5">
        <f>IF(AC218="pendiente",AD218,0)</f>
        <v/>
      </c>
      <c r="AK218" s="1">
        <f>VLOOKUP(G218,CLIENTES!B:D,3,FALSE)</f>
        <v/>
      </c>
      <c r="AL218" s="1" t="inlineStr">
        <is>
          <t>nudos</t>
        </is>
      </c>
      <c r="AM218" s="1" t="inlineStr">
        <is>
          <t>Explotación</t>
        </is>
      </c>
    </row>
    <row r="219" ht="15" customHeight="1" s="700">
      <c r="A219" s="1">
        <f>A218+1</f>
        <v/>
      </c>
      <c r="B219" s="26" t="n">
        <v>45833</v>
      </c>
      <c r="C219" s="1" t="inlineStr">
        <is>
          <t>c/ Las Cruzadas 3A, local D</t>
        </is>
      </c>
      <c r="D219" s="1" t="inlineStr">
        <is>
          <t>Sevilla 41004</t>
        </is>
      </c>
      <c r="E219" s="1" t="inlineStr">
        <is>
          <t>CIF B91938662</t>
        </is>
      </c>
      <c r="F219" s="1" t="inlineStr">
        <is>
          <t>aBalados@abalados.es</t>
        </is>
      </c>
      <c r="G219" s="1" t="inlineStr">
        <is>
          <t>ICE Sequero, S.L.</t>
        </is>
      </c>
      <c r="H219" s="1">
        <f>VLOOKUP($G219,DATOS!$B:$E,2,FALSE)</f>
        <v/>
      </c>
      <c r="I219" s="1">
        <f>VLOOKUP($G219,DATOS!$B:$E,3,FALSE)</f>
        <v/>
      </c>
      <c r="J219" s="4">
        <f>VLOOKUP($G219,DATOS!$B:$E,4,FALSE)</f>
        <v/>
      </c>
      <c r="K219" s="1" t="inlineStr">
        <is>
          <t>Contrato de Asset Management - Subestación Colectora Sequero</t>
        </is>
      </c>
      <c r="O219" s="1" t="inlineStr">
        <is>
          <t>Fee Trimestral - 01 Abril/30 Junio 2025</t>
        </is>
      </c>
      <c r="P219" s="5">
        <f>3* 1350*1.015</f>
        <v/>
      </c>
      <c r="S219" s="5" t="n"/>
      <c r="AB219" s="6" t="inlineStr">
        <is>
          <t>ES85 2080 3509 1130 4009 6171</t>
        </is>
      </c>
      <c r="AC219" s="1" t="inlineStr">
        <is>
          <t>pendiente</t>
        </is>
      </c>
      <c r="AD219" s="5">
        <f>L219+N219+P219+R219+T219+V219+X219+Z219</f>
        <v/>
      </c>
      <c r="AE219" s="5">
        <f>IF((LEFT(K219,6))="Contab",L219,0)</f>
        <v/>
      </c>
      <c r="AF219" s="6">
        <f>VLOOKUP(G219,CLIENTES!B:E,4,FALSE)</f>
        <v/>
      </c>
      <c r="AG219" s="5">
        <f>AF219*AE219</f>
        <v/>
      </c>
      <c r="AH219" s="5">
        <f>AD219*1.21</f>
        <v/>
      </c>
      <c r="AI219" s="261">
        <f>IF(AE219&lt;&gt;0,AG219/AD219,"N/A")</f>
        <v/>
      </c>
      <c r="AJ219" s="5">
        <f>IF(AC219="pendiente",AD219,0)</f>
        <v/>
      </c>
      <c r="AK219" s="1">
        <f>VLOOKUP(G219,CLIENTES!B:D,3,FALSE)</f>
        <v/>
      </c>
      <c r="AL219" s="1" t="inlineStr">
        <is>
          <t>nudos</t>
        </is>
      </c>
      <c r="AM219" s="1" t="inlineStr">
        <is>
          <t>Promoción</t>
        </is>
      </c>
    </row>
    <row r="220" ht="15" customHeight="1" s="700">
      <c r="A220" s="1">
        <f>A219+1</f>
        <v/>
      </c>
      <c r="B220" s="26" t="n">
        <v>45833</v>
      </c>
      <c r="C220" s="1" t="inlineStr">
        <is>
          <t>c/ Las Cruzadas 3A, local D</t>
        </is>
      </c>
      <c r="D220" s="1" t="inlineStr">
        <is>
          <t>Sevilla 41004</t>
        </is>
      </c>
      <c r="E220" s="1" t="inlineStr">
        <is>
          <t>CIF B91938662</t>
        </is>
      </c>
      <c r="F220" s="1" t="inlineStr">
        <is>
          <t>aBalados@abalados.es</t>
        </is>
      </c>
      <c r="G220" s="1" t="inlineStr">
        <is>
          <t>Renedo Renovables, S.L.</t>
        </is>
      </c>
      <c r="H220" s="1">
        <f>VLOOKUP($G220,DATOS!$B:$E,2,FALSE)</f>
        <v/>
      </c>
      <c r="I220" s="1">
        <f>VLOOKUP($G220,DATOS!$B:$E,3,FALSE)</f>
        <v/>
      </c>
      <c r="J220" s="4">
        <f>VLOOKUP($G220,DATOS!$B:$E,4,FALSE)</f>
        <v/>
      </c>
      <c r="K220" s="1" t="inlineStr">
        <is>
          <t>Contrato de Asset Management - Nudo Renedo</t>
        </is>
      </c>
      <c r="O220" s="1" t="inlineStr">
        <is>
          <t>Fee Trimestral - 01 Abril/30 Junio 2025</t>
        </is>
      </c>
      <c r="P220" s="5">
        <f>3* 2295*1.018</f>
        <v/>
      </c>
      <c r="AB220" s="6" t="inlineStr">
        <is>
          <t>ES85 2080 3509 1130 4009 6171</t>
        </is>
      </c>
      <c r="AC220" s="1" t="inlineStr">
        <is>
          <t>pendiente</t>
        </is>
      </c>
      <c r="AD220" s="5">
        <f>L220+N220+P220+R220+T220+V220+X220+Z220</f>
        <v/>
      </c>
      <c r="AE220" s="5">
        <f>IF((LEFT(K220,6))="Contab",L220,0)</f>
        <v/>
      </c>
      <c r="AF220" s="6">
        <f>VLOOKUP(G220,CLIENTES!B:E,4,FALSE)</f>
        <v/>
      </c>
      <c r="AG220" s="5">
        <f>AF220*AE220</f>
        <v/>
      </c>
      <c r="AH220" s="5">
        <f>AD220*1.21</f>
        <v/>
      </c>
      <c r="AI220" s="261">
        <f>IF(AE220&lt;&gt;0,AG220/AD220,"N/A")</f>
        <v/>
      </c>
      <c r="AJ220" s="5">
        <f>IF(AC220="pendiente",AD220,0)</f>
        <v/>
      </c>
      <c r="AK220" s="1">
        <f>VLOOKUP(G220,CLIENTES!B:D,3,FALSE)</f>
        <v/>
      </c>
      <c r="AL220" s="1" t="inlineStr">
        <is>
          <t>nudos</t>
        </is>
      </c>
      <c r="AM220" s="1" t="inlineStr">
        <is>
          <t>Promoción</t>
        </is>
      </c>
    </row>
    <row r="221" ht="15" customHeight="1" s="700">
      <c r="A221" s="1">
        <f>A220+1</f>
        <v/>
      </c>
      <c r="B221" s="26" t="n">
        <v>45833</v>
      </c>
      <c r="C221" s="1" t="inlineStr">
        <is>
          <t>c/ Las Cruzadas 3A, local D</t>
        </is>
      </c>
      <c r="D221" s="1" t="inlineStr">
        <is>
          <t>Sevilla 41004</t>
        </is>
      </c>
      <c r="E221" s="1" t="inlineStr">
        <is>
          <t>CIF B91938662</t>
        </is>
      </c>
      <c r="F221" s="1" t="inlineStr">
        <is>
          <t>aBalados@abalados.es</t>
        </is>
      </c>
      <c r="G221" s="1" t="inlineStr">
        <is>
          <t>Irina Generación 220, A.I.E.</t>
        </is>
      </c>
      <c r="H221" s="1">
        <f>VLOOKUP($G221,DATOS!$B:$E,2,FALSE)</f>
        <v/>
      </c>
      <c r="I221" s="1">
        <f>VLOOKUP($G221,DATOS!$B:$E,3,FALSE)</f>
        <v/>
      </c>
      <c r="J221" s="4">
        <f>VLOOKUP($G221,DATOS!$B:$E,4,FALSE)</f>
        <v/>
      </c>
      <c r="K221" s="1" t="inlineStr">
        <is>
          <t>Contrato de Asset Management - Subestación Irina</t>
        </is>
      </c>
      <c r="O221" s="1" t="inlineStr">
        <is>
          <t>Fee Trimestral - 01 Abril/30 Junio 2025</t>
        </is>
      </c>
      <c r="P221" s="5">
        <f>3* 2985*1.018</f>
        <v/>
      </c>
      <c r="AB221" s="6" t="inlineStr">
        <is>
          <t>ES85 2080 3509 1130 4009 6171</t>
        </is>
      </c>
      <c r="AC221" s="1" t="inlineStr">
        <is>
          <t>pagado</t>
        </is>
      </c>
      <c r="AD221" s="5">
        <f>L221+N221+P221+R221+T221+V221+X221+Z221</f>
        <v/>
      </c>
      <c r="AE221" s="5">
        <f>IF((LEFT(K221,6))="Contab",L221,0)</f>
        <v/>
      </c>
      <c r="AF221" s="6">
        <f>VLOOKUP(G221,CLIENTES!B:E,4,FALSE)</f>
        <v/>
      </c>
      <c r="AG221" s="5">
        <f>AF221*AE221</f>
        <v/>
      </c>
      <c r="AH221" s="5">
        <f>AD221*1.21</f>
        <v/>
      </c>
      <c r="AI221" s="261">
        <f>IF(AE221&lt;&gt;0,AG221/AD221,"N/A")</f>
        <v/>
      </c>
      <c r="AJ221" s="5">
        <f>IF(AC221="pendiente",AD221,0)</f>
        <v/>
      </c>
      <c r="AK221" s="1">
        <f>VLOOKUP(G221,CLIENTES!B:D,3,FALSE)</f>
        <v/>
      </c>
      <c r="AL221" s="1" t="inlineStr">
        <is>
          <t>nudos</t>
        </is>
      </c>
      <c r="AM221" s="1" t="inlineStr">
        <is>
          <t>Explotación</t>
        </is>
      </c>
    </row>
    <row r="222" ht="15" customHeight="1" s="700">
      <c r="A222" s="1">
        <f>A221+1</f>
        <v/>
      </c>
      <c r="B222" s="26" t="n">
        <v>45833</v>
      </c>
      <c r="C222" s="1" t="inlineStr">
        <is>
          <t>c/ Las Cruzadas 3A, local D</t>
        </is>
      </c>
      <c r="D222" s="1" t="inlineStr">
        <is>
          <t>Sevilla 41004</t>
        </is>
      </c>
      <c r="E222" s="1" t="inlineStr">
        <is>
          <t>CIF B91938662</t>
        </is>
      </c>
      <c r="F222" s="1" t="inlineStr">
        <is>
          <t>aBalados@abalados.es</t>
        </is>
      </c>
      <c r="G222" s="1" t="inlineStr">
        <is>
          <t>Manzasol 132 kV, S.L.</t>
        </is>
      </c>
      <c r="H222" s="1">
        <f>VLOOKUP($G222,DATOS!$B:$E,2,FALSE)</f>
        <v/>
      </c>
      <c r="I222" s="1">
        <f>VLOOKUP($G222,DATOS!$B:$E,3,FALSE)</f>
        <v/>
      </c>
      <c r="J222" s="4">
        <f>VLOOKUP($G222,DATOS!$B:$E,4,FALSE)</f>
        <v/>
      </c>
      <c r="K222" s="1" t="inlineStr">
        <is>
          <t>Contrato de Asset Management - Subestación Manzasol</t>
        </is>
      </c>
      <c r="O222" s="1" t="inlineStr">
        <is>
          <t>Fee Trimestral - 01 Abril/30 Junio 2025</t>
        </is>
      </c>
      <c r="P222" s="5">
        <f>3* 3015*1.028</f>
        <v/>
      </c>
      <c r="AB222" s="6" t="inlineStr">
        <is>
          <t>ES85 2080 3509 1130 4009 6171</t>
        </is>
      </c>
      <c r="AC222" s="1" t="inlineStr">
        <is>
          <t>pagado</t>
        </is>
      </c>
      <c r="AD222" s="5">
        <f>L222+N222+P222+R222+T222+V222+X222+Z222</f>
        <v/>
      </c>
      <c r="AE222" s="5">
        <f>IF((LEFT(K222,6))="Contab",L222,0)</f>
        <v/>
      </c>
      <c r="AF222" s="6">
        <f>VLOOKUP(G222,CLIENTES!B:E,4,FALSE)</f>
        <v/>
      </c>
      <c r="AG222" s="5">
        <f>AF222*AE222</f>
        <v/>
      </c>
      <c r="AH222" s="5">
        <f>AD222*1.21</f>
        <v/>
      </c>
      <c r="AI222" s="261">
        <f>IF(AE222&lt;&gt;0,AG222/AD222,"N/A")</f>
        <v/>
      </c>
      <c r="AJ222" s="5">
        <f>IF(AC222="pendiente",AD222,0)</f>
        <v/>
      </c>
      <c r="AK222" s="1">
        <f>VLOOKUP(G222,CLIENTES!B:D,3,FALSE)</f>
        <v/>
      </c>
      <c r="AL222" s="1" t="inlineStr">
        <is>
          <t>nudos</t>
        </is>
      </c>
      <c r="AM222" s="1" t="inlineStr">
        <is>
          <t>Explotación</t>
        </is>
      </c>
    </row>
    <row r="223" ht="15" customHeight="1" s="700">
      <c r="A223" s="1">
        <f>A222+1</f>
        <v/>
      </c>
      <c r="B223" s="26" t="n">
        <v>45833</v>
      </c>
      <c r="C223" s="1" t="inlineStr">
        <is>
          <t>c/ Las Cruzadas 3A, local D</t>
        </is>
      </c>
      <c r="D223" s="1" t="inlineStr">
        <is>
          <t>Sevilla 41004</t>
        </is>
      </c>
      <c r="E223" s="1" t="inlineStr">
        <is>
          <t>CIF B91938662</t>
        </is>
      </c>
      <c r="F223" s="1" t="inlineStr">
        <is>
          <t>aBalados@abalados.es</t>
        </is>
      </c>
      <c r="G223" s="1" t="inlineStr">
        <is>
          <t>SE Colectora Ayora Renovables, A.I.E.</t>
        </is>
      </c>
      <c r="H223" s="1">
        <f>VLOOKUP($G223,DATOS!$B:$E,2,FALSE)</f>
        <v/>
      </c>
      <c r="I223" s="1">
        <f>VLOOKUP($G223,DATOS!$B:$E,3,FALSE)</f>
        <v/>
      </c>
      <c r="J223" s="4">
        <f>VLOOKUP($G223,DATOS!$B:$E,4,FALSE)</f>
        <v/>
      </c>
      <c r="K223" s="1" t="inlineStr">
        <is>
          <t>Contrato de Asset Management - Subestación Ayora</t>
        </is>
      </c>
      <c r="O223" s="1" t="inlineStr">
        <is>
          <t>Fee Trimestral - 01 Abril/30 Junio 2025</t>
        </is>
      </c>
      <c r="P223" s="5">
        <f>3* 1350*1.018</f>
        <v/>
      </c>
      <c r="AB223" s="6" t="inlineStr">
        <is>
          <t>ES85 2080 3509 1130 4009 6171</t>
        </is>
      </c>
      <c r="AC223" s="1" t="inlineStr">
        <is>
          <t>pagado</t>
        </is>
      </c>
      <c r="AD223" s="5">
        <f>L223+N223+P223+R223+T223+V223+X223+Z223</f>
        <v/>
      </c>
      <c r="AE223" s="5">
        <f>IF((LEFT(K223,6))="Contab",L223,0)</f>
        <v/>
      </c>
      <c r="AF223" s="6">
        <f>VLOOKUP(G223,CLIENTES!B:E,4,FALSE)</f>
        <v/>
      </c>
      <c r="AG223" s="5">
        <f>AF223*AE223</f>
        <v/>
      </c>
      <c r="AH223" s="5">
        <f>AD223*1.21</f>
        <v/>
      </c>
      <c r="AI223" s="261">
        <f>IF(AE223&lt;&gt;0,AG223/AD223,"N/A")</f>
        <v/>
      </c>
      <c r="AJ223" s="5">
        <f>IF(AC223="pendiente",AD223,0)</f>
        <v/>
      </c>
      <c r="AK223" s="1">
        <f>VLOOKUP(G223,CLIENTES!B:D,3,FALSE)</f>
        <v/>
      </c>
      <c r="AL223" s="1" t="inlineStr">
        <is>
          <t>nudos</t>
        </is>
      </c>
      <c r="AM223" s="1" t="inlineStr">
        <is>
          <t>Promoción</t>
        </is>
      </c>
    </row>
    <row r="224" ht="15" customHeight="1" s="700">
      <c r="A224" s="1">
        <f>A223+1</f>
        <v/>
      </c>
      <c r="B224" s="26" t="n">
        <v>45833</v>
      </c>
      <c r="C224" s="1" t="inlineStr">
        <is>
          <t>c/ Las Cruzadas 3A, local D</t>
        </is>
      </c>
      <c r="D224" s="1" t="inlineStr">
        <is>
          <t>Sevilla 41004</t>
        </is>
      </c>
      <c r="E224" s="1" t="inlineStr">
        <is>
          <t>CIF B91938662</t>
        </is>
      </c>
      <c r="F224" s="1" t="inlineStr">
        <is>
          <t>aBalados@abalados.es</t>
        </is>
      </c>
      <c r="G224" s="1" t="inlineStr">
        <is>
          <t>Renovables Valle Solar Fotovoltaica, A.I.E.</t>
        </is>
      </c>
      <c r="H224" s="1">
        <f>VLOOKUP($G224,DATOS!$B:$E,2,FALSE)</f>
        <v/>
      </c>
      <c r="I224" s="1">
        <f>VLOOKUP($G224,DATOS!$B:$E,3,FALSE)</f>
        <v/>
      </c>
      <c r="J224" s="4">
        <f>VLOOKUP($G224,DATOS!$B:$E,4,FALSE)</f>
        <v/>
      </c>
      <c r="K224" s="1" t="inlineStr">
        <is>
          <t>Contrato de Asset Management - Subestación Valle Solar</t>
        </is>
      </c>
      <c r="O224" s="1" t="inlineStr">
        <is>
          <t>Fee Trimestral - 01 Abril/30 Junio 2025</t>
        </is>
      </c>
      <c r="P224" s="5">
        <f>3* 1350*1.018</f>
        <v/>
      </c>
      <c r="AB224" s="6" t="inlineStr">
        <is>
          <t>ES85 2080 3509 1130 4009 6171</t>
        </is>
      </c>
      <c r="AC224" s="1" t="inlineStr">
        <is>
          <t>pagado</t>
        </is>
      </c>
      <c r="AD224" s="5">
        <f>L224+N224+P224+R224+T224+V224+X224+Z224</f>
        <v/>
      </c>
      <c r="AE224" s="5">
        <f>IF((LEFT(K224,6))="Contab",L224,0)</f>
        <v/>
      </c>
      <c r="AF224" s="6">
        <f>VLOOKUP(G224,CLIENTES!B:E,4,FALSE)</f>
        <v/>
      </c>
      <c r="AG224" s="5">
        <f>AF224*AE224</f>
        <v/>
      </c>
      <c r="AH224" s="5">
        <f>AD224*1.21</f>
        <v/>
      </c>
      <c r="AI224" s="261">
        <f>IF(AE224&lt;&gt;0,AG224/AD224,"N/A")</f>
        <v/>
      </c>
      <c r="AJ224" s="5">
        <f>IF(AC224="pendiente",AD224,0)</f>
        <v/>
      </c>
      <c r="AK224" s="1">
        <f>VLOOKUP(G224,CLIENTES!B:D,3,FALSE)</f>
        <v/>
      </c>
      <c r="AL224" s="1" t="inlineStr">
        <is>
          <t>nudos</t>
        </is>
      </c>
      <c r="AM224" s="1" t="inlineStr">
        <is>
          <t>Promoción</t>
        </is>
      </c>
    </row>
    <row r="225" ht="15" customHeight="1" s="700">
      <c r="A225" s="1">
        <f>A224+1</f>
        <v/>
      </c>
      <c r="B225" s="26" t="n">
        <v>45833</v>
      </c>
      <c r="C225" s="1" t="inlineStr">
        <is>
          <t>c/ Las Cruzadas 3A, local D</t>
        </is>
      </c>
      <c r="D225" s="1" t="inlineStr">
        <is>
          <t>Sevilla 41004</t>
        </is>
      </c>
      <c r="E225" s="1" t="inlineStr">
        <is>
          <t>CIF B91938662</t>
        </is>
      </c>
      <c r="F225" s="1" t="inlineStr">
        <is>
          <t>aBalados@abalados.es</t>
        </is>
      </c>
      <c r="G225" s="1" t="inlineStr">
        <is>
          <t>San Pedro Pinatar Renovables, S.L.</t>
        </is>
      </c>
      <c r="H225" s="1">
        <f>VLOOKUP($G225,DATOS!$B:$E,2,FALSE)</f>
        <v/>
      </c>
      <c r="I225" s="1">
        <f>VLOOKUP($G225,DATOS!$B:$E,3,FALSE)</f>
        <v/>
      </c>
      <c r="J225" s="4">
        <f>VLOOKUP($G225,DATOS!$B:$E,4,FALSE)</f>
        <v/>
      </c>
      <c r="K225" s="1" t="inlineStr">
        <is>
          <t>Contrato de Asset Management - Subestación San Pedro</t>
        </is>
      </c>
      <c r="O225" s="1" t="inlineStr">
        <is>
          <t>Fee Trimestral - 01 Abril/30 Junio 2025</t>
        </is>
      </c>
      <c r="P225" s="5">
        <f>3* 1350*1.03</f>
        <v/>
      </c>
      <c r="AB225" s="6" t="inlineStr">
        <is>
          <t>ES85 2080 3509 1130 4009 6171</t>
        </is>
      </c>
      <c r="AC225" s="1" t="inlineStr">
        <is>
          <t>pagado</t>
        </is>
      </c>
      <c r="AD225" s="5">
        <f>L225+N225+P225+R225+T225+V225+X225+Z225</f>
        <v/>
      </c>
      <c r="AE225" s="5">
        <f>IF((LEFT(K225,6))="Contab",L225,0)</f>
        <v/>
      </c>
      <c r="AF225" s="6">
        <f>VLOOKUP(G225,CLIENTES!B:E,4,FALSE)</f>
        <v/>
      </c>
      <c r="AG225" s="5">
        <f>AF225*AE225</f>
        <v/>
      </c>
      <c r="AH225" s="5">
        <f>AD225*1.21</f>
        <v/>
      </c>
      <c r="AI225" s="261">
        <f>IF(AE225&lt;&gt;0,AG225/AD225,"N/A")</f>
        <v/>
      </c>
      <c r="AJ225" s="5">
        <f>IF(AC225="pendiente",AD225,0)</f>
        <v/>
      </c>
      <c r="AK225" s="1">
        <f>VLOOKUP(G225,CLIENTES!B:D,3,FALSE)</f>
        <v/>
      </c>
      <c r="AL225" s="1" t="inlineStr">
        <is>
          <t>nudos</t>
        </is>
      </c>
      <c r="AM225" s="1" t="inlineStr">
        <is>
          <t>Promoción</t>
        </is>
      </c>
    </row>
    <row r="226" ht="15" customHeight="1" s="700">
      <c r="A226" s="1">
        <f>A225+1</f>
        <v/>
      </c>
      <c r="B226" s="26" t="n">
        <v>45833</v>
      </c>
      <c r="C226" s="1" t="inlineStr">
        <is>
          <t>c/ Las Cruzadas 3A, local D</t>
        </is>
      </c>
      <c r="D226" s="1" t="inlineStr">
        <is>
          <t>Sevilla 41004</t>
        </is>
      </c>
      <c r="E226" s="1" t="inlineStr">
        <is>
          <t>CIF B91938662</t>
        </is>
      </c>
      <c r="F226" s="1" t="inlineStr">
        <is>
          <t>aBalados@abalados.es</t>
        </is>
      </c>
      <c r="G226" s="1" t="inlineStr">
        <is>
          <t>Evacuación Salteras, S.L.</t>
        </is>
      </c>
      <c r="H226" s="1">
        <f>VLOOKUP($G226,DATOS!$B:$E,2,FALSE)</f>
        <v/>
      </c>
      <c r="I226" s="1">
        <f>VLOOKUP($G226,DATOS!$B:$E,3,FALSE)</f>
        <v/>
      </c>
      <c r="J226" s="4">
        <f>VLOOKUP($G226,DATOS!$B:$E,4,FALSE)</f>
        <v/>
      </c>
      <c r="K226" s="1" t="inlineStr">
        <is>
          <t>Contrato de Asset Management - Subestación Campofrío</t>
        </is>
      </c>
      <c r="O226" s="1" t="inlineStr">
        <is>
          <t>Fee Trimestral - 01 Abril/30 Junio 2025</t>
        </is>
      </c>
      <c r="P226" s="5">
        <f>3* 2825*1.03</f>
        <v/>
      </c>
      <c r="V226" s="1" t="n"/>
      <c r="X226" s="1" t="n"/>
      <c r="AB226" s="6" t="inlineStr">
        <is>
          <t>ES85 2080 3509 1130 4009 6171</t>
        </is>
      </c>
      <c r="AC226" s="1" t="inlineStr">
        <is>
          <t>pagado</t>
        </is>
      </c>
      <c r="AD226" s="5">
        <f>L226+N226+P226+R226+T226+V226+X226+Z226</f>
        <v/>
      </c>
      <c r="AE226" s="5">
        <f>IF((LEFT(K226,6))="Contab",L226,0)</f>
        <v/>
      </c>
      <c r="AF226" s="6">
        <f>VLOOKUP(G226,CLIENTES!B:E,4,FALSE)</f>
        <v/>
      </c>
      <c r="AG226" s="5">
        <f>AF226*AE226</f>
        <v/>
      </c>
      <c r="AH226" s="5">
        <f>AD226*1.21</f>
        <v/>
      </c>
      <c r="AI226" s="261">
        <f>IF(AE226&lt;&gt;0,AG226/AD226,"N/A")</f>
        <v/>
      </c>
      <c r="AJ226" s="5">
        <f>IF(AC226="pendiente",AD226,0)</f>
        <v/>
      </c>
      <c r="AK226" s="1">
        <f>VLOOKUP(G226,CLIENTES!B:D,3,FALSE)</f>
        <v/>
      </c>
      <c r="AL226" s="1" t="inlineStr">
        <is>
          <t>nudos</t>
        </is>
      </c>
      <c r="AM226" s="1" t="inlineStr">
        <is>
          <t>Explotación</t>
        </is>
      </c>
    </row>
    <row r="227" ht="15" customHeight="1" s="700">
      <c r="A227" s="1">
        <f>A226+1</f>
        <v/>
      </c>
      <c r="B227" s="26" t="n">
        <v>45833</v>
      </c>
      <c r="C227" s="1" t="inlineStr">
        <is>
          <t>c/ Las Cruzadas 3A, local D</t>
        </is>
      </c>
      <c r="D227" s="1" t="inlineStr">
        <is>
          <t>Sevilla 41004</t>
        </is>
      </c>
      <c r="E227" s="1" t="inlineStr">
        <is>
          <t>CIF B91938662</t>
        </is>
      </c>
      <c r="F227" s="1" t="inlineStr">
        <is>
          <t>aBalados@abalados.es</t>
        </is>
      </c>
      <c r="G227" s="1" t="inlineStr">
        <is>
          <t>Tordesillas T2Prima 132kV, S.L.</t>
        </is>
      </c>
      <c r="H227" s="1">
        <f>VLOOKUP($G227,DATOS!$B:$E,2,FALSE)</f>
        <v/>
      </c>
      <c r="I227" s="1">
        <f>VLOOKUP($G227,DATOS!$B:$E,3,FALSE)</f>
        <v/>
      </c>
      <c r="J227" s="4">
        <f>VLOOKUP($G227,DATOS!$B:$E,4,FALSE)</f>
        <v/>
      </c>
      <c r="K227" s="1" t="inlineStr">
        <is>
          <t>Contrato de Asset Management - Subestación T2Prima</t>
        </is>
      </c>
      <c r="O227" s="1" t="inlineStr">
        <is>
          <t>Fee Trimestral - 01 Abril/30 Junio 2025</t>
        </is>
      </c>
      <c r="P227" s="5">
        <f>3* 1350*1.03</f>
        <v/>
      </c>
      <c r="AB227" s="6" t="inlineStr">
        <is>
          <t>ES85 2080 3509 1130 4009 6171</t>
        </is>
      </c>
      <c r="AC227" s="1" t="inlineStr">
        <is>
          <t>pagado</t>
        </is>
      </c>
      <c r="AD227" s="5">
        <f>L227+N227+P227+R227+T227+V227+X227+Z227</f>
        <v/>
      </c>
      <c r="AE227" s="5">
        <f>IF((LEFT(K227,6))="Contab",L227,0)</f>
        <v/>
      </c>
      <c r="AF227" s="6">
        <f>VLOOKUP(G227,CLIENTES!B:E,4,FALSE)</f>
        <v/>
      </c>
      <c r="AG227" s="5">
        <f>AF227*AE227</f>
        <v/>
      </c>
      <c r="AH227" s="5">
        <f>AD227*1.21</f>
        <v/>
      </c>
      <c r="AI227" s="261">
        <f>IF(AE227&lt;&gt;0,AG227/AD227,"N/A")</f>
        <v/>
      </c>
      <c r="AJ227" s="5">
        <f>IF(AC227="pendiente",AD227,0)</f>
        <v/>
      </c>
      <c r="AK227" s="1">
        <f>VLOOKUP(G227,CLIENTES!B:D,3,FALSE)</f>
        <v/>
      </c>
      <c r="AL227" s="1" t="inlineStr">
        <is>
          <t>nudos</t>
        </is>
      </c>
      <c r="AM227" s="1" t="inlineStr">
        <is>
          <t>Promoción</t>
        </is>
      </c>
    </row>
    <row r="228" ht="15" customHeight="1" s="700">
      <c r="A228" s="1">
        <f>A227+1</f>
        <v/>
      </c>
      <c r="B228" s="26" t="n">
        <v>45833</v>
      </c>
      <c r="C228" s="1" t="inlineStr">
        <is>
          <t>c/ Las Cruzadas 3A, local D</t>
        </is>
      </c>
      <c r="D228" s="1" t="inlineStr">
        <is>
          <t>Sevilla 41004</t>
        </is>
      </c>
      <c r="E228" s="1" t="inlineStr">
        <is>
          <t>CIF B91938662</t>
        </is>
      </c>
      <c r="F228" s="1" t="inlineStr">
        <is>
          <t>aBalados@abalados.es</t>
        </is>
      </c>
      <c r="G228" s="1" t="inlineStr">
        <is>
          <t>Energías Renovables El Canto, S.L.</t>
        </is>
      </c>
      <c r="H228" s="1">
        <f>VLOOKUP($G228,DATOS!$B:$E,2,FALSE)</f>
        <v/>
      </c>
      <c r="I228" s="1">
        <f>VLOOKUP($G228,DATOS!$B:$E,3,FALSE)</f>
        <v/>
      </c>
      <c r="J228" s="4">
        <f>VLOOKUP($G228,DATOS!$B:$E,4,FALSE)</f>
        <v/>
      </c>
      <c r="K228" s="1" t="inlineStr">
        <is>
          <t>Contrato de Asset Management - Subestación El Canto</t>
        </is>
      </c>
      <c r="O228" s="1" t="inlineStr">
        <is>
          <t>Fee Trimestral - 01 Abril/30 Junio 2025</t>
        </is>
      </c>
      <c r="P228" s="5">
        <f>3* 1350</f>
        <v/>
      </c>
      <c r="AB228" s="6" t="inlineStr">
        <is>
          <t>ES85 2080 3509 1130 4009 6171</t>
        </is>
      </c>
      <c r="AC228" s="1" t="inlineStr">
        <is>
          <t>pagado</t>
        </is>
      </c>
      <c r="AD228" s="5">
        <f>L228+N228+P228+R228+T228+V228+X228+Z228</f>
        <v/>
      </c>
      <c r="AE228" s="5">
        <f>IF((LEFT(K228,6))="Contab",L228,0)</f>
        <v/>
      </c>
      <c r="AF228" s="6">
        <f>VLOOKUP(G228,CLIENTES!B:E,4,FALSE)</f>
        <v/>
      </c>
      <c r="AG228" s="5">
        <f>AF228*AE228</f>
        <v/>
      </c>
      <c r="AH228" s="5">
        <f>AD228*1.21</f>
        <v/>
      </c>
      <c r="AI228" s="261">
        <f>IF(AE228&lt;&gt;0,AG228/AD228,"N/A")</f>
        <v/>
      </c>
      <c r="AJ228" s="5">
        <f>IF(AC228="pendiente",AD228,0)</f>
        <v/>
      </c>
      <c r="AK228" s="1">
        <f>VLOOKUP(G228,CLIENTES!B:D,3,FALSE)</f>
        <v/>
      </c>
      <c r="AL228" s="1" t="inlineStr">
        <is>
          <t>nudos</t>
        </is>
      </c>
      <c r="AM228" s="1" t="inlineStr">
        <is>
          <t>Promoción</t>
        </is>
      </c>
    </row>
    <row r="229" ht="15" customHeight="1" s="700">
      <c r="A229" s="1">
        <f>A228+1</f>
        <v/>
      </c>
      <c r="B229" s="26" t="n">
        <v>45833</v>
      </c>
      <c r="C229" s="1" t="inlineStr">
        <is>
          <t>c/ Las Cruzadas 3A, local D</t>
        </is>
      </c>
      <c r="D229" s="1" t="inlineStr">
        <is>
          <t>Sevilla 41004</t>
        </is>
      </c>
      <c r="E229" s="1" t="inlineStr">
        <is>
          <t>CIF B91938662</t>
        </is>
      </c>
      <c r="F229" s="1" t="inlineStr">
        <is>
          <t>aBalados@abalados.es</t>
        </is>
      </c>
      <c r="G229" s="1" t="inlineStr">
        <is>
          <t>ICE Andújar, S.L.</t>
        </is>
      </c>
      <c r="H229" s="1">
        <f>VLOOKUP($G229,DATOS!$B:$E,2,FALSE)</f>
        <v/>
      </c>
      <c r="I229" s="1">
        <f>VLOOKUP($G229,DATOS!$B:$E,3,FALSE)</f>
        <v/>
      </c>
      <c r="J229" s="4">
        <f>VLOOKUP($G229,DATOS!$B:$E,4,FALSE)</f>
        <v/>
      </c>
      <c r="K229" s="1" t="inlineStr">
        <is>
          <t>Contrato de Asset Management - Subestación Andújar</t>
        </is>
      </c>
      <c r="O229" s="1" t="inlineStr">
        <is>
          <t>Fee Trimestral - 01 Abril/30 Junio 2025</t>
        </is>
      </c>
      <c r="P229" s="5">
        <f>3* 1350</f>
        <v/>
      </c>
      <c r="AB229" s="6" t="inlineStr">
        <is>
          <t>ES85 2080 3509 1130 4009 6171</t>
        </is>
      </c>
      <c r="AC229" s="1" t="inlineStr">
        <is>
          <t>pendiente</t>
        </is>
      </c>
      <c r="AD229" s="5">
        <f>L229+N229+P229+R229+T229+V229+X229+Z229</f>
        <v/>
      </c>
      <c r="AE229" s="5">
        <f>IF((LEFT(K229,6))="Contab",L229,0)</f>
        <v/>
      </c>
      <c r="AF229" s="6">
        <f>VLOOKUP(G229,CLIENTES!B:E,4,FALSE)</f>
        <v/>
      </c>
      <c r="AG229" s="5">
        <f>AF229*AE229</f>
        <v/>
      </c>
      <c r="AH229" s="5">
        <f>AD229*1.21</f>
        <v/>
      </c>
      <c r="AI229" s="261">
        <f>IF(AE229&lt;&gt;0,AG229/AD229,"N/A")</f>
        <v/>
      </c>
      <c r="AJ229" s="5">
        <f>IF(AC229="pendiente",AD229,0)</f>
        <v/>
      </c>
      <c r="AK229" s="1">
        <f>VLOOKUP(G229,CLIENTES!B:D,3,FALSE)</f>
        <v/>
      </c>
      <c r="AL229" s="1" t="inlineStr">
        <is>
          <t>nudos</t>
        </is>
      </c>
      <c r="AM229" s="1" t="inlineStr">
        <is>
          <t>Promoción</t>
        </is>
      </c>
    </row>
    <row r="230" ht="15" customHeight="1" s="700">
      <c r="A230" s="1">
        <f>A229+1</f>
        <v/>
      </c>
      <c r="B230" s="26" t="n">
        <v>45833</v>
      </c>
      <c r="C230" s="1" t="inlineStr">
        <is>
          <t>c/ Las Cruzadas 3A, local D</t>
        </is>
      </c>
      <c r="D230" s="1" t="inlineStr">
        <is>
          <t>Sevilla 41004</t>
        </is>
      </c>
      <c r="E230" s="1" t="inlineStr">
        <is>
          <t>CIF B91938662</t>
        </is>
      </c>
      <c r="F230" s="1" t="inlineStr">
        <is>
          <t>aBalados@abalados.es</t>
        </is>
      </c>
      <c r="G230" s="1" t="inlineStr">
        <is>
          <t>Promotores Albatarrec 220 kV, S.L.</t>
        </is>
      </c>
      <c r="H230" s="1">
        <f>VLOOKUP($G230,DATOS!$B:$E,2,FALSE)</f>
        <v/>
      </c>
      <c r="I230" s="1">
        <f>VLOOKUP($G230,DATOS!$B:$E,3,FALSE)</f>
        <v/>
      </c>
      <c r="J230" s="4">
        <f>VLOOKUP($G230,DATOS!$B:$E,4,FALSE)</f>
        <v/>
      </c>
      <c r="K230" s="1" t="inlineStr">
        <is>
          <t>Contrato de Asset Management - Subestación Seros</t>
        </is>
      </c>
      <c r="O230" s="1" t="inlineStr">
        <is>
          <t>Fee Trimestral - 01 Abril/30 Junio 2025</t>
        </is>
      </c>
      <c r="P230" s="5">
        <f>3* 1350</f>
        <v/>
      </c>
      <c r="AB230" s="6" t="inlineStr">
        <is>
          <t>ES85 2080 3509 1130 4009 6171</t>
        </is>
      </c>
      <c r="AC230" s="1" t="inlineStr">
        <is>
          <t>pagado</t>
        </is>
      </c>
      <c r="AD230" s="5">
        <f>L230+N230+P230+R230+T230+V230+X230+Z230</f>
        <v/>
      </c>
      <c r="AE230" s="5">
        <f>IF((LEFT(K230,6))="Contab",L230,0)</f>
        <v/>
      </c>
      <c r="AF230" s="6">
        <f>VLOOKUP(G230,CLIENTES!B:E,4,FALSE)</f>
        <v/>
      </c>
      <c r="AG230" s="5">
        <f>AF230*AE230</f>
        <v/>
      </c>
      <c r="AH230" s="5">
        <f>AD230*1.21</f>
        <v/>
      </c>
      <c r="AI230" s="261">
        <f>IF(AE230&lt;&gt;0,AG230/AD230,"N/A")</f>
        <v/>
      </c>
      <c r="AJ230" s="5">
        <f>IF(AC230="pendiente",AD230,0)</f>
        <v/>
      </c>
      <c r="AK230" s="1">
        <f>VLOOKUP(G230,CLIENTES!B:D,3,FALSE)</f>
        <v/>
      </c>
      <c r="AL230" s="1" t="inlineStr">
        <is>
          <t>nudos</t>
        </is>
      </c>
      <c r="AM230" s="1" t="inlineStr">
        <is>
          <t>Promoción</t>
        </is>
      </c>
    </row>
    <row r="231" ht="15" customFormat="1" customHeight="1" s="569" thickBot="1">
      <c r="A231" s="569">
        <f>A230+1</f>
        <v/>
      </c>
      <c r="B231" s="570" t="n">
        <v>45833</v>
      </c>
      <c r="C231" s="569" t="inlineStr">
        <is>
          <t>c/ Las Cruzadas 3A, local D</t>
        </is>
      </c>
      <c r="D231" s="569" t="inlineStr">
        <is>
          <t>Sevilla 41004</t>
        </is>
      </c>
      <c r="E231" s="569" t="inlineStr">
        <is>
          <t>CIF B91938662</t>
        </is>
      </c>
      <c r="F231" s="569" t="inlineStr">
        <is>
          <t>aBalados@abalados.es</t>
        </is>
      </c>
      <c r="G231" s="569" t="inlineStr">
        <is>
          <t>Pujalt Infras Privativas Ignis Forestalia, S.L.</t>
        </is>
      </c>
      <c r="H231" s="569">
        <f>VLOOKUP($G231,DATOS!$B:$E,2,FALSE)</f>
        <v/>
      </c>
      <c r="I231" s="569">
        <f>VLOOKUP($G231,DATOS!$B:$E,3,FALSE)</f>
        <v/>
      </c>
      <c r="J231" s="571">
        <f>VLOOKUP($G231,DATOS!$B:$E,4,FALSE)</f>
        <v/>
      </c>
      <c r="K231" s="569" t="inlineStr">
        <is>
          <t>Contrato de Asset Management - Ampliación SET Pujalt</t>
        </is>
      </c>
      <c r="L231" s="572" t="n"/>
      <c r="N231" s="572" t="n"/>
      <c r="O231" s="569" t="inlineStr">
        <is>
          <t>Fee Trimestral - 01 Abril/30 Junio 2025</t>
        </is>
      </c>
      <c r="P231" s="572">
        <f>1350*(16/31) + 2* 1350</f>
        <v/>
      </c>
      <c r="R231" s="572" t="n"/>
      <c r="T231" s="572" t="n"/>
      <c r="V231" s="572" t="n"/>
      <c r="X231" s="572" t="n"/>
      <c r="Z231" s="572" t="n"/>
      <c r="AA231" s="572" t="n"/>
      <c r="AB231" s="573" t="inlineStr">
        <is>
          <t>ES85 2080 3509 1130 4009 6171</t>
        </is>
      </c>
      <c r="AC231" s="569" t="inlineStr">
        <is>
          <t>pagado</t>
        </is>
      </c>
      <c r="AD231" s="572">
        <f>L231+N231+P231+R231+T231+V231+X231+Z231</f>
        <v/>
      </c>
      <c r="AE231" s="572">
        <f>IF((LEFT(K231,6))="Contab",L231,0)</f>
        <v/>
      </c>
      <c r="AF231" s="573">
        <f>VLOOKUP(G231,CLIENTES!B:E,4,FALSE)</f>
        <v/>
      </c>
      <c r="AG231" s="572">
        <f>AF231*AE231</f>
        <v/>
      </c>
      <c r="AH231" s="572">
        <f>AD231*1.21</f>
        <v/>
      </c>
      <c r="AI231" s="574">
        <f>IF(AE231&lt;&gt;0,AG231/AD231,"N/A")</f>
        <v/>
      </c>
      <c r="AJ231" s="572">
        <f>IF(AC231="pendiente",AD231,0)</f>
        <v/>
      </c>
      <c r="AK231" s="569">
        <f>VLOOKUP(G231,CLIENTES!B:D,3,FALSE)</f>
        <v/>
      </c>
      <c r="AL231" s="569" t="inlineStr">
        <is>
          <t>nudos</t>
        </is>
      </c>
      <c r="AM231" s="569" t="inlineStr">
        <is>
          <t>Promoción</t>
        </is>
      </c>
    </row>
    <row r="232" ht="15" customFormat="1" customHeight="1" s="522">
      <c r="A232" s="522">
        <f>A231+1</f>
        <v/>
      </c>
      <c r="B232" s="521" t="n">
        <v>45833</v>
      </c>
      <c r="C232" s="522" t="inlineStr">
        <is>
          <t>c/ Las Cruzadas 3A, local D</t>
        </is>
      </c>
      <c r="D232" s="522" t="inlineStr">
        <is>
          <t>Sevilla 41004</t>
        </is>
      </c>
      <c r="E232" s="522" t="inlineStr">
        <is>
          <t>CIF B91938662</t>
        </is>
      </c>
      <c r="F232" s="522" t="inlineStr">
        <is>
          <t>aBalados@abalados.es</t>
        </is>
      </c>
      <c r="G232" s="522" t="inlineStr">
        <is>
          <t>Sun Tol I, S.L.U.</t>
        </is>
      </c>
      <c r="H232" s="522">
        <f>VLOOKUP($G232,DATOS!$B:$E,2,FALSE)</f>
        <v/>
      </c>
      <c r="I232" s="522">
        <f>VLOOKUP($G232,DATOS!$B:$E,3,FALSE)</f>
        <v/>
      </c>
      <c r="J232" s="523">
        <f>VLOOKUP($G232,DATOS!$B:$E,4,FALSE)</f>
        <v/>
      </c>
      <c r="K232" s="522" t="inlineStr">
        <is>
          <t>Legal Services</t>
        </is>
      </c>
      <c r="L232" s="524" t="n"/>
      <c r="M232" s="522" t="inlineStr">
        <is>
          <t>II addendum to PV solar plant development services agreement</t>
        </is>
      </c>
      <c r="N232" s="524" t="n"/>
      <c r="P232" s="524" t="n"/>
      <c r="Q232" s="522" t="inlineStr">
        <is>
          <t>Quarterly fee - April 22nd 2024 / June 22nd 2025</t>
        </is>
      </c>
      <c r="R232" s="524">
        <f>3040*3</f>
        <v/>
      </c>
      <c r="T232" s="524" t="n"/>
      <c r="V232" s="524" t="n"/>
      <c r="X232" s="524" t="n"/>
      <c r="Z232" s="524" t="n"/>
      <c r="AA232" s="524" t="n"/>
      <c r="AB232" s="525" t="inlineStr">
        <is>
          <t>ES85 2080 3509 1130 4009 6171</t>
        </is>
      </c>
      <c r="AC232" s="522" t="inlineStr">
        <is>
          <t>pagado</t>
        </is>
      </c>
      <c r="AD232" s="524">
        <f>L232+N232+P232+R232+T232+V232+X232+Z232</f>
        <v/>
      </c>
      <c r="AE232" s="524">
        <f>IF((LEFT(K232,6))="Contab",L232,0)</f>
        <v/>
      </c>
      <c r="AF232" s="525">
        <f>VLOOKUP(G232,CLIENTES!B:E,4,FALSE)</f>
        <v/>
      </c>
      <c r="AG232" s="524">
        <f>AF232*AE232</f>
        <v/>
      </c>
      <c r="AH232" s="524">
        <f>AD232*1.21</f>
        <v/>
      </c>
      <c r="AI232" s="526">
        <f>IF(AE232&lt;&gt;0,AG232/AD232,"N/A")</f>
        <v/>
      </c>
      <c r="AJ232" s="524">
        <f>IF(AC232="pendiente",AD232,0)</f>
        <v/>
      </c>
      <c r="AK232" s="522">
        <f>VLOOKUP(G232,CLIENTES!B:D,3,FALSE)</f>
        <v/>
      </c>
      <c r="AL232" s="522" t="inlineStr">
        <is>
          <t>nudos</t>
        </is>
      </c>
      <c r="AM232" s="522" t="inlineStr">
        <is>
          <t>Legal</t>
        </is>
      </c>
    </row>
    <row r="233" ht="15" customHeight="1" s="700">
      <c r="A233" s="1">
        <f>A232+1</f>
        <v/>
      </c>
      <c r="B233" s="26" t="n">
        <v>45833</v>
      </c>
      <c r="C233" s="1" t="inlineStr">
        <is>
          <t>c/ Las Cruzadas 3A, local D</t>
        </is>
      </c>
      <c r="D233" s="1" t="inlineStr">
        <is>
          <t>Sevilla 41004</t>
        </is>
      </c>
      <c r="E233" s="1" t="inlineStr">
        <is>
          <t>CIF B91938662</t>
        </is>
      </c>
      <c r="F233" s="1" t="inlineStr">
        <is>
          <t>aBalados@abalados.es</t>
        </is>
      </c>
      <c r="G233" s="1" t="inlineStr">
        <is>
          <t>VALCASADO SOLAR, S.L.U.</t>
        </is>
      </c>
      <c r="H233" s="1">
        <f>VLOOKUP($G233,DATOS!$B:$E,2,FALSE)</f>
        <v/>
      </c>
      <c r="I233" s="1">
        <f>VLOOKUP($G233,DATOS!$B:$E,3,FALSE)</f>
        <v/>
      </c>
      <c r="J233" s="4">
        <f>VLOOKUP($G233,DATOS!$B:$E,4,FALSE)</f>
        <v/>
      </c>
      <c r="K233" s="1" t="inlineStr">
        <is>
          <t>Contrato de Asset Management - PSFV Valcasado</t>
        </is>
      </c>
      <c r="O233" s="1" t="inlineStr">
        <is>
          <t>Fee Trimestral - 01 Abril/30 Junio 2025</t>
        </is>
      </c>
      <c r="P233" s="5">
        <f>3*(28320/12)</f>
        <v/>
      </c>
      <c r="AB233" s="6" t="inlineStr">
        <is>
          <t>ES85 2080 3509 1130 4009 6171</t>
        </is>
      </c>
      <c r="AC233" s="1" t="inlineStr">
        <is>
          <t>pagado</t>
        </is>
      </c>
      <c r="AD233" s="5">
        <f>L233+N233+P233+R233+T233+V233+X233+Z233</f>
        <v/>
      </c>
      <c r="AE233" s="5">
        <f>IF((LEFT(K233,6))="Contab",L233,0)</f>
        <v/>
      </c>
      <c r="AF233" s="6">
        <f>VLOOKUP(G233,CLIENTES!B:E,4,FALSE)</f>
        <v/>
      </c>
      <c r="AG233" s="5">
        <f>AF233*AE233</f>
        <v/>
      </c>
      <c r="AH233" s="5">
        <f>AD233*1.21</f>
        <v/>
      </c>
      <c r="AI233" s="261">
        <f>IF(AE233&lt;&gt;0,AG233/AD233,"N/A")</f>
        <v/>
      </c>
      <c r="AJ233" s="5">
        <f>IF(AC233="pendiente",AD233,0)</f>
        <v/>
      </c>
      <c r="AK233" s="1">
        <f>VLOOKUP(G233,CLIENTES!B:D,3,FALSE)</f>
        <v/>
      </c>
      <c r="AL233" s="1" t="inlineStr">
        <is>
          <t>Asset</t>
        </is>
      </c>
      <c r="AM233" s="1" t="inlineStr">
        <is>
          <t>Explotación</t>
        </is>
      </c>
    </row>
    <row r="234" ht="15" customFormat="1" customHeight="1" s="527" thickBot="1">
      <c r="A234" s="527">
        <f>A233+1</f>
        <v/>
      </c>
      <c r="B234" s="529" t="n">
        <v>45833</v>
      </c>
      <c r="C234" s="527" t="inlineStr">
        <is>
          <t>c/ Las Cruzadas 3A, local D</t>
        </is>
      </c>
      <c r="D234" s="527" t="inlineStr">
        <is>
          <t>Sevilla 41004</t>
        </is>
      </c>
      <c r="E234" s="527" t="inlineStr">
        <is>
          <t>CIF B91938662</t>
        </is>
      </c>
      <c r="F234" s="527" t="inlineStr">
        <is>
          <t>aBalados@abalados.es</t>
        </is>
      </c>
      <c r="G234" s="527" t="inlineStr">
        <is>
          <t>Asociación Molinos de Guadaíra</t>
        </is>
      </c>
      <c r="H234" s="527">
        <f>VLOOKUP($G234,DATOS!$B:$E,2,FALSE)</f>
        <v/>
      </c>
      <c r="I234" s="527">
        <f>VLOOKUP($G234,DATOS!$B:$E,3,FALSE)</f>
        <v/>
      </c>
      <c r="J234" s="530">
        <f>VLOOKUP($G234,DATOS!$B:$E,4,FALSE)</f>
        <v/>
      </c>
      <c r="K234" s="527" t="inlineStr">
        <is>
          <t>Servicios Contabilidad 2T2025</t>
        </is>
      </c>
      <c r="L234" s="528">
        <f>3* 200*1.024</f>
        <v/>
      </c>
      <c r="N234" s="528" t="n"/>
      <c r="P234" s="528" t="n"/>
      <c r="R234" s="528" t="n"/>
      <c r="T234" s="528" t="n"/>
      <c r="V234" s="528" t="n"/>
      <c r="X234" s="528" t="n"/>
      <c r="Z234" s="528" t="n"/>
      <c r="AA234" s="528" t="n"/>
      <c r="AB234" s="531" t="inlineStr">
        <is>
          <t>ES85 2080 3509 1130 4009 6171</t>
        </is>
      </c>
      <c r="AC234" s="527" t="inlineStr">
        <is>
          <t>pagado</t>
        </is>
      </c>
      <c r="AD234" s="528">
        <f>L234+N234+P234+R234+T234+V234+X234+Z234</f>
        <v/>
      </c>
      <c r="AE234" s="528">
        <f>IF((LEFT(K234,6))="Contab",L234,0)</f>
        <v/>
      </c>
      <c r="AF234" s="531">
        <f>VLOOKUP(G234,CLIENTES!B:E,4,FALSE)</f>
        <v/>
      </c>
      <c r="AG234" s="528">
        <f>AF234*AE234</f>
        <v/>
      </c>
      <c r="AH234" s="528">
        <f>AD234*1.21</f>
        <v/>
      </c>
      <c r="AI234" s="532">
        <f>IF(AE234&lt;&gt;0,AG234/AD234,"N/A")</f>
        <v/>
      </c>
      <c r="AJ234" s="528">
        <f>IF(AC234="pendiente",AD234,0)</f>
        <v/>
      </c>
      <c r="AK234" s="527">
        <f>VLOOKUP(G234,CLIENTES!B:D,3,FALSE)</f>
        <v/>
      </c>
      <c r="AL234" s="527" t="inlineStr">
        <is>
          <t>Asset</t>
        </is>
      </c>
      <c r="AM234" s="527" t="inlineStr">
        <is>
          <t>Administración</t>
        </is>
      </c>
    </row>
    <row r="235" ht="15" customFormat="1" customHeight="1" s="522">
      <c r="A235" s="522">
        <f>A234+1</f>
        <v/>
      </c>
      <c r="B235" s="521" t="n">
        <v>45833</v>
      </c>
      <c r="C235" s="522" t="inlineStr">
        <is>
          <t>c/ Las Cruzadas 3A, local D</t>
        </is>
      </c>
      <c r="D235" s="522" t="inlineStr">
        <is>
          <t>Sevilla 41004</t>
        </is>
      </c>
      <c r="E235" s="522" t="inlineStr">
        <is>
          <t>CIF B91938662</t>
        </is>
      </c>
      <c r="F235" s="522" t="inlineStr">
        <is>
          <t>aBalados@abalados.es</t>
        </is>
      </c>
      <c r="G235" s="522" t="inlineStr">
        <is>
          <t>Saja Renovables, S.L.</t>
        </is>
      </c>
      <c r="H235" s="522">
        <f>VLOOKUP($G235,DATOS!$B:$E,2,FALSE)</f>
        <v/>
      </c>
      <c r="I235" s="522">
        <f>VLOOKUP($G235,DATOS!$B:$E,3,FALSE)</f>
        <v/>
      </c>
      <c r="J235" s="523">
        <f>VLOOKUP($G235,DATOS!$B:$E,4,FALSE)</f>
        <v/>
      </c>
      <c r="K235" s="1" t="inlineStr">
        <is>
          <t>Honorarios - Contrato Operación &amp; Mantenimiento</t>
        </is>
      </c>
      <c r="L235" s="5" t="n"/>
      <c r="M235" s="1" t="inlineStr">
        <is>
          <t>Fee Trimestral - 01 Abril/30 Junio 2025</t>
        </is>
      </c>
      <c r="N235" s="5">
        <f>3*(46575/12)</f>
        <v/>
      </c>
      <c r="O235" s="1" t="n"/>
      <c r="P235" s="5" t="n"/>
      <c r="Q235" s="1" t="inlineStr">
        <is>
          <t xml:space="preserve">   · PSFV Atarfe I</t>
        </is>
      </c>
      <c r="R235" s="5" t="n"/>
      <c r="S235" s="1" t="inlineStr">
        <is>
          <t xml:space="preserve">   · PSFV Atarfe V</t>
        </is>
      </c>
      <c r="T235" s="5" t="n"/>
      <c r="U235" s="1" t="inlineStr">
        <is>
          <t xml:space="preserve">   · PSFV Moclin I</t>
        </is>
      </c>
      <c r="V235" s="5" t="n"/>
      <c r="W235" s="1" t="n"/>
      <c r="X235" s="5" t="n"/>
      <c r="Y235" s="1" t="n"/>
      <c r="Z235" s="5" t="n"/>
      <c r="AA235" s="5" t="n"/>
      <c r="AB235" s="525" t="inlineStr">
        <is>
          <t>ES85 2080 3509 1130 4009 6171</t>
        </is>
      </c>
      <c r="AC235" s="522" t="inlineStr">
        <is>
          <t>pagado</t>
        </is>
      </c>
      <c r="AD235" s="524">
        <f>L235+N235+P235+R235+T235+V235+X235+Z235</f>
        <v/>
      </c>
      <c r="AE235" s="524">
        <f>IF((LEFT(K235,6))="Contab",L235,0)</f>
        <v/>
      </c>
      <c r="AF235" s="525">
        <f>VLOOKUP(G235,CLIENTES!B:E,4,FALSE)</f>
        <v/>
      </c>
      <c r="AG235" s="524">
        <f>AF235*AE235</f>
        <v/>
      </c>
      <c r="AH235" s="524">
        <f>AD235*1.21</f>
        <v/>
      </c>
      <c r="AI235" s="526">
        <f>IF(AE235&lt;&gt;0,AG235/AD235,"N/A")</f>
        <v/>
      </c>
      <c r="AJ235" s="524">
        <f>IF(AC235="pendiente",AD235,0)</f>
        <v/>
      </c>
      <c r="AK235" s="522">
        <f>VLOOKUP(G235,CLIENTES!B:D,3,FALSE)</f>
        <v/>
      </c>
      <c r="AL235" s="1" t="inlineStr">
        <is>
          <t>OM_Otros</t>
        </is>
      </c>
      <c r="AM235" s="1" t="inlineStr">
        <is>
          <t>Explotación</t>
        </is>
      </c>
    </row>
    <row r="236" ht="15" customHeight="1" s="700">
      <c r="A236" s="1">
        <f>A235+1</f>
        <v/>
      </c>
      <c r="B236" s="26" t="n">
        <v>45833</v>
      </c>
      <c r="C236" s="1" t="inlineStr">
        <is>
          <t>c/ Las Cruzadas 3A, local D</t>
        </is>
      </c>
      <c r="D236" s="1" t="inlineStr">
        <is>
          <t>Sevilla 41004</t>
        </is>
      </c>
      <c r="E236" s="1" t="inlineStr">
        <is>
          <t>CIF B91938662</t>
        </is>
      </c>
      <c r="F236" s="1" t="inlineStr">
        <is>
          <t>aBalados@abalados.es</t>
        </is>
      </c>
      <c r="G236" s="1" t="inlineStr">
        <is>
          <t>C2C Inver Park, S.L.</t>
        </is>
      </c>
      <c r="H236" s="1">
        <f>VLOOKUP($G236,DATOS!$B:$E,2,FALSE)</f>
        <v/>
      </c>
      <c r="I236" s="1">
        <f>VLOOKUP($G236,DATOS!$B:$E,3,FALSE)</f>
        <v/>
      </c>
      <c r="J236" s="4">
        <f>VLOOKUP($G236,DATOS!$B:$E,4,FALSE)</f>
        <v/>
      </c>
      <c r="K236" s="1" t="inlineStr">
        <is>
          <t>Honorarios - Contrato Operación &amp; Mantenimiento</t>
        </is>
      </c>
      <c r="M236" s="1" t="inlineStr">
        <is>
          <t>Fee Trimestral - 01 Abril/30 Junio 2025</t>
        </is>
      </c>
      <c r="N236" s="5">
        <f>3*(25470/12)</f>
        <v/>
      </c>
      <c r="Q236" s="1" t="inlineStr">
        <is>
          <t xml:space="preserve">   · PSFV C2C Inver Park</t>
        </is>
      </c>
      <c r="AB236" s="6" t="inlineStr">
        <is>
          <t>ES85 2080 3509 1130 4009 6171</t>
        </is>
      </c>
      <c r="AC236" s="1" t="inlineStr">
        <is>
          <t>pagado</t>
        </is>
      </c>
      <c r="AD236" s="5">
        <f>L236+N236+P236+R236+T236+V236+X236+Z236</f>
        <v/>
      </c>
      <c r="AE236" s="5">
        <f>IF((LEFT(K236,6))="Contab",L236,0)</f>
        <v/>
      </c>
      <c r="AF236" s="6">
        <f>VLOOKUP(G236,CLIENTES!B:E,4,FALSE)</f>
        <v/>
      </c>
      <c r="AG236" s="5">
        <f>AF236*AE236</f>
        <v/>
      </c>
      <c r="AH236" s="5">
        <f>AD236*1.21</f>
        <v/>
      </c>
      <c r="AI236" s="261">
        <f>IF(AE236&lt;&gt;0,AG236/AD236,"N/A")</f>
        <v/>
      </c>
      <c r="AJ236" s="5">
        <f>IF(AC236="pendiente",AD236,0)</f>
        <v/>
      </c>
      <c r="AK236" s="1">
        <f>VLOOKUP(G236,CLIENTES!B:D,3,FALSE)</f>
        <v/>
      </c>
      <c r="AL236" s="1" t="inlineStr">
        <is>
          <t>OM_Otros</t>
        </is>
      </c>
      <c r="AM236" s="1" t="inlineStr">
        <is>
          <t>Explotación</t>
        </is>
      </c>
    </row>
    <row r="237" ht="15" customFormat="1" customHeight="1" s="527" thickBot="1">
      <c r="A237" s="527">
        <f>A236+1</f>
        <v/>
      </c>
      <c r="B237" s="529" t="n">
        <v>45833</v>
      </c>
      <c r="C237" s="527" t="inlineStr">
        <is>
          <t>c/ Las Cruzadas 3A, local D</t>
        </is>
      </c>
      <c r="D237" s="527" t="inlineStr">
        <is>
          <t>Sevilla 41004</t>
        </is>
      </c>
      <c r="E237" s="527" t="inlineStr">
        <is>
          <t>CIF B91938662</t>
        </is>
      </c>
      <c r="F237" s="527" t="inlineStr">
        <is>
          <t>aBalados@abalados.es</t>
        </is>
      </c>
      <c r="G237" s="527" t="inlineStr">
        <is>
          <t>Desarrollos Fotovoltaicos Mas del Bou, S.L.</t>
        </is>
      </c>
      <c r="H237" s="527">
        <f>VLOOKUP($G237,DATOS!$B:$E,2,FALSE)</f>
        <v/>
      </c>
      <c r="I237" s="527">
        <f>VLOOKUP($G237,DATOS!$B:$E,3,FALSE)</f>
        <v/>
      </c>
      <c r="J237" s="530">
        <f>VLOOKUP($G237,DATOS!$B:$E,4,FALSE)</f>
        <v/>
      </c>
      <c r="K237" s="527" t="inlineStr">
        <is>
          <t>Honorarios - Contrato Operación &amp; Mantenimiento</t>
        </is>
      </c>
      <c r="L237" s="528" t="n"/>
      <c r="M237" s="527" t="inlineStr">
        <is>
          <t>Fee Trimestral - 01 Abril/30 Junio 2025</t>
        </is>
      </c>
      <c r="N237" s="528">
        <f>3*(5186/12)</f>
        <v/>
      </c>
      <c r="P237" s="528" t="n"/>
      <c r="Q237" s="527" t="inlineStr">
        <is>
          <t xml:space="preserve">   · PSFV Cubierta Mas del Bou</t>
        </is>
      </c>
      <c r="R237" s="528" t="n"/>
      <c r="T237" s="528" t="n"/>
      <c r="V237" s="528" t="n"/>
      <c r="X237" s="528" t="n"/>
      <c r="Z237" s="528" t="n"/>
      <c r="AA237" s="528" t="n"/>
      <c r="AB237" s="531" t="inlineStr">
        <is>
          <t>ES85 2080 3509 1130 4009 6171</t>
        </is>
      </c>
      <c r="AC237" s="527" t="inlineStr">
        <is>
          <t>pagado</t>
        </is>
      </c>
      <c r="AD237" s="528">
        <f>L237+N237+P237+R237+T237+V237+X237+Z237</f>
        <v/>
      </c>
      <c r="AE237" s="528">
        <f>IF((LEFT(K237,6))="Contab",L237,0)</f>
        <v/>
      </c>
      <c r="AF237" s="531">
        <f>VLOOKUP(G237,CLIENTES!B:E,4,FALSE)</f>
        <v/>
      </c>
      <c r="AG237" s="528">
        <f>AF237*AE237</f>
        <v/>
      </c>
      <c r="AH237" s="528">
        <f>AD237*1.21</f>
        <v/>
      </c>
      <c r="AI237" s="532">
        <f>IF(AE237&lt;&gt;0,AG237/AD237,"N/A")</f>
        <v/>
      </c>
      <c r="AJ237" s="528">
        <f>IF(AC237="pendiente",AD237,0)</f>
        <v/>
      </c>
      <c r="AK237" s="527">
        <f>VLOOKUP(G237,CLIENTES!B:D,3,FALSE)</f>
        <v/>
      </c>
      <c r="AL237" s="527" t="inlineStr">
        <is>
          <t>OM_Otros</t>
        </is>
      </c>
      <c r="AM237" s="527" t="inlineStr">
        <is>
          <t>Explotación</t>
        </is>
      </c>
    </row>
    <row r="238" ht="15" customFormat="1" customHeight="1" s="522">
      <c r="A238" s="522">
        <f>A237+1</f>
        <v/>
      </c>
      <c r="B238" s="521" t="n">
        <v>45833</v>
      </c>
      <c r="C238" s="522" t="inlineStr">
        <is>
          <t>c/ Las Cruzadas 3A, local D</t>
        </is>
      </c>
      <c r="D238" s="522" t="inlineStr">
        <is>
          <t>Sevilla 41004</t>
        </is>
      </c>
      <c r="E238" s="522" t="inlineStr">
        <is>
          <t>CIF B91938662</t>
        </is>
      </c>
      <c r="F238" s="522" t="inlineStr">
        <is>
          <t>aBalados@abalados.es</t>
        </is>
      </c>
      <c r="G238" s="522" t="inlineStr">
        <is>
          <t>Saja Renovables, S.L.</t>
        </is>
      </c>
      <c r="H238" s="522">
        <f>VLOOKUP($G238,DATOS!$B:$E,2,FALSE)</f>
        <v/>
      </c>
      <c r="I238" s="522">
        <f>VLOOKUP($G238,DATOS!$B:$E,3,FALSE)</f>
        <v/>
      </c>
      <c r="J238" s="523">
        <f>VLOOKUP($G238,DATOS!$B:$E,4,FALSE)</f>
        <v/>
      </c>
      <c r="K238" s="522" t="inlineStr">
        <is>
          <t>Servicios extraordinarios - Operación &amp; Mantenimiento</t>
        </is>
      </c>
      <c r="L238" s="524" t="n"/>
      <c r="M238" s="522" t="inlineStr">
        <is>
          <t>Oferta 26_2025 - Reclamación CNMC por cortes suministro</t>
        </is>
      </c>
      <c r="N238" s="524" t="n">
        <v>450</v>
      </c>
      <c r="P238" s="524" t="n"/>
      <c r="R238" s="524" t="n"/>
      <c r="T238" s="524" t="n"/>
      <c r="V238" s="524" t="n"/>
      <c r="X238" s="524" t="n"/>
      <c r="Z238" s="524" t="n"/>
      <c r="AA238" s="524" t="n"/>
      <c r="AB238" s="525" t="inlineStr">
        <is>
          <t>ES85 2080 3509 1130 4009 6171</t>
        </is>
      </c>
      <c r="AC238" s="522" t="inlineStr">
        <is>
          <t>pagado</t>
        </is>
      </c>
      <c r="AD238" s="524">
        <f>L238+N238+P238+R238+T238+V238+X238+Z238</f>
        <v/>
      </c>
      <c r="AE238" s="524">
        <f>IF((LEFT(K238,6))="Contab",L238,0)</f>
        <v/>
      </c>
      <c r="AF238" s="525">
        <f>VLOOKUP(G238,CLIENTES!B:E,4,FALSE)</f>
        <v/>
      </c>
      <c r="AG238" s="524">
        <f>AF238*AE238</f>
        <v/>
      </c>
      <c r="AH238" s="524">
        <f>AD238*1.21</f>
        <v/>
      </c>
      <c r="AI238" s="526">
        <f>IF(AE238&lt;&gt;0,AG238/AD238,"N/A")</f>
        <v/>
      </c>
      <c r="AJ238" s="524">
        <f>IF(AC238="pendiente",AD238,0)</f>
        <v/>
      </c>
      <c r="AK238" s="522">
        <f>VLOOKUP(G238,CLIENTES!B:D,3,FALSE)</f>
        <v/>
      </c>
      <c r="AL238" s="522" t="inlineStr">
        <is>
          <t>OM_Otros</t>
        </is>
      </c>
      <c r="AM238" s="522" t="inlineStr">
        <is>
          <t>Extraordinario</t>
        </is>
      </c>
    </row>
    <row r="239" ht="15" customHeight="1" s="700">
      <c r="A239" s="1">
        <f>A238+1</f>
        <v/>
      </c>
      <c r="B239" s="26" t="n">
        <v>45833</v>
      </c>
      <c r="C239" s="1" t="inlineStr">
        <is>
          <t>c/ Las Cruzadas 3A, local D</t>
        </is>
      </c>
      <c r="D239" s="1" t="inlineStr">
        <is>
          <t>Sevilla 41004</t>
        </is>
      </c>
      <c r="E239" s="1" t="inlineStr">
        <is>
          <t>CIF B91938662</t>
        </is>
      </c>
      <c r="F239" s="1" t="inlineStr">
        <is>
          <t>aBalados@abalados.es</t>
        </is>
      </c>
      <c r="G239" s="1" t="inlineStr">
        <is>
          <t>Garnacha Solar, S.L</t>
        </is>
      </c>
      <c r="H239" s="1">
        <f>VLOOKUP($G239,DATOS!$B:$E,2,FALSE)</f>
        <v/>
      </c>
      <c r="I239" s="1">
        <f>VLOOKUP($G239,DATOS!$B:$E,3,FALSE)</f>
        <v/>
      </c>
      <c r="J239" s="4">
        <f>VLOOKUP($G239,DATOS!$B:$E,4,FALSE)</f>
        <v/>
      </c>
      <c r="K239" s="1" t="inlineStr">
        <is>
          <t>Servicios extraordinarios - Asistencia jurídica</t>
        </is>
      </c>
      <c r="L239" s="5" t="n">
        <v>2150</v>
      </c>
      <c r="O239" s="1" t="inlineStr">
        <is>
          <t>Asistencia legal para contrato de compraventa de un transformador</t>
        </is>
      </c>
      <c r="Q239" s="1" t="inlineStr">
        <is>
          <t>Asistencia legal para contrato de prestación de servicios entre Garnacha Solar SL y Toro Renovables 400kV SL</t>
        </is>
      </c>
      <c r="AB239" s="6" t="inlineStr">
        <is>
          <t>ES85 2080 3509 1130 4009 6171</t>
        </is>
      </c>
      <c r="AC239" s="1" t="inlineStr">
        <is>
          <t>pagado</t>
        </is>
      </c>
      <c r="AD239" s="5">
        <f>L239+N239+P239+R239+T239+V239+X239+Z239</f>
        <v/>
      </c>
      <c r="AE239" s="5">
        <f>IF((LEFT(K239,6))="Contab",L239,0)</f>
        <v/>
      </c>
      <c r="AF239" s="6">
        <f>VLOOKUP(G239,CLIENTES!B:E,4,FALSE)</f>
        <v/>
      </c>
      <c r="AG239" s="5">
        <f>AF239*AE239</f>
        <v/>
      </c>
      <c r="AH239" s="5">
        <f>AD239*1.21</f>
        <v/>
      </c>
      <c r="AI239" s="261">
        <f>IF(AE239&lt;&gt;0,AG239/AD239,"N/A")</f>
        <v/>
      </c>
      <c r="AJ239" s="5">
        <f>IF(AC239="pendiente",AD239,0)</f>
        <v/>
      </c>
      <c r="AK239" s="1">
        <f>VLOOKUP(G239,CLIENTES!B:D,3,FALSE)</f>
        <v/>
      </c>
      <c r="AL239" s="1" t="inlineStr">
        <is>
          <t>nudos</t>
        </is>
      </c>
      <c r="AM239" s="1" t="inlineStr">
        <is>
          <t>Extraordinario</t>
        </is>
      </c>
    </row>
    <row r="240" ht="15" customHeight="1" s="700" thickBot="1">
      <c r="A240" s="1">
        <f>A239+1</f>
        <v/>
      </c>
      <c r="B240" s="26" t="n">
        <v>45833</v>
      </c>
      <c r="C240" s="1" t="inlineStr">
        <is>
          <t>c/ Las Cruzadas 3A, local D</t>
        </is>
      </c>
      <c r="D240" s="1" t="inlineStr">
        <is>
          <t>Sevilla 41004</t>
        </is>
      </c>
      <c r="E240" s="1" t="inlineStr">
        <is>
          <t>CIF B91938662</t>
        </is>
      </c>
      <c r="F240" s="1" t="inlineStr">
        <is>
          <t>aBalados@abalados.es</t>
        </is>
      </c>
      <c r="G240" s="1" t="inlineStr">
        <is>
          <t>Comunidad de Bienes Grupotec Rotonda</t>
        </is>
      </c>
      <c r="H240" s="1">
        <f>VLOOKUP($G240,DATOS!$B:$E,2,FALSE)</f>
        <v/>
      </c>
      <c r="I240" s="1">
        <f>VLOOKUP($G240,DATOS!$B:$E,3,FALSE)</f>
        <v/>
      </c>
      <c r="J240" s="4">
        <f>VLOOKUP($G240,DATOS!$B:$E,4,FALSE)</f>
        <v/>
      </c>
      <c r="K240" s="1" t="inlineStr">
        <is>
          <t>Servicios extraordinarios - Asset Management SET Almansol</t>
        </is>
      </c>
      <c r="M240" s="1" t="inlineStr">
        <is>
          <t>Asistencia legal para producción y cierre del Reglamento de Explotación</t>
        </is>
      </c>
      <c r="N240" s="5" t="n">
        <v>925</v>
      </c>
      <c r="AB240" s="6" t="inlineStr">
        <is>
          <t>ES85 2080 3509 1130 4009 6171</t>
        </is>
      </c>
      <c r="AC240" s="1" t="inlineStr">
        <is>
          <t>pagado</t>
        </is>
      </c>
      <c r="AD240" s="5">
        <f>L240+N240+P240+R240+T240+V240+X240+Z240</f>
        <v/>
      </c>
      <c r="AE240" s="5">
        <f>IF((LEFT(K240,6))="Contab",L240,0)</f>
        <v/>
      </c>
      <c r="AF240" s="6">
        <f>VLOOKUP(G240,CLIENTES!B:E,4,FALSE)</f>
        <v/>
      </c>
      <c r="AG240" s="5">
        <f>AF240*AE240</f>
        <v/>
      </c>
      <c r="AH240" s="5">
        <f>AD240*1.21</f>
        <v/>
      </c>
      <c r="AI240" s="261">
        <f>IF(AE240&lt;&gt;0,AG240/AD240,"N/A")</f>
        <v/>
      </c>
      <c r="AJ240" s="5">
        <f>IF(AC240="pendiente",AD240,0)</f>
        <v/>
      </c>
      <c r="AK240" s="1">
        <f>VLOOKUP(G240,CLIENTES!B:D,3,FALSE)</f>
        <v/>
      </c>
      <c r="AL240" s="1" t="inlineStr">
        <is>
          <t>nudos</t>
        </is>
      </c>
      <c r="AM240" s="1" t="inlineStr">
        <is>
          <t>Extraordinario</t>
        </is>
      </c>
    </row>
    <row r="241" ht="15" customFormat="1" customHeight="1" s="522">
      <c r="A241" s="522">
        <f>A240+1</f>
        <v/>
      </c>
      <c r="B241" s="521" t="n">
        <v>45833</v>
      </c>
      <c r="C241" s="522" t="inlineStr">
        <is>
          <t>c/ Las Cruzadas 3A, local D</t>
        </is>
      </c>
      <c r="D241" s="522" t="inlineStr">
        <is>
          <t>Sevilla 41004</t>
        </is>
      </c>
      <c r="E241" s="522" t="inlineStr">
        <is>
          <t>CIF B91938662</t>
        </is>
      </c>
      <c r="F241" s="522" t="inlineStr">
        <is>
          <t>aBalados@abalados.es</t>
        </is>
      </c>
      <c r="G241" s="522" t="inlineStr">
        <is>
          <t>Evacuación Carmona 400-220 kV Renovables, S.L.</t>
        </is>
      </c>
      <c r="H241" s="522">
        <f>VLOOKUP($G241,DATOS!$B:$E,2,FALSE)</f>
        <v/>
      </c>
      <c r="I241" s="522">
        <f>VLOOKUP($G241,DATOS!$B:$E,3,FALSE)</f>
        <v/>
      </c>
      <c r="J241" s="522">
        <f>VLOOKUP($G241,DATOS!$B:$E,4,FALSE)</f>
        <v/>
      </c>
      <c r="K241" s="522" t="inlineStr">
        <is>
          <t>Refacturación gastos y/o servicios prestados a nombre de la sociedad</t>
        </is>
      </c>
      <c r="L241" s="524" t="n"/>
      <c r="M241" s="522" t="inlineStr">
        <is>
          <t>Jofran Mensajeros, S.L - Envio de documentación</t>
        </is>
      </c>
      <c r="N241" s="524" t="n">
        <v>18.54</v>
      </c>
      <c r="P241" s="524" t="n"/>
      <c r="R241" s="524" t="n"/>
      <c r="T241" s="524" t="n"/>
      <c r="V241" s="524" t="n"/>
      <c r="X241" s="524" t="n"/>
      <c r="Z241" s="524" t="n"/>
      <c r="AA241" s="524" t="n"/>
      <c r="AB241" s="525" t="inlineStr">
        <is>
          <t>ES85 2080 3509 1130 4009 6171</t>
        </is>
      </c>
      <c r="AC241" s="522" t="inlineStr">
        <is>
          <t>pagado</t>
        </is>
      </c>
      <c r="AD241" s="524">
        <f>L241+N241+P241+R241+T241+V241+X241+Z241</f>
        <v/>
      </c>
      <c r="AE241" s="524">
        <f>IF((LEFT(K241,6))="Contab",L241,0)</f>
        <v/>
      </c>
      <c r="AF241" s="525">
        <f>VLOOKUP(G241,CLIENTES!B:E,4,FALSE)</f>
        <v/>
      </c>
      <c r="AG241" s="524">
        <f>AF241*AE241</f>
        <v/>
      </c>
      <c r="AH241" s="524">
        <f>AD241*1.21</f>
        <v/>
      </c>
      <c r="AI241" s="526">
        <f>IF(AE241&lt;&gt;0,AG241/AD241,"N/A")</f>
        <v/>
      </c>
      <c r="AJ241" s="524">
        <f>IF(AC241="pendiente",AD241,0)</f>
        <v/>
      </c>
      <c r="AK241" s="522">
        <f>VLOOKUP(G241,CLIENTES!B:D,3,FALSE)</f>
        <v/>
      </c>
      <c r="AL241" s="522" t="inlineStr">
        <is>
          <t>nudos</t>
        </is>
      </c>
      <c r="AM241" s="522" t="inlineStr">
        <is>
          <t>Refacturación</t>
        </is>
      </c>
    </row>
    <row r="242" ht="15" customHeight="1" s="700">
      <c r="A242" s="1">
        <f>A241+1</f>
        <v/>
      </c>
      <c r="B242" s="26" t="n">
        <v>45833</v>
      </c>
      <c r="C242" s="1" t="inlineStr">
        <is>
          <t>c/ Las Cruzadas 3A, local D</t>
        </is>
      </c>
      <c r="D242" s="1" t="inlineStr">
        <is>
          <t>Sevilla 41004</t>
        </is>
      </c>
      <c r="E242" s="1" t="inlineStr">
        <is>
          <t>CIF B91938662</t>
        </is>
      </c>
      <c r="F242" s="1" t="inlineStr">
        <is>
          <t>aBalados@abalados.es</t>
        </is>
      </c>
      <c r="G242" s="1" t="inlineStr">
        <is>
          <t>Tordesillas Renovables, S.L.</t>
        </is>
      </c>
      <c r="H242" s="1">
        <f>VLOOKUP($G242,DATOS!$B:$E,2,FALSE)</f>
        <v/>
      </c>
      <c r="I242" s="1">
        <f>VLOOKUP($G242,DATOS!$B:$E,3,FALSE)</f>
        <v/>
      </c>
      <c r="J242" s="1">
        <f>VLOOKUP($G242,DATOS!$B:$E,4,FALSE)</f>
        <v/>
      </c>
      <c r="K242" s="1" t="inlineStr">
        <is>
          <t>Refacturación gastos y/o servicios prestados a nombre de la sociedad</t>
        </is>
      </c>
      <c r="M242" s="1" t="inlineStr">
        <is>
          <t>Jofran Mensajeros, S.L - Envio de documentación</t>
        </is>
      </c>
      <c r="N242" s="5" t="n">
        <v>19.74</v>
      </c>
      <c r="AB242" s="6" t="inlineStr">
        <is>
          <t>ES85 2080 3509 1130 4009 6171</t>
        </is>
      </c>
      <c r="AC242" s="1" t="inlineStr">
        <is>
          <t>pagado</t>
        </is>
      </c>
      <c r="AD242" s="5">
        <f>L242+N242+P242+R242+T242+V242+X242+Z242</f>
        <v/>
      </c>
      <c r="AE242" s="5">
        <f>IF((LEFT(K242,6))="Contab",L242,0)</f>
        <v/>
      </c>
      <c r="AF242" s="6">
        <f>VLOOKUP(G242,CLIENTES!B:E,4,FALSE)</f>
        <v/>
      </c>
      <c r="AG242" s="5">
        <f>AF242*AE242</f>
        <v/>
      </c>
      <c r="AH242" s="5">
        <f>AD242*1.21</f>
        <v/>
      </c>
      <c r="AI242" s="261">
        <f>IF(AE242&lt;&gt;0,AG242/AD242,"N/A")</f>
        <v/>
      </c>
      <c r="AJ242" s="5">
        <f>IF(AC242="pendiente",AD242,0)</f>
        <v/>
      </c>
      <c r="AK242" s="1">
        <f>VLOOKUP(G242,CLIENTES!B:D,3,FALSE)</f>
        <v/>
      </c>
      <c r="AL242" s="1" t="inlineStr">
        <is>
          <t>nudos</t>
        </is>
      </c>
      <c r="AM242" s="1" t="inlineStr">
        <is>
          <t>Refacturación</t>
        </is>
      </c>
    </row>
    <row r="243" ht="15" customHeight="1" s="700">
      <c r="A243" s="1">
        <f>A242+1</f>
        <v/>
      </c>
      <c r="B243" s="26" t="n">
        <v>45833</v>
      </c>
      <c r="C243" s="1" t="inlineStr">
        <is>
          <t>c/ Las Cruzadas 3A, local D</t>
        </is>
      </c>
      <c r="D243" s="1" t="inlineStr">
        <is>
          <t>Sevilla 41004</t>
        </is>
      </c>
      <c r="E243" s="1" t="inlineStr">
        <is>
          <t>CIF B91938662</t>
        </is>
      </c>
      <c r="F243" s="1" t="inlineStr">
        <is>
          <t>aBalados@abalados.es</t>
        </is>
      </c>
      <c r="G243" s="1" t="inlineStr">
        <is>
          <t>Evacuación Tordesillas 400 kV, S.L.</t>
        </is>
      </c>
      <c r="H243" s="1">
        <f>VLOOKUP($G243,DATOS!$B:$E,2,FALSE)</f>
        <v/>
      </c>
      <c r="I243" s="1">
        <f>VLOOKUP($G243,DATOS!$B:$E,3,FALSE)</f>
        <v/>
      </c>
      <c r="J243" s="1">
        <f>VLOOKUP($G243,DATOS!$B:$E,4,FALSE)</f>
        <v/>
      </c>
      <c r="K243" s="1" t="inlineStr">
        <is>
          <t>Refacturación gastos y/o servicios prestados a nombre de la sociedad</t>
        </is>
      </c>
      <c r="M243" s="1" t="inlineStr">
        <is>
          <t>Jofran Mensajeros, S.L - Envio de documentación</t>
        </is>
      </c>
      <c r="N243" s="5" t="n">
        <v>51.04</v>
      </c>
      <c r="AB243" s="6" t="inlineStr">
        <is>
          <t>ES85 2080 3509 1130 4009 6171</t>
        </is>
      </c>
      <c r="AC243" s="1" t="inlineStr">
        <is>
          <t>pagado</t>
        </is>
      </c>
      <c r="AD243" s="5">
        <f>L243+N243+P243+R243+T243+V243+X243+Z243</f>
        <v/>
      </c>
      <c r="AE243" s="5">
        <f>IF((LEFT(K243,6))="Contab",L243,0)</f>
        <v/>
      </c>
      <c r="AF243" s="6">
        <f>VLOOKUP(G243,CLIENTES!B:E,4,FALSE)</f>
        <v/>
      </c>
      <c r="AG243" s="5">
        <f>AF243*AE243</f>
        <v/>
      </c>
      <c r="AH243" s="5">
        <f>AD243*1.21</f>
        <v/>
      </c>
      <c r="AI243" s="261">
        <f>IF(AE243&lt;&gt;0,AG243/AD243,"N/A")</f>
        <v/>
      </c>
      <c r="AJ243" s="5">
        <f>IF(AC243="pendiente",AD243,0)</f>
        <v/>
      </c>
      <c r="AK243" s="1">
        <f>VLOOKUP(G243,CLIENTES!B:D,3,FALSE)</f>
        <v/>
      </c>
      <c r="AL243" s="1" t="inlineStr">
        <is>
          <t>nudos</t>
        </is>
      </c>
      <c r="AM243" s="1" t="inlineStr">
        <is>
          <t>Refacturación</t>
        </is>
      </c>
    </row>
    <row r="244" ht="15" customHeight="1" s="700">
      <c r="A244" s="1">
        <f>A243+1</f>
        <v/>
      </c>
      <c r="B244" s="26" t="n">
        <v>45833</v>
      </c>
      <c r="C244" s="1" t="inlineStr">
        <is>
          <t>c/ Las Cruzadas 3A, local D</t>
        </is>
      </c>
      <c r="D244" s="1" t="inlineStr">
        <is>
          <t>Sevilla 41004</t>
        </is>
      </c>
      <c r="E244" s="1" t="inlineStr">
        <is>
          <t>CIF B91938662</t>
        </is>
      </c>
      <c r="F244" s="1" t="inlineStr">
        <is>
          <t>aBalados@abalados.es</t>
        </is>
      </c>
      <c r="G244" s="1" t="inlineStr">
        <is>
          <t>Energías Limpias de Carmona, S.L.</t>
        </is>
      </c>
      <c r="H244" s="1">
        <f>VLOOKUP($G244,DATOS!$B:$E,2,FALSE)</f>
        <v/>
      </c>
      <c r="I244" s="1">
        <f>VLOOKUP($G244,DATOS!$B:$E,3,FALSE)</f>
        <v/>
      </c>
      <c r="J244" s="1">
        <f>VLOOKUP($G244,DATOS!$B:$E,4,FALSE)</f>
        <v/>
      </c>
      <c r="K244" s="1" t="inlineStr">
        <is>
          <t>Refacturación gastos y/o servicios prestados a nombre de la sociedad</t>
        </is>
      </c>
      <c r="M244" s="1" t="inlineStr">
        <is>
          <t>Jofran Mensajeros, S.L - Envio de documentación</t>
        </is>
      </c>
      <c r="N244" s="5" t="n">
        <v>6.58</v>
      </c>
      <c r="AB244" s="6" t="inlineStr">
        <is>
          <t>ES85 2080 3509 1130 4009 6171</t>
        </is>
      </c>
      <c r="AC244" s="1" t="inlineStr">
        <is>
          <t>pagado</t>
        </is>
      </c>
      <c r="AD244" s="5">
        <f>L244+N244+P244+R244+T244+V244+X244+Z244</f>
        <v/>
      </c>
      <c r="AE244" s="5">
        <f>IF((LEFT(K244,6))="Contab",L244,0)</f>
        <v/>
      </c>
      <c r="AF244" s="6">
        <f>VLOOKUP(G244,CLIENTES!B:E,4,FALSE)</f>
        <v/>
      </c>
      <c r="AG244" s="5">
        <f>AF244*AE244</f>
        <v/>
      </c>
      <c r="AH244" s="5">
        <f>AD244*1.21</f>
        <v/>
      </c>
      <c r="AI244" s="261">
        <f>IF(AE244&lt;&gt;0,AG244/AD244,"N/A")</f>
        <v/>
      </c>
      <c r="AJ244" s="5">
        <f>IF(AC244="pendiente",AD244,0)</f>
        <v/>
      </c>
      <c r="AK244" s="1">
        <f>VLOOKUP(G244,CLIENTES!B:D,3,FALSE)</f>
        <v/>
      </c>
      <c r="AL244" s="1" t="inlineStr">
        <is>
          <t>nudos</t>
        </is>
      </c>
      <c r="AM244" s="1" t="inlineStr">
        <is>
          <t>Refacturación</t>
        </is>
      </c>
    </row>
    <row r="245" ht="15" customHeight="1" s="700">
      <c r="A245" s="1">
        <f>A244+1</f>
        <v/>
      </c>
      <c r="B245" s="26" t="n">
        <v>45833</v>
      </c>
      <c r="C245" s="1" t="inlineStr">
        <is>
          <t>c/ Las Cruzadas 3A, local D</t>
        </is>
      </c>
      <c r="D245" s="1" t="inlineStr">
        <is>
          <t>Sevilla 41004</t>
        </is>
      </c>
      <c r="E245" s="1" t="inlineStr">
        <is>
          <t>CIF B91938662</t>
        </is>
      </c>
      <c r="F245" s="1" t="inlineStr">
        <is>
          <t>aBalados@abalados.es</t>
        </is>
      </c>
      <c r="G245" s="1" t="inlineStr">
        <is>
          <t>SET Carmona 400 kV Renovables, S.L.</t>
        </is>
      </c>
      <c r="H245" s="1">
        <f>VLOOKUP($G245,DATOS!$B:$E,2,FALSE)</f>
        <v/>
      </c>
      <c r="I245" s="1">
        <f>VLOOKUP($G245,DATOS!$B:$E,3,FALSE)</f>
        <v/>
      </c>
      <c r="J245" s="1">
        <f>VLOOKUP($G245,DATOS!$B:$E,4,FALSE)</f>
        <v/>
      </c>
      <c r="K245" s="1" t="inlineStr">
        <is>
          <t>Refacturación gastos y/o servicios prestados a nombre de la sociedad</t>
        </is>
      </c>
      <c r="M245" s="1" t="inlineStr">
        <is>
          <t>Jofran Mensajeros, S.L - Envio de documentación</t>
        </is>
      </c>
      <c r="N245" s="5" t="n">
        <v>6.58</v>
      </c>
      <c r="AB245" s="6" t="inlineStr">
        <is>
          <t>ES85 2080 3509 1130 4009 6171</t>
        </is>
      </c>
      <c r="AC245" s="1" t="inlineStr">
        <is>
          <t>pagado</t>
        </is>
      </c>
      <c r="AD245" s="5">
        <f>L245+N245+P245+R245+T245+V245+X245+Z245</f>
        <v/>
      </c>
      <c r="AE245" s="5">
        <f>IF((LEFT(K245,6))="Contab",L245,0)</f>
        <v/>
      </c>
      <c r="AF245" s="6">
        <f>VLOOKUP(G245,CLIENTES!B:E,4,FALSE)</f>
        <v/>
      </c>
      <c r="AG245" s="5">
        <f>AF245*AE245</f>
        <v/>
      </c>
      <c r="AH245" s="5">
        <f>AD245*1.21</f>
        <v/>
      </c>
      <c r="AI245" s="261">
        <f>IF(AE245&lt;&gt;0,AG245/AD245,"N/A")</f>
        <v/>
      </c>
      <c r="AJ245" s="5">
        <f>IF(AC245="pendiente",AD245,0)</f>
        <v/>
      </c>
      <c r="AK245" s="1">
        <f>VLOOKUP(G245,CLIENTES!B:D,3,FALSE)</f>
        <v/>
      </c>
      <c r="AL245" s="1" t="inlineStr">
        <is>
          <t>nudos</t>
        </is>
      </c>
      <c r="AM245" s="1" t="inlineStr">
        <is>
          <t>Refacturación</t>
        </is>
      </c>
    </row>
    <row r="246" ht="15" customHeight="1" s="700">
      <c r="A246" s="1">
        <f>A245+1</f>
        <v/>
      </c>
      <c r="B246" s="26" t="n">
        <v>45833</v>
      </c>
      <c r="C246" s="1" t="inlineStr">
        <is>
          <t>c/ Las Cruzadas 3A, local D</t>
        </is>
      </c>
      <c r="D246" s="1" t="inlineStr">
        <is>
          <t>Sevilla 41004</t>
        </is>
      </c>
      <c r="E246" s="1" t="inlineStr">
        <is>
          <t>CIF B91938662</t>
        </is>
      </c>
      <c r="F246" s="1" t="inlineStr">
        <is>
          <t>aBalados@abalados.es</t>
        </is>
      </c>
      <c r="G246" s="1" t="inlineStr">
        <is>
          <t>Renovables Brovales 400 kV, S.L.</t>
        </is>
      </c>
      <c r="H246" s="1">
        <f>VLOOKUP($G246,DATOS!$B:$E,2,FALSE)</f>
        <v/>
      </c>
      <c r="I246" s="1">
        <f>VLOOKUP($G246,DATOS!$B:$E,3,FALSE)</f>
        <v/>
      </c>
      <c r="J246" s="1">
        <f>VLOOKUP($G246,DATOS!$B:$E,4,FALSE)</f>
        <v/>
      </c>
      <c r="K246" s="1" t="inlineStr">
        <is>
          <t>Refacturación gastos y/o servicios prestados a nombre de la sociedad</t>
        </is>
      </c>
      <c r="M246" s="1" t="inlineStr">
        <is>
          <t>Jofran Mensajeros, S.L - Envio de documentación</t>
        </is>
      </c>
      <c r="N246" s="5" t="n">
        <v>12.24</v>
      </c>
      <c r="AB246" s="6" t="inlineStr">
        <is>
          <t>ES85 2080 3509 1130 4009 6171</t>
        </is>
      </c>
      <c r="AC246" s="1" t="inlineStr">
        <is>
          <t>pagado</t>
        </is>
      </c>
      <c r="AD246" s="5">
        <f>L246+N246+P246+R246+T246+V246+X246+Z246</f>
        <v/>
      </c>
      <c r="AE246" s="5">
        <f>IF((LEFT(K246,6))="Contab",L246,0)</f>
        <v/>
      </c>
      <c r="AF246" s="6">
        <f>VLOOKUP(G246,CLIENTES!B:E,4,FALSE)</f>
        <v/>
      </c>
      <c r="AG246" s="5">
        <f>AF246*AE246</f>
        <v/>
      </c>
      <c r="AH246" s="5">
        <f>AD246*1.21</f>
        <v/>
      </c>
      <c r="AI246" s="261">
        <f>IF(AE246&lt;&gt;0,AG246/AD246,"N/A")</f>
        <v/>
      </c>
      <c r="AJ246" s="5">
        <f>IF(AC246="pendiente",AD246,0)</f>
        <v/>
      </c>
      <c r="AK246" s="1">
        <f>VLOOKUP(G246,CLIENTES!B:D,3,FALSE)</f>
        <v/>
      </c>
      <c r="AL246" s="1" t="inlineStr">
        <is>
          <t>nudos</t>
        </is>
      </c>
      <c r="AM246" s="1" t="inlineStr">
        <is>
          <t>Refacturación</t>
        </is>
      </c>
    </row>
    <row r="247" ht="15" customHeight="1" s="700">
      <c r="A247" s="1">
        <f>A246+1</f>
        <v/>
      </c>
      <c r="B247" s="26" t="n">
        <v>45833</v>
      </c>
      <c r="C247" s="1" t="inlineStr">
        <is>
          <t>c/ Las Cruzadas 3A, local D</t>
        </is>
      </c>
      <c r="D247" s="1" t="inlineStr">
        <is>
          <t>Sevilla 41004</t>
        </is>
      </c>
      <c r="E247" s="1" t="inlineStr">
        <is>
          <t>CIF B91938662</t>
        </is>
      </c>
      <c r="F247" s="1" t="inlineStr">
        <is>
          <t>aBalados@abalados.es</t>
        </is>
      </c>
      <c r="G247" s="1" t="inlineStr">
        <is>
          <t>Huerta Sevilla Renovables, S.L.</t>
        </is>
      </c>
      <c r="H247" s="1">
        <f>VLOOKUP($G247,DATOS!$B:$E,2,FALSE)</f>
        <v/>
      </c>
      <c r="I247" s="1">
        <f>VLOOKUP($G247,DATOS!$B:$E,3,FALSE)</f>
        <v/>
      </c>
      <c r="J247" s="1">
        <f>VLOOKUP($G247,DATOS!$B:$E,4,FALSE)</f>
        <v/>
      </c>
      <c r="K247" s="1" t="inlineStr">
        <is>
          <t>Refacturación gastos y/o servicios prestados a nombre de la sociedad</t>
        </is>
      </c>
      <c r="M247" s="1" t="inlineStr">
        <is>
          <t>Jofran Mensajeros, S.L - Envio de documentación</t>
        </is>
      </c>
      <c r="N247" s="5" t="n">
        <v>13.16</v>
      </c>
      <c r="AB247" s="6" t="inlineStr">
        <is>
          <t>ES85 2080 3509 1130 4009 6171</t>
        </is>
      </c>
      <c r="AC247" s="1" t="inlineStr">
        <is>
          <t>pagado</t>
        </is>
      </c>
      <c r="AD247" s="5">
        <f>L247+N247+P247+R247+T247+V247+X247+Z247</f>
        <v/>
      </c>
      <c r="AE247" s="5">
        <f>IF((LEFT(K247,6))="Contab",L247,0)</f>
        <v/>
      </c>
      <c r="AF247" s="6">
        <f>VLOOKUP(G247,CLIENTES!B:E,4,FALSE)</f>
        <v/>
      </c>
      <c r="AG247" s="5">
        <f>AF247*AE247</f>
        <v/>
      </c>
      <c r="AH247" s="5">
        <f>AD247*1.21</f>
        <v/>
      </c>
      <c r="AI247" s="261">
        <f>IF(AE247&lt;&gt;0,AG247/AD247,"N/A")</f>
        <v/>
      </c>
      <c r="AJ247" s="5">
        <f>IF(AC247="pendiente",AD247,0)</f>
        <v/>
      </c>
      <c r="AK247" s="1">
        <f>VLOOKUP(G247,CLIENTES!B:D,3,FALSE)</f>
        <v/>
      </c>
      <c r="AL247" s="1" t="inlineStr">
        <is>
          <t>nudos</t>
        </is>
      </c>
      <c r="AM247" s="1" t="inlineStr">
        <is>
          <t>Refacturación</t>
        </is>
      </c>
    </row>
    <row r="248" ht="15" customHeight="1" s="700">
      <c r="A248" s="1">
        <f>A247+1</f>
        <v/>
      </c>
      <c r="B248" s="26" t="n">
        <v>45833</v>
      </c>
      <c r="C248" s="1" t="inlineStr">
        <is>
          <t>c/ Las Cruzadas 3A, local D</t>
        </is>
      </c>
      <c r="D248" s="1" t="inlineStr">
        <is>
          <t>Sevilla 41004</t>
        </is>
      </c>
      <c r="E248" s="1" t="inlineStr">
        <is>
          <t>CIF B91938662</t>
        </is>
      </c>
      <c r="F248" s="1" t="inlineStr">
        <is>
          <t>aBalados@abalados.es</t>
        </is>
      </c>
      <c r="G248" s="1" t="inlineStr">
        <is>
          <t>Cuádruple Belinchón, S.L.</t>
        </is>
      </c>
      <c r="H248" s="1">
        <f>VLOOKUP($G248,DATOS!$B:$E,2,FALSE)</f>
        <v/>
      </c>
      <c r="I248" s="1">
        <f>VLOOKUP($G248,DATOS!$B:$E,3,FALSE)</f>
        <v/>
      </c>
      <c r="J248" s="1">
        <f>VLOOKUP($G248,DATOS!$B:$E,4,FALSE)</f>
        <v/>
      </c>
      <c r="K248" s="1" t="inlineStr">
        <is>
          <t>Refacturación gastos y/o servicios prestados a nombre de la sociedad</t>
        </is>
      </c>
      <c r="M248" s="1" t="inlineStr">
        <is>
          <t>Jofran Mensajeros, S.L - Envio de documentación</t>
        </is>
      </c>
      <c r="N248" s="5" t="n">
        <v>13.16</v>
      </c>
      <c r="AB248" s="6" t="inlineStr">
        <is>
          <t>ES85 2080 3509 1130 4009 6171</t>
        </is>
      </c>
      <c r="AC248" s="1" t="inlineStr">
        <is>
          <t>pagado</t>
        </is>
      </c>
      <c r="AD248" s="5">
        <f>L248+N248+P248+R248+T248+V248+X248+Z248</f>
        <v/>
      </c>
      <c r="AE248" s="5">
        <f>IF((LEFT(K248,6))="Contab",L248,0)</f>
        <v/>
      </c>
      <c r="AF248" s="6">
        <f>VLOOKUP(G248,CLIENTES!B:E,4,FALSE)</f>
        <v/>
      </c>
      <c r="AG248" s="5">
        <f>AF248*AE248</f>
        <v/>
      </c>
      <c r="AH248" s="5">
        <f>AD248*1.21</f>
        <v/>
      </c>
      <c r="AI248" s="261">
        <f>IF(AE248&lt;&gt;0,AG248/AD248,"N/A")</f>
        <v/>
      </c>
      <c r="AJ248" s="5">
        <f>IF(AC248="pendiente",AD248,0)</f>
        <v/>
      </c>
      <c r="AK248" s="1">
        <f>VLOOKUP(G248,CLIENTES!B:D,3,FALSE)</f>
        <v/>
      </c>
      <c r="AL248" s="1" t="inlineStr">
        <is>
          <t>nudos</t>
        </is>
      </c>
      <c r="AM248" s="1" t="inlineStr">
        <is>
          <t>Refacturación</t>
        </is>
      </c>
    </row>
    <row r="249" ht="15" customHeight="1" s="700">
      <c r="A249" s="1">
        <f>A248+1</f>
        <v/>
      </c>
      <c r="B249" s="26" t="n">
        <v>45833</v>
      </c>
      <c r="C249" s="1" t="inlineStr">
        <is>
          <t>c/ Las Cruzadas 3A, local D</t>
        </is>
      </c>
      <c r="D249" s="1" t="inlineStr">
        <is>
          <t>Sevilla 41004</t>
        </is>
      </c>
      <c r="E249" s="1" t="inlineStr">
        <is>
          <t>CIF B91938662</t>
        </is>
      </c>
      <c r="F249" s="1" t="inlineStr">
        <is>
          <t>aBalados@abalados.es</t>
        </is>
      </c>
      <c r="G249" s="1" t="inlineStr">
        <is>
          <t>Brazatortas 220 Renovables, S.L.</t>
        </is>
      </c>
      <c r="H249" s="1">
        <f>VLOOKUP($G249,DATOS!$B:$E,2,FALSE)</f>
        <v/>
      </c>
      <c r="I249" s="1">
        <f>VLOOKUP($G249,DATOS!$B:$E,3,FALSE)</f>
        <v/>
      </c>
      <c r="J249" s="1">
        <f>VLOOKUP($G249,DATOS!$B:$E,4,FALSE)</f>
        <v/>
      </c>
      <c r="K249" s="1" t="inlineStr">
        <is>
          <t>Refacturación gastos y/o servicios prestados a nombre de la sociedad</t>
        </is>
      </c>
      <c r="M249" s="1" t="inlineStr">
        <is>
          <t>Jofran Mensajeros, S.L - Envio de documentación</t>
        </is>
      </c>
      <c r="N249" s="5" t="n">
        <v>13.16</v>
      </c>
      <c r="O249" s="1" t="inlineStr">
        <is>
          <t>REG MERCANTIL MADRID 2025/28572</t>
        </is>
      </c>
      <c r="P249" s="5" t="n">
        <v>44.47</v>
      </c>
      <c r="Q249" s="1" t="inlineStr">
        <is>
          <t>REG MERCANTIL MADRID 2025/28534</t>
        </is>
      </c>
      <c r="R249" s="5" t="n">
        <v>62.51</v>
      </c>
      <c r="AB249" s="6" t="inlineStr">
        <is>
          <t>ES85 2080 3509 1130 4009 6171</t>
        </is>
      </c>
      <c r="AC249" s="1" t="inlineStr">
        <is>
          <t>pagado</t>
        </is>
      </c>
      <c r="AD249" s="5">
        <f>L249+N249+P249+R249+T249+V249+X249+Z249</f>
        <v/>
      </c>
      <c r="AE249" s="5">
        <f>IF((LEFT(K249,6))="Contab",L249,0)</f>
        <v/>
      </c>
      <c r="AF249" s="6">
        <f>VLOOKUP(G249,CLIENTES!B:E,4,FALSE)</f>
        <v/>
      </c>
      <c r="AG249" s="5">
        <f>AF249*AE249</f>
        <v/>
      </c>
      <c r="AH249" s="5">
        <f>AD249*1.21</f>
        <v/>
      </c>
      <c r="AI249" s="261">
        <f>IF(AE249&lt;&gt;0,AG249/AD249,"N/A")</f>
        <v/>
      </c>
      <c r="AJ249" s="5">
        <f>IF(AC249="pendiente",AD249,0)</f>
        <v/>
      </c>
      <c r="AK249" s="1">
        <f>VLOOKUP(G249,CLIENTES!B:D,3,FALSE)</f>
        <v/>
      </c>
      <c r="AL249" s="1" t="inlineStr">
        <is>
          <t>nudos</t>
        </is>
      </c>
      <c r="AM249" s="1" t="inlineStr">
        <is>
          <t>Refacturación</t>
        </is>
      </c>
    </row>
    <row r="250" ht="15" customHeight="1" s="700">
      <c r="A250" s="1">
        <f>A249+1</f>
        <v/>
      </c>
      <c r="B250" s="26" t="n">
        <v>45833</v>
      </c>
      <c r="C250" s="1" t="inlineStr">
        <is>
          <t>c/ Las Cruzadas 3A, local D</t>
        </is>
      </c>
      <c r="D250" s="1" t="inlineStr">
        <is>
          <t>Sevilla 41004</t>
        </is>
      </c>
      <c r="E250" s="1" t="inlineStr">
        <is>
          <t>CIF B91938662</t>
        </is>
      </c>
      <c r="F250" s="1" t="inlineStr">
        <is>
          <t>aBalados@abalados.es</t>
        </is>
      </c>
      <c r="G250" s="1" t="inlineStr">
        <is>
          <t>Becerril Renovables, S.L.</t>
        </is>
      </c>
      <c r="H250" s="1">
        <f>VLOOKUP($G250,DATOS!$B:$E,2,FALSE)</f>
        <v/>
      </c>
      <c r="I250" s="1">
        <f>VLOOKUP($G250,DATOS!$B:$E,3,FALSE)</f>
        <v/>
      </c>
      <c r="J250" s="1">
        <f>VLOOKUP($G250,DATOS!$B:$E,4,FALSE)</f>
        <v/>
      </c>
      <c r="K250" s="1" t="inlineStr">
        <is>
          <t>Refacturación gastos y/o servicios prestados a nombre de la sociedad</t>
        </is>
      </c>
      <c r="M250" s="1" t="inlineStr">
        <is>
          <t>Jofran Mensajeros, S.L - Envio de documentación</t>
        </is>
      </c>
      <c r="N250" s="5" t="n">
        <v>2.83</v>
      </c>
      <c r="AB250" s="6" t="inlineStr">
        <is>
          <t>ES85 2080 3509 1130 4009 6171</t>
        </is>
      </c>
      <c r="AC250" s="1" t="inlineStr">
        <is>
          <t>pendiente</t>
        </is>
      </c>
      <c r="AD250" s="5">
        <f>L250+N250+P250+R250+T250+V250+X250+Z250</f>
        <v/>
      </c>
      <c r="AE250" s="5">
        <f>IF((LEFT(K250,6))="Contab",L250,0)</f>
        <v/>
      </c>
      <c r="AF250" s="6">
        <f>VLOOKUP(G250,CLIENTES!B:E,4,FALSE)</f>
        <v/>
      </c>
      <c r="AG250" s="5">
        <f>AF250*AE250</f>
        <v/>
      </c>
      <c r="AH250" s="5">
        <f>AD250*1.21</f>
        <v/>
      </c>
      <c r="AI250" s="261">
        <f>IF(AE250&lt;&gt;0,AG250/AD250,"N/A")</f>
        <v/>
      </c>
      <c r="AJ250" s="5">
        <f>IF(AC250="pendiente",AD250,0)</f>
        <v/>
      </c>
      <c r="AK250" s="1">
        <f>VLOOKUP(G250,CLIENTES!B:D,3,FALSE)</f>
        <v/>
      </c>
      <c r="AL250" s="1" t="inlineStr">
        <is>
          <t>nudos</t>
        </is>
      </c>
      <c r="AM250" s="1" t="inlineStr">
        <is>
          <t>Refacturación</t>
        </is>
      </c>
    </row>
    <row r="251" ht="15" customHeight="1" s="700">
      <c r="A251" s="1">
        <f>A250+1</f>
        <v/>
      </c>
      <c r="B251" s="26" t="n">
        <v>45833</v>
      </c>
      <c r="C251" s="1" t="inlineStr">
        <is>
          <t>c/ Las Cruzadas 3A, local D</t>
        </is>
      </c>
      <c r="D251" s="1" t="inlineStr">
        <is>
          <t>Sevilla 41004</t>
        </is>
      </c>
      <c r="E251" s="1" t="inlineStr">
        <is>
          <t>CIF B91938662</t>
        </is>
      </c>
      <c r="F251" s="1" t="inlineStr">
        <is>
          <t>aBalados@abalados.es</t>
        </is>
      </c>
      <c r="G251" s="1" t="inlineStr">
        <is>
          <t>Toro Renovables, S.L.</t>
        </is>
      </c>
      <c r="H251" s="1">
        <f>VLOOKUP($G251,DATOS!$B:$E,2,FALSE)</f>
        <v/>
      </c>
      <c r="I251" s="1">
        <f>VLOOKUP($G251,DATOS!$B:$E,3,FALSE)</f>
        <v/>
      </c>
      <c r="J251" s="1">
        <f>VLOOKUP($G251,DATOS!$B:$E,4,FALSE)</f>
        <v/>
      </c>
      <c r="K251" s="1" t="inlineStr">
        <is>
          <t>Refacturación gastos y/o servicios prestados a nombre de la sociedad</t>
        </is>
      </c>
      <c r="M251" s="1" t="inlineStr">
        <is>
          <t>Jofran Mensajeros, S.L - Envio de documentación</t>
        </is>
      </c>
      <c r="N251" s="5" t="n">
        <v>20.36</v>
      </c>
      <c r="AB251" s="6" t="inlineStr">
        <is>
          <t>ES85 2080 3509 1130 4009 6171</t>
        </is>
      </c>
      <c r="AC251" s="1" t="inlineStr">
        <is>
          <t>pagado</t>
        </is>
      </c>
      <c r="AD251" s="5">
        <f>L251+N251+P251+R251+T251+V251+X251+Z251</f>
        <v/>
      </c>
      <c r="AE251" s="5">
        <f>IF((LEFT(K251,6))="Contab",L251,0)</f>
        <v/>
      </c>
      <c r="AF251" s="6">
        <f>VLOOKUP(G251,CLIENTES!B:E,4,FALSE)</f>
        <v/>
      </c>
      <c r="AG251" s="5">
        <f>AF251*AE251</f>
        <v/>
      </c>
      <c r="AH251" s="5">
        <f>AD251*1.21</f>
        <v/>
      </c>
      <c r="AI251" s="261">
        <f>IF(AE251&lt;&gt;0,AG251/AD251,"N/A")</f>
        <v/>
      </c>
      <c r="AJ251" s="5">
        <f>IF(AC251="pendiente",AD251,0)</f>
        <v/>
      </c>
      <c r="AK251" s="1">
        <f>VLOOKUP(G251,CLIENTES!B:D,3,FALSE)</f>
        <v/>
      </c>
      <c r="AL251" s="1" t="inlineStr">
        <is>
          <t>nudos</t>
        </is>
      </c>
      <c r="AM251" s="1" t="inlineStr">
        <is>
          <t>Refacturación</t>
        </is>
      </c>
    </row>
    <row r="252" ht="15" customHeight="1" s="700">
      <c r="A252" s="1">
        <f>A251+1</f>
        <v/>
      </c>
      <c r="B252" s="26" t="n">
        <v>45833</v>
      </c>
      <c r="C252" s="1" t="inlineStr">
        <is>
          <t>c/ Las Cruzadas 3A, local D</t>
        </is>
      </c>
      <c r="D252" s="1" t="inlineStr">
        <is>
          <t>Sevilla 41004</t>
        </is>
      </c>
      <c r="E252" s="1" t="inlineStr">
        <is>
          <t>CIF B91938662</t>
        </is>
      </c>
      <c r="F252" s="1" t="inlineStr">
        <is>
          <t>aBalados@abalados.es</t>
        </is>
      </c>
      <c r="G252" s="1" t="inlineStr">
        <is>
          <t>ICE Santa Engracia, S.L.</t>
        </is>
      </c>
      <c r="H252" s="1">
        <f>VLOOKUP($G252,DATOS!$B:$E,2,FALSE)</f>
        <v/>
      </c>
      <c r="I252" s="1">
        <f>VLOOKUP($G252,DATOS!$B:$E,3,FALSE)</f>
        <v/>
      </c>
      <c r="J252" s="1">
        <f>VLOOKUP($G252,DATOS!$B:$E,4,FALSE)</f>
        <v/>
      </c>
      <c r="K252" s="1" t="inlineStr">
        <is>
          <t>Refacturación gastos y/o servicios prestados a nombre de la sociedad</t>
        </is>
      </c>
      <c r="M252" s="1" t="inlineStr">
        <is>
          <t>Jofran Mensajeros, S.L - Envio de documentación</t>
        </is>
      </c>
      <c r="N252" s="5" t="n">
        <v>6.58</v>
      </c>
      <c r="AB252" s="6" t="inlineStr">
        <is>
          <t>ES85 2080 3509 1130 4009 6171</t>
        </is>
      </c>
      <c r="AC252" s="1" t="inlineStr">
        <is>
          <t>pagado</t>
        </is>
      </c>
      <c r="AD252" s="5">
        <f>L252+N252+P252+R252+T252+V252+X252+Z252</f>
        <v/>
      </c>
      <c r="AE252" s="5">
        <f>IF((LEFT(K252,6))="Contab",L252,0)</f>
        <v/>
      </c>
      <c r="AF252" s="6">
        <f>VLOOKUP(G252,CLIENTES!B:E,4,FALSE)</f>
        <v/>
      </c>
      <c r="AG252" s="5">
        <f>AF252*AE252</f>
        <v/>
      </c>
      <c r="AH252" s="5">
        <f>AD252*1.21</f>
        <v/>
      </c>
      <c r="AI252" s="261">
        <f>IF(AE252&lt;&gt;0,AG252/AD252,"N/A")</f>
        <v/>
      </c>
      <c r="AJ252" s="5">
        <f>IF(AC252="pendiente",AD252,0)</f>
        <v/>
      </c>
      <c r="AK252" s="1">
        <f>VLOOKUP(G252,CLIENTES!B:D,3,FALSE)</f>
        <v/>
      </c>
      <c r="AL252" s="1" t="inlineStr">
        <is>
          <t>nudos</t>
        </is>
      </c>
      <c r="AM252" s="1" t="inlineStr">
        <is>
          <t>Refacturación</t>
        </is>
      </c>
    </row>
    <row r="253" ht="15" customHeight="1" s="700">
      <c r="A253" s="1">
        <f>A252+1</f>
        <v/>
      </c>
      <c r="B253" s="26" t="n">
        <v>45833</v>
      </c>
      <c r="C253" s="1" t="inlineStr">
        <is>
          <t>c/ Las Cruzadas 3A, local D</t>
        </is>
      </c>
      <c r="D253" s="1" t="inlineStr">
        <is>
          <t>Sevilla 41004</t>
        </is>
      </c>
      <c r="E253" s="1" t="inlineStr">
        <is>
          <t>CIF B91938662</t>
        </is>
      </c>
      <c r="F253" s="1" t="inlineStr">
        <is>
          <t>aBalados@abalados.es</t>
        </is>
      </c>
      <c r="G253" s="1" t="inlineStr">
        <is>
          <t>Irina Generación 220, A.I.E.</t>
        </is>
      </c>
      <c r="H253" s="1">
        <f>VLOOKUP($G253,DATOS!$B:$E,2,FALSE)</f>
        <v/>
      </c>
      <c r="I253" s="1">
        <f>VLOOKUP($G253,DATOS!$B:$E,3,FALSE)</f>
        <v/>
      </c>
      <c r="J253" s="1">
        <f>VLOOKUP($G253,DATOS!$B:$E,4,FALSE)</f>
        <v/>
      </c>
      <c r="K253" s="1" t="inlineStr">
        <is>
          <t>Refacturación gastos y/o servicios prestados a nombre de la sociedad</t>
        </is>
      </c>
      <c r="M253" s="1" t="inlineStr">
        <is>
          <t>CORREOS F250180604</t>
        </is>
      </c>
      <c r="N253" s="5" t="n">
        <v>29.04</v>
      </c>
      <c r="O253" s="1" t="inlineStr">
        <is>
          <t>CORREOS F250172598</t>
        </is>
      </c>
      <c r="P253" s="5" t="n">
        <v>26.74</v>
      </c>
      <c r="Q253" s="1" t="inlineStr">
        <is>
          <t>CORREOS F250172590</t>
        </is>
      </c>
      <c r="R253" s="5" t="n">
        <v>26.74</v>
      </c>
      <c r="AB253" s="6" t="inlineStr">
        <is>
          <t>ES85 2080 3509 1130 4009 6171</t>
        </is>
      </c>
      <c r="AC253" s="1" t="inlineStr">
        <is>
          <t>pagado</t>
        </is>
      </c>
      <c r="AD253" s="5">
        <f>L253+N253+P253+R253+T253+V253+X253+Z253</f>
        <v/>
      </c>
      <c r="AE253" s="5">
        <f>IF((LEFT(K253,6))="Contab",L253,0)</f>
        <v/>
      </c>
      <c r="AF253" s="6">
        <f>VLOOKUP(G253,CLIENTES!B:E,4,FALSE)</f>
        <v/>
      </c>
      <c r="AG253" s="5">
        <f>AF253*AE253</f>
        <v/>
      </c>
      <c r="AH253" s="5">
        <f>AD253*1.21</f>
        <v/>
      </c>
      <c r="AI253" s="261">
        <f>IF(AE253&lt;&gt;0,AG253/AD253,"N/A")</f>
        <v/>
      </c>
      <c r="AJ253" s="5">
        <f>IF(AC253="pendiente",AD253,0)</f>
        <v/>
      </c>
      <c r="AK253" s="1">
        <f>VLOOKUP(G253,CLIENTES!B:D,3,FALSE)</f>
        <v/>
      </c>
      <c r="AL253" s="1" t="inlineStr">
        <is>
          <t>nudos</t>
        </is>
      </c>
      <c r="AM253" s="1" t="inlineStr">
        <is>
          <t>Refacturación</t>
        </is>
      </c>
    </row>
    <row r="254" ht="15" customHeight="1" s="700">
      <c r="A254" s="1">
        <f>A253+1</f>
        <v/>
      </c>
      <c r="B254" s="26" t="n">
        <v>45833</v>
      </c>
      <c r="C254" s="1" t="inlineStr">
        <is>
          <t>c/ Las Cruzadas 3A, local D</t>
        </is>
      </c>
      <c r="D254" s="1" t="inlineStr">
        <is>
          <t>Sevilla 41004</t>
        </is>
      </c>
      <c r="E254" s="1" t="inlineStr">
        <is>
          <t>CIF B91938662</t>
        </is>
      </c>
      <c r="F254" s="1" t="inlineStr">
        <is>
          <t>aBalados@abalados.es</t>
        </is>
      </c>
      <c r="G254" s="1" t="inlineStr">
        <is>
          <t>SE Colectora Ayora Renovables, A.I.E.</t>
        </is>
      </c>
      <c r="H254" s="1">
        <f>VLOOKUP($G254,DATOS!$B:$E,2,FALSE)</f>
        <v/>
      </c>
      <c r="I254" s="1">
        <f>VLOOKUP($G254,DATOS!$B:$E,3,FALSE)</f>
        <v/>
      </c>
      <c r="J254" s="1">
        <f>VLOOKUP($G254,DATOS!$B:$E,4,FALSE)</f>
        <v/>
      </c>
      <c r="K254" s="1" t="inlineStr">
        <is>
          <t>Refacturación gastos y/o servicios prestados a nombre de la sociedad</t>
        </is>
      </c>
      <c r="M254" s="1" t="inlineStr">
        <is>
          <t>Jofran Mensajeros, S.L - Envio de documentación</t>
        </is>
      </c>
      <c r="N254" s="5" t="n">
        <v>3.29</v>
      </c>
      <c r="AB254" s="6" t="inlineStr">
        <is>
          <t>ES85 2080 3509 1130 4009 6171</t>
        </is>
      </c>
      <c r="AC254" s="1" t="inlineStr">
        <is>
          <t>pagado</t>
        </is>
      </c>
      <c r="AD254" s="5">
        <f>L254+N254+P254+R254+T254+V254+X254+Z254</f>
        <v/>
      </c>
      <c r="AE254" s="5">
        <f>IF((LEFT(K254,6))="Contab",L254,0)</f>
        <v/>
      </c>
      <c r="AF254" s="6">
        <f>VLOOKUP(G254,CLIENTES!B:E,4,FALSE)</f>
        <v/>
      </c>
      <c r="AG254" s="5">
        <f>AF254*AE254</f>
        <v/>
      </c>
      <c r="AH254" s="5">
        <f>AD254*1.21</f>
        <v/>
      </c>
      <c r="AI254" s="261">
        <f>IF(AE254&lt;&gt;0,AG254/AD254,"N/A")</f>
        <v/>
      </c>
      <c r="AJ254" s="5">
        <f>IF(AC254="pendiente",AD254,0)</f>
        <v/>
      </c>
      <c r="AK254" s="1">
        <f>VLOOKUP(G254,CLIENTES!B:D,3,FALSE)</f>
        <v/>
      </c>
      <c r="AL254" s="1" t="inlineStr">
        <is>
          <t>nudos</t>
        </is>
      </c>
      <c r="AM254" s="1" t="inlineStr">
        <is>
          <t>Refacturación</t>
        </is>
      </c>
    </row>
    <row r="255" ht="15" customHeight="1" s="700">
      <c r="A255" s="1">
        <f>A254+1</f>
        <v/>
      </c>
      <c r="B255" s="26" t="n">
        <v>45833</v>
      </c>
      <c r="C255" s="1" t="inlineStr">
        <is>
          <t>c/ Las Cruzadas 3A, local D</t>
        </is>
      </c>
      <c r="D255" s="1" t="inlineStr">
        <is>
          <t>Sevilla 41004</t>
        </is>
      </c>
      <c r="E255" s="1" t="inlineStr">
        <is>
          <t>CIF B91938662</t>
        </is>
      </c>
      <c r="F255" s="1" t="inlineStr">
        <is>
          <t>aBalados@abalados.es</t>
        </is>
      </c>
      <c r="G255" s="1" t="inlineStr">
        <is>
          <t>Renovables Valle Solar Fotovoltaica, A.I.E.</t>
        </is>
      </c>
      <c r="H255" s="1">
        <f>VLOOKUP($G255,DATOS!$B:$E,2,FALSE)</f>
        <v/>
      </c>
      <c r="I255" s="1">
        <f>VLOOKUP($G255,DATOS!$B:$E,3,FALSE)</f>
        <v/>
      </c>
      <c r="J255" s="1">
        <f>VLOOKUP($G255,DATOS!$B:$E,4,FALSE)</f>
        <v/>
      </c>
      <c r="K255" s="1" t="inlineStr">
        <is>
          <t>Refacturación gastos y/o servicios prestados a nombre de la sociedad</t>
        </is>
      </c>
      <c r="M255" s="1" t="inlineStr">
        <is>
          <t>Jofran Mensajeros, S.L - Envio de documentación</t>
        </is>
      </c>
      <c r="N255" s="5" t="n">
        <v>3.29</v>
      </c>
      <c r="AB255" s="6" t="inlineStr">
        <is>
          <t>ES85 2080 3509 1130 4009 6171</t>
        </is>
      </c>
      <c r="AC255" s="1" t="inlineStr">
        <is>
          <t>pagado</t>
        </is>
      </c>
      <c r="AD255" s="5">
        <f>L255+N255+P255+R255+T255+V255+X255+Z255</f>
        <v/>
      </c>
      <c r="AE255" s="5">
        <f>IF((LEFT(K255,6))="Contab",L255,0)</f>
        <v/>
      </c>
      <c r="AF255" s="6">
        <f>VLOOKUP(G255,CLIENTES!B:E,4,FALSE)</f>
        <v/>
      </c>
      <c r="AG255" s="5">
        <f>AF255*AE255</f>
        <v/>
      </c>
      <c r="AH255" s="5">
        <f>AD255*1.21</f>
        <v/>
      </c>
      <c r="AI255" s="261">
        <f>IF(AE255&lt;&gt;0,AG255/AD255,"N/A")</f>
        <v/>
      </c>
      <c r="AJ255" s="5">
        <f>IF(AC255="pendiente",AD255,0)</f>
        <v/>
      </c>
      <c r="AK255" s="1">
        <f>VLOOKUP(G255,CLIENTES!B:D,3,FALSE)</f>
        <v/>
      </c>
      <c r="AL255" s="1" t="inlineStr">
        <is>
          <t>nudos</t>
        </is>
      </c>
      <c r="AM255" s="1" t="inlineStr">
        <is>
          <t>Refacturación</t>
        </is>
      </c>
    </row>
    <row r="256" ht="15" customHeight="1" s="700">
      <c r="A256" s="1">
        <f>A255+1</f>
        <v/>
      </c>
      <c r="B256" s="26" t="n">
        <v>45833</v>
      </c>
      <c r="C256" s="1" t="inlineStr">
        <is>
          <t>c/ Las Cruzadas 3A, local D</t>
        </is>
      </c>
      <c r="D256" s="1" t="inlineStr">
        <is>
          <t>Sevilla 41004</t>
        </is>
      </c>
      <c r="E256" s="1" t="inlineStr">
        <is>
          <t>CIF B91938662</t>
        </is>
      </c>
      <c r="F256" s="1" t="inlineStr">
        <is>
          <t>aBalados@abalados.es</t>
        </is>
      </c>
      <c r="G256" s="1" t="inlineStr">
        <is>
          <t>Grijota Renovables, S.L.</t>
        </is>
      </c>
      <c r="H256" s="1">
        <f>VLOOKUP($G256,DATOS!$B:$E,2,FALSE)</f>
        <v/>
      </c>
      <c r="I256" s="1">
        <f>VLOOKUP($G256,DATOS!$B:$E,3,FALSE)</f>
        <v/>
      </c>
      <c r="J256" s="1">
        <f>VLOOKUP($G256,DATOS!$B:$E,4,FALSE)</f>
        <v/>
      </c>
      <c r="K256" s="1" t="inlineStr">
        <is>
          <t>Refacturación gastos y/o servicios prestados a nombre de la sociedad</t>
        </is>
      </c>
      <c r="M256" s="1" t="inlineStr">
        <is>
          <t>Jofran Mensajeros, S.L - Envio de documentación</t>
        </is>
      </c>
      <c r="N256" s="5" t="n">
        <v>9.41</v>
      </c>
      <c r="AB256" s="6" t="inlineStr">
        <is>
          <t>ES85 2080 3509 1130 4009 6171</t>
        </is>
      </c>
      <c r="AC256" s="1" t="inlineStr">
        <is>
          <t>pagado</t>
        </is>
      </c>
      <c r="AD256" s="5">
        <f>L256+N256+P256+R256+T256+V256+X256+Z256</f>
        <v/>
      </c>
      <c r="AE256" s="5">
        <f>IF((LEFT(K256,6))="Contab",L256,0)</f>
        <v/>
      </c>
      <c r="AF256" s="6">
        <f>VLOOKUP(G256,CLIENTES!B:E,4,FALSE)</f>
        <v/>
      </c>
      <c r="AG256" s="5">
        <f>AF256*AE256</f>
        <v/>
      </c>
      <c r="AH256" s="5">
        <f>AD256*1.21</f>
        <v/>
      </c>
      <c r="AI256" s="261">
        <f>IF(AE256&lt;&gt;0,AG256/AD256,"N/A")</f>
        <v/>
      </c>
      <c r="AJ256" s="5">
        <f>IF(AC256="pendiente",AD256,0)</f>
        <v/>
      </c>
      <c r="AK256" s="1">
        <f>VLOOKUP(G256,CLIENTES!B:D,3,FALSE)</f>
        <v/>
      </c>
      <c r="AL256" s="1" t="inlineStr">
        <is>
          <t>nudos</t>
        </is>
      </c>
      <c r="AM256" s="1" t="inlineStr">
        <is>
          <t>Refacturación</t>
        </is>
      </c>
    </row>
    <row r="257" ht="15" customHeight="1" s="700">
      <c r="A257" s="1">
        <f>A256+1</f>
        <v/>
      </c>
      <c r="B257" s="26" t="n">
        <v>45833</v>
      </c>
      <c r="C257" s="1" t="inlineStr">
        <is>
          <t>c/ Las Cruzadas 3A, local D</t>
        </is>
      </c>
      <c r="D257" s="1" t="inlineStr">
        <is>
          <t>Sevilla 41004</t>
        </is>
      </c>
      <c r="E257" s="1" t="inlineStr">
        <is>
          <t>CIF B91938662</t>
        </is>
      </c>
      <c r="F257" s="1" t="inlineStr">
        <is>
          <t>aBalados@abalados.es</t>
        </is>
      </c>
      <c r="G257" s="1" t="inlineStr">
        <is>
          <t>Monte Reina Renovables, S.L.</t>
        </is>
      </c>
      <c r="H257" s="1">
        <f>VLOOKUP($G257,DATOS!$B:$E,2,FALSE)</f>
        <v/>
      </c>
      <c r="I257" s="1">
        <f>VLOOKUP($G257,DATOS!$B:$E,3,FALSE)</f>
        <v/>
      </c>
      <c r="J257" s="1">
        <f>VLOOKUP($G257,DATOS!$B:$E,4,FALSE)</f>
        <v/>
      </c>
      <c r="K257" s="1" t="inlineStr">
        <is>
          <t>Refacturación gastos y/o servicios prestados a nombre de la sociedad</t>
        </is>
      </c>
      <c r="M257" s="1" t="inlineStr">
        <is>
          <t>Jofran Mensajeros, S.L - Envio de documentación</t>
        </is>
      </c>
      <c r="N257" s="5" t="n">
        <v>23.16</v>
      </c>
      <c r="AB257" s="6" t="inlineStr">
        <is>
          <t>ES85 2080 3509 1130 4009 6171</t>
        </is>
      </c>
      <c r="AC257" s="1" t="inlineStr">
        <is>
          <t>pagado</t>
        </is>
      </c>
      <c r="AD257" s="5">
        <f>L257+N257+P257+R257+T257+V257+X257+Z257</f>
        <v/>
      </c>
      <c r="AE257" s="5">
        <f>IF((LEFT(K257,6))="Contab",L257,0)</f>
        <v/>
      </c>
      <c r="AF257" s="6">
        <f>VLOOKUP(G257,CLIENTES!B:E,4,FALSE)</f>
        <v/>
      </c>
      <c r="AG257" s="5">
        <f>AF257*AE257</f>
        <v/>
      </c>
      <c r="AH257" s="5">
        <f>AD257*1.21</f>
        <v/>
      </c>
      <c r="AI257" s="261">
        <f>IF(AE257&lt;&gt;0,AG257/AD257,"N/A")</f>
        <v/>
      </c>
      <c r="AJ257" s="5">
        <f>IF(AC257="pendiente",AD257,0)</f>
        <v/>
      </c>
      <c r="AK257" s="1">
        <f>VLOOKUP(G257,CLIENTES!B:D,3,FALSE)</f>
        <v/>
      </c>
      <c r="AL257" s="1" t="inlineStr">
        <is>
          <t>nudos</t>
        </is>
      </c>
      <c r="AM257" s="1" t="inlineStr">
        <is>
          <t>Refacturación</t>
        </is>
      </c>
    </row>
    <row r="258" ht="15" customHeight="1" s="700">
      <c r="A258" s="1">
        <f>A257+1</f>
        <v/>
      </c>
      <c r="B258" s="26" t="n">
        <v>45833</v>
      </c>
      <c r="C258" s="1" t="inlineStr">
        <is>
          <t>c/ Las Cruzadas 3A, local D</t>
        </is>
      </c>
      <c r="D258" s="1" t="inlineStr">
        <is>
          <t>Sevilla 41004</t>
        </is>
      </c>
      <c r="E258" s="1" t="inlineStr">
        <is>
          <t>CIF B91938662</t>
        </is>
      </c>
      <c r="F258" s="1" t="inlineStr">
        <is>
          <t>aBalados@abalados.es</t>
        </is>
      </c>
      <c r="G258" s="1" t="inlineStr">
        <is>
          <t>Línea Covatillas, A.I.E.</t>
        </is>
      </c>
      <c r="H258" s="1">
        <f>VLOOKUP($G258,DATOS!$B:$E,2,FALSE)</f>
        <v/>
      </c>
      <c r="I258" s="1">
        <f>VLOOKUP($G258,DATOS!$B:$E,3,FALSE)</f>
        <v/>
      </c>
      <c r="J258" s="1">
        <f>VLOOKUP($G258,DATOS!$B:$E,4,FALSE)</f>
        <v/>
      </c>
      <c r="K258" s="1" t="inlineStr">
        <is>
          <t>Refacturación gastos y/o servicios prestados a nombre de la sociedad</t>
        </is>
      </c>
      <c r="M258" s="1" t="inlineStr">
        <is>
          <t>Jofran Mensajeros, S.L - Envio de documentación</t>
        </is>
      </c>
      <c r="N258" s="5" t="n">
        <v>6.58</v>
      </c>
      <c r="AB258" s="6" t="inlineStr">
        <is>
          <t>ES85 2080 3509 1130 4009 6171</t>
        </is>
      </c>
      <c r="AC258" s="1" t="inlineStr">
        <is>
          <t>pagado</t>
        </is>
      </c>
      <c r="AD258" s="5">
        <f>L258+N258+P258+R258+T258+V258+X258+Z258</f>
        <v/>
      </c>
      <c r="AE258" s="5">
        <f>IF((LEFT(K258,6))="Contab",L258,0)</f>
        <v/>
      </c>
      <c r="AF258" s="6">
        <f>VLOOKUP(G258,CLIENTES!B:E,4,FALSE)</f>
        <v/>
      </c>
      <c r="AG258" s="5">
        <f>AF258*AE258</f>
        <v/>
      </c>
      <c r="AH258" s="5">
        <f>AD258*1.21</f>
        <v/>
      </c>
      <c r="AI258" s="261">
        <f>IF(AE258&lt;&gt;0,AG258/AD258,"N/A")</f>
        <v/>
      </c>
      <c r="AJ258" s="5">
        <f>IF(AC258="pendiente",AD258,0)</f>
        <v/>
      </c>
      <c r="AK258" s="1">
        <f>VLOOKUP(G258,CLIENTES!B:D,3,FALSE)</f>
        <v/>
      </c>
      <c r="AL258" s="1" t="inlineStr">
        <is>
          <t>nudos</t>
        </is>
      </c>
      <c r="AM258" s="1" t="inlineStr">
        <is>
          <t>Refacturación</t>
        </is>
      </c>
    </row>
    <row r="259" ht="15" customHeight="1" s="700">
      <c r="A259" s="1">
        <f>A258+1</f>
        <v/>
      </c>
      <c r="B259" s="26" t="n">
        <v>45833</v>
      </c>
      <c r="C259" s="1" t="inlineStr">
        <is>
          <t>c/ Las Cruzadas 3A, local D</t>
        </is>
      </c>
      <c r="D259" s="1" t="inlineStr">
        <is>
          <t>Sevilla 41004</t>
        </is>
      </c>
      <c r="E259" s="1" t="inlineStr">
        <is>
          <t>CIF B91938662</t>
        </is>
      </c>
      <c r="F259" s="1" t="inlineStr">
        <is>
          <t>aBalados@abalados.es</t>
        </is>
      </c>
      <c r="G259" s="1" t="inlineStr">
        <is>
          <t>ICE Andújar, S.L.</t>
        </is>
      </c>
      <c r="H259" s="1">
        <f>VLOOKUP($G259,DATOS!$B:$E,2,FALSE)</f>
        <v/>
      </c>
      <c r="I259" s="1">
        <f>VLOOKUP($G259,DATOS!$B:$E,3,FALSE)</f>
        <v/>
      </c>
      <c r="J259" s="1">
        <f>VLOOKUP($G259,DATOS!$B:$E,4,FALSE)</f>
        <v/>
      </c>
      <c r="K259" s="1" t="inlineStr">
        <is>
          <t>Refacturación gastos y/o servicios prestados a nombre de la sociedad</t>
        </is>
      </c>
      <c r="M259" s="1" t="inlineStr">
        <is>
          <t>Jofran Mensajeros, S.L - Envio de documentación</t>
        </is>
      </c>
      <c r="N259" s="5" t="n">
        <v>13.16</v>
      </c>
      <c r="AB259" s="6" t="inlineStr">
        <is>
          <t>ES85 2080 3509 1130 4009 6171</t>
        </is>
      </c>
      <c r="AC259" s="1" t="inlineStr">
        <is>
          <t>pendiente</t>
        </is>
      </c>
      <c r="AD259" s="5">
        <f>L259+N259+P259+R259+T259+V259+X259+Z259</f>
        <v/>
      </c>
      <c r="AE259" s="5">
        <f>IF((LEFT(K259,6))="Contab",L259,0)</f>
        <v/>
      </c>
      <c r="AF259" s="6">
        <f>VLOOKUP(G259,CLIENTES!B:E,4,FALSE)</f>
        <v/>
      </c>
      <c r="AG259" s="5">
        <f>AF259*AE259</f>
        <v/>
      </c>
      <c r="AH259" s="5">
        <f>AD259*1.21</f>
        <v/>
      </c>
      <c r="AI259" s="261">
        <f>IF(AE259&lt;&gt;0,AG259/AD259,"N/A")</f>
        <v/>
      </c>
      <c r="AJ259" s="5">
        <f>IF(AC259="pendiente",AD259,0)</f>
        <v/>
      </c>
      <c r="AK259" s="1">
        <f>VLOOKUP(G259,CLIENTES!B:D,3,FALSE)</f>
        <v/>
      </c>
      <c r="AL259" s="1" t="inlineStr">
        <is>
          <t>nudos</t>
        </is>
      </c>
      <c r="AM259" s="1" t="inlineStr">
        <is>
          <t>Refacturación</t>
        </is>
      </c>
    </row>
    <row r="260" ht="15" customHeight="1" s="700">
      <c r="A260" s="1">
        <f>A259+1</f>
        <v/>
      </c>
      <c r="B260" s="26" t="n">
        <v>45833</v>
      </c>
      <c r="C260" s="1" t="inlineStr">
        <is>
          <t>c/ Las Cruzadas 3A, local D</t>
        </is>
      </c>
      <c r="D260" s="1" t="inlineStr">
        <is>
          <t>Sevilla 41004</t>
        </is>
      </c>
      <c r="E260" s="1" t="inlineStr">
        <is>
          <t>CIF B91938662</t>
        </is>
      </c>
      <c r="F260" s="1" t="inlineStr">
        <is>
          <t>aBalados@abalados.es</t>
        </is>
      </c>
      <c r="G260" s="1" t="inlineStr">
        <is>
          <t>Valcabado Renovables 220 kV, S.L.</t>
        </is>
      </c>
      <c r="H260" s="1">
        <f>VLOOKUP($G260,DATOS!$B:$E,2,FALSE)</f>
        <v/>
      </c>
      <c r="I260" s="1">
        <f>VLOOKUP($G260,DATOS!$B:$E,3,FALSE)</f>
        <v/>
      </c>
      <c r="J260" s="1">
        <f>VLOOKUP($G260,DATOS!$B:$E,4,FALSE)</f>
        <v/>
      </c>
      <c r="K260" s="1" t="inlineStr">
        <is>
          <t>Refacturación gastos y/o servicios prestados a nombre de la sociedad</t>
        </is>
      </c>
      <c r="M260" s="1" t="inlineStr">
        <is>
          <t>Jofran Mensajeros, S.L - Envio de documentación</t>
        </is>
      </c>
      <c r="N260" s="5" t="n">
        <v>23.16</v>
      </c>
      <c r="AB260" s="6" t="inlineStr">
        <is>
          <t>ES85 2080 3509 1130 4009 6171</t>
        </is>
      </c>
      <c r="AC260" s="1" t="inlineStr">
        <is>
          <t>pagado</t>
        </is>
      </c>
      <c r="AD260" s="5">
        <f>L260+N260+P260+R260+T260+V260+X260+Z260</f>
        <v/>
      </c>
      <c r="AE260" s="5">
        <f>IF((LEFT(K260,6))="Contab",L260,0)</f>
        <v/>
      </c>
      <c r="AF260" s="6">
        <f>VLOOKUP(G260,CLIENTES!B:E,4,FALSE)</f>
        <v/>
      </c>
      <c r="AG260" s="5">
        <f>AF260*AE260</f>
        <v/>
      </c>
      <c r="AH260" s="5">
        <f>AD260*1.21</f>
        <v/>
      </c>
      <c r="AI260" s="261">
        <f>IF(AE260&lt;&gt;0,AG260/AD260,"N/A")</f>
        <v/>
      </c>
      <c r="AJ260" s="5">
        <f>IF(AC260="pendiente",AD260,0)</f>
        <v/>
      </c>
      <c r="AK260" s="1">
        <f>VLOOKUP(G260,CLIENTES!B:D,3,FALSE)</f>
        <v/>
      </c>
      <c r="AL260" s="1" t="inlineStr">
        <is>
          <t>nudos</t>
        </is>
      </c>
      <c r="AM260" s="1" t="inlineStr">
        <is>
          <t>Refacturación</t>
        </is>
      </c>
    </row>
    <row r="261" ht="15" customHeight="1" s="700">
      <c r="A261" s="1">
        <f>A260+1</f>
        <v/>
      </c>
      <c r="B261" s="26" t="n">
        <v>45833</v>
      </c>
      <c r="C261" s="1" t="inlineStr">
        <is>
          <t>c/ Las Cruzadas 3A, local D</t>
        </is>
      </c>
      <c r="D261" s="1" t="inlineStr">
        <is>
          <t>Sevilla 41004</t>
        </is>
      </c>
      <c r="E261" s="1" t="inlineStr">
        <is>
          <t>CIF B91938662</t>
        </is>
      </c>
      <c r="F261" s="1" t="inlineStr">
        <is>
          <t>aBalados@abalados.es</t>
        </is>
      </c>
      <c r="G261" s="1" t="inlineStr">
        <is>
          <t>ICE Sequero, S.L.</t>
        </is>
      </c>
      <c r="H261" s="1">
        <f>VLOOKUP($G261,DATOS!$B:$E,2,FALSE)</f>
        <v/>
      </c>
      <c r="I261" s="1">
        <f>VLOOKUP($G261,DATOS!$B:$E,3,FALSE)</f>
        <v/>
      </c>
      <c r="J261" s="1">
        <f>VLOOKUP($G261,DATOS!$B:$E,4,FALSE)</f>
        <v/>
      </c>
      <c r="K261" s="1" t="inlineStr">
        <is>
          <t>Refacturación gastos y/o servicios prestados a nombre de la sociedad</t>
        </is>
      </c>
      <c r="M261" s="1" t="inlineStr">
        <is>
          <t>Jofran Mensajeros, S.L - Envio de documentación</t>
        </is>
      </c>
      <c r="N261" s="5" t="n">
        <v>5.66</v>
      </c>
      <c r="AB261" s="6" t="inlineStr">
        <is>
          <t>ES85 2080 3509 1130 4009 6171</t>
        </is>
      </c>
      <c r="AC261" s="1" t="inlineStr">
        <is>
          <t>pendiente</t>
        </is>
      </c>
      <c r="AD261" s="5">
        <f>L261+N261+P261+R261+T261+V261+X261+Z261</f>
        <v/>
      </c>
      <c r="AE261" s="5">
        <f>IF((LEFT(K261,6))="Contab",L261,0)</f>
        <v/>
      </c>
      <c r="AF261" s="6">
        <f>VLOOKUP(G261,CLIENTES!B:E,4,FALSE)</f>
        <v/>
      </c>
      <c r="AG261" s="5">
        <f>AF261*AE261</f>
        <v/>
      </c>
      <c r="AH261" s="5">
        <f>AD261*1.21</f>
        <v/>
      </c>
      <c r="AI261" s="261">
        <f>IF(AE261&lt;&gt;0,AG261/AD261,"N/A")</f>
        <v/>
      </c>
      <c r="AJ261" s="5">
        <f>IF(AC261="pendiente",AD261,0)</f>
        <v/>
      </c>
      <c r="AK261" s="1">
        <f>VLOOKUP(G261,CLIENTES!B:D,3,FALSE)</f>
        <v/>
      </c>
      <c r="AL261" s="1" t="inlineStr">
        <is>
          <t>nudos</t>
        </is>
      </c>
      <c r="AM261" s="1" t="inlineStr">
        <is>
          <t>Refacturación</t>
        </is>
      </c>
    </row>
    <row r="262" ht="15" customHeight="1" s="700">
      <c r="A262" s="1">
        <f>A261+1</f>
        <v/>
      </c>
      <c r="B262" s="26" t="n">
        <v>45833</v>
      </c>
      <c r="C262" s="1" t="inlineStr">
        <is>
          <t>c/ Las Cruzadas 3A, local D</t>
        </is>
      </c>
      <c r="D262" s="1" t="inlineStr">
        <is>
          <t>Sevilla 41004</t>
        </is>
      </c>
      <c r="E262" s="1" t="inlineStr">
        <is>
          <t>CIF B91938662</t>
        </is>
      </c>
      <c r="F262" s="1" t="inlineStr">
        <is>
          <t>aBalados@abalados.es</t>
        </is>
      </c>
      <c r="G262" s="1" t="inlineStr">
        <is>
          <t>Promotores Albatarrec 220 kV, S.L.</t>
        </is>
      </c>
      <c r="H262" s="1">
        <f>VLOOKUP($G262,DATOS!$B:$E,2,FALSE)</f>
        <v/>
      </c>
      <c r="I262" s="1">
        <f>VLOOKUP($G262,DATOS!$B:$E,3,FALSE)</f>
        <v/>
      </c>
      <c r="J262" s="1">
        <f>VLOOKUP($G262,DATOS!$B:$E,4,FALSE)</f>
        <v/>
      </c>
      <c r="K262" s="1" t="inlineStr">
        <is>
          <t>Refacturación gastos y/o servicios prestados a nombre de la sociedad</t>
        </is>
      </c>
      <c r="M262" s="1" t="inlineStr">
        <is>
          <t>Jofran Mensajeros, S.L - Envio de documentación</t>
        </is>
      </c>
      <c r="N262" s="5" t="n">
        <v>19.74</v>
      </c>
      <c r="AB262" s="6" t="inlineStr">
        <is>
          <t>ES85 2080 3509 1130 4009 6171</t>
        </is>
      </c>
      <c r="AC262" s="1" t="inlineStr">
        <is>
          <t>pagado</t>
        </is>
      </c>
      <c r="AD262" s="5">
        <f>L262+N262+P262+R262+T262+V262+X262+Z262</f>
        <v/>
      </c>
      <c r="AE262" s="5">
        <f>IF((LEFT(K262,6))="Contab",L262,0)</f>
        <v/>
      </c>
      <c r="AF262" s="6">
        <f>VLOOKUP(G262,CLIENTES!B:E,4,FALSE)</f>
        <v/>
      </c>
      <c r="AG262" s="5">
        <f>AF262*AE262</f>
        <v/>
      </c>
      <c r="AH262" s="5">
        <f>AD262*1.21</f>
        <v/>
      </c>
      <c r="AI262" s="261">
        <f>IF(AE262&lt;&gt;0,AG262/AD262,"N/A")</f>
        <v/>
      </c>
      <c r="AJ262" s="5">
        <f>IF(AC262="pendiente",AD262,0)</f>
        <v/>
      </c>
      <c r="AK262" s="1">
        <f>VLOOKUP(G262,CLIENTES!B:D,3,FALSE)</f>
        <v/>
      </c>
      <c r="AL262" s="1" t="inlineStr">
        <is>
          <t>nudos</t>
        </is>
      </c>
      <c r="AM262" s="1" t="inlineStr">
        <is>
          <t>Refacturación</t>
        </is>
      </c>
    </row>
    <row r="263" ht="15" customHeight="1" s="700">
      <c r="A263" s="1">
        <f>A262+1</f>
        <v/>
      </c>
      <c r="B263" s="26" t="n">
        <v>45833</v>
      </c>
      <c r="C263" s="1" t="inlineStr">
        <is>
          <t>c/ Las Cruzadas 3A, local D</t>
        </is>
      </c>
      <c r="D263" s="1" t="inlineStr">
        <is>
          <t>Sevilla 41004</t>
        </is>
      </c>
      <c r="E263" s="1" t="inlineStr">
        <is>
          <t>CIF B91938662</t>
        </is>
      </c>
      <c r="F263" s="1" t="inlineStr">
        <is>
          <t>aBalados@abalados.es</t>
        </is>
      </c>
      <c r="G263" s="1" t="inlineStr">
        <is>
          <t>Maria Renovables, S.L.</t>
        </is>
      </c>
      <c r="H263" s="1">
        <f>VLOOKUP($G263,DATOS!$B:$E,2,FALSE)</f>
        <v/>
      </c>
      <c r="I263" s="1">
        <f>VLOOKUP($G263,DATOS!$B:$E,3,FALSE)</f>
        <v/>
      </c>
      <c r="J263" s="1">
        <f>VLOOKUP($G263,DATOS!$B:$E,4,FALSE)</f>
        <v/>
      </c>
      <c r="K263" s="1" t="inlineStr">
        <is>
          <t>Refacturación gastos y/o servicios prestados a nombre de la sociedad</t>
        </is>
      </c>
      <c r="M263" s="1" t="inlineStr">
        <is>
          <t>REG MERCANTIL DE ZARAGOZA 2025/2400</t>
        </is>
      </c>
      <c r="N263" s="5" t="n">
        <v>24.49</v>
      </c>
      <c r="AB263" s="6" t="inlineStr">
        <is>
          <t>ES85 2080 3509 1130 4009 6171</t>
        </is>
      </c>
      <c r="AC263" s="1" t="inlineStr">
        <is>
          <t>pagado</t>
        </is>
      </c>
      <c r="AD263" s="5">
        <f>L263+N263+P263+R263+T263+V263+X263+Z263</f>
        <v/>
      </c>
      <c r="AE263" s="5">
        <f>IF((LEFT(K263,6))="Contab",L263,0)</f>
        <v/>
      </c>
      <c r="AF263" s="6">
        <f>VLOOKUP(G263,CLIENTES!B:E,4,FALSE)</f>
        <v/>
      </c>
      <c r="AG263" s="5">
        <f>AF263*AE263</f>
        <v/>
      </c>
      <c r="AH263" s="5">
        <f>AD263*1.21</f>
        <v/>
      </c>
      <c r="AI263" s="261">
        <f>IF(AE263&lt;&gt;0,AG263/AD263,"N/A")</f>
        <v/>
      </c>
      <c r="AJ263" s="5">
        <f>IF(AC263="pendiente",AD263,0)</f>
        <v/>
      </c>
      <c r="AK263" s="1">
        <f>VLOOKUP(G263,CLIENTES!B:D,3,FALSE)</f>
        <v/>
      </c>
      <c r="AL263" s="1" t="inlineStr">
        <is>
          <t>nudos</t>
        </is>
      </c>
      <c r="AM263" s="1" t="inlineStr">
        <is>
          <t>Refacturación</t>
        </is>
      </c>
    </row>
    <row r="264" ht="15" customHeight="1" s="700">
      <c r="A264" s="1">
        <f>A263+1</f>
        <v/>
      </c>
      <c r="B264" s="26" t="n">
        <v>45833</v>
      </c>
      <c r="C264" s="1" t="inlineStr">
        <is>
          <t>c/ Las Cruzadas 3A, local D</t>
        </is>
      </c>
      <c r="D264" s="1" t="inlineStr">
        <is>
          <t>Sevilla 41004</t>
        </is>
      </c>
      <c r="E264" s="1" t="inlineStr">
        <is>
          <t>CIF B91938662</t>
        </is>
      </c>
      <c r="F264" s="1" t="inlineStr">
        <is>
          <t>aBalados@abalados.es</t>
        </is>
      </c>
      <c r="G264" s="1" t="inlineStr">
        <is>
          <t>Tordesillas T2PRIMA 132KV, S.L.</t>
        </is>
      </c>
      <c r="H264" s="1">
        <f>VLOOKUP($G264,DATOS!$B:$E,2,FALSE)</f>
        <v/>
      </c>
      <c r="I264" s="1">
        <f>VLOOKUP($G264,DATOS!$B:$E,3,FALSE)</f>
        <v/>
      </c>
      <c r="J264" s="1">
        <f>VLOOKUP($G264,DATOS!$B:$E,4,FALSE)</f>
        <v/>
      </c>
      <c r="K264" s="1" t="inlineStr">
        <is>
          <t>Refacturación gastos y/o servicios prestados a nombre de la sociedad</t>
        </is>
      </c>
      <c r="M264" s="1" t="inlineStr">
        <is>
          <t>Jofran Mensajeros, S.L - Envio de documentación</t>
        </is>
      </c>
      <c r="N264" s="5" t="n">
        <v>40.42</v>
      </c>
      <c r="AB264" s="6" t="inlineStr">
        <is>
          <t>ES85 2080 3509 1130 4009 6171</t>
        </is>
      </c>
      <c r="AC264" s="1" t="inlineStr">
        <is>
          <t>pagado</t>
        </is>
      </c>
      <c r="AD264" s="5">
        <f>L264+N264+P264+R264+T264+V264+X264+Z264</f>
        <v/>
      </c>
      <c r="AE264" s="5">
        <f>IF((LEFT(K264,6))="Contab",L264,0)</f>
        <v/>
      </c>
      <c r="AF264" s="6">
        <f>VLOOKUP(G264,CLIENTES!B:E,4,FALSE)</f>
        <v/>
      </c>
      <c r="AG264" s="5">
        <f>AF264*AE264</f>
        <v/>
      </c>
      <c r="AH264" s="5">
        <f>AD264*1.21</f>
        <v/>
      </c>
      <c r="AI264" s="261">
        <f>IF(AE264&lt;&gt;0,AG264/AD264,"N/A")</f>
        <v/>
      </c>
      <c r="AJ264" s="5">
        <f>IF(AC264="pendiente",AD264,0)</f>
        <v/>
      </c>
      <c r="AK264" s="1">
        <f>VLOOKUP(G264,CLIENTES!B:D,3,FALSE)</f>
        <v/>
      </c>
      <c r="AL264" s="1" t="inlineStr">
        <is>
          <t>nudos</t>
        </is>
      </c>
      <c r="AM264" s="1" t="inlineStr">
        <is>
          <t>Refacturación</t>
        </is>
      </c>
    </row>
    <row r="265" ht="15" customHeight="1" s="700">
      <c r="A265" s="1">
        <f>A264+1</f>
        <v/>
      </c>
      <c r="B265" s="26" t="n">
        <v>45833</v>
      </c>
      <c r="C265" s="1" t="inlineStr">
        <is>
          <t>c/ Las Cruzadas 3A, local D</t>
        </is>
      </c>
      <c r="D265" s="1" t="inlineStr">
        <is>
          <t>Sevilla 41004</t>
        </is>
      </c>
      <c r="E265" s="1" t="inlineStr">
        <is>
          <t>CIF B91938662</t>
        </is>
      </c>
      <c r="F265" s="1" t="inlineStr">
        <is>
          <t>aBalados@abalados.es</t>
        </is>
      </c>
      <c r="G265" s="1" t="inlineStr">
        <is>
          <t>Transformadora Almodóvar Renovables, S.L.</t>
        </is>
      </c>
      <c r="H265" s="1">
        <f>VLOOKUP($G265,DATOS!$B:$E,2,FALSE)</f>
        <v/>
      </c>
      <c r="I265" s="1">
        <f>VLOOKUP($G265,DATOS!$B:$E,3,FALSE)</f>
        <v/>
      </c>
      <c r="J265" s="1">
        <f>VLOOKUP($G265,DATOS!$B:$E,4,FALSE)</f>
        <v/>
      </c>
      <c r="K265" s="1" t="inlineStr">
        <is>
          <t>Refacturación gastos y/o servicios prestados a nombre de la sociedad</t>
        </is>
      </c>
      <c r="M265" s="1" t="inlineStr">
        <is>
          <t>Jofran Mensajeros, S.L - Envio de documentación</t>
        </is>
      </c>
      <c r="N265" s="5" t="n">
        <v>18.38</v>
      </c>
      <c r="O265" s="1" t="inlineStr">
        <is>
          <t>REG MERCANTIL SEVILLA 2025/4470</t>
        </is>
      </c>
      <c r="P265" s="5" t="n">
        <v>34.56</v>
      </c>
      <c r="AB265" s="6" t="inlineStr">
        <is>
          <t>ES85 2080 3509 1130 4009 6171</t>
        </is>
      </c>
      <c r="AC265" s="1" t="inlineStr">
        <is>
          <t>pagado</t>
        </is>
      </c>
      <c r="AD265" s="5">
        <f>L265+N265+P265+R265+T265+V265+X265+Z265</f>
        <v/>
      </c>
      <c r="AE265" s="5">
        <f>IF((LEFT(K265,6))="Contab",L265,0)</f>
        <v/>
      </c>
      <c r="AF265" s="6">
        <f>VLOOKUP(G265,CLIENTES!B:E,4,FALSE)</f>
        <v/>
      </c>
      <c r="AG265" s="5">
        <f>AF265*AE265</f>
        <v/>
      </c>
      <c r="AH265" s="5">
        <f>AD265*1.21</f>
        <v/>
      </c>
      <c r="AI265" s="261">
        <f>IF(AE265&lt;&gt;0,AG265/AD265,"N/A")</f>
        <v/>
      </c>
      <c r="AJ265" s="5">
        <f>IF(AC265="pendiente",AD265,0)</f>
        <v/>
      </c>
      <c r="AK265" s="1">
        <f>VLOOKUP(G265,CLIENTES!B:D,3,FALSE)</f>
        <v/>
      </c>
      <c r="AL265" s="1" t="inlineStr">
        <is>
          <t>nudos</t>
        </is>
      </c>
      <c r="AM265" s="1" t="inlineStr">
        <is>
          <t>Refacturación</t>
        </is>
      </c>
    </row>
    <row r="266" ht="15" customHeight="1" s="700">
      <c r="A266" s="1">
        <f>A265+1</f>
        <v/>
      </c>
      <c r="B266" s="26" t="n">
        <v>45833</v>
      </c>
      <c r="C266" s="1" t="inlineStr">
        <is>
          <t>c/ Las Cruzadas 3A, local D</t>
        </is>
      </c>
      <c r="D266" s="1" t="inlineStr">
        <is>
          <t>Sevilla 41004</t>
        </is>
      </c>
      <c r="E266" s="1" t="inlineStr">
        <is>
          <t>CIF B91938662</t>
        </is>
      </c>
      <c r="F266" s="1" t="inlineStr">
        <is>
          <t>aBalados@abalados.es</t>
        </is>
      </c>
      <c r="G266" s="1" t="inlineStr">
        <is>
          <t>Renovables Brovales Segura de León 400 kV, S.L.</t>
        </is>
      </c>
      <c r="H266" s="1">
        <f>VLOOKUP($G266,DATOS!$B:$E,2,FALSE)</f>
        <v/>
      </c>
      <c r="I266" s="1">
        <f>VLOOKUP($G266,DATOS!$B:$E,3,FALSE)</f>
        <v/>
      </c>
      <c r="J266" s="1">
        <f>VLOOKUP($G266,DATOS!$B:$E,4,FALSE)</f>
        <v/>
      </c>
      <c r="K266" s="1" t="inlineStr">
        <is>
          <t>Refacturación gastos y/o servicios prestados a nombre de la sociedad</t>
        </is>
      </c>
      <c r="M266" s="1" t="inlineStr">
        <is>
          <t>REG MERCANTIL SEVILLA 2025/4022</t>
        </is>
      </c>
      <c r="N266" s="5" t="n">
        <v>27.95</v>
      </c>
      <c r="O266" s="1" t="inlineStr">
        <is>
          <t>REG MERCANTIL SEVILLA 2025/4016</t>
        </is>
      </c>
      <c r="P266" s="5" t="n">
        <v>27.95</v>
      </c>
      <c r="AB266" s="6" t="inlineStr">
        <is>
          <t>ES85 2080 3509 1130 4009 6171</t>
        </is>
      </c>
      <c r="AC266" s="1" t="inlineStr">
        <is>
          <t>pagado</t>
        </is>
      </c>
      <c r="AD266" s="5">
        <f>L266+N266+P266+R266+T266+V266+X266+Z266</f>
        <v/>
      </c>
      <c r="AE266" s="5">
        <f>IF((LEFT(K266,6))="Contab",L266,0)</f>
        <v/>
      </c>
      <c r="AF266" s="6">
        <f>VLOOKUP(G266,CLIENTES!B:E,4,FALSE)</f>
        <v/>
      </c>
      <c r="AG266" s="5">
        <f>AF266*AE266</f>
        <v/>
      </c>
      <c r="AH266" s="5">
        <f>AD266*1.21</f>
        <v/>
      </c>
      <c r="AI266" s="261">
        <f>IF(AE266&lt;&gt;0,AG266/AD266,"N/A")</f>
        <v/>
      </c>
      <c r="AJ266" s="5">
        <f>IF(AC266="pendiente",AD266,0)</f>
        <v/>
      </c>
      <c r="AK266" s="1">
        <f>VLOOKUP(G266,CLIENTES!B:D,3,FALSE)</f>
        <v/>
      </c>
      <c r="AL266" s="1" t="inlineStr">
        <is>
          <t>nudos</t>
        </is>
      </c>
      <c r="AM266" s="1" t="inlineStr">
        <is>
          <t>Refacturación</t>
        </is>
      </c>
    </row>
    <row r="267" ht="15" customHeight="1" s="700">
      <c r="A267" s="1">
        <f>A266+1</f>
        <v/>
      </c>
      <c r="B267" s="26" t="n">
        <v>45833</v>
      </c>
      <c r="C267" s="1" t="inlineStr">
        <is>
          <t>c/ Las Cruzadas 3A, local D</t>
        </is>
      </c>
      <c r="D267" s="1" t="inlineStr">
        <is>
          <t>Sevilla 41004</t>
        </is>
      </c>
      <c r="E267" s="1" t="inlineStr">
        <is>
          <t>CIF B91938662</t>
        </is>
      </c>
      <c r="F267" s="1" t="inlineStr">
        <is>
          <t>aBalados@abalados.es</t>
        </is>
      </c>
      <c r="G267" s="1" t="inlineStr">
        <is>
          <t>Evacuación Liquesun, S.L.</t>
        </is>
      </c>
      <c r="H267" s="1">
        <f>VLOOKUP($G267,DATOS!$B:$E,2,FALSE)</f>
        <v/>
      </c>
      <c r="I267" s="1">
        <f>VLOOKUP($G267,DATOS!$B:$E,3,FALSE)</f>
        <v/>
      </c>
      <c r="J267" s="1">
        <f>VLOOKUP($G267,DATOS!$B:$E,4,FALSE)</f>
        <v/>
      </c>
      <c r="K267" s="1" t="inlineStr">
        <is>
          <t>Refacturación gastos y/o servicios prestados a nombre de la sociedad</t>
        </is>
      </c>
      <c r="M267" s="1" t="inlineStr">
        <is>
          <t>REG MERCANTIL SEVILLA 2025/3463</t>
        </is>
      </c>
      <c r="N267" s="5" t="n">
        <v>27.95</v>
      </c>
      <c r="O267" s="1" t="inlineStr">
        <is>
          <t>REG MERCANTIL SEVILLA 2025/3465</t>
        </is>
      </c>
      <c r="P267" s="5" t="n">
        <v>33.81</v>
      </c>
      <c r="AB267" s="6" t="inlineStr">
        <is>
          <t>ES85 2080 3509 1130 4009 6171</t>
        </is>
      </c>
      <c r="AC267" s="1" t="inlineStr">
        <is>
          <t>pagado</t>
        </is>
      </c>
      <c r="AD267" s="5">
        <f>L267+N267+P267+R267+T267+V267+X267+Z267</f>
        <v/>
      </c>
      <c r="AE267" s="5">
        <f>IF((LEFT(K267,6))="Contab",L267,0)</f>
        <v/>
      </c>
      <c r="AF267" s="6">
        <f>VLOOKUP(G267,CLIENTES!B:E,4,FALSE)</f>
        <v/>
      </c>
      <c r="AG267" s="5">
        <f>AF267*AE267</f>
        <v/>
      </c>
      <c r="AH267" s="5">
        <f>AD267*1.21</f>
        <v/>
      </c>
      <c r="AI267" s="261">
        <f>IF(AE267&lt;&gt;0,AG267/AD267,"N/A")</f>
        <v/>
      </c>
      <c r="AJ267" s="5">
        <f>IF(AC267="pendiente",AD267,0)</f>
        <v/>
      </c>
      <c r="AK267" s="1">
        <f>VLOOKUP(G267,CLIENTES!B:D,3,FALSE)</f>
        <v/>
      </c>
      <c r="AL267" s="1" t="inlineStr">
        <is>
          <t>nudos</t>
        </is>
      </c>
      <c r="AM267" s="1" t="inlineStr">
        <is>
          <t>Refacturación</t>
        </is>
      </c>
    </row>
    <row r="268" ht="15" customHeight="1" s="700">
      <c r="A268" s="1">
        <f>A267+1</f>
        <v/>
      </c>
      <c r="B268" s="26" t="n">
        <v>45833</v>
      </c>
      <c r="C268" s="1" t="inlineStr">
        <is>
          <t>c/ Las Cruzadas 3A, local D</t>
        </is>
      </c>
      <c r="D268" s="1" t="inlineStr">
        <is>
          <t>Sevilla 41004</t>
        </is>
      </c>
      <c r="E268" s="1" t="inlineStr">
        <is>
          <t>CIF B91938662</t>
        </is>
      </c>
      <c r="F268" s="1" t="inlineStr">
        <is>
          <t>aBalados@abalados.es</t>
        </is>
      </c>
      <c r="G268" s="1" t="inlineStr">
        <is>
          <t>Manzasol 132 kV, S.L.</t>
        </is>
      </c>
      <c r="H268" s="1">
        <f>VLOOKUP($G268,DATOS!$B:$E,2,FALSE)</f>
        <v/>
      </c>
      <c r="I268" s="1">
        <f>VLOOKUP($G268,DATOS!$B:$E,3,FALSE)</f>
        <v/>
      </c>
      <c r="J268" s="1">
        <f>VLOOKUP($G268,DATOS!$B:$E,4,FALSE)</f>
        <v/>
      </c>
      <c r="K268" s="1" t="inlineStr">
        <is>
          <t>Refacturación gastos y/o servicios prestados a nombre de la sociedad</t>
        </is>
      </c>
      <c r="M268" s="1" t="inlineStr">
        <is>
          <t>Jofran Mensajeros, S.L - Envio de documentación</t>
        </is>
      </c>
      <c r="N268" s="5" t="n">
        <v>8.01</v>
      </c>
      <c r="O268" s="1" t="inlineStr">
        <is>
          <t>REG PROPIEDAD MANZANARES DE LA FACT 370 A LA 387</t>
        </is>
      </c>
      <c r="P268" s="5" t="n">
        <v>162.36</v>
      </c>
      <c r="AB268" s="6" t="inlineStr">
        <is>
          <t>ES85 2080 3509 1130 4009 6171</t>
        </is>
      </c>
      <c r="AC268" s="1" t="inlineStr">
        <is>
          <t>pagado</t>
        </is>
      </c>
      <c r="AD268" s="5">
        <f>L268+N268+P268+R268+T268+V268+X268+Z268</f>
        <v/>
      </c>
      <c r="AE268" s="5">
        <f>IF((LEFT(K268,6))="Contab",L268,0)</f>
        <v/>
      </c>
      <c r="AF268" s="6">
        <f>VLOOKUP(G268,CLIENTES!B:E,4,FALSE)</f>
        <v/>
      </c>
      <c r="AG268" s="5">
        <f>AF268*AE268</f>
        <v/>
      </c>
      <c r="AH268" s="5">
        <f>AD268*1.21</f>
        <v/>
      </c>
      <c r="AI268" s="261">
        <f>IF(AE268&lt;&gt;0,AG268/AD268,"N/A")</f>
        <v/>
      </c>
      <c r="AJ268" s="5">
        <f>IF(AC268="pendiente",AD268,0)</f>
        <v/>
      </c>
      <c r="AK268" s="1">
        <f>VLOOKUP(G268,CLIENTES!B:D,3,FALSE)</f>
        <v/>
      </c>
      <c r="AL268" s="1" t="inlineStr">
        <is>
          <t>nudos</t>
        </is>
      </c>
      <c r="AM268" s="1" t="inlineStr">
        <is>
          <t>Refacturación</t>
        </is>
      </c>
    </row>
    <row r="269" ht="15" customHeight="1" s="700">
      <c r="A269" s="1">
        <f>A268+1</f>
        <v/>
      </c>
      <c r="B269" s="26" t="n">
        <v>45833</v>
      </c>
      <c r="C269" s="1" t="inlineStr">
        <is>
          <t>c/ Las Cruzadas 3A, local D</t>
        </is>
      </c>
      <c r="D269" s="1" t="inlineStr">
        <is>
          <t>Sevilla 41004</t>
        </is>
      </c>
      <c r="E269" s="1" t="inlineStr">
        <is>
          <t>CIF B91938662</t>
        </is>
      </c>
      <c r="F269" s="1" t="inlineStr">
        <is>
          <t>aBalados@abalados.es</t>
        </is>
      </c>
      <c r="G269" s="1" t="inlineStr">
        <is>
          <t>Pujalt Infras Privativas Ignis Forestalia, S.L.</t>
        </is>
      </c>
      <c r="H269" s="1">
        <f>VLOOKUP($G269,DATOS!$B:$E,2,FALSE)</f>
        <v/>
      </c>
      <c r="I269" s="1">
        <f>VLOOKUP($G269,DATOS!$B:$E,3,FALSE)</f>
        <v/>
      </c>
      <c r="J269" s="1">
        <f>VLOOKUP($G269,DATOS!$B:$E,4,FALSE)</f>
        <v/>
      </c>
      <c r="K269" s="1" t="inlineStr">
        <is>
          <t>Refacturación gastos y/o servicios prestados a nombre de la sociedad</t>
        </is>
      </c>
      <c r="M269" s="1" t="inlineStr">
        <is>
          <t>Jofran Mensajeros, S.L - Envio de documentación</t>
        </is>
      </c>
      <c r="N269" s="5" t="n">
        <v>32.9</v>
      </c>
      <c r="AB269" s="6" t="inlineStr">
        <is>
          <t>ES85 2080 3509 1130 4009 6171</t>
        </is>
      </c>
      <c r="AC269" s="1" t="inlineStr">
        <is>
          <t>pagado</t>
        </is>
      </c>
      <c r="AD269" s="5">
        <f>L269+N269+P269+R269+T269+V269+X269+Z269</f>
        <v/>
      </c>
      <c r="AE269" s="5">
        <f>IF((LEFT(K269,6))="Contab",L269,0)</f>
        <v/>
      </c>
      <c r="AF269" s="6">
        <f>VLOOKUP(G269,CLIENTES!B:E,4,FALSE)</f>
        <v/>
      </c>
      <c r="AG269" s="5">
        <f>AF269*AE269</f>
        <v/>
      </c>
      <c r="AH269" s="5">
        <f>AD269*1.21</f>
        <v/>
      </c>
      <c r="AI269" s="261">
        <f>IF(AE269&lt;&gt;0,AG269/AD269,"N/A")</f>
        <v/>
      </c>
      <c r="AJ269" s="5">
        <f>IF(AC269="pendiente",AD269,0)</f>
        <v/>
      </c>
      <c r="AK269" s="1">
        <f>VLOOKUP(G269,CLIENTES!B:D,3,FALSE)</f>
        <v/>
      </c>
      <c r="AL269" s="1" t="inlineStr">
        <is>
          <t>nudos</t>
        </is>
      </c>
      <c r="AM269" s="1" t="inlineStr">
        <is>
          <t>Refacturación</t>
        </is>
      </c>
    </row>
    <row r="270" ht="15" customHeight="1" s="700">
      <c r="A270" s="1">
        <f>A269+1</f>
        <v/>
      </c>
      <c r="B270" s="26" t="n">
        <v>45833</v>
      </c>
      <c r="C270" s="1" t="inlineStr">
        <is>
          <t>c/ Las Cruzadas 3A, local D</t>
        </is>
      </c>
      <c r="D270" s="1" t="inlineStr">
        <is>
          <t>Sevilla 41004</t>
        </is>
      </c>
      <c r="E270" s="1" t="inlineStr">
        <is>
          <t>CIF B91938662</t>
        </is>
      </c>
      <c r="F270" s="1" t="inlineStr">
        <is>
          <t>aBalados@abalados.es</t>
        </is>
      </c>
      <c r="G270" s="1" t="inlineStr">
        <is>
          <t>Tábara 400kV Renovables, SL</t>
        </is>
      </c>
      <c r="H270" s="1">
        <f>VLOOKUP($G270,DATOS!$B:$E,2,FALSE)</f>
        <v/>
      </c>
      <c r="I270" s="1">
        <f>VLOOKUP($G270,DATOS!$B:$E,3,FALSE)</f>
        <v/>
      </c>
      <c r="J270" s="1">
        <f>VLOOKUP($G270,DATOS!$B:$E,4,FALSE)</f>
        <v/>
      </c>
      <c r="K270" s="1" t="inlineStr">
        <is>
          <t>Refacturación gastos y/o servicios prestados a nombre de la sociedad</t>
        </is>
      </c>
      <c r="M270" s="1" t="inlineStr">
        <is>
          <t>REG MERCANTIL MADRID 2025/35281</t>
        </is>
      </c>
      <c r="N270" s="5" t="n">
        <v>10.19</v>
      </c>
      <c r="AB270" s="6" t="inlineStr">
        <is>
          <t>ES85 2080 3509 1130 4009 6171</t>
        </is>
      </c>
      <c r="AC270" s="1" t="inlineStr">
        <is>
          <t>pendiente</t>
        </is>
      </c>
      <c r="AD270" s="5">
        <f>L270+N270+P270+R270+T270+V270+X270+Z270</f>
        <v/>
      </c>
      <c r="AE270" s="5">
        <f>IF((LEFT(K270,6))="Contab",L270,0)</f>
        <v/>
      </c>
      <c r="AF270" s="6">
        <f>VLOOKUP(G270,CLIENTES!B:E,4,FALSE)</f>
        <v/>
      </c>
      <c r="AG270" s="5">
        <f>AF270*AE270</f>
        <v/>
      </c>
      <c r="AH270" s="5">
        <f>AD270*1.21</f>
        <v/>
      </c>
      <c r="AI270" s="261">
        <f>IF(AE270&lt;&gt;0,AG270/AD270,"N/A")</f>
        <v/>
      </c>
      <c r="AJ270" s="5">
        <f>IF(AC270="pendiente",AD270,0)</f>
        <v/>
      </c>
      <c r="AK270" s="1">
        <f>VLOOKUP(G270,CLIENTES!B:D,3,FALSE)</f>
        <v/>
      </c>
      <c r="AL270" s="1" t="inlineStr">
        <is>
          <t>nudos</t>
        </is>
      </c>
      <c r="AM270" s="1" t="inlineStr">
        <is>
          <t>Refacturación</t>
        </is>
      </c>
    </row>
    <row r="271" ht="15" customHeight="1" s="700">
      <c r="A271" s="1">
        <f>A270+1</f>
        <v/>
      </c>
      <c r="B271" s="26" t="n">
        <v>45833</v>
      </c>
      <c r="C271" s="1" t="inlineStr">
        <is>
          <t>c/ Las Cruzadas 3A, local D</t>
        </is>
      </c>
      <c r="D271" s="1" t="inlineStr">
        <is>
          <t>Sevilla 41004</t>
        </is>
      </c>
      <c r="E271" s="1" t="inlineStr">
        <is>
          <t>CIF B91938662</t>
        </is>
      </c>
      <c r="F271" s="1" t="inlineStr">
        <is>
          <t>aBalados@abalados.es</t>
        </is>
      </c>
      <c r="G271" s="1" t="inlineStr">
        <is>
          <t>Teodomiro Renovables, S.L.</t>
        </is>
      </c>
      <c r="H271" s="1">
        <f>VLOOKUP($G271,DATOS!$B:$E,2,FALSE)</f>
        <v/>
      </c>
      <c r="I271" s="1">
        <f>VLOOKUP($G271,DATOS!$B:$E,3,FALSE)</f>
        <v/>
      </c>
      <c r="J271" s="1">
        <f>VLOOKUP($G271,DATOS!$B:$E,4,FALSE)</f>
        <v/>
      </c>
      <c r="K271" s="1" t="inlineStr">
        <is>
          <t>Refacturación gastos y/o servicios prestados a nombre de la sociedad</t>
        </is>
      </c>
      <c r="M271" s="1" t="inlineStr">
        <is>
          <t>REG MERCANTIL SEVILLA 2025/4048</t>
        </is>
      </c>
      <c r="N271" s="5" t="n">
        <v>80.39</v>
      </c>
      <c r="AB271" s="6" t="inlineStr">
        <is>
          <t>ES85 2080 3509 1130 4009 6171</t>
        </is>
      </c>
      <c r="AC271" s="1" t="inlineStr">
        <is>
          <t>pagado</t>
        </is>
      </c>
      <c r="AD271" s="5">
        <f>L271+N271+P271+R271+T271+V271+X271+Z271</f>
        <v/>
      </c>
      <c r="AE271" s="5">
        <f>IF((LEFT(K271,6))="Contab",L271,0)</f>
        <v/>
      </c>
      <c r="AF271" s="6">
        <f>VLOOKUP(G271,CLIENTES!B:E,4,FALSE)</f>
        <v/>
      </c>
      <c r="AG271" s="5">
        <f>AF271*AE271</f>
        <v/>
      </c>
      <c r="AH271" s="5">
        <f>AD271*1.21</f>
        <v/>
      </c>
      <c r="AI271" s="261">
        <f>IF(AE271&lt;&gt;0,AG271/AD271,"N/A")</f>
        <v/>
      </c>
      <c r="AJ271" s="5">
        <f>IF(AC271="pendiente",AD271,0)</f>
        <v/>
      </c>
      <c r="AK271" s="1">
        <f>VLOOKUP(G271,CLIENTES!B:D,3,FALSE)</f>
        <v/>
      </c>
      <c r="AL271" s="1" t="inlineStr">
        <is>
          <t>nudos</t>
        </is>
      </c>
      <c r="AM271" s="1" t="inlineStr">
        <is>
          <t>Refacturación</t>
        </is>
      </c>
    </row>
    <row r="272" ht="15" customHeight="1" s="700">
      <c r="A272" s="1">
        <f>A271+1</f>
        <v/>
      </c>
      <c r="B272" s="26" t="n">
        <v>45833</v>
      </c>
      <c r="C272" s="1" t="inlineStr">
        <is>
          <t>c/ Las Cruzadas 3A, local D</t>
        </is>
      </c>
      <c r="D272" s="1" t="inlineStr">
        <is>
          <t>Sevilla 41004</t>
        </is>
      </c>
      <c r="E272" s="1" t="inlineStr">
        <is>
          <t>CIF B91938662</t>
        </is>
      </c>
      <c r="F272" s="1" t="inlineStr">
        <is>
          <t>aBalados@abalados.es</t>
        </is>
      </c>
      <c r="G272" s="1" t="inlineStr">
        <is>
          <t>Cubillos Renovables, S.L.</t>
        </is>
      </c>
      <c r="H272" s="1">
        <f>VLOOKUP($G272,DATOS!$B:$E,2,FALSE)</f>
        <v/>
      </c>
      <c r="I272" s="1">
        <f>VLOOKUP($G272,DATOS!$B:$E,3,FALSE)</f>
        <v/>
      </c>
      <c r="J272" s="1">
        <f>VLOOKUP($G272,DATOS!$B:$E,4,FALSE)</f>
        <v/>
      </c>
      <c r="K272" s="1" t="inlineStr">
        <is>
          <t>Refacturación gastos y/o servicios prestados a nombre de la sociedad</t>
        </is>
      </c>
      <c r="M272" s="1" t="inlineStr">
        <is>
          <t>Jofran Mensajeros, S.L - Envio de documentación</t>
        </is>
      </c>
      <c r="N272" s="5" t="n">
        <v>6.58</v>
      </c>
      <c r="AB272" s="6" t="inlineStr">
        <is>
          <t>ES85 2080 3509 1130 4009 6171</t>
        </is>
      </c>
      <c r="AC272" s="1" t="inlineStr">
        <is>
          <t>pagado</t>
        </is>
      </c>
      <c r="AD272" s="5">
        <f>L272+N272+P272+R272+T272+V272+X272+Z272</f>
        <v/>
      </c>
      <c r="AE272" s="5">
        <f>IF((LEFT(K272,6))="Contab",L272,0)</f>
        <v/>
      </c>
      <c r="AF272" s="6">
        <f>VLOOKUP(G272,CLIENTES!B:E,4,FALSE)</f>
        <v/>
      </c>
      <c r="AG272" s="5">
        <f>AF272*AE272</f>
        <v/>
      </c>
      <c r="AH272" s="5">
        <f>AD272*1.21</f>
        <v/>
      </c>
      <c r="AI272" s="261">
        <f>IF(AE272&lt;&gt;0,AG272/AD272,"N/A")</f>
        <v/>
      </c>
      <c r="AJ272" s="5">
        <f>IF(AC272="pendiente",AD272,0)</f>
        <v/>
      </c>
      <c r="AK272" s="1">
        <f>VLOOKUP(G272,CLIENTES!B:D,3,FALSE)</f>
        <v/>
      </c>
      <c r="AL272" s="1" t="inlineStr">
        <is>
          <t>nudos</t>
        </is>
      </c>
      <c r="AM272" s="1" t="inlineStr">
        <is>
          <t>Refacturación</t>
        </is>
      </c>
    </row>
    <row r="273" ht="15" customHeight="1" s="700">
      <c r="A273" s="1">
        <f>A272+1</f>
        <v/>
      </c>
      <c r="B273" s="26" t="n">
        <v>45833</v>
      </c>
      <c r="C273" s="1" t="inlineStr">
        <is>
          <t>c/ Las Cruzadas 3A, local D</t>
        </is>
      </c>
      <c r="D273" s="1" t="inlineStr">
        <is>
          <t>Sevilla 41004</t>
        </is>
      </c>
      <c r="E273" s="1" t="inlineStr">
        <is>
          <t>CIF B91938662</t>
        </is>
      </c>
      <c r="F273" s="1" t="inlineStr">
        <is>
          <t>aBalados@abalados.es</t>
        </is>
      </c>
      <c r="G273" s="1" t="inlineStr">
        <is>
          <t>Nudo SE Zaratan 220 kV, S.L.</t>
        </is>
      </c>
      <c r="H273" s="1">
        <f>VLOOKUP($G273,DATOS!$B:$E,2,FALSE)</f>
        <v/>
      </c>
      <c r="I273" s="1">
        <f>VLOOKUP($G273,DATOS!$B:$E,3,FALSE)</f>
        <v/>
      </c>
      <c r="J273" s="1">
        <f>VLOOKUP($G273,DATOS!$B:$E,4,FALSE)</f>
        <v/>
      </c>
      <c r="K273" s="1" t="inlineStr">
        <is>
          <t>Refacturación gastos y/o servicios prestados a nombre de la sociedad</t>
        </is>
      </c>
      <c r="M273" s="1" t="inlineStr">
        <is>
          <t>Jofran Mensajeros, S.L - Envio de documentación</t>
        </is>
      </c>
      <c r="N273" s="5" t="n">
        <v>6.58</v>
      </c>
      <c r="AB273" s="6" t="inlineStr">
        <is>
          <t>ES85 2080 3509 1130 4009 6171</t>
        </is>
      </c>
      <c r="AC273" s="1" t="inlineStr">
        <is>
          <t>pagado</t>
        </is>
      </c>
      <c r="AD273" s="5">
        <f>L273+N273+P273+R273+T273+V273+X273+Z273</f>
        <v/>
      </c>
      <c r="AE273" s="5">
        <f>IF((LEFT(K273,6))="Contab",L273,0)</f>
        <v/>
      </c>
      <c r="AF273" s="6">
        <f>VLOOKUP(G273,CLIENTES!B:E,4,FALSE)</f>
        <v/>
      </c>
      <c r="AG273" s="5">
        <f>AF273*AE273</f>
        <v/>
      </c>
      <c r="AH273" s="5">
        <f>AD273*1.21</f>
        <v/>
      </c>
      <c r="AI273" s="261">
        <f>IF(AE273&lt;&gt;0,AG273/AD273,"N/A")</f>
        <v/>
      </c>
      <c r="AJ273" s="5">
        <f>IF(AC273="pendiente",AD273,0)</f>
        <v/>
      </c>
      <c r="AK273" s="1">
        <f>VLOOKUP(G273,CLIENTES!B:D,3,FALSE)</f>
        <v/>
      </c>
      <c r="AL273" s="1" t="inlineStr">
        <is>
          <t>nudos</t>
        </is>
      </c>
      <c r="AM273" s="1" t="inlineStr">
        <is>
          <t>Refacturación</t>
        </is>
      </c>
    </row>
    <row r="274" ht="15" customHeight="1" s="700">
      <c r="A274" s="1">
        <f>A273+1</f>
        <v/>
      </c>
      <c r="B274" s="26" t="n">
        <v>45833</v>
      </c>
      <c r="C274" s="1" t="inlineStr">
        <is>
          <t>c/ Las Cruzadas 3A, local D</t>
        </is>
      </c>
      <c r="D274" s="1" t="inlineStr">
        <is>
          <t>Sevilla 41004</t>
        </is>
      </c>
      <c r="E274" s="1" t="inlineStr">
        <is>
          <t>CIF B91938662</t>
        </is>
      </c>
      <c r="F274" s="1" t="inlineStr">
        <is>
          <t>aBalados@abalados.es</t>
        </is>
      </c>
      <c r="G274" s="1" t="inlineStr">
        <is>
          <t>Asomadilla Solar 2007 S.L.U.</t>
        </is>
      </c>
      <c r="H274" s="1">
        <f>VLOOKUP($G274,DATOS!$B:$E,2,FALSE)</f>
        <v/>
      </c>
      <c r="I274" s="1">
        <f>VLOOKUP($G274,DATOS!$B:$E,3,FALSE)</f>
        <v/>
      </c>
      <c r="J274" s="1">
        <f>VLOOKUP($G274,DATOS!$B:$E,4,FALSE)</f>
        <v/>
      </c>
      <c r="K274" s="1" t="inlineStr">
        <is>
          <t>Refacturación gastos y/o servicios prestados a nombre de la sociedad</t>
        </is>
      </c>
      <c r="M274" s="1" t="inlineStr">
        <is>
          <t>OCA Media Tensión</t>
        </is>
      </c>
      <c r="N274" s="5" t="n">
        <v>2300</v>
      </c>
      <c r="O274" s="1" t="inlineStr">
        <is>
          <t>Soporte a proveedor OCA</t>
        </is>
      </c>
      <c r="P274" s="5">
        <f>2*2*(8*45)</f>
        <v/>
      </c>
      <c r="Q274" s="1" t="inlineStr">
        <is>
          <t>Correctivos comunicaciones</t>
        </is>
      </c>
      <c r="R274" s="5" t="n">
        <v>56</v>
      </c>
      <c r="S274" s="1" t="inlineStr">
        <is>
          <t>Sustitución inversores (SMA 7000HV)</t>
        </is>
      </c>
      <c r="T274" s="5">
        <f>1*119.5</f>
        <v/>
      </c>
      <c r="U274" s="1" t="inlineStr">
        <is>
          <t>Gestión stock SMA 7000HV (1H2025)</t>
        </is>
      </c>
      <c r="V274" s="5" t="n">
        <v>250</v>
      </c>
      <c r="W274" s="1" t="inlineStr">
        <is>
          <t>Tratamiento terreno: aplicación herbicidas</t>
        </is>
      </c>
      <c r="X274" s="5" t="n">
        <v>1306.25</v>
      </c>
      <c r="Y274" s="1" t="inlineStr">
        <is>
          <t>Gastos derivados de Gestión (3,5%)</t>
        </is>
      </c>
      <c r="Z274" s="5">
        <f>(N274+P274+R274+T274+V274+X274)*0.035</f>
        <v/>
      </c>
      <c r="AB274" s="6" t="inlineStr">
        <is>
          <t>ES85 2080 3509 1130 4009 6171</t>
        </is>
      </c>
      <c r="AC274" s="1" t="inlineStr">
        <is>
          <t>pagado</t>
        </is>
      </c>
      <c r="AD274" s="5">
        <f>L274+N274+P274+R274+T274+V274+X274+Z274</f>
        <v/>
      </c>
      <c r="AE274" s="5">
        <f>IF((LEFT(K274,6))="Contab",L274,0)</f>
        <v/>
      </c>
      <c r="AF274" s="6">
        <f>VLOOKUP(G274,CLIENTES!B:E,4,FALSE)</f>
        <v/>
      </c>
      <c r="AG274" s="5">
        <f>AF274*AE274</f>
        <v/>
      </c>
      <c r="AH274" s="5">
        <f>AD274*1.21</f>
        <v/>
      </c>
      <c r="AI274" s="261">
        <f>IF(AE274&lt;&gt;0,AG274/AD274,"N/A")</f>
        <v/>
      </c>
      <c r="AJ274" s="5">
        <f>IF(AC274="pendiente",AD274,0)</f>
        <v/>
      </c>
      <c r="AK274" s="1">
        <f>VLOOKUP(G274,CLIENTES!B:D,3,FALSE)</f>
        <v/>
      </c>
      <c r="AL274" s="1" t="inlineStr">
        <is>
          <t>WOC_OM</t>
        </is>
      </c>
      <c r="AM274" s="1" t="inlineStr">
        <is>
          <t>Refacturación</t>
        </is>
      </c>
    </row>
    <row r="275" ht="15" customHeight="1" s="700">
      <c r="A275" s="1">
        <f>A274+1</f>
        <v/>
      </c>
      <c r="B275" s="26" t="n">
        <v>45833</v>
      </c>
      <c r="C275" s="1" t="inlineStr">
        <is>
          <t>c/ Las Cruzadas 3A, local D</t>
        </is>
      </c>
      <c r="D275" s="1" t="inlineStr">
        <is>
          <t>Sevilla 41004</t>
        </is>
      </c>
      <c r="E275" s="1" t="inlineStr">
        <is>
          <t>CIF B91938662</t>
        </is>
      </c>
      <c r="F275" s="1" t="inlineStr">
        <is>
          <t>aBalados@abalados.es</t>
        </is>
      </c>
      <c r="G275" s="1" t="inlineStr">
        <is>
          <t>Dehesa Asomadilla Inversiones S.L.U.</t>
        </is>
      </c>
      <c r="H275" s="1">
        <f>VLOOKUP($G275,DATOS!$B:$E,2,FALSE)</f>
        <v/>
      </c>
      <c r="I275" s="1">
        <f>VLOOKUP($G275,DATOS!$B:$E,3,FALSE)</f>
        <v/>
      </c>
      <c r="J275" s="1">
        <f>VLOOKUP($G275,DATOS!$B:$E,4,FALSE)</f>
        <v/>
      </c>
      <c r="K275" s="1" t="inlineStr">
        <is>
          <t>Refacturación gastos y/o servicios prestados a nombre de la sociedad</t>
        </is>
      </c>
      <c r="M275" s="1" t="inlineStr">
        <is>
          <t>Sustitución inversores (SMA 7000HV)</t>
        </is>
      </c>
      <c r="N275" s="5">
        <f>2*119.5</f>
        <v/>
      </c>
      <c r="O275" s="1" t="inlineStr">
        <is>
          <t>Gestión stock SMA 7000HV (1H2025)</t>
        </is>
      </c>
      <c r="P275" s="5" t="n">
        <v>250</v>
      </c>
      <c r="Q275" s="1" t="inlineStr">
        <is>
          <t>Gastos derivados de Gestión (3,5%)</t>
        </is>
      </c>
      <c r="R275" s="5">
        <f>(N275+P275)*0.035</f>
        <v/>
      </c>
      <c r="AB275" s="6" t="inlineStr">
        <is>
          <t>ES85 2080 3509 1130 4009 6171</t>
        </is>
      </c>
      <c r="AC275" s="1" t="inlineStr">
        <is>
          <t>pagado</t>
        </is>
      </c>
      <c r="AD275" s="5">
        <f>L275+N275+P275+R275+T275+V275+X275+Z275</f>
        <v/>
      </c>
      <c r="AE275" s="5">
        <f>IF((LEFT(K275,6))="Contab",L275,0)</f>
        <v/>
      </c>
      <c r="AF275" s="6">
        <f>VLOOKUP(G275,CLIENTES!B:E,4,FALSE)</f>
        <v/>
      </c>
      <c r="AG275" s="5">
        <f>AF275*AE275</f>
        <v/>
      </c>
      <c r="AH275" s="5">
        <f>AD275*1.21</f>
        <v/>
      </c>
      <c r="AI275" s="261">
        <f>IF(AE275&lt;&gt;0,AG275/AD275,"N/A")</f>
        <v/>
      </c>
      <c r="AJ275" s="5">
        <f>IF(AC275="pendiente",AD275,0)</f>
        <v/>
      </c>
      <c r="AK275" s="1">
        <f>VLOOKUP(G275,CLIENTES!B:D,3,FALSE)</f>
        <v/>
      </c>
      <c r="AL275" s="1" t="inlineStr">
        <is>
          <t>WOC_OM</t>
        </is>
      </c>
      <c r="AM275" s="1" t="inlineStr">
        <is>
          <t>Refacturación</t>
        </is>
      </c>
    </row>
    <row r="276" ht="15" customHeight="1" s="700">
      <c r="A276" s="1">
        <f>A275+1</f>
        <v/>
      </c>
      <c r="B276" s="26" t="n">
        <v>45833</v>
      </c>
      <c r="C276" s="1" t="inlineStr">
        <is>
          <t>c/ Las Cruzadas 3A, local D</t>
        </is>
      </c>
      <c r="D276" s="1" t="inlineStr">
        <is>
          <t>Sevilla 41004</t>
        </is>
      </c>
      <c r="E276" s="1" t="inlineStr">
        <is>
          <t>CIF B91938662</t>
        </is>
      </c>
      <c r="F276" s="1" t="inlineStr">
        <is>
          <t>aBalados@abalados.es</t>
        </is>
      </c>
      <c r="G276" s="1" t="inlineStr">
        <is>
          <t>Amberg V S.L.U.</t>
        </is>
      </c>
      <c r="H276" s="1">
        <f>VLOOKUP($G276,DATOS!$B:$E,2,FALSE)</f>
        <v/>
      </c>
      <c r="I276" s="1">
        <f>VLOOKUP($G276,DATOS!$B:$E,3,FALSE)</f>
        <v/>
      </c>
      <c r="J276" s="1">
        <f>VLOOKUP($G276,DATOS!$B:$E,4,FALSE)</f>
        <v/>
      </c>
      <c r="K276" s="1" t="inlineStr">
        <is>
          <t>Refacturación gastos y/o servicios prestados a nombre de la sociedad</t>
        </is>
      </c>
      <c r="M276" s="1" t="inlineStr">
        <is>
          <t>Contador Trifásico SL760-2B171</t>
        </is>
      </c>
      <c r="N276" s="5" t="n">
        <v>708</v>
      </c>
      <c r="O276" s="1" t="inlineStr">
        <is>
          <t>Gastos derivados de Gestión (3,5%)</t>
        </is>
      </c>
      <c r="P276" s="5">
        <f>N276*0.035</f>
        <v/>
      </c>
      <c r="AB276" s="6" t="inlineStr">
        <is>
          <t>ES85 2080 3509 1130 4009 6171</t>
        </is>
      </c>
      <c r="AC276" s="1" t="inlineStr">
        <is>
          <t>pagado</t>
        </is>
      </c>
      <c r="AD276" s="5">
        <f>L276+N276+P276+R276+T276+V276+X276+Z276</f>
        <v/>
      </c>
      <c r="AE276" s="5">
        <f>IF((LEFT(K276,6))="Contab",L276,0)</f>
        <v/>
      </c>
      <c r="AF276" s="6">
        <f>VLOOKUP(G276,CLIENTES!B:E,4,FALSE)</f>
        <v/>
      </c>
      <c r="AG276" s="5">
        <f>AF276*AE276</f>
        <v/>
      </c>
      <c r="AH276" s="5">
        <f>AD276*1.21</f>
        <v/>
      </c>
      <c r="AI276" s="261">
        <f>IF(AE276&lt;&gt;0,AG276/AD276,"N/A")</f>
        <v/>
      </c>
      <c r="AJ276" s="5">
        <f>IF(AC276="pendiente",AD276,0)</f>
        <v/>
      </c>
      <c r="AK276" s="1">
        <f>VLOOKUP(G276,CLIENTES!B:D,3,FALSE)</f>
        <v/>
      </c>
      <c r="AL276" s="1" t="inlineStr">
        <is>
          <t>WOC_OM</t>
        </is>
      </c>
      <c r="AM276" s="1" t="inlineStr">
        <is>
          <t>Refacturación</t>
        </is>
      </c>
    </row>
    <row r="277" ht="15" customHeight="1" s="700">
      <c r="A277" s="1">
        <f>A276+1</f>
        <v/>
      </c>
      <c r="B277" s="26" t="n">
        <v>45833</v>
      </c>
      <c r="C277" s="1" t="inlineStr">
        <is>
          <t>c/ Las Cruzadas 3A, local D</t>
        </is>
      </c>
      <c r="D277" s="1" t="inlineStr">
        <is>
          <t>Sevilla 41004</t>
        </is>
      </c>
      <c r="E277" s="1" t="inlineStr">
        <is>
          <t>CIF B91938662</t>
        </is>
      </c>
      <c r="F277" s="1" t="inlineStr">
        <is>
          <t>aBalados@abalados.es</t>
        </is>
      </c>
      <c r="G277" s="1" t="inlineStr">
        <is>
          <t>WOC Fotovoltaica España Proyecto Sollana S.L.U.</t>
        </is>
      </c>
      <c r="H277" s="1">
        <f>VLOOKUP($G277,DATOS!$B:$E,2,FALSE)</f>
        <v/>
      </c>
      <c r="I277" s="1">
        <f>VLOOKUP($G277,DATOS!$B:$E,3,FALSE)</f>
        <v/>
      </c>
      <c r="J277" s="1">
        <f>VLOOKUP($G277,DATOS!$B:$E,4,FALSE)</f>
        <v/>
      </c>
      <c r="K277" s="1" t="inlineStr">
        <is>
          <t>Refacturación gastos y/o servicios prestados a nombre de la sociedad</t>
        </is>
      </c>
      <c r="M277" s="1" t="inlineStr">
        <is>
          <t>Burofax - Savills</t>
        </is>
      </c>
      <c r="N277" s="5" t="n">
        <v>26.27</v>
      </c>
      <c r="O277" s="1" t="inlineStr">
        <is>
          <t>Gastos derivados de Gestión (3,5%)</t>
        </is>
      </c>
      <c r="P277" s="5">
        <f>N277*0.035</f>
        <v/>
      </c>
      <c r="AB277" s="6" t="inlineStr">
        <is>
          <t>ES85 2080 3509 1130 4009 6171</t>
        </is>
      </c>
      <c r="AC277" s="1" t="inlineStr">
        <is>
          <t>pagado</t>
        </is>
      </c>
      <c r="AD277" s="5">
        <f>L277+N277+P277+R277+T277+V277+X277+Z277</f>
        <v/>
      </c>
      <c r="AE277" s="5">
        <f>IF((LEFT(K277,6))="Contab",L277,0)</f>
        <v/>
      </c>
      <c r="AF277" s="6">
        <f>VLOOKUP(G277,CLIENTES!B:E,4,FALSE)</f>
        <v/>
      </c>
      <c r="AG277" s="5">
        <f>AF277*AE277</f>
        <v/>
      </c>
      <c r="AH277" s="5">
        <f>AD277*1.21</f>
        <v/>
      </c>
      <c r="AI277" s="261">
        <f>IF(AE277&lt;&gt;0,AG277/AD277,"N/A")</f>
        <v/>
      </c>
      <c r="AJ277" s="5">
        <f>IF(AC277="pendiente",AD277,0)</f>
        <v/>
      </c>
      <c r="AK277" s="1">
        <f>VLOOKUP(G277,CLIENTES!B:D,3,FALSE)</f>
        <v/>
      </c>
      <c r="AL277" s="1" t="inlineStr">
        <is>
          <t>WOC_OM</t>
        </is>
      </c>
      <c r="AM277" s="1" t="inlineStr">
        <is>
          <t>Refacturación</t>
        </is>
      </c>
    </row>
    <row r="278" ht="15" customHeight="1" s="700">
      <c r="A278" s="1">
        <f>A277+1</f>
        <v/>
      </c>
      <c r="B278" s="26" t="n">
        <v>45833</v>
      </c>
      <c r="C278" s="1" t="inlineStr">
        <is>
          <t>c/ Las Cruzadas 3A, local D</t>
        </is>
      </c>
      <c r="D278" s="1" t="inlineStr">
        <is>
          <t>Sevilla 41004</t>
        </is>
      </c>
      <c r="E278" s="1" t="inlineStr">
        <is>
          <t>CIF B91938662</t>
        </is>
      </c>
      <c r="F278" s="1" t="inlineStr">
        <is>
          <t>aBalados@abalados.es</t>
        </is>
      </c>
      <c r="G278" s="1" t="inlineStr">
        <is>
          <t>Agrupación Solar el Algarrobo I, S.L.U.</t>
        </is>
      </c>
      <c r="H278" s="1">
        <f>VLOOKUP($G278,DATOS!$B:$E,2,FALSE)</f>
        <v/>
      </c>
      <c r="I278" s="1">
        <f>VLOOKUP($G278,DATOS!$B:$E,3,FALSE)</f>
        <v/>
      </c>
      <c r="J278" s="1">
        <f>VLOOKUP($G278,DATOS!$B:$E,4,FALSE)</f>
        <v/>
      </c>
      <c r="K278" s="1" t="inlineStr">
        <is>
          <t>Refacturación gastos y/o servicios prestados a nombre de la sociedad</t>
        </is>
      </c>
      <c r="M278" s="1" t="inlineStr">
        <is>
          <t>OCA Baja Tensión</t>
        </is>
      </c>
      <c r="N278" s="5" t="n">
        <v>460</v>
      </c>
      <c r="O278" s="1" t="inlineStr">
        <is>
          <t>Correción zanjas y adecuación caminos</t>
        </is>
      </c>
      <c r="P278" s="5" t="n">
        <v>1695</v>
      </c>
      <c r="Q278" s="1" t="inlineStr">
        <is>
          <t>Gastos derivados de Gestión (3,5%)</t>
        </is>
      </c>
      <c r="R278" s="5">
        <f>(N278+P278)*0.035</f>
        <v/>
      </c>
      <c r="AB278" s="6" t="inlineStr">
        <is>
          <t>ES85 2080 3509 1130 4009 6171</t>
        </is>
      </c>
      <c r="AC278" s="1" t="inlineStr">
        <is>
          <t>pagado</t>
        </is>
      </c>
      <c r="AD278" s="5">
        <f>L278+N278+P278+R278+T278+V278+X278+Z278</f>
        <v/>
      </c>
      <c r="AE278" s="5">
        <f>IF((LEFT(K278,6))="Contab",L278,0)</f>
        <v/>
      </c>
      <c r="AF278" s="6">
        <f>VLOOKUP(G278,CLIENTES!B:E,4,FALSE)</f>
        <v/>
      </c>
      <c r="AG278" s="5">
        <f>AF278*AE278</f>
        <v/>
      </c>
      <c r="AH278" s="5">
        <f>AD278*1.21</f>
        <v/>
      </c>
      <c r="AI278" s="261">
        <f>IF(AE278&lt;&gt;0,AG278/AD278,"N/A")</f>
        <v/>
      </c>
      <c r="AJ278" s="5">
        <f>IF(AC278="pendiente",AD278,0)</f>
        <v/>
      </c>
      <c r="AK278" s="1">
        <f>VLOOKUP(G278,CLIENTES!B:D,3,FALSE)</f>
        <v/>
      </c>
      <c r="AL278" s="1" t="inlineStr">
        <is>
          <t>WOC_OM</t>
        </is>
      </c>
      <c r="AM278" s="1" t="inlineStr">
        <is>
          <t>Refacturación</t>
        </is>
      </c>
    </row>
    <row r="279" ht="15" customHeight="1" s="700">
      <c r="A279" s="1">
        <f>A278+1</f>
        <v/>
      </c>
      <c r="B279" s="26" t="n">
        <v>45833</v>
      </c>
      <c r="C279" s="1" t="inlineStr">
        <is>
          <t>c/ Las Cruzadas 3A, local D</t>
        </is>
      </c>
      <c r="D279" s="1" t="inlineStr">
        <is>
          <t>Sevilla 41004</t>
        </is>
      </c>
      <c r="E279" s="1" t="inlineStr">
        <is>
          <t>CIF B91938662</t>
        </is>
      </c>
      <c r="F279" s="1" t="inlineStr">
        <is>
          <t>aBalados@abalados.es</t>
        </is>
      </c>
      <c r="G279" s="1" t="inlineStr">
        <is>
          <t>Agrupación Solar el Algarrobo II, S.L.U.</t>
        </is>
      </c>
      <c r="H279" s="1">
        <f>VLOOKUP($G279,DATOS!$B:$E,2,FALSE)</f>
        <v/>
      </c>
      <c r="I279" s="1">
        <f>VLOOKUP($G279,DATOS!$B:$E,3,FALSE)</f>
        <v/>
      </c>
      <c r="J279" s="1">
        <f>VLOOKUP($G279,DATOS!$B:$E,4,FALSE)</f>
        <v/>
      </c>
      <c r="K279" s="1" t="inlineStr">
        <is>
          <t>Refacturación gastos y/o servicios prestados a nombre de la sociedad</t>
        </is>
      </c>
      <c r="M279" s="1" t="inlineStr">
        <is>
          <t>OCA Baja Tensión</t>
        </is>
      </c>
      <c r="N279" s="5" t="n">
        <v>460</v>
      </c>
      <c r="O279" s="1" t="inlineStr">
        <is>
          <t>Correción zanjas y adecuación caminos</t>
        </is>
      </c>
      <c r="P279" s="5" t="n">
        <v>2490</v>
      </c>
      <c r="Q279" s="1" t="inlineStr">
        <is>
          <t>Gastos derivados de Gestión (3,5%)</t>
        </is>
      </c>
      <c r="R279" s="5">
        <f>(N279+P279)*0.035</f>
        <v/>
      </c>
      <c r="AB279" s="6" t="inlineStr">
        <is>
          <t>ES85 2080 3509 1130 4009 6171</t>
        </is>
      </c>
      <c r="AC279" s="1" t="inlineStr">
        <is>
          <t>pagado</t>
        </is>
      </c>
      <c r="AD279" s="5">
        <f>L279+N279+P279+R279+T279+V279+X279+Z279</f>
        <v/>
      </c>
      <c r="AE279" s="5">
        <f>IF((LEFT(K279,6))="Contab",L279,0)</f>
        <v/>
      </c>
      <c r="AF279" s="6">
        <f>VLOOKUP(G279,CLIENTES!B:E,4,FALSE)</f>
        <v/>
      </c>
      <c r="AG279" s="5">
        <f>AF279*AE279</f>
        <v/>
      </c>
      <c r="AH279" s="5">
        <f>AD279*1.21</f>
        <v/>
      </c>
      <c r="AI279" s="261">
        <f>IF(AE279&lt;&gt;0,AG279/AD279,"N/A")</f>
        <v/>
      </c>
      <c r="AJ279" s="5">
        <f>IF(AC279="pendiente",AD279,0)</f>
        <v/>
      </c>
      <c r="AK279" s="1">
        <f>VLOOKUP(G279,CLIENTES!B:D,3,FALSE)</f>
        <v/>
      </c>
      <c r="AL279" s="1" t="inlineStr">
        <is>
          <t>WOC_OM</t>
        </is>
      </c>
      <c r="AM279" s="1" t="inlineStr">
        <is>
          <t>Refacturación</t>
        </is>
      </c>
    </row>
    <row r="280" ht="15" customHeight="1" s="700">
      <c r="A280" s="1">
        <f>A279+1</f>
        <v/>
      </c>
      <c r="B280" s="26" t="n">
        <v>45833</v>
      </c>
      <c r="C280" s="1" t="inlineStr">
        <is>
          <t>c/ Las Cruzadas 3A, local D</t>
        </is>
      </c>
      <c r="D280" s="1" t="inlineStr">
        <is>
          <t>Sevilla 41004</t>
        </is>
      </c>
      <c r="E280" s="1" t="inlineStr">
        <is>
          <t>CIF B91938662</t>
        </is>
      </c>
      <c r="F280" s="1" t="inlineStr">
        <is>
          <t>aBalados@abalados.es</t>
        </is>
      </c>
      <c r="G280" s="1" t="inlineStr">
        <is>
          <t>Agrupación Solar el Algarrobo III, S.L.U.</t>
        </is>
      </c>
      <c r="H280" s="1">
        <f>VLOOKUP($G280,DATOS!$B:$E,2,FALSE)</f>
        <v/>
      </c>
      <c r="I280" s="1">
        <f>VLOOKUP($G280,DATOS!$B:$E,3,FALSE)</f>
        <v/>
      </c>
      <c r="J280" s="1">
        <f>VLOOKUP($G280,DATOS!$B:$E,4,FALSE)</f>
        <v/>
      </c>
      <c r="K280" s="1" t="inlineStr">
        <is>
          <t>Refacturación gastos y/o servicios prestados a nombre de la sociedad</t>
        </is>
      </c>
      <c r="M280" s="1" t="inlineStr">
        <is>
          <t>OCA Baja Tensión</t>
        </is>
      </c>
      <c r="N280" s="5" t="n">
        <v>460</v>
      </c>
      <c r="O280" s="1" t="inlineStr">
        <is>
          <t>Correción zanjas y adecuación caminos</t>
        </is>
      </c>
      <c r="P280" s="5" t="n">
        <v>4535</v>
      </c>
      <c r="Q280" s="1" t="inlineStr">
        <is>
          <t>Gastos derivados de Gestión (3,5%)</t>
        </is>
      </c>
      <c r="R280" s="5">
        <f>(N280+P280)*0.035</f>
        <v/>
      </c>
      <c r="AB280" s="6" t="inlineStr">
        <is>
          <t>ES85 2080 3509 1130 4009 6171</t>
        </is>
      </c>
      <c r="AC280" s="1" t="inlineStr">
        <is>
          <t>pagado</t>
        </is>
      </c>
      <c r="AD280" s="5">
        <f>L280+N280+P280+R280+T280+V280+X280+Z280</f>
        <v/>
      </c>
      <c r="AE280" s="5">
        <f>IF((LEFT(K280,6))="Contab",L280,0)</f>
        <v/>
      </c>
      <c r="AF280" s="6">
        <f>VLOOKUP(G280,CLIENTES!B:E,4,FALSE)</f>
        <v/>
      </c>
      <c r="AG280" s="5">
        <f>AF280*AE280</f>
        <v/>
      </c>
      <c r="AH280" s="5">
        <f>AD280*1.21</f>
        <v/>
      </c>
      <c r="AI280" s="261">
        <f>IF(AE280&lt;&gt;0,AG280/AD280,"N/A")</f>
        <v/>
      </c>
      <c r="AJ280" s="5">
        <f>IF(AC280="pendiente",AD280,0)</f>
        <v/>
      </c>
      <c r="AK280" s="1">
        <f>VLOOKUP(G280,CLIENTES!B:D,3,FALSE)</f>
        <v/>
      </c>
      <c r="AL280" s="1" t="inlineStr">
        <is>
          <t>WOC_OM</t>
        </is>
      </c>
      <c r="AM280" s="1" t="inlineStr">
        <is>
          <t>Refacturación</t>
        </is>
      </c>
    </row>
    <row r="281" ht="15" customHeight="1" s="700">
      <c r="A281" s="1">
        <f>A280+1</f>
        <v/>
      </c>
      <c r="B281" s="26" t="n">
        <v>45833</v>
      </c>
      <c r="C281" s="1" t="inlineStr">
        <is>
          <t>c/ Las Cruzadas 3A, local D</t>
        </is>
      </c>
      <c r="D281" s="1" t="inlineStr">
        <is>
          <t>Sevilla 41004</t>
        </is>
      </c>
      <c r="E281" s="1" t="inlineStr">
        <is>
          <t>CIF B91938662</t>
        </is>
      </c>
      <c r="F281" s="1" t="inlineStr">
        <is>
          <t>aBalados@abalados.es</t>
        </is>
      </c>
      <c r="G281" s="1" t="inlineStr">
        <is>
          <t>FP LUX REIO PV VALLADOLID, S.L.U.</t>
        </is>
      </c>
      <c r="H281" s="1">
        <f>VLOOKUP($G281,DATOS!$B:$E,2,FALSE)</f>
        <v/>
      </c>
      <c r="I281" s="1">
        <f>VLOOKUP($G281,DATOS!$B:$E,3,FALSE)</f>
        <v/>
      </c>
      <c r="J281" s="1">
        <f>VLOOKUP($G281,DATOS!$B:$E,4,FALSE)</f>
        <v/>
      </c>
      <c r="K281" s="1" t="inlineStr">
        <is>
          <t>Refacturación gastos y/o servicios prestados a nombre de la sociedad</t>
        </is>
      </c>
      <c r="M281" s="1" t="inlineStr">
        <is>
          <t>Registro Mercantil - Nota informativa</t>
        </is>
      </c>
      <c r="N281" s="5" t="n">
        <v>7.18</v>
      </c>
      <c r="AB281" s="6" t="inlineStr">
        <is>
          <t>ES85 2080 3509 1130 4009 6171</t>
        </is>
      </c>
      <c r="AC281" s="1" t="inlineStr">
        <is>
          <t>pagado</t>
        </is>
      </c>
      <c r="AD281" s="5">
        <f>L281+N281+P281+R281+T281+V281+X281+Z281</f>
        <v/>
      </c>
      <c r="AE281" s="5">
        <f>IF((LEFT(K281,6))="Contab",L281,0)</f>
        <v/>
      </c>
      <c r="AF281" s="6">
        <f>VLOOKUP(G281,CLIENTES!B:E,4,FALSE)</f>
        <v/>
      </c>
      <c r="AG281" s="5">
        <f>AF281*AE281</f>
        <v/>
      </c>
      <c r="AH281" s="5">
        <f>AD281*1.21</f>
        <v/>
      </c>
      <c r="AI281" s="261">
        <f>IF(AE281&lt;&gt;0,AG281/AD281,"N/A")</f>
        <v/>
      </c>
      <c r="AJ281" s="5">
        <f>IF(AC281="pendiente",AD281,0)</f>
        <v/>
      </c>
      <c r="AK281" s="1">
        <f>VLOOKUP(G281,CLIENTES!B:D,3,FALSE)</f>
        <v/>
      </c>
      <c r="AL281" s="1" t="inlineStr">
        <is>
          <t>OM_Otros</t>
        </is>
      </c>
      <c r="AM281" s="1" t="inlineStr">
        <is>
          <t>Refacturación</t>
        </is>
      </c>
    </row>
    <row r="282" ht="15" customFormat="1" customHeight="1" s="146">
      <c r="A282" s="146">
        <f>A281+1</f>
        <v/>
      </c>
      <c r="B282" s="149" t="n">
        <v>45833</v>
      </c>
      <c r="C282" s="146" t="inlineStr">
        <is>
          <t>c/ Las Cruzadas 3A, local D</t>
        </is>
      </c>
      <c r="D282" s="146" t="inlineStr">
        <is>
          <t>Sevilla 41004</t>
        </is>
      </c>
      <c r="E282" s="146" t="inlineStr">
        <is>
          <t>CIF B91938662</t>
        </is>
      </c>
      <c r="F282" s="146" t="inlineStr">
        <is>
          <t>aBalados@abalados.es</t>
        </is>
      </c>
      <c r="G282" s="146" t="inlineStr">
        <is>
          <t>FP LUX REIO PV ZARAGOZA SL.</t>
        </is>
      </c>
      <c r="H282" s="146">
        <f>VLOOKUP($G282,DATOS!$B:$E,2,FALSE)</f>
        <v/>
      </c>
      <c r="I282" s="146">
        <f>VLOOKUP($G282,DATOS!$B:$E,3,FALSE)</f>
        <v/>
      </c>
      <c r="J282" s="146">
        <f>VLOOKUP($G282,DATOS!$B:$E,4,FALSE)</f>
        <v/>
      </c>
      <c r="K282" s="146" t="inlineStr">
        <is>
          <t>Refacturación gastos y/o servicios prestados a nombre de la sociedad</t>
        </is>
      </c>
      <c r="L282" s="147" t="n"/>
      <c r="M282" s="146" t="inlineStr">
        <is>
          <t>Registro Mercantil - Nota informativa</t>
        </is>
      </c>
      <c r="N282" s="147" t="n">
        <v>7.79</v>
      </c>
      <c r="P282" s="147" t="n"/>
      <c r="R282" s="147" t="n"/>
      <c r="T282" s="147" t="n"/>
      <c r="V282" s="147" t="n"/>
      <c r="X282" s="147" t="n"/>
      <c r="Z282" s="147" t="n"/>
      <c r="AA282" s="147" t="n"/>
      <c r="AB282" s="148" t="inlineStr">
        <is>
          <t>ES85 2080 3509 1130 4009 6171</t>
        </is>
      </c>
      <c r="AC282" s="146" t="inlineStr">
        <is>
          <t>pagado</t>
        </is>
      </c>
      <c r="AD282" s="147">
        <f>L282+N282+P282+R282+T282+V282+X282+Z282</f>
        <v/>
      </c>
      <c r="AE282" s="147">
        <f>IF((LEFT(K282,6))="Contab",L282,0)</f>
        <v/>
      </c>
      <c r="AF282" s="148">
        <f>VLOOKUP(G282,CLIENTES!B:E,4,FALSE)</f>
        <v/>
      </c>
      <c r="AG282" s="147">
        <f>AF282*AE282</f>
        <v/>
      </c>
      <c r="AH282" s="147">
        <f>AD282*1.21</f>
        <v/>
      </c>
      <c r="AI282" s="257">
        <f>IF(AE282&lt;&gt;0,AG282/AD282,"N/A")</f>
        <v/>
      </c>
      <c r="AJ282" s="147">
        <f>IF(AC282="pendiente",AD282,0)</f>
        <v/>
      </c>
      <c r="AK282" s="146">
        <f>VLOOKUP(G282,CLIENTES!B:D,3,FALSE)</f>
        <v/>
      </c>
      <c r="AL282" s="146" t="inlineStr">
        <is>
          <t>OM_Otros</t>
        </is>
      </c>
      <c r="AM282" s="146" t="inlineStr">
        <is>
          <t>Refacturación</t>
        </is>
      </c>
    </row>
    <row r="283" ht="15" customFormat="1" customHeight="1" s="258">
      <c r="A283" s="258">
        <f>A282+1</f>
        <v/>
      </c>
      <c r="B283" s="299" t="n">
        <v>45846</v>
      </c>
      <c r="C283" s="258" t="inlineStr">
        <is>
          <t>c/ Las Cruzadas 3A, local D</t>
        </is>
      </c>
      <c r="D283" s="258" t="inlineStr">
        <is>
          <t>Sevilla 41004</t>
        </is>
      </c>
      <c r="E283" s="258" t="inlineStr">
        <is>
          <t>CIF B91938662</t>
        </is>
      </c>
      <c r="F283" s="258" t="inlineStr">
        <is>
          <t>aBalados@abalados.es</t>
        </is>
      </c>
      <c r="G283" s="258" t="inlineStr">
        <is>
          <t>Dehesa Asomadilla Inversiones S.L.U.</t>
        </is>
      </c>
      <c r="H283" s="258">
        <f>VLOOKUP($G283,DATOS!$B:$E,2,FALSE)</f>
        <v/>
      </c>
      <c r="I283" s="258">
        <f>VLOOKUP($G283,DATOS!$B:$E,3,FALSE)</f>
        <v/>
      </c>
      <c r="J283" s="258">
        <f>VLOOKUP($G283,DATOS!$B:$E,4,FALSE)</f>
        <v/>
      </c>
      <c r="K283" s="258" t="inlineStr">
        <is>
          <t>Contabilidad y Fiscalidad de proyecto Valverde - 3º Trimestre</t>
        </is>
      </c>
      <c r="L283" s="259">
        <f>'Tarifa 2025'!$D$5/4</f>
        <v/>
      </c>
      <c r="M283" s="258" t="inlineStr">
        <is>
          <t>SPV Management  Proyecto Valverde - 3º Trimestre</t>
        </is>
      </c>
      <c r="N283" s="259">
        <f>'Tarifa 2025'!$F$5/4</f>
        <v/>
      </c>
      <c r="O283" s="258" t="inlineStr">
        <is>
          <t>O&amp;M Management Proyecto Valverde - 3º Trimestre</t>
        </is>
      </c>
      <c r="P283" s="259">
        <f>'Tarifa 2025'!$H$5/4</f>
        <v/>
      </c>
      <c r="Q283" s="258" t="inlineStr">
        <is>
          <t>Consultoría - 3º Trimestre</t>
        </is>
      </c>
      <c r="R283" s="259">
        <f>'Tarifa 2025'!$J$5/4</f>
        <v/>
      </c>
      <c r="T283" s="259" t="n"/>
      <c r="V283" s="259" t="n"/>
      <c r="X283" s="259" t="n"/>
      <c r="Y283" s="258" t="inlineStr">
        <is>
          <t>Gastos derivados de contrato (3,5%)</t>
        </is>
      </c>
      <c r="Z283" s="259">
        <f>(L283+N283+P283+R283+T283+V283+X283)*0.035</f>
        <v/>
      </c>
      <c r="AA283" s="259" t="n"/>
      <c r="AB283" s="260" t="inlineStr">
        <is>
          <t>ES85 2080 3509 1130 4009 6171</t>
        </is>
      </c>
      <c r="AC283" s="258" t="inlineStr">
        <is>
          <t>pagado</t>
        </is>
      </c>
      <c r="AD283" s="259">
        <f>L283+N283+P283+R283+T283+V283+X283+Z283</f>
        <v/>
      </c>
      <c r="AE283" s="259">
        <f>IF((LEFT(K283,6))="Contab",L283,0)</f>
        <v/>
      </c>
      <c r="AF283" s="465">
        <f>VLOOKUP(G283,CLIENTES!B:E,4,FALSE)</f>
        <v/>
      </c>
      <c r="AG283" s="259">
        <f>AF283*AE283</f>
        <v/>
      </c>
      <c r="AH283" s="259">
        <f>AD283*1.21</f>
        <v/>
      </c>
      <c r="AI283" s="264">
        <f>IF(AE283&lt;&gt;0,AG283/AD283,"N/A")</f>
        <v/>
      </c>
      <c r="AJ283" s="259">
        <f>IF(AC283="pendiente",AD283,0)</f>
        <v/>
      </c>
      <c r="AK283" s="258">
        <f>VLOOKUP(G283,CLIENTES!B:D,3,FALSE)</f>
        <v/>
      </c>
      <c r="AL283" s="258" t="inlineStr">
        <is>
          <t>WOC_Asset</t>
        </is>
      </c>
      <c r="AM283" s="258" t="inlineStr">
        <is>
          <t>Administración</t>
        </is>
      </c>
    </row>
    <row r="284" ht="15" customHeight="1" s="700">
      <c r="A284" s="1">
        <f>A283+1</f>
        <v/>
      </c>
      <c r="B284" s="26" t="n">
        <v>45846</v>
      </c>
      <c r="C284" s="1" t="inlineStr">
        <is>
          <t>c/ Las Cruzadas 3A, local D</t>
        </is>
      </c>
      <c r="D284" s="1" t="inlineStr">
        <is>
          <t>Sevilla 41004</t>
        </is>
      </c>
      <c r="E284" s="1" t="inlineStr">
        <is>
          <t>CIF B91938662</t>
        </is>
      </c>
      <c r="F284" s="1" t="inlineStr">
        <is>
          <t>aBalados@abalados.es</t>
        </is>
      </c>
      <c r="G284" s="1" t="inlineStr">
        <is>
          <t>Asomadilla Solar 2007 S.L.U.</t>
        </is>
      </c>
      <c r="H284" s="1">
        <f>VLOOKUP($G284,DATOS!$B:$E,2,FALSE)</f>
        <v/>
      </c>
      <c r="I284" s="1">
        <f>VLOOKUP($G284,DATOS!$B:$E,3,FALSE)</f>
        <v/>
      </c>
      <c r="J284" s="1">
        <f>VLOOKUP($G284,DATOS!$B:$E,4,FALSE)</f>
        <v/>
      </c>
      <c r="K284" s="1" t="inlineStr">
        <is>
          <t>Contabilidad y Fiscalidad de proyecto Castuera - 3º Trimestre</t>
        </is>
      </c>
      <c r="L284" s="5">
        <f>'Tarifa 2025'!$D$6/4</f>
        <v/>
      </c>
      <c r="M284" s="1" t="inlineStr">
        <is>
          <t>SPV Management  Proyecto Castuera - 3º Trimestre</t>
        </is>
      </c>
      <c r="N284" s="5">
        <f>'Tarifa 2025'!$F$6/4</f>
        <v/>
      </c>
      <c r="O284" s="1" t="inlineStr">
        <is>
          <t>O&amp;M Management Proyecto Castuera - 3º Trimestre</t>
        </is>
      </c>
      <c r="P284" s="5">
        <f>'Tarifa 2025'!$H$6/4</f>
        <v/>
      </c>
      <c r="Q284" s="1" t="inlineStr">
        <is>
          <t>Consultoría - 3º Trimestre</t>
        </is>
      </c>
      <c r="R284" s="5">
        <f>'Tarifa 2025'!$J$6/4</f>
        <v/>
      </c>
      <c r="Y284" s="1" t="inlineStr">
        <is>
          <t>Gastos derivados de contrato (3,5%)</t>
        </is>
      </c>
      <c r="Z284" s="5">
        <f>(L284+N284+P284+R284+T284+V284+X284)*0.035</f>
        <v/>
      </c>
      <c r="AB284" s="6" t="inlineStr">
        <is>
          <t>ES85 2080 3509 1130 4009 6171</t>
        </is>
      </c>
      <c r="AC284" s="1" t="inlineStr">
        <is>
          <t>pagado</t>
        </is>
      </c>
      <c r="AD284" s="5">
        <f>L284+N284+P284+R284+T284+V284+X284+Z284</f>
        <v/>
      </c>
      <c r="AE284" s="5">
        <f>IF((LEFT(K284,6))="Contab",L284,0)</f>
        <v/>
      </c>
      <c r="AF284" s="466">
        <f>VLOOKUP(G284,CLIENTES!B:E,4,FALSE)</f>
        <v/>
      </c>
      <c r="AG284" s="5">
        <f>AF284*AE284</f>
        <v/>
      </c>
      <c r="AH284" s="5">
        <f>AD284*1.21</f>
        <v/>
      </c>
      <c r="AI284" s="261">
        <f>IF(AE284&lt;&gt;0,AG284/AD284,"N/A")</f>
        <v/>
      </c>
      <c r="AJ284" s="5">
        <f>IF(AC284="pendiente",AD284,0)</f>
        <v/>
      </c>
      <c r="AK284" s="1">
        <f>VLOOKUP(G284,CLIENTES!B:D,3,FALSE)</f>
        <v/>
      </c>
      <c r="AL284" s="1" t="inlineStr">
        <is>
          <t>WOC_Asset</t>
        </is>
      </c>
      <c r="AM284" s="1" t="inlineStr">
        <is>
          <t>Administración</t>
        </is>
      </c>
    </row>
    <row r="285" ht="15" customHeight="1" s="700">
      <c r="A285" s="1">
        <f>A284+1</f>
        <v/>
      </c>
      <c r="B285" s="26" t="n">
        <v>45846</v>
      </c>
      <c r="C285" s="1" t="inlineStr">
        <is>
          <t>c/ Las Cruzadas 3A, local D</t>
        </is>
      </c>
      <c r="D285" s="1" t="inlineStr">
        <is>
          <t>Sevilla 41004</t>
        </is>
      </c>
      <c r="E285" s="1" t="inlineStr">
        <is>
          <t>CIF B91938662</t>
        </is>
      </c>
      <c r="F285" s="1" t="inlineStr">
        <is>
          <t>aBalados@abalados.es</t>
        </is>
      </c>
      <c r="G285" s="1" t="inlineStr">
        <is>
          <t>Inversión Cubiertas Solares S.L.U.</t>
        </is>
      </c>
      <c r="H285" s="1">
        <f>VLOOKUP($G285,DATOS!$B:$E,2,FALSE)</f>
        <v/>
      </c>
      <c r="I285" s="1">
        <f>VLOOKUP($G285,DATOS!$B:$E,3,FALSE)</f>
        <v/>
      </c>
      <c r="J285" s="1">
        <f>VLOOKUP($G285,DATOS!$B:$E,4,FALSE)</f>
        <v/>
      </c>
      <c r="K285" s="1" t="inlineStr">
        <is>
          <t>Contabilidad y Fiscalidad de proyecto Paiporta - 3º Trimestre</t>
        </is>
      </c>
      <c r="L285" s="5">
        <f>'Tarifa 2025'!$D$7/4</f>
        <v/>
      </c>
      <c r="M285" s="1" t="inlineStr">
        <is>
          <t>SPV Management  Proyecto Paiporta - 3º Trimestre</t>
        </is>
      </c>
      <c r="N285" s="5">
        <f>'Tarifa 2025'!$F$7/4</f>
        <v/>
      </c>
      <c r="O285" s="1" t="inlineStr">
        <is>
          <t>O&amp;M Management Proyecto Paiporta - 3º Trimestre</t>
        </is>
      </c>
      <c r="P285" s="5">
        <f>'Tarifa 2025'!$H$7/4</f>
        <v/>
      </c>
      <c r="Q285" s="1" t="inlineStr">
        <is>
          <t>Consultoría - 3º Trimestre</t>
        </is>
      </c>
      <c r="R285" s="5">
        <f>'Tarifa 2025'!$J$7/4</f>
        <v/>
      </c>
      <c r="Y285" s="1" t="inlineStr">
        <is>
          <t>Gastos derivados de contrato (3,5%)</t>
        </is>
      </c>
      <c r="Z285" s="5">
        <f>(L285+N285+P285+R285+T285+V285+X285)*0.035</f>
        <v/>
      </c>
      <c r="AB285" s="6" t="inlineStr">
        <is>
          <t>ES85 2080 3509 1130 4009 6171</t>
        </is>
      </c>
      <c r="AC285" s="1" t="inlineStr">
        <is>
          <t>pagado</t>
        </is>
      </c>
      <c r="AD285" s="5">
        <f>L285+N285+P285+R285+T285+V285+X285+Z285</f>
        <v/>
      </c>
      <c r="AE285" s="5">
        <f>IF((LEFT(K285,6))="Contab",L285,0)</f>
        <v/>
      </c>
      <c r="AF285" s="466">
        <f>VLOOKUP(G285,CLIENTES!B:E,4,FALSE)</f>
        <v/>
      </c>
      <c r="AG285" s="5">
        <f>AF285*AE285</f>
        <v/>
      </c>
      <c r="AH285" s="5">
        <f>AD285*1.21</f>
        <v/>
      </c>
      <c r="AI285" s="261">
        <f>IF(AE285&lt;&gt;0,AG285/AD285,"N/A")</f>
        <v/>
      </c>
      <c r="AJ285" s="5">
        <f>IF(AC285="pendiente",AD285,0)</f>
        <v/>
      </c>
      <c r="AK285" s="1">
        <f>VLOOKUP(G285,CLIENTES!B:D,3,FALSE)</f>
        <v/>
      </c>
      <c r="AL285" s="1" t="inlineStr">
        <is>
          <t>WOC_Asset</t>
        </is>
      </c>
      <c r="AM285" s="1" t="inlineStr">
        <is>
          <t>Administración</t>
        </is>
      </c>
    </row>
    <row r="286" ht="15" customHeight="1" s="700">
      <c r="A286" s="1">
        <f>A285+1</f>
        <v/>
      </c>
      <c r="B286" s="26" t="n">
        <v>45846</v>
      </c>
      <c r="C286" s="1" t="inlineStr">
        <is>
          <t>c/ Las Cruzadas 3A, local D</t>
        </is>
      </c>
      <c r="D286" s="1" t="inlineStr">
        <is>
          <t>Sevilla 41004</t>
        </is>
      </c>
      <c r="E286" s="1" t="inlineStr">
        <is>
          <t>CIF B91938662</t>
        </is>
      </c>
      <c r="F286" s="1" t="inlineStr">
        <is>
          <t>aBalados@abalados.es</t>
        </is>
      </c>
      <c r="G286" s="1" t="inlineStr">
        <is>
          <t>Lugec Inversión Solar S.L.U.</t>
        </is>
      </c>
      <c r="H286" s="1">
        <f>VLOOKUP($G286,DATOS!$B:$E,2,FALSE)</f>
        <v/>
      </c>
      <c r="I286" s="1">
        <f>VLOOKUP($G286,DATOS!$B:$E,3,FALSE)</f>
        <v/>
      </c>
      <c r="J286" s="1">
        <f>VLOOKUP($G286,DATOS!$B:$E,4,FALSE)</f>
        <v/>
      </c>
      <c r="K286" s="1" t="inlineStr">
        <is>
          <t>Contabilidad y Fiscalidad de proyecto Bonaire - 3º Trimestre</t>
        </is>
      </c>
      <c r="L286" s="5">
        <f>'Tarifa 2025'!$D$8/4</f>
        <v/>
      </c>
      <c r="M286" s="1" t="inlineStr">
        <is>
          <t>SPV Management  Proyecto Bonaire - 3º Trimestre</t>
        </is>
      </c>
      <c r="N286" s="5">
        <f>'Tarifa 2025'!$F$8/4</f>
        <v/>
      </c>
      <c r="O286" s="1" t="inlineStr">
        <is>
          <t>O&amp;M Management Proyecto Bonaire - 3º Trimestre</t>
        </is>
      </c>
      <c r="P286" s="5">
        <f>'Tarifa 2025'!$H$8/4</f>
        <v/>
      </c>
      <c r="Q286" s="1" t="inlineStr">
        <is>
          <t>Consultoría - 3º Trimestre</t>
        </is>
      </c>
      <c r="R286" s="5">
        <f>'Tarifa 2025'!$J$8/4</f>
        <v/>
      </c>
      <c r="Y286" s="1" t="inlineStr">
        <is>
          <t>Gastos derivados de contrato (3,5%)</t>
        </is>
      </c>
      <c r="Z286" s="5">
        <f>(L286+N286+P286+R286+T286+V286+X286)*0.035</f>
        <v/>
      </c>
      <c r="AB286" s="6" t="inlineStr">
        <is>
          <t>ES85 2080 3509 1130 4009 6171</t>
        </is>
      </c>
      <c r="AC286" s="1" t="inlineStr">
        <is>
          <t>pagado</t>
        </is>
      </c>
      <c r="AD286" s="5">
        <f>L286+N286+P286+R286+T286+V286+X286+Z286</f>
        <v/>
      </c>
      <c r="AE286" s="5">
        <f>IF((LEFT(K286,6))="Contab",L286,0)</f>
        <v/>
      </c>
      <c r="AF286" s="466">
        <f>VLOOKUP(G286,CLIENTES!B:E,4,FALSE)</f>
        <v/>
      </c>
      <c r="AG286" s="5">
        <f>AF286*AE286</f>
        <v/>
      </c>
      <c r="AH286" s="5">
        <f>AD286*1.21</f>
        <v/>
      </c>
      <c r="AI286" s="261">
        <f>IF(AE286&lt;&gt;0,AG286/AD286,"N/A")</f>
        <v/>
      </c>
      <c r="AJ286" s="5">
        <f>IF(AC286="pendiente",AD286,0)</f>
        <v/>
      </c>
      <c r="AK286" s="1">
        <f>VLOOKUP(G286,CLIENTES!B:D,3,FALSE)</f>
        <v/>
      </c>
      <c r="AL286" s="1" t="inlineStr">
        <is>
          <t>WOC_Asset</t>
        </is>
      </c>
      <c r="AM286" s="1" t="inlineStr">
        <is>
          <t>Administración</t>
        </is>
      </c>
    </row>
    <row r="287" ht="15" customHeight="1" s="700">
      <c r="A287" s="1">
        <f>A286+1</f>
        <v/>
      </c>
      <c r="B287" s="26" t="n">
        <v>45846</v>
      </c>
      <c r="C287" s="1" t="inlineStr">
        <is>
          <t>c/ Las Cruzadas 3A, local D</t>
        </is>
      </c>
      <c r="D287" s="1" t="inlineStr">
        <is>
          <t>Sevilla 41004</t>
        </is>
      </c>
      <c r="E287" s="1" t="inlineStr">
        <is>
          <t>CIF B91938662</t>
        </is>
      </c>
      <c r="F287" s="1" t="inlineStr">
        <is>
          <t>aBalados@abalados.es</t>
        </is>
      </c>
      <c r="G287" s="1" t="inlineStr">
        <is>
          <t>LOCABA SOLAR S.L.U.</t>
        </is>
      </c>
      <c r="H287" s="1">
        <f>VLOOKUP($G287,DATOS!$B:$E,2,FALSE)</f>
        <v/>
      </c>
      <c r="I287" s="1">
        <f>VLOOKUP($G287,DATOS!$B:$E,3,FALSE)</f>
        <v/>
      </c>
      <c r="J287" s="1">
        <f>VLOOKUP($G287,DATOS!$B:$E,4,FALSE)</f>
        <v/>
      </c>
      <c r="K287" s="1" t="inlineStr">
        <is>
          <t>Contabilidad y Fiscalidad de proyecto Coreses - 3º Trimestre</t>
        </is>
      </c>
      <c r="L287" s="5">
        <f>'Tarifa 2025'!$D$9/4</f>
        <v/>
      </c>
      <c r="M287" s="1" t="inlineStr">
        <is>
          <t>SPV Management  Proyecto Coreses - 3º Trimestre</t>
        </is>
      </c>
      <c r="N287" s="5">
        <f>'Tarifa 2025'!$F$9/4</f>
        <v/>
      </c>
      <c r="O287" s="1" t="inlineStr">
        <is>
          <t>O&amp;M Management Proyecto Coreses - 3º Trimestre</t>
        </is>
      </c>
      <c r="P287" s="5">
        <f>'Tarifa 2025'!$H$9/4</f>
        <v/>
      </c>
      <c r="Q287" s="1" t="inlineStr">
        <is>
          <t>Consultoría - 3º Trimestre</t>
        </is>
      </c>
      <c r="R287" s="5">
        <f>'Tarifa 2025'!$J$9/4</f>
        <v/>
      </c>
      <c r="Y287" s="1" t="inlineStr">
        <is>
          <t>Gastos derivados de contrato (3,5%)</t>
        </is>
      </c>
      <c r="Z287" s="5">
        <f>(L287+N287+P287+R287+T287+V287+X287)*0.035</f>
        <v/>
      </c>
      <c r="AB287" s="6" t="inlineStr">
        <is>
          <t>ES85 2080 3509 1130 4009 6171</t>
        </is>
      </c>
      <c r="AC287" s="258" t="inlineStr">
        <is>
          <t>pagado</t>
        </is>
      </c>
      <c r="AD287" s="5">
        <f>L287+N287+P287+R287+T287+V287+X287+Z287</f>
        <v/>
      </c>
      <c r="AE287" s="5">
        <f>IF((LEFT(K287,6))="Contab",L287,0)</f>
        <v/>
      </c>
      <c r="AF287" s="466">
        <f>VLOOKUP(G287,CLIENTES!B:E,4,FALSE)</f>
        <v/>
      </c>
      <c r="AG287" s="5">
        <f>AF287*AE287</f>
        <v/>
      </c>
      <c r="AH287" s="5">
        <f>AD287*1.21</f>
        <v/>
      </c>
      <c r="AI287" s="261">
        <f>IF(AE287&lt;&gt;0,AG287/AD287,"N/A")</f>
        <v/>
      </c>
      <c r="AJ287" s="5">
        <f>IF(AC287="pendiente",AD287,0)</f>
        <v/>
      </c>
      <c r="AK287" s="1">
        <f>VLOOKUP(G287,CLIENTES!B:D,3,FALSE)</f>
        <v/>
      </c>
      <c r="AL287" s="1" t="inlineStr">
        <is>
          <t>WOC_Asset</t>
        </is>
      </c>
      <c r="AM287" s="1" t="inlineStr">
        <is>
          <t>Administración</t>
        </is>
      </c>
    </row>
    <row r="288" ht="15" customHeight="1" s="700">
      <c r="A288" s="1">
        <f>A287+1</f>
        <v/>
      </c>
      <c r="B288" s="26" t="n">
        <v>45846</v>
      </c>
      <c r="C288" s="1" t="inlineStr">
        <is>
          <t>c/ Las Cruzadas 3A, local D</t>
        </is>
      </c>
      <c r="D288" s="1" t="inlineStr">
        <is>
          <t>Sevilla 41004</t>
        </is>
      </c>
      <c r="E288" s="1" t="inlineStr">
        <is>
          <t>CIF B91938662</t>
        </is>
      </c>
      <c r="F288" s="1" t="inlineStr">
        <is>
          <t>aBalados@abalados.es</t>
        </is>
      </c>
      <c r="G288" s="1" t="inlineStr">
        <is>
          <t>Agrupación Solar el Algarrobo I, S.L.U.</t>
        </is>
      </c>
      <c r="H288" s="1">
        <f>VLOOKUP($G288,DATOS!$B:$E,2,FALSE)</f>
        <v/>
      </c>
      <c r="I288" s="1">
        <f>VLOOKUP($G288,DATOS!$B:$E,3,FALSE)</f>
        <v/>
      </c>
      <c r="J288" s="1">
        <f>VLOOKUP($G288,DATOS!$B:$E,4,FALSE)</f>
        <v/>
      </c>
      <c r="K288" s="1" t="inlineStr">
        <is>
          <t>Contabilidad y Fiscalidad de proyecto Algarrobo I - 3º Trimestre</t>
        </is>
      </c>
      <c r="L288" s="5">
        <f>'Tarifa 2025'!$D$12*1.89/5.49/4</f>
        <v/>
      </c>
      <c r="M288" s="1" t="inlineStr">
        <is>
          <t>SPV Management  Proyecto Algarrobo I -  3º Trimestre</t>
        </is>
      </c>
      <c r="N288" s="5">
        <f>'Tarifa 2025'!$F$12*1.89/5.49/4</f>
        <v/>
      </c>
      <c r="O288" s="1" t="inlineStr">
        <is>
          <t>O&amp;M Management Proyecto Algarrobo I - 3º Trimestre</t>
        </is>
      </c>
      <c r="P288" s="5">
        <f>'Tarifa 2025'!$H$12*1.89/5.49/4</f>
        <v/>
      </c>
      <c r="Q288" s="1" t="inlineStr">
        <is>
          <t>Consultoría - 3º Trimestre</t>
        </is>
      </c>
      <c r="R288" s="5">
        <f>'Tarifa 2025'!$J$12*(1.89/(1.89+1.89+1.71))/4</f>
        <v/>
      </c>
      <c r="Y288" s="1" t="inlineStr">
        <is>
          <t>Gastos derivados de contrato (3,5%)</t>
        </is>
      </c>
      <c r="Z288" s="5">
        <f>(L288+N288+P288+R288+T288+V288+X288)*0.035</f>
        <v/>
      </c>
      <c r="AB288" s="6" t="inlineStr">
        <is>
          <t>ES85 2080 3509 1130 4009 6171</t>
        </is>
      </c>
      <c r="AC288" s="1" t="inlineStr">
        <is>
          <t>pagado</t>
        </is>
      </c>
      <c r="AD288" s="5">
        <f>L288+N288+P288+R288+T288+V288+X288+Z288</f>
        <v/>
      </c>
      <c r="AE288" s="5">
        <f>IF((LEFT(K288,6))="Contab",L288,0)</f>
        <v/>
      </c>
      <c r="AF288" s="466">
        <f>VLOOKUP(G288,CLIENTES!B:E,4,FALSE)</f>
        <v/>
      </c>
      <c r="AG288" s="5">
        <f>AF288*AE288</f>
        <v/>
      </c>
      <c r="AH288" s="5">
        <f>AD288*1.21</f>
        <v/>
      </c>
      <c r="AI288" s="261">
        <f>IF(AE288&lt;&gt;0,AG288/AD288,"N/A")</f>
        <v/>
      </c>
      <c r="AJ288" s="5">
        <f>IF(AC288="pendiente",AD288,0)</f>
        <v/>
      </c>
      <c r="AK288" s="1">
        <f>VLOOKUP(G288,CLIENTES!B:D,3,FALSE)</f>
        <v/>
      </c>
      <c r="AL288" s="1" t="inlineStr">
        <is>
          <t>WOC_Asset</t>
        </is>
      </c>
      <c r="AM288" s="1" t="inlineStr">
        <is>
          <t>Administración</t>
        </is>
      </c>
    </row>
    <row r="289" ht="15" customHeight="1" s="700">
      <c r="A289" s="1">
        <f>A288+1</f>
        <v/>
      </c>
      <c r="B289" s="26" t="n">
        <v>45846</v>
      </c>
      <c r="C289" s="1" t="inlineStr">
        <is>
          <t>c/ Las Cruzadas 3A, local D</t>
        </is>
      </c>
      <c r="D289" s="1" t="inlineStr">
        <is>
          <t>Sevilla 41004</t>
        </is>
      </c>
      <c r="E289" s="1" t="inlineStr">
        <is>
          <t>CIF B91938662</t>
        </is>
      </c>
      <c r="F289" s="1" t="inlineStr">
        <is>
          <t>aBalados@abalados.es</t>
        </is>
      </c>
      <c r="G289" s="1" t="inlineStr">
        <is>
          <t>Agrupación Solar el Algarrobo II, S.L.U.</t>
        </is>
      </c>
      <c r="H289" s="1">
        <f>VLOOKUP($G289,DATOS!$B:$E,2,FALSE)</f>
        <v/>
      </c>
      <c r="I289" s="1">
        <f>VLOOKUP($G289,DATOS!$B:$E,3,FALSE)</f>
        <v/>
      </c>
      <c r="J289" s="1">
        <f>VLOOKUP($G289,DATOS!$B:$E,4,FALSE)</f>
        <v/>
      </c>
      <c r="K289" s="1" t="inlineStr">
        <is>
          <t>Contabilidad y Fiscalidad de proyecto Algarrobo II - 3º Trimestre</t>
        </is>
      </c>
      <c r="L289" s="5">
        <f>'Tarifa 2025'!$D$12*1.89/5.49/4</f>
        <v/>
      </c>
      <c r="M289" s="1" t="inlineStr">
        <is>
          <t>SPV Management  Proyecto Algarrobo II -  3º Trimestre</t>
        </is>
      </c>
      <c r="N289" s="5">
        <f>'Tarifa 2025'!$F$12*1.89/5.49/4</f>
        <v/>
      </c>
      <c r="O289" s="1" t="inlineStr">
        <is>
          <t>O&amp;M Management Proyecto Algarrobo II - 3º Trimestre</t>
        </is>
      </c>
      <c r="P289" s="5">
        <f>'Tarifa 2025'!$H$12*1.89/5.49/4</f>
        <v/>
      </c>
      <c r="Q289" s="1" t="inlineStr">
        <is>
          <t>Consultoría - 3º Trimestre</t>
        </is>
      </c>
      <c r="R289" s="5">
        <f>'Tarifa 2025'!$J$12*(1.89/(1.89+1.89+1.71))/4</f>
        <v/>
      </c>
      <c r="Y289" s="1" t="inlineStr">
        <is>
          <t>Gastos derivados de contrato (3,5%)</t>
        </is>
      </c>
      <c r="Z289" s="5">
        <f>(L289+N289+P289+R289+T289+V289+X289)*0.035</f>
        <v/>
      </c>
      <c r="AB289" s="6" t="inlineStr">
        <is>
          <t>ES85 2080 3509 1130 4009 6171</t>
        </is>
      </c>
      <c r="AC289" s="1" t="inlineStr">
        <is>
          <t>pagado</t>
        </is>
      </c>
      <c r="AD289" s="5">
        <f>L289+N289+P289+R289+T289+V289+X289+Z289</f>
        <v/>
      </c>
      <c r="AE289" s="5">
        <f>IF((LEFT(K289,6))="Contab",L289,0)</f>
        <v/>
      </c>
      <c r="AF289" s="466">
        <f>VLOOKUP(G289,CLIENTES!B:E,4,FALSE)</f>
        <v/>
      </c>
      <c r="AG289" s="5">
        <f>AF289*AE289</f>
        <v/>
      </c>
      <c r="AH289" s="5">
        <f>AD289*1.21</f>
        <v/>
      </c>
      <c r="AI289" s="261">
        <f>IF(AE289&lt;&gt;0,AG289/AD289,"N/A")</f>
        <v/>
      </c>
      <c r="AJ289" s="5">
        <f>IF(AC289="pendiente",AD289,0)</f>
        <v/>
      </c>
      <c r="AK289" s="1">
        <f>VLOOKUP(G289,CLIENTES!B:D,3,FALSE)</f>
        <v/>
      </c>
      <c r="AL289" s="1" t="inlineStr">
        <is>
          <t>WOC_Asset</t>
        </is>
      </c>
      <c r="AM289" s="1" t="inlineStr">
        <is>
          <t>Administración</t>
        </is>
      </c>
    </row>
    <row r="290" ht="15" customHeight="1" s="700">
      <c r="A290" s="1">
        <f>A289+1</f>
        <v/>
      </c>
      <c r="B290" s="26" t="n">
        <v>45846</v>
      </c>
      <c r="C290" s="1" t="inlineStr">
        <is>
          <t>c/ Las Cruzadas 3A, local D</t>
        </is>
      </c>
      <c r="D290" s="1" t="inlineStr">
        <is>
          <t>Sevilla 41004</t>
        </is>
      </c>
      <c r="E290" s="1" t="inlineStr">
        <is>
          <t>CIF B91938662</t>
        </is>
      </c>
      <c r="F290" s="1" t="inlineStr">
        <is>
          <t>aBalados@abalados.es</t>
        </is>
      </c>
      <c r="G290" s="1" t="inlineStr">
        <is>
          <t>Agrupación Solar el Algarrobo III, S.L.U.</t>
        </is>
      </c>
      <c r="H290" s="1">
        <f>VLOOKUP($G290,DATOS!$B:$E,2,FALSE)</f>
        <v/>
      </c>
      <c r="I290" s="1">
        <f>VLOOKUP($G290,DATOS!$B:$E,3,FALSE)</f>
        <v/>
      </c>
      <c r="J290" s="1">
        <f>VLOOKUP($G290,DATOS!$B:$E,4,FALSE)</f>
        <v/>
      </c>
      <c r="K290" s="1" t="inlineStr">
        <is>
          <t>Contabilidad y Fiscalidad de proyecto Algarrobo III - 3º Trimestre</t>
        </is>
      </c>
      <c r="L290" s="5">
        <f>'Tarifa 2025'!$D$12*1.71/5.49/4</f>
        <v/>
      </c>
      <c r="M290" s="1" t="inlineStr">
        <is>
          <t>SPV Management  Proyecto Algarrobo III -  3º Trimestre</t>
        </is>
      </c>
      <c r="N290" s="5">
        <f>'Tarifa 2025'!$F$12*1.71/5.49/4</f>
        <v/>
      </c>
      <c r="O290" s="1" t="inlineStr">
        <is>
          <t>O&amp;M Management Proyecto Algarrobo III - 3º Trimestre</t>
        </is>
      </c>
      <c r="P290" s="5">
        <f>'Tarifa 2025'!$H$12*1.71/5.49/4</f>
        <v/>
      </c>
      <c r="Q290" s="1" t="inlineStr">
        <is>
          <t>Consultoría - 3º Trimestre</t>
        </is>
      </c>
      <c r="R290" s="5">
        <f>'Tarifa 2025'!$J$12*(1.71/(1.89+1.89+1.71))/4</f>
        <v/>
      </c>
      <c r="Y290" s="1" t="inlineStr">
        <is>
          <t>Gastos derivados de contrato (3,5%)</t>
        </is>
      </c>
      <c r="Z290" s="5">
        <f>(L290+N290+P290+R290+T290+V290+X290)*0.035</f>
        <v/>
      </c>
      <c r="AB290" s="6" t="inlineStr">
        <is>
          <t>ES85 2080 3509 1130 4009 6171</t>
        </is>
      </c>
      <c r="AC290" s="1" t="inlineStr">
        <is>
          <t>pagado</t>
        </is>
      </c>
      <c r="AD290" s="5">
        <f>L290+N290+P290+R290+T290+V290+X290+Z290</f>
        <v/>
      </c>
      <c r="AE290" s="5">
        <f>IF((LEFT(K290,6))="Contab",L290,0)</f>
        <v/>
      </c>
      <c r="AF290" s="466">
        <f>VLOOKUP(G290,CLIENTES!B:E,4,FALSE)</f>
        <v/>
      </c>
      <c r="AG290" s="5">
        <f>AF290*AE290</f>
        <v/>
      </c>
      <c r="AH290" s="5">
        <f>AD290*1.21</f>
        <v/>
      </c>
      <c r="AI290" s="261">
        <f>IF(AE290&lt;&gt;0,AG290/AD290,"N/A")</f>
        <v/>
      </c>
      <c r="AJ290" s="5">
        <f>IF(AC290="pendiente",AD290,0)</f>
        <v/>
      </c>
      <c r="AK290" s="1">
        <f>VLOOKUP(G290,CLIENTES!B:D,3,FALSE)</f>
        <v/>
      </c>
      <c r="AL290" s="1" t="inlineStr">
        <is>
          <t>WOC_Asset</t>
        </is>
      </c>
      <c r="AM290" s="1" t="inlineStr">
        <is>
          <t>Administración</t>
        </is>
      </c>
    </row>
    <row r="291" ht="15" customHeight="1" s="700">
      <c r="A291" s="1">
        <f>A290+1</f>
        <v/>
      </c>
      <c r="B291" s="26" t="n">
        <v>45846</v>
      </c>
      <c r="C291" s="1" t="inlineStr">
        <is>
          <t>c/ Las Cruzadas 3A, local D</t>
        </is>
      </c>
      <c r="D291" s="1" t="inlineStr">
        <is>
          <t>Sevilla 41004</t>
        </is>
      </c>
      <c r="E291" s="1" t="inlineStr">
        <is>
          <t>CIF B91938662</t>
        </is>
      </c>
      <c r="F291" s="1" t="inlineStr">
        <is>
          <t>aBalados@abalados.es</t>
        </is>
      </c>
      <c r="G291" s="1" t="inlineStr">
        <is>
          <t>WOC Fotovoltaica España Proyecto Sollana S.L.U.</t>
        </is>
      </c>
      <c r="H291" s="1">
        <f>VLOOKUP($G291,DATOS!$B:$E,2,FALSE)</f>
        <v/>
      </c>
      <c r="I291" s="1">
        <f>VLOOKUP($G291,DATOS!$B:$E,3,FALSE)</f>
        <v/>
      </c>
      <c r="J291" s="1">
        <f>VLOOKUP($G291,DATOS!$B:$E,4,FALSE)</f>
        <v/>
      </c>
      <c r="K291" s="1" t="inlineStr">
        <is>
          <t>Contabilidad y Fiscalidad de proyecto Sollana - 3º Trimestre</t>
        </is>
      </c>
      <c r="L291" s="5">
        <f>'Tarifa 2025'!$D$13/4</f>
        <v/>
      </c>
      <c r="M291" s="1" t="inlineStr">
        <is>
          <t>SPV Management  Proyecto Sollana - 3º Trimestre</t>
        </is>
      </c>
      <c r="N291" s="5">
        <f>'Tarifa 2025'!$F$13/4</f>
        <v/>
      </c>
      <c r="O291" s="1" t="inlineStr">
        <is>
          <t>O&amp;M Management Proyecto Sollana - 3º Trimestre</t>
        </is>
      </c>
      <c r="P291" s="5">
        <f>'Tarifa 2025'!$H$13/4</f>
        <v/>
      </c>
      <c r="Q291" s="1" t="inlineStr">
        <is>
          <t>Consultoría - 3º Trimestre</t>
        </is>
      </c>
      <c r="R291" s="5">
        <f>'Tarifa 2025'!$J$13/4</f>
        <v/>
      </c>
      <c r="Y291" s="1" t="inlineStr">
        <is>
          <t>Gastos derivados de contrato (3,5%)</t>
        </is>
      </c>
      <c r="Z291" s="5">
        <f>(L291+N291+P291+R291+T291+V291+X291)*0.035</f>
        <v/>
      </c>
      <c r="AB291" s="6" t="inlineStr">
        <is>
          <t>ES85 2080 3509 1130 4009 6171</t>
        </is>
      </c>
      <c r="AC291" s="1" t="inlineStr">
        <is>
          <t>pagado</t>
        </is>
      </c>
      <c r="AD291" s="5">
        <f>L291+N291+P291+R291+T291+V291+X291+Z291</f>
        <v/>
      </c>
      <c r="AE291" s="5">
        <f>IF((LEFT(K291,6))="Contab",L291,0)</f>
        <v/>
      </c>
      <c r="AF291" s="466">
        <f>VLOOKUP(G291,CLIENTES!B:E,4,FALSE)</f>
        <v/>
      </c>
      <c r="AG291" s="5">
        <f>AF291*AE291</f>
        <v/>
      </c>
      <c r="AH291" s="5">
        <f>AD291*1.21</f>
        <v/>
      </c>
      <c r="AI291" s="261">
        <f>IF(AE291&lt;&gt;0,AG291/AD291,"N/A")</f>
        <v/>
      </c>
      <c r="AJ291" s="5">
        <f>IF(AC291="pendiente",AD291,0)</f>
        <v/>
      </c>
      <c r="AK291" s="1">
        <f>VLOOKUP(G291,CLIENTES!B:D,3,FALSE)</f>
        <v/>
      </c>
      <c r="AL291" s="1" t="inlineStr">
        <is>
          <t>WOC_Asset</t>
        </is>
      </c>
      <c r="AM291" s="1" t="inlineStr">
        <is>
          <t>Administración</t>
        </is>
      </c>
    </row>
    <row r="292" ht="15" customHeight="1" s="700">
      <c r="A292" s="1">
        <f>A291+1</f>
        <v/>
      </c>
      <c r="B292" s="26" t="n">
        <v>45846</v>
      </c>
      <c r="C292" s="1" t="inlineStr">
        <is>
          <t>c/ Las Cruzadas 3A, local D</t>
        </is>
      </c>
      <c r="D292" s="1" t="inlineStr">
        <is>
          <t>Sevilla 41004</t>
        </is>
      </c>
      <c r="E292" s="1" t="inlineStr">
        <is>
          <t>CIF B91938662</t>
        </is>
      </c>
      <c r="F292" s="1" t="inlineStr">
        <is>
          <t>aBalados@abalados.es</t>
        </is>
      </c>
      <c r="G292" s="1" t="inlineStr">
        <is>
          <t>ES Garrovers Energía Solar S.L.U.</t>
        </is>
      </c>
      <c r="H292" s="1">
        <f>VLOOKUP($G292,DATOS!$B:$E,2,FALSE)</f>
        <v/>
      </c>
      <c r="I292" s="1">
        <f>VLOOKUP($G292,DATOS!$B:$E,3,FALSE)</f>
        <v/>
      </c>
      <c r="J292" s="1">
        <f>VLOOKUP($G292,DATOS!$B:$E,4,FALSE)</f>
        <v/>
      </c>
      <c r="K292" s="1" t="inlineStr">
        <is>
          <t>Contabilidad y Fiscalidad de proyecto Artà - 3º Trimestre</t>
        </is>
      </c>
      <c r="L292" s="5">
        <f>'Tarifa 2025'!$D$14/4</f>
        <v/>
      </c>
      <c r="M292" s="1" t="inlineStr">
        <is>
          <t>SPV Management  Proyecto Artà - 3º Trimestre</t>
        </is>
      </c>
      <c r="N292" s="5">
        <f>'Tarifa 2025'!$F$14/4</f>
        <v/>
      </c>
      <c r="O292" s="1" t="inlineStr">
        <is>
          <t>O&amp;M Management Proyecto Artà - 3º Trimestre</t>
        </is>
      </c>
      <c r="P292" s="5">
        <f>'Tarifa 2025'!$H$14/4</f>
        <v/>
      </c>
      <c r="Q292" s="1" t="inlineStr">
        <is>
          <t>Consultoría - 3º Trimestre</t>
        </is>
      </c>
      <c r="R292" s="5">
        <f>'Tarifa 2025'!$J$14/4</f>
        <v/>
      </c>
      <c r="Y292" s="1" t="inlineStr">
        <is>
          <t>Gastos derivados de contrato (3,5%)</t>
        </is>
      </c>
      <c r="Z292" s="5">
        <f>(L292+N292+P292+R292+T292+V292+X292)*0.035</f>
        <v/>
      </c>
      <c r="AB292" s="6" t="inlineStr">
        <is>
          <t>ES85 2080 3509 1130 4009 6171</t>
        </is>
      </c>
      <c r="AC292" s="1" t="inlineStr">
        <is>
          <t>pagado</t>
        </is>
      </c>
      <c r="AD292" s="5">
        <f>L292+N292+P292+R292+T292+V292+X292+Z292</f>
        <v/>
      </c>
      <c r="AE292" s="5">
        <f>IF((LEFT(K292,6))="Contab",L292,0)</f>
        <v/>
      </c>
      <c r="AF292" s="466">
        <f>VLOOKUP(G292,CLIENTES!B:E,4,FALSE)</f>
        <v/>
      </c>
      <c r="AG292" s="5">
        <f>AF292*AE292</f>
        <v/>
      </c>
      <c r="AH292" s="5">
        <f>AD292*1.21</f>
        <v/>
      </c>
      <c r="AI292" s="261">
        <f>IF(AE292&lt;&gt;0,AG292/AD292,"N/A")</f>
        <v/>
      </c>
      <c r="AJ292" s="5">
        <f>IF(AC292="pendiente",AD292,0)</f>
        <v/>
      </c>
      <c r="AK292" s="1">
        <f>VLOOKUP(G292,CLIENTES!B:D,3,FALSE)</f>
        <v/>
      </c>
      <c r="AL292" s="1" t="inlineStr">
        <is>
          <t>WOC_Asset</t>
        </is>
      </c>
      <c r="AM292" s="1" t="inlineStr">
        <is>
          <t>Administración</t>
        </is>
      </c>
    </row>
    <row r="293" ht="15" customHeight="1" s="700">
      <c r="A293" s="1">
        <f>A292+1</f>
        <v/>
      </c>
      <c r="B293" s="26" t="n">
        <v>45846</v>
      </c>
      <c r="C293" s="1" t="inlineStr">
        <is>
          <t>c/ Las Cruzadas 3A, local D</t>
        </is>
      </c>
      <c r="D293" s="1" t="inlineStr">
        <is>
          <t>Sevilla 41004</t>
        </is>
      </c>
      <c r="E293" s="1" t="inlineStr">
        <is>
          <t>CIF B91938662</t>
        </is>
      </c>
      <c r="F293" s="1" t="inlineStr">
        <is>
          <t>aBalados@abalados.es</t>
        </is>
      </c>
      <c r="G293" s="1" t="inlineStr">
        <is>
          <t>Contreras Parque Solar S.L.U.</t>
        </is>
      </c>
      <c r="H293" s="1">
        <f>VLOOKUP($G293,DATOS!$B:$E,2,FALSE)</f>
        <v/>
      </c>
      <c r="I293" s="1">
        <f>VLOOKUP($G293,DATOS!$B:$E,3,FALSE)</f>
        <v/>
      </c>
      <c r="J293" s="1">
        <f>VLOOKUP($G293,DATOS!$B:$E,4,FALSE)</f>
        <v/>
      </c>
      <c r="K293" s="1" t="inlineStr">
        <is>
          <t>Contabilidad y Fiscalidad de proyecto Contreras- 3º Trimestre</t>
        </is>
      </c>
      <c r="L293" s="5">
        <f>'Tarifa 2025'!$D$15/4</f>
        <v/>
      </c>
      <c r="M293" s="1" t="inlineStr">
        <is>
          <t>SPV Management  Proyecto Contreras - 3º Trimestre</t>
        </is>
      </c>
      <c r="N293" s="5">
        <f>'Tarifa 2025'!$F$15/4</f>
        <v/>
      </c>
      <c r="O293" s="1" t="inlineStr">
        <is>
          <t>O&amp;M Management Proyecto Contreras - 3º Trimestre</t>
        </is>
      </c>
      <c r="P293" s="5">
        <f>'Tarifa 2025'!$H$15/4</f>
        <v/>
      </c>
      <c r="Q293" s="1" t="inlineStr">
        <is>
          <t>Consultoría - 3º Trimestre</t>
        </is>
      </c>
      <c r="R293" s="5">
        <f>'Tarifa 2025'!$J$15/4</f>
        <v/>
      </c>
      <c r="Y293" s="1" t="inlineStr">
        <is>
          <t>Gastos derivados de contrato (3,5%)</t>
        </is>
      </c>
      <c r="Z293" s="5">
        <f>(L293+N293+P293+R293+T293+V293+X293)*0.035</f>
        <v/>
      </c>
      <c r="AB293" s="6" t="inlineStr">
        <is>
          <t>ES85 2080 3509 1130 4009 6171</t>
        </is>
      </c>
      <c r="AC293" s="1" t="inlineStr">
        <is>
          <t>pagado</t>
        </is>
      </c>
      <c r="AD293" s="5">
        <f>L293+N293+P293+R293+T293+V293+X293+Z293</f>
        <v/>
      </c>
      <c r="AE293" s="5">
        <f>IF((LEFT(K293,6))="Contab",L293,0)</f>
        <v/>
      </c>
      <c r="AF293" s="466">
        <f>VLOOKUP(G293,CLIENTES!B:E,4,FALSE)</f>
        <v/>
      </c>
      <c r="AG293" s="5">
        <f>AF293*AE293</f>
        <v/>
      </c>
      <c r="AH293" s="5">
        <f>AD293*1.21</f>
        <v/>
      </c>
      <c r="AI293" s="261">
        <f>IF(AE293&lt;&gt;0,AG293/AD293,"N/A")</f>
        <v/>
      </c>
      <c r="AJ293" s="5">
        <f>IF(AC293="pendiente",AD293,0)</f>
        <v/>
      </c>
      <c r="AK293" s="1">
        <f>VLOOKUP(G293,CLIENTES!B:D,3,FALSE)</f>
        <v/>
      </c>
      <c r="AL293" s="1" t="inlineStr">
        <is>
          <t>WOC_Asset</t>
        </is>
      </c>
      <c r="AM293" s="1" t="inlineStr">
        <is>
          <t>Administración</t>
        </is>
      </c>
    </row>
    <row r="294" ht="15" customHeight="1" s="700">
      <c r="A294" s="1">
        <f>A293+1</f>
        <v/>
      </c>
      <c r="B294" s="26" t="n">
        <v>45846</v>
      </c>
      <c r="C294" s="1" t="inlineStr">
        <is>
          <t>c/ Las Cruzadas 3A, local D</t>
        </is>
      </c>
      <c r="D294" s="1" t="inlineStr">
        <is>
          <t>Sevilla 41004</t>
        </is>
      </c>
      <c r="E294" s="1" t="inlineStr">
        <is>
          <t>CIF B91938662</t>
        </is>
      </c>
      <c r="F294" s="1" t="inlineStr">
        <is>
          <t>aBalados@abalados.es</t>
        </is>
      </c>
      <c r="G294" s="1" t="inlineStr">
        <is>
          <t>Lo Illán  Parque Solar S.L.U.</t>
        </is>
      </c>
      <c r="H294" s="1">
        <f>VLOOKUP($G294,DATOS!$B:$E,2,FALSE)</f>
        <v/>
      </c>
      <c r="I294" s="1">
        <f>VLOOKUP($G294,DATOS!$B:$E,3,FALSE)</f>
        <v/>
      </c>
      <c r="J294" s="1">
        <f>VLOOKUP($G294,DATOS!$B:$E,4,FALSE)</f>
        <v/>
      </c>
      <c r="K294" s="1" t="inlineStr">
        <is>
          <t>Contabilidad y Fiscalidad de proyecto Lo Illán - 3º Trimestre</t>
        </is>
      </c>
      <c r="L294" s="5">
        <f>'Tarifa 2025'!$D$16/4</f>
        <v/>
      </c>
      <c r="M294" s="1" t="inlineStr">
        <is>
          <t>SPV Management  Proyecto Lo Illán - 3º Trimestre</t>
        </is>
      </c>
      <c r="N294" s="5">
        <f>'Tarifa 2025'!$F$16/4</f>
        <v/>
      </c>
      <c r="O294" s="1" t="inlineStr">
        <is>
          <t>O&amp;M Management Proyecto Lo Illán - 3º Trimestre</t>
        </is>
      </c>
      <c r="P294" s="5">
        <f>'Tarifa 2025'!$H$16/4</f>
        <v/>
      </c>
      <c r="Q294" s="1" t="inlineStr">
        <is>
          <t>Consultoría - 3º Trimestre</t>
        </is>
      </c>
      <c r="R294" s="5">
        <f>'Tarifa 2025'!$J$16/4</f>
        <v/>
      </c>
      <c r="Y294" s="1" t="inlineStr">
        <is>
          <t>Gastos derivados de contrato (3,5%)</t>
        </is>
      </c>
      <c r="Z294" s="5">
        <f>(L294+N294+P294+R294+T294+V294+X294)*0.035</f>
        <v/>
      </c>
      <c r="AB294" s="6" t="inlineStr">
        <is>
          <t>ES85 2080 3509 1130 4009 6171</t>
        </is>
      </c>
      <c r="AC294" s="1" t="inlineStr">
        <is>
          <t>pagado</t>
        </is>
      </c>
      <c r="AD294" s="5">
        <f>L294+N294+P294+R294+T294+V294+X294+Z294</f>
        <v/>
      </c>
      <c r="AE294" s="5">
        <f>IF((LEFT(K294,6))="Contab",L294,0)</f>
        <v/>
      </c>
      <c r="AF294" s="466">
        <f>VLOOKUP(G294,CLIENTES!B:E,4,FALSE)</f>
        <v/>
      </c>
      <c r="AG294" s="5">
        <f>AF294*AE294</f>
        <v/>
      </c>
      <c r="AH294" s="5">
        <f>AD294*1.21</f>
        <v/>
      </c>
      <c r="AI294" s="261">
        <f>IF(AE294&lt;&gt;0,AG294/AD294,"N/A")</f>
        <v/>
      </c>
      <c r="AJ294" s="5">
        <f>IF(AC294="pendiente",AD294,0)</f>
        <v/>
      </c>
      <c r="AK294" s="1">
        <f>VLOOKUP(G294,CLIENTES!B:D,3,FALSE)</f>
        <v/>
      </c>
      <c r="AL294" s="1" t="inlineStr">
        <is>
          <t>WOC_Asset</t>
        </is>
      </c>
      <c r="AM294" s="1" t="inlineStr">
        <is>
          <t>Administración</t>
        </is>
      </c>
    </row>
    <row r="295" ht="15" customHeight="1" s="700">
      <c r="A295" s="1">
        <f>A294+1</f>
        <v/>
      </c>
      <c r="B295" s="26" t="n">
        <v>45846</v>
      </c>
      <c r="C295" s="1" t="inlineStr">
        <is>
          <t>c/ Las Cruzadas 3A, local D</t>
        </is>
      </c>
      <c r="D295" s="1" t="inlineStr">
        <is>
          <t>Sevilla 41004</t>
        </is>
      </c>
      <c r="E295" s="1" t="inlineStr">
        <is>
          <t>CIF B91938662</t>
        </is>
      </c>
      <c r="F295" s="1" t="inlineStr">
        <is>
          <t>aBalados@abalados.es</t>
        </is>
      </c>
      <c r="G295" s="1" t="inlineStr">
        <is>
          <t>Turbinto Parque Solar S.L.U.</t>
        </is>
      </c>
      <c r="H295" s="1">
        <f>VLOOKUP($G295,DATOS!$B:$E,2,FALSE)</f>
        <v/>
      </c>
      <c r="I295" s="1">
        <f>VLOOKUP($G295,DATOS!$B:$E,3,FALSE)</f>
        <v/>
      </c>
      <c r="J295" s="1">
        <f>VLOOKUP($G295,DATOS!$B:$E,4,FALSE)</f>
        <v/>
      </c>
      <c r="K295" s="1" t="inlineStr">
        <is>
          <t>Contabilidad y Fiscalidad de proyecto Turbinto - 3º Trimestre</t>
        </is>
      </c>
      <c r="L295" s="5">
        <f>'Tarifa 2025'!$D$17/4</f>
        <v/>
      </c>
      <c r="M295" s="1" t="inlineStr">
        <is>
          <t>SPV Management  Proyecto Turbinto - 3º Trimestre</t>
        </is>
      </c>
      <c r="N295" s="5">
        <f>'Tarifa 2025'!$F$17/4</f>
        <v/>
      </c>
      <c r="O295" s="1" t="inlineStr">
        <is>
          <t>O&amp;M Management Proyecto Turbinto - 3º Trimestre</t>
        </is>
      </c>
      <c r="P295" s="5">
        <f>'Tarifa 2025'!$H$17/4</f>
        <v/>
      </c>
      <c r="Q295" s="1" t="inlineStr">
        <is>
          <t>Consultoría - 3º Trimestre</t>
        </is>
      </c>
      <c r="R295" s="5">
        <f>'Tarifa 2025'!$J$17/4</f>
        <v/>
      </c>
      <c r="Y295" s="1" t="inlineStr">
        <is>
          <t>Gastos derivados de contrato (3,5%)</t>
        </is>
      </c>
      <c r="Z295" s="5">
        <f>(L295+N295+P295+R295+T295+V295+X295)*0.035</f>
        <v/>
      </c>
      <c r="AB295" s="6" t="inlineStr">
        <is>
          <t>ES85 2080 3509 1130 4009 6171</t>
        </is>
      </c>
      <c r="AC295" s="1" t="inlineStr">
        <is>
          <t>pagado</t>
        </is>
      </c>
      <c r="AD295" s="5">
        <f>L295+N295+P295+R295+T295+V295+X295+Z295</f>
        <v/>
      </c>
      <c r="AE295" s="5">
        <f>IF((LEFT(K295,6))="Contab",L295,0)</f>
        <v/>
      </c>
      <c r="AF295" s="466">
        <f>VLOOKUP(G295,CLIENTES!B:E,4,FALSE)</f>
        <v/>
      </c>
      <c r="AG295" s="5">
        <f>AF295*AE295</f>
        <v/>
      </c>
      <c r="AH295" s="5">
        <f>AD295*1.21</f>
        <v/>
      </c>
      <c r="AI295" s="261">
        <f>IF(AE295&lt;&gt;0,AG295/AD295,"N/A")</f>
        <v/>
      </c>
      <c r="AJ295" s="5">
        <f>IF(AC295="pendiente",AD295,0)</f>
        <v/>
      </c>
      <c r="AK295" s="1">
        <f>VLOOKUP(G295,CLIENTES!B:D,3,FALSE)</f>
        <v/>
      </c>
      <c r="AL295" s="1" t="inlineStr">
        <is>
          <t>WOC_Asset</t>
        </is>
      </c>
      <c r="AM295" s="1" t="inlineStr">
        <is>
          <t>Administración</t>
        </is>
      </c>
    </row>
    <row r="296" ht="15" customHeight="1" s="700">
      <c r="A296" s="1">
        <f>A295+1</f>
        <v/>
      </c>
      <c r="B296" s="26" t="n">
        <v>45846</v>
      </c>
      <c r="C296" s="1" t="inlineStr">
        <is>
          <t>c/ Las Cruzadas 3A, local D</t>
        </is>
      </c>
      <c r="D296" s="1" t="inlineStr">
        <is>
          <t>Sevilla 41004</t>
        </is>
      </c>
      <c r="E296" s="1" t="inlineStr">
        <is>
          <t>CIF B91938662</t>
        </is>
      </c>
      <c r="F296" s="1" t="inlineStr">
        <is>
          <t>aBalados@abalados.es</t>
        </is>
      </c>
      <c r="G296" s="1" t="inlineStr">
        <is>
          <t>Amberg V S.L.U.</t>
        </is>
      </c>
      <c r="H296" s="1">
        <f>VLOOKUP($G296,DATOS!$B:$E,2,FALSE)</f>
        <v/>
      </c>
      <c r="I296" s="1">
        <f>VLOOKUP($G296,DATOS!$B:$E,3,FALSE)</f>
        <v/>
      </c>
      <c r="J296" s="1">
        <f>VLOOKUP($G296,DATOS!$B:$E,4,FALSE)</f>
        <v/>
      </c>
      <c r="K296" s="1" t="inlineStr">
        <is>
          <t>Contabilidad y Fiscalidad de proyecto - 3º Trimestre</t>
        </is>
      </c>
      <c r="L296" s="5">
        <f>'Tarifa 2025'!$D$18/4/6</f>
        <v/>
      </c>
      <c r="M296" s="1" t="inlineStr">
        <is>
          <t>SPV Management de Proyecto - 3º Trimestre</t>
        </is>
      </c>
      <c r="N296" s="5">
        <f>'Tarifa 2025'!$F$18/6/4</f>
        <v/>
      </c>
      <c r="O296" s="1" t="inlineStr">
        <is>
          <t>O&amp;M Management de Proyecto - 3º Trimestre</t>
        </is>
      </c>
      <c r="P296" s="5">
        <f>'Tarifa 2025'!$H$18/6/4</f>
        <v/>
      </c>
      <c r="Y296" s="1" t="inlineStr">
        <is>
          <t>Gastos derivados de contrato (3,5%)</t>
        </is>
      </c>
      <c r="Z296" s="5">
        <f>(L296+N296+P296+R296+T296+V296+X296)*0.035</f>
        <v/>
      </c>
      <c r="AB296" s="6" t="inlineStr">
        <is>
          <t>ES85 2080 3509 1130 4009 6171</t>
        </is>
      </c>
      <c r="AC296" s="1" t="inlineStr">
        <is>
          <t>pagado</t>
        </is>
      </c>
      <c r="AD296" s="5">
        <f>L296+N296+P296+R296+T296+V296+X296+Z296</f>
        <v/>
      </c>
      <c r="AE296" s="5">
        <f>IF((LEFT(K296,6))="Contab",L296,0)</f>
        <v/>
      </c>
      <c r="AF296" s="466">
        <f>VLOOKUP(G296,CLIENTES!B:E,4,FALSE)</f>
        <v/>
      </c>
      <c r="AG296" s="5">
        <f>AF296*AE296</f>
        <v/>
      </c>
      <c r="AH296" s="5">
        <f>AD296*1.21</f>
        <v/>
      </c>
      <c r="AI296" s="261">
        <f>IF(AE296&lt;&gt;0,AG296/AD296,"N/A")</f>
        <v/>
      </c>
      <c r="AJ296" s="5">
        <f>IF(AC296="pendiente",AD296,0)</f>
        <v/>
      </c>
      <c r="AK296" s="1">
        <f>VLOOKUP(G296,CLIENTES!B:D,3,FALSE)</f>
        <v/>
      </c>
      <c r="AL296" s="1" t="inlineStr">
        <is>
          <t>WOC_Asset</t>
        </is>
      </c>
      <c r="AM296" s="1" t="inlineStr">
        <is>
          <t>Administración</t>
        </is>
      </c>
    </row>
    <row r="297" ht="15" customHeight="1" s="700">
      <c r="A297" s="1">
        <f>A296+1</f>
        <v/>
      </c>
      <c r="B297" s="26" t="n">
        <v>45846</v>
      </c>
      <c r="C297" s="1" t="inlineStr">
        <is>
          <t>c/ Las Cruzadas 3A, local D</t>
        </is>
      </c>
      <c r="D297" s="1" t="inlineStr">
        <is>
          <t>Sevilla 41004</t>
        </is>
      </c>
      <c r="E297" s="1" t="inlineStr">
        <is>
          <t>CIF B91938662</t>
        </is>
      </c>
      <c r="F297" s="1" t="inlineStr">
        <is>
          <t>aBalados@abalados.es</t>
        </is>
      </c>
      <c r="G297" s="1" t="inlineStr">
        <is>
          <t>Solar Photo Collect S.L.U.</t>
        </is>
      </c>
      <c r="H297" s="1">
        <f>VLOOKUP($G297,DATOS!$B:$E,2,FALSE)</f>
        <v/>
      </c>
      <c r="I297" s="1">
        <f>VLOOKUP($G297,DATOS!$B:$E,3,FALSE)</f>
        <v/>
      </c>
      <c r="J297" s="1">
        <f>VLOOKUP($G297,DATOS!$B:$E,4,FALSE)</f>
        <v/>
      </c>
      <c r="K297" s="1" t="inlineStr">
        <is>
          <t>Contabilidad y Fiscalidad de proyecto - 3º Trimestre</t>
        </is>
      </c>
      <c r="L297" s="5">
        <f>'Tarifa 2025'!$D$18/4/6</f>
        <v/>
      </c>
      <c r="M297" s="1" t="inlineStr">
        <is>
          <t>SPV Management de Proyecto - 3º Trimestre</t>
        </is>
      </c>
      <c r="N297" s="5">
        <f>'Tarifa 2025'!$F$18/6/4</f>
        <v/>
      </c>
      <c r="O297" s="1" t="inlineStr">
        <is>
          <t>O&amp;M Management de Proyecto - 3º Trimestre</t>
        </is>
      </c>
      <c r="P297" s="5">
        <f>'Tarifa 2025'!$H$18/6/4</f>
        <v/>
      </c>
      <c r="Y297" s="1" t="inlineStr">
        <is>
          <t>Gastos derivados de contrato (3,5%)</t>
        </is>
      </c>
      <c r="Z297" s="5">
        <f>(L297+N297+P297+R297+T297+V297+X297)*0.035</f>
        <v/>
      </c>
      <c r="AB297" s="6" t="inlineStr">
        <is>
          <t>ES85 2080 3509 1130 4009 6171</t>
        </is>
      </c>
      <c r="AC297" s="1" t="inlineStr">
        <is>
          <t>pagado</t>
        </is>
      </c>
      <c r="AD297" s="5">
        <f>L297+N297+P297+R297+T297+V297+X297+Z297</f>
        <v/>
      </c>
      <c r="AE297" s="5">
        <f>IF((LEFT(K297,6))="Contab",L297,0)</f>
        <v/>
      </c>
      <c r="AF297" s="466">
        <f>VLOOKUP(G297,CLIENTES!B:E,4,FALSE)</f>
        <v/>
      </c>
      <c r="AG297" s="5">
        <f>AF297*AE297</f>
        <v/>
      </c>
      <c r="AH297" s="5">
        <f>AD297*1.21</f>
        <v/>
      </c>
      <c r="AI297" s="261">
        <f>IF(AE297&lt;&gt;0,AG297/AD297,"N/A")</f>
        <v/>
      </c>
      <c r="AJ297" s="5">
        <f>IF(AC297="pendiente",AD297,0)</f>
        <v/>
      </c>
      <c r="AK297" s="1">
        <f>VLOOKUP(G297,CLIENTES!B:D,3,FALSE)</f>
        <v/>
      </c>
      <c r="AL297" s="1" t="inlineStr">
        <is>
          <t>WOC_Asset</t>
        </is>
      </c>
      <c r="AM297" s="1" t="inlineStr">
        <is>
          <t>Administración</t>
        </is>
      </c>
    </row>
    <row r="298" ht="15" customHeight="1" s="700">
      <c r="A298" s="1">
        <f>A297+1</f>
        <v/>
      </c>
      <c r="B298" s="26" t="n">
        <v>45846</v>
      </c>
      <c r="C298" s="1" t="inlineStr">
        <is>
          <t>c/ Las Cruzadas 3A, local D</t>
        </is>
      </c>
      <c r="D298" s="1" t="inlineStr">
        <is>
          <t>Sevilla 41004</t>
        </is>
      </c>
      <c r="E298" s="1" t="inlineStr">
        <is>
          <t>CIF B91938662</t>
        </is>
      </c>
      <c r="F298" s="1" t="inlineStr">
        <is>
          <t>aBalados@abalados.es</t>
        </is>
      </c>
      <c r="G298" s="1" t="inlineStr">
        <is>
          <t xml:space="preserve">Rasteding PV I, S.L.U. </t>
        </is>
      </c>
      <c r="H298" s="1">
        <f>VLOOKUP($G298,DATOS!$B:$E,2,FALSE)</f>
        <v/>
      </c>
      <c r="I298" s="1">
        <f>VLOOKUP($G298,DATOS!$B:$E,3,FALSE)</f>
        <v/>
      </c>
      <c r="J298" s="1">
        <f>VLOOKUP($G298,DATOS!$B:$E,4,FALSE)</f>
        <v/>
      </c>
      <c r="K298" s="1" t="inlineStr">
        <is>
          <t>Contabilidad y Fiscalidad de proyecto - 3º Trimestre</t>
        </is>
      </c>
      <c r="L298" s="5">
        <f>'Tarifa 2025'!$D$18/4/6</f>
        <v/>
      </c>
      <c r="M298" s="1" t="inlineStr">
        <is>
          <t>SPV Management de Proyecto - 3º Trimestre</t>
        </is>
      </c>
      <c r="N298" s="5">
        <f>'Tarifa 2025'!$F$18/6/4</f>
        <v/>
      </c>
      <c r="O298" s="1" t="inlineStr">
        <is>
          <t>O&amp;M Management de Proyecto - 3º Trimestre</t>
        </is>
      </c>
      <c r="P298" s="5">
        <f>'Tarifa 2025'!$H$18/6/4</f>
        <v/>
      </c>
      <c r="Y298" s="1" t="inlineStr">
        <is>
          <t>Gastos derivados de contrato (3,5%)</t>
        </is>
      </c>
      <c r="Z298" s="5">
        <f>(L298+N298+P298+R298+T298+V298+X298)*0.035</f>
        <v/>
      </c>
      <c r="AB298" s="6" t="inlineStr">
        <is>
          <t>ES85 2080 3509 1130 4009 6171</t>
        </is>
      </c>
      <c r="AC298" s="1" t="inlineStr">
        <is>
          <t>pagado</t>
        </is>
      </c>
      <c r="AD298" s="5">
        <f>L298+N298+P298+R298+T298+V298+X298+Z298</f>
        <v/>
      </c>
      <c r="AE298" s="5">
        <f>IF((LEFT(K298,6))="Contab",L298,0)</f>
        <v/>
      </c>
      <c r="AF298" s="466">
        <f>VLOOKUP(G298,CLIENTES!B:E,4,FALSE)</f>
        <v/>
      </c>
      <c r="AG298" s="5">
        <f>AF298*AE298</f>
        <v/>
      </c>
      <c r="AH298" s="5">
        <f>AD298*1.21</f>
        <v/>
      </c>
      <c r="AI298" s="261">
        <f>IF(AE298&lt;&gt;0,AG298/AD298,"N/A")</f>
        <v/>
      </c>
      <c r="AJ298" s="5">
        <f>IF(AC298="pendiente",AD298,0)</f>
        <v/>
      </c>
      <c r="AK298" s="1">
        <f>VLOOKUP(G298,CLIENTES!B:D,3,FALSE)</f>
        <v/>
      </c>
      <c r="AL298" s="1" t="inlineStr">
        <is>
          <t>WOC_Asset</t>
        </is>
      </c>
      <c r="AM298" s="1" t="inlineStr">
        <is>
          <t>Administración</t>
        </is>
      </c>
    </row>
    <row r="299" ht="15" customHeight="1" s="700">
      <c r="A299" s="1">
        <f>A298+1</f>
        <v/>
      </c>
      <c r="B299" s="26" t="n">
        <v>45846</v>
      </c>
      <c r="C299" s="1" t="inlineStr">
        <is>
          <t>c/ Las Cruzadas 3A, local D</t>
        </is>
      </c>
      <c r="D299" s="1" t="inlineStr">
        <is>
          <t>Sevilla 41004</t>
        </is>
      </c>
      <c r="E299" s="1" t="inlineStr">
        <is>
          <t>CIF B91938662</t>
        </is>
      </c>
      <c r="F299" s="1" t="inlineStr">
        <is>
          <t>aBalados@abalados.es</t>
        </is>
      </c>
      <c r="G299" s="1" t="inlineStr">
        <is>
          <t>Amberg II S.L.U.</t>
        </is>
      </c>
      <c r="H299" s="1">
        <f>VLOOKUP($G299,DATOS!$B:$E,2,FALSE)</f>
        <v/>
      </c>
      <c r="I299" s="1">
        <f>VLOOKUP($G299,DATOS!$B:$E,3,FALSE)</f>
        <v/>
      </c>
      <c r="J299" s="1">
        <f>VLOOKUP($G299,DATOS!$B:$E,4,FALSE)</f>
        <v/>
      </c>
      <c r="K299" s="1" t="inlineStr">
        <is>
          <t>Contabilidad y Fiscalidad de proyecto - 3º Trimestre</t>
        </is>
      </c>
      <c r="L299" s="5">
        <f>'Tarifa 2025'!$D$18/4/6</f>
        <v/>
      </c>
      <c r="M299" s="1" t="inlineStr">
        <is>
          <t>SPV Management de Proyecto - 3º Trimestre</t>
        </is>
      </c>
      <c r="N299" s="5">
        <f>'Tarifa 2025'!$F$18/6/4</f>
        <v/>
      </c>
      <c r="O299" s="1" t="inlineStr">
        <is>
          <t>O&amp;M Management de Proyecto - 3º Trimestre</t>
        </is>
      </c>
      <c r="P299" s="5">
        <f>'Tarifa 2025'!$H$18/6/4</f>
        <v/>
      </c>
      <c r="Y299" s="1" t="inlineStr">
        <is>
          <t>Gastos derivados de contrato (3,5%)</t>
        </is>
      </c>
      <c r="Z299" s="5">
        <f>(L299+N299+P299+R299+T299+V299+X299)*0.035</f>
        <v/>
      </c>
      <c r="AB299" s="6" t="inlineStr">
        <is>
          <t>ES85 2080 3509 1130 4009 6171</t>
        </is>
      </c>
      <c r="AC299" s="1" t="inlineStr">
        <is>
          <t>pagado</t>
        </is>
      </c>
      <c r="AD299" s="5">
        <f>L299+N299+P299+R299+T299+V299+X299+Z299</f>
        <v/>
      </c>
      <c r="AE299" s="5">
        <f>IF((LEFT(K299,6))="Contab",L299,0)</f>
        <v/>
      </c>
      <c r="AF299" s="466">
        <f>VLOOKUP(G299,CLIENTES!B:E,4,FALSE)</f>
        <v/>
      </c>
      <c r="AG299" s="5">
        <f>AF299*AE299</f>
        <v/>
      </c>
      <c r="AH299" s="5">
        <f>AD299*1.21</f>
        <v/>
      </c>
      <c r="AI299" s="261">
        <f>IF(AE299&lt;&gt;0,AG299/AD299,"N/A")</f>
        <v/>
      </c>
      <c r="AJ299" s="5">
        <f>IF(AC299="pendiente",AD299,0)</f>
        <v/>
      </c>
      <c r="AK299" s="1">
        <f>VLOOKUP(G299,CLIENTES!B:D,3,FALSE)</f>
        <v/>
      </c>
      <c r="AL299" s="1" t="inlineStr">
        <is>
          <t>WOC_Asset</t>
        </is>
      </c>
      <c r="AM299" s="1" t="inlineStr">
        <is>
          <t>Administración</t>
        </is>
      </c>
    </row>
    <row r="300" ht="15" customHeight="1" s="700">
      <c r="A300" s="1">
        <f>A299+1</f>
        <v/>
      </c>
      <c r="B300" s="26" t="n">
        <v>45846</v>
      </c>
      <c r="C300" s="1" t="inlineStr">
        <is>
          <t>c/ Las Cruzadas 3A, local D</t>
        </is>
      </c>
      <c r="D300" s="1" t="inlineStr">
        <is>
          <t>Sevilla 41004</t>
        </is>
      </c>
      <c r="E300" s="1" t="inlineStr">
        <is>
          <t>CIF B91938662</t>
        </is>
      </c>
      <c r="F300" s="1" t="inlineStr">
        <is>
          <t>aBalados@abalados.es</t>
        </is>
      </c>
      <c r="G300" s="1" t="inlineStr">
        <is>
          <t>Tiksi PV II S.L.U.</t>
        </is>
      </c>
      <c r="H300" s="1">
        <f>VLOOKUP($G300,DATOS!$B:$E,2,FALSE)</f>
        <v/>
      </c>
      <c r="I300" s="1">
        <f>VLOOKUP($G300,DATOS!$B:$E,3,FALSE)</f>
        <v/>
      </c>
      <c r="J300" s="1">
        <f>VLOOKUP($G300,DATOS!$B:$E,4,FALSE)</f>
        <v/>
      </c>
      <c r="K300" s="1" t="inlineStr">
        <is>
          <t>Contabilidad y Fiscalidad de proyecto - 3º Trimestre</t>
        </is>
      </c>
      <c r="L300" s="5">
        <f>'Tarifa 2025'!$D$18/4/6</f>
        <v/>
      </c>
      <c r="M300" s="1" t="inlineStr">
        <is>
          <t>SPV Management de Proyecto - 3º Trimestre</t>
        </is>
      </c>
      <c r="N300" s="5">
        <f>'Tarifa 2025'!$F$18/6/4</f>
        <v/>
      </c>
      <c r="O300" s="1" t="inlineStr">
        <is>
          <t>O&amp;M Management de Proyecto - 3º Trimestre</t>
        </is>
      </c>
      <c r="P300" s="5">
        <f>'Tarifa 2025'!$H$18/6/4</f>
        <v/>
      </c>
      <c r="Y300" s="1" t="inlineStr">
        <is>
          <t>Gastos derivados de contrato (3,5%)</t>
        </is>
      </c>
      <c r="Z300" s="5">
        <f>(L300+N300+P300+R300+T300+V300+X300)*0.035</f>
        <v/>
      </c>
      <c r="AB300" s="6" t="inlineStr">
        <is>
          <t>ES85 2080 3509 1130 4009 6171</t>
        </is>
      </c>
      <c r="AC300" s="1" t="inlineStr">
        <is>
          <t>pagado</t>
        </is>
      </c>
      <c r="AD300" s="5">
        <f>L300+N300+P300+R300+T300+V300+X300+Z300</f>
        <v/>
      </c>
      <c r="AE300" s="5">
        <f>IF((LEFT(K300,6))="Contab",L300,0)</f>
        <v/>
      </c>
      <c r="AF300" s="466">
        <f>VLOOKUP(G300,CLIENTES!B:E,4,FALSE)</f>
        <v/>
      </c>
      <c r="AG300" s="5">
        <f>AF300*AE300</f>
        <v/>
      </c>
      <c r="AH300" s="5">
        <f>AD300*1.21</f>
        <v/>
      </c>
      <c r="AI300" s="261">
        <f>IF(AE300&lt;&gt;0,AG300/AD300,"N/A")</f>
        <v/>
      </c>
      <c r="AJ300" s="5">
        <f>IF(AC300="pendiente",AD300,0)</f>
        <v/>
      </c>
      <c r="AK300" s="1">
        <f>VLOOKUP(G300,CLIENTES!B:D,3,FALSE)</f>
        <v/>
      </c>
      <c r="AL300" s="1" t="inlineStr">
        <is>
          <t>WOC_Asset</t>
        </is>
      </c>
      <c r="AM300" s="1" t="inlineStr">
        <is>
          <t>Administración</t>
        </is>
      </c>
    </row>
    <row r="301" ht="15" customFormat="1" customHeight="1" s="146">
      <c r="A301" s="146">
        <f>A300+1</f>
        <v/>
      </c>
      <c r="B301" s="149" t="n">
        <v>45846</v>
      </c>
      <c r="C301" s="146" t="inlineStr">
        <is>
          <t>c/ Las Cruzadas 3A, local D</t>
        </is>
      </c>
      <c r="D301" s="146" t="inlineStr">
        <is>
          <t>Sevilla 41004</t>
        </is>
      </c>
      <c r="E301" s="146" t="inlineStr">
        <is>
          <t>CIF B91938662</t>
        </is>
      </c>
      <c r="F301" s="146" t="inlineStr">
        <is>
          <t>aBalados@abalados.es</t>
        </is>
      </c>
      <c r="G301" s="146" t="inlineStr">
        <is>
          <t>Solar Photo Corp S.L.U.</t>
        </is>
      </c>
      <c r="H301" s="146">
        <f>VLOOKUP($G301,DATOS!$B:$E,2,FALSE)</f>
        <v/>
      </c>
      <c r="I301" s="146">
        <f>VLOOKUP($G301,DATOS!$B:$E,3,FALSE)</f>
        <v/>
      </c>
      <c r="J301" s="146">
        <f>VLOOKUP($G301,DATOS!$B:$E,4,FALSE)</f>
        <v/>
      </c>
      <c r="K301" s="146" t="inlineStr">
        <is>
          <t>Contabilidad y Fiscalidad de proyecto - 3º Trimestre</t>
        </is>
      </c>
      <c r="L301" s="147">
        <f>'Tarifa 2025'!$D$18/4/6</f>
        <v/>
      </c>
      <c r="M301" s="146" t="inlineStr">
        <is>
          <t>SPV Management de Proyecto - 3º Trimestre</t>
        </is>
      </c>
      <c r="N301" s="147">
        <f>'Tarifa 2025'!$F$18/6/4</f>
        <v/>
      </c>
      <c r="O301" s="146" t="inlineStr">
        <is>
          <t>O&amp;M Management de Proyecto - 3º Trimestre</t>
        </is>
      </c>
      <c r="P301" s="147">
        <f>'Tarifa 2025'!$H$18/6/4</f>
        <v/>
      </c>
      <c r="R301" s="147" t="n"/>
      <c r="T301" s="147" t="n"/>
      <c r="V301" s="147" t="n"/>
      <c r="X301" s="147" t="n"/>
      <c r="Y301" s="146" t="inlineStr">
        <is>
          <t>Gastos derivados de contrato (3,5%)</t>
        </is>
      </c>
      <c r="Z301" s="147">
        <f>(L301+N301+P301+R301+T301+V301+X301)*0.035</f>
        <v/>
      </c>
      <c r="AA301" s="147" t="n"/>
      <c r="AB301" s="148" t="inlineStr">
        <is>
          <t>ES85 2080 3509 1130 4009 6171</t>
        </is>
      </c>
      <c r="AC301" s="146" t="inlineStr">
        <is>
          <t>pagado</t>
        </is>
      </c>
      <c r="AD301" s="147">
        <f>L301+N301+P301+R301+T301+V301+X301+Z301</f>
        <v/>
      </c>
      <c r="AE301" s="147">
        <f>IF((LEFT(K301,6))="Contab",L301,0)</f>
        <v/>
      </c>
      <c r="AF301" s="467">
        <f>VLOOKUP(G301,CLIENTES!B:E,4,FALSE)</f>
        <v/>
      </c>
      <c r="AG301" s="147">
        <f>AF301*AE301</f>
        <v/>
      </c>
      <c r="AH301" s="147">
        <f>AD301*1.21</f>
        <v/>
      </c>
      <c r="AI301" s="257">
        <f>IF(AE301&lt;&gt;0,AG301/AD301,"N/A")</f>
        <v/>
      </c>
      <c r="AJ301" s="147">
        <f>IF(AC301="pendiente",AD301,0)</f>
        <v/>
      </c>
      <c r="AK301" s="146">
        <f>VLOOKUP(G301,CLIENTES!B:D,3,FALSE)</f>
        <v/>
      </c>
      <c r="AL301" s="146" t="inlineStr">
        <is>
          <t>WOC_Asset</t>
        </is>
      </c>
      <c r="AM301" s="146" t="inlineStr">
        <is>
          <t>Administración</t>
        </is>
      </c>
    </row>
    <row r="302" ht="15" customFormat="1" customHeight="1" s="258">
      <c r="A302" s="258">
        <f>A301+1</f>
        <v/>
      </c>
      <c r="B302" s="299" t="n">
        <v>45846</v>
      </c>
      <c r="C302" s="258" t="inlineStr">
        <is>
          <t>c/ Las Cruzadas 3A, local D</t>
        </is>
      </c>
      <c r="D302" s="258" t="inlineStr">
        <is>
          <t>Sevilla 41004</t>
        </is>
      </c>
      <c r="E302" s="258" t="inlineStr">
        <is>
          <t>CIF B91938662</t>
        </is>
      </c>
      <c r="F302" s="258" t="inlineStr">
        <is>
          <t>aBalados@abalados.es</t>
        </is>
      </c>
      <c r="G302" s="258" t="inlineStr">
        <is>
          <t>Dehesa Asomadilla Inversiones S.L.U.</t>
        </is>
      </c>
      <c r="H302" s="258">
        <f>VLOOKUP($G302,DATOS!$B:$E,2,FALSE)</f>
        <v/>
      </c>
      <c r="I302" s="258">
        <f>VLOOKUP($G302,DATOS!$B:$E,3,FALSE)</f>
        <v/>
      </c>
      <c r="J302" s="258">
        <f>VLOOKUP($G302,DATOS!$B:$E,4,FALSE)</f>
        <v/>
      </c>
      <c r="K302" s="258" t="inlineStr">
        <is>
          <t>Honorarios - Contrato O&amp;M 3º Trimestre</t>
        </is>
      </c>
      <c r="L302" s="259" t="n">
        <v>34407.88317690637</v>
      </c>
      <c r="N302" s="259" t="n"/>
      <c r="P302" s="719" t="n"/>
      <c r="R302" s="259" t="n"/>
      <c r="T302" s="259" t="n"/>
      <c r="V302" s="259" t="n"/>
      <c r="X302" s="259" t="n"/>
      <c r="Y302" s="258" t="inlineStr">
        <is>
          <t>Gastos derivados de contrato (3,5%)</t>
        </is>
      </c>
      <c r="Z302" s="259">
        <f>(L302+N302+P302+R302+T302+V302+X302)*0.035</f>
        <v/>
      </c>
      <c r="AA302" s="259" t="n"/>
      <c r="AB302" s="260" t="inlineStr">
        <is>
          <t>ES85 2080 3509 1130 4009 6171</t>
        </is>
      </c>
      <c r="AC302" s="258" t="inlineStr">
        <is>
          <t>pagado</t>
        </is>
      </c>
      <c r="AD302" s="259">
        <f>L302+N302+P302+R302+T302+V302+X302+Z302</f>
        <v/>
      </c>
      <c r="AE302" s="259">
        <f>IF((LEFT(K302,6))="Contab",L302,0)</f>
        <v/>
      </c>
      <c r="AF302" s="260">
        <f>VLOOKUP(G302,CLIENTES!B:E,4,FALSE)</f>
        <v/>
      </c>
      <c r="AG302" s="259">
        <f>AF302*AE302</f>
        <v/>
      </c>
      <c r="AH302" s="259">
        <f>AD302*1.21</f>
        <v/>
      </c>
      <c r="AI302" s="264">
        <f>IF(AE302&lt;&gt;0,AG302/AD302,"N/A")</f>
        <v/>
      </c>
      <c r="AJ302" s="259">
        <f>IF(AC302="pendiente",AD302,0)</f>
        <v/>
      </c>
      <c r="AK302" s="258">
        <f>VLOOKUP(G302,CLIENTES!B:D,3,FALSE)</f>
        <v/>
      </c>
      <c r="AL302" s="258" t="inlineStr">
        <is>
          <t>WOC_OM</t>
        </is>
      </c>
      <c r="AM302" s="258" t="inlineStr">
        <is>
          <t>Explotación</t>
        </is>
      </c>
    </row>
    <row r="303" ht="15" customHeight="1" s="700">
      <c r="A303" s="1">
        <f>A302+1</f>
        <v/>
      </c>
      <c r="B303" s="26" t="n">
        <v>45846</v>
      </c>
      <c r="C303" s="1" t="inlineStr">
        <is>
          <t>c/ Las Cruzadas 3A, local D</t>
        </is>
      </c>
      <c r="D303" s="1" t="inlineStr">
        <is>
          <t>Sevilla 41004</t>
        </is>
      </c>
      <c r="E303" s="1" t="inlineStr">
        <is>
          <t>CIF B91938662</t>
        </is>
      </c>
      <c r="F303" s="1" t="inlineStr">
        <is>
          <t>aBalados@abalados.es</t>
        </is>
      </c>
      <c r="G303" s="1" t="inlineStr">
        <is>
          <t>Asomadilla Solar 2007 S.L.U.</t>
        </is>
      </c>
      <c r="H303" s="1">
        <f>VLOOKUP($G303,DATOS!$B:$E,2,FALSE)</f>
        <v/>
      </c>
      <c r="I303" s="1">
        <f>VLOOKUP($G303,DATOS!$B:$E,3,FALSE)</f>
        <v/>
      </c>
      <c r="J303" s="1">
        <f>VLOOKUP($G303,DATOS!$B:$E,4,FALSE)</f>
        <v/>
      </c>
      <c r="K303" s="1" t="inlineStr">
        <is>
          <t>Honorarios - Contrato O&amp;M 3º Trimestre</t>
        </is>
      </c>
      <c r="L303" s="5" t="n">
        <v>22021.04523322008</v>
      </c>
      <c r="Y303" s="1" t="inlineStr">
        <is>
          <t>Gastos derivados de contrato (3,5%)</t>
        </is>
      </c>
      <c r="Z303" s="5">
        <f>(L303+N303+P303+R303+T303+V303+X303)*0.035</f>
        <v/>
      </c>
      <c r="AB303" s="6" t="inlineStr">
        <is>
          <t>ES85 2080 3509 1130 4009 6171</t>
        </is>
      </c>
      <c r="AC303" s="1" t="inlineStr">
        <is>
          <t>pagado</t>
        </is>
      </c>
      <c r="AD303" s="5">
        <f>L303+N303+P303+R303+T303+V303+X303+Z303</f>
        <v/>
      </c>
      <c r="AE303" s="5">
        <f>IF((LEFT(K303,6))="Contab",L303,0)</f>
        <v/>
      </c>
      <c r="AF303" s="6">
        <f>VLOOKUP(G303,CLIENTES!B:E,4,FALSE)</f>
        <v/>
      </c>
      <c r="AG303" s="5">
        <f>AF303*AE303</f>
        <v/>
      </c>
      <c r="AH303" s="5">
        <f>AD303*1.21</f>
        <v/>
      </c>
      <c r="AI303" s="261">
        <f>IF(AE303&lt;&gt;0,AG303/AD303,"N/A")</f>
        <v/>
      </c>
      <c r="AJ303" s="5">
        <f>IF(AC303="pendiente",AD303,0)</f>
        <v/>
      </c>
      <c r="AK303" s="1">
        <f>VLOOKUP(G303,CLIENTES!B:D,3,FALSE)</f>
        <v/>
      </c>
      <c r="AL303" s="1" t="inlineStr">
        <is>
          <t>WOC_OM</t>
        </is>
      </c>
      <c r="AM303" s="1" t="inlineStr">
        <is>
          <t>Explotación</t>
        </is>
      </c>
    </row>
    <row r="304" ht="15" customHeight="1" s="700">
      <c r="A304" s="1">
        <f>A303+1</f>
        <v/>
      </c>
      <c r="B304" s="26" t="n">
        <v>45846</v>
      </c>
      <c r="C304" s="1" t="inlineStr">
        <is>
          <t>c/ Las Cruzadas 3A, local D</t>
        </is>
      </c>
      <c r="D304" s="1" t="inlineStr">
        <is>
          <t>Sevilla 41004</t>
        </is>
      </c>
      <c r="E304" s="1" t="inlineStr">
        <is>
          <t>CIF B91938662</t>
        </is>
      </c>
      <c r="F304" s="1" t="inlineStr">
        <is>
          <t>aBalados@abalados.es</t>
        </is>
      </c>
      <c r="G304" s="1" t="inlineStr">
        <is>
          <t>ES Garrovers Energía Solar S.L.U.</t>
        </is>
      </c>
      <c r="H304" s="1">
        <f>VLOOKUP($G304,DATOS!$B:$E,2,FALSE)</f>
        <v/>
      </c>
      <c r="I304" s="1">
        <f>VLOOKUP($G304,DATOS!$B:$E,3,FALSE)</f>
        <v/>
      </c>
      <c r="J304" s="1">
        <f>VLOOKUP($G304,DATOS!$B:$E,4,FALSE)</f>
        <v/>
      </c>
      <c r="K304" s="1" t="inlineStr">
        <is>
          <t>Honorarios - Contrato O&amp;M 3º Trimestre</t>
        </is>
      </c>
      <c r="L304" s="5" t="n">
        <v>25938.09378140574</v>
      </c>
      <c r="Y304" s="1" t="inlineStr">
        <is>
          <t>Gastos derivados de contrato (3,5%)</t>
        </is>
      </c>
      <c r="Z304" s="5">
        <f>(L304+N304+P304+R304+T304+V304+X304)*0.035</f>
        <v/>
      </c>
      <c r="AB304" s="6" t="inlineStr">
        <is>
          <t>ES85 2080 3509 1130 4009 6171</t>
        </is>
      </c>
      <c r="AC304" s="1" t="inlineStr">
        <is>
          <t>pagado</t>
        </is>
      </c>
      <c r="AD304" s="5">
        <f>L304+N304+P304+R304+T304+V304+X304+Z304</f>
        <v/>
      </c>
      <c r="AE304" s="5">
        <f>IF((LEFT(K304,6))="Contab",L304,0)</f>
        <v/>
      </c>
      <c r="AF304" s="6">
        <f>VLOOKUP(G304,CLIENTES!B:E,4,FALSE)</f>
        <v/>
      </c>
      <c r="AG304" s="5">
        <f>AF304*AE304</f>
        <v/>
      </c>
      <c r="AH304" s="5">
        <f>AD304*1.21</f>
        <v/>
      </c>
      <c r="AI304" s="261">
        <f>IF(AE304&lt;&gt;0,AG304/AD304,"N/A")</f>
        <v/>
      </c>
      <c r="AJ304" s="5">
        <f>IF(AC304="pendiente",AD304,0)</f>
        <v/>
      </c>
      <c r="AK304" s="1">
        <f>VLOOKUP(G304,CLIENTES!B:D,3,FALSE)</f>
        <v/>
      </c>
      <c r="AL304" s="1" t="inlineStr">
        <is>
          <t>WOC_OM</t>
        </is>
      </c>
      <c r="AM304" s="1" t="inlineStr">
        <is>
          <t>Explotación</t>
        </is>
      </c>
    </row>
    <row r="305" ht="15" customHeight="1" s="700">
      <c r="A305" s="1">
        <f>A304+1</f>
        <v/>
      </c>
      <c r="B305" s="26" t="n">
        <v>45846</v>
      </c>
      <c r="C305" s="1" t="inlineStr">
        <is>
          <t>c/ Las Cruzadas 3A, local D</t>
        </is>
      </c>
      <c r="D305" s="1" t="inlineStr">
        <is>
          <t>Sevilla 41004</t>
        </is>
      </c>
      <c r="E305" s="1" t="inlineStr">
        <is>
          <t>CIF B91938662</t>
        </is>
      </c>
      <c r="F305" s="1" t="inlineStr">
        <is>
          <t>aBalados@abalados.es</t>
        </is>
      </c>
      <c r="G305" s="1" t="inlineStr">
        <is>
          <t>WOC Fotovoltaica España Proyecto Sollana S.L.U.</t>
        </is>
      </c>
      <c r="H305" s="1">
        <f>VLOOKUP($G305,DATOS!$B:$E,2,FALSE)</f>
        <v/>
      </c>
      <c r="I305" s="1">
        <f>VLOOKUP($G305,DATOS!$B:$E,3,FALSE)</f>
        <v/>
      </c>
      <c r="J305" s="1">
        <f>VLOOKUP($G305,DATOS!$B:$E,4,FALSE)</f>
        <v/>
      </c>
      <c r="K305" s="1" t="inlineStr">
        <is>
          <t>Honorarios - Contrato O&amp;M 3º Trimestre</t>
        </is>
      </c>
      <c r="L305" s="5" t="n">
        <v>14275.34438962105</v>
      </c>
      <c r="Y305" s="1" t="inlineStr">
        <is>
          <t>Gastos derivados de contrato (3,5%)</t>
        </is>
      </c>
      <c r="Z305" s="5">
        <f>(L305+N305+P305+R305+T305+V305+X305)*0.035</f>
        <v/>
      </c>
      <c r="AB305" s="6" t="inlineStr">
        <is>
          <t>ES85 2080 3509 1130 4009 6171</t>
        </is>
      </c>
      <c r="AC305" s="1" t="inlineStr">
        <is>
          <t>pagado</t>
        </is>
      </c>
      <c r="AD305" s="5">
        <f>L305+N305+P305+R305+T305+V305+X305+Z305</f>
        <v/>
      </c>
      <c r="AE305" s="5">
        <f>IF((LEFT(K305,6))="Contab",L305,0)</f>
        <v/>
      </c>
      <c r="AF305" s="6">
        <f>VLOOKUP(G305,CLIENTES!B:E,4,FALSE)</f>
        <v/>
      </c>
      <c r="AG305" s="5">
        <f>AF305*AE305</f>
        <v/>
      </c>
      <c r="AH305" s="5">
        <f>AD305*1.21</f>
        <v/>
      </c>
      <c r="AI305" s="261">
        <f>IF(AE305&lt;&gt;0,AG305/AD305,"N/A")</f>
        <v/>
      </c>
      <c r="AJ305" s="5">
        <f>IF(AC305="pendiente",AD305,0)</f>
        <v/>
      </c>
      <c r="AK305" s="1">
        <f>VLOOKUP(G305,CLIENTES!B:D,3,FALSE)</f>
        <v/>
      </c>
      <c r="AL305" s="1" t="inlineStr">
        <is>
          <t>WOC_OM</t>
        </is>
      </c>
      <c r="AM305" s="1" t="inlineStr">
        <is>
          <t>Explotación</t>
        </is>
      </c>
    </row>
    <row r="306" ht="15" customHeight="1" s="700">
      <c r="A306" s="1">
        <f>A305+1</f>
        <v/>
      </c>
      <c r="B306" s="26" t="n">
        <v>45846</v>
      </c>
      <c r="C306" s="1" t="inlineStr">
        <is>
          <t>c/ Las Cruzadas 3A, local D</t>
        </is>
      </c>
      <c r="D306" s="1" t="inlineStr">
        <is>
          <t>Sevilla 41004</t>
        </is>
      </c>
      <c r="E306" s="1" t="inlineStr">
        <is>
          <t>CIF B91938662</t>
        </is>
      </c>
      <c r="F306" s="1" t="inlineStr">
        <is>
          <t>aBalados@abalados.es</t>
        </is>
      </c>
      <c r="G306" s="1" t="inlineStr">
        <is>
          <t>Inversión Cubiertas Solares S.L.U.</t>
        </is>
      </c>
      <c r="H306" s="1">
        <f>VLOOKUP($G306,DATOS!$B:$E,2,FALSE)</f>
        <v/>
      </c>
      <c r="I306" s="1">
        <f>VLOOKUP($G306,DATOS!$B:$E,3,FALSE)</f>
        <v/>
      </c>
      <c r="J306" s="1">
        <f>VLOOKUP($G306,DATOS!$B:$E,4,FALSE)</f>
        <v/>
      </c>
      <c r="K306" s="1" t="inlineStr">
        <is>
          <t>Honorarios - Contrato O&amp;M 3º Trimestre</t>
        </is>
      </c>
      <c r="L306" s="5" t="n">
        <v>1523.175263130934</v>
      </c>
      <c r="Y306" s="1" t="inlineStr">
        <is>
          <t>Gastos derivados de contrato (3,5%)</t>
        </is>
      </c>
      <c r="Z306" s="5">
        <f>(L306+N306+P306+R306+T306+V306+X306)*0.035</f>
        <v/>
      </c>
      <c r="AB306" s="6" t="inlineStr">
        <is>
          <t>ES85 2080 3509 1130 4009 6171</t>
        </is>
      </c>
      <c r="AC306" s="1" t="inlineStr">
        <is>
          <t>pagado</t>
        </is>
      </c>
      <c r="AD306" s="5">
        <f>L306+N306+P306+R306+T306+V306+X306+Z306</f>
        <v/>
      </c>
      <c r="AE306" s="5">
        <f>IF((LEFT(K306,6))="Contab",L306,0)</f>
        <v/>
      </c>
      <c r="AF306" s="6">
        <f>VLOOKUP(G306,CLIENTES!B:E,4,FALSE)</f>
        <v/>
      </c>
      <c r="AG306" s="5">
        <f>AF306*AE306</f>
        <v/>
      </c>
      <c r="AH306" s="5">
        <f>AD306*1.21</f>
        <v/>
      </c>
      <c r="AI306" s="261">
        <f>IF(AE306&lt;&gt;0,AG306/AD306,"N/A")</f>
        <v/>
      </c>
      <c r="AJ306" s="5">
        <f>IF(AC306="pendiente",AD306,0)</f>
        <v/>
      </c>
      <c r="AK306" s="1">
        <f>VLOOKUP(G306,CLIENTES!B:D,3,FALSE)</f>
        <v/>
      </c>
      <c r="AL306" s="1" t="inlineStr">
        <is>
          <t>WOC_OM</t>
        </is>
      </c>
      <c r="AM306" s="1" t="inlineStr">
        <is>
          <t>Explotación</t>
        </is>
      </c>
    </row>
    <row r="307" ht="15" customHeight="1" s="700">
      <c r="A307" s="1">
        <f>A306+1</f>
        <v/>
      </c>
      <c r="B307" s="26" t="n">
        <v>45846</v>
      </c>
      <c r="C307" s="1" t="inlineStr">
        <is>
          <t>c/ Las Cruzadas 3A, local D</t>
        </is>
      </c>
      <c r="D307" s="1" t="inlineStr">
        <is>
          <t>Sevilla 41004</t>
        </is>
      </c>
      <c r="E307" s="1" t="inlineStr">
        <is>
          <t>CIF B91938662</t>
        </is>
      </c>
      <c r="F307" s="1" t="inlineStr">
        <is>
          <t>aBalados@abalados.es</t>
        </is>
      </c>
      <c r="G307" s="1" t="inlineStr">
        <is>
          <t>Lugec Inversión Solar S.L.U.</t>
        </is>
      </c>
      <c r="H307" s="1">
        <f>VLOOKUP($G307,DATOS!$B:$E,2,FALSE)</f>
        <v/>
      </c>
      <c r="I307" s="1">
        <f>VLOOKUP($G307,DATOS!$B:$E,3,FALSE)</f>
        <v/>
      </c>
      <c r="J307" s="1">
        <f>VLOOKUP($G307,DATOS!$B:$E,4,FALSE)</f>
        <v/>
      </c>
      <c r="K307" s="1" t="inlineStr">
        <is>
          <t>Honorarios - Contrato O&amp;M 3º Trimestre</t>
        </is>
      </c>
      <c r="L307" s="5" t="n">
        <v>4114.18727134347</v>
      </c>
      <c r="Y307" s="1" t="inlineStr">
        <is>
          <t>Gastos derivados de contrato (3,5%)</t>
        </is>
      </c>
      <c r="Z307" s="5">
        <f>(L307+N307+P307+R307+T307+V307+X307)*0.035</f>
        <v/>
      </c>
      <c r="AB307" s="6" t="inlineStr">
        <is>
          <t>ES85 2080 3509 1130 4009 6171</t>
        </is>
      </c>
      <c r="AC307" s="1" t="inlineStr">
        <is>
          <t>pagado</t>
        </is>
      </c>
      <c r="AD307" s="5">
        <f>L307+N307+P307+R307+T307+V307+X307+Z307</f>
        <v/>
      </c>
      <c r="AE307" s="5">
        <f>IF((LEFT(K307,6))="Contab",L307,0)</f>
        <v/>
      </c>
      <c r="AF307" s="6">
        <f>VLOOKUP(G307,CLIENTES!B:E,4,FALSE)</f>
        <v/>
      </c>
      <c r="AG307" s="5">
        <f>AF307*AE307</f>
        <v/>
      </c>
      <c r="AH307" s="5">
        <f>AD307*1.21</f>
        <v/>
      </c>
      <c r="AI307" s="261">
        <f>IF(AE307&lt;&gt;0,AG307/AD307,"N/A")</f>
        <v/>
      </c>
      <c r="AJ307" s="5">
        <f>IF(AC307="pendiente",AD307,0)</f>
        <v/>
      </c>
      <c r="AK307" s="1">
        <f>VLOOKUP(G307,CLIENTES!B:D,3,FALSE)</f>
        <v/>
      </c>
      <c r="AL307" s="1" t="inlineStr">
        <is>
          <t>WOC_OM</t>
        </is>
      </c>
      <c r="AM307" s="1" t="inlineStr">
        <is>
          <t>Explotación</t>
        </is>
      </c>
    </row>
    <row r="308" ht="15" customHeight="1" s="700">
      <c r="A308" s="1">
        <f>A307+1</f>
        <v/>
      </c>
      <c r="B308" s="26" t="n">
        <v>45846</v>
      </c>
      <c r="C308" s="1" t="inlineStr">
        <is>
          <t>c/ Las Cruzadas 3A, local D</t>
        </is>
      </c>
      <c r="D308" s="1" t="inlineStr">
        <is>
          <t>Sevilla 41004</t>
        </is>
      </c>
      <c r="E308" s="1" t="inlineStr">
        <is>
          <t>CIF B91938662</t>
        </is>
      </c>
      <c r="F308" s="1" t="inlineStr">
        <is>
          <t>aBalados@abalados.es</t>
        </is>
      </c>
      <c r="G308" s="1" t="inlineStr">
        <is>
          <t>Agrupación Solar el Algarrobo I, S.L.U.</t>
        </is>
      </c>
      <c r="H308" s="1">
        <f>VLOOKUP($G308,DATOS!$B:$E,2,FALSE)</f>
        <v/>
      </c>
      <c r="I308" s="1">
        <f>VLOOKUP($G308,DATOS!$B:$E,3,FALSE)</f>
        <v/>
      </c>
      <c r="J308" s="1">
        <f>VLOOKUP($G308,DATOS!$B:$E,4,FALSE)</f>
        <v/>
      </c>
      <c r="K308" s="1" t="inlineStr">
        <is>
          <t>Honorarios - Contrato O&amp;M 3º Trimestre</t>
        </is>
      </c>
      <c r="L308" s="5" t="n">
        <v>11723.97979537169</v>
      </c>
      <c r="M308" s="1" t="inlineStr">
        <is>
          <t>Garantía 30% (dotada en 2017)</t>
        </is>
      </c>
      <c r="Y308" s="1" t="inlineStr">
        <is>
          <t>Gastos derivados de contrato (3,5%)</t>
        </is>
      </c>
      <c r="Z308" s="5">
        <f>(L308+N308+P308+R308+T308+V308+X308)*0.035</f>
        <v/>
      </c>
      <c r="AB308" s="6" t="inlineStr">
        <is>
          <t>ES85 2080 3509 1130 4009 6171</t>
        </is>
      </c>
      <c r="AC308" s="1" t="inlineStr">
        <is>
          <t>pagado</t>
        </is>
      </c>
      <c r="AD308" s="5">
        <f>L308+N308+P308+R308+T308+V308+X308+Z308</f>
        <v/>
      </c>
      <c r="AE308" s="5">
        <f>IF((LEFT(K308,6))="Contab",L308,0)</f>
        <v/>
      </c>
      <c r="AF308" s="6">
        <f>VLOOKUP(G308,CLIENTES!B:E,4,FALSE)</f>
        <v/>
      </c>
      <c r="AG308" s="5">
        <f>AF308*AE308</f>
        <v/>
      </c>
      <c r="AH308" s="5">
        <f>AD308*1.21</f>
        <v/>
      </c>
      <c r="AI308" s="261">
        <f>IF(AE308&lt;&gt;0,AG308/AD308,"N/A")</f>
        <v/>
      </c>
      <c r="AJ308" s="5">
        <f>IF(AC308="pendiente",AD308,0)</f>
        <v/>
      </c>
      <c r="AK308" s="1">
        <f>VLOOKUP(G308,CLIENTES!B:D,3,FALSE)</f>
        <v/>
      </c>
      <c r="AL308" s="1" t="inlineStr">
        <is>
          <t>WOC_OM</t>
        </is>
      </c>
      <c r="AM308" s="1" t="inlineStr">
        <is>
          <t>Explotación</t>
        </is>
      </c>
    </row>
    <row r="309" ht="15" customHeight="1" s="700">
      <c r="A309" s="1">
        <f>A308+1</f>
        <v/>
      </c>
      <c r="B309" s="26" t="n">
        <v>45846</v>
      </c>
      <c r="C309" s="1" t="inlineStr">
        <is>
          <t>c/ Las Cruzadas 3A, local D</t>
        </is>
      </c>
      <c r="D309" s="1" t="inlineStr">
        <is>
          <t>Sevilla 41004</t>
        </is>
      </c>
      <c r="E309" s="1" t="inlineStr">
        <is>
          <t>CIF B91938662</t>
        </is>
      </c>
      <c r="F309" s="1" t="inlineStr">
        <is>
          <t>aBalados@abalados.es</t>
        </is>
      </c>
      <c r="G309" s="1" t="inlineStr">
        <is>
          <t>Agrupación Solar el Algarrobo II, S.L.U.</t>
        </is>
      </c>
      <c r="H309" s="1">
        <f>VLOOKUP($G309,DATOS!$B:$E,2,FALSE)</f>
        <v/>
      </c>
      <c r="I309" s="1">
        <f>VLOOKUP($G309,DATOS!$B:$E,3,FALSE)</f>
        <v/>
      </c>
      <c r="J309" s="1">
        <f>VLOOKUP($G309,DATOS!$B:$E,4,FALSE)</f>
        <v/>
      </c>
      <c r="K309" s="1" t="inlineStr">
        <is>
          <t>Honorarios - Contrato O&amp;M 3º Trimestre</t>
        </is>
      </c>
      <c r="L309" s="5" t="n">
        <v>11723.97979537169</v>
      </c>
      <c r="M309" s="1" t="inlineStr">
        <is>
          <t>Garantía 30% (dotada en 2017)</t>
        </is>
      </c>
      <c r="Y309" s="1" t="inlineStr">
        <is>
          <t>Gastos derivados de contrato (3,5%)</t>
        </is>
      </c>
      <c r="Z309" s="5">
        <f>(L309+N309+P309+R309+T309+V309+X309)*0.035</f>
        <v/>
      </c>
      <c r="AB309" s="6" t="inlineStr">
        <is>
          <t>ES85 2080 3509 1130 4009 6171</t>
        </is>
      </c>
      <c r="AC309" s="1" t="inlineStr">
        <is>
          <t>pagado</t>
        </is>
      </c>
      <c r="AD309" s="5">
        <f>L309+N309+P309+R309+T309+V309+X309+Z309</f>
        <v/>
      </c>
      <c r="AE309" s="5">
        <f>IF((LEFT(K309,6))="Contab",L309,0)</f>
        <v/>
      </c>
      <c r="AF309" s="6">
        <f>VLOOKUP(G309,CLIENTES!B:E,4,FALSE)</f>
        <v/>
      </c>
      <c r="AG309" s="5">
        <f>AF309*AE309</f>
        <v/>
      </c>
      <c r="AH309" s="5">
        <f>AD309*1.21</f>
        <v/>
      </c>
      <c r="AI309" s="261">
        <f>IF(AE309&lt;&gt;0,AG309/AD309,"N/A")</f>
        <v/>
      </c>
      <c r="AJ309" s="5">
        <f>IF(AC309="pendiente",AD309,0)</f>
        <v/>
      </c>
      <c r="AK309" s="1">
        <f>VLOOKUP(G309,CLIENTES!B:D,3,FALSE)</f>
        <v/>
      </c>
      <c r="AL309" s="1" t="inlineStr">
        <is>
          <t>WOC_OM</t>
        </is>
      </c>
      <c r="AM309" s="1" t="inlineStr">
        <is>
          <t>Explotación</t>
        </is>
      </c>
    </row>
    <row r="310" ht="15" customHeight="1" s="700">
      <c r="A310" s="1">
        <f>A309+1</f>
        <v/>
      </c>
      <c r="B310" s="26" t="n">
        <v>45846</v>
      </c>
      <c r="C310" s="1" t="inlineStr">
        <is>
          <t>c/ Las Cruzadas 3A, local D</t>
        </is>
      </c>
      <c r="D310" s="1" t="inlineStr">
        <is>
          <t>Sevilla 41004</t>
        </is>
      </c>
      <c r="E310" s="1" t="inlineStr">
        <is>
          <t>CIF B91938662</t>
        </is>
      </c>
      <c r="F310" s="1" t="inlineStr">
        <is>
          <t>aBalados@abalados.es</t>
        </is>
      </c>
      <c r="G310" s="1" t="inlineStr">
        <is>
          <t>Agrupación Solar el Algarrobo III, S.L.U.</t>
        </is>
      </c>
      <c r="H310" s="1">
        <f>VLOOKUP($G310,DATOS!$B:$E,2,FALSE)</f>
        <v/>
      </c>
      <c r="I310" s="1">
        <f>VLOOKUP($G310,DATOS!$B:$E,3,FALSE)</f>
        <v/>
      </c>
      <c r="J310" s="1">
        <f>VLOOKUP($G310,DATOS!$B:$E,4,FALSE)</f>
        <v/>
      </c>
      <c r="K310" s="1" t="inlineStr">
        <is>
          <t>Honorarios - Contrato O&amp;M 3º Trimestre</t>
        </is>
      </c>
      <c r="L310" s="5" t="n">
        <v>10607.41029105058</v>
      </c>
      <c r="M310" s="1" t="inlineStr">
        <is>
          <t>Garantía 30% (dotada en 2017)</t>
        </is>
      </c>
      <c r="Y310" s="1" t="inlineStr">
        <is>
          <t>Gastos derivados de contrato (3,5%)</t>
        </is>
      </c>
      <c r="Z310" s="5">
        <f>(L310+N310+P310+R310+T310+V310+X310)*0.035</f>
        <v/>
      </c>
      <c r="AB310" s="6" t="inlineStr">
        <is>
          <t>ES85 2080 3509 1130 4009 6171</t>
        </is>
      </c>
      <c r="AC310" s="1" t="inlineStr">
        <is>
          <t>pagado</t>
        </is>
      </c>
      <c r="AD310" s="5">
        <f>L310+N310+P310+R310+T310+V310+X310+Z310</f>
        <v/>
      </c>
      <c r="AE310" s="5">
        <f>IF((LEFT(K310,6))="Contab",L310,0)</f>
        <v/>
      </c>
      <c r="AF310" s="6">
        <f>VLOOKUP(G310,CLIENTES!B:E,4,FALSE)</f>
        <v/>
      </c>
      <c r="AG310" s="5">
        <f>AF310*AE310</f>
        <v/>
      </c>
      <c r="AH310" s="5">
        <f>AD310*1.21</f>
        <v/>
      </c>
      <c r="AI310" s="261">
        <f>IF(AE310&lt;&gt;0,AG310/AD310,"N/A")</f>
        <v/>
      </c>
      <c r="AJ310" s="5">
        <f>IF(AC310="pendiente",AD310,0)</f>
        <v/>
      </c>
      <c r="AK310" s="1">
        <f>VLOOKUP(G310,CLIENTES!B:D,3,FALSE)</f>
        <v/>
      </c>
      <c r="AL310" s="1" t="inlineStr">
        <is>
          <t>WOC_OM</t>
        </is>
      </c>
      <c r="AM310" s="1" t="inlineStr">
        <is>
          <t>Explotación</t>
        </is>
      </c>
    </row>
    <row r="311" ht="15" customHeight="1" s="700">
      <c r="A311" s="1">
        <f>A310+1</f>
        <v/>
      </c>
      <c r="B311" s="26" t="n">
        <v>45846</v>
      </c>
      <c r="C311" s="1" t="inlineStr">
        <is>
          <t>c/ Las Cruzadas 3A, local D</t>
        </is>
      </c>
      <c r="D311" s="1" t="inlineStr">
        <is>
          <t>Sevilla 41004</t>
        </is>
      </c>
      <c r="E311" s="1" t="inlineStr">
        <is>
          <t>CIF B91938662</t>
        </is>
      </c>
      <c r="F311" s="1" t="inlineStr">
        <is>
          <t>aBalados@abalados.es</t>
        </is>
      </c>
      <c r="G311" s="1" t="inlineStr">
        <is>
          <t>Locaba Solar S.L.U.</t>
        </is>
      </c>
      <c r="H311" s="1">
        <f>VLOOKUP($G311,DATOS!$B:$E,2,FALSE)</f>
        <v/>
      </c>
      <c r="I311" s="1">
        <f>VLOOKUP($G311,DATOS!$B:$E,3,FALSE)</f>
        <v/>
      </c>
      <c r="J311" s="1">
        <f>VLOOKUP($G311,DATOS!$B:$E,4,FALSE)</f>
        <v/>
      </c>
      <c r="K311" s="1" t="inlineStr">
        <is>
          <t>Honorarios - Contrato O&amp;M 3º Trimestre</t>
        </is>
      </c>
      <c r="L311" s="5" t="n">
        <v>23317.4514668617</v>
      </c>
      <c r="M311" s="1" t="inlineStr">
        <is>
          <t>Garantía 30% (dotada en 2017)</t>
        </is>
      </c>
      <c r="Y311" s="1" t="inlineStr">
        <is>
          <t>Gastos derivados de contrato (3,5%)</t>
        </is>
      </c>
      <c r="Z311" s="5">
        <f>(L311+N311+P311+R311+T311+V311+X311)*0.035</f>
        <v/>
      </c>
      <c r="AB311" s="6" t="inlineStr">
        <is>
          <t>ES85 2080 3509 1130 4009 6171</t>
        </is>
      </c>
      <c r="AC311" s="1" t="inlineStr">
        <is>
          <t>pagado</t>
        </is>
      </c>
      <c r="AD311" s="5">
        <f>L311+N311+P311+R311+T311+V311+X311+Z311</f>
        <v/>
      </c>
      <c r="AE311" s="5">
        <f>IF((LEFT(K311,6))="Contab",L311,0)</f>
        <v/>
      </c>
      <c r="AF311" s="6">
        <f>VLOOKUP(G311,CLIENTES!B:E,4,FALSE)</f>
        <v/>
      </c>
      <c r="AG311" s="5">
        <f>AF311*AE311</f>
        <v/>
      </c>
      <c r="AH311" s="5">
        <f>AD311*1.21</f>
        <v/>
      </c>
      <c r="AI311" s="261">
        <f>IF(AE311&lt;&gt;0,AG311/AD311,"N/A")</f>
        <v/>
      </c>
      <c r="AJ311" s="5">
        <f>IF(AC311="pendiente",AD311,0)</f>
        <v/>
      </c>
      <c r="AK311" s="1">
        <f>VLOOKUP(G311,CLIENTES!B:D,3,FALSE)</f>
        <v/>
      </c>
      <c r="AL311" s="1" t="inlineStr">
        <is>
          <t>WOC_OM</t>
        </is>
      </c>
      <c r="AM311" s="1" t="inlineStr">
        <is>
          <t>Explotación</t>
        </is>
      </c>
    </row>
    <row r="312" ht="15" customHeight="1" s="700">
      <c r="A312" s="1">
        <f>A311+1</f>
        <v/>
      </c>
      <c r="B312" s="26" t="n">
        <v>45846</v>
      </c>
      <c r="C312" s="1" t="inlineStr">
        <is>
          <t>c/ Las Cruzadas 3A, local D</t>
        </is>
      </c>
      <c r="D312" s="1" t="inlineStr">
        <is>
          <t>Sevilla 41004</t>
        </is>
      </c>
      <c r="E312" s="1" t="inlineStr">
        <is>
          <t>CIF B91938662</t>
        </is>
      </c>
      <c r="F312" s="1" t="inlineStr">
        <is>
          <t>aBalados@abalados.es</t>
        </is>
      </c>
      <c r="G312" s="1" t="inlineStr">
        <is>
          <t>Lo Illán  Parque Solar S.L.U.</t>
        </is>
      </c>
      <c r="H312" s="1">
        <f>VLOOKUP($G312,DATOS!$B:$E,2,FALSE)</f>
        <v/>
      </c>
      <c r="I312" s="1">
        <f>VLOOKUP($G312,DATOS!$B:$E,3,FALSE)</f>
        <v/>
      </c>
      <c r="J312" s="1">
        <f>VLOOKUP($G312,DATOS!$B:$E,4,FALSE)</f>
        <v/>
      </c>
      <c r="K312" s="1" t="inlineStr">
        <is>
          <t>Honorarios - Contrato O&amp;M 3º Trimestre</t>
        </is>
      </c>
      <c r="L312" s="5" t="n">
        <v>11549.82679197542</v>
      </c>
      <c r="Y312" s="1" t="inlineStr">
        <is>
          <t>Gastos derivados de contrato (3,5%)</t>
        </is>
      </c>
      <c r="Z312" s="5">
        <f>(L312+N312+P312+R312+T312+V312+X312)*0.035</f>
        <v/>
      </c>
      <c r="AB312" s="6" t="inlineStr">
        <is>
          <t>ES85 2080 3509 1130 4009 6171</t>
        </is>
      </c>
      <c r="AC312" s="1" t="inlineStr">
        <is>
          <t>pagado</t>
        </is>
      </c>
      <c r="AD312" s="5">
        <f>L312+N312+P312+R312+T312+V312+X312+Z312</f>
        <v/>
      </c>
      <c r="AE312" s="5">
        <f>IF((LEFT(K312,6))="Contab",L312,0)</f>
        <v/>
      </c>
      <c r="AF312" s="6">
        <f>VLOOKUP(G312,CLIENTES!B:E,4,FALSE)</f>
        <v/>
      </c>
      <c r="AG312" s="5">
        <f>AF312*AE312</f>
        <v/>
      </c>
      <c r="AH312" s="5">
        <f>AD312*1.21</f>
        <v/>
      </c>
      <c r="AI312" s="261">
        <f>IF(AE312&lt;&gt;0,AG312/AD312,"N/A")</f>
        <v/>
      </c>
      <c r="AJ312" s="5">
        <f>IF(AC312="pendiente",AD312,0)</f>
        <v/>
      </c>
      <c r="AK312" s="1">
        <f>VLOOKUP(G312,CLIENTES!B:D,3,FALSE)</f>
        <v/>
      </c>
      <c r="AL312" s="1" t="inlineStr">
        <is>
          <t>WOC_OM</t>
        </is>
      </c>
      <c r="AM312" s="1" t="inlineStr">
        <is>
          <t>Explotación</t>
        </is>
      </c>
    </row>
    <row r="313" ht="15" customHeight="1" s="700">
      <c r="A313" s="1">
        <f>A312+1</f>
        <v/>
      </c>
      <c r="B313" s="26" t="n">
        <v>45846</v>
      </c>
      <c r="C313" s="1" t="inlineStr">
        <is>
          <t>c/ Las Cruzadas 3A, local D</t>
        </is>
      </c>
      <c r="D313" s="1" t="inlineStr">
        <is>
          <t>Sevilla 41004</t>
        </is>
      </c>
      <c r="E313" s="1" t="inlineStr">
        <is>
          <t>CIF B91938662</t>
        </is>
      </c>
      <c r="F313" s="1" t="inlineStr">
        <is>
          <t>aBalados@abalados.es</t>
        </is>
      </c>
      <c r="G313" s="1" t="inlineStr">
        <is>
          <t>Contreras Parque Solar S.L.U.</t>
        </is>
      </c>
      <c r="H313" s="1">
        <f>VLOOKUP($G313,DATOS!$B:$E,2,FALSE)</f>
        <v/>
      </c>
      <c r="I313" s="1">
        <f>VLOOKUP($G313,DATOS!$B:$E,3,FALSE)</f>
        <v/>
      </c>
      <c r="J313" s="1">
        <f>VLOOKUP($G313,DATOS!$B:$E,4,FALSE)</f>
        <v/>
      </c>
      <c r="K313" s="1" t="inlineStr">
        <is>
          <t>Honorarios - Contrato O&amp;M 3º Trimestre</t>
        </is>
      </c>
      <c r="L313" s="5" t="n">
        <v>17598.58545360271</v>
      </c>
      <c r="Y313" s="1" t="inlineStr">
        <is>
          <t>Gastos derivados de contrato (3,5%)</t>
        </is>
      </c>
      <c r="Z313" s="5">
        <f>(L313+N313+P313+R313+T313+V313+X313)*0.035</f>
        <v/>
      </c>
      <c r="AB313" s="6" t="inlineStr">
        <is>
          <t>ES85 2080 3509 1130 4009 6171</t>
        </is>
      </c>
      <c r="AC313" s="1" t="inlineStr">
        <is>
          <t>pagado</t>
        </is>
      </c>
      <c r="AD313" s="5">
        <f>L313+N313+P313+R313+T313+V313+X313+Z313</f>
        <v/>
      </c>
      <c r="AE313" s="5">
        <f>IF((LEFT(K313,6))="Contab",L313,0)</f>
        <v/>
      </c>
      <c r="AF313" s="6">
        <f>VLOOKUP(G313,CLIENTES!B:E,4,FALSE)</f>
        <v/>
      </c>
      <c r="AG313" s="5">
        <f>AF313*AE313</f>
        <v/>
      </c>
      <c r="AH313" s="5">
        <f>AD313*1.21</f>
        <v/>
      </c>
      <c r="AI313" s="261">
        <f>IF(AE313&lt;&gt;0,AG313/AD313,"N/A")</f>
        <v/>
      </c>
      <c r="AJ313" s="5">
        <f>IF(AC313="pendiente",AD313,0)</f>
        <v/>
      </c>
      <c r="AK313" s="1">
        <f>VLOOKUP(G313,CLIENTES!B:D,3,FALSE)</f>
        <v/>
      </c>
      <c r="AL313" s="1" t="inlineStr">
        <is>
          <t>WOC_OM</t>
        </is>
      </c>
      <c r="AM313" s="1" t="inlineStr">
        <is>
          <t>Explotación</t>
        </is>
      </c>
    </row>
    <row r="314" ht="15" customHeight="1" s="700">
      <c r="A314" s="1">
        <f>A313+1</f>
        <v/>
      </c>
      <c r="B314" s="26" t="n">
        <v>45846</v>
      </c>
      <c r="C314" s="1" t="inlineStr">
        <is>
          <t>c/ Las Cruzadas 3A, local D</t>
        </is>
      </c>
      <c r="D314" s="1" t="inlineStr">
        <is>
          <t>Sevilla 41004</t>
        </is>
      </c>
      <c r="E314" s="1" t="inlineStr">
        <is>
          <t>CIF B91938662</t>
        </is>
      </c>
      <c r="F314" s="1" t="inlineStr">
        <is>
          <t>aBalados@abalados.es</t>
        </is>
      </c>
      <c r="G314" s="1" t="inlineStr">
        <is>
          <t>Turbinto Parque Solar S.L.U.</t>
        </is>
      </c>
      <c r="H314" s="1">
        <f>VLOOKUP($G314,DATOS!$B:$E,2,FALSE)</f>
        <v/>
      </c>
      <c r="I314" s="1">
        <f>VLOOKUP($G314,DATOS!$B:$E,3,FALSE)</f>
        <v/>
      </c>
      <c r="J314" s="1">
        <f>VLOOKUP($G314,DATOS!$B:$E,4,FALSE)</f>
        <v/>
      </c>
      <c r="K314" s="1" t="inlineStr">
        <is>
          <t>Honorarios - Contrato O&amp;M 3º Trimestre</t>
        </is>
      </c>
      <c r="L314" s="5" t="n">
        <v>12539.49552772436</v>
      </c>
      <c r="Y314" s="1" t="inlineStr">
        <is>
          <t>Gastos derivados de contrato (3,5%)</t>
        </is>
      </c>
      <c r="Z314" s="5">
        <f>(L314+N314+P314+R314+T314+V314+X314)*0.035</f>
        <v/>
      </c>
      <c r="AB314" s="6" t="inlineStr">
        <is>
          <t>ES85 2080 3509 1130 4009 6171</t>
        </is>
      </c>
      <c r="AC314" s="1" t="inlineStr">
        <is>
          <t>pagado</t>
        </is>
      </c>
      <c r="AD314" s="5">
        <f>L314+N314+P314+R314+T314+V314+X314+Z314</f>
        <v/>
      </c>
      <c r="AE314" s="5">
        <f>IF((LEFT(K314,6))="Contab",L314,0)</f>
        <v/>
      </c>
      <c r="AF314" s="6">
        <f>VLOOKUP(G314,CLIENTES!B:E,4,FALSE)</f>
        <v/>
      </c>
      <c r="AG314" s="5">
        <f>AF314*AE314</f>
        <v/>
      </c>
      <c r="AH314" s="5">
        <f>AD314*1.21</f>
        <v/>
      </c>
      <c r="AI314" s="261">
        <f>IF(AE314&lt;&gt;0,AG314/AD314,"N/A")</f>
        <v/>
      </c>
      <c r="AJ314" s="5">
        <f>IF(AC314="pendiente",AD314,0)</f>
        <v/>
      </c>
      <c r="AK314" s="1">
        <f>VLOOKUP(G314,CLIENTES!B:D,3,FALSE)</f>
        <v/>
      </c>
      <c r="AL314" s="1" t="inlineStr">
        <is>
          <t>WOC_OM</t>
        </is>
      </c>
      <c r="AM314" s="1" t="inlineStr">
        <is>
          <t>Explotación</t>
        </is>
      </c>
    </row>
    <row r="315" ht="15" customHeight="1" s="700">
      <c r="A315" s="1">
        <f>A314+1</f>
        <v/>
      </c>
      <c r="B315" s="26" t="n">
        <v>45846</v>
      </c>
      <c r="C315" s="1" t="inlineStr">
        <is>
          <t>c/ Las Cruzadas 3A, local D</t>
        </is>
      </c>
      <c r="D315" s="1" t="inlineStr">
        <is>
          <t>Sevilla 41004</t>
        </is>
      </c>
      <c r="E315" s="1" t="inlineStr">
        <is>
          <t>CIF B91938662</t>
        </is>
      </c>
      <c r="F315" s="1" t="inlineStr">
        <is>
          <t>aBalados@abalados.es</t>
        </is>
      </c>
      <c r="G315" s="1" t="inlineStr">
        <is>
          <t>Solar Photo Collect S.L.U.</t>
        </is>
      </c>
      <c r="H315" s="1">
        <f>VLOOKUP($G315,DATOS!$B:$E,2,FALSE)</f>
        <v/>
      </c>
      <c r="I315" s="1">
        <f>VLOOKUP($G315,DATOS!$B:$E,3,FALSE)</f>
        <v/>
      </c>
      <c r="J315" s="1">
        <f>VLOOKUP($G315,DATOS!$B:$E,4,FALSE)</f>
        <v/>
      </c>
      <c r="K315" s="1" t="inlineStr">
        <is>
          <t>Honorarios - Contrato O&amp;M 3º Trimestre</t>
        </is>
      </c>
      <c r="L315" s="5" t="n">
        <v>16745.12613288354</v>
      </c>
      <c r="Y315" s="1" t="inlineStr">
        <is>
          <t>Gastos derivados de contrato (3,5%)</t>
        </is>
      </c>
      <c r="Z315" s="5">
        <f>(L315+N315+P315+R315+T315+V315+X315)*0.035</f>
        <v/>
      </c>
      <c r="AB315" s="6" t="inlineStr">
        <is>
          <t>ES85 2080 3509 1130 4009 6171</t>
        </is>
      </c>
      <c r="AC315" s="1" t="inlineStr">
        <is>
          <t>pagado</t>
        </is>
      </c>
      <c r="AD315" s="5">
        <f>L315+N315+P315+R315+T315+V315+X315+Z315</f>
        <v/>
      </c>
      <c r="AE315" s="5">
        <f>IF((LEFT(K315,6))="Contab",L315,0)</f>
        <v/>
      </c>
      <c r="AF315" s="6">
        <f>VLOOKUP(G315,CLIENTES!B:E,4,FALSE)</f>
        <v/>
      </c>
      <c r="AG315" s="5">
        <f>AF315*AE315</f>
        <v/>
      </c>
      <c r="AH315" s="5">
        <f>AD315*1.21</f>
        <v/>
      </c>
      <c r="AI315" s="261">
        <f>IF(AE315&lt;&gt;0,AG315/AD315,"N/A")</f>
        <v/>
      </c>
      <c r="AJ315" s="5">
        <f>IF(AC315="pendiente",AD315,0)</f>
        <v/>
      </c>
      <c r="AK315" s="1">
        <f>VLOOKUP(G315,CLIENTES!B:D,3,FALSE)</f>
        <v/>
      </c>
      <c r="AL315" s="1" t="inlineStr">
        <is>
          <t>WOC_OM</t>
        </is>
      </c>
      <c r="AM315" s="1" t="inlineStr">
        <is>
          <t>Explotación</t>
        </is>
      </c>
    </row>
    <row r="316" ht="15" customHeight="1" s="700">
      <c r="A316" s="1">
        <f>A315+1</f>
        <v/>
      </c>
      <c r="B316" s="26" t="n">
        <v>45846</v>
      </c>
      <c r="C316" s="1" t="inlineStr">
        <is>
          <t>c/ Las Cruzadas 3A, local D</t>
        </is>
      </c>
      <c r="D316" s="1" t="inlineStr">
        <is>
          <t>Sevilla 41004</t>
        </is>
      </c>
      <c r="E316" s="1" t="inlineStr">
        <is>
          <t>CIF B91938662</t>
        </is>
      </c>
      <c r="F316" s="1" t="inlineStr">
        <is>
          <t>aBalados@abalados.es</t>
        </is>
      </c>
      <c r="G316" s="1" t="inlineStr">
        <is>
          <t>Solar Photo Corp S.L.U.</t>
        </is>
      </c>
      <c r="H316" s="1">
        <f>VLOOKUP($G316,DATOS!$B:$E,2,FALSE)</f>
        <v/>
      </c>
      <c r="I316" s="1">
        <f>VLOOKUP($G316,DATOS!$B:$E,3,FALSE)</f>
        <v/>
      </c>
      <c r="J316" s="1">
        <f>VLOOKUP($G316,DATOS!$B:$E,4,FALSE)</f>
        <v/>
      </c>
      <c r="K316" s="1" t="inlineStr">
        <is>
          <t>Honorarios - Contrato O&amp;M 3º Trimestre</t>
        </is>
      </c>
      <c r="L316" s="5" t="n">
        <v>7442.24366345754</v>
      </c>
      <c r="Y316" s="1" t="inlineStr">
        <is>
          <t>Gastos derivados de contrato (3,5%)</t>
        </is>
      </c>
      <c r="Z316" s="5">
        <f>(L316+N316+P316+R316+T316+V316+X316)*0.035</f>
        <v/>
      </c>
      <c r="AB316" s="6" t="inlineStr">
        <is>
          <t>ES85 2080 3509 1130 4009 6171</t>
        </is>
      </c>
      <c r="AC316" s="1" t="inlineStr">
        <is>
          <t>pagado</t>
        </is>
      </c>
      <c r="AD316" s="5">
        <f>L316+N316+P316+R316+T316+V316+X316+Z316</f>
        <v/>
      </c>
      <c r="AE316" s="5">
        <f>IF((LEFT(K316,6))="Contab",L316,0)</f>
        <v/>
      </c>
      <c r="AF316" s="6">
        <f>VLOOKUP(G316,CLIENTES!B:E,4,FALSE)</f>
        <v/>
      </c>
      <c r="AG316" s="5">
        <f>AF316*AE316</f>
        <v/>
      </c>
      <c r="AH316" s="5">
        <f>AD316*1.21</f>
        <v/>
      </c>
      <c r="AI316" s="261">
        <f>IF(AE316&lt;&gt;0,AG316/AD316,"N/A")</f>
        <v/>
      </c>
      <c r="AJ316" s="5">
        <f>IF(AC316="pendiente",AD316,0)</f>
        <v/>
      </c>
      <c r="AK316" s="1">
        <f>VLOOKUP(G316,CLIENTES!B:D,3,FALSE)</f>
        <v/>
      </c>
      <c r="AL316" s="1" t="inlineStr">
        <is>
          <t>WOC_OM</t>
        </is>
      </c>
      <c r="AM316" s="1" t="inlineStr">
        <is>
          <t>Explotación</t>
        </is>
      </c>
    </row>
    <row r="317" ht="15" customHeight="1" s="700">
      <c r="A317" s="1">
        <f>A316+1</f>
        <v/>
      </c>
      <c r="B317" s="26" t="n">
        <v>45846</v>
      </c>
      <c r="C317" s="1" t="inlineStr">
        <is>
          <t>c/ Las Cruzadas 3A, local D</t>
        </is>
      </c>
      <c r="D317" s="1" t="inlineStr">
        <is>
          <t>Sevilla 41004</t>
        </is>
      </c>
      <c r="E317" s="1" t="inlineStr">
        <is>
          <t>CIF B91938662</t>
        </is>
      </c>
      <c r="F317" s="1" t="inlineStr">
        <is>
          <t>aBalados@abalados.es</t>
        </is>
      </c>
      <c r="G317" s="1" t="inlineStr">
        <is>
          <t xml:space="preserve">Rasteding PV I, S.L.U. </t>
        </is>
      </c>
      <c r="H317" s="1">
        <f>VLOOKUP($G317,DATOS!$B:$E,2,FALSE)</f>
        <v/>
      </c>
      <c r="I317" s="1">
        <f>VLOOKUP($G317,DATOS!$B:$E,3,FALSE)</f>
        <v/>
      </c>
      <c r="J317" s="1">
        <f>VLOOKUP($G317,DATOS!$B:$E,4,FALSE)</f>
        <v/>
      </c>
      <c r="K317" s="1" t="inlineStr">
        <is>
          <t>Honorarios - Contrato O&amp;M 3º Trimestre</t>
        </is>
      </c>
      <c r="L317" s="5" t="n">
        <v>3841.954307971025</v>
      </c>
      <c r="Y317" s="1" t="inlineStr">
        <is>
          <t>Gastos derivados de contrato (3,5%)</t>
        </is>
      </c>
      <c r="Z317" s="5">
        <f>(L317+N317+P317+R317+T317+V317+X317)*0.035</f>
        <v/>
      </c>
      <c r="AB317" s="6" t="inlineStr">
        <is>
          <t>ES85 2080 3509 1130 4009 6171</t>
        </is>
      </c>
      <c r="AC317" s="1" t="inlineStr">
        <is>
          <t>pagado</t>
        </is>
      </c>
      <c r="AD317" s="5">
        <f>L317+N317+P317+R317+T317+V317+X317+Z317</f>
        <v/>
      </c>
      <c r="AE317" s="5">
        <f>IF((LEFT(K317,6))="Contab",L317,0)</f>
        <v/>
      </c>
      <c r="AF317" s="6">
        <f>VLOOKUP(G317,CLIENTES!B:E,4,FALSE)</f>
        <v/>
      </c>
      <c r="AG317" s="5">
        <f>AF317*AE317</f>
        <v/>
      </c>
      <c r="AH317" s="5">
        <f>AD317*1.21</f>
        <v/>
      </c>
      <c r="AI317" s="261">
        <f>IF(AE317&lt;&gt;0,AG317/AD317,"N/A")</f>
        <v/>
      </c>
      <c r="AJ317" s="5">
        <f>IF(AC317="pendiente",AD317,0)</f>
        <v/>
      </c>
      <c r="AK317" s="1">
        <f>VLOOKUP(G317,CLIENTES!B:D,3,FALSE)</f>
        <v/>
      </c>
      <c r="AL317" s="1" t="inlineStr">
        <is>
          <t>WOC_OM</t>
        </is>
      </c>
      <c r="AM317" s="1" t="inlineStr">
        <is>
          <t>Explotación</t>
        </is>
      </c>
    </row>
    <row r="318" ht="15" customHeight="1" s="700">
      <c r="A318" s="1">
        <f>A317+1</f>
        <v/>
      </c>
      <c r="B318" s="26" t="n">
        <v>45846</v>
      </c>
      <c r="C318" s="1" t="inlineStr">
        <is>
          <t>c/ Las Cruzadas 3A, local D</t>
        </is>
      </c>
      <c r="D318" s="1" t="inlineStr">
        <is>
          <t>Sevilla 41004</t>
        </is>
      </c>
      <c r="E318" s="1" t="inlineStr">
        <is>
          <t>CIF B91938662</t>
        </is>
      </c>
      <c r="F318" s="1" t="inlineStr">
        <is>
          <t>aBalados@abalados.es</t>
        </is>
      </c>
      <c r="G318" s="1" t="inlineStr">
        <is>
          <t>Tiksi PV II S.L.U.</t>
        </is>
      </c>
      <c r="H318" s="1">
        <f>VLOOKUP($G318,DATOS!$B:$E,2,FALSE)</f>
        <v/>
      </c>
      <c r="I318" s="1">
        <f>VLOOKUP($G318,DATOS!$B:$E,3,FALSE)</f>
        <v/>
      </c>
      <c r="J318" s="1">
        <f>VLOOKUP($G318,DATOS!$B:$E,4,FALSE)</f>
        <v/>
      </c>
      <c r="K318" s="1" t="inlineStr">
        <is>
          <t>Honorarios - Contrato O&amp;M 3º Trimestre</t>
        </is>
      </c>
      <c r="L318" s="5" t="n">
        <v>5215.52136837105</v>
      </c>
      <c r="Y318" s="1" t="inlineStr">
        <is>
          <t>Gastos derivados de contrato (3,5%)</t>
        </is>
      </c>
      <c r="Z318" s="5">
        <f>(L318+N318+P318+R318+T318+V318+X318)*0.035</f>
        <v/>
      </c>
      <c r="AB318" s="6" t="inlineStr">
        <is>
          <t>ES85 2080 3509 1130 4009 6171</t>
        </is>
      </c>
      <c r="AC318" s="1" t="inlineStr">
        <is>
          <t>pagado</t>
        </is>
      </c>
      <c r="AD318" s="5">
        <f>L318+N318+P318+R318+T318+V318+X318+Z318</f>
        <v/>
      </c>
      <c r="AE318" s="5">
        <f>IF((LEFT(K318,6))="Contab",L318,0)</f>
        <v/>
      </c>
      <c r="AF318" s="6">
        <f>VLOOKUP(G318,CLIENTES!B:E,4,FALSE)</f>
        <v/>
      </c>
      <c r="AG318" s="5">
        <f>AF318*AE318</f>
        <v/>
      </c>
      <c r="AH318" s="5">
        <f>AD318*1.21</f>
        <v/>
      </c>
      <c r="AI318" s="261">
        <f>IF(AE318&lt;&gt;0,AG318/AD318,"N/A")</f>
        <v/>
      </c>
      <c r="AJ318" s="5">
        <f>IF(AC318="pendiente",AD318,0)</f>
        <v/>
      </c>
      <c r="AK318" s="1">
        <f>VLOOKUP(G318,CLIENTES!B:D,3,FALSE)</f>
        <v/>
      </c>
      <c r="AL318" s="1" t="inlineStr">
        <is>
          <t>WOC_OM</t>
        </is>
      </c>
      <c r="AM318" s="1" t="inlineStr">
        <is>
          <t>Explotación</t>
        </is>
      </c>
    </row>
    <row r="319" ht="15" customHeight="1" s="700">
      <c r="A319" s="1">
        <f>A318+1</f>
        <v/>
      </c>
      <c r="B319" s="26" t="n">
        <v>45846</v>
      </c>
      <c r="C319" s="1" t="inlineStr">
        <is>
          <t>c/ Las Cruzadas 3A, local D</t>
        </is>
      </c>
      <c r="D319" s="1" t="inlineStr">
        <is>
          <t>Sevilla 41004</t>
        </is>
      </c>
      <c r="E319" s="1" t="inlineStr">
        <is>
          <t>CIF B91938662</t>
        </is>
      </c>
      <c r="F319" s="1" t="inlineStr">
        <is>
          <t>aBalados@abalados.es</t>
        </is>
      </c>
      <c r="G319" s="1" t="inlineStr">
        <is>
          <t>Amberg V S.L.U.</t>
        </is>
      </c>
      <c r="H319" s="1">
        <f>VLOOKUP($G319,DATOS!$B:$E,2,FALSE)</f>
        <v/>
      </c>
      <c r="I319" s="1">
        <f>VLOOKUP($G319,DATOS!$B:$E,3,FALSE)</f>
        <v/>
      </c>
      <c r="J319" s="1">
        <f>VLOOKUP($G319,DATOS!$B:$E,4,FALSE)</f>
        <v/>
      </c>
      <c r="K319" s="1" t="inlineStr">
        <is>
          <t>Honorarios - Contrato O&amp;M 3º Trimestre</t>
        </is>
      </c>
      <c r="L319" s="5" t="n">
        <v>7362.297260642487</v>
      </c>
      <c r="Y319" s="1" t="inlineStr">
        <is>
          <t>Gastos derivados de contrato (3,5%)</t>
        </is>
      </c>
      <c r="Z319" s="5">
        <f>(L319+N319+P319+R319+T319+V319+X319)*0.035</f>
        <v/>
      </c>
      <c r="AB319" s="6" t="inlineStr">
        <is>
          <t>ES85 2080 3509 1130 4009 6171</t>
        </is>
      </c>
      <c r="AC319" s="1" t="inlineStr">
        <is>
          <t>pagado</t>
        </is>
      </c>
      <c r="AD319" s="5">
        <f>L319+N319+P319+R319+T319+V319+X319+Z319</f>
        <v/>
      </c>
      <c r="AE319" s="5">
        <f>IF((LEFT(K319,6))="Contab",L319,0)</f>
        <v/>
      </c>
      <c r="AF319" s="6">
        <f>VLOOKUP(G319,CLIENTES!B:E,4,FALSE)</f>
        <v/>
      </c>
      <c r="AG319" s="5">
        <f>AF319*AE319</f>
        <v/>
      </c>
      <c r="AH319" s="5">
        <f>AD319*1.21</f>
        <v/>
      </c>
      <c r="AI319" s="261">
        <f>IF(AE319&lt;&gt;0,AG319/AD319,"N/A")</f>
        <v/>
      </c>
      <c r="AJ319" s="5">
        <f>IF(AC319="pendiente",AD319,0)</f>
        <v/>
      </c>
      <c r="AK319" s="1">
        <f>VLOOKUP(G319,CLIENTES!B:D,3,FALSE)</f>
        <v/>
      </c>
      <c r="AL319" s="1" t="inlineStr">
        <is>
          <t>WOC_OM</t>
        </is>
      </c>
      <c r="AM319" s="1" t="inlineStr">
        <is>
          <t>Explotación</t>
        </is>
      </c>
    </row>
    <row r="320" ht="15" customFormat="1" customHeight="1" s="146">
      <c r="A320" s="146">
        <f>A319+1</f>
        <v/>
      </c>
      <c r="B320" s="149" t="n">
        <v>45846</v>
      </c>
      <c r="C320" s="146" t="inlineStr">
        <is>
          <t>c/ Las Cruzadas 3A, local D</t>
        </is>
      </c>
      <c r="D320" s="146" t="inlineStr">
        <is>
          <t>Sevilla 41004</t>
        </is>
      </c>
      <c r="E320" s="146" t="inlineStr">
        <is>
          <t>CIF B91938662</t>
        </is>
      </c>
      <c r="F320" s="146" t="inlineStr">
        <is>
          <t>aBalados@abalados.es</t>
        </is>
      </c>
      <c r="G320" s="146" t="inlineStr">
        <is>
          <t>Amberg II S.L.U.</t>
        </is>
      </c>
      <c r="H320" s="146">
        <f>VLOOKUP($G320,DATOS!$B:$E,2,FALSE)</f>
        <v/>
      </c>
      <c r="I320" s="146">
        <f>VLOOKUP($G320,DATOS!$B:$E,3,FALSE)</f>
        <v/>
      </c>
      <c r="J320" s="146">
        <f>VLOOKUP($G320,DATOS!$B:$E,4,FALSE)</f>
        <v/>
      </c>
      <c r="K320" s="146" t="inlineStr">
        <is>
          <t>Honorarios - Contrato O&amp;M 3º Trimestre</t>
        </is>
      </c>
      <c r="L320" s="147" t="n">
        <v>3964.917857460571</v>
      </c>
      <c r="N320" s="147" t="n"/>
      <c r="P320" s="147" t="n"/>
      <c r="R320" s="147" t="n"/>
      <c r="T320" s="147" t="n"/>
      <c r="V320" s="147" t="n"/>
      <c r="X320" s="147" t="n"/>
      <c r="Y320" s="146" t="inlineStr">
        <is>
          <t>Gastos derivados de contrato (3,5%)</t>
        </is>
      </c>
      <c r="Z320" s="147">
        <f>(L320+N320+P320+R320+T320+V320+X320)*0.035</f>
        <v/>
      </c>
      <c r="AA320" s="147" t="n"/>
      <c r="AB320" s="148" t="inlineStr">
        <is>
          <t>ES85 2080 3509 1130 4009 6171</t>
        </is>
      </c>
      <c r="AC320" s="146" t="inlineStr">
        <is>
          <t>pagado</t>
        </is>
      </c>
      <c r="AD320" s="147">
        <f>L320+N320+P320+R320+T320+V320+X320+Z320</f>
        <v/>
      </c>
      <c r="AE320" s="147">
        <f>IF((LEFT(K320,6))="Contab",L320,0)</f>
        <v/>
      </c>
      <c r="AF320" s="148">
        <f>VLOOKUP(G320,CLIENTES!B:E,4,FALSE)</f>
        <v/>
      </c>
      <c r="AG320" s="147">
        <f>AF320*AE320</f>
        <v/>
      </c>
      <c r="AH320" s="147">
        <f>AD320*1.21</f>
        <v/>
      </c>
      <c r="AI320" s="257">
        <f>IF(AE320&lt;&gt;0,AG320/AD320,"N/A")</f>
        <v/>
      </c>
      <c r="AJ320" s="147">
        <f>IF(AC320="pendiente",AD320,0)</f>
        <v/>
      </c>
      <c r="AK320" s="146">
        <f>VLOOKUP(G320,CLIENTES!B:D,3,FALSE)</f>
        <v/>
      </c>
      <c r="AL320" s="146" t="inlineStr">
        <is>
          <t>WOC_OM</t>
        </is>
      </c>
      <c r="AM320" s="146" t="inlineStr">
        <is>
          <t>Explotación</t>
        </is>
      </c>
    </row>
    <row r="321" ht="15" customHeight="1" s="700">
      <c r="A321" s="1">
        <f>A320+1</f>
        <v/>
      </c>
      <c r="B321" s="26" t="n">
        <v>45846</v>
      </c>
      <c r="C321" s="1" t="inlineStr">
        <is>
          <t>c/ Las Cruzadas 3A, local D</t>
        </is>
      </c>
      <c r="D321" s="1" t="inlineStr">
        <is>
          <t>Sevilla 41004</t>
        </is>
      </c>
      <c r="E321" s="1" t="inlineStr">
        <is>
          <t>CIF B91938662</t>
        </is>
      </c>
      <c r="F321" s="1" t="inlineStr">
        <is>
          <t>aBalados@abalados.es</t>
        </is>
      </c>
      <c r="G321" s="1" t="inlineStr">
        <is>
          <t>FP LUX REIO PV VALLADOLID, S.L.U.</t>
        </is>
      </c>
      <c r="H321" s="1" t="inlineStr">
        <is>
          <t>CIF B71334833</t>
        </is>
      </c>
      <c r="I321" s="1" t="inlineStr">
        <is>
          <t>c/ Las Cruzadas 3A, local D</t>
        </is>
      </c>
      <c r="J321" s="4" t="inlineStr">
        <is>
          <t>41004 Sevilla</t>
        </is>
      </c>
      <c r="K321" s="1" t="inlineStr">
        <is>
          <t>Asset Management 3Q2025 | 01.07 - 31.09</t>
        </is>
      </c>
      <c r="L321" s="5">
        <f>'Tarifa 2025'!D29/4</f>
        <v/>
      </c>
      <c r="O321" s="1" t="inlineStr">
        <is>
          <t>Gestión de Activos 3T2025 | 01.07 - 31.09</t>
        </is>
      </c>
      <c r="AB321" s="6" t="inlineStr">
        <is>
          <t>ES85 2080 3509 1130 4009 6171</t>
        </is>
      </c>
      <c r="AC321" s="1" t="inlineStr">
        <is>
          <t>pagado</t>
        </is>
      </c>
      <c r="AD321" s="5">
        <f>L321+N321+P321+R321+T321+V321+X321+Z321</f>
        <v/>
      </c>
      <c r="AE321" s="259">
        <f>IF((LEFT(K321,4))="Cont",N321,0)</f>
        <v/>
      </c>
      <c r="AF321" s="260" t="n">
        <v>0.1</v>
      </c>
      <c r="AG321" s="259">
        <f>AF321*AE321</f>
        <v/>
      </c>
      <c r="AH321" s="259">
        <f>AD321*1.21</f>
        <v/>
      </c>
      <c r="AI321" s="264">
        <f>IF(AE321&lt;&gt;0,AG321/AD321,"N/A")</f>
        <v/>
      </c>
      <c r="AJ321" s="259">
        <f>IF(AC321="pendiente",AD321,0)</f>
        <v/>
      </c>
      <c r="AK321" s="258" t="inlineStr">
        <is>
          <t>2020-006</t>
        </is>
      </c>
      <c r="AL321" s="1" t="inlineStr">
        <is>
          <t>OM_Otros</t>
        </is>
      </c>
      <c r="AM321" s="258" t="inlineStr">
        <is>
          <t>Explotación</t>
        </is>
      </c>
    </row>
    <row r="322" ht="15" customHeight="1" s="700">
      <c r="A322" s="1">
        <f>A321+1</f>
        <v/>
      </c>
      <c r="B322" s="26" t="n">
        <v>45846</v>
      </c>
      <c r="C322" s="1" t="inlineStr">
        <is>
          <t>c/ Las Cruzadas 3A, local D</t>
        </is>
      </c>
      <c r="D322" s="1" t="inlineStr">
        <is>
          <t>Sevilla 41004</t>
        </is>
      </c>
      <c r="E322" s="1" t="inlineStr">
        <is>
          <t>CIF B91938662</t>
        </is>
      </c>
      <c r="F322" s="1" t="inlineStr">
        <is>
          <t>aBalados@abalados.es</t>
        </is>
      </c>
      <c r="G322" s="1" t="inlineStr">
        <is>
          <t>FP LUX REIO PV ZARAGOZA SL.</t>
        </is>
      </c>
      <c r="H322" s="1">
        <f>VLOOKUP($G322,DATOS!$B:$E,2,FALSE)</f>
        <v/>
      </c>
      <c r="I322" s="1">
        <f>VLOOKUP($G322,DATOS!$B:$E,3,FALSE)</f>
        <v/>
      </c>
      <c r="J322" s="4">
        <f>VLOOKUP($G322,DATOS!$B:$E,4,FALSE)</f>
        <v/>
      </c>
      <c r="K322" s="1" t="inlineStr">
        <is>
          <t>Proyecto El Marqués - Zaragoza</t>
        </is>
      </c>
      <c r="M322" s="1" t="inlineStr">
        <is>
          <t>Asset Management fee - 3rd quarter 2025</t>
        </is>
      </c>
      <c r="N322" s="5">
        <f>'Tarifa 2025'!$D$25/4</f>
        <v/>
      </c>
      <c r="Q322" s="1" t="inlineStr">
        <is>
          <t>Honorarios de gestión de activo - 3o trimestre 2025</t>
        </is>
      </c>
      <c r="AB322" s="6" t="inlineStr">
        <is>
          <t>ES85 2080 3509 1130 4009 6171</t>
        </is>
      </c>
      <c r="AC322" s="1" t="inlineStr">
        <is>
          <t>pagado</t>
        </is>
      </c>
      <c r="AD322" s="5">
        <f>L322+N322+P322+R322+T322+V322+X322+Z322</f>
        <v/>
      </c>
      <c r="AE322" s="5">
        <f>IF((LEFT(K322,6))="Contab",L322,0)</f>
        <v/>
      </c>
      <c r="AF322" s="6">
        <f>VLOOKUP(G322,CLIENTES!B:E,4,FALSE)</f>
        <v/>
      </c>
      <c r="AG322" s="5">
        <f>AF322*AE322</f>
        <v/>
      </c>
      <c r="AH322" s="5">
        <f>AD322*1.21</f>
        <v/>
      </c>
      <c r="AI322" s="261">
        <f>IF(AE322&lt;&gt;0,AG322/AD322,"N/A")</f>
        <v/>
      </c>
      <c r="AJ322" s="5">
        <f>IF(AC322="pendiente",AD322,0)</f>
        <v/>
      </c>
      <c r="AK322" s="1">
        <f>VLOOKUP(G322,CLIENTES!B:D,3,FALSE)</f>
        <v/>
      </c>
      <c r="AL322" s="1" t="inlineStr">
        <is>
          <t>OM_Otros</t>
        </is>
      </c>
      <c r="AM322" s="1" t="inlineStr">
        <is>
          <t>Explotación</t>
        </is>
      </c>
    </row>
    <row r="323" ht="15" customHeight="1" s="700">
      <c r="A323" s="1">
        <f>A322+1</f>
        <v/>
      </c>
      <c r="B323" s="26" t="n">
        <v>45846</v>
      </c>
      <c r="C323" s="1" t="inlineStr">
        <is>
          <t>c/ Las Cruzadas 3A, local D</t>
        </is>
      </c>
      <c r="D323" s="1" t="inlineStr">
        <is>
          <t>Sevilla 41004</t>
        </is>
      </c>
      <c r="E323" s="1" t="inlineStr">
        <is>
          <t>CIF B91938662</t>
        </is>
      </c>
      <c r="F323" s="1" t="inlineStr">
        <is>
          <t>aBalados@abalados.es</t>
        </is>
      </c>
      <c r="G323" s="1" t="inlineStr">
        <is>
          <t>FP LUX REIO PV ZARAGOZA SL.</t>
        </is>
      </c>
      <c r="H323" s="1">
        <f>VLOOKUP($G323,DATOS!$B:$E,2,FALSE)</f>
        <v/>
      </c>
      <c r="I323" s="1">
        <f>VLOOKUP($G323,DATOS!$B:$E,3,FALSE)</f>
        <v/>
      </c>
      <c r="J323" s="1">
        <f>VLOOKUP($G323,DATOS!$B:$E,4,FALSE)</f>
        <v/>
      </c>
      <c r="K323" s="1" t="inlineStr">
        <is>
          <t>Proyecto El Marqués - Zaragoza</t>
        </is>
      </c>
      <c r="M323" s="1" t="inlineStr">
        <is>
          <t>Honorarios - Contrato O&amp;M 3º Trimestre 2025</t>
        </is>
      </c>
      <c r="N323" s="5">
        <f>(23574.28356888/3)*(30/31)+(7200*12.33792/12*1.028*1.031*1.061*1.065*1.005)*(1/31)+(7200*12.33792/12*1.028*1.031*1.061*1.065*1.005)*2</f>
        <v/>
      </c>
      <c r="Q323" s="1" t="inlineStr">
        <is>
          <t>O&amp;M Fee - 3Q2025</t>
        </is>
      </c>
      <c r="S323" s="1" t="inlineStr">
        <is>
          <t>Actualización Fee según cláusula Sexta-a</t>
        </is>
      </c>
      <c r="U323" s="1" t="inlineStr">
        <is>
          <t>Fee 7.200€/MWp+IPC aplicable, a fecha 31 de julio de 2025</t>
        </is>
      </c>
      <c r="AB323" s="6" t="inlineStr">
        <is>
          <t>ES85 2080 3509 1130 4009 6171</t>
        </is>
      </c>
      <c r="AC323" s="1" t="inlineStr">
        <is>
          <t>pagado</t>
        </is>
      </c>
      <c r="AD323" s="5">
        <f>L323+N323+P323+R323+T323+V323+X323+Z323</f>
        <v/>
      </c>
      <c r="AE323" s="5">
        <f>IF((LEFT(K323,6))="Contab",L323,0)</f>
        <v/>
      </c>
      <c r="AF323" s="6">
        <f>VLOOKUP(G323,CLIENTES!B:E,4,FALSE)</f>
        <v/>
      </c>
      <c r="AG323" s="5">
        <f>AF323*AE323</f>
        <v/>
      </c>
      <c r="AH323" s="5">
        <f>AD323*1.21</f>
        <v/>
      </c>
      <c r="AI323" s="261">
        <f>IF(AE323&lt;&gt;0,AG323/AD323,"N/A")</f>
        <v/>
      </c>
      <c r="AJ323" s="5">
        <f>IF(AC323="pendiente",AD323,0)</f>
        <v/>
      </c>
      <c r="AK323" s="1">
        <f>VLOOKUP(G323,CLIENTES!B:D,3,FALSE)</f>
        <v/>
      </c>
      <c r="AL323" s="1" t="inlineStr">
        <is>
          <t>OM_Otros</t>
        </is>
      </c>
      <c r="AM323" s="1" t="inlineStr">
        <is>
          <t>Explotación</t>
        </is>
      </c>
    </row>
    <row r="324" ht="15" customHeight="1" s="700">
      <c r="A324" s="1">
        <f>A323+1</f>
        <v/>
      </c>
      <c r="B324" s="26" t="n">
        <v>45846</v>
      </c>
      <c r="C324" s="1" t="inlineStr">
        <is>
          <t>c/ Las Cruzadas 3A, local D</t>
        </is>
      </c>
      <c r="D324" s="1" t="inlineStr">
        <is>
          <t>Sevilla 41004</t>
        </is>
      </c>
      <c r="E324" s="1" t="inlineStr">
        <is>
          <t>CIF B91938662</t>
        </is>
      </c>
      <c r="F324" s="1" t="inlineStr">
        <is>
          <t>aBalados@abalados.es</t>
        </is>
      </c>
      <c r="G324" s="1" t="inlineStr">
        <is>
          <t>FP LUX REIO PV ZARAGOZA SL.</t>
        </is>
      </c>
      <c r="H324" s="1">
        <f>VLOOKUP($G324,DATOS!$B:$E,2,FALSE)</f>
        <v/>
      </c>
      <c r="I324" s="1">
        <f>VLOOKUP($G324,DATOS!$B:$E,3,FALSE)</f>
        <v/>
      </c>
      <c r="J324" s="1">
        <f>VLOOKUP($G324,DATOS!$B:$E,4,FALSE)</f>
        <v/>
      </c>
      <c r="K324" s="1" t="inlineStr">
        <is>
          <t>Servicios extraordinarios - Operación &amp; Mantenimiento</t>
        </is>
      </c>
      <c r="M324" s="1" t="inlineStr">
        <is>
          <t>Oferta 240916 – Installation Bloking system El Marques</t>
        </is>
      </c>
      <c r="Q324" s="1" t="inlineStr">
        <is>
          <t>Option a) Accelerated execution</t>
        </is>
      </c>
      <c r="R324" s="5" t="n">
        <v>37660</v>
      </c>
      <c r="AB324" s="6" t="inlineStr">
        <is>
          <t>ES85 2080 3509 1130 4009 6171</t>
        </is>
      </c>
      <c r="AC324" s="1" t="inlineStr">
        <is>
          <t>pagado</t>
        </is>
      </c>
      <c r="AD324" s="5">
        <f>L324+N324+P324+R324+T324+V324+X324+Z324</f>
        <v/>
      </c>
      <c r="AE324" s="5">
        <f>IF((LEFT(K324,6))="Contab",L324,0)</f>
        <v/>
      </c>
      <c r="AF324" s="6">
        <f>VLOOKUP(G324,CLIENTES!B:E,4,FALSE)</f>
        <v/>
      </c>
      <c r="AG324" s="5">
        <f>AF324*AE324</f>
        <v/>
      </c>
      <c r="AH324" s="5">
        <f>AD324*1.21</f>
        <v/>
      </c>
      <c r="AI324" s="261">
        <f>IF(AE324&lt;&gt;0,AG324/AD324,"N/A")</f>
        <v/>
      </c>
      <c r="AJ324" s="5">
        <f>IF(AC324="pendiente",AD324,0)</f>
        <v/>
      </c>
      <c r="AK324" s="1">
        <f>VLOOKUP(G324,CLIENTES!B:D,3,FALSE)</f>
        <v/>
      </c>
      <c r="AL324" s="1" t="inlineStr">
        <is>
          <t>OM_Otros</t>
        </is>
      </c>
      <c r="AM324" s="1" t="inlineStr">
        <is>
          <t>Extraordinario</t>
        </is>
      </c>
    </row>
    <row r="325" ht="15" customFormat="1" customHeight="1" s="475">
      <c r="A325" s="475">
        <f>A324+1</f>
        <v/>
      </c>
      <c r="B325" s="476" t="n">
        <v>45861</v>
      </c>
      <c r="C325" s="475" t="inlineStr">
        <is>
          <t>c/ Las Cruzadas 3A, local D</t>
        </is>
      </c>
      <c r="D325" s="475" t="inlineStr">
        <is>
          <t>Sevilla 41004</t>
        </is>
      </c>
      <c r="E325" s="475" t="inlineStr">
        <is>
          <t>CIF B91938662</t>
        </is>
      </c>
      <c r="F325" s="475" t="inlineStr">
        <is>
          <t>aBalados@abalados.es</t>
        </is>
      </c>
      <c r="G325" s="475" t="inlineStr">
        <is>
          <t>Saja Renovables, S.L.</t>
        </is>
      </c>
      <c r="H325" s="475">
        <f>VLOOKUP($G325,DATOS!$B:$E,2,FALSE)</f>
        <v/>
      </c>
      <c r="I325" s="475">
        <f>VLOOKUP($G325,DATOS!$B:$E,3,FALSE)</f>
        <v/>
      </c>
      <c r="J325" s="581">
        <f>VLOOKUP($G325,DATOS!$B:$E,4,FALSE)</f>
        <v/>
      </c>
      <c r="K325" s="475" t="inlineStr">
        <is>
          <t>Honorarios - Contrato Operación &amp; Mantenimiento</t>
        </is>
      </c>
      <c r="L325" s="477" t="n"/>
      <c r="M325" s="475" t="inlineStr">
        <is>
          <t>Mantenimiento Correctivo fuera de Franquicia</t>
        </is>
      </c>
      <c r="N325" s="477" t="n"/>
      <c r="O325" s="475" t="inlineStr">
        <is>
          <t>Periodo Julio 2024 - Julio 2025</t>
        </is>
      </c>
      <c r="P325" s="477" t="n">
        <v>10624.93</v>
      </c>
      <c r="R325" s="477" t="n"/>
      <c r="S325" s="475" t="inlineStr">
        <is>
          <t xml:space="preserve">   · PSFV Atarfe I</t>
        </is>
      </c>
      <c r="T325" s="477" t="n"/>
      <c r="U325" s="475" t="inlineStr">
        <is>
          <t xml:space="preserve">   · PSFV Atarfe V</t>
        </is>
      </c>
      <c r="V325" s="477" t="n"/>
      <c r="W325" s="475" t="inlineStr">
        <is>
          <t xml:space="preserve">   · PSFV Moclin I</t>
        </is>
      </c>
      <c r="X325" s="477" t="n"/>
      <c r="Z325" s="477" t="n"/>
      <c r="AA325" s="477" t="n"/>
      <c r="AB325" s="478" t="inlineStr">
        <is>
          <t>ES85 2080 3509 1130 4009 6171</t>
        </is>
      </c>
      <c r="AC325" s="475" t="inlineStr">
        <is>
          <t>pagado</t>
        </is>
      </c>
      <c r="AD325" s="477">
        <f>L325+N325+P325+R325+T325+V325+X325+Z325</f>
        <v/>
      </c>
      <c r="AE325" s="477">
        <f>IF((LEFT(K325,6))="Contab",L325,0)</f>
        <v/>
      </c>
      <c r="AF325" s="478">
        <f>VLOOKUP(G325,CLIENTES!B:E,4,FALSE)</f>
        <v/>
      </c>
      <c r="AG325" s="477">
        <f>AF325*AE325</f>
        <v/>
      </c>
      <c r="AH325" s="477">
        <f>AD325*1.21</f>
        <v/>
      </c>
      <c r="AI325" s="479">
        <f>IF(AE325&lt;&gt;0,AG325/AD325,"N/A")</f>
        <v/>
      </c>
      <c r="AJ325" s="477">
        <f>IF(AC325="pendiente",AD325,0)</f>
        <v/>
      </c>
      <c r="AK325" s="475">
        <f>VLOOKUP(G325,CLIENTES!B:D,3,FALSE)</f>
        <v/>
      </c>
      <c r="AL325" s="475" t="inlineStr">
        <is>
          <t>OM_Otros</t>
        </is>
      </c>
      <c r="AM325" s="475" t="inlineStr">
        <is>
          <t>Extraordinario</t>
        </is>
      </c>
    </row>
    <row r="326" ht="15" customHeight="1" s="700">
      <c r="A326" s="582">
        <f>A325+1</f>
        <v/>
      </c>
      <c r="B326" s="583" t="n">
        <v>45873</v>
      </c>
      <c r="C326" s="1" t="inlineStr">
        <is>
          <t>c/ Las Cruzadas 3A, local D</t>
        </is>
      </c>
      <c r="D326" s="1" t="inlineStr">
        <is>
          <t>Sevilla 41004</t>
        </is>
      </c>
      <c r="E326" s="1" t="inlineStr">
        <is>
          <t>CIF B91938662</t>
        </is>
      </c>
      <c r="F326" s="1" t="inlineStr">
        <is>
          <t>aBalados@abalados.es</t>
        </is>
      </c>
      <c r="G326" s="582" t="inlineStr">
        <is>
          <t xml:space="preserve">SSE RENEWABLES SPAIN, S.L. </t>
        </is>
      </c>
      <c r="H326" s="1">
        <f>VLOOKUP($G326,DATOS!$B:$E,2,FALSE)</f>
        <v/>
      </c>
      <c r="I326" s="1">
        <f>VLOOKUP($G326,DATOS!$B:$E,3,FALSE)</f>
        <v/>
      </c>
      <c r="J326" s="4">
        <f>VLOOKUP($G326,DATOS!$B:$E,4,FALSE)</f>
        <v/>
      </c>
      <c r="K326" s="1" t="inlineStr">
        <is>
          <t>Servicios extraordinarios - Asistencia jurídica</t>
        </is>
      </c>
      <c r="L326" s="5" t="n">
        <v>5775</v>
      </c>
      <c r="O326" s="1" t="inlineStr">
        <is>
          <t>Elaboración de documentos jurídicos privados y gestión documental</t>
        </is>
      </c>
      <c r="Q326" s="1" t="inlineStr">
        <is>
          <t xml:space="preserve">referente a la constitución de ICE Toreccilla, S.L. (letra a y b de la oferta remitida) </t>
        </is>
      </c>
      <c r="AB326" s="6" t="inlineStr">
        <is>
          <t>ES85 2080 3509 1130 4009 6171</t>
        </is>
      </c>
      <c r="AC326" s="1" t="inlineStr">
        <is>
          <t>pagado</t>
        </is>
      </c>
      <c r="AD326" s="5">
        <f>L326+N326+P326+R326+T326+V326+X326+Z326</f>
        <v/>
      </c>
      <c r="AE326" s="5">
        <f>IF((LEFT(K326,6))="Contab",L326,0)</f>
        <v/>
      </c>
      <c r="AF326" s="6">
        <f>VLOOKUP(G326,CLIENTES!B:E,4,FALSE)</f>
        <v/>
      </c>
      <c r="AG326" s="5">
        <f>AF326*AE326</f>
        <v/>
      </c>
      <c r="AH326" s="5">
        <f>AD326*1.21</f>
        <v/>
      </c>
      <c r="AI326" s="261">
        <f>IF(AE326&lt;&gt;0,AG326/AD326,"N/A")</f>
        <v/>
      </c>
      <c r="AJ326" s="5">
        <f>IF(AC326="pendiente",AD326,0)</f>
        <v/>
      </c>
      <c r="AK326" s="1">
        <f>VLOOKUP(G326,CLIENTES!B:D,3,FALSE)</f>
        <v/>
      </c>
      <c r="AL326" s="1" t="inlineStr">
        <is>
          <t>nudos</t>
        </is>
      </c>
      <c r="AM326" s="1" t="inlineStr">
        <is>
          <t>Extraordinario</t>
        </is>
      </c>
    </row>
    <row r="327" ht="15" customHeight="1" s="700">
      <c r="A327" s="1">
        <f>A326+1</f>
        <v/>
      </c>
      <c r="B327" s="26" t="n">
        <v>45873</v>
      </c>
      <c r="C327" s="1" t="inlineStr">
        <is>
          <t>c/ Las Cruzadas 3A, local D</t>
        </is>
      </c>
      <c r="D327" s="1" t="inlineStr">
        <is>
          <t>Sevilla 41004</t>
        </is>
      </c>
      <c r="E327" s="1" t="inlineStr">
        <is>
          <t>CIF B91938662</t>
        </is>
      </c>
      <c r="F327" s="1" t="inlineStr">
        <is>
          <t>aBalados@abalados.es</t>
        </is>
      </c>
      <c r="G327" s="1" t="inlineStr">
        <is>
          <t>Piquito Olé S.L.</t>
        </is>
      </c>
      <c r="H327" s="1">
        <f>VLOOKUP($G327,DATOS!$B:$E,2,FALSE)</f>
        <v/>
      </c>
      <c r="I327" s="1">
        <f>VLOOKUP($G327,DATOS!$B:$E,3,FALSE)</f>
        <v/>
      </c>
      <c r="J327" s="1">
        <f>VLOOKUP($G327,DATOS!$B:$E,4,FALSE)</f>
        <v/>
      </c>
      <c r="K327" s="1" t="inlineStr">
        <is>
          <t>Refacturación gastos y/o servicios prestados a nombre de la sociedad</t>
        </is>
      </c>
      <c r="M327" s="1" t="inlineStr">
        <is>
          <t>Burofax Ascensores Ingar S.A.</t>
        </is>
      </c>
      <c r="N327" s="5" t="n">
        <v>39.44</v>
      </c>
      <c r="AB327" s="6" t="inlineStr">
        <is>
          <t>ES85 2080 3509 1130 4009 6171</t>
        </is>
      </c>
      <c r="AC327" s="1" t="inlineStr">
        <is>
          <t>pagado</t>
        </is>
      </c>
      <c r="AD327" s="5">
        <f>L327+N327+P327+R327+T327+V327+X327+Z327</f>
        <v/>
      </c>
      <c r="AE327" s="5">
        <f>IF((LEFT(K327,6))="Contab",L327,0)</f>
        <v/>
      </c>
      <c r="AF327" s="6">
        <f>VLOOKUP(G327,CLIENTES!B:E,4,FALSE)</f>
        <v/>
      </c>
      <c r="AG327" s="5">
        <f>AF327*AE327</f>
        <v/>
      </c>
      <c r="AH327" s="5">
        <f>AD327*1.21</f>
        <v/>
      </c>
      <c r="AI327" s="261">
        <f>IF(AE327&lt;&gt;0,AG327/AD327,"N/A")</f>
        <v/>
      </c>
      <c r="AJ327" s="5">
        <f>IF(AC327="pendiente",AD327,0)</f>
        <v/>
      </c>
      <c r="AK327" s="1">
        <f>VLOOKUP(G327,CLIENTES!B:D,3,FALSE)</f>
        <v/>
      </c>
      <c r="AL327" s="1" t="n"/>
    </row>
    <row r="328" ht="15" customHeight="1" s="700">
      <c r="A328" s="1">
        <f>A327+1</f>
        <v/>
      </c>
      <c r="B328" s="26" t="n">
        <v>45875</v>
      </c>
      <c r="C328" s="1" t="inlineStr">
        <is>
          <t>c/ Las Cruzadas 3A, local D</t>
        </is>
      </c>
      <c r="D328" s="1" t="inlineStr">
        <is>
          <t>Sevilla 41004</t>
        </is>
      </c>
      <c r="E328" s="1" t="inlineStr">
        <is>
          <t>CIF B91938662</t>
        </is>
      </c>
      <c r="F328" s="1" t="inlineStr">
        <is>
          <t>aBalados@abalados.es</t>
        </is>
      </c>
      <c r="G328" s="1" t="inlineStr">
        <is>
          <t>Sistemas Energeticos Terral, S.L.</t>
        </is>
      </c>
      <c r="H328" s="1">
        <f>VLOOKUP($G328,DATOS!$B:$E,2,FALSE)</f>
        <v/>
      </c>
      <c r="I328" s="1">
        <f>VLOOKUP($G328,DATOS!$B:$E,3,FALSE)</f>
        <v/>
      </c>
      <c r="J328" s="4">
        <f>VLOOKUP($G328,DATOS!$B:$E,4,FALSE)</f>
        <v/>
      </c>
      <c r="K328" s="1" t="inlineStr">
        <is>
          <t>Servicios extraordinarios - Asistencia jurídica</t>
        </is>
      </c>
      <c r="L328" s="5" t="n">
        <v>5775</v>
      </c>
      <c r="O328" s="1" t="inlineStr">
        <is>
          <t>Elaboración de documentos jurídicos privados y gestión documental</t>
        </is>
      </c>
      <c r="Q328" s="1" t="inlineStr">
        <is>
          <t xml:space="preserve">referente a la constitución de ICE Toreccilla, S.L. (letra a y b de la oferta remitida) </t>
        </is>
      </c>
      <c r="AB328" s="6" t="inlineStr">
        <is>
          <t>ES85 2080 3509 1130 4009 6171</t>
        </is>
      </c>
      <c r="AC328" s="1" t="inlineStr">
        <is>
          <t>pagado</t>
        </is>
      </c>
      <c r="AD328" s="5">
        <f>L328+N328+P328+R328+T328+V328+X328+Z328</f>
        <v/>
      </c>
      <c r="AE328" s="5">
        <f>IF((LEFT(K328,6))="Contab",L328,0)</f>
        <v/>
      </c>
      <c r="AF328" s="6">
        <f>VLOOKUP(G328,CLIENTES!B:E,4,FALSE)</f>
        <v/>
      </c>
      <c r="AG328" s="5">
        <f>AF328*AE328</f>
        <v/>
      </c>
      <c r="AH328" s="5">
        <f>AD328*1.21</f>
        <v/>
      </c>
      <c r="AI328" s="261">
        <f>IF(AE328&lt;&gt;0,AG328/AD328,"N/A")</f>
        <v/>
      </c>
      <c r="AJ328" s="5">
        <f>IF(AC328="pendiente",AD328,0)</f>
        <v/>
      </c>
      <c r="AK328" s="1">
        <f>VLOOKUP(G328,CLIENTES!B:D,3,FALSE)</f>
        <v/>
      </c>
      <c r="AL328" s="1" t="inlineStr">
        <is>
          <t>nudos</t>
        </is>
      </c>
      <c r="AM328" s="1" t="inlineStr">
        <is>
          <t>Extraordinario</t>
        </is>
      </c>
    </row>
    <row r="329" ht="15" customFormat="1" customHeight="1" s="258">
      <c r="A329" s="258">
        <f>A328+1</f>
        <v/>
      </c>
      <c r="B329" s="299" t="n">
        <v>45929</v>
      </c>
      <c r="C329" s="258" t="inlineStr">
        <is>
          <t>c/ Las Cruzadas 3A, local D</t>
        </is>
      </c>
      <c r="D329" s="258" t="inlineStr">
        <is>
          <t>Sevilla 41004</t>
        </is>
      </c>
      <c r="E329" s="258" t="inlineStr">
        <is>
          <t>CIF B91938662</t>
        </is>
      </c>
      <c r="F329" s="258" t="inlineStr">
        <is>
          <t>aBalados@abalados.es</t>
        </is>
      </c>
      <c r="G329" s="258" t="inlineStr">
        <is>
          <t>Valcabado Renovables 220 kV, S.L.</t>
        </is>
      </c>
      <c r="H329" s="258">
        <f>VLOOKUP($G329,DATOS!$B:$E,2,FALSE)</f>
        <v/>
      </c>
      <c r="I329" s="258">
        <f>VLOOKUP($G329,DATOS!$B:$E,3,FALSE)</f>
        <v/>
      </c>
      <c r="J329" s="568">
        <f>VLOOKUP($G329,DATOS!$B:$E,4,FALSE)</f>
        <v/>
      </c>
      <c r="K329" s="258" t="inlineStr">
        <is>
          <t>Contrato de Asset Management - Subestación Valcabado</t>
        </is>
      </c>
      <c r="L329" s="259" t="n"/>
      <c r="N329" s="259" t="n"/>
      <c r="O329" s="258" t="inlineStr">
        <is>
          <t>Fee Trimestral - 01 Julio/30 Septiembre 2025</t>
        </is>
      </c>
      <c r="P329" s="259">
        <f>3* 2898*1.098*1.033*1.032*1.023</f>
        <v/>
      </c>
      <c r="R329" s="259" t="n"/>
      <c r="T329" s="259" t="n"/>
      <c r="V329" s="259" t="n"/>
      <c r="X329" s="259" t="n"/>
      <c r="Z329" s="259" t="n"/>
      <c r="AA329" s="259" t="n"/>
      <c r="AB329" s="260" t="inlineStr">
        <is>
          <t>ES85 2080 3509 1130 4009 6171</t>
        </is>
      </c>
      <c r="AC329" s="258" t="inlineStr">
        <is>
          <t>pagado</t>
        </is>
      </c>
      <c r="AD329" s="259">
        <f>L329+N329+P329+R329+T329+V329+X329+Z329</f>
        <v/>
      </c>
      <c r="AE329" s="259">
        <f>IF((LEFT(K329,6))="Contab",L329,0)</f>
        <v/>
      </c>
      <c r="AF329" s="260">
        <f>VLOOKUP(G329,CLIENTES!B:E,4,FALSE)</f>
        <v/>
      </c>
      <c r="AG329" s="259">
        <f>AF329*AE329</f>
        <v/>
      </c>
      <c r="AH329" s="259">
        <f>AD329*1.21</f>
        <v/>
      </c>
      <c r="AI329" s="264">
        <f>IF(AE329&lt;&gt;0,AG329/AD329,"N/A")</f>
        <v/>
      </c>
      <c r="AJ329" s="259">
        <f>IF(AC329="pendiente",AD329,0)</f>
        <v/>
      </c>
      <c r="AK329" s="258">
        <f>VLOOKUP(G329,CLIENTES!B:D,3,FALSE)</f>
        <v/>
      </c>
      <c r="AL329" s="258" t="inlineStr">
        <is>
          <t>nudos</t>
        </is>
      </c>
      <c r="AM329" s="258" t="inlineStr">
        <is>
          <t>Explotación</t>
        </is>
      </c>
    </row>
    <row r="330" ht="15" customHeight="1" s="700">
      <c r="A330" s="1">
        <f>A329+1</f>
        <v/>
      </c>
      <c r="B330" s="26" t="n">
        <v>45929</v>
      </c>
      <c r="C330" s="1" t="inlineStr">
        <is>
          <t>c/ Las Cruzadas 3A, local D</t>
        </is>
      </c>
      <c r="D330" s="1" t="inlineStr">
        <is>
          <t>Sevilla 41004</t>
        </is>
      </c>
      <c r="E330" s="1" t="inlineStr">
        <is>
          <t>CIF B91938662</t>
        </is>
      </c>
      <c r="F330" s="1" t="inlineStr">
        <is>
          <t>aBalados@abalados.es</t>
        </is>
      </c>
      <c r="G330" s="1" t="inlineStr">
        <is>
          <t>Grijota Renovables, S.L.</t>
        </is>
      </c>
      <c r="H330" s="1">
        <f>VLOOKUP($G330,DATOS!$B:$E,2,FALSE)</f>
        <v/>
      </c>
      <c r="I330" s="1">
        <f>VLOOKUP($G330,DATOS!$B:$E,3,FALSE)</f>
        <v/>
      </c>
      <c r="J330" s="4">
        <f>VLOOKUP($G330,DATOS!$B:$E,4,FALSE)</f>
        <v/>
      </c>
      <c r="K330" s="1" t="inlineStr">
        <is>
          <t>Contrato de Asset Management - Subestación Grijota</t>
        </is>
      </c>
      <c r="O330" s="1" t="inlineStr">
        <is>
          <t>Fee Trimestral - 01 Julio/30 Septiembre 2025</t>
        </is>
      </c>
      <c r="P330" s="5">
        <f>2955*1.108*1.023*1.028*(11/31)+2955*1.108*1.023*1.028*1.027*(20/31)  +  2 * 2955*1.108*1.023*1.028*1.027</f>
        <v/>
      </c>
      <c r="Q330" s="1" t="inlineStr">
        <is>
          <t>Fee aplicable Explotación (2.955€/mes): Inicio en 26 Mayo 2025</t>
        </is>
      </c>
      <c r="S330" s="1" t="inlineStr">
        <is>
          <t>Regularización Fee Explotación (26 Mayo - 30 Junio 2025)</t>
        </is>
      </c>
      <c r="T330" s="5">
        <f>(6/31)*(2955-1035)*1.108*1.023*1.028  +  (2955-1035)*1.108*1.023*1.028</f>
        <v/>
      </c>
      <c r="W330" s="1" t="inlineStr">
        <is>
          <t>Tasa actualización IPC General (Julio 2024 - Julio 2025): 2,7%</t>
        </is>
      </c>
      <c r="Y330" s="1" t="inlineStr">
        <is>
          <t>Fecha actualización: 12 Julio</t>
        </is>
      </c>
      <c r="AB330" s="6" t="inlineStr">
        <is>
          <t>ES85 2080 3509 1130 4009 6171</t>
        </is>
      </c>
      <c r="AC330" s="1" t="inlineStr">
        <is>
          <t>pendiente</t>
        </is>
      </c>
      <c r="AD330" s="5">
        <f>L330+N330+P330+R330+T330+V330+X330+Z330</f>
        <v/>
      </c>
      <c r="AE330" s="5">
        <f>IF((LEFT(K330,6))="Contab",L330,0)</f>
        <v/>
      </c>
      <c r="AF330" s="6">
        <f>VLOOKUP(G330,CLIENTES!B:E,4,FALSE)</f>
        <v/>
      </c>
      <c r="AG330" s="5">
        <f>AF330*AE330</f>
        <v/>
      </c>
      <c r="AH330" s="5">
        <f>AD330*1.21</f>
        <v/>
      </c>
      <c r="AI330" s="261">
        <f>IF(AE330&lt;&gt;0,AG330/AD330,"N/A")</f>
        <v/>
      </c>
      <c r="AJ330" s="5">
        <f>IF(AC330="pendiente",AD330,0)</f>
        <v/>
      </c>
      <c r="AK330" s="1">
        <f>VLOOKUP(G330,CLIENTES!B:D,3,FALSE)</f>
        <v/>
      </c>
      <c r="AL330" s="1" t="inlineStr">
        <is>
          <t>nudos</t>
        </is>
      </c>
      <c r="AM330" s="1" t="inlineStr">
        <is>
          <t>Explotación</t>
        </is>
      </c>
    </row>
    <row r="331" ht="15" customHeight="1" s="700">
      <c r="A331" s="1">
        <f>A330+1</f>
        <v/>
      </c>
      <c r="B331" s="26" t="n">
        <v>45929</v>
      </c>
      <c r="C331" s="1" t="inlineStr">
        <is>
          <t>c/ Las Cruzadas 3A, local D</t>
        </is>
      </c>
      <c r="D331" s="1" t="inlineStr">
        <is>
          <t>Sevilla 41004</t>
        </is>
      </c>
      <c r="E331" s="1" t="inlineStr">
        <is>
          <t>CIF B91938662</t>
        </is>
      </c>
      <c r="F331" s="1" t="inlineStr">
        <is>
          <t>aBalados@abalados.es</t>
        </is>
      </c>
      <c r="G331" s="1" t="inlineStr">
        <is>
          <t>Cubillos Renovables, S.L.</t>
        </is>
      </c>
      <c r="H331" s="1">
        <f>VLOOKUP($G331,DATOS!$B:$E,2,FALSE)</f>
        <v/>
      </c>
      <c r="I331" s="1">
        <f>VLOOKUP($G331,DATOS!$B:$E,3,FALSE)</f>
        <v/>
      </c>
      <c r="J331" s="4">
        <f>VLOOKUP($G331,DATOS!$B:$E,4,FALSE)</f>
        <v/>
      </c>
      <c r="K331" s="1" t="inlineStr">
        <is>
          <t>Contrato de Asset Management - Subestación Majuelo</t>
        </is>
      </c>
      <c r="O331" s="1" t="inlineStr">
        <is>
          <t>Fee Trimestral - 01 Julio/30 Septiembre 2025</t>
        </is>
      </c>
      <c r="P331" s="5">
        <f>1* 2898*1.105*1.026*1.023  +  2* 2898*1.105*1.026*1.023*1.027</f>
        <v/>
      </c>
      <c r="Q331" s="1" t="inlineStr">
        <is>
          <t>Tasa actualización IPC General (Agosto 2024 - Agosto 2025): 2,7%</t>
        </is>
      </c>
      <c r="S331" s="1" t="inlineStr">
        <is>
          <t>Fecha actualización: 1 Agosto</t>
        </is>
      </c>
      <c r="AB331" s="6" t="inlineStr">
        <is>
          <t>ES85 2080 3509 1130 4009 6171</t>
        </is>
      </c>
      <c r="AC331" s="1" t="inlineStr">
        <is>
          <t>pendiente</t>
        </is>
      </c>
      <c r="AD331" s="5">
        <f>L331+N331+P331+R331+T331+V331+X331+Z331</f>
        <v/>
      </c>
      <c r="AE331" s="5">
        <f>IF((LEFT(K331,6))="Contab",L331,0)</f>
        <v/>
      </c>
      <c r="AF331" s="6">
        <f>VLOOKUP(G331,CLIENTES!B:E,4,FALSE)</f>
        <v/>
      </c>
      <c r="AG331" s="5">
        <f>AF331*AE331</f>
        <v/>
      </c>
      <c r="AH331" s="5">
        <f>AD331*1.21</f>
        <v/>
      </c>
      <c r="AI331" s="261">
        <f>IF(AE331&lt;&gt;0,AG331/AD331,"N/A")</f>
        <v/>
      </c>
      <c r="AJ331" s="5">
        <f>IF(AC331="pendiente",AD331,0)</f>
        <v/>
      </c>
      <c r="AK331" s="1">
        <f>VLOOKUP(G331,CLIENTES!B:D,3,FALSE)</f>
        <v/>
      </c>
      <c r="AL331" s="1" t="inlineStr">
        <is>
          <t>nudos</t>
        </is>
      </c>
      <c r="AM331" s="1" t="inlineStr">
        <is>
          <t>Explotación</t>
        </is>
      </c>
    </row>
    <row r="332" ht="15" customHeight="1" s="700">
      <c r="A332" s="1">
        <f>A331+1</f>
        <v/>
      </c>
      <c r="B332" s="26" t="n">
        <v>45929</v>
      </c>
      <c r="C332" s="1" t="inlineStr">
        <is>
          <t>c/ Las Cruzadas 3A, local D</t>
        </is>
      </c>
      <c r="D332" s="1" t="inlineStr">
        <is>
          <t>Sevilla 41004</t>
        </is>
      </c>
      <c r="E332" s="1" t="inlineStr">
        <is>
          <t>CIF B91938662</t>
        </is>
      </c>
      <c r="F332" s="1" t="inlineStr">
        <is>
          <t>aBalados@abalados.es</t>
        </is>
      </c>
      <c r="G332" s="1" t="inlineStr">
        <is>
          <t>Tordesillas Renovables, S.L.</t>
        </is>
      </c>
      <c r="H332" s="1">
        <f>VLOOKUP($G332,DATOS!$B:$E,2,FALSE)</f>
        <v/>
      </c>
      <c r="I332" s="1">
        <f>VLOOKUP($G332,DATOS!$B:$E,3,FALSE)</f>
        <v/>
      </c>
      <c r="J332" s="4">
        <f>VLOOKUP($G332,DATOS!$B:$E,4,FALSE)</f>
        <v/>
      </c>
      <c r="K332" s="1" t="inlineStr">
        <is>
          <t>Contrato de Asset Management - Subestación Tordesillas</t>
        </is>
      </c>
      <c r="O332" s="1" t="inlineStr">
        <is>
          <t>Fee Trimestral - 01 Julio/30 Septiembre 2025</t>
        </is>
      </c>
      <c r="P332" s="5">
        <f>3* 1200*1.073*1.035*1.018</f>
        <v/>
      </c>
      <c r="AB332" s="6" t="inlineStr">
        <is>
          <t>ES85 2080 3509 1130 4009 6171</t>
        </is>
      </c>
      <c r="AC332" s="1" t="inlineStr">
        <is>
          <t>pagado</t>
        </is>
      </c>
      <c r="AD332" s="5">
        <f>L332+N332+P332+R332+T332+V332+X332+Z332</f>
        <v/>
      </c>
      <c r="AE332" s="5">
        <f>IF((LEFT(K332,6))="Contab",L332,0)</f>
        <v/>
      </c>
      <c r="AF332" s="6">
        <f>VLOOKUP(G332,CLIENTES!B:E,4,FALSE)</f>
        <v/>
      </c>
      <c r="AG332" s="5">
        <f>AF332*AE332</f>
        <v/>
      </c>
      <c r="AH332" s="5">
        <f>AD332*1.21</f>
        <v/>
      </c>
      <c r="AI332" s="261">
        <f>IF(AE332&lt;&gt;0,AG332/AD332,"N/A")</f>
        <v/>
      </c>
      <c r="AJ332" s="5">
        <f>IF(AC332="pendiente",AD332,0)</f>
        <v/>
      </c>
      <c r="AK332" s="1">
        <f>VLOOKUP(G332,CLIENTES!B:D,3,FALSE)</f>
        <v/>
      </c>
      <c r="AL332" s="1" t="inlineStr">
        <is>
          <t>nudos</t>
        </is>
      </c>
      <c r="AM332" s="1" t="inlineStr">
        <is>
          <t>Promoción</t>
        </is>
      </c>
    </row>
    <row r="333" ht="15" customHeight="1" s="700">
      <c r="A333" s="1">
        <f>A332+1</f>
        <v/>
      </c>
      <c r="B333" s="26" t="n">
        <v>45929</v>
      </c>
      <c r="C333" s="1" t="inlineStr">
        <is>
          <t>c/ Las Cruzadas 3A, local D</t>
        </is>
      </c>
      <c r="D333" s="1" t="inlineStr">
        <is>
          <t>Sevilla 41004</t>
        </is>
      </c>
      <c r="E333" s="1" t="inlineStr">
        <is>
          <t>CIF B91938662</t>
        </is>
      </c>
      <c r="F333" s="1" t="inlineStr">
        <is>
          <t>aBalados@abalados.es</t>
        </is>
      </c>
      <c r="G333" s="1" t="inlineStr">
        <is>
          <t>Monte Reina Renovables, S.L.</t>
        </is>
      </c>
      <c r="H333" s="1">
        <f>VLOOKUP($G333,DATOS!$B:$E,2,FALSE)</f>
        <v/>
      </c>
      <c r="I333" s="1">
        <f>VLOOKUP($G333,DATOS!$B:$E,3,FALSE)</f>
        <v/>
      </c>
      <c r="J333" s="4">
        <f>VLOOKUP($G333,DATOS!$B:$E,4,FALSE)</f>
        <v/>
      </c>
      <c r="K333" s="1" t="inlineStr">
        <is>
          <t>Contrato de Asset Management - Subestación Valdecarretas</t>
        </is>
      </c>
      <c r="O333" s="1" t="inlineStr">
        <is>
          <t>Fee Trimestral - 01 Julio/30 Septiembre 2025</t>
        </is>
      </c>
      <c r="P333" s="5">
        <f>3* 1380*1.073*1.035*1.018</f>
        <v/>
      </c>
      <c r="AB333" s="6" t="inlineStr">
        <is>
          <t>ES85 2080 3509 1130 4009 6171</t>
        </is>
      </c>
      <c r="AC333" s="1" t="inlineStr">
        <is>
          <t>pagado</t>
        </is>
      </c>
      <c r="AD333" s="5">
        <f>L333+N333+P333+R333+T333+V333+X333+Z333</f>
        <v/>
      </c>
      <c r="AE333" s="5">
        <f>IF((LEFT(K333,6))="Contab",L333,0)</f>
        <v/>
      </c>
      <c r="AF333" s="6">
        <f>VLOOKUP(G333,CLIENTES!B:E,4,FALSE)</f>
        <v/>
      </c>
      <c r="AG333" s="5">
        <f>AF333*AE333</f>
        <v/>
      </c>
      <c r="AH333" s="5">
        <f>AD333*1.21</f>
        <v/>
      </c>
      <c r="AI333" s="261">
        <f>IF(AE333&lt;&gt;0,AG333/AD333,"N/A")</f>
        <v/>
      </c>
      <c r="AJ333" s="5">
        <f>IF(AC333="pendiente",AD333,0)</f>
        <v/>
      </c>
      <c r="AK333" s="1">
        <f>VLOOKUP(G333,CLIENTES!B:D,3,FALSE)</f>
        <v/>
      </c>
      <c r="AL333" s="1" t="inlineStr">
        <is>
          <t>nudos</t>
        </is>
      </c>
      <c r="AM333" s="1" t="inlineStr">
        <is>
          <t>Promoción</t>
        </is>
      </c>
    </row>
    <row r="334" ht="15" customHeight="1" s="700">
      <c r="A334" s="1">
        <f>A333+1</f>
        <v/>
      </c>
      <c r="B334" s="26" t="n">
        <v>45929</v>
      </c>
      <c r="C334" s="1" t="inlineStr">
        <is>
          <t>c/ Las Cruzadas 3A, local D</t>
        </is>
      </c>
      <c r="D334" s="1" t="inlineStr">
        <is>
          <t>Sevilla 41004</t>
        </is>
      </c>
      <c r="E334" s="1" t="inlineStr">
        <is>
          <t>CIF B91938662</t>
        </is>
      </c>
      <c r="F334" s="1" t="inlineStr">
        <is>
          <t>aBalados@abalados.es</t>
        </is>
      </c>
      <c r="G334" s="1" t="inlineStr">
        <is>
          <t>Herrera Renovables 400, A.I.E.</t>
        </is>
      </c>
      <c r="H334" s="1">
        <f>VLOOKUP($G334,DATOS!$B:$E,2,FALSE)</f>
        <v/>
      </c>
      <c r="I334" s="1">
        <f>VLOOKUP($G334,DATOS!$B:$E,3,FALSE)</f>
        <v/>
      </c>
      <c r="J334" s="4">
        <f>VLOOKUP($G334,DATOS!$B:$E,4,FALSE)</f>
        <v/>
      </c>
      <c r="K334" s="1" t="inlineStr">
        <is>
          <t>Contrato de Asset Management - Subestación Herrera</t>
        </is>
      </c>
      <c r="O334" s="1" t="inlineStr">
        <is>
          <t>Fee Trimestral - 01 Julio/30 Septiembre 2025</t>
        </is>
      </c>
      <c r="P334" s="5">
        <f>3* 1250*1.068*1.032*1.024</f>
        <v/>
      </c>
      <c r="AB334" s="6" t="inlineStr">
        <is>
          <t>ES85 2080 3509 1130 4009 6171</t>
        </is>
      </c>
      <c r="AC334" s="1" t="inlineStr">
        <is>
          <t>pendiente</t>
        </is>
      </c>
      <c r="AD334" s="5">
        <f>L334+N334+P334+R334+T334+V334+X334+Z334</f>
        <v/>
      </c>
      <c r="AE334" s="5">
        <f>IF((LEFT(K334,6))="Contab",L334,0)</f>
        <v/>
      </c>
      <c r="AF334" s="6">
        <f>VLOOKUP(G334,CLIENTES!B:E,4,FALSE)</f>
        <v/>
      </c>
      <c r="AG334" s="5">
        <f>AF334*AE334</f>
        <v/>
      </c>
      <c r="AH334" s="5">
        <f>AD334*1.21</f>
        <v/>
      </c>
      <c r="AI334" s="261">
        <f>IF(AE334&lt;&gt;0,AG334/AD334,"N/A")</f>
        <v/>
      </c>
      <c r="AJ334" s="5">
        <f>IF(AC334="pendiente",AD334,0)</f>
        <v/>
      </c>
      <c r="AK334" s="1">
        <f>VLOOKUP(G334,CLIENTES!B:D,3,FALSE)</f>
        <v/>
      </c>
      <c r="AL334" s="1" t="inlineStr">
        <is>
          <t>nudos</t>
        </is>
      </c>
      <c r="AM334" s="1" t="inlineStr">
        <is>
          <t>Promoción</t>
        </is>
      </c>
    </row>
    <row r="335" ht="15" customHeight="1" s="700">
      <c r="A335" s="1">
        <f>A334+1</f>
        <v/>
      </c>
      <c r="B335" s="26" t="n">
        <v>45929</v>
      </c>
      <c r="C335" s="1" t="inlineStr">
        <is>
          <t>c/ Las Cruzadas 3A, local D</t>
        </is>
      </c>
      <c r="D335" s="1" t="inlineStr">
        <is>
          <t>Sevilla 41004</t>
        </is>
      </c>
      <c r="E335" s="1" t="inlineStr">
        <is>
          <t>CIF B91938662</t>
        </is>
      </c>
      <c r="F335" s="1" t="inlineStr">
        <is>
          <t>aBalados@abalados.es</t>
        </is>
      </c>
      <c r="G335" s="1" t="inlineStr">
        <is>
          <t>Gazules Renovables, S.L.</t>
        </is>
      </c>
      <c r="H335" s="1">
        <f>VLOOKUP($G335,DATOS!$B:$E,2,FALSE)</f>
        <v/>
      </c>
      <c r="I335" s="1">
        <f>VLOOKUP($G335,DATOS!$B:$E,3,FALSE)</f>
        <v/>
      </c>
      <c r="J335" s="4">
        <f>VLOOKUP($G335,DATOS!$B:$E,4,FALSE)</f>
        <v/>
      </c>
      <c r="K335" s="1" t="inlineStr">
        <is>
          <t>Contrato de Asset Management - Subestación Gazules</t>
        </is>
      </c>
      <c r="O335" s="1" t="inlineStr">
        <is>
          <t>Fee Trimestral - 01 Julio/30 Septiembre 2025</t>
        </is>
      </c>
      <c r="P335" s="5">
        <f>3* 2900*1.068*1.032*1.024</f>
        <v/>
      </c>
      <c r="AB335" s="6" t="inlineStr">
        <is>
          <t>ES85 2080 3509 1130 4009 6171</t>
        </is>
      </c>
      <c r="AC335" s="1" t="inlineStr">
        <is>
          <t>pendiente</t>
        </is>
      </c>
      <c r="AD335" s="5">
        <f>L335+N335+P335+R335+T335+V335+X335+Z335</f>
        <v/>
      </c>
      <c r="AE335" s="5">
        <f>IF((LEFT(K335,6))="Contab",L335,0)</f>
        <v/>
      </c>
      <c r="AF335" s="6">
        <f>VLOOKUP(G335,CLIENTES!B:E,4,FALSE)</f>
        <v/>
      </c>
      <c r="AG335" s="5">
        <f>AF335*AE335</f>
        <v/>
      </c>
      <c r="AH335" s="5">
        <f>AD335*1.21</f>
        <v/>
      </c>
      <c r="AI335" s="261">
        <f>IF(AE335&lt;&gt;0,AG335/AD335,"N/A")</f>
        <v/>
      </c>
      <c r="AJ335" s="5">
        <f>IF(AC335="pendiente",AD335,0)</f>
        <v/>
      </c>
      <c r="AK335" s="1">
        <f>VLOOKUP(G335,CLIENTES!B:D,3,FALSE)</f>
        <v/>
      </c>
      <c r="AL335" s="1" t="inlineStr">
        <is>
          <t>nudos</t>
        </is>
      </c>
      <c r="AM335" s="1" t="inlineStr">
        <is>
          <t>Explotación</t>
        </is>
      </c>
    </row>
    <row r="336" ht="15" customHeight="1" s="700">
      <c r="A336" s="1">
        <f>A335+1</f>
        <v/>
      </c>
      <c r="B336" s="26" t="n">
        <v>45929</v>
      </c>
      <c r="C336" s="1" t="inlineStr">
        <is>
          <t>c/ Las Cruzadas 3A, local D</t>
        </is>
      </c>
      <c r="D336" s="1" t="inlineStr">
        <is>
          <t>Sevilla 41004</t>
        </is>
      </c>
      <c r="E336" s="1" t="inlineStr">
        <is>
          <t>CIF B91938662</t>
        </is>
      </c>
      <c r="F336" s="1" t="inlineStr">
        <is>
          <t>aBalados@abalados.es</t>
        </is>
      </c>
      <c r="G336" s="1" t="inlineStr">
        <is>
          <t>Evacuación Tordesillas 400 kV, S.L.</t>
        </is>
      </c>
      <c r="H336" s="1">
        <f>VLOOKUP($G336,DATOS!$B:$E,2,FALSE)</f>
        <v/>
      </c>
      <c r="I336" s="1">
        <f>VLOOKUP($G336,DATOS!$B:$E,3,FALSE)</f>
        <v/>
      </c>
      <c r="J336" s="4">
        <f>VLOOKUP($G336,DATOS!$B:$E,4,FALSE)</f>
        <v/>
      </c>
      <c r="K336" s="1" t="inlineStr">
        <is>
          <t>Contrato de Asset Management - LAAT T2 (Tordesillas)</t>
        </is>
      </c>
      <c r="O336" s="1" t="inlineStr">
        <is>
          <t>Fee Trimestral - 01 Julio/30 Septiembre 2025</t>
        </is>
      </c>
      <c r="P336" s="5">
        <f>3* 1200*1.059*1.034*1.029</f>
        <v/>
      </c>
      <c r="AB336" s="6" t="inlineStr">
        <is>
          <t>ES85 2080 3509 1130 4009 6171</t>
        </is>
      </c>
      <c r="AC336" s="1" t="inlineStr">
        <is>
          <t>pendiente</t>
        </is>
      </c>
      <c r="AD336" s="5">
        <f>L336+N336+P336+R336+T336+V336+X336+Z336</f>
        <v/>
      </c>
      <c r="AE336" s="5">
        <f>IF((LEFT(K336,6))="Contab",L336,0)</f>
        <v/>
      </c>
      <c r="AF336" s="6">
        <f>VLOOKUP(G336,CLIENTES!B:E,4,FALSE)</f>
        <v/>
      </c>
      <c r="AG336" s="5">
        <f>AF336*AE336</f>
        <v/>
      </c>
      <c r="AH336" s="5">
        <f>AD336*1.21</f>
        <v/>
      </c>
      <c r="AI336" s="261">
        <f>IF(AE336&lt;&gt;0,AG336/AD336,"N/A")</f>
        <v/>
      </c>
      <c r="AJ336" s="5">
        <f>IF(AC336="pendiente",AD336,0)</f>
        <v/>
      </c>
      <c r="AK336" s="1">
        <f>VLOOKUP(G336,CLIENTES!B:D,3,FALSE)</f>
        <v/>
      </c>
      <c r="AL336" s="1" t="inlineStr">
        <is>
          <t>nudos</t>
        </is>
      </c>
      <c r="AM336" s="1" t="inlineStr">
        <is>
          <t>Promoción</t>
        </is>
      </c>
    </row>
    <row r="337" ht="15" customHeight="1" s="700">
      <c r="A337" s="1">
        <f>A336+1</f>
        <v/>
      </c>
      <c r="B337" s="26" t="n">
        <v>45929</v>
      </c>
      <c r="C337" s="1" t="inlineStr">
        <is>
          <t>c/ Las Cruzadas 3A, local D</t>
        </is>
      </c>
      <c r="D337" s="1" t="inlineStr">
        <is>
          <t>Sevilla 41004</t>
        </is>
      </c>
      <c r="E337" s="1" t="inlineStr">
        <is>
          <t>CIF B91938662</t>
        </is>
      </c>
      <c r="F337" s="1" t="inlineStr">
        <is>
          <t>aBalados@abalados.es</t>
        </is>
      </c>
      <c r="G337" s="1" t="inlineStr">
        <is>
          <t>Energías Limpias de Carmona, S.L.</t>
        </is>
      </c>
      <c r="H337" s="1">
        <f>VLOOKUP($G337,DATOS!$B:$E,2,FALSE)</f>
        <v/>
      </c>
      <c r="I337" s="1">
        <f>VLOOKUP($G337,DATOS!$B:$E,3,FALSE)</f>
        <v/>
      </c>
      <c r="J337" s="4">
        <f>VLOOKUP($G337,DATOS!$B:$E,4,FALSE)</f>
        <v/>
      </c>
      <c r="K337" s="1" t="inlineStr">
        <is>
          <t>Contrato de Asset Management - Subestación Carmona220</t>
        </is>
      </c>
      <c r="O337" s="1" t="inlineStr">
        <is>
          <t>Fee Trimestral - 01 Julio/30 Septiembre 2025</t>
        </is>
      </c>
      <c r="P337" s="5">
        <f>3* 1250*1.06*1.028*1.03</f>
        <v/>
      </c>
      <c r="AB337" s="6" t="inlineStr">
        <is>
          <t>ES85 2080 3509 1130 4009 6171</t>
        </is>
      </c>
      <c r="AC337" s="1" t="inlineStr">
        <is>
          <t>pagado</t>
        </is>
      </c>
      <c r="AD337" s="5">
        <f>L337+N337+P337+R337+T337+V337+X337+Z337</f>
        <v/>
      </c>
      <c r="AE337" s="5">
        <f>IF((LEFT(K337,6))="Contab",L337,0)</f>
        <v/>
      </c>
      <c r="AF337" s="6">
        <f>VLOOKUP(G337,CLIENTES!B:E,4,FALSE)</f>
        <v/>
      </c>
      <c r="AG337" s="5">
        <f>AF337*AE337</f>
        <v/>
      </c>
      <c r="AH337" s="5">
        <f>AD337*1.21</f>
        <v/>
      </c>
      <c r="AI337" s="261">
        <f>IF(AE337&lt;&gt;0,AG337/AD337,"N/A")</f>
        <v/>
      </c>
      <c r="AJ337" s="5">
        <f>IF(AC337="pendiente",AD337,0)</f>
        <v/>
      </c>
      <c r="AK337" s="1">
        <f>VLOOKUP(G337,CLIENTES!B:D,3,FALSE)</f>
        <v/>
      </c>
      <c r="AL337" s="1" t="inlineStr">
        <is>
          <t>nudos</t>
        </is>
      </c>
      <c r="AM337" s="1" t="inlineStr">
        <is>
          <t>Promoción</t>
        </is>
      </c>
    </row>
    <row r="338" ht="15" customHeight="1" s="700">
      <c r="A338" s="1">
        <f>A337+1</f>
        <v/>
      </c>
      <c r="B338" s="26" t="n">
        <v>45929</v>
      </c>
      <c r="C338" s="1" t="inlineStr">
        <is>
          <t>c/ Las Cruzadas 3A, local D</t>
        </is>
      </c>
      <c r="D338" s="1" t="inlineStr">
        <is>
          <t>Sevilla 41004</t>
        </is>
      </c>
      <c r="E338" s="1" t="inlineStr">
        <is>
          <t>CIF B91938662</t>
        </is>
      </c>
      <c r="F338" s="1" t="inlineStr">
        <is>
          <t>aBalados@abalados.es</t>
        </is>
      </c>
      <c r="G338" s="1" t="inlineStr">
        <is>
          <t>Martinez Montes Tordesillas, S.L.</t>
        </is>
      </c>
      <c r="H338" s="1">
        <f>VLOOKUP($G338,DATOS!$B:$E,2,FALSE)</f>
        <v/>
      </c>
      <c r="I338" s="1">
        <f>VLOOKUP($G338,DATOS!$B:$E,3,FALSE)</f>
        <v/>
      </c>
      <c r="J338" s="4">
        <f>VLOOKUP($G338,DATOS!$B:$E,4,FALSE)</f>
        <v/>
      </c>
      <c r="K338" s="1" t="inlineStr">
        <is>
          <t>Contrato de Asset Management - Subestación Martínez Montes (Tordesillas)</t>
        </is>
      </c>
      <c r="O338" s="1" t="inlineStr">
        <is>
          <t>Fee Trimestral - 01 Julio/30 Septiembre 2025</t>
        </is>
      </c>
      <c r="P338" s="5">
        <f>3* 1200*1.06*1.028*1.03</f>
        <v/>
      </c>
      <c r="AB338" s="6" t="inlineStr">
        <is>
          <t>ES85 2080 3509 1130 4009 6171</t>
        </is>
      </c>
      <c r="AC338" s="1" t="inlineStr">
        <is>
          <t>pagado</t>
        </is>
      </c>
      <c r="AD338" s="5">
        <f>L338+N338+P338+R338+T338+V338+X338+Z338</f>
        <v/>
      </c>
      <c r="AE338" s="5">
        <f>IF((LEFT(K338,6))="Contab",L338,0)</f>
        <v/>
      </c>
      <c r="AF338" s="6">
        <f>VLOOKUP(G338,CLIENTES!B:E,4,FALSE)</f>
        <v/>
      </c>
      <c r="AG338" s="5">
        <f>AF338*AE338</f>
        <v/>
      </c>
      <c r="AH338" s="5">
        <f>AD338*1.21</f>
        <v/>
      </c>
      <c r="AI338" s="261">
        <f>IF(AE338&lt;&gt;0,AG338/AD338,"N/A")</f>
        <v/>
      </c>
      <c r="AJ338" s="5">
        <f>IF(AC338="pendiente",AD338,0)</f>
        <v/>
      </c>
      <c r="AK338" s="1">
        <f>VLOOKUP(G338,CLIENTES!B:D,3,FALSE)</f>
        <v/>
      </c>
      <c r="AL338" s="1" t="inlineStr">
        <is>
          <t>nudos</t>
        </is>
      </c>
      <c r="AM338" s="1" t="inlineStr">
        <is>
          <t>Promoción</t>
        </is>
      </c>
    </row>
    <row r="339" ht="15" customHeight="1" s="700">
      <c r="A339" s="1">
        <f>A338+1</f>
        <v/>
      </c>
      <c r="B339" s="26" t="n">
        <v>45929</v>
      </c>
      <c r="C339" s="1" t="inlineStr">
        <is>
          <t>c/ Las Cruzadas 3A, local D</t>
        </is>
      </c>
      <c r="D339" s="1" t="inlineStr">
        <is>
          <t>Sevilla 41004</t>
        </is>
      </c>
      <c r="E339" s="1" t="inlineStr">
        <is>
          <t>CIF B91938662</t>
        </is>
      </c>
      <c r="F339" s="1" t="inlineStr">
        <is>
          <t>aBalados@abalados.es</t>
        </is>
      </c>
      <c r="G339" s="1" t="inlineStr">
        <is>
          <t>SET Carmona 400 kV Renovables, S.L.</t>
        </is>
      </c>
      <c r="H339" s="1">
        <f>VLOOKUP($G339,DATOS!$B:$E,2,FALSE)</f>
        <v/>
      </c>
      <c r="I339" s="1">
        <f>VLOOKUP($G339,DATOS!$B:$E,3,FALSE)</f>
        <v/>
      </c>
      <c r="J339" s="4">
        <f>VLOOKUP($G339,DATOS!$B:$E,4,FALSE)</f>
        <v/>
      </c>
      <c r="K339" s="1" t="inlineStr">
        <is>
          <t>Contrato de Asset Management - Subestación Carmona400</t>
        </is>
      </c>
      <c r="O339" s="1" t="inlineStr">
        <is>
          <t>Fee Trimestral - 01 Julio/30 Septiembre 2025</t>
        </is>
      </c>
      <c r="P339" s="5">
        <f>3* 2950*1.06*1.028*1.03</f>
        <v/>
      </c>
      <c r="AB339" s="6" t="inlineStr">
        <is>
          <t>ES85 2080 3509 1130 4009 6171</t>
        </is>
      </c>
      <c r="AC339" s="1" t="inlineStr">
        <is>
          <t>pendiente</t>
        </is>
      </c>
      <c r="AD339" s="5">
        <f>L339+N339+P339+R339+T339+V339+X339+Z339</f>
        <v/>
      </c>
      <c r="AE339" s="5">
        <f>IF((LEFT(K339,6))="Contab",L339,0)</f>
        <v/>
      </c>
      <c r="AF339" s="6">
        <f>VLOOKUP(G339,CLIENTES!B:E,4,FALSE)</f>
        <v/>
      </c>
      <c r="AG339" s="5">
        <f>AF339*AE339</f>
        <v/>
      </c>
      <c r="AH339" s="5">
        <f>AD339*1.21</f>
        <v/>
      </c>
      <c r="AI339" s="261">
        <f>IF(AE339&lt;&gt;0,AG339/AD339,"N/A")</f>
        <v/>
      </c>
      <c r="AJ339" s="5">
        <f>IF(AC339="pendiente",AD339,0)</f>
        <v/>
      </c>
      <c r="AK339" s="1">
        <f>VLOOKUP(G339,CLIENTES!B:D,3,FALSE)</f>
        <v/>
      </c>
      <c r="AL339" s="1" t="inlineStr">
        <is>
          <t>nudos</t>
        </is>
      </c>
      <c r="AM339" s="1" t="inlineStr">
        <is>
          <t>Explotación</t>
        </is>
      </c>
    </row>
    <row r="340" ht="15" customHeight="1" s="700">
      <c r="A340" s="1">
        <f>A339+1</f>
        <v/>
      </c>
      <c r="B340" s="26" t="n">
        <v>45929</v>
      </c>
      <c r="C340" s="1" t="inlineStr">
        <is>
          <t>c/ Las Cruzadas 3A, local D</t>
        </is>
      </c>
      <c r="D340" s="1" t="inlineStr">
        <is>
          <t>Sevilla 41004</t>
        </is>
      </c>
      <c r="E340" s="1" t="inlineStr">
        <is>
          <t>CIF B91938662</t>
        </is>
      </c>
      <c r="F340" s="1" t="inlineStr">
        <is>
          <t>aBalados@abalados.es</t>
        </is>
      </c>
      <c r="G340" s="1" t="inlineStr">
        <is>
          <t>Evacuación Carmona 400-220 kV Renovables, S.L.</t>
        </is>
      </c>
      <c r="H340" s="1">
        <f>VLOOKUP($G340,DATOS!$B:$E,2,FALSE)</f>
        <v/>
      </c>
      <c r="I340" s="1">
        <f>VLOOKUP($G340,DATOS!$B:$E,3,FALSE)</f>
        <v/>
      </c>
      <c r="J340" s="4">
        <f>VLOOKUP($G340,DATOS!$B:$E,4,FALSE)</f>
        <v/>
      </c>
      <c r="K340" s="1" t="inlineStr">
        <is>
          <t>Contrato de Asset Management - LAAT 220/400kV</t>
        </is>
      </c>
      <c r="O340" s="1" t="inlineStr">
        <is>
          <t>Fee Trimestral - 01 Julio/30 Septiembre 2025</t>
        </is>
      </c>
      <c r="P340" s="5">
        <f>3* 1200*1.059*1.034*1.029</f>
        <v/>
      </c>
      <c r="AB340" s="6" t="inlineStr">
        <is>
          <t>ES85 2080 3509 1130 4009 6171</t>
        </is>
      </c>
      <c r="AC340" s="1" t="inlineStr">
        <is>
          <t>pagado</t>
        </is>
      </c>
      <c r="AD340" s="5">
        <f>L340+N340+P340+R340+T340+V340+X340+Z340</f>
        <v/>
      </c>
      <c r="AE340" s="5">
        <f>IF((LEFT(K340,6))="Contab",L340,0)</f>
        <v/>
      </c>
      <c r="AF340" s="6">
        <f>VLOOKUP(G340,CLIENTES!B:E,4,FALSE)</f>
        <v/>
      </c>
      <c r="AG340" s="5">
        <f>AF340*AE340</f>
        <v/>
      </c>
      <c r="AH340" s="5">
        <f>AD340*1.21</f>
        <v/>
      </c>
      <c r="AI340" s="261">
        <f>IF(AE340&lt;&gt;0,AG340/AD340,"N/A")</f>
        <v/>
      </c>
      <c r="AJ340" s="5">
        <f>IF(AC340="pendiente",AD340,0)</f>
        <v/>
      </c>
      <c r="AK340" s="1">
        <f>VLOOKUP(G340,CLIENTES!B:D,3,FALSE)</f>
        <v/>
      </c>
      <c r="AL340" s="1" t="inlineStr">
        <is>
          <t>nudos</t>
        </is>
      </c>
      <c r="AM340" s="1" t="inlineStr">
        <is>
          <t>Promoción</t>
        </is>
      </c>
    </row>
    <row r="341" ht="15" customHeight="1" s="700">
      <c r="A341" s="1">
        <f>A340+1</f>
        <v/>
      </c>
      <c r="B341" s="26" t="n">
        <v>45929</v>
      </c>
      <c r="C341" s="1" t="inlineStr">
        <is>
          <t>c/ Las Cruzadas 3A, local D</t>
        </is>
      </c>
      <c r="D341" s="1" t="inlineStr">
        <is>
          <t>Sevilla 41004</t>
        </is>
      </c>
      <c r="E341" s="1" t="inlineStr">
        <is>
          <t>CIF B91938662</t>
        </is>
      </c>
      <c r="F341" s="1" t="inlineStr">
        <is>
          <t>aBalados@abalados.es</t>
        </is>
      </c>
      <c r="G341" s="1" t="inlineStr">
        <is>
          <t>La Serranilla Renovables 132 kV, A.I.E.</t>
        </is>
      </c>
      <c r="H341" s="1">
        <f>VLOOKUP($G341,DATOS!$B:$E,2,FALSE)</f>
        <v/>
      </c>
      <c r="I341" s="1">
        <f>VLOOKUP($G341,DATOS!$B:$E,3,FALSE)</f>
        <v/>
      </c>
      <c r="J341" s="4">
        <f>VLOOKUP($G341,DATOS!$B:$E,4,FALSE)</f>
        <v/>
      </c>
      <c r="K341" s="1" t="inlineStr">
        <is>
          <t>Contrato de Asset Management - Subestación María Castro</t>
        </is>
      </c>
      <c r="O341" s="1" t="inlineStr">
        <is>
          <t>Fee Trimestral - 01 Julio/30 Septiembre 2025</t>
        </is>
      </c>
      <c r="P341" s="5">
        <f>3* 1275*1.041*1.033*1.022</f>
        <v/>
      </c>
      <c r="AB341" s="6" t="inlineStr">
        <is>
          <t>ES85 2080 3509 1130 4009 6171</t>
        </is>
      </c>
      <c r="AC341" s="1" t="inlineStr">
        <is>
          <t>pagado</t>
        </is>
      </c>
      <c r="AD341" s="5">
        <f>L341+N341+P341+R341+T341+V341+X341+Z341</f>
        <v/>
      </c>
      <c r="AE341" s="5">
        <f>IF((LEFT(K341,6))="Contab",L341,0)</f>
        <v/>
      </c>
      <c r="AF341" s="6">
        <f>VLOOKUP(G341,CLIENTES!B:E,4,FALSE)</f>
        <v/>
      </c>
      <c r="AG341" s="5">
        <f>AF341*AE341</f>
        <v/>
      </c>
      <c r="AH341" s="5">
        <f>AD341*1.21</f>
        <v/>
      </c>
      <c r="AI341" s="261">
        <f>IF(AE341&lt;&gt;0,AG341/AD341,"N/A")</f>
        <v/>
      </c>
      <c r="AJ341" s="5">
        <f>IF(AC341="pendiente",AD341,0)</f>
        <v/>
      </c>
      <c r="AK341" s="1">
        <f>VLOOKUP(G341,CLIENTES!B:D,3,FALSE)</f>
        <v/>
      </c>
      <c r="AL341" s="1" t="inlineStr">
        <is>
          <t>nudos</t>
        </is>
      </c>
      <c r="AM341" s="1" t="inlineStr">
        <is>
          <t>Promoción</t>
        </is>
      </c>
    </row>
    <row r="342" ht="15" customHeight="1" s="700">
      <c r="A342" s="1">
        <f>A341+1</f>
        <v/>
      </c>
      <c r="B342" s="26" t="n">
        <v>45929</v>
      </c>
      <c r="C342" s="1" t="inlineStr">
        <is>
          <t>c/ Las Cruzadas 3A, local D</t>
        </is>
      </c>
      <c r="D342" s="1" t="inlineStr">
        <is>
          <t>Sevilla 41004</t>
        </is>
      </c>
      <c r="E342" s="1" t="inlineStr">
        <is>
          <t>CIF B91938662</t>
        </is>
      </c>
      <c r="F342" s="1" t="inlineStr">
        <is>
          <t>aBalados@abalados.es</t>
        </is>
      </c>
      <c r="G342" s="1" t="inlineStr">
        <is>
          <t>Línea Covatillas, A.I.E.</t>
        </is>
      </c>
      <c r="H342" s="1">
        <f>VLOOKUP($G342,DATOS!$B:$E,2,FALSE)</f>
        <v/>
      </c>
      <c r="I342" s="1">
        <f>VLOOKUP($G342,DATOS!$B:$E,3,FALSE)</f>
        <v/>
      </c>
      <c r="J342" s="4">
        <f>VLOOKUP($G342,DATOS!$B:$E,4,FALSE)</f>
        <v/>
      </c>
      <c r="K342" s="1" t="inlineStr">
        <is>
          <t>Contrato de Asset Management - LAAT 132kV</t>
        </is>
      </c>
      <c r="O342" s="1" t="inlineStr">
        <is>
          <t>Fee Trimestral - 01 Julio/30 Septiembre 2025</t>
        </is>
      </c>
      <c r="P342" s="5">
        <f>3* 2545*1.032*1.036*1.02</f>
        <v/>
      </c>
      <c r="AB342" s="6" t="inlineStr">
        <is>
          <t>ES85 2080 3509 1130 4009 6171</t>
        </is>
      </c>
      <c r="AC342" s="1" t="inlineStr">
        <is>
          <t>pendiente</t>
        </is>
      </c>
      <c r="AD342" s="5">
        <f>L342+N342+P342+R342+T342+V342+X342+Z342</f>
        <v/>
      </c>
      <c r="AE342" s="5">
        <f>IF((LEFT(K342,6))="Contab",L342,0)</f>
        <v/>
      </c>
      <c r="AF342" s="6">
        <f>VLOOKUP(G342,CLIENTES!B:E,4,FALSE)</f>
        <v/>
      </c>
      <c r="AG342" s="5">
        <f>AF342*AE342</f>
        <v/>
      </c>
      <c r="AH342" s="5">
        <f>AD342*1.21</f>
        <v/>
      </c>
      <c r="AI342" s="261">
        <f>IF(AE342&lt;&gt;0,AG342/AD342,"N/A")</f>
        <v/>
      </c>
      <c r="AJ342" s="5">
        <f>IF(AC342="pendiente",AD342,0)</f>
        <v/>
      </c>
      <c r="AK342" s="1">
        <f>VLOOKUP(G342,CLIENTES!B:D,3,FALSE)</f>
        <v/>
      </c>
      <c r="AL342" s="1" t="inlineStr">
        <is>
          <t>nudos</t>
        </is>
      </c>
      <c r="AM342" s="1" t="inlineStr">
        <is>
          <t>Explotación</t>
        </is>
      </c>
    </row>
    <row r="343" ht="15" customHeight="1" s="700">
      <c r="A343" s="1">
        <f>A342+1</f>
        <v/>
      </c>
      <c r="B343" s="26" t="n">
        <v>45929</v>
      </c>
      <c r="C343" s="1" t="inlineStr">
        <is>
          <t>c/ Las Cruzadas 3A, local D</t>
        </is>
      </c>
      <c r="D343" s="1" t="inlineStr">
        <is>
          <t>Sevilla 41004</t>
        </is>
      </c>
      <c r="E343" s="1" t="inlineStr">
        <is>
          <t>CIF B91938662</t>
        </is>
      </c>
      <c r="F343" s="1" t="inlineStr">
        <is>
          <t>aBalados@abalados.es</t>
        </is>
      </c>
      <c r="G343" s="1" t="inlineStr">
        <is>
          <t>Herrera Sotillo Renovables, A.I.E.</t>
        </is>
      </c>
      <c r="H343" s="1">
        <f>VLOOKUP($G343,DATOS!$B:$E,2,FALSE)</f>
        <v/>
      </c>
      <c r="I343" s="1">
        <f>VLOOKUP($G343,DATOS!$B:$E,3,FALSE)</f>
        <v/>
      </c>
      <c r="J343" s="4">
        <f>VLOOKUP($G343,DATOS!$B:$E,4,FALSE)</f>
        <v/>
      </c>
      <c r="K343" s="1" t="inlineStr">
        <is>
          <t>Contrato de Asset Management - Subestación Sotillo</t>
        </is>
      </c>
      <c r="O343" s="1" t="inlineStr">
        <is>
          <t>Fee Trimestral - 01 Julio/30 Septiembre 2025</t>
        </is>
      </c>
      <c r="P343" s="5">
        <f>3* 1250*1.019*1.034*1.023</f>
        <v/>
      </c>
      <c r="Q343" s="1" t="inlineStr">
        <is>
          <t>Tasa actualización IPC General (Junio 2024 - Junio 2025): 2,3%</t>
        </is>
      </c>
      <c r="U343" s="1" t="inlineStr">
        <is>
          <t>Regularización IPC trimestre anterior (23Junio-30Junio 2025)</t>
        </is>
      </c>
      <c r="V343" s="5">
        <f>1250*1.019*1.034*(8/30)*0.023</f>
        <v/>
      </c>
      <c r="AB343" s="6" t="inlineStr">
        <is>
          <t>ES85 2080 3509 1130 4009 6171</t>
        </is>
      </c>
      <c r="AC343" s="1" t="inlineStr">
        <is>
          <t>pendiente</t>
        </is>
      </c>
      <c r="AD343" s="5">
        <f>L343+N343+P343+R343+T343+V343+X343+Z343</f>
        <v/>
      </c>
      <c r="AE343" s="5">
        <f>IF((LEFT(K343,6))="Contab",L343,0)</f>
        <v/>
      </c>
      <c r="AF343" s="6">
        <f>VLOOKUP(G343,CLIENTES!B:E,4,FALSE)</f>
        <v/>
      </c>
      <c r="AG343" s="5">
        <f>AF343*AE343</f>
        <v/>
      </c>
      <c r="AH343" s="5">
        <f>AD343*1.21</f>
        <v/>
      </c>
      <c r="AI343" s="261">
        <f>IF(AE343&lt;&gt;0,AG343/AD343,"N/A")</f>
        <v/>
      </c>
      <c r="AJ343" s="5">
        <f>IF(AC343="pendiente",AD343,0)</f>
        <v/>
      </c>
      <c r="AK343" s="1">
        <f>VLOOKUP(G343,CLIENTES!B:D,3,FALSE)</f>
        <v/>
      </c>
      <c r="AL343" s="1" t="inlineStr">
        <is>
          <t>nudos</t>
        </is>
      </c>
      <c r="AM343" s="1" t="inlineStr">
        <is>
          <t>Promoción</t>
        </is>
      </c>
    </row>
    <row r="344" ht="15" customHeight="1" s="700">
      <c r="A344" s="1">
        <f>A343+1</f>
        <v/>
      </c>
      <c r="B344" s="26" t="n">
        <v>45929</v>
      </c>
      <c r="C344" s="1" t="inlineStr">
        <is>
          <t>c/ Las Cruzadas 3A, local D</t>
        </is>
      </c>
      <c r="D344" s="1" t="inlineStr">
        <is>
          <t>Sevilla 41004</t>
        </is>
      </c>
      <c r="E344" s="1" t="inlineStr">
        <is>
          <t>CIF B91938662</t>
        </is>
      </c>
      <c r="F344" s="1" t="inlineStr">
        <is>
          <t>aBalados@abalados.es</t>
        </is>
      </c>
      <c r="G344" s="1" t="inlineStr">
        <is>
          <t>Cuádruple Belinchón, S.L.</t>
        </is>
      </c>
      <c r="H344" s="1">
        <f>VLOOKUP($G344,DATOS!$B:$E,2,FALSE)</f>
        <v/>
      </c>
      <c r="I344" s="1">
        <f>VLOOKUP($G344,DATOS!$B:$E,3,FALSE)</f>
        <v/>
      </c>
      <c r="J344" s="4">
        <f>VLOOKUP($G344,DATOS!$B:$E,4,FALSE)</f>
        <v/>
      </c>
      <c r="K344" s="1" t="inlineStr">
        <is>
          <t>Contrato de Asset Management - LAAT 132kV</t>
        </is>
      </c>
      <c r="O344" s="1" t="inlineStr">
        <is>
          <t>Fee Trimestral - 01 Julio/30 Septiembre 2025</t>
        </is>
      </c>
      <c r="P344" s="5">
        <f>3* 2675*1.032*1.024</f>
        <v/>
      </c>
      <c r="AB344" s="6" t="inlineStr">
        <is>
          <t>ES85 2080 3509 1130 4009 6171</t>
        </is>
      </c>
      <c r="AC344" s="1" t="inlineStr">
        <is>
          <t>pagado</t>
        </is>
      </c>
      <c r="AD344" s="5">
        <f>L344+N344+P344+R344+T344+V344+X344+Z344</f>
        <v/>
      </c>
      <c r="AE344" s="5">
        <f>IF((LEFT(K344,6))="Contab",L344,0)</f>
        <v/>
      </c>
      <c r="AF344" s="6">
        <f>VLOOKUP(G344,CLIENTES!B:E,4,FALSE)</f>
        <v/>
      </c>
      <c r="AG344" s="5">
        <f>AF344*AE344</f>
        <v/>
      </c>
      <c r="AH344" s="5">
        <f>AD344*1.21</f>
        <v/>
      </c>
      <c r="AI344" s="261">
        <f>IF(AE344&lt;&gt;0,AG344/AD344,"N/A")</f>
        <v/>
      </c>
      <c r="AJ344" s="5">
        <f>IF(AC344="pendiente",AD344,0)</f>
        <v/>
      </c>
      <c r="AK344" s="1">
        <f>VLOOKUP(G344,CLIENTES!B:D,3,FALSE)</f>
        <v/>
      </c>
      <c r="AL344" s="1" t="inlineStr">
        <is>
          <t>nudos</t>
        </is>
      </c>
      <c r="AM344" s="1" t="inlineStr">
        <is>
          <t>Explotación</t>
        </is>
      </c>
    </row>
    <row r="345" ht="15" customHeight="1" s="700">
      <c r="A345" s="1">
        <f>A344+1</f>
        <v/>
      </c>
      <c r="B345" s="26" t="n">
        <v>45929</v>
      </c>
      <c r="C345" s="1" t="inlineStr">
        <is>
          <t>c/ Las Cruzadas 3A, local D</t>
        </is>
      </c>
      <c r="D345" s="1" t="inlineStr">
        <is>
          <t>Sevilla 41004</t>
        </is>
      </c>
      <c r="E345" s="1" t="inlineStr">
        <is>
          <t>CIF B91938662</t>
        </is>
      </c>
      <c r="F345" s="1" t="inlineStr">
        <is>
          <t>aBalados@abalados.es</t>
        </is>
      </c>
      <c r="G345" s="1" t="inlineStr">
        <is>
          <t>Renovables Brovales 400 kV, S.L.</t>
        </is>
      </c>
      <c r="H345" s="1">
        <f>VLOOKUP($G345,DATOS!$B:$E,2,FALSE)</f>
        <v/>
      </c>
      <c r="I345" s="1">
        <f>VLOOKUP($G345,DATOS!$B:$E,3,FALSE)</f>
        <v/>
      </c>
      <c r="J345" s="4">
        <f>VLOOKUP($G345,DATOS!$B:$E,4,FALSE)</f>
        <v/>
      </c>
      <c r="K345" s="1" t="inlineStr">
        <is>
          <t>Contrato de Asset Management - Subestación BrovalesF1</t>
        </is>
      </c>
      <c r="O345" s="1" t="inlineStr">
        <is>
          <t>Fee Trimestral - 01 Julio/30 Septiembre 2025</t>
        </is>
      </c>
      <c r="P345" s="5">
        <f>3* 3025*1.035*1.015</f>
        <v/>
      </c>
      <c r="Q345" s="1" t="inlineStr">
        <is>
          <t>Tasa actualización IPC General (Septiembre 2024 - Septiembre 2025) no disponible</t>
        </is>
      </c>
      <c r="S345" s="5" t="n"/>
      <c r="AB345" s="6" t="inlineStr">
        <is>
          <t>ES85 2080 3509 1130 4009 6171</t>
        </is>
      </c>
      <c r="AC345" s="1" t="inlineStr">
        <is>
          <t>pagado</t>
        </is>
      </c>
      <c r="AD345" s="5">
        <f>L345+N345+P345+R345+T345+V345+X345+Z345</f>
        <v/>
      </c>
      <c r="AE345" s="5">
        <f>IF((LEFT(K345,6))="Contab",L345,0)</f>
        <v/>
      </c>
      <c r="AF345" s="6">
        <f>VLOOKUP(G345,CLIENTES!B:E,4,FALSE)</f>
        <v/>
      </c>
      <c r="AG345" s="5">
        <f>AF345*AE345</f>
        <v/>
      </c>
      <c r="AH345" s="5">
        <f>AD345*1.21</f>
        <v/>
      </c>
      <c r="AI345" s="261">
        <f>IF(AE345&lt;&gt;0,AG345/AD345,"N/A")</f>
        <v/>
      </c>
      <c r="AJ345" s="5">
        <f>IF(AC345="pendiente",AD345,0)</f>
        <v/>
      </c>
      <c r="AK345" s="1">
        <f>VLOOKUP(G345,CLIENTES!B:D,3,FALSE)</f>
        <v/>
      </c>
      <c r="AL345" s="1" t="inlineStr">
        <is>
          <t>nudos</t>
        </is>
      </c>
      <c r="AM345" s="1" t="inlineStr">
        <is>
          <t>Explotación</t>
        </is>
      </c>
    </row>
    <row r="346" ht="15" customHeight="1" s="700">
      <c r="A346" s="1">
        <f>A345+1</f>
        <v/>
      </c>
      <c r="B346" s="26" t="n">
        <v>45929</v>
      </c>
      <c r="C346" s="1" t="inlineStr">
        <is>
          <t>c/ Las Cruzadas 3A, local D</t>
        </is>
      </c>
      <c r="D346" s="1" t="inlineStr">
        <is>
          <t>Sevilla 41004</t>
        </is>
      </c>
      <c r="E346" s="1" t="inlineStr">
        <is>
          <t>CIF B91938662</t>
        </is>
      </c>
      <c r="F346" s="1" t="inlineStr">
        <is>
          <t>aBalados@abalados.es</t>
        </is>
      </c>
      <c r="G346" s="1" t="inlineStr">
        <is>
          <t>Huerta Sevilla Renovables, S.L.</t>
        </is>
      </c>
      <c r="H346" s="1">
        <f>VLOOKUP($G346,DATOS!$B:$E,2,FALSE)</f>
        <v/>
      </c>
      <c r="I346" s="1">
        <f>VLOOKUP($G346,DATOS!$B:$E,3,FALSE)</f>
        <v/>
      </c>
      <c r="J346" s="4">
        <f>VLOOKUP($G346,DATOS!$B:$E,4,FALSE)</f>
        <v/>
      </c>
      <c r="K346" s="1" t="inlineStr">
        <is>
          <t>Contrato de Asset Management - Subestación BrovalesF3</t>
        </is>
      </c>
      <c r="O346" s="1" t="inlineStr">
        <is>
          <t>Fee Trimestral - 01 Julio/30 Septiembre 2025</t>
        </is>
      </c>
      <c r="P346" s="5">
        <f>3* 2960*1.032*1.024</f>
        <v/>
      </c>
      <c r="Y346" s="5" t="n"/>
      <c r="AB346" s="6" t="inlineStr">
        <is>
          <t>ES85 2080 3509 1130 4009 6171</t>
        </is>
      </c>
      <c r="AC346" s="1" t="inlineStr">
        <is>
          <t>pendiente</t>
        </is>
      </c>
      <c r="AD346" s="5">
        <f>L346+N346+P346+R346+T346+V346+X346+Z346</f>
        <v/>
      </c>
      <c r="AE346" s="5">
        <f>IF((LEFT(K346,6))="Contab",L346,0)</f>
        <v/>
      </c>
      <c r="AF346" s="6">
        <f>VLOOKUP(G346,CLIENTES!B:E,4,FALSE)</f>
        <v/>
      </c>
      <c r="AG346" s="5">
        <f>AF346*AE346</f>
        <v/>
      </c>
      <c r="AH346" s="5">
        <f>AD346*1.21</f>
        <v/>
      </c>
      <c r="AI346" s="261">
        <f>IF(AE346&lt;&gt;0,AG346/AD346,"N/A")</f>
        <v/>
      </c>
      <c r="AJ346" s="5">
        <f>IF(AC346="pendiente",AD346,0)</f>
        <v/>
      </c>
      <c r="AK346" s="1">
        <f>VLOOKUP(G346,CLIENTES!B:D,3,FALSE)</f>
        <v/>
      </c>
      <c r="AL346" s="1" t="inlineStr">
        <is>
          <t>nudos</t>
        </is>
      </c>
      <c r="AM346" s="1" t="inlineStr">
        <is>
          <t>Explotación</t>
        </is>
      </c>
    </row>
    <row r="347" ht="15" customHeight="1" s="700">
      <c r="A347" s="1">
        <f>A346+1</f>
        <v/>
      </c>
      <c r="B347" s="26" t="n">
        <v>45929</v>
      </c>
      <c r="C347" s="1" t="inlineStr">
        <is>
          <t>c/ Las Cruzadas 3A, local D</t>
        </is>
      </c>
      <c r="D347" s="1" t="inlineStr">
        <is>
          <t>Sevilla 41004</t>
        </is>
      </c>
      <c r="E347" s="1" t="inlineStr">
        <is>
          <t>CIF B91938662</t>
        </is>
      </c>
      <c r="F347" s="1" t="inlineStr">
        <is>
          <t>aBalados@abalados.es</t>
        </is>
      </c>
      <c r="G347" s="1" t="inlineStr">
        <is>
          <t>Belisol 132 kV, S.L.</t>
        </is>
      </c>
      <c r="H347" s="1">
        <f>VLOOKUP($G347,DATOS!$B:$E,2,FALSE)</f>
        <v/>
      </c>
      <c r="I347" s="1">
        <f>VLOOKUP($G347,DATOS!$B:$E,3,FALSE)</f>
        <v/>
      </c>
      <c r="J347" s="4">
        <f>VLOOKUP($G347,DATOS!$B:$E,4,FALSE)</f>
        <v/>
      </c>
      <c r="K347" s="1" t="inlineStr">
        <is>
          <t>Contrato de Asset Management - Subestación Belisol</t>
        </is>
      </c>
      <c r="O347" s="1" t="inlineStr">
        <is>
          <t>Fee Trimestral - 01 Julio/30 Septiembre 2025</t>
        </is>
      </c>
      <c r="P347" s="5">
        <f>3* 3045*1.028*1.03</f>
        <v/>
      </c>
      <c r="AB347" s="6" t="inlineStr">
        <is>
          <t>ES85 2080 3509 1130 4009 6171</t>
        </is>
      </c>
      <c r="AC347" s="1" t="inlineStr">
        <is>
          <t>pendiente</t>
        </is>
      </c>
      <c r="AD347" s="5">
        <f>L347+N347+P347+R347+T347+V347+X347+Z347</f>
        <v/>
      </c>
      <c r="AE347" s="5">
        <f>IF((LEFT(K347,6))="Contab",L347,0)</f>
        <v/>
      </c>
      <c r="AF347" s="6">
        <f>VLOOKUP(G347,CLIENTES!B:E,4,FALSE)</f>
        <v/>
      </c>
      <c r="AG347" s="5">
        <f>AF347*AE347</f>
        <v/>
      </c>
      <c r="AH347" s="5">
        <f>AD347*1.21</f>
        <v/>
      </c>
      <c r="AI347" s="261">
        <f>IF(AE347&lt;&gt;0,AG347/AD347,"N/A")</f>
        <v/>
      </c>
      <c r="AJ347" s="5">
        <f>IF(AC347="pendiente",AD347,0)</f>
        <v/>
      </c>
      <c r="AK347" s="1">
        <f>VLOOKUP(G347,CLIENTES!B:D,3,FALSE)</f>
        <v/>
      </c>
      <c r="AL347" s="1" t="inlineStr">
        <is>
          <t>nudos</t>
        </is>
      </c>
      <c r="AM347" s="1" t="inlineStr">
        <is>
          <t>Explotación</t>
        </is>
      </c>
    </row>
    <row r="348" ht="15" customHeight="1" s="700">
      <c r="A348" s="1">
        <f>A347+1</f>
        <v/>
      </c>
      <c r="B348" s="26" t="n">
        <v>45929</v>
      </c>
      <c r="C348" s="1" t="inlineStr">
        <is>
          <t>c/ Las Cruzadas 3A, local D</t>
        </is>
      </c>
      <c r="D348" s="1" t="inlineStr">
        <is>
          <t>Sevilla 41004</t>
        </is>
      </c>
      <c r="E348" s="1" t="inlineStr">
        <is>
          <t>CIF B91938662</t>
        </is>
      </c>
      <c r="F348" s="1" t="inlineStr">
        <is>
          <t>aBalados@abalados.es</t>
        </is>
      </c>
      <c r="G348" s="1" t="inlineStr">
        <is>
          <t>Brazatortas 220 Renovables, S.L.</t>
        </is>
      </c>
      <c r="H348" s="1">
        <f>VLOOKUP($G348,DATOS!$B:$E,2,FALSE)</f>
        <v/>
      </c>
      <c r="I348" s="1">
        <f>VLOOKUP($G348,DATOS!$B:$E,3,FALSE)</f>
        <v/>
      </c>
      <c r="J348" s="4">
        <f>VLOOKUP($G348,DATOS!$B:$E,4,FALSE)</f>
        <v/>
      </c>
      <c r="K348" s="1" t="inlineStr">
        <is>
          <t>Contrato de Asset Management - Subestación Brazatortas220</t>
        </is>
      </c>
      <c r="O348" s="1" t="inlineStr">
        <is>
          <t>Fee Trimestral - 01 Julio/30 Septiembre 2025</t>
        </is>
      </c>
      <c r="P348" s="5">
        <f>3* 3015*1.031*1.028</f>
        <v/>
      </c>
      <c r="AB348" s="6" t="inlineStr">
        <is>
          <t>ES85 2080 3509 1130 4009 6171</t>
        </is>
      </c>
      <c r="AC348" s="1" t="inlineStr">
        <is>
          <t>pendiente</t>
        </is>
      </c>
      <c r="AD348" s="5">
        <f>L348+N348+P348+R348+T348+V348+X348+Z348</f>
        <v/>
      </c>
      <c r="AE348" s="5">
        <f>IF((LEFT(K348,6))="Contab",L348,0)</f>
        <v/>
      </c>
      <c r="AF348" s="6">
        <f>VLOOKUP(G348,CLIENTES!B:E,4,FALSE)</f>
        <v/>
      </c>
      <c r="AG348" s="5">
        <f>AF348*AE348</f>
        <v/>
      </c>
      <c r="AH348" s="5">
        <f>AD348*1.21</f>
        <v/>
      </c>
      <c r="AI348" s="261">
        <f>IF(AE348&lt;&gt;0,AG348/AD348,"N/A")</f>
        <v/>
      </c>
      <c r="AJ348" s="5">
        <f>IF(AC348="pendiente",AD348,0)</f>
        <v/>
      </c>
      <c r="AK348" s="1">
        <f>VLOOKUP(G348,CLIENTES!B:D,3,FALSE)</f>
        <v/>
      </c>
      <c r="AL348" s="1" t="inlineStr">
        <is>
          <t>nudos</t>
        </is>
      </c>
      <c r="AM348" s="1" t="inlineStr">
        <is>
          <t>Explotación</t>
        </is>
      </c>
    </row>
    <row r="349" ht="15" customHeight="1" s="700">
      <c r="A349" s="1">
        <f>A348+1</f>
        <v/>
      </c>
      <c r="B349" s="26" t="n">
        <v>45929</v>
      </c>
      <c r="C349" s="1" t="inlineStr">
        <is>
          <t>c/ Las Cruzadas 3A, local D</t>
        </is>
      </c>
      <c r="D349" s="1" t="inlineStr">
        <is>
          <t>Sevilla 41004</t>
        </is>
      </c>
      <c r="E349" s="1" t="inlineStr">
        <is>
          <t>CIF B91938662</t>
        </is>
      </c>
      <c r="F349" s="1" t="inlineStr">
        <is>
          <t>aBalados@abalados.es</t>
        </is>
      </c>
      <c r="G349" s="1" t="inlineStr">
        <is>
          <t>Evacuación Liquesun, S.L.</t>
        </is>
      </c>
      <c r="H349" s="1">
        <f>VLOOKUP($G349,DATOS!$B:$E,2,FALSE)</f>
        <v/>
      </c>
      <c r="I349" s="1">
        <f>VLOOKUP($G349,DATOS!$B:$E,3,FALSE)</f>
        <v/>
      </c>
      <c r="J349" s="4">
        <f>VLOOKUP($G349,DATOS!$B:$E,4,FALSE)</f>
        <v/>
      </c>
      <c r="K349" s="1" t="inlineStr">
        <is>
          <t>Contrato de Asset Management - LSAT 30kV</t>
        </is>
      </c>
      <c r="O349" s="1" t="inlineStr">
        <is>
          <t>Fee Trimestral - 01 Julio/30 Septiembre 2025</t>
        </is>
      </c>
      <c r="P349" s="5">
        <f>3* 750*1.032*1.023</f>
        <v/>
      </c>
      <c r="AB349" s="6" t="inlineStr">
        <is>
          <t>ES85 2080 3509 1130 4009 6171</t>
        </is>
      </c>
      <c r="AC349" s="1" t="inlineStr">
        <is>
          <t>pendiente</t>
        </is>
      </c>
      <c r="AD349" s="5">
        <f>L349+N349+P349+R349+T349+V349+X349+Z349</f>
        <v/>
      </c>
      <c r="AE349" s="5">
        <f>IF((LEFT(K349,6))="Contab",L349,0)</f>
        <v/>
      </c>
      <c r="AF349" s="6">
        <f>VLOOKUP(G349,CLIENTES!B:E,4,FALSE)</f>
        <v/>
      </c>
      <c r="AG349" s="5">
        <f>AF349*AE349</f>
        <v/>
      </c>
      <c r="AH349" s="5">
        <f>AD349*1.21</f>
        <v/>
      </c>
      <c r="AI349" s="261">
        <f>IF(AE349&lt;&gt;0,AG349/AD349,"N/A")</f>
        <v/>
      </c>
      <c r="AJ349" s="5">
        <f>IF(AC349="pendiente",AD349,0)</f>
        <v/>
      </c>
      <c r="AK349" s="1">
        <f>VLOOKUP(G349,CLIENTES!B:D,3,FALSE)</f>
        <v/>
      </c>
      <c r="AL349" s="1" t="inlineStr">
        <is>
          <t>nudos</t>
        </is>
      </c>
      <c r="AM349" s="1" t="inlineStr">
        <is>
          <t>Promoción</t>
        </is>
      </c>
    </row>
    <row r="350" ht="15" customHeight="1" s="700">
      <c r="A350" s="1">
        <f>A349+1</f>
        <v/>
      </c>
      <c r="B350" s="26" t="n">
        <v>45929</v>
      </c>
      <c r="C350" s="1" t="inlineStr">
        <is>
          <t>c/ Las Cruzadas 3A, local D</t>
        </is>
      </c>
      <c r="D350" s="1" t="inlineStr">
        <is>
          <t>Sevilla 41004</t>
        </is>
      </c>
      <c r="E350" s="1" t="inlineStr">
        <is>
          <t>CIF B91938662</t>
        </is>
      </c>
      <c r="F350" s="1" t="inlineStr">
        <is>
          <t>aBalados@abalados.es</t>
        </is>
      </c>
      <c r="G350" s="1" t="inlineStr">
        <is>
          <t>Colectora Carmona, S.L.</t>
        </is>
      </c>
      <c r="H350" s="1">
        <f>VLOOKUP($G350,DATOS!$B:$E,2,FALSE)</f>
        <v/>
      </c>
      <c r="I350" s="1">
        <f>VLOOKUP($G350,DATOS!$B:$E,3,FALSE)</f>
        <v/>
      </c>
      <c r="J350" s="4">
        <f>VLOOKUP($G350,DATOS!$B:$E,4,FALSE)</f>
        <v/>
      </c>
      <c r="K350" s="1" t="inlineStr">
        <is>
          <t>Contrato de Asset Management - Subestación Colectora Carmona</t>
        </is>
      </c>
      <c r="O350" s="1" t="inlineStr">
        <is>
          <t>Fee Trimestral - 01 Julio/30 Septiembre 2025</t>
        </is>
      </c>
      <c r="P350" s="5">
        <f>3* 2900*1.032*1.024</f>
        <v/>
      </c>
      <c r="AB350" s="6" t="inlineStr">
        <is>
          <t>ES85 2080 3509 1130 4009 6171</t>
        </is>
      </c>
      <c r="AC350" s="1" t="inlineStr">
        <is>
          <t>pagado</t>
        </is>
      </c>
      <c r="AD350" s="5">
        <f>L350+N350+P350+R350+T350+V350+X350+Z350</f>
        <v/>
      </c>
      <c r="AE350" s="5">
        <f>IF((LEFT(K350,6))="Contab",L350,0)</f>
        <v/>
      </c>
      <c r="AF350" s="6">
        <f>VLOOKUP(G350,CLIENTES!B:E,4,FALSE)</f>
        <v/>
      </c>
      <c r="AG350" s="5">
        <f>AF350*AE350</f>
        <v/>
      </c>
      <c r="AH350" s="5">
        <f>AD350*1.21</f>
        <v/>
      </c>
      <c r="AI350" s="261">
        <f>IF(AE350&lt;&gt;0,AG350/AD350,"N/A")</f>
        <v/>
      </c>
      <c r="AJ350" s="5">
        <f>IF(AC350="pendiente",AD350,0)</f>
        <v/>
      </c>
      <c r="AK350" s="1">
        <f>VLOOKUP(G350,CLIENTES!B:D,3,FALSE)</f>
        <v/>
      </c>
      <c r="AL350" s="1" t="inlineStr">
        <is>
          <t>nudos</t>
        </is>
      </c>
      <c r="AM350" s="1" t="inlineStr">
        <is>
          <t>Explotación</t>
        </is>
      </c>
    </row>
    <row r="351" ht="15" customHeight="1" s="700">
      <c r="A351" s="1">
        <f>A350+1</f>
        <v/>
      </c>
      <c r="B351" s="26" t="n">
        <v>45929</v>
      </c>
      <c r="C351" s="1" t="inlineStr">
        <is>
          <t>c/ Las Cruzadas 3A, local D</t>
        </is>
      </c>
      <c r="D351" s="1" t="inlineStr">
        <is>
          <t>Sevilla 41004</t>
        </is>
      </c>
      <c r="E351" s="1" t="inlineStr">
        <is>
          <t>CIF B91938662</t>
        </is>
      </c>
      <c r="F351" s="1" t="inlineStr">
        <is>
          <t>aBalados@abalados.es</t>
        </is>
      </c>
      <c r="G351" s="1" t="inlineStr">
        <is>
          <t>Toro Renovables, S.L.</t>
        </is>
      </c>
      <c r="H351" s="1">
        <f>VLOOKUP($G351,DATOS!$B:$E,2,FALSE)</f>
        <v/>
      </c>
      <c r="I351" s="1">
        <f>VLOOKUP($G351,DATOS!$B:$E,3,FALSE)</f>
        <v/>
      </c>
      <c r="J351" s="4">
        <f>VLOOKUP($G351,DATOS!$B:$E,4,FALSE)</f>
        <v/>
      </c>
      <c r="K351" s="1" t="inlineStr">
        <is>
          <t>Contrato de Asset Management - Subestación Toro400</t>
        </is>
      </c>
      <c r="O351" s="1" t="inlineStr">
        <is>
          <t>Fee Trimestral - 01 Julio/30 Septiembre 2025</t>
        </is>
      </c>
      <c r="P351" s="5">
        <f>3*2800*1.036*1.02</f>
        <v/>
      </c>
      <c r="AB351" s="6" t="inlineStr">
        <is>
          <t>ES85 2080 3509 1130 4009 6171</t>
        </is>
      </c>
      <c r="AC351" s="1" t="inlineStr">
        <is>
          <t>pendiente</t>
        </is>
      </c>
      <c r="AD351" s="5">
        <f>L351+N351+P351+R351+T351+V351+X351+Z351</f>
        <v/>
      </c>
      <c r="AE351" s="5">
        <f>IF((LEFT(K351,6))="Contab",L351,0)</f>
        <v/>
      </c>
      <c r="AF351" s="6">
        <f>VLOOKUP(G351,CLIENTES!B:E,4,FALSE)</f>
        <v/>
      </c>
      <c r="AG351" s="5">
        <f>AF351*AE351</f>
        <v/>
      </c>
      <c r="AH351" s="5">
        <f>AD351*1.21</f>
        <v/>
      </c>
      <c r="AI351" s="261">
        <f>IF(AE351&lt;&gt;0,AG351/AD351,"N/A")</f>
        <v/>
      </c>
      <c r="AJ351" s="5">
        <f>IF(AC351="pendiente",AD351,0)</f>
        <v/>
      </c>
      <c r="AK351" s="1">
        <f>VLOOKUP(G351,CLIENTES!B:D,3,FALSE)</f>
        <v/>
      </c>
      <c r="AL351" s="1" t="inlineStr">
        <is>
          <t>nudos</t>
        </is>
      </c>
      <c r="AM351" s="1" t="inlineStr">
        <is>
          <t>Explotación</t>
        </is>
      </c>
    </row>
    <row r="352" ht="15" customHeight="1" s="700">
      <c r="A352" s="1">
        <f>A351+1</f>
        <v/>
      </c>
      <c r="B352" s="26" t="n">
        <v>45929</v>
      </c>
      <c r="C352" s="1" t="inlineStr">
        <is>
          <t>c/ Las Cruzadas 3A, local D</t>
        </is>
      </c>
      <c r="D352" s="1" t="inlineStr">
        <is>
          <t>Sevilla 41004</t>
        </is>
      </c>
      <c r="E352" s="1" t="inlineStr">
        <is>
          <t>CIF B91938662</t>
        </is>
      </c>
      <c r="F352" s="1" t="inlineStr">
        <is>
          <t>aBalados@abalados.es</t>
        </is>
      </c>
      <c r="G352" s="1" t="inlineStr">
        <is>
          <t>Renovables Brovales Segura de León 400 kV, S.L.</t>
        </is>
      </c>
      <c r="H352" s="1">
        <f>VLOOKUP($G352,DATOS!$B:$E,2,FALSE)</f>
        <v/>
      </c>
      <c r="I352" s="1">
        <f>VLOOKUP($G352,DATOS!$B:$E,3,FALSE)</f>
        <v/>
      </c>
      <c r="J352" s="4">
        <f>VLOOKUP($G352,DATOS!$B:$E,4,FALSE)</f>
        <v/>
      </c>
      <c r="K352" s="1" t="inlineStr">
        <is>
          <t>Contrato de Asset Management - Subestación BrovalesF2</t>
        </is>
      </c>
      <c r="O352" s="1" t="inlineStr">
        <is>
          <t>Fee Trimestral - 01 Julio/30 Septiembre 2025</t>
        </is>
      </c>
      <c r="P352" s="5">
        <f>3* 3025*1.032*1.024</f>
        <v/>
      </c>
      <c r="AB352" s="6" t="inlineStr">
        <is>
          <t>ES85 2080 3509 1130 4009 6171</t>
        </is>
      </c>
      <c r="AC352" s="1" t="inlineStr">
        <is>
          <t>pagado</t>
        </is>
      </c>
      <c r="AD352" s="5">
        <f>L352+N352+P352+R352+T352+V352+X352+Z352</f>
        <v/>
      </c>
      <c r="AE352" s="5">
        <f>IF((LEFT(K352,6))="Contab",L352,0)</f>
        <v/>
      </c>
      <c r="AF352" s="6">
        <f>VLOOKUP(G352,CLIENTES!B:E,4,FALSE)</f>
        <v/>
      </c>
      <c r="AG352" s="5">
        <f>AF352*AE352</f>
        <v/>
      </c>
      <c r="AH352" s="5">
        <f>AD352*1.21</f>
        <v/>
      </c>
      <c r="AI352" s="261">
        <f>IF(AE352&lt;&gt;0,AG352/AD352,"N/A")</f>
        <v/>
      </c>
      <c r="AJ352" s="5">
        <f>IF(AC352="pendiente",AD352,0)</f>
        <v/>
      </c>
      <c r="AK352" s="1">
        <f>VLOOKUP(G352,CLIENTES!B:D,3,FALSE)</f>
        <v/>
      </c>
      <c r="AL352" s="1" t="inlineStr">
        <is>
          <t>nudos</t>
        </is>
      </c>
      <c r="AM352" s="1" t="inlineStr">
        <is>
          <t>Explotación</t>
        </is>
      </c>
    </row>
    <row r="353" ht="15" customHeight="1" s="700">
      <c r="A353" s="1">
        <f>A352+1</f>
        <v/>
      </c>
      <c r="B353" s="26" t="n">
        <v>45929</v>
      </c>
      <c r="C353" s="1" t="inlineStr">
        <is>
          <t>c/ Las Cruzadas 3A, local D</t>
        </is>
      </c>
      <c r="D353" s="1" t="inlineStr">
        <is>
          <t>Sevilla 41004</t>
        </is>
      </c>
      <c r="E353" s="1" t="inlineStr">
        <is>
          <t>CIF B91938662</t>
        </is>
      </c>
      <c r="F353" s="1" t="inlineStr">
        <is>
          <t>aBalados@abalados.es</t>
        </is>
      </c>
      <c r="G353" s="1" t="inlineStr">
        <is>
          <t>Promotores Benejama Generación, S.L.</t>
        </is>
      </c>
      <c r="H353" s="1">
        <f>VLOOKUP($G353,DATOS!$B:$E,2,FALSE)</f>
        <v/>
      </c>
      <c r="I353" s="1">
        <f>VLOOKUP($G353,DATOS!$B:$E,3,FALSE)</f>
        <v/>
      </c>
      <c r="J353" s="4">
        <f>VLOOKUP($G353,DATOS!$B:$E,4,FALSE)</f>
        <v/>
      </c>
      <c r="K353" s="1" t="inlineStr">
        <is>
          <t>Contrato de Asset Management - Subestación Benejama Generación</t>
        </is>
      </c>
      <c r="O353" s="1" t="inlineStr">
        <is>
          <t>Fee Trimestral - 01 Julio/30 Septiembre 2025</t>
        </is>
      </c>
      <c r="P353" s="5">
        <f>3* 1350*1.032*1.023</f>
        <v/>
      </c>
      <c r="AB353" s="6" t="inlineStr">
        <is>
          <t>ES85 2080 3509 1130 4009 6171</t>
        </is>
      </c>
      <c r="AC353" s="1" t="inlineStr">
        <is>
          <t>pendiente</t>
        </is>
      </c>
      <c r="AD353" s="5">
        <f>L353+N353+P353+R353+T353+V353+X353+Z353</f>
        <v/>
      </c>
      <c r="AE353" s="5">
        <f>IF((LEFT(K353,6))="Contab",L353,0)</f>
        <v/>
      </c>
      <c r="AF353" s="6">
        <f>VLOOKUP(G353,CLIENTES!B:E,4,FALSE)</f>
        <v/>
      </c>
      <c r="AG353" s="5">
        <f>AF353*AE353</f>
        <v/>
      </c>
      <c r="AH353" s="5">
        <f>AD353*1.21</f>
        <v/>
      </c>
      <c r="AI353" s="261">
        <f>IF(AE353&lt;&gt;0,AG353/AD353,"N/A")</f>
        <v/>
      </c>
      <c r="AJ353" s="5">
        <f>IF(AC353="pendiente",AD353,0)</f>
        <v/>
      </c>
      <c r="AK353" s="1">
        <f>VLOOKUP(G353,CLIENTES!B:D,3,FALSE)</f>
        <v/>
      </c>
      <c r="AL353" s="1" t="inlineStr">
        <is>
          <t>nudos</t>
        </is>
      </c>
      <c r="AM353" s="1" t="inlineStr">
        <is>
          <t>Promoción</t>
        </is>
      </c>
    </row>
    <row r="354" ht="15" customHeight="1" s="700">
      <c r="A354" s="1">
        <f>A353+1</f>
        <v/>
      </c>
      <c r="B354" s="26" t="n">
        <v>45929</v>
      </c>
      <c r="C354" s="1" t="inlineStr">
        <is>
          <t>c/ Las Cruzadas 3A, local D</t>
        </is>
      </c>
      <c r="D354" s="1" t="inlineStr">
        <is>
          <t>Sevilla 41004</t>
        </is>
      </c>
      <c r="E354" s="1" t="inlineStr">
        <is>
          <t>CIF B91938662</t>
        </is>
      </c>
      <c r="F354" s="1" t="inlineStr">
        <is>
          <t>aBalados@abalados.es</t>
        </is>
      </c>
      <c r="G354" s="1" t="inlineStr">
        <is>
          <t>ICE Santa Engracia, S.L.</t>
        </is>
      </c>
      <c r="H354" s="1">
        <f>VLOOKUP($G354,DATOS!$B:$E,2,FALSE)</f>
        <v/>
      </c>
      <c r="I354" s="1">
        <f>VLOOKUP($G354,DATOS!$B:$E,3,FALSE)</f>
        <v/>
      </c>
      <c r="J354" s="4">
        <f>VLOOKUP($G354,DATOS!$B:$E,4,FALSE)</f>
        <v/>
      </c>
      <c r="K354" s="1" t="inlineStr">
        <is>
          <t>Contrato de Asset Management - Subestación Santa Engracia</t>
        </is>
      </c>
      <c r="O354" s="1" t="inlineStr">
        <is>
          <t>Fee Trimestral - 01 Julio / Fin contrato (30 Septiembre 2025)</t>
        </is>
      </c>
      <c r="P354" s="5">
        <f>3* 1350*1.033*1.022</f>
        <v/>
      </c>
      <c r="AB354" s="6" t="inlineStr">
        <is>
          <t>ES85 2080 3509 1130 4009 6171</t>
        </is>
      </c>
      <c r="AC354" s="1" t="inlineStr">
        <is>
          <t>pendiente</t>
        </is>
      </c>
      <c r="AD354" s="5">
        <f>L354+N354+P354+R354+T354+V354+X354+Z354</f>
        <v/>
      </c>
      <c r="AE354" s="5">
        <f>IF((LEFT(K354,6))="Contab",L354,0)</f>
        <v/>
      </c>
      <c r="AF354" s="6">
        <f>VLOOKUP(G354,CLIENTES!B:E,4,FALSE)</f>
        <v/>
      </c>
      <c r="AG354" s="5">
        <f>AF354*AE354</f>
        <v/>
      </c>
      <c r="AH354" s="5">
        <f>AD354*1.21</f>
        <v/>
      </c>
      <c r="AI354" s="261">
        <f>IF(AE354&lt;&gt;0,AG354/AD354,"N/A")</f>
        <v/>
      </c>
      <c r="AJ354" s="5">
        <f>IF(AC354="pendiente",AD354,0)</f>
        <v/>
      </c>
      <c r="AK354" s="1">
        <f>VLOOKUP(G354,CLIENTES!B:D,3,FALSE)</f>
        <v/>
      </c>
      <c r="AL354" s="1" t="inlineStr">
        <is>
          <t>nudos</t>
        </is>
      </c>
      <c r="AM354" s="1" t="inlineStr">
        <is>
          <t>Promoción</t>
        </is>
      </c>
    </row>
    <row r="355" ht="15" customHeight="1" s="700">
      <c r="A355" s="1">
        <f>A354+1</f>
        <v/>
      </c>
      <c r="B355" s="26" t="n">
        <v>45929</v>
      </c>
      <c r="C355" s="1" t="inlineStr">
        <is>
          <t>c/ Las Cruzadas 3A, local D</t>
        </is>
      </c>
      <c r="D355" s="1" t="inlineStr">
        <is>
          <t>Sevilla 41004</t>
        </is>
      </c>
      <c r="E355" s="1" t="inlineStr">
        <is>
          <t>CIF B91938662</t>
        </is>
      </c>
      <c r="F355" s="1" t="inlineStr">
        <is>
          <t>aBalados@abalados.es</t>
        </is>
      </c>
      <c r="G355" s="1" t="inlineStr">
        <is>
          <t>Becerril Renovables, S.L.</t>
        </is>
      </c>
      <c r="H355" s="1">
        <f>VLOOKUP($G355,DATOS!$B:$E,2,FALSE)</f>
        <v/>
      </c>
      <c r="I355" s="1">
        <f>VLOOKUP($G355,DATOS!$B:$E,3,FALSE)</f>
        <v/>
      </c>
      <c r="J355" s="4">
        <f>VLOOKUP($G355,DATOS!$B:$E,4,FALSE)</f>
        <v/>
      </c>
      <c r="K355" s="1" t="inlineStr">
        <is>
          <t>Contrato de Asset Management - Subestación Becerril</t>
        </is>
      </c>
      <c r="O355" s="1" t="inlineStr">
        <is>
          <t>Fee Trimestral - 01 Julio/30 Septiembre 2025</t>
        </is>
      </c>
      <c r="P355" s="5">
        <f>3* 2875*1.028*1.03</f>
        <v/>
      </c>
      <c r="Q355" s="1" t="inlineStr">
        <is>
          <t>Fee aplicable Explotación (2.875€/mes): Inicio en 20 Mayo 2025</t>
        </is>
      </c>
      <c r="S355" s="1" t="inlineStr">
        <is>
          <t>Regularización Fee Explotación (20 Mayo - 30 Junio 2025)</t>
        </is>
      </c>
      <c r="T355" s="5">
        <f>(12/31)*(2875-1350)*1.028*1.03  +  (2875-1350)*1.028*1.03</f>
        <v/>
      </c>
      <c r="AB355" s="6" t="inlineStr">
        <is>
          <t>ES85 2080 3509 1130 4009 6171</t>
        </is>
      </c>
      <c r="AC355" s="1" t="inlineStr">
        <is>
          <t>pendiente</t>
        </is>
      </c>
      <c r="AD355" s="5">
        <f>L355+N355+P355+R355+T355+V355+X355+Z355</f>
        <v/>
      </c>
      <c r="AE355" s="5">
        <f>IF((LEFT(K355,6))="Contab",L355,0)</f>
        <v/>
      </c>
      <c r="AF355" s="6">
        <f>VLOOKUP(G355,CLIENTES!B:E,4,FALSE)</f>
        <v/>
      </c>
      <c r="AG355" s="5">
        <f>AF355*AE355</f>
        <v/>
      </c>
      <c r="AH355" s="5">
        <f>AD355*1.21</f>
        <v/>
      </c>
      <c r="AI355" s="261">
        <f>IF(AE355&lt;&gt;0,AG355/AD355,"N/A")</f>
        <v/>
      </c>
      <c r="AJ355" s="5">
        <f>IF(AC355="pendiente",AD355,0)</f>
        <v/>
      </c>
      <c r="AK355" s="1">
        <f>VLOOKUP(G355,CLIENTES!B:D,3,FALSE)</f>
        <v/>
      </c>
      <c r="AL355" s="1" t="inlineStr">
        <is>
          <t>nudos</t>
        </is>
      </c>
      <c r="AM355" s="1" t="inlineStr">
        <is>
          <t>Explotación</t>
        </is>
      </c>
    </row>
    <row r="356" ht="15" customHeight="1" s="700">
      <c r="A356" s="1">
        <f>A355+1</f>
        <v/>
      </c>
      <c r="B356" s="26" t="n">
        <v>45929</v>
      </c>
      <c r="C356" s="1" t="inlineStr">
        <is>
          <t>c/ Las Cruzadas 3A, local D</t>
        </is>
      </c>
      <c r="D356" s="1" t="inlineStr">
        <is>
          <t>Sevilla 41004</t>
        </is>
      </c>
      <c r="E356" s="1" t="inlineStr">
        <is>
          <t>CIF B91938662</t>
        </is>
      </c>
      <c r="F356" s="1" t="inlineStr">
        <is>
          <t>aBalados@abalados.es</t>
        </is>
      </c>
      <c r="G356" s="1" t="inlineStr">
        <is>
          <t>Transformadora Almodóvar Renovables, S.L.</t>
        </is>
      </c>
      <c r="H356" s="1">
        <f>VLOOKUP($G356,DATOS!$B:$E,2,FALSE)</f>
        <v/>
      </c>
      <c r="I356" s="1">
        <f>VLOOKUP($G356,DATOS!$B:$E,3,FALSE)</f>
        <v/>
      </c>
      <c r="J356" s="4">
        <f>VLOOKUP($G356,DATOS!$B:$E,4,FALSE)</f>
        <v/>
      </c>
      <c r="K356" s="1" t="inlineStr">
        <is>
          <t>Contrato de Asset Management - Subestación Almodóvar</t>
        </is>
      </c>
      <c r="O356" s="1" t="inlineStr">
        <is>
          <t>Fee Trimestral - 01 Julio/30 Septiembre 2025</t>
        </is>
      </c>
      <c r="P356" s="5">
        <f>3* 1350*1.032*1.024</f>
        <v/>
      </c>
      <c r="AB356" s="6" t="inlineStr">
        <is>
          <t>ES85 2080 3509 1130 4009 6171</t>
        </is>
      </c>
      <c r="AC356" s="1" t="inlineStr">
        <is>
          <t>pendiente</t>
        </is>
      </c>
      <c r="AD356" s="5">
        <f>L356+N356+P356+R356+T356+V356+X356+Z356</f>
        <v/>
      </c>
      <c r="AE356" s="5">
        <f>IF((LEFT(K356,6))="Contab",L356,0)</f>
        <v/>
      </c>
      <c r="AF356" s="6">
        <f>VLOOKUP(G356,CLIENTES!B:E,4,FALSE)</f>
        <v/>
      </c>
      <c r="AG356" s="5">
        <f>AF356*AE356</f>
        <v/>
      </c>
      <c r="AH356" s="5">
        <f>AD356*1.21</f>
        <v/>
      </c>
      <c r="AI356" s="261">
        <f>IF(AE356&lt;&gt;0,AG356/AD356,"N/A")</f>
        <v/>
      </c>
      <c r="AJ356" s="5">
        <f>IF(AC356="pendiente",AD356,0)</f>
        <v/>
      </c>
      <c r="AK356" s="1">
        <f>VLOOKUP(G356,CLIENTES!B:D,3,FALSE)</f>
        <v/>
      </c>
      <c r="AL356" s="1" t="inlineStr">
        <is>
          <t>nudos</t>
        </is>
      </c>
      <c r="AM356" s="1" t="inlineStr">
        <is>
          <t>Explotación</t>
        </is>
      </c>
    </row>
    <row r="357" ht="15" customHeight="1" s="700">
      <c r="A357" s="1">
        <f>A356+1</f>
        <v/>
      </c>
      <c r="B357" s="26" t="n">
        <v>45929</v>
      </c>
      <c r="C357" s="1" t="inlineStr">
        <is>
          <t>c/ Las Cruzadas 3A, local D</t>
        </is>
      </c>
      <c r="D357" s="1" t="inlineStr">
        <is>
          <t>Sevilla 41004</t>
        </is>
      </c>
      <c r="E357" s="1" t="inlineStr">
        <is>
          <t>CIF B91938662</t>
        </is>
      </c>
      <c r="F357" s="1" t="inlineStr">
        <is>
          <t>aBalados@abalados.es</t>
        </is>
      </c>
      <c r="G357" s="1" t="inlineStr">
        <is>
          <t>Teodomiro Renovables, S.L.</t>
        </is>
      </c>
      <c r="H357" s="1">
        <f>VLOOKUP($G357,DATOS!$B:$E,2,FALSE)</f>
        <v/>
      </c>
      <c r="I357" s="1">
        <f>VLOOKUP($G357,DATOS!$B:$E,3,FALSE)</f>
        <v/>
      </c>
      <c r="J357" s="4">
        <f>VLOOKUP($G357,DATOS!$B:$E,4,FALSE)</f>
        <v/>
      </c>
      <c r="K357" s="1" t="inlineStr">
        <is>
          <t>Contrato de Asset Management - Subestación Teodomiro</t>
        </is>
      </c>
      <c r="O357" s="1" t="inlineStr">
        <is>
          <t>Fee Trimestral - 01 Julio/30 Septiembre 2025</t>
        </is>
      </c>
      <c r="P357" s="5">
        <f>3* 2950*1.032*1.023</f>
        <v/>
      </c>
      <c r="AB357" s="6" t="inlineStr">
        <is>
          <t>ES85 2080 3509 1130 4009 6171</t>
        </is>
      </c>
      <c r="AC357" s="1" t="inlineStr">
        <is>
          <t>pagado</t>
        </is>
      </c>
      <c r="AD357" s="5">
        <f>L357+N357+P357+R357+T357+V357+X357+Z357</f>
        <v/>
      </c>
      <c r="AE357" s="5">
        <f>IF((LEFT(K357,6))="Contab",L357,0)</f>
        <v/>
      </c>
      <c r="AF357" s="6">
        <f>VLOOKUP(G357,CLIENTES!B:E,4,FALSE)</f>
        <v/>
      </c>
      <c r="AG357" s="5">
        <f>AF357*AE357</f>
        <v/>
      </c>
      <c r="AH357" s="5">
        <f>AD357*1.21</f>
        <v/>
      </c>
      <c r="AI357" s="261">
        <f>IF(AE357&lt;&gt;0,AG357/AD357,"N/A")</f>
        <v/>
      </c>
      <c r="AJ357" s="5">
        <f>IF(AC357="pendiente",AD357,0)</f>
        <v/>
      </c>
      <c r="AK357" s="1">
        <f>VLOOKUP(G357,CLIENTES!B:D,3,FALSE)</f>
        <v/>
      </c>
      <c r="AL357" s="1" t="inlineStr">
        <is>
          <t>nudos</t>
        </is>
      </c>
      <c r="AM357" s="1" t="inlineStr">
        <is>
          <t>Explotación</t>
        </is>
      </c>
    </row>
    <row r="358" ht="15" customHeight="1" s="700">
      <c r="A358" s="1">
        <f>A357+1</f>
        <v/>
      </c>
      <c r="B358" s="26" t="n">
        <v>45929</v>
      </c>
      <c r="C358" s="1" t="inlineStr">
        <is>
          <t>c/ Las Cruzadas 3A, local D</t>
        </is>
      </c>
      <c r="D358" s="1" t="inlineStr">
        <is>
          <t>Sevilla 41004</t>
        </is>
      </c>
      <c r="E358" s="1" t="inlineStr">
        <is>
          <t>CIF B91938662</t>
        </is>
      </c>
      <c r="F358" s="1" t="inlineStr">
        <is>
          <t>aBalados@abalados.es</t>
        </is>
      </c>
      <c r="G358" s="1" t="inlineStr">
        <is>
          <t>Nudo SE Zaratan 220 kV, S.L.</t>
        </is>
      </c>
      <c r="H358" s="1">
        <f>VLOOKUP($G358,DATOS!$B:$E,2,FALSE)</f>
        <v/>
      </c>
      <c r="I358" s="1">
        <f>VLOOKUP($G358,DATOS!$B:$E,3,FALSE)</f>
        <v/>
      </c>
      <c r="J358" s="4">
        <f>VLOOKUP($G358,DATOS!$B:$E,4,FALSE)</f>
        <v/>
      </c>
      <c r="K358" s="1" t="inlineStr">
        <is>
          <t>Contrato de Asset Management - Subestación Ciguñuela</t>
        </is>
      </c>
      <c r="O358" s="1" t="inlineStr">
        <is>
          <t>Fee Trimestral - 01 Julio/30 Septiembre 2025</t>
        </is>
      </c>
      <c r="P358" s="5">
        <f>3* 1350*1.034*1.023</f>
        <v/>
      </c>
      <c r="Q358" s="1" t="inlineStr">
        <is>
          <t>Tasa actualización IPC General (Junio 2024 - Junio 2025): 2,3%</t>
        </is>
      </c>
      <c r="U358" s="1" t="inlineStr">
        <is>
          <t>Regularización IPC trimestre anterior (27Junio-30Junio 2025)</t>
        </is>
      </c>
      <c r="V358" s="5">
        <f>1350*1.034*(4/30)*0.023</f>
        <v/>
      </c>
      <c r="AB358" s="6" t="inlineStr">
        <is>
          <t>ES85 2080 3509 1130 4009 6171</t>
        </is>
      </c>
      <c r="AC358" s="1" t="inlineStr">
        <is>
          <t>pendiente</t>
        </is>
      </c>
      <c r="AD358" s="5">
        <f>L358+N358+P358+R358+T358+V358+X358+Z358</f>
        <v/>
      </c>
      <c r="AE358" s="5">
        <f>IF((LEFT(K358,6))="Contab",L358,0)</f>
        <v/>
      </c>
      <c r="AF358" s="6">
        <f>VLOOKUP(G358,CLIENTES!B:E,4,FALSE)</f>
        <v/>
      </c>
      <c r="AG358" s="5">
        <f>AF358*AE358</f>
        <v/>
      </c>
      <c r="AH358" s="5">
        <f>AD358*1.21</f>
        <v/>
      </c>
      <c r="AI358" s="261">
        <f>IF(AE358&lt;&gt;0,AG358/AD358,"N/A")</f>
        <v/>
      </c>
      <c r="AJ358" s="5">
        <f>IF(AC358="pendiente",AD358,0)</f>
        <v/>
      </c>
      <c r="AK358" s="1">
        <f>VLOOKUP(G358,CLIENTES!B:D,3,FALSE)</f>
        <v/>
      </c>
      <c r="AL358" s="1" t="inlineStr">
        <is>
          <t>nudos</t>
        </is>
      </c>
      <c r="AM358" s="1" t="inlineStr">
        <is>
          <t>Promoción</t>
        </is>
      </c>
    </row>
    <row r="359" ht="15" customHeight="1" s="700">
      <c r="A359" s="1">
        <f>A358+1</f>
        <v/>
      </c>
      <c r="B359" s="26" t="n">
        <v>45929</v>
      </c>
      <c r="C359" s="1" t="inlineStr">
        <is>
          <t>c/ Las Cruzadas 3A, local D</t>
        </is>
      </c>
      <c r="D359" s="1" t="inlineStr">
        <is>
          <t>Sevilla 41004</t>
        </is>
      </c>
      <c r="E359" s="1" t="inlineStr">
        <is>
          <t>CIF B91938662</t>
        </is>
      </c>
      <c r="F359" s="1" t="inlineStr">
        <is>
          <t>aBalados@abalados.es</t>
        </is>
      </c>
      <c r="G359" s="1" t="inlineStr">
        <is>
          <t>Las Monas Gallego, A.I.E.</t>
        </is>
      </c>
      <c r="H359" s="1">
        <f>VLOOKUP($G359,DATOS!$B:$E,2,FALSE)</f>
        <v/>
      </c>
      <c r="I359" s="1">
        <f>VLOOKUP($G359,DATOS!$B:$E,3,FALSE)</f>
        <v/>
      </c>
      <c r="J359" s="4">
        <f>VLOOKUP($G359,DATOS!$B:$E,4,FALSE)</f>
        <v/>
      </c>
      <c r="K359" s="1" t="inlineStr">
        <is>
          <t>Contrato de Asset Management - Subestación Las Monas</t>
        </is>
      </c>
      <c r="O359" s="1" t="inlineStr">
        <is>
          <t>Fee Trimestral - 01 Julio/30 Septiembre 2025</t>
        </is>
      </c>
      <c r="P359" s="5">
        <f>3* 1350*1.015</f>
        <v/>
      </c>
      <c r="Q359" s="1" t="inlineStr">
        <is>
          <t>Tasa actualización IPC General (Septiembre 2024 - Septiembre 2025) no disponible</t>
        </is>
      </c>
      <c r="S359" s="5" t="n"/>
      <c r="AB359" s="6" t="inlineStr">
        <is>
          <t>ES85 2080 3509 1130 4009 6171</t>
        </is>
      </c>
      <c r="AC359" s="1" t="inlineStr">
        <is>
          <t>pendiente</t>
        </is>
      </c>
      <c r="AD359" s="5">
        <f>L359+N359+P359+R359+T359+V359+X359+Z359</f>
        <v/>
      </c>
      <c r="AE359" s="5">
        <f>IF((LEFT(K359,6))="Contab",L359,0)</f>
        <v/>
      </c>
      <c r="AF359" s="6">
        <f>VLOOKUP(G359,CLIENTES!B:E,4,FALSE)</f>
        <v/>
      </c>
      <c r="AG359" s="5">
        <f>AF359*AE359</f>
        <v/>
      </c>
      <c r="AH359" s="5">
        <f>AD359*1.21</f>
        <v/>
      </c>
      <c r="AI359" s="261">
        <f>IF(AE359&lt;&gt;0,AG359/AD359,"N/A")</f>
        <v/>
      </c>
      <c r="AJ359" s="5">
        <f>IF(AC359="pendiente",AD359,0)</f>
        <v/>
      </c>
      <c r="AK359" s="1">
        <f>VLOOKUP(G359,CLIENTES!B:D,3,FALSE)</f>
        <v/>
      </c>
      <c r="AL359" s="1" t="inlineStr">
        <is>
          <t>nudos</t>
        </is>
      </c>
      <c r="AM359" s="1" t="inlineStr">
        <is>
          <t>Promoción</t>
        </is>
      </c>
    </row>
    <row r="360" ht="15" customHeight="1" s="700">
      <c r="A360" s="1">
        <f>A359+1</f>
        <v/>
      </c>
      <c r="B360" s="26" t="n">
        <v>45929</v>
      </c>
      <c r="C360" s="1" t="inlineStr">
        <is>
          <t>c/ Las Cruzadas 3A, local D</t>
        </is>
      </c>
      <c r="D360" s="1" t="inlineStr">
        <is>
          <t>Sevilla 41004</t>
        </is>
      </c>
      <c r="E360" s="1" t="inlineStr">
        <is>
          <t>CIF B91938662</t>
        </is>
      </c>
      <c r="F360" s="1" t="inlineStr">
        <is>
          <t>aBalados@abalados.es</t>
        </is>
      </c>
      <c r="G360" s="1" t="inlineStr">
        <is>
          <t>Maria Renovables, S.L.</t>
        </is>
      </c>
      <c r="H360" s="1">
        <f>VLOOKUP($G360,DATOS!$B:$E,2,FALSE)</f>
        <v/>
      </c>
      <c r="I360" s="1">
        <f>VLOOKUP($G360,DATOS!$B:$E,3,FALSE)</f>
        <v/>
      </c>
      <c r="J360" s="4">
        <f>VLOOKUP($G360,DATOS!$B:$E,4,FALSE)</f>
        <v/>
      </c>
      <c r="K360" s="1" t="inlineStr">
        <is>
          <t>Contrato de Asset Management - Subestación María</t>
        </is>
      </c>
      <c r="O360" s="1" t="inlineStr">
        <is>
          <t>Fee Trimestral - 01 Julio/30 Septiembre 2025</t>
        </is>
      </c>
      <c r="P360" s="5">
        <f>3* 1350*1.034*1.029</f>
        <v/>
      </c>
      <c r="AB360" s="6" t="inlineStr">
        <is>
          <t>ES85 2080 3509 1130 4009 6171</t>
        </is>
      </c>
      <c r="AC360" s="1" t="inlineStr">
        <is>
          <t>pendiente</t>
        </is>
      </c>
      <c r="AD360" s="5">
        <f>L360+N360+P360+R360+T360+V360+X360+Z360</f>
        <v/>
      </c>
      <c r="AE360" s="5">
        <f>IF((LEFT(K360,6))="Contab",L360,0)</f>
        <v/>
      </c>
      <c r="AF360" s="6">
        <f>VLOOKUP(G360,CLIENTES!B:E,4,FALSE)</f>
        <v/>
      </c>
      <c r="AG360" s="5">
        <f>AF360*AE360</f>
        <v/>
      </c>
      <c r="AH360" s="5">
        <f>AD360*1.21</f>
        <v/>
      </c>
      <c r="AI360" s="261">
        <f>IF(AE360&lt;&gt;0,AG360/AD360,"N/A")</f>
        <v/>
      </c>
      <c r="AJ360" s="5">
        <f>IF(AC360="pendiente",AD360,0)</f>
        <v/>
      </c>
      <c r="AK360" s="1">
        <f>VLOOKUP(G360,CLIENTES!B:D,3,FALSE)</f>
        <v/>
      </c>
      <c r="AL360" s="1" t="inlineStr">
        <is>
          <t>nudos</t>
        </is>
      </c>
      <c r="AM360" s="1" t="inlineStr">
        <is>
          <t>Promoción</t>
        </is>
      </c>
    </row>
    <row r="361" ht="15" customHeight="1" s="700">
      <c r="A361" s="1">
        <f>A360+1</f>
        <v/>
      </c>
      <c r="B361" s="26" t="n">
        <v>45929</v>
      </c>
      <c r="C361" s="1" t="inlineStr">
        <is>
          <t>c/ Las Cruzadas 3A, local D</t>
        </is>
      </c>
      <c r="D361" s="1" t="inlineStr">
        <is>
          <t>Sevilla 41004</t>
        </is>
      </c>
      <c r="E361" s="1" t="inlineStr">
        <is>
          <t>CIF B91938662</t>
        </is>
      </c>
      <c r="F361" s="1" t="inlineStr">
        <is>
          <t>aBalados@abalados.es</t>
        </is>
      </c>
      <c r="G361" s="1" t="inlineStr">
        <is>
          <t>Escatrón Promotores 400 y 220, S.L.</t>
        </is>
      </c>
      <c r="H361" s="1">
        <f>VLOOKUP($G361,DATOS!$B:$E,2,FALSE)</f>
        <v/>
      </c>
      <c r="I361" s="1">
        <f>VLOOKUP($G361,DATOS!$B:$E,3,FALSE)</f>
        <v/>
      </c>
      <c r="J361" s="4">
        <f>VLOOKUP($G361,DATOS!$B:$E,4,FALSE)</f>
        <v/>
      </c>
      <c r="K361" s="1" t="inlineStr">
        <is>
          <t>Contrato de Asset Management - Subestación Escatrón</t>
        </is>
      </c>
      <c r="O361" s="1" t="inlineStr">
        <is>
          <t>Fee Trimestral - 01 Julio/30 Septiembre 2025</t>
        </is>
      </c>
      <c r="P361" s="5">
        <f>3* 1350*1.032*1.023</f>
        <v/>
      </c>
      <c r="AB361" s="6" t="inlineStr">
        <is>
          <t>ES85 2080 3509 1130 4009 6171</t>
        </is>
      </c>
      <c r="AC361" s="1" t="inlineStr">
        <is>
          <t>pendiente</t>
        </is>
      </c>
      <c r="AD361" s="5">
        <f>L361+N361+P361+R361+T361+V361+X361+Z361</f>
        <v/>
      </c>
      <c r="AE361" s="5">
        <f>IF((LEFT(K361,6))="Contab",L361,0)</f>
        <v/>
      </c>
      <c r="AF361" s="6">
        <f>VLOOKUP(G361,CLIENTES!B:E,4,FALSE)</f>
        <v/>
      </c>
      <c r="AG361" s="5">
        <f>AF361*AE361</f>
        <v/>
      </c>
      <c r="AH361" s="5">
        <f>AD361*1.21</f>
        <v/>
      </c>
      <c r="AI361" s="261">
        <f>IF(AE361&lt;&gt;0,AG361/AD361,"N/A")</f>
        <v/>
      </c>
      <c r="AJ361" s="5">
        <f>IF(AC361="pendiente",AD361,0)</f>
        <v/>
      </c>
      <c r="AK361" s="1">
        <f>VLOOKUP(G361,CLIENTES!B:D,3,FALSE)</f>
        <v/>
      </c>
      <c r="AL361" s="1" t="inlineStr">
        <is>
          <t>nudos</t>
        </is>
      </c>
      <c r="AM361" s="1" t="inlineStr">
        <is>
          <t>Promoción</t>
        </is>
      </c>
    </row>
    <row r="362" ht="15" customHeight="1" s="700">
      <c r="A362" s="1">
        <f>A361+1</f>
        <v/>
      </c>
      <c r="B362" s="26" t="n">
        <v>45929</v>
      </c>
      <c r="C362" s="1" t="inlineStr">
        <is>
          <t>c/ Las Cruzadas 3A, local D</t>
        </is>
      </c>
      <c r="D362" s="1" t="inlineStr">
        <is>
          <t>Sevilla 41004</t>
        </is>
      </c>
      <c r="E362" s="1" t="inlineStr">
        <is>
          <t>CIF B91938662</t>
        </is>
      </c>
      <c r="F362" s="1" t="inlineStr">
        <is>
          <t>aBalados@abalados.es</t>
        </is>
      </c>
      <c r="G362" s="1" t="inlineStr">
        <is>
          <t>Comunidad de Bienes Grupotec Rotonda</t>
        </is>
      </c>
      <c r="H362" s="1">
        <f>VLOOKUP($G362,DATOS!$B:$E,2,FALSE)</f>
        <v/>
      </c>
      <c r="I362" s="1">
        <f>VLOOKUP($G362,DATOS!$B:$E,3,FALSE)</f>
        <v/>
      </c>
      <c r="J362" s="4">
        <f>VLOOKUP($G362,DATOS!$B:$E,4,FALSE)</f>
        <v/>
      </c>
      <c r="K362" s="1" t="inlineStr">
        <is>
          <t>Contrato de Asset Management - Subestación Almansol</t>
        </is>
      </c>
      <c r="O362" s="1" t="inlineStr">
        <is>
          <t>Fee Trimestral - 01 Julio/30 Septiembre 2025</t>
        </is>
      </c>
      <c r="P362" s="5">
        <f>3* 2960*1.024</f>
        <v/>
      </c>
      <c r="AB362" s="6" t="inlineStr">
        <is>
          <t>ES85 2080 3509 1130 4009 6171</t>
        </is>
      </c>
      <c r="AC362" s="1" t="inlineStr">
        <is>
          <t>pagado</t>
        </is>
      </c>
      <c r="AD362" s="5">
        <f>L362+N362+P362+R362+T362+V362+X362+Z362</f>
        <v/>
      </c>
      <c r="AE362" s="5">
        <f>IF((LEFT(K362,6))="Contab",L362,0)</f>
        <v/>
      </c>
      <c r="AF362" s="6">
        <f>VLOOKUP(G362,CLIENTES!B:E,4,FALSE)</f>
        <v/>
      </c>
      <c r="AG362" s="5">
        <f>AF362*AE362</f>
        <v/>
      </c>
      <c r="AH362" s="5">
        <f>AD362*1.21</f>
        <v/>
      </c>
      <c r="AI362" s="261">
        <f>IF(AE362&lt;&gt;0,AG362/AD362,"N/A")</f>
        <v/>
      </c>
      <c r="AJ362" s="5">
        <f>IF(AC362="pendiente",AD362,0)</f>
        <v/>
      </c>
      <c r="AK362" s="1">
        <f>VLOOKUP(G362,CLIENTES!B:D,3,FALSE)</f>
        <v/>
      </c>
      <c r="AL362" s="1" t="inlineStr">
        <is>
          <t>nudos</t>
        </is>
      </c>
      <c r="AM362" s="1" t="inlineStr">
        <is>
          <t>Explotación</t>
        </is>
      </c>
    </row>
    <row r="363" ht="15" customHeight="1" s="700">
      <c r="A363" s="1">
        <f>A362+1</f>
        <v/>
      </c>
      <c r="B363" s="26" t="n">
        <v>45929</v>
      </c>
      <c r="C363" s="1" t="inlineStr">
        <is>
          <t>c/ Las Cruzadas 3A, local D</t>
        </is>
      </c>
      <c r="D363" s="1" t="inlineStr">
        <is>
          <t>Sevilla 41004</t>
        </is>
      </c>
      <c r="E363" s="1" t="inlineStr">
        <is>
          <t>CIF B91938662</t>
        </is>
      </c>
      <c r="F363" s="1" t="inlineStr">
        <is>
          <t>aBalados@abalados.es</t>
        </is>
      </c>
      <c r="G363" s="1" t="inlineStr">
        <is>
          <t>ICE Sequero, S.L.</t>
        </is>
      </c>
      <c r="H363" s="1">
        <f>VLOOKUP($G363,DATOS!$B:$E,2,FALSE)</f>
        <v/>
      </c>
      <c r="I363" s="1">
        <f>VLOOKUP($G363,DATOS!$B:$E,3,FALSE)</f>
        <v/>
      </c>
      <c r="J363" s="4">
        <f>VLOOKUP($G363,DATOS!$B:$E,4,FALSE)</f>
        <v/>
      </c>
      <c r="K363" s="1" t="inlineStr">
        <is>
          <t>Contrato de Asset Management - Subestación Colectora Sequero</t>
        </is>
      </c>
      <c r="O363" s="1" t="inlineStr">
        <is>
          <t>Fee Trimestral - 01 Julio/30 Septiembre 2025</t>
        </is>
      </c>
      <c r="P363" s="5">
        <f>3* 1350*1.015</f>
        <v/>
      </c>
      <c r="Q363" s="1" t="inlineStr">
        <is>
          <t>Tasa actualización IPC General (Septiembre 2024 - Septiembre 2025) no disponible</t>
        </is>
      </c>
      <c r="S363" s="5" t="n"/>
      <c r="AB363" s="6" t="inlineStr">
        <is>
          <t>ES85 2080 3509 1130 4009 6171</t>
        </is>
      </c>
      <c r="AC363" s="1" t="inlineStr">
        <is>
          <t>pendiente</t>
        </is>
      </c>
      <c r="AD363" s="5">
        <f>L363+N363+P363+R363+T363+V363+X363+Z363</f>
        <v/>
      </c>
      <c r="AE363" s="5">
        <f>IF((LEFT(K363,6))="Contab",L363,0)</f>
        <v/>
      </c>
      <c r="AF363" s="6">
        <f>VLOOKUP(G363,CLIENTES!B:E,4,FALSE)</f>
        <v/>
      </c>
      <c r="AG363" s="5">
        <f>AF363*AE363</f>
        <v/>
      </c>
      <c r="AH363" s="5">
        <f>AD363*1.21</f>
        <v/>
      </c>
      <c r="AI363" s="261">
        <f>IF(AE363&lt;&gt;0,AG363/AD363,"N/A")</f>
        <v/>
      </c>
      <c r="AJ363" s="5">
        <f>IF(AC363="pendiente",AD363,0)</f>
        <v/>
      </c>
      <c r="AK363" s="1">
        <f>VLOOKUP(G363,CLIENTES!B:D,3,FALSE)</f>
        <v/>
      </c>
      <c r="AL363" s="1" t="inlineStr">
        <is>
          <t>nudos</t>
        </is>
      </c>
      <c r="AM363" s="1" t="inlineStr">
        <is>
          <t>Promoción</t>
        </is>
      </c>
    </row>
    <row r="364" ht="15" customHeight="1" s="700">
      <c r="A364" s="1">
        <f>A363+1</f>
        <v/>
      </c>
      <c r="B364" s="26" t="n">
        <v>45929</v>
      </c>
      <c r="C364" s="1" t="inlineStr">
        <is>
          <t>c/ Las Cruzadas 3A, local D</t>
        </is>
      </c>
      <c r="D364" s="1" t="inlineStr">
        <is>
          <t>Sevilla 41004</t>
        </is>
      </c>
      <c r="E364" s="1" t="inlineStr">
        <is>
          <t>CIF B91938662</t>
        </is>
      </c>
      <c r="F364" s="1" t="inlineStr">
        <is>
          <t>aBalados@abalados.es</t>
        </is>
      </c>
      <c r="G364" s="1" t="inlineStr">
        <is>
          <t>Renedo Renovables, S.L.</t>
        </is>
      </c>
      <c r="H364" s="1">
        <f>VLOOKUP($G364,DATOS!$B:$E,2,FALSE)</f>
        <v/>
      </c>
      <c r="I364" s="1">
        <f>VLOOKUP($G364,DATOS!$B:$E,3,FALSE)</f>
        <v/>
      </c>
      <c r="J364" s="4">
        <f>VLOOKUP($G364,DATOS!$B:$E,4,FALSE)</f>
        <v/>
      </c>
      <c r="K364" s="1" t="inlineStr">
        <is>
          <t>Contrato de Asset Management - Nudo Renedo</t>
        </is>
      </c>
      <c r="O364" s="1" t="inlineStr">
        <is>
          <t>Fee Trimestral - 01 Julio/30 Septiembre 2025</t>
        </is>
      </c>
      <c r="P364" s="5">
        <f>3* 2295*1.018</f>
        <v/>
      </c>
      <c r="AB364" s="6" t="inlineStr">
        <is>
          <t>ES85 2080 3509 1130 4009 6171</t>
        </is>
      </c>
      <c r="AC364" s="1" t="inlineStr">
        <is>
          <t>pendiente</t>
        </is>
      </c>
      <c r="AD364" s="5">
        <f>L364+N364+P364+R364+T364+V364+X364+Z364</f>
        <v/>
      </c>
      <c r="AE364" s="5">
        <f>IF((LEFT(K364,6))="Contab",L364,0)</f>
        <v/>
      </c>
      <c r="AF364" s="6">
        <f>VLOOKUP(G364,CLIENTES!B:E,4,FALSE)</f>
        <v/>
      </c>
      <c r="AG364" s="5">
        <f>AF364*AE364</f>
        <v/>
      </c>
      <c r="AH364" s="5">
        <f>AD364*1.21</f>
        <v/>
      </c>
      <c r="AI364" s="261">
        <f>IF(AE364&lt;&gt;0,AG364/AD364,"N/A")</f>
        <v/>
      </c>
      <c r="AJ364" s="5">
        <f>IF(AC364="pendiente",AD364,0)</f>
        <v/>
      </c>
      <c r="AK364" s="1">
        <f>VLOOKUP(G364,CLIENTES!B:D,3,FALSE)</f>
        <v/>
      </c>
      <c r="AL364" s="1" t="inlineStr">
        <is>
          <t>nudos</t>
        </is>
      </c>
      <c r="AM364" s="1" t="inlineStr">
        <is>
          <t>Promoción</t>
        </is>
      </c>
    </row>
    <row r="365" ht="15" customHeight="1" s="700">
      <c r="A365" s="1">
        <f>A364+1</f>
        <v/>
      </c>
      <c r="B365" s="26" t="n">
        <v>45929</v>
      </c>
      <c r="C365" s="1" t="inlineStr">
        <is>
          <t>c/ Las Cruzadas 3A, local D</t>
        </is>
      </c>
      <c r="D365" s="1" t="inlineStr">
        <is>
          <t>Sevilla 41004</t>
        </is>
      </c>
      <c r="E365" s="1" t="inlineStr">
        <is>
          <t>CIF B91938662</t>
        </is>
      </c>
      <c r="F365" s="1" t="inlineStr">
        <is>
          <t>aBalados@abalados.es</t>
        </is>
      </c>
      <c r="G365" s="1" t="inlineStr">
        <is>
          <t>Irina Generación 220, A.I.E.</t>
        </is>
      </c>
      <c r="H365" s="1">
        <f>VLOOKUP($G365,DATOS!$B:$E,2,FALSE)</f>
        <v/>
      </c>
      <c r="I365" s="1">
        <f>VLOOKUP($G365,DATOS!$B:$E,3,FALSE)</f>
        <v/>
      </c>
      <c r="J365" s="4">
        <f>VLOOKUP($G365,DATOS!$B:$E,4,FALSE)</f>
        <v/>
      </c>
      <c r="K365" s="1" t="inlineStr">
        <is>
          <t>Contrato de Asset Management - Subestación Irina</t>
        </is>
      </c>
      <c r="O365" s="1" t="inlineStr">
        <is>
          <t>Fee Trimestral - 01 Julio/30 Septiembre 2025</t>
        </is>
      </c>
      <c r="P365" s="5">
        <f>3* 2985*1.018</f>
        <v/>
      </c>
      <c r="AB365" s="6" t="inlineStr">
        <is>
          <t>ES85 2080 3509 1130 4009 6171</t>
        </is>
      </c>
      <c r="AC365" s="1" t="inlineStr">
        <is>
          <t>pendiente</t>
        </is>
      </c>
      <c r="AD365" s="5">
        <f>L365+N365+P365+R365+T365+V365+X365+Z365</f>
        <v/>
      </c>
      <c r="AE365" s="5">
        <f>IF((LEFT(K365,6))="Contab",L365,0)</f>
        <v/>
      </c>
      <c r="AF365" s="6">
        <f>VLOOKUP(G365,CLIENTES!B:E,4,FALSE)</f>
        <v/>
      </c>
      <c r="AG365" s="5">
        <f>AF365*AE365</f>
        <v/>
      </c>
      <c r="AH365" s="5">
        <f>AD365*1.21</f>
        <v/>
      </c>
      <c r="AI365" s="261">
        <f>IF(AE365&lt;&gt;0,AG365/AD365,"N/A")</f>
        <v/>
      </c>
      <c r="AJ365" s="5">
        <f>IF(AC365="pendiente",AD365,0)</f>
        <v/>
      </c>
      <c r="AK365" s="1">
        <f>VLOOKUP(G365,CLIENTES!B:D,3,FALSE)</f>
        <v/>
      </c>
      <c r="AL365" s="1" t="inlineStr">
        <is>
          <t>nudos</t>
        </is>
      </c>
      <c r="AM365" s="1" t="inlineStr">
        <is>
          <t>Explotación</t>
        </is>
      </c>
    </row>
    <row r="366" ht="15" customHeight="1" s="700">
      <c r="A366" s="1">
        <f>A365+1</f>
        <v/>
      </c>
      <c r="B366" s="26" t="n">
        <v>45929</v>
      </c>
      <c r="C366" s="1" t="inlineStr">
        <is>
          <t>c/ Las Cruzadas 3A, local D</t>
        </is>
      </c>
      <c r="D366" s="1" t="inlineStr">
        <is>
          <t>Sevilla 41004</t>
        </is>
      </c>
      <c r="E366" s="1" t="inlineStr">
        <is>
          <t>CIF B91938662</t>
        </is>
      </c>
      <c r="F366" s="1" t="inlineStr">
        <is>
          <t>aBalados@abalados.es</t>
        </is>
      </c>
      <c r="G366" s="1" t="inlineStr">
        <is>
          <t>Manzasol 132 kV, S.L.</t>
        </is>
      </c>
      <c r="H366" s="1">
        <f>VLOOKUP($G366,DATOS!$B:$E,2,FALSE)</f>
        <v/>
      </c>
      <c r="I366" s="1">
        <f>VLOOKUP($G366,DATOS!$B:$E,3,FALSE)</f>
        <v/>
      </c>
      <c r="J366" s="4">
        <f>VLOOKUP($G366,DATOS!$B:$E,4,FALSE)</f>
        <v/>
      </c>
      <c r="K366" s="1" t="inlineStr">
        <is>
          <t>Contrato de Asset Management - Subestación Manzasol</t>
        </is>
      </c>
      <c r="O366" s="1" t="inlineStr">
        <is>
          <t>Fee Trimestral - 01 Julio/30 Septiembre 2025</t>
        </is>
      </c>
      <c r="P366" s="5">
        <f>3* 3015*1.028</f>
        <v/>
      </c>
      <c r="AB366" s="6" t="inlineStr">
        <is>
          <t>ES85 2080 3509 1130 4009 6171</t>
        </is>
      </c>
      <c r="AC366" s="1" t="inlineStr">
        <is>
          <t>pagado</t>
        </is>
      </c>
      <c r="AD366" s="5">
        <f>L366+N366+P366+R366+T366+V366+X366+Z366</f>
        <v/>
      </c>
      <c r="AE366" s="5">
        <f>IF((LEFT(K366,6))="Contab",L366,0)</f>
        <v/>
      </c>
      <c r="AF366" s="6">
        <f>VLOOKUP(G366,CLIENTES!B:E,4,FALSE)</f>
        <v/>
      </c>
      <c r="AG366" s="5">
        <f>AF366*AE366</f>
        <v/>
      </c>
      <c r="AH366" s="5">
        <f>AD366*1.21</f>
        <v/>
      </c>
      <c r="AI366" s="261">
        <f>IF(AE366&lt;&gt;0,AG366/AD366,"N/A")</f>
        <v/>
      </c>
      <c r="AJ366" s="5">
        <f>IF(AC366="pendiente",AD366,0)</f>
        <v/>
      </c>
      <c r="AK366" s="1">
        <f>VLOOKUP(G366,CLIENTES!B:D,3,FALSE)</f>
        <v/>
      </c>
      <c r="AL366" s="1" t="inlineStr">
        <is>
          <t>nudos</t>
        </is>
      </c>
      <c r="AM366" s="1" t="inlineStr">
        <is>
          <t>Explotación</t>
        </is>
      </c>
    </row>
    <row r="367" ht="15" customHeight="1" s="700">
      <c r="A367" s="1">
        <f>A366+1</f>
        <v/>
      </c>
      <c r="B367" s="26" t="n">
        <v>45929</v>
      </c>
      <c r="C367" s="1" t="inlineStr">
        <is>
          <t>c/ Las Cruzadas 3A, local D</t>
        </is>
      </c>
      <c r="D367" s="1" t="inlineStr">
        <is>
          <t>Sevilla 41004</t>
        </is>
      </c>
      <c r="E367" s="1" t="inlineStr">
        <is>
          <t>CIF B91938662</t>
        </is>
      </c>
      <c r="F367" s="1" t="inlineStr">
        <is>
          <t>aBalados@abalados.es</t>
        </is>
      </c>
      <c r="G367" s="1" t="inlineStr">
        <is>
          <t>SE Colectora Ayora Renovables, A.I.E.</t>
        </is>
      </c>
      <c r="H367" s="1">
        <f>VLOOKUP($G367,DATOS!$B:$E,2,FALSE)</f>
        <v/>
      </c>
      <c r="I367" s="1">
        <f>VLOOKUP($G367,DATOS!$B:$E,3,FALSE)</f>
        <v/>
      </c>
      <c r="J367" s="4">
        <f>VLOOKUP($G367,DATOS!$B:$E,4,FALSE)</f>
        <v/>
      </c>
      <c r="K367" s="1" t="inlineStr">
        <is>
          <t>Contrato de Asset Management - Subestación Ayora</t>
        </is>
      </c>
      <c r="O367" s="1" t="inlineStr">
        <is>
          <t>Fee Trimestral - 01 Julio/30 Septiembre 2025</t>
        </is>
      </c>
      <c r="P367" s="5">
        <f>3* 1350*1.018</f>
        <v/>
      </c>
      <c r="AB367" s="6" t="inlineStr">
        <is>
          <t>ES85 2080 3509 1130 4009 6171</t>
        </is>
      </c>
      <c r="AC367" s="1" t="inlineStr">
        <is>
          <t>pendiente</t>
        </is>
      </c>
      <c r="AD367" s="5">
        <f>L367+N367+P367+R367+T367+V367+X367+Z367</f>
        <v/>
      </c>
      <c r="AE367" s="5">
        <f>IF((LEFT(K367,6))="Contab",L367,0)</f>
        <v/>
      </c>
      <c r="AF367" s="6">
        <f>VLOOKUP(G367,CLIENTES!B:E,4,FALSE)</f>
        <v/>
      </c>
      <c r="AG367" s="5">
        <f>AF367*AE367</f>
        <v/>
      </c>
      <c r="AH367" s="5">
        <f>AD367*1.21</f>
        <v/>
      </c>
      <c r="AI367" s="261">
        <f>IF(AE367&lt;&gt;0,AG367/AD367,"N/A")</f>
        <v/>
      </c>
      <c r="AJ367" s="5">
        <f>IF(AC367="pendiente",AD367,0)</f>
        <v/>
      </c>
      <c r="AK367" s="1">
        <f>VLOOKUP(G367,CLIENTES!B:D,3,FALSE)</f>
        <v/>
      </c>
      <c r="AL367" s="1" t="inlineStr">
        <is>
          <t>nudos</t>
        </is>
      </c>
      <c r="AM367" s="1" t="inlineStr">
        <is>
          <t>Promoción</t>
        </is>
      </c>
    </row>
    <row r="368" ht="15" customHeight="1" s="700">
      <c r="A368" s="1">
        <f>A367+1</f>
        <v/>
      </c>
      <c r="B368" s="26" t="n">
        <v>45929</v>
      </c>
      <c r="C368" s="1" t="inlineStr">
        <is>
          <t>c/ Las Cruzadas 3A, local D</t>
        </is>
      </c>
      <c r="D368" s="1" t="inlineStr">
        <is>
          <t>Sevilla 41004</t>
        </is>
      </c>
      <c r="E368" s="1" t="inlineStr">
        <is>
          <t>CIF B91938662</t>
        </is>
      </c>
      <c r="F368" s="1" t="inlineStr">
        <is>
          <t>aBalados@abalados.es</t>
        </is>
      </c>
      <c r="G368" s="1" t="inlineStr">
        <is>
          <t>Renovables Valle Solar Fotovoltaica, A.I.E.</t>
        </is>
      </c>
      <c r="H368" s="1">
        <f>VLOOKUP($G368,DATOS!$B:$E,2,FALSE)</f>
        <v/>
      </c>
      <c r="I368" s="1">
        <f>VLOOKUP($G368,DATOS!$B:$E,3,FALSE)</f>
        <v/>
      </c>
      <c r="J368" s="4">
        <f>VLOOKUP($G368,DATOS!$B:$E,4,FALSE)</f>
        <v/>
      </c>
      <c r="K368" s="1" t="inlineStr">
        <is>
          <t>Contrato de Asset Management - Subestación Valle Solar</t>
        </is>
      </c>
      <c r="O368" s="1" t="inlineStr">
        <is>
          <t>Fee Trimestral - 01 Julio/30 Septiembre 2025</t>
        </is>
      </c>
      <c r="P368" s="5">
        <f>3* 1350*1.018</f>
        <v/>
      </c>
      <c r="AB368" s="6" t="inlineStr">
        <is>
          <t>ES85 2080 3509 1130 4009 6171</t>
        </is>
      </c>
      <c r="AC368" s="1" t="inlineStr">
        <is>
          <t>pendiente</t>
        </is>
      </c>
      <c r="AD368" s="5">
        <f>L368+N368+P368+R368+T368+V368+X368+Z368</f>
        <v/>
      </c>
      <c r="AE368" s="5">
        <f>IF((LEFT(K368,6))="Contab",L368,0)</f>
        <v/>
      </c>
      <c r="AF368" s="6">
        <f>VLOOKUP(G368,CLIENTES!B:E,4,FALSE)</f>
        <v/>
      </c>
      <c r="AG368" s="5">
        <f>AF368*AE368</f>
        <v/>
      </c>
      <c r="AH368" s="5">
        <f>AD368*1.21</f>
        <v/>
      </c>
      <c r="AI368" s="261">
        <f>IF(AE368&lt;&gt;0,AG368/AD368,"N/A")</f>
        <v/>
      </c>
      <c r="AJ368" s="5">
        <f>IF(AC368="pendiente",AD368,0)</f>
        <v/>
      </c>
      <c r="AK368" s="1">
        <f>VLOOKUP(G368,CLIENTES!B:D,3,FALSE)</f>
        <v/>
      </c>
      <c r="AL368" s="1" t="inlineStr">
        <is>
          <t>nudos</t>
        </is>
      </c>
      <c r="AM368" s="1" t="inlineStr">
        <is>
          <t>Promoción</t>
        </is>
      </c>
    </row>
    <row r="369" ht="15" customHeight="1" s="700">
      <c r="A369" s="1">
        <f>A368+1</f>
        <v/>
      </c>
      <c r="B369" s="26" t="n">
        <v>45929</v>
      </c>
      <c r="C369" s="1" t="inlineStr">
        <is>
          <t>c/ Las Cruzadas 3A, local D</t>
        </is>
      </c>
      <c r="D369" s="1" t="inlineStr">
        <is>
          <t>Sevilla 41004</t>
        </is>
      </c>
      <c r="E369" s="1" t="inlineStr">
        <is>
          <t>CIF B91938662</t>
        </is>
      </c>
      <c r="F369" s="1" t="inlineStr">
        <is>
          <t>aBalados@abalados.es</t>
        </is>
      </c>
      <c r="G369" s="1" t="inlineStr">
        <is>
          <t>San Pedro Pinatar Renovables, S.L.</t>
        </is>
      </c>
      <c r="H369" s="1">
        <f>VLOOKUP($G369,DATOS!$B:$E,2,FALSE)</f>
        <v/>
      </c>
      <c r="I369" s="1">
        <f>VLOOKUP($G369,DATOS!$B:$E,3,FALSE)</f>
        <v/>
      </c>
      <c r="J369" s="4">
        <f>VLOOKUP($G369,DATOS!$B:$E,4,FALSE)</f>
        <v/>
      </c>
      <c r="K369" s="1" t="inlineStr">
        <is>
          <t>Contrato de Asset Management - Subestación San Pedro</t>
        </is>
      </c>
      <c r="O369" s="1" t="inlineStr">
        <is>
          <t>Fee Trimestral - 01 Julio/30 Septiembre 2025</t>
        </is>
      </c>
      <c r="P369" s="5">
        <f>3* 1350*1.03</f>
        <v/>
      </c>
      <c r="AB369" s="6" t="inlineStr">
        <is>
          <t>ES85 2080 3509 1130 4009 6171</t>
        </is>
      </c>
      <c r="AC369" s="1" t="inlineStr">
        <is>
          <t>pendiente</t>
        </is>
      </c>
      <c r="AD369" s="5">
        <f>L369+N369+P369+R369+T369+V369+X369+Z369</f>
        <v/>
      </c>
      <c r="AE369" s="5">
        <f>IF((LEFT(K369,6))="Contab",L369,0)</f>
        <v/>
      </c>
      <c r="AF369" s="6">
        <f>VLOOKUP(G369,CLIENTES!B:E,4,FALSE)</f>
        <v/>
      </c>
      <c r="AG369" s="5">
        <f>AF369*AE369</f>
        <v/>
      </c>
      <c r="AH369" s="5">
        <f>AD369*1.21</f>
        <v/>
      </c>
      <c r="AI369" s="261">
        <f>IF(AE369&lt;&gt;0,AG369/AD369,"N/A")</f>
        <v/>
      </c>
      <c r="AJ369" s="5">
        <f>IF(AC369="pendiente",AD369,0)</f>
        <v/>
      </c>
      <c r="AK369" s="1">
        <f>VLOOKUP(G369,CLIENTES!B:D,3,FALSE)</f>
        <v/>
      </c>
      <c r="AL369" s="1" t="inlineStr">
        <is>
          <t>nudos</t>
        </is>
      </c>
      <c r="AM369" s="1" t="inlineStr">
        <is>
          <t>Promoción</t>
        </is>
      </c>
    </row>
    <row r="370" ht="15" customHeight="1" s="700">
      <c r="A370" s="1">
        <f>A369+1</f>
        <v/>
      </c>
      <c r="B370" s="26" t="n">
        <v>45929</v>
      </c>
      <c r="C370" s="1" t="inlineStr">
        <is>
          <t>c/ Las Cruzadas 3A, local D</t>
        </is>
      </c>
      <c r="D370" s="1" t="inlineStr">
        <is>
          <t>Sevilla 41004</t>
        </is>
      </c>
      <c r="E370" s="1" t="inlineStr">
        <is>
          <t>CIF B91938662</t>
        </is>
      </c>
      <c r="F370" s="1" t="inlineStr">
        <is>
          <t>aBalados@abalados.es</t>
        </is>
      </c>
      <c r="G370" s="1" t="inlineStr">
        <is>
          <t>Evacuación Salteras, S.L.</t>
        </is>
      </c>
      <c r="H370" s="1">
        <f>VLOOKUP($G370,DATOS!$B:$E,2,FALSE)</f>
        <v/>
      </c>
      <c r="I370" s="1">
        <f>VLOOKUP($G370,DATOS!$B:$E,3,FALSE)</f>
        <v/>
      </c>
      <c r="J370" s="4">
        <f>VLOOKUP($G370,DATOS!$B:$E,4,FALSE)</f>
        <v/>
      </c>
      <c r="K370" s="1" t="inlineStr">
        <is>
          <t>Contrato de Asset Management - Subestación Campofrío</t>
        </is>
      </c>
      <c r="O370" s="1" t="inlineStr">
        <is>
          <t>Fee Trimestral - 01 Julio/30 Septiembre 2025</t>
        </is>
      </c>
      <c r="P370" s="5">
        <f>3* 2825*1.03</f>
        <v/>
      </c>
      <c r="V370" s="1" t="n"/>
      <c r="X370" s="1" t="n"/>
      <c r="AB370" s="6" t="inlineStr">
        <is>
          <t>ES85 2080 3509 1130 4009 6171</t>
        </is>
      </c>
      <c r="AC370" s="1" t="inlineStr">
        <is>
          <t>pendiente</t>
        </is>
      </c>
      <c r="AD370" s="5">
        <f>L370+N370+P370+R370+T370+V370+X370+Z370</f>
        <v/>
      </c>
      <c r="AE370" s="5">
        <f>IF((LEFT(K370,6))="Contab",L370,0)</f>
        <v/>
      </c>
      <c r="AF370" s="6">
        <f>VLOOKUP(G370,CLIENTES!B:E,4,FALSE)</f>
        <v/>
      </c>
      <c r="AG370" s="5">
        <f>AF370*AE370</f>
        <v/>
      </c>
      <c r="AH370" s="5">
        <f>AD370*1.21</f>
        <v/>
      </c>
      <c r="AI370" s="261">
        <f>IF(AE370&lt;&gt;0,AG370/AD370,"N/A")</f>
        <v/>
      </c>
      <c r="AJ370" s="5">
        <f>IF(AC370="pendiente",AD370,0)</f>
        <v/>
      </c>
      <c r="AK370" s="1">
        <f>VLOOKUP(G370,CLIENTES!B:D,3,FALSE)</f>
        <v/>
      </c>
      <c r="AL370" s="1" t="inlineStr">
        <is>
          <t>nudos</t>
        </is>
      </c>
      <c r="AM370" s="1" t="inlineStr">
        <is>
          <t>Explotación</t>
        </is>
      </c>
    </row>
    <row r="371" ht="15" customHeight="1" s="700">
      <c r="A371" s="1">
        <f>A370+1</f>
        <v/>
      </c>
      <c r="B371" s="26" t="n">
        <v>45929</v>
      </c>
      <c r="C371" s="1" t="inlineStr">
        <is>
          <t>c/ Las Cruzadas 3A, local D</t>
        </is>
      </c>
      <c r="D371" s="1" t="inlineStr">
        <is>
          <t>Sevilla 41004</t>
        </is>
      </c>
      <c r="E371" s="1" t="inlineStr">
        <is>
          <t>CIF B91938662</t>
        </is>
      </c>
      <c r="F371" s="1" t="inlineStr">
        <is>
          <t>aBalados@abalados.es</t>
        </is>
      </c>
      <c r="G371" s="1" t="inlineStr">
        <is>
          <t>Tordesillas T2Prima 132kV, S.L.</t>
        </is>
      </c>
      <c r="H371" s="1">
        <f>VLOOKUP($G371,DATOS!$B:$E,2,FALSE)</f>
        <v/>
      </c>
      <c r="I371" s="1">
        <f>VLOOKUP($G371,DATOS!$B:$E,3,FALSE)</f>
        <v/>
      </c>
      <c r="J371" s="4">
        <f>VLOOKUP($G371,DATOS!$B:$E,4,FALSE)</f>
        <v/>
      </c>
      <c r="K371" s="1" t="inlineStr">
        <is>
          <t>Contrato de Asset Management - Subestación T2Prima</t>
        </is>
      </c>
      <c r="O371" s="1" t="inlineStr">
        <is>
          <t>Fee Trimestral - 01 Julio/30 Septiembre 2025</t>
        </is>
      </c>
      <c r="P371" s="5">
        <f>3* 1350*1.03</f>
        <v/>
      </c>
      <c r="AB371" s="6" t="inlineStr">
        <is>
          <t>ES85 2080 3509 1130 4009 6171</t>
        </is>
      </c>
      <c r="AC371" s="1" t="inlineStr">
        <is>
          <t>pendiente</t>
        </is>
      </c>
      <c r="AD371" s="5">
        <f>L371+N371+P371+R371+T371+V371+X371+Z371</f>
        <v/>
      </c>
      <c r="AE371" s="5">
        <f>IF((LEFT(K371,6))="Contab",L371,0)</f>
        <v/>
      </c>
      <c r="AF371" s="6">
        <f>VLOOKUP(G371,CLIENTES!B:E,4,FALSE)</f>
        <v/>
      </c>
      <c r="AG371" s="5">
        <f>AF371*AE371</f>
        <v/>
      </c>
      <c r="AH371" s="5">
        <f>AD371*1.21</f>
        <v/>
      </c>
      <c r="AI371" s="261">
        <f>IF(AE371&lt;&gt;0,AG371/AD371,"N/A")</f>
        <v/>
      </c>
      <c r="AJ371" s="5">
        <f>IF(AC371="pendiente",AD371,0)</f>
        <v/>
      </c>
      <c r="AK371" s="1">
        <f>VLOOKUP(G371,CLIENTES!B:D,3,FALSE)</f>
        <v/>
      </c>
      <c r="AL371" s="1" t="inlineStr">
        <is>
          <t>nudos</t>
        </is>
      </c>
      <c r="AM371" s="1" t="inlineStr">
        <is>
          <t>Promoción</t>
        </is>
      </c>
    </row>
    <row r="372" ht="15" customHeight="1" s="700">
      <c r="A372" s="1">
        <f>A371+1</f>
        <v/>
      </c>
      <c r="B372" s="26" t="n">
        <v>45929</v>
      </c>
      <c r="C372" s="1" t="inlineStr">
        <is>
          <t>c/ Las Cruzadas 3A, local D</t>
        </is>
      </c>
      <c r="D372" s="1" t="inlineStr">
        <is>
          <t>Sevilla 41004</t>
        </is>
      </c>
      <c r="E372" s="1" t="inlineStr">
        <is>
          <t>CIF B91938662</t>
        </is>
      </c>
      <c r="F372" s="1" t="inlineStr">
        <is>
          <t>aBalados@abalados.es</t>
        </is>
      </c>
      <c r="G372" s="1" t="inlineStr">
        <is>
          <t>Energías Renovables El Canto, S.L.</t>
        </is>
      </c>
      <c r="H372" s="1">
        <f>VLOOKUP($G372,DATOS!$B:$E,2,FALSE)</f>
        <v/>
      </c>
      <c r="I372" s="1">
        <f>VLOOKUP($G372,DATOS!$B:$E,3,FALSE)</f>
        <v/>
      </c>
      <c r="J372" s="4">
        <f>VLOOKUP($G372,DATOS!$B:$E,4,FALSE)</f>
        <v/>
      </c>
      <c r="K372" s="1" t="inlineStr">
        <is>
          <t>Contrato de Asset Management - Subestación El Canto</t>
        </is>
      </c>
      <c r="O372" s="1" t="inlineStr">
        <is>
          <t>Fee Trimestral - 01 Julio/30 Septiembre 2025</t>
        </is>
      </c>
      <c r="P372" s="5">
        <f>1* 2825  +  2* 2825*1.027</f>
        <v/>
      </c>
      <c r="Q372" s="1" t="inlineStr">
        <is>
          <t>Fee aplicable Explotación (2.825€/mes): Inicio en 16 Abril 2025</t>
        </is>
      </c>
      <c r="S372" s="1" t="inlineStr">
        <is>
          <t>Regularización Fee Explotación (16 Abril - 30 Junio 2025)</t>
        </is>
      </c>
      <c r="T372" s="5">
        <f>(15/30)*(2825-1350)  +  2*(2825-1350)</f>
        <v/>
      </c>
      <c r="W372" s="1" t="inlineStr">
        <is>
          <t>Tasa actualización IPC General (Agosto 2024 - Agosto 2025): 2,7%</t>
        </is>
      </c>
      <c r="Y372" s="1" t="inlineStr">
        <is>
          <t>Fecha actualización: 1 Agosto</t>
        </is>
      </c>
      <c r="Z372" s="1" t="n"/>
      <c r="AB372" s="6" t="inlineStr">
        <is>
          <t>ES85 2080 3509 1130 4009 6171</t>
        </is>
      </c>
      <c r="AC372" s="1" t="inlineStr">
        <is>
          <t>pagado</t>
        </is>
      </c>
      <c r="AD372" s="5">
        <f>L372+N372+P372+R372+T372+V372+X372+Z372</f>
        <v/>
      </c>
      <c r="AE372" s="5">
        <f>IF((LEFT(K372,6))="Contab",L372,0)</f>
        <v/>
      </c>
      <c r="AF372" s="6">
        <f>VLOOKUP(G372,CLIENTES!B:E,4,FALSE)</f>
        <v/>
      </c>
      <c r="AG372" s="5">
        <f>AF372*AE372</f>
        <v/>
      </c>
      <c r="AH372" s="5">
        <f>AD372*1.21</f>
        <v/>
      </c>
      <c r="AI372" s="261">
        <f>IF(AE372&lt;&gt;0,AG372/AD372,"N/A")</f>
        <v/>
      </c>
      <c r="AJ372" s="5">
        <f>IF(AC372="pendiente",AD372,0)</f>
        <v/>
      </c>
      <c r="AK372" s="1">
        <f>VLOOKUP(G372,CLIENTES!B:D,3,FALSE)</f>
        <v/>
      </c>
      <c r="AL372" s="1" t="inlineStr">
        <is>
          <t>nudos</t>
        </is>
      </c>
      <c r="AM372" s="1" t="inlineStr">
        <is>
          <t>Explotación</t>
        </is>
      </c>
    </row>
    <row r="373" ht="15" customHeight="1" s="700">
      <c r="A373" s="1">
        <f>A372+1</f>
        <v/>
      </c>
      <c r="B373" s="26" t="n">
        <v>45929</v>
      </c>
      <c r="C373" s="1" t="inlineStr">
        <is>
          <t>c/ Las Cruzadas 3A, local D</t>
        </is>
      </c>
      <c r="D373" s="1" t="inlineStr">
        <is>
          <t>Sevilla 41004</t>
        </is>
      </c>
      <c r="E373" s="1" t="inlineStr">
        <is>
          <t>CIF B91938662</t>
        </is>
      </c>
      <c r="F373" s="1" t="inlineStr">
        <is>
          <t>aBalados@abalados.es</t>
        </is>
      </c>
      <c r="G373" s="1" t="inlineStr">
        <is>
          <t>ICE Andújar, S.L.</t>
        </is>
      </c>
      <c r="H373" s="1">
        <f>VLOOKUP($G373,DATOS!$B:$E,2,FALSE)</f>
        <v/>
      </c>
      <c r="I373" s="1">
        <f>VLOOKUP($G373,DATOS!$B:$E,3,FALSE)</f>
        <v/>
      </c>
      <c r="J373" s="4">
        <f>VLOOKUP($G373,DATOS!$B:$E,4,FALSE)</f>
        <v/>
      </c>
      <c r="K373" s="1" t="inlineStr">
        <is>
          <t>Contrato de Asset Management - Subestación Andújar</t>
        </is>
      </c>
      <c r="O373" s="1" t="inlineStr">
        <is>
          <t>Fee Trimestral - 01 Julio/30 Septiembre 2025</t>
        </is>
      </c>
      <c r="P373" s="5">
        <f>1* 1350*(10/31) + 1350*1.027*(21/31)  +  2* 1350*1.027</f>
        <v/>
      </c>
      <c r="Q373" s="1" t="inlineStr">
        <is>
          <t>Tasa actualización IPC General (Julio 2024 - Julio 2025): 2,7%</t>
        </is>
      </c>
      <c r="S373" s="1" t="inlineStr">
        <is>
          <t>Fecha actualización: 11 Julio</t>
        </is>
      </c>
      <c r="AB373" s="6" t="inlineStr">
        <is>
          <t>ES85 2080 3509 1130 4009 6171</t>
        </is>
      </c>
      <c r="AC373" s="1" t="inlineStr">
        <is>
          <t>pendiente</t>
        </is>
      </c>
      <c r="AD373" s="5">
        <f>L373+N373+P373+R373+T373+V373+X373+Z373</f>
        <v/>
      </c>
      <c r="AE373" s="5">
        <f>IF((LEFT(K373,6))="Contab",L373,0)</f>
        <v/>
      </c>
      <c r="AF373" s="6">
        <f>VLOOKUP(G373,CLIENTES!B:E,4,FALSE)</f>
        <v/>
      </c>
      <c r="AG373" s="5">
        <f>AF373*AE373</f>
        <v/>
      </c>
      <c r="AH373" s="5">
        <f>AD373*1.21</f>
        <v/>
      </c>
      <c r="AI373" s="261">
        <f>IF(AE373&lt;&gt;0,AG373/AD373,"N/A")</f>
        <v/>
      </c>
      <c r="AJ373" s="5">
        <f>IF(AC373="pendiente",AD373,0)</f>
        <v/>
      </c>
      <c r="AK373" s="1">
        <f>VLOOKUP(G373,CLIENTES!B:D,3,FALSE)</f>
        <v/>
      </c>
      <c r="AL373" s="1" t="inlineStr">
        <is>
          <t>nudos</t>
        </is>
      </c>
      <c r="AM373" s="1" t="inlineStr">
        <is>
          <t>Promoción</t>
        </is>
      </c>
    </row>
    <row r="374" ht="15" customHeight="1" s="700">
      <c r="A374" s="1">
        <f>A373+1</f>
        <v/>
      </c>
      <c r="B374" s="26" t="n">
        <v>45929</v>
      </c>
      <c r="C374" s="1" t="inlineStr">
        <is>
          <t>c/ Las Cruzadas 3A, local D</t>
        </is>
      </c>
      <c r="D374" s="1" t="inlineStr">
        <is>
          <t>Sevilla 41004</t>
        </is>
      </c>
      <c r="E374" s="1" t="inlineStr">
        <is>
          <t>CIF B91938662</t>
        </is>
      </c>
      <c r="F374" s="1" t="inlineStr">
        <is>
          <t>aBalados@abalados.es</t>
        </is>
      </c>
      <c r="G374" s="1" t="inlineStr">
        <is>
          <t>Promotores Albatarrec 220 kV, S.L.</t>
        </is>
      </c>
      <c r="H374" s="1">
        <f>VLOOKUP($G374,DATOS!$B:$E,2,FALSE)</f>
        <v/>
      </c>
      <c r="I374" s="1">
        <f>VLOOKUP($G374,DATOS!$B:$E,3,FALSE)</f>
        <v/>
      </c>
      <c r="J374" s="4">
        <f>VLOOKUP($G374,DATOS!$B:$E,4,FALSE)</f>
        <v/>
      </c>
      <c r="K374" s="1" t="inlineStr">
        <is>
          <t>Contrato de Asset Management - Subestación Seros</t>
        </is>
      </c>
      <c r="O374" s="1" t="inlineStr">
        <is>
          <t>Fee Trimestral - 01 Julio/30 Septiembre 2025</t>
        </is>
      </c>
      <c r="P374" s="5">
        <f>3* 1350</f>
        <v/>
      </c>
      <c r="Q374" s="1" t="inlineStr">
        <is>
          <t>Tasa actualización IPC General (Septiembre 2024 - Septiembre 2025) no disponible</t>
        </is>
      </c>
      <c r="AB374" s="6" t="inlineStr">
        <is>
          <t>ES85 2080 3509 1130 4009 6171</t>
        </is>
      </c>
      <c r="AC374" s="1" t="inlineStr">
        <is>
          <t>pendiente</t>
        </is>
      </c>
      <c r="AD374" s="5">
        <f>L374+N374+P374+R374+T374+V374+X374+Z374</f>
        <v/>
      </c>
      <c r="AE374" s="5">
        <f>IF((LEFT(K374,6))="Contab",L374,0)</f>
        <v/>
      </c>
      <c r="AF374" s="6">
        <f>VLOOKUP(G374,CLIENTES!B:E,4,FALSE)</f>
        <v/>
      </c>
      <c r="AG374" s="5">
        <f>AF374*AE374</f>
        <v/>
      </c>
      <c r="AH374" s="5">
        <f>AD374*1.21</f>
        <v/>
      </c>
      <c r="AI374" s="261">
        <f>IF(AE374&lt;&gt;0,AG374/AD374,"N/A")</f>
        <v/>
      </c>
      <c r="AJ374" s="5">
        <f>IF(AC374="pendiente",AD374,0)</f>
        <v/>
      </c>
      <c r="AK374" s="1">
        <f>VLOOKUP(G374,CLIENTES!B:D,3,FALSE)</f>
        <v/>
      </c>
      <c r="AL374" s="1" t="inlineStr">
        <is>
          <t>nudos</t>
        </is>
      </c>
      <c r="AM374" s="1" t="inlineStr">
        <is>
          <t>Promoción</t>
        </is>
      </c>
    </row>
    <row r="375" ht="15" customHeight="1" s="700">
      <c r="A375" s="1">
        <f>A374+1</f>
        <v/>
      </c>
      <c r="B375" s="26" t="n">
        <v>45929</v>
      </c>
      <c r="C375" s="1" t="inlineStr">
        <is>
          <t>c/ Las Cruzadas 3A, local D</t>
        </is>
      </c>
      <c r="D375" s="1" t="inlineStr">
        <is>
          <t>Sevilla 41004</t>
        </is>
      </c>
      <c r="E375" s="1" t="inlineStr">
        <is>
          <t>CIF B91938662</t>
        </is>
      </c>
      <c r="F375" s="1" t="inlineStr">
        <is>
          <t>aBalados@abalados.es</t>
        </is>
      </c>
      <c r="G375" s="1" t="inlineStr">
        <is>
          <t>Pujalt Infras Privativas Ignis Forestalia, S.L.</t>
        </is>
      </c>
      <c r="H375" s="1">
        <f>VLOOKUP($G375,DATOS!$B:$E,2,FALSE)</f>
        <v/>
      </c>
      <c r="I375" s="1">
        <f>VLOOKUP($G375,DATOS!$B:$E,3,FALSE)</f>
        <v/>
      </c>
      <c r="J375" s="4">
        <f>VLOOKUP($G375,DATOS!$B:$E,4,FALSE)</f>
        <v/>
      </c>
      <c r="K375" s="1" t="inlineStr">
        <is>
          <t>Contrato de Asset Management - Ampliación SET Pujalt</t>
        </is>
      </c>
      <c r="O375" s="1" t="inlineStr">
        <is>
          <t>Fee Trimestral - 01 Julio/30 Septiembre 2025</t>
        </is>
      </c>
      <c r="P375" s="5">
        <f>3* 1350</f>
        <v/>
      </c>
      <c r="AB375" s="6" t="inlineStr">
        <is>
          <t>ES85 2080 3509 1130 4009 6171</t>
        </is>
      </c>
      <c r="AC375" s="1" t="inlineStr">
        <is>
          <t>pendiente</t>
        </is>
      </c>
      <c r="AD375" s="5">
        <f>L375+N375+P375+R375+T375+V375+X375+Z375</f>
        <v/>
      </c>
      <c r="AE375" s="5">
        <f>IF((LEFT(K375,6))="Contab",L375,0)</f>
        <v/>
      </c>
      <c r="AF375" s="6">
        <f>VLOOKUP(G375,CLIENTES!B:E,4,FALSE)</f>
        <v/>
      </c>
      <c r="AG375" s="5">
        <f>AF375*AE375</f>
        <v/>
      </c>
      <c r="AH375" s="5">
        <f>AD375*1.21</f>
        <v/>
      </c>
      <c r="AI375" s="261">
        <f>IF(AE375&lt;&gt;0,AG375/AD375,"N/A")</f>
        <v/>
      </c>
      <c r="AJ375" s="5">
        <f>IF(AC375="pendiente",AD375,0)</f>
        <v/>
      </c>
      <c r="AK375" s="1">
        <f>VLOOKUP(G375,CLIENTES!B:D,3,FALSE)</f>
        <v/>
      </c>
      <c r="AL375" s="1" t="inlineStr">
        <is>
          <t>nudos</t>
        </is>
      </c>
      <c r="AM375" s="1" t="inlineStr">
        <is>
          <t>Promoción</t>
        </is>
      </c>
    </row>
    <row r="376" ht="15" customFormat="1" customHeight="1" s="527" thickBot="1">
      <c r="A376" s="527">
        <f>A375+1</f>
        <v/>
      </c>
      <c r="B376" s="529" t="n">
        <v>45929</v>
      </c>
      <c r="C376" s="527" t="inlineStr">
        <is>
          <t>c/ Las Cruzadas 3A, local D</t>
        </is>
      </c>
      <c r="D376" s="527" t="inlineStr">
        <is>
          <t>Sevilla 41004</t>
        </is>
      </c>
      <c r="E376" s="527" t="inlineStr">
        <is>
          <t>CIF B91938662</t>
        </is>
      </c>
      <c r="F376" s="527" t="inlineStr">
        <is>
          <t>aBalados@abalados.es</t>
        </is>
      </c>
      <c r="G376" s="527" t="inlineStr">
        <is>
          <t>Tábara 400kV Renovables, SL</t>
        </is>
      </c>
      <c r="H376" s="527">
        <f>VLOOKUP($G376,DATOS!$B:$E,2,FALSE)</f>
        <v/>
      </c>
      <c r="I376" s="527">
        <f>VLOOKUP($G376,DATOS!$B:$E,3,FALSE)</f>
        <v/>
      </c>
      <c r="J376" s="530">
        <f>VLOOKUP($G376,DATOS!$B:$E,4,FALSE)</f>
        <v/>
      </c>
      <c r="K376" s="527" t="inlineStr">
        <is>
          <t>Contrato de Asset Management - Nudo Tábara</t>
        </is>
      </c>
      <c r="L376" s="528" t="n"/>
      <c r="N376" s="528" t="n"/>
      <c r="O376" s="527" t="inlineStr">
        <is>
          <t>Fee Trimestral - Inicio Servicios (29 Abril 2025) / 30 Septiembre 2025</t>
        </is>
      </c>
      <c r="P376" s="528">
        <f>(2/30)*3260 + 5* 3260</f>
        <v/>
      </c>
      <c r="R376" s="528" t="n"/>
      <c r="T376" s="528" t="n"/>
      <c r="V376" s="528" t="n"/>
      <c r="X376" s="528" t="n"/>
      <c r="Z376" s="528" t="n"/>
      <c r="AA376" s="528" t="n"/>
      <c r="AB376" s="531" t="inlineStr">
        <is>
          <t>ES85 2080 3509 1130 4009 6171</t>
        </is>
      </c>
      <c r="AC376" s="527" t="inlineStr">
        <is>
          <t>pendiente</t>
        </is>
      </c>
      <c r="AD376" s="528">
        <f>L376+N376+P376+R376+T376+V376+X376+Z376</f>
        <v/>
      </c>
      <c r="AE376" s="528">
        <f>IF((LEFT(K376,6))="Contab",L376,0)</f>
        <v/>
      </c>
      <c r="AF376" s="531">
        <f>VLOOKUP(G376,CLIENTES!B:E,4,FALSE)</f>
        <v/>
      </c>
      <c r="AG376" s="528">
        <f>AF376*AE376</f>
        <v/>
      </c>
      <c r="AH376" s="528">
        <f>AD376*1.21</f>
        <v/>
      </c>
      <c r="AI376" s="532">
        <f>IF(AE376&lt;&gt;0,AG376/AD376,"N/A")</f>
        <v/>
      </c>
      <c r="AJ376" s="528">
        <f>IF(AC376="pendiente",AD376,0)</f>
        <v/>
      </c>
      <c r="AK376" s="527">
        <f>VLOOKUP(G376,CLIENTES!B:D,3,FALSE)</f>
        <v/>
      </c>
      <c r="AL376" s="527" t="inlineStr">
        <is>
          <t>nudos</t>
        </is>
      </c>
      <c r="AM376" s="527" t="inlineStr">
        <is>
          <t>Promoción</t>
        </is>
      </c>
    </row>
    <row r="377" ht="15" customFormat="1" customHeight="1" s="522">
      <c r="A377" s="522">
        <f>A376+1</f>
        <v/>
      </c>
      <c r="B377" s="521" t="n">
        <v>45929</v>
      </c>
      <c r="C377" s="522" t="inlineStr">
        <is>
          <t>c/ Las Cruzadas 3A, local D</t>
        </is>
      </c>
      <c r="D377" s="522" t="inlineStr">
        <is>
          <t>Sevilla 41004</t>
        </is>
      </c>
      <c r="E377" s="522" t="inlineStr">
        <is>
          <t>CIF B91938662</t>
        </is>
      </c>
      <c r="F377" s="522" t="inlineStr">
        <is>
          <t>aBalados@abalados.es</t>
        </is>
      </c>
      <c r="G377" s="522" t="inlineStr">
        <is>
          <t>Sun Tol I, S.L.U.</t>
        </is>
      </c>
      <c r="H377" s="522">
        <f>VLOOKUP($G377,DATOS!$B:$E,2,FALSE)</f>
        <v/>
      </c>
      <c r="I377" s="522">
        <f>VLOOKUP($G377,DATOS!$B:$E,3,FALSE)</f>
        <v/>
      </c>
      <c r="J377" s="523">
        <f>VLOOKUP($G377,DATOS!$B:$E,4,FALSE)</f>
        <v/>
      </c>
      <c r="K377" s="522" t="inlineStr">
        <is>
          <t>Legal Services</t>
        </is>
      </c>
      <c r="L377" s="524" t="n"/>
      <c r="M377" s="522" t="inlineStr">
        <is>
          <t>II addendum to PV solar plant development services agreement</t>
        </is>
      </c>
      <c r="N377" s="524" t="n"/>
      <c r="P377" s="524" t="n"/>
      <c r="Q377" s="522" t="inlineStr">
        <is>
          <t>Quarterly fee - July 22nd 2025 / October 22nd 2025</t>
        </is>
      </c>
      <c r="R377" s="524">
        <f>3040*3</f>
        <v/>
      </c>
      <c r="T377" s="524" t="n"/>
      <c r="V377" s="524" t="n"/>
      <c r="X377" s="524" t="n"/>
      <c r="Z377" s="524" t="n"/>
      <c r="AA377" s="524" t="n"/>
      <c r="AB377" s="525" t="inlineStr">
        <is>
          <t>ES85 2080 3509 1130 4009 6171</t>
        </is>
      </c>
      <c r="AC377" s="522" t="inlineStr">
        <is>
          <t>pendiente</t>
        </is>
      </c>
      <c r="AD377" s="524">
        <f>L377+N377+P377+R377+T377+V377+X377+Z377</f>
        <v/>
      </c>
      <c r="AE377" s="524">
        <f>IF((LEFT(K377,6))="Contab",L377,0)</f>
        <v/>
      </c>
      <c r="AF377" s="525">
        <f>VLOOKUP(G377,CLIENTES!B:E,4,FALSE)</f>
        <v/>
      </c>
      <c r="AG377" s="524">
        <f>AF377*AE377</f>
        <v/>
      </c>
      <c r="AH377" s="524">
        <f>AD377*1.21</f>
        <v/>
      </c>
      <c r="AI377" s="526">
        <f>IF(AE377&lt;&gt;0,AG377/AD377,"N/A")</f>
        <v/>
      </c>
      <c r="AJ377" s="524">
        <f>IF(AC377="pendiente",AD377,0)</f>
        <v/>
      </c>
      <c r="AK377" s="522">
        <f>VLOOKUP(G377,CLIENTES!B:D,3,FALSE)</f>
        <v/>
      </c>
      <c r="AL377" s="522" t="inlineStr">
        <is>
          <t>nudos</t>
        </is>
      </c>
      <c r="AM377" s="522" t="inlineStr">
        <is>
          <t>Legal</t>
        </is>
      </c>
    </row>
    <row r="378" ht="15" customHeight="1" s="700">
      <c r="A378" s="1">
        <f>A377+1</f>
        <v/>
      </c>
      <c r="B378" s="26" t="n">
        <v>45929</v>
      </c>
      <c r="C378" s="1" t="inlineStr">
        <is>
          <t>c/ Las Cruzadas 3A, local D</t>
        </is>
      </c>
      <c r="D378" s="1" t="inlineStr">
        <is>
          <t>Sevilla 41004</t>
        </is>
      </c>
      <c r="E378" s="1" t="inlineStr">
        <is>
          <t>CIF B91938662</t>
        </is>
      </c>
      <c r="F378" s="1" t="inlineStr">
        <is>
          <t>aBalados@abalados.es</t>
        </is>
      </c>
      <c r="G378" s="1" t="inlineStr">
        <is>
          <t>VALCASADO SOLAR, S.L.U.</t>
        </is>
      </c>
      <c r="H378" s="1">
        <f>VLOOKUP($G378,DATOS!$B:$E,2,FALSE)</f>
        <v/>
      </c>
      <c r="I378" s="1">
        <f>VLOOKUP($G378,DATOS!$B:$E,3,FALSE)</f>
        <v/>
      </c>
      <c r="J378" s="4">
        <f>VLOOKUP($G378,DATOS!$B:$E,4,FALSE)</f>
        <v/>
      </c>
      <c r="K378" s="1" t="inlineStr">
        <is>
          <t>Contrato de Asset Management - PSFV Valcasado</t>
        </is>
      </c>
      <c r="O378" s="1" t="inlineStr">
        <is>
          <t>Fee Trimestral - 01 Julio/30 Septiembre 2025</t>
        </is>
      </c>
      <c r="P378" s="5">
        <f>3*(22080/12)</f>
        <v/>
      </c>
      <c r="Q378" s="1" t="inlineStr">
        <is>
          <t>Corrección importe trimestre 2T2025</t>
        </is>
      </c>
      <c r="R378" s="5">
        <f>-3*(28320-22080)/12</f>
        <v/>
      </c>
      <c r="AB378" s="6" t="inlineStr">
        <is>
          <t>ES85 2080 3509 1130 4009 6171</t>
        </is>
      </c>
      <c r="AC378" s="1" t="inlineStr">
        <is>
          <t>pendiente</t>
        </is>
      </c>
      <c r="AD378" s="5">
        <f>L378+N378+P378+R378+T378+V378+X378+Z378</f>
        <v/>
      </c>
      <c r="AE378" s="5">
        <f>IF((LEFT(K378,6))="Contab",L378,0)</f>
        <v/>
      </c>
      <c r="AF378" s="6">
        <f>VLOOKUP(G378,CLIENTES!B:E,4,FALSE)</f>
        <v/>
      </c>
      <c r="AG378" s="5">
        <f>AF378*AE378</f>
        <v/>
      </c>
      <c r="AH378" s="5">
        <f>AD378*1.21</f>
        <v/>
      </c>
      <c r="AI378" s="261">
        <f>IF(AE378&lt;&gt;0,AG378/AD378,"N/A")</f>
        <v/>
      </c>
      <c r="AJ378" s="5">
        <f>IF(AC378="pendiente",AD378,0)</f>
        <v/>
      </c>
      <c r="AK378" s="1">
        <f>VLOOKUP(G378,CLIENTES!B:D,3,FALSE)</f>
        <v/>
      </c>
      <c r="AL378" s="1" t="inlineStr">
        <is>
          <t>Asset</t>
        </is>
      </c>
      <c r="AM378" s="1" t="inlineStr">
        <is>
          <t>Explotación</t>
        </is>
      </c>
    </row>
    <row r="379" ht="15" customFormat="1" customHeight="1" s="527" thickBot="1">
      <c r="A379" s="527">
        <f>A378+1</f>
        <v/>
      </c>
      <c r="B379" s="529" t="n">
        <v>45929</v>
      </c>
      <c r="C379" s="527" t="inlineStr">
        <is>
          <t>c/ Las Cruzadas 3A, local D</t>
        </is>
      </c>
      <c r="D379" s="527" t="inlineStr">
        <is>
          <t>Sevilla 41004</t>
        </is>
      </c>
      <c r="E379" s="527" t="inlineStr">
        <is>
          <t>CIF B91938662</t>
        </is>
      </c>
      <c r="F379" s="527" t="inlineStr">
        <is>
          <t>aBalados@abalados.es</t>
        </is>
      </c>
      <c r="G379" s="527" t="inlineStr">
        <is>
          <t>Asociación Molinos de Guadaíra</t>
        </is>
      </c>
      <c r="H379" s="527">
        <f>VLOOKUP($G379,DATOS!$B:$E,2,FALSE)</f>
        <v/>
      </c>
      <c r="I379" s="527">
        <f>VLOOKUP($G379,DATOS!$B:$E,3,FALSE)</f>
        <v/>
      </c>
      <c r="J379" s="530">
        <f>VLOOKUP($G379,DATOS!$B:$E,4,FALSE)</f>
        <v/>
      </c>
      <c r="K379" s="527" t="inlineStr">
        <is>
          <t>Servicios Contabilidad 3T2025</t>
        </is>
      </c>
      <c r="L379" s="528">
        <f>3* 200*1.024</f>
        <v/>
      </c>
      <c r="N379" s="528" t="n"/>
      <c r="P379" s="528" t="n"/>
      <c r="R379" s="528" t="n"/>
      <c r="T379" s="528" t="n"/>
      <c r="V379" s="528" t="n"/>
      <c r="X379" s="528" t="n"/>
      <c r="Z379" s="528" t="n"/>
      <c r="AA379" s="528" t="n"/>
      <c r="AB379" s="531" t="inlineStr">
        <is>
          <t>ES85 2080 3509 1130 4009 6171</t>
        </is>
      </c>
      <c r="AC379" s="527" t="inlineStr">
        <is>
          <t>pagado</t>
        </is>
      </c>
      <c r="AD379" s="528">
        <f>L379+N379+P379+R379+T379+V379+X379+Z379</f>
        <v/>
      </c>
      <c r="AE379" s="528">
        <f>IF((LEFT(K379,6))="Contab",L379,0)</f>
        <v/>
      </c>
      <c r="AF379" s="531">
        <f>VLOOKUP(G379,CLIENTES!B:E,4,FALSE)</f>
        <v/>
      </c>
      <c r="AG379" s="528">
        <f>AF379*AE379</f>
        <v/>
      </c>
      <c r="AH379" s="528">
        <f>AD379*1.21</f>
        <v/>
      </c>
      <c r="AI379" s="532">
        <f>IF(AE379&lt;&gt;0,AG379/AD379,"N/A")</f>
        <v/>
      </c>
      <c r="AJ379" s="528">
        <f>IF(AC379="pendiente",AD379,0)</f>
        <v/>
      </c>
      <c r="AK379" s="527">
        <f>VLOOKUP(G379,CLIENTES!B:D,3,FALSE)</f>
        <v/>
      </c>
      <c r="AL379" s="527" t="inlineStr">
        <is>
          <t>Asset</t>
        </is>
      </c>
      <c r="AM379" s="527" t="inlineStr">
        <is>
          <t>Administración</t>
        </is>
      </c>
    </row>
    <row r="380" ht="15" customFormat="1" customHeight="1" s="522">
      <c r="A380" s="522">
        <f>A379+1</f>
        <v/>
      </c>
      <c r="B380" s="521" t="n">
        <v>45929</v>
      </c>
      <c r="C380" s="522" t="inlineStr">
        <is>
          <t>c/ Las Cruzadas 3A, local D</t>
        </is>
      </c>
      <c r="D380" s="522" t="inlineStr">
        <is>
          <t>Sevilla 41004</t>
        </is>
      </c>
      <c r="E380" s="522" t="inlineStr">
        <is>
          <t>CIF B91938662</t>
        </is>
      </c>
      <c r="F380" s="522" t="inlineStr">
        <is>
          <t>aBalados@abalados.es</t>
        </is>
      </c>
      <c r="G380" s="522" t="inlineStr">
        <is>
          <t>Saja Renovables, S.L.</t>
        </is>
      </c>
      <c r="H380" s="522">
        <f>VLOOKUP($G380,DATOS!$B:$E,2,FALSE)</f>
        <v/>
      </c>
      <c r="I380" s="522">
        <f>VLOOKUP($G380,DATOS!$B:$E,3,FALSE)</f>
        <v/>
      </c>
      <c r="J380" s="523">
        <f>VLOOKUP($G380,DATOS!$B:$E,4,FALSE)</f>
        <v/>
      </c>
      <c r="K380" s="1" t="inlineStr">
        <is>
          <t>Honorarios - Contrato Operación &amp; Mantenimiento</t>
        </is>
      </c>
      <c r="L380" s="5" t="n"/>
      <c r="M380" s="1" t="inlineStr">
        <is>
          <t>Fee Trimestral - 01 Julio/30 Septiembre 2025</t>
        </is>
      </c>
      <c r="N380" s="5">
        <f>3*(46575/12)*1.027</f>
        <v/>
      </c>
      <c r="O380" s="1" t="inlineStr">
        <is>
          <t>Tasa actualización IPC General (Julio 2024 - Julio 2025): 2,7%</t>
        </is>
      </c>
      <c r="P380" s="5" t="n"/>
      <c r="Q380" s="1" t="n"/>
      <c r="R380" s="5" t="n"/>
      <c r="S380" s="1" t="inlineStr">
        <is>
          <t xml:space="preserve">   · PSFV Atarfe I</t>
        </is>
      </c>
      <c r="T380" s="5" t="n"/>
      <c r="U380" s="1" t="inlineStr">
        <is>
          <t xml:space="preserve">   · PSFV Atarfe V</t>
        </is>
      </c>
      <c r="V380" s="5" t="n"/>
      <c r="W380" s="1" t="inlineStr">
        <is>
          <t xml:space="preserve">   · PSFV Moclin I</t>
        </is>
      </c>
      <c r="X380" s="5" t="n"/>
      <c r="Y380" s="1" t="n"/>
      <c r="Z380" s="5" t="n"/>
      <c r="AA380" s="5" t="n"/>
      <c r="AB380" s="525" t="inlineStr">
        <is>
          <t>ES85 2080 3509 1130 4009 6171</t>
        </is>
      </c>
      <c r="AC380" s="522" t="inlineStr">
        <is>
          <t>pendiente</t>
        </is>
      </c>
      <c r="AD380" s="524">
        <f>L380+N380+P380+R380+T380+V380+X380+Z380</f>
        <v/>
      </c>
      <c r="AE380" s="524">
        <f>IF((LEFT(K380,6))="Contab",L380,0)</f>
        <v/>
      </c>
      <c r="AF380" s="525">
        <f>VLOOKUP(G380,CLIENTES!B:E,4,FALSE)</f>
        <v/>
      </c>
      <c r="AG380" s="524">
        <f>AF380*AE380</f>
        <v/>
      </c>
      <c r="AH380" s="524">
        <f>AD380*1.21</f>
        <v/>
      </c>
      <c r="AI380" s="526">
        <f>IF(AE380&lt;&gt;0,AG380/AD380,"N/A")</f>
        <v/>
      </c>
      <c r="AJ380" s="524">
        <f>IF(AC380="pendiente",AD380,0)</f>
        <v/>
      </c>
      <c r="AK380" s="522">
        <f>VLOOKUP(G380,CLIENTES!B:D,3,FALSE)</f>
        <v/>
      </c>
      <c r="AL380" s="1" t="inlineStr">
        <is>
          <t>OM_Otros</t>
        </is>
      </c>
      <c r="AM380" s="1" t="inlineStr">
        <is>
          <t>Explotación</t>
        </is>
      </c>
    </row>
    <row r="381" ht="15" customHeight="1" s="700">
      <c r="A381" s="1">
        <f>A380+1</f>
        <v/>
      </c>
      <c r="B381" s="26" t="n">
        <v>45929</v>
      </c>
      <c r="C381" s="1" t="inlineStr">
        <is>
          <t>c/ Las Cruzadas 3A, local D</t>
        </is>
      </c>
      <c r="D381" s="1" t="inlineStr">
        <is>
          <t>Sevilla 41004</t>
        </is>
      </c>
      <c r="E381" s="1" t="inlineStr">
        <is>
          <t>CIF B91938662</t>
        </is>
      </c>
      <c r="F381" s="1" t="inlineStr">
        <is>
          <t>aBalados@abalados.es</t>
        </is>
      </c>
      <c r="G381" s="1" t="inlineStr">
        <is>
          <t>C2C Inver Park, S.L.</t>
        </is>
      </c>
      <c r="H381" s="1">
        <f>VLOOKUP($G381,DATOS!$B:$E,2,FALSE)</f>
        <v/>
      </c>
      <c r="I381" s="1">
        <f>VLOOKUP($G381,DATOS!$B:$E,3,FALSE)</f>
        <v/>
      </c>
      <c r="J381" s="4">
        <f>VLOOKUP($G381,DATOS!$B:$E,4,FALSE)</f>
        <v/>
      </c>
      <c r="K381" s="1" t="inlineStr">
        <is>
          <t>Honorarios - Contrato Operación &amp; Mantenimiento</t>
        </is>
      </c>
      <c r="M381" s="1" t="inlineStr">
        <is>
          <t>Fee Trimestral - 01 Julio/30 Septiembre 2025</t>
        </is>
      </c>
      <c r="N381" s="5">
        <f>3*(25470/12)*1.027</f>
        <v/>
      </c>
      <c r="O381" s="1" t="inlineStr">
        <is>
          <t>Tasa actualización IPC General (Julio 2024 - Julio 2025): 2,7%</t>
        </is>
      </c>
      <c r="S381" s="1" t="inlineStr">
        <is>
          <t xml:space="preserve">   · PSFV C2C Inver Park</t>
        </is>
      </c>
      <c r="AB381" s="6" t="inlineStr">
        <is>
          <t>ES85 2080 3509 1130 4009 6171</t>
        </is>
      </c>
      <c r="AC381" s="1" t="inlineStr">
        <is>
          <t>pendiente</t>
        </is>
      </c>
      <c r="AD381" s="5">
        <f>L381+N381+P381+R381+T381+V381+X381+Z381</f>
        <v/>
      </c>
      <c r="AE381" s="5">
        <f>IF((LEFT(K381,6))="Contab",L381,0)</f>
        <v/>
      </c>
      <c r="AF381" s="6">
        <f>VLOOKUP(G381,CLIENTES!B:E,4,FALSE)</f>
        <v/>
      </c>
      <c r="AG381" s="5">
        <f>AF381*AE381</f>
        <v/>
      </c>
      <c r="AH381" s="5">
        <f>AD381*1.21</f>
        <v/>
      </c>
      <c r="AI381" s="261">
        <f>IF(AE381&lt;&gt;0,AG381/AD381,"N/A")</f>
        <v/>
      </c>
      <c r="AJ381" s="5">
        <f>IF(AC381="pendiente",AD381,0)</f>
        <v/>
      </c>
      <c r="AK381" s="1">
        <f>VLOOKUP(G381,CLIENTES!B:D,3,FALSE)</f>
        <v/>
      </c>
      <c r="AL381" s="1" t="inlineStr">
        <is>
          <t>OM_Otros</t>
        </is>
      </c>
      <c r="AM381" s="1" t="inlineStr">
        <is>
          <t>Explotación</t>
        </is>
      </c>
    </row>
    <row r="382" ht="15" customFormat="1" customHeight="1" s="527" thickBot="1">
      <c r="A382" s="527">
        <f>A381+1</f>
        <v/>
      </c>
      <c r="B382" s="529" t="n">
        <v>45929</v>
      </c>
      <c r="C382" s="527" t="inlineStr">
        <is>
          <t>c/ Las Cruzadas 3A, local D</t>
        </is>
      </c>
      <c r="D382" s="527" t="inlineStr">
        <is>
          <t>Sevilla 41004</t>
        </is>
      </c>
      <c r="E382" s="527" t="inlineStr">
        <is>
          <t>CIF B91938662</t>
        </is>
      </c>
      <c r="F382" s="527" t="inlineStr">
        <is>
          <t>aBalados@abalados.es</t>
        </is>
      </c>
      <c r="G382" s="527" t="inlineStr">
        <is>
          <t>Desarrollos Fotovoltaicos Mas del Bou, S.L.</t>
        </is>
      </c>
      <c r="H382" s="527">
        <f>VLOOKUP($G382,DATOS!$B:$E,2,FALSE)</f>
        <v/>
      </c>
      <c r="I382" s="527">
        <f>VLOOKUP($G382,DATOS!$B:$E,3,FALSE)</f>
        <v/>
      </c>
      <c r="J382" s="530">
        <f>VLOOKUP($G382,DATOS!$B:$E,4,FALSE)</f>
        <v/>
      </c>
      <c r="K382" s="527" t="inlineStr">
        <is>
          <t>Honorarios - Contrato Operación &amp; Mantenimiento</t>
        </is>
      </c>
      <c r="L382" s="528" t="n"/>
      <c r="M382" s="527" t="inlineStr">
        <is>
          <t>Fee Trimestral - 01 Julio/30 Septiembre 2025</t>
        </is>
      </c>
      <c r="N382" s="528">
        <f>3*(5186/12)*1.027</f>
        <v/>
      </c>
      <c r="O382" s="527" t="inlineStr">
        <is>
          <t>Tasa actualización IPC General (Julio 2024 - Julio 2025): 2,7%</t>
        </is>
      </c>
      <c r="P382" s="528" t="n"/>
      <c r="R382" s="528" t="n"/>
      <c r="S382" s="527" t="inlineStr">
        <is>
          <t xml:space="preserve">   · PSFV Cubierta Mas del Bou</t>
        </is>
      </c>
      <c r="T382" s="528" t="n"/>
      <c r="V382" s="528" t="n"/>
      <c r="X382" s="528" t="n"/>
      <c r="Z382" s="528" t="n"/>
      <c r="AA382" s="528" t="n"/>
      <c r="AB382" s="531" t="inlineStr">
        <is>
          <t>ES85 2080 3509 1130 4009 6171</t>
        </is>
      </c>
      <c r="AC382" s="527" t="inlineStr">
        <is>
          <t>pendiente</t>
        </is>
      </c>
      <c r="AD382" s="528">
        <f>L382+N382+P382+R382+T382+V382+X382+Z382</f>
        <v/>
      </c>
      <c r="AE382" s="528">
        <f>IF((LEFT(K382,6))="Contab",L382,0)</f>
        <v/>
      </c>
      <c r="AF382" s="531">
        <f>VLOOKUP(G382,CLIENTES!B:E,4,FALSE)</f>
        <v/>
      </c>
      <c r="AG382" s="528">
        <f>AF382*AE382</f>
        <v/>
      </c>
      <c r="AH382" s="528">
        <f>AD382*1.21</f>
        <v/>
      </c>
      <c r="AI382" s="532">
        <f>IF(AE382&lt;&gt;0,AG382/AD382,"N/A")</f>
        <v/>
      </c>
      <c r="AJ382" s="528">
        <f>IF(AC382="pendiente",AD382,0)</f>
        <v/>
      </c>
      <c r="AK382" s="527">
        <f>VLOOKUP(G382,CLIENTES!B:D,3,FALSE)</f>
        <v/>
      </c>
      <c r="AL382" s="527" t="inlineStr">
        <is>
          <t>OM_Otros</t>
        </is>
      </c>
      <c r="AM382" s="527" t="inlineStr">
        <is>
          <t>Explotación</t>
        </is>
      </c>
    </row>
    <row r="383" ht="15" customFormat="1" customHeight="1" s="522">
      <c r="A383" s="522">
        <f>A382+1</f>
        <v/>
      </c>
      <c r="B383" s="521" t="n">
        <v>45929</v>
      </c>
      <c r="C383" s="522" t="inlineStr">
        <is>
          <t>c/ Las Cruzadas 3A, local D</t>
        </is>
      </c>
      <c r="D383" s="522" t="inlineStr">
        <is>
          <t>Sevilla 41004</t>
        </is>
      </c>
      <c r="E383" s="522" t="inlineStr">
        <is>
          <t>CIF B91938662</t>
        </is>
      </c>
      <c r="F383" s="522" t="inlineStr">
        <is>
          <t>aBalados@abalados.es</t>
        </is>
      </c>
      <c r="G383" s="522" t="inlineStr">
        <is>
          <t>FP LUX REIO PV ZARAGOZA SL.</t>
        </is>
      </c>
      <c r="H383" s="522">
        <f>VLOOKUP($G383,DATOS!$B:$E,2,FALSE)</f>
        <v/>
      </c>
      <c r="I383" s="522">
        <f>VLOOKUP($G383,DATOS!$B:$E,3,FALSE)</f>
        <v/>
      </c>
      <c r="J383" s="522">
        <f>VLOOKUP($G383,DATOS!$B:$E,4,FALSE)</f>
        <v/>
      </c>
      <c r="K383" s="522" t="inlineStr">
        <is>
          <t>Proyecto El Marqués - Zaragoza</t>
        </is>
      </c>
      <c r="L383" s="524" t="n"/>
      <c r="M383" s="522" t="inlineStr">
        <is>
          <t>Corrective maintenance fifth operation year</t>
        </is>
      </c>
      <c r="N383" s="524" t="n">
        <v>1915</v>
      </c>
      <c r="P383" s="524" t="n"/>
      <c r="R383" s="524" t="n"/>
      <c r="T383" s="524" t="n"/>
      <c r="V383" s="524" t="n"/>
      <c r="X383" s="524" t="n"/>
      <c r="Z383" s="524" t="n"/>
      <c r="AA383" s="524" t="n"/>
      <c r="AB383" s="525" t="inlineStr">
        <is>
          <t>ES85 2080 3509 1130 4009 6171</t>
        </is>
      </c>
      <c r="AC383" s="522" t="inlineStr">
        <is>
          <t>pagado</t>
        </is>
      </c>
      <c r="AD383" s="524">
        <f>L383+N383+P383+R383+T383+V383+X383+Z383</f>
        <v/>
      </c>
      <c r="AE383" s="524">
        <f>IF((LEFT(K383,6))="Contab",L383,0)</f>
        <v/>
      </c>
      <c r="AF383" s="525">
        <f>VLOOKUP(G383,CLIENTES!B:E,4,FALSE)</f>
        <v/>
      </c>
      <c r="AG383" s="524">
        <f>AF383*AE383</f>
        <v/>
      </c>
      <c r="AH383" s="524">
        <f>AD383*1.21</f>
        <v/>
      </c>
      <c r="AI383" s="526">
        <f>IF(AE383&lt;&gt;0,AG383/AD383,"N/A")</f>
        <v/>
      </c>
      <c r="AJ383" s="524">
        <f>IF(AC383="pendiente",AD383,0)</f>
        <v/>
      </c>
      <c r="AK383" s="522">
        <f>VLOOKUP(G383,CLIENTES!B:D,3,FALSE)</f>
        <v/>
      </c>
      <c r="AL383" s="1" t="inlineStr">
        <is>
          <t>OM_Otros</t>
        </is>
      </c>
      <c r="AM383" s="1" t="inlineStr">
        <is>
          <t>Extraordinario</t>
        </is>
      </c>
    </row>
    <row r="384" ht="15" customHeight="1" s="700" thickBot="1">
      <c r="A384" s="1">
        <f>A383+1</f>
        <v/>
      </c>
      <c r="B384" s="26" t="n">
        <v>45929</v>
      </c>
      <c r="C384" s="1" t="inlineStr">
        <is>
          <t>c/ Las Cruzadas 3A, local D</t>
        </is>
      </c>
      <c r="D384" s="1" t="inlineStr">
        <is>
          <t>Sevilla 41004</t>
        </is>
      </c>
      <c r="E384" s="1" t="inlineStr">
        <is>
          <t>CIF B91938662</t>
        </is>
      </c>
      <c r="F384" s="1" t="inlineStr">
        <is>
          <t>aBalados@abalados.es</t>
        </is>
      </c>
      <c r="G384" s="1" t="inlineStr">
        <is>
          <t>Promotores Benejama Colectora, S.L.</t>
        </is>
      </c>
      <c r="H384" s="1">
        <f>VLOOKUP($G384,DATOS!$B:$E,2,FALSE)</f>
        <v/>
      </c>
      <c r="I384" s="1">
        <f>VLOOKUP($G384,DATOS!$B:$E,3,FALSE)</f>
        <v/>
      </c>
      <c r="J384" s="1">
        <f>VLOOKUP($G384,DATOS!$B:$E,4,FALSE)</f>
        <v/>
      </c>
      <c r="K384" s="1" t="inlineStr">
        <is>
          <t>Servicios extraordinarios - Servicios Legales</t>
        </is>
      </c>
      <c r="M384" s="1" t="inlineStr">
        <is>
          <t>Liquidación de la sociedad</t>
        </is>
      </c>
      <c r="N384" s="5" t="n">
        <v>3914</v>
      </c>
      <c r="Q384" s="1" t="inlineStr">
        <is>
          <t xml:space="preserve">Asesoramiento legal para la disolución y liquidación de la mercantil </t>
        </is>
      </c>
      <c r="AB384" s="6" t="inlineStr">
        <is>
          <t>ES85 2080 3509 1130 4009 6171</t>
        </is>
      </c>
      <c r="AC384" s="1" t="inlineStr">
        <is>
          <t>pendiente</t>
        </is>
      </c>
      <c r="AD384" s="5">
        <f>L384+N384+P384+R384+T384+V384+X384+Z384</f>
        <v/>
      </c>
      <c r="AE384" s="5">
        <f>P384</f>
        <v/>
      </c>
      <c r="AF384" s="6">
        <f>IF(AM384="Explotación",0.05,0.08)</f>
        <v/>
      </c>
      <c r="AG384" s="5">
        <f>AF384*AE384</f>
        <v/>
      </c>
      <c r="AH384" s="5">
        <f>AD384*1.21</f>
        <v/>
      </c>
      <c r="AI384" s="261">
        <f>IF(AE384&lt;&gt;0,AG384/AD384,"N/A")</f>
        <v/>
      </c>
      <c r="AJ384" s="5">
        <f>IF(AC384="pendiente",AD384,0)</f>
        <v/>
      </c>
      <c r="AK384" s="1">
        <f>VLOOKUP(G384,CLIENTES!B:D,3,FALSE)</f>
        <v/>
      </c>
      <c r="AL384" s="1" t="inlineStr">
        <is>
          <t>nudos</t>
        </is>
      </c>
      <c r="AM384" s="1" t="inlineStr">
        <is>
          <t>Extraordinario</t>
        </is>
      </c>
    </row>
    <row r="385" ht="15" customFormat="1" customHeight="1" s="522">
      <c r="A385" s="522">
        <f>A384+1</f>
        <v/>
      </c>
      <c r="B385" s="521" t="n">
        <v>45929</v>
      </c>
      <c r="C385" s="522" t="inlineStr">
        <is>
          <t>c/ Las Cruzadas 3A, local D</t>
        </is>
      </c>
      <c r="D385" s="522" t="inlineStr">
        <is>
          <t>Sevilla 41004</t>
        </is>
      </c>
      <c r="E385" s="522" t="inlineStr">
        <is>
          <t>CIF B91938662</t>
        </is>
      </c>
      <c r="F385" s="522" t="inlineStr">
        <is>
          <t>aBalados@abalados.es</t>
        </is>
      </c>
      <c r="G385" s="522" t="inlineStr">
        <is>
          <t>Evacuación Carmona 400-220 kV Renovables, S.L.</t>
        </is>
      </c>
      <c r="H385" s="522">
        <f>VLOOKUP($G385,DATOS!$B:$E,2,FALSE)</f>
        <v/>
      </c>
      <c r="I385" s="522">
        <f>VLOOKUP($G385,DATOS!$B:$E,3,FALSE)</f>
        <v/>
      </c>
      <c r="J385" s="522">
        <f>VLOOKUP($G385,DATOS!$B:$E,4,FALSE)</f>
        <v/>
      </c>
      <c r="K385" s="522" t="inlineStr">
        <is>
          <t>Refacturación gastos y/o servicios prestados a nombre de la sociedad</t>
        </is>
      </c>
      <c r="L385" s="524" t="n"/>
      <c r="M385" s="522" t="inlineStr">
        <is>
          <t>Jofran Mensajeros, S.L - Envio de documentación</t>
        </is>
      </c>
      <c r="N385" s="524" t="n">
        <v>5.98</v>
      </c>
      <c r="P385" s="524" t="n"/>
      <c r="R385" s="524" t="n"/>
      <c r="T385" s="524" t="n"/>
      <c r="V385" s="524" t="n"/>
      <c r="X385" s="524" t="n"/>
      <c r="Z385" s="524" t="n"/>
      <c r="AA385" s="524" t="n"/>
      <c r="AB385" s="525" t="inlineStr">
        <is>
          <t>ES85 2080 3509 1130 4009 6171</t>
        </is>
      </c>
      <c r="AC385" s="522" t="inlineStr">
        <is>
          <t>pendiente</t>
        </is>
      </c>
      <c r="AD385" s="524">
        <f>L385+N385+P385+R385+T385+V385+X385+Z385</f>
        <v/>
      </c>
      <c r="AE385" s="524">
        <f>IF((LEFT(K385,6))="Contab",L385,0)</f>
        <v/>
      </c>
      <c r="AF385" s="525">
        <f>VLOOKUP(G385,CLIENTES!B:E,4,FALSE)</f>
        <v/>
      </c>
      <c r="AG385" s="524">
        <f>AF385*AE385</f>
        <v/>
      </c>
      <c r="AH385" s="524">
        <f>AD385*1.21</f>
        <v/>
      </c>
      <c r="AI385" s="526">
        <f>IF(AE385&lt;&gt;0,AG385/AD385,"N/A")</f>
        <v/>
      </c>
      <c r="AJ385" s="524">
        <f>IF(AC385="pendiente",AD385,0)</f>
        <v/>
      </c>
      <c r="AK385" s="522">
        <f>VLOOKUP(G385,CLIENTES!B:D,3,FALSE)</f>
        <v/>
      </c>
      <c r="AL385" s="522" t="inlineStr">
        <is>
          <t>nudos</t>
        </is>
      </c>
      <c r="AM385" s="522" t="inlineStr">
        <is>
          <t>Refacturación</t>
        </is>
      </c>
    </row>
    <row r="386" ht="15" customHeight="1" s="700">
      <c r="A386" s="1">
        <f>A385+1</f>
        <v/>
      </c>
      <c r="B386" s="26" t="n">
        <v>45929</v>
      </c>
      <c r="C386" s="1" t="inlineStr">
        <is>
          <t>c/ Las Cruzadas 3A, local D</t>
        </is>
      </c>
      <c r="D386" s="1" t="inlineStr">
        <is>
          <t>Sevilla 41004</t>
        </is>
      </c>
      <c r="E386" s="1" t="inlineStr">
        <is>
          <t>CIF B91938662</t>
        </is>
      </c>
      <c r="F386" s="1" t="inlineStr">
        <is>
          <t>aBalados@abalados.es</t>
        </is>
      </c>
      <c r="G386" s="1" t="inlineStr">
        <is>
          <t>Tordesillas Renovables, S.L.</t>
        </is>
      </c>
      <c r="H386" s="1">
        <f>VLOOKUP($G386,DATOS!$B:$E,2,FALSE)</f>
        <v/>
      </c>
      <c r="I386" s="1">
        <f>VLOOKUP($G386,DATOS!$B:$E,3,FALSE)</f>
        <v/>
      </c>
      <c r="J386" s="1">
        <f>VLOOKUP($G386,DATOS!$B:$E,4,FALSE)</f>
        <v/>
      </c>
      <c r="K386" s="1" t="inlineStr">
        <is>
          <t>Refacturación gastos y/o servicios prestados a nombre de la sociedad</t>
        </is>
      </c>
      <c r="M386" s="1" t="inlineStr">
        <is>
          <t>Jofran Mensajeros, S.L - Envio de documentación</t>
        </is>
      </c>
      <c r="N386" s="5" t="n">
        <v>6.58</v>
      </c>
      <c r="AB386" s="6" t="inlineStr">
        <is>
          <t>ES85 2080 3509 1130 4009 6171</t>
        </is>
      </c>
      <c r="AC386" s="1" t="inlineStr">
        <is>
          <t>pagado</t>
        </is>
      </c>
      <c r="AD386" s="5">
        <f>L386+N386+P386+R386+T386+V386+X386+Z386</f>
        <v/>
      </c>
      <c r="AE386" s="5">
        <f>IF((LEFT(K386,6))="Contab",L386,0)</f>
        <v/>
      </c>
      <c r="AF386" s="6">
        <f>VLOOKUP(G386,CLIENTES!B:E,4,FALSE)</f>
        <v/>
      </c>
      <c r="AG386" s="5">
        <f>AF386*AE386</f>
        <v/>
      </c>
      <c r="AH386" s="5">
        <f>AD386*1.21</f>
        <v/>
      </c>
      <c r="AI386" s="261">
        <f>IF(AE386&lt;&gt;0,AG386/AD386,"N/A")</f>
        <v/>
      </c>
      <c r="AJ386" s="5">
        <f>IF(AC386="pendiente",AD386,0)</f>
        <v/>
      </c>
      <c r="AK386" s="1">
        <f>VLOOKUP(G386,CLIENTES!B:D,3,FALSE)</f>
        <v/>
      </c>
      <c r="AL386" s="1" t="inlineStr">
        <is>
          <t>nudos</t>
        </is>
      </c>
      <c r="AM386" s="1" t="inlineStr">
        <is>
          <t>Refacturación</t>
        </is>
      </c>
    </row>
    <row r="387" ht="15" customHeight="1" s="700">
      <c r="A387" s="1">
        <f>A386+1</f>
        <v/>
      </c>
      <c r="B387" s="26" t="n">
        <v>45929</v>
      </c>
      <c r="C387" s="1" t="inlineStr">
        <is>
          <t>c/ Las Cruzadas 3A, local D</t>
        </is>
      </c>
      <c r="D387" s="1" t="inlineStr">
        <is>
          <t>Sevilla 41004</t>
        </is>
      </c>
      <c r="E387" s="1" t="inlineStr">
        <is>
          <t>CIF B91938662</t>
        </is>
      </c>
      <c r="F387" s="1" t="inlineStr">
        <is>
          <t>aBalados@abalados.es</t>
        </is>
      </c>
      <c r="G387" s="1" t="inlineStr">
        <is>
          <t>Evacuación Tordesillas 400 kV, S.L.</t>
        </is>
      </c>
      <c r="H387" s="1">
        <f>VLOOKUP($G387,DATOS!$B:$E,2,FALSE)</f>
        <v/>
      </c>
      <c r="I387" s="1">
        <f>VLOOKUP($G387,DATOS!$B:$E,3,FALSE)</f>
        <v/>
      </c>
      <c r="J387" s="1">
        <f>VLOOKUP($G387,DATOS!$B:$E,4,FALSE)</f>
        <v/>
      </c>
      <c r="K387" s="1" t="inlineStr">
        <is>
          <t>Refacturación gastos y/o servicios prestados a nombre de la sociedad</t>
        </is>
      </c>
      <c r="M387" s="1" t="inlineStr">
        <is>
          <t>Jofran Mensajeros, S.L - Envio de documentación</t>
        </is>
      </c>
      <c r="N387" s="5" t="n">
        <v>19.74</v>
      </c>
      <c r="AB387" s="6" t="inlineStr">
        <is>
          <t>ES85 2080 3509 1130 4009 6171</t>
        </is>
      </c>
      <c r="AC387" s="1" t="inlineStr">
        <is>
          <t>pendiente</t>
        </is>
      </c>
      <c r="AD387" s="5">
        <f>L387+N387+P387+R387+T387+V387+X387+Z387</f>
        <v/>
      </c>
      <c r="AE387" s="5">
        <f>IF((LEFT(K387,6))="Contab",L387,0)</f>
        <v/>
      </c>
      <c r="AF387" s="6">
        <f>VLOOKUP(G387,CLIENTES!B:E,4,FALSE)</f>
        <v/>
      </c>
      <c r="AG387" s="5">
        <f>AF387*AE387</f>
        <v/>
      </c>
      <c r="AH387" s="5">
        <f>AD387*1.21</f>
        <v/>
      </c>
      <c r="AI387" s="261">
        <f>IF(AE387&lt;&gt;0,AG387/AD387,"N/A")</f>
        <v/>
      </c>
      <c r="AJ387" s="5">
        <f>IF(AC387="pendiente",AD387,0)</f>
        <v/>
      </c>
      <c r="AK387" s="1">
        <f>VLOOKUP(G387,CLIENTES!B:D,3,FALSE)</f>
        <v/>
      </c>
      <c r="AL387" s="1" t="inlineStr">
        <is>
          <t>nudos</t>
        </is>
      </c>
      <c r="AM387" s="1" t="inlineStr">
        <is>
          <t>Refacturación</t>
        </is>
      </c>
    </row>
    <row r="388" ht="15" customHeight="1" s="700">
      <c r="A388" s="1">
        <f>A387+1</f>
        <v/>
      </c>
      <c r="B388" s="26" t="n">
        <v>45929</v>
      </c>
      <c r="C388" s="1" t="inlineStr">
        <is>
          <t>c/ Las Cruzadas 3A, local D</t>
        </is>
      </c>
      <c r="D388" s="1" t="inlineStr">
        <is>
          <t>Sevilla 41004</t>
        </is>
      </c>
      <c r="E388" s="1" t="inlineStr">
        <is>
          <t>CIF B91938662</t>
        </is>
      </c>
      <c r="F388" s="1" t="inlineStr">
        <is>
          <t>aBalados@abalados.es</t>
        </is>
      </c>
      <c r="G388" s="1" t="inlineStr">
        <is>
          <t>SET Carmona 400 kV Renovables, S.L.</t>
        </is>
      </c>
      <c r="H388" s="1">
        <f>VLOOKUP($G388,DATOS!$B:$E,2,FALSE)</f>
        <v/>
      </c>
      <c r="I388" s="1">
        <f>VLOOKUP($G388,DATOS!$B:$E,3,FALSE)</f>
        <v/>
      </c>
      <c r="J388" s="1">
        <f>VLOOKUP($G388,DATOS!$B:$E,4,FALSE)</f>
        <v/>
      </c>
      <c r="K388" s="1" t="inlineStr">
        <is>
          <t>Refacturación gastos y/o servicios prestados a nombre de la sociedad</t>
        </is>
      </c>
      <c r="M388" s="1" t="inlineStr">
        <is>
          <t>Jofran Mensajeros, S.L - Envio de documentación</t>
        </is>
      </c>
      <c r="N388" s="5" t="n">
        <v>5.66</v>
      </c>
      <c r="O388" s="1" t="inlineStr">
        <is>
          <t>REGISTRO DE LA PROPIEDAD DE CARMONA 2025/768</t>
        </is>
      </c>
      <c r="P388" s="5" t="n">
        <v>9.02</v>
      </c>
      <c r="AB388" s="6" t="inlineStr">
        <is>
          <t>ES85 2080 3509 1130 4009 6171</t>
        </is>
      </c>
      <c r="AC388" s="1" t="inlineStr">
        <is>
          <t>pendiente</t>
        </is>
      </c>
      <c r="AD388" s="5">
        <f>L388+N388+P388+R388+T388+V388+X388+Z388</f>
        <v/>
      </c>
      <c r="AE388" s="5">
        <f>IF((LEFT(K388,6))="Contab",L388,0)</f>
        <v/>
      </c>
      <c r="AF388" s="6">
        <f>VLOOKUP(G388,CLIENTES!B:E,4,FALSE)</f>
        <v/>
      </c>
      <c r="AG388" s="5">
        <f>AF388*AE388</f>
        <v/>
      </c>
      <c r="AH388" s="5">
        <f>AD388*1.21</f>
        <v/>
      </c>
      <c r="AI388" s="261">
        <f>IF(AE388&lt;&gt;0,AG388/AD388,"N/A")</f>
        <v/>
      </c>
      <c r="AJ388" s="5">
        <f>IF(AC388="pendiente",AD388,0)</f>
        <v/>
      </c>
      <c r="AK388" s="1">
        <f>VLOOKUP(G388,CLIENTES!B:D,3,FALSE)</f>
        <v/>
      </c>
      <c r="AL388" s="1" t="inlineStr">
        <is>
          <t>nudos</t>
        </is>
      </c>
      <c r="AM388" s="1" t="inlineStr">
        <is>
          <t>Refacturación</t>
        </is>
      </c>
    </row>
    <row r="389" ht="15" customHeight="1" s="700">
      <c r="A389" s="1">
        <f>A388+1</f>
        <v/>
      </c>
      <c r="B389" s="26" t="n">
        <v>45929</v>
      </c>
      <c r="C389" s="1" t="inlineStr">
        <is>
          <t>c/ Las Cruzadas 3A, local D</t>
        </is>
      </c>
      <c r="D389" s="1" t="inlineStr">
        <is>
          <t>Sevilla 41004</t>
        </is>
      </c>
      <c r="E389" s="1" t="inlineStr">
        <is>
          <t>CIF B91938662</t>
        </is>
      </c>
      <c r="F389" s="1" t="inlineStr">
        <is>
          <t>aBalados@abalados.es</t>
        </is>
      </c>
      <c r="G389" s="1" t="inlineStr">
        <is>
          <t>Renovables Brovales 400 kV, S.L.</t>
        </is>
      </c>
      <c r="H389" s="1">
        <f>VLOOKUP($G389,DATOS!$B:$E,2,FALSE)</f>
        <v/>
      </c>
      <c r="I389" s="1">
        <f>VLOOKUP($G389,DATOS!$B:$E,3,FALSE)</f>
        <v/>
      </c>
      <c r="J389" s="1">
        <f>VLOOKUP($G389,DATOS!$B:$E,4,FALSE)</f>
        <v/>
      </c>
      <c r="K389" s="1" t="inlineStr">
        <is>
          <t>Refacturación gastos y/o servicios prestados a nombre de la sociedad</t>
        </is>
      </c>
      <c r="M389" s="1" t="inlineStr">
        <is>
          <t>Jofran Mensajeros, S.L - Envio de documentación</t>
        </is>
      </c>
      <c r="N389" s="5" t="n">
        <v>6.58</v>
      </c>
      <c r="AB389" s="6" t="inlineStr">
        <is>
          <t>ES85 2080 3509 1130 4009 6171</t>
        </is>
      </c>
      <c r="AC389" s="1" t="inlineStr">
        <is>
          <t>pagado</t>
        </is>
      </c>
      <c r="AD389" s="5">
        <f>L389+N389+P389+R389+T389+V389+X389+Z389</f>
        <v/>
      </c>
      <c r="AE389" s="5">
        <f>IF((LEFT(K389,6))="Contab",L389,0)</f>
        <v/>
      </c>
      <c r="AF389" s="6">
        <f>VLOOKUP(G389,CLIENTES!B:E,4,FALSE)</f>
        <v/>
      </c>
      <c r="AG389" s="5">
        <f>AF389*AE389</f>
        <v/>
      </c>
      <c r="AH389" s="5">
        <f>AD389*1.21</f>
        <v/>
      </c>
      <c r="AI389" s="261">
        <f>IF(AE389&lt;&gt;0,AG389/AD389,"N/A")</f>
        <v/>
      </c>
      <c r="AJ389" s="5">
        <f>IF(AC389="pendiente",AD389,0)</f>
        <v/>
      </c>
      <c r="AK389" s="1">
        <f>VLOOKUP(G389,CLIENTES!B:D,3,FALSE)</f>
        <v/>
      </c>
      <c r="AL389" s="1" t="inlineStr">
        <is>
          <t>nudos</t>
        </is>
      </c>
      <c r="AM389" s="1" t="inlineStr">
        <is>
          <t>Refacturación</t>
        </is>
      </c>
    </row>
    <row r="390" ht="15" customHeight="1" s="700">
      <c r="A390" s="1">
        <f>A389+1</f>
        <v/>
      </c>
      <c r="B390" s="26" t="n">
        <v>45929</v>
      </c>
      <c r="C390" s="1" t="inlineStr">
        <is>
          <t>c/ Las Cruzadas 3A, local D</t>
        </is>
      </c>
      <c r="D390" s="1" t="inlineStr">
        <is>
          <t>Sevilla 41004</t>
        </is>
      </c>
      <c r="E390" s="1" t="inlineStr">
        <is>
          <t>CIF B91938662</t>
        </is>
      </c>
      <c r="F390" s="1" t="inlineStr">
        <is>
          <t>aBalados@abalados.es</t>
        </is>
      </c>
      <c r="G390" s="1" t="inlineStr">
        <is>
          <t>Cuádruple Belinchón, S.L.</t>
        </is>
      </c>
      <c r="H390" s="1">
        <f>VLOOKUP($G390,DATOS!$B:$E,2,FALSE)</f>
        <v/>
      </c>
      <c r="I390" s="1">
        <f>VLOOKUP($G390,DATOS!$B:$E,3,FALSE)</f>
        <v/>
      </c>
      <c r="J390" s="1">
        <f>VLOOKUP($G390,DATOS!$B:$E,4,FALSE)</f>
        <v/>
      </c>
      <c r="K390" s="1" t="inlineStr">
        <is>
          <t>Refacturación gastos y/o servicios prestados a nombre de la sociedad</t>
        </is>
      </c>
      <c r="M390" s="1" t="inlineStr">
        <is>
          <t>Jofran Mensajeros, S.L - Envio de documentación</t>
        </is>
      </c>
      <c r="N390" s="5" t="n">
        <v>6.58</v>
      </c>
      <c r="O390" s="1" t="inlineStr">
        <is>
          <t>OFICINA VIRTUAL DE CORREOS TI250968886</t>
        </is>
      </c>
      <c r="P390" s="5" t="n">
        <v>26.74</v>
      </c>
      <c r="AB390" s="6" t="inlineStr">
        <is>
          <t>ES85 2080 3509 1130 4009 6171</t>
        </is>
      </c>
      <c r="AC390" s="1" t="inlineStr">
        <is>
          <t>pagado</t>
        </is>
      </c>
      <c r="AD390" s="5">
        <f>L390+N390+P390+R390+T390+V390+X390+Z390</f>
        <v/>
      </c>
      <c r="AE390" s="5">
        <f>IF((LEFT(K390,6))="Contab",L390,0)</f>
        <v/>
      </c>
      <c r="AF390" s="6">
        <f>VLOOKUP(G390,CLIENTES!B:E,4,FALSE)</f>
        <v/>
      </c>
      <c r="AG390" s="5">
        <f>AF390*AE390</f>
        <v/>
      </c>
      <c r="AH390" s="5">
        <f>AD390*1.21</f>
        <v/>
      </c>
      <c r="AI390" s="261">
        <f>IF(AE390&lt;&gt;0,AG390/AD390,"N/A")</f>
        <v/>
      </c>
      <c r="AJ390" s="5">
        <f>IF(AC390="pendiente",AD390,0)</f>
        <v/>
      </c>
      <c r="AK390" s="1">
        <f>VLOOKUP(G390,CLIENTES!B:D,3,FALSE)</f>
        <v/>
      </c>
      <c r="AL390" s="1" t="inlineStr">
        <is>
          <t>nudos</t>
        </is>
      </c>
      <c r="AM390" s="1" t="inlineStr">
        <is>
          <t>Refacturación</t>
        </is>
      </c>
    </row>
    <row r="391" ht="15" customHeight="1" s="700">
      <c r="A391" s="1">
        <f>A390+1</f>
        <v/>
      </c>
      <c r="B391" s="26" t="n">
        <v>45929</v>
      </c>
      <c r="C391" s="1" t="inlineStr">
        <is>
          <t>c/ Las Cruzadas 3A, local D</t>
        </is>
      </c>
      <c r="D391" s="1" t="inlineStr">
        <is>
          <t>Sevilla 41004</t>
        </is>
      </c>
      <c r="E391" s="1" t="inlineStr">
        <is>
          <t>CIF B91938662</t>
        </is>
      </c>
      <c r="F391" s="1" t="inlineStr">
        <is>
          <t>aBalados@abalados.es</t>
        </is>
      </c>
      <c r="G391" s="1" t="inlineStr">
        <is>
          <t>Brazatortas 220 Renovables, S.L.</t>
        </is>
      </c>
      <c r="H391" s="1">
        <f>VLOOKUP($G391,DATOS!$B:$E,2,FALSE)</f>
        <v/>
      </c>
      <c r="I391" s="1">
        <f>VLOOKUP($G391,DATOS!$B:$E,3,FALSE)</f>
        <v/>
      </c>
      <c r="J391" s="1">
        <f>VLOOKUP($G391,DATOS!$B:$E,4,FALSE)</f>
        <v/>
      </c>
      <c r="K391" s="1" t="inlineStr">
        <is>
          <t>Refacturación gastos y/o servicios prestados a nombre de la sociedad</t>
        </is>
      </c>
      <c r="M391" s="1" t="inlineStr">
        <is>
          <t>EL BOMBÍN F25/1634</t>
        </is>
      </c>
      <c r="N391" s="5" t="n">
        <v>3.97</v>
      </c>
      <c r="AB391" s="6" t="inlineStr">
        <is>
          <t>ES85 2080 3509 1130 4009 6171</t>
        </is>
      </c>
      <c r="AC391" s="1" t="inlineStr">
        <is>
          <t>pendiente</t>
        </is>
      </c>
      <c r="AD391" s="5">
        <f>L391+N391+P391+R391+T391+V391+X391+Z391</f>
        <v/>
      </c>
      <c r="AE391" s="5">
        <f>IF((LEFT(K391,6))="Contab",L391,0)</f>
        <v/>
      </c>
      <c r="AF391" s="6">
        <f>VLOOKUP(G391,CLIENTES!B:E,4,FALSE)</f>
        <v/>
      </c>
      <c r="AG391" s="5">
        <f>AF391*AE391</f>
        <v/>
      </c>
      <c r="AH391" s="5">
        <f>AD391*1.21</f>
        <v/>
      </c>
      <c r="AI391" s="261">
        <f>IF(AE391&lt;&gt;0,AG391/AD391,"N/A")</f>
        <v/>
      </c>
      <c r="AJ391" s="5">
        <f>IF(AC391="pendiente",AD391,0)</f>
        <v/>
      </c>
      <c r="AK391" s="1">
        <f>VLOOKUP(G391,CLIENTES!B:D,3,FALSE)</f>
        <v/>
      </c>
      <c r="AL391" s="1" t="inlineStr">
        <is>
          <t>nudos</t>
        </is>
      </c>
      <c r="AM391" s="1" t="inlineStr">
        <is>
          <t>Refacturación</t>
        </is>
      </c>
    </row>
    <row r="392" ht="15" customHeight="1" s="700">
      <c r="A392" s="1">
        <f>A391+1</f>
        <v/>
      </c>
      <c r="B392" s="26" t="n">
        <v>45929</v>
      </c>
      <c r="C392" s="1" t="inlineStr">
        <is>
          <t>c/ Las Cruzadas 3A, local D</t>
        </is>
      </c>
      <c r="D392" s="1" t="inlineStr">
        <is>
          <t>Sevilla 41004</t>
        </is>
      </c>
      <c r="E392" s="1" t="inlineStr">
        <is>
          <t>CIF B91938662</t>
        </is>
      </c>
      <c r="F392" s="1" t="inlineStr">
        <is>
          <t>aBalados@abalados.es</t>
        </is>
      </c>
      <c r="G392" s="1" t="inlineStr">
        <is>
          <t>Becerril Renovables, S.L.</t>
        </is>
      </c>
      <c r="H392" s="1">
        <f>VLOOKUP($G392,DATOS!$B:$E,2,FALSE)</f>
        <v/>
      </c>
      <c r="I392" s="1">
        <f>VLOOKUP($G392,DATOS!$B:$E,3,FALSE)</f>
        <v/>
      </c>
      <c r="J392" s="1">
        <f>VLOOKUP($G392,DATOS!$B:$E,4,FALSE)</f>
        <v/>
      </c>
      <c r="K392" s="1" t="inlineStr">
        <is>
          <t>Refacturación gastos y/o servicios prestados a nombre de la sociedad</t>
        </is>
      </c>
      <c r="M392" s="1" t="inlineStr">
        <is>
          <t>Jofran Mensajeros, S.L - Envio de documentación</t>
        </is>
      </c>
      <c r="N392" s="5" t="n">
        <v>19.74</v>
      </c>
      <c r="AB392" s="6" t="inlineStr">
        <is>
          <t>ES85 2080 3509 1130 4009 6171</t>
        </is>
      </c>
      <c r="AC392" s="1" t="inlineStr">
        <is>
          <t>pendiente</t>
        </is>
      </c>
      <c r="AD392" s="5">
        <f>L392+N392+P392+R392+T392+V392+X392+Z392</f>
        <v/>
      </c>
      <c r="AE392" s="5">
        <f>IF((LEFT(K392,6))="Contab",L392,0)</f>
        <v/>
      </c>
      <c r="AF392" s="6">
        <f>VLOOKUP(G392,CLIENTES!B:E,4,FALSE)</f>
        <v/>
      </c>
      <c r="AG392" s="5">
        <f>AF392*AE392</f>
        <v/>
      </c>
      <c r="AH392" s="5">
        <f>AD392*1.21</f>
        <v/>
      </c>
      <c r="AI392" s="261">
        <f>IF(AE392&lt;&gt;0,AG392/AD392,"N/A")</f>
        <v/>
      </c>
      <c r="AJ392" s="5">
        <f>IF(AC392="pendiente",AD392,0)</f>
        <v/>
      </c>
      <c r="AK392" s="1">
        <f>VLOOKUP(G392,CLIENTES!B:D,3,FALSE)</f>
        <v/>
      </c>
      <c r="AL392" s="1" t="inlineStr">
        <is>
          <t>nudos</t>
        </is>
      </c>
      <c r="AM392" s="1" t="inlineStr">
        <is>
          <t>Refacturación</t>
        </is>
      </c>
    </row>
    <row r="393" ht="15" customHeight="1" s="700">
      <c r="A393" s="1">
        <f>A392+1</f>
        <v/>
      </c>
      <c r="B393" s="26" t="n">
        <v>45929</v>
      </c>
      <c r="C393" s="1" t="inlineStr">
        <is>
          <t>c/ Las Cruzadas 3A, local D</t>
        </is>
      </c>
      <c r="D393" s="1" t="inlineStr">
        <is>
          <t>Sevilla 41004</t>
        </is>
      </c>
      <c r="E393" s="1" t="inlineStr">
        <is>
          <t>CIF B91938662</t>
        </is>
      </c>
      <c r="F393" s="1" t="inlineStr">
        <is>
          <t>aBalados@abalados.es</t>
        </is>
      </c>
      <c r="G393" s="1" t="inlineStr">
        <is>
          <t>Toro Renovables, S.L.</t>
        </is>
      </c>
      <c r="H393" s="1">
        <f>VLOOKUP($G393,DATOS!$B:$E,2,FALSE)</f>
        <v/>
      </c>
      <c r="I393" s="1">
        <f>VLOOKUP($G393,DATOS!$B:$E,3,FALSE)</f>
        <v/>
      </c>
      <c r="J393" s="1">
        <f>VLOOKUP($G393,DATOS!$B:$E,4,FALSE)</f>
        <v/>
      </c>
      <c r="K393" s="1" t="inlineStr">
        <is>
          <t>Refacturación gastos y/o servicios prestados a nombre de la sociedad</t>
        </is>
      </c>
      <c r="M393" s="1" t="inlineStr">
        <is>
          <t>Jofran Mensajeros, S.L - Envio de documentación</t>
        </is>
      </c>
      <c r="N393" s="5" t="n">
        <v>6.58</v>
      </c>
      <c r="O393" s="1" t="inlineStr">
        <is>
          <t>REGISTRO MERCANTIL MADRID 2025.54458</t>
        </is>
      </c>
      <c r="P393" s="5" t="n">
        <v>58.6</v>
      </c>
      <c r="Q393" s="1" t="inlineStr">
        <is>
          <t>REGISTRO MERCANTIL MADRID 2025.55750</t>
        </is>
      </c>
      <c r="R393" s="5" t="n">
        <v>49.73</v>
      </c>
      <c r="AB393" s="6" t="inlineStr">
        <is>
          <t>ES85 2080 3509 1130 4009 6171</t>
        </is>
      </c>
      <c r="AC393" s="1" t="inlineStr">
        <is>
          <t>pendiente</t>
        </is>
      </c>
      <c r="AD393" s="5">
        <f>L393+N393+P393+R393+T393+V393+X393+Z393</f>
        <v/>
      </c>
      <c r="AE393" s="5">
        <f>IF((LEFT(K393,6))="Contab",L393,0)</f>
        <v/>
      </c>
      <c r="AF393" s="6">
        <f>VLOOKUP(G393,CLIENTES!B:E,4,FALSE)</f>
        <v/>
      </c>
      <c r="AG393" s="5">
        <f>AF393*AE393</f>
        <v/>
      </c>
      <c r="AH393" s="5">
        <f>AD393*1.21</f>
        <v/>
      </c>
      <c r="AI393" s="261">
        <f>IF(AE393&lt;&gt;0,AG393/AD393,"N/A")</f>
        <v/>
      </c>
      <c r="AJ393" s="5">
        <f>IF(AC393="pendiente",AD393,0)</f>
        <v/>
      </c>
      <c r="AK393" s="1">
        <f>VLOOKUP(G393,CLIENTES!B:D,3,FALSE)</f>
        <v/>
      </c>
      <c r="AL393" s="1" t="inlineStr">
        <is>
          <t>nudos</t>
        </is>
      </c>
      <c r="AM393" s="1" t="inlineStr">
        <is>
          <t>Refacturación</t>
        </is>
      </c>
    </row>
    <row r="394" ht="15" customHeight="1" s="700">
      <c r="A394" s="1">
        <f>A393+1</f>
        <v/>
      </c>
      <c r="B394" s="26" t="n">
        <v>45929</v>
      </c>
      <c r="C394" s="1" t="inlineStr">
        <is>
          <t>c/ Las Cruzadas 3A, local D</t>
        </is>
      </c>
      <c r="D394" s="1" t="inlineStr">
        <is>
          <t>Sevilla 41004</t>
        </is>
      </c>
      <c r="E394" s="1" t="inlineStr">
        <is>
          <t>CIF B91938662</t>
        </is>
      </c>
      <c r="F394" s="1" t="inlineStr">
        <is>
          <t>aBalados@abalados.es</t>
        </is>
      </c>
      <c r="G394" s="1" t="inlineStr">
        <is>
          <t>ICE Santa Engracia, S.L.</t>
        </is>
      </c>
      <c r="H394" s="1">
        <f>VLOOKUP($G394,DATOS!$B:$E,2,FALSE)</f>
        <v/>
      </c>
      <c r="I394" s="1">
        <f>VLOOKUP($G394,DATOS!$B:$E,3,FALSE)</f>
        <v/>
      </c>
      <c r="J394" s="1">
        <f>VLOOKUP($G394,DATOS!$B:$E,4,FALSE)</f>
        <v/>
      </c>
      <c r="K394" s="1" t="inlineStr">
        <is>
          <t>Refacturación gastos y/o servicios prestados a nombre de la sociedad</t>
        </is>
      </c>
      <c r="M394" s="1" t="inlineStr">
        <is>
          <t>REGISTRO MERCANTIL LA RIOJA 2025.1019</t>
        </is>
      </c>
      <c r="N394" s="5" t="n">
        <v>30.8</v>
      </c>
      <c r="AB394" s="6" t="inlineStr">
        <is>
          <t>ES85 2080 3509 1130 4009 6171</t>
        </is>
      </c>
      <c r="AC394" s="1" t="inlineStr">
        <is>
          <t>pendiente</t>
        </is>
      </c>
      <c r="AD394" s="5">
        <f>L394+N394+P394+R394+T394+V394+X394+Z394</f>
        <v/>
      </c>
      <c r="AE394" s="5">
        <f>IF((LEFT(K394,6))="Contab",L394,0)</f>
        <v/>
      </c>
      <c r="AF394" s="6">
        <f>VLOOKUP(G394,CLIENTES!B:E,4,FALSE)</f>
        <v/>
      </c>
      <c r="AG394" s="5">
        <f>AF394*AE394</f>
        <v/>
      </c>
      <c r="AH394" s="5">
        <f>AD394*1.21</f>
        <v/>
      </c>
      <c r="AI394" s="261">
        <f>IF(AE394&lt;&gt;0,AG394/AD394,"N/A")</f>
        <v/>
      </c>
      <c r="AJ394" s="5">
        <f>IF(AC394="pendiente",AD394,0)</f>
        <v/>
      </c>
      <c r="AK394" s="1">
        <f>VLOOKUP(G394,CLIENTES!B:D,3,FALSE)</f>
        <v/>
      </c>
      <c r="AL394" s="1" t="inlineStr">
        <is>
          <t>nudos</t>
        </is>
      </c>
      <c r="AM394" s="1" t="inlineStr">
        <is>
          <t>Refacturación</t>
        </is>
      </c>
    </row>
    <row r="395" ht="15" customHeight="1" s="700">
      <c r="A395" s="1">
        <f>A394+1</f>
        <v/>
      </c>
      <c r="B395" s="26" t="n">
        <v>45929</v>
      </c>
      <c r="C395" s="1" t="inlineStr">
        <is>
          <t>c/ Las Cruzadas 3A, local D</t>
        </is>
      </c>
      <c r="D395" s="1" t="inlineStr">
        <is>
          <t>Sevilla 41004</t>
        </is>
      </c>
      <c r="E395" s="1" t="inlineStr">
        <is>
          <t>CIF B91938662</t>
        </is>
      </c>
      <c r="F395" s="1" t="inlineStr">
        <is>
          <t>aBalados@abalados.es</t>
        </is>
      </c>
      <c r="G395" s="1" t="inlineStr">
        <is>
          <t>Grijota Renovables, S.L.</t>
        </is>
      </c>
      <c r="H395" s="1">
        <f>VLOOKUP($G395,DATOS!$B:$E,2,FALSE)</f>
        <v/>
      </c>
      <c r="I395" s="1">
        <f>VLOOKUP($G395,DATOS!$B:$E,3,FALSE)</f>
        <v/>
      </c>
      <c r="J395" s="1">
        <f>VLOOKUP($G395,DATOS!$B:$E,4,FALSE)</f>
        <v/>
      </c>
      <c r="K395" s="1" t="inlineStr">
        <is>
          <t>Refacturación gastos y/o servicios prestados a nombre de la sociedad</t>
        </is>
      </c>
      <c r="M395" s="1" t="inlineStr">
        <is>
          <t>Jofran Mensajeros, S.L - Envio de documentación</t>
        </is>
      </c>
      <c r="N395" s="5" t="n">
        <v>5.66</v>
      </c>
      <c r="O395" s="1" t="inlineStr">
        <is>
          <t>REGISTRO MERCANTIL DE MADRID 2025/62541</t>
        </is>
      </c>
      <c r="P395" s="5" t="n">
        <v>45.68</v>
      </c>
      <c r="AB395" s="6" t="inlineStr">
        <is>
          <t>ES85 2080 3509 1130 4009 6171</t>
        </is>
      </c>
      <c r="AC395" s="1" t="inlineStr">
        <is>
          <t>pendiente</t>
        </is>
      </c>
      <c r="AD395" s="5">
        <f>L395+N395+P395+R395+T395+V395+X395+Z395</f>
        <v/>
      </c>
      <c r="AE395" s="5">
        <f>IF((LEFT(K395,6))="Contab",L395,0)</f>
        <v/>
      </c>
      <c r="AF395" s="6">
        <f>VLOOKUP(G395,CLIENTES!B:E,4,FALSE)</f>
        <v/>
      </c>
      <c r="AG395" s="5">
        <f>AF395*AE395</f>
        <v/>
      </c>
      <c r="AH395" s="5">
        <f>AD395*1.21</f>
        <v/>
      </c>
      <c r="AI395" s="261">
        <f>IF(AE395&lt;&gt;0,AG395/AD395,"N/A")</f>
        <v/>
      </c>
      <c r="AJ395" s="5">
        <f>IF(AC395="pendiente",AD395,0)</f>
        <v/>
      </c>
      <c r="AK395" s="1">
        <f>VLOOKUP(G395,CLIENTES!B:D,3,FALSE)</f>
        <v/>
      </c>
      <c r="AL395" s="1" t="inlineStr">
        <is>
          <t>nudos</t>
        </is>
      </c>
      <c r="AM395" s="1" t="inlineStr">
        <is>
          <t>Refacturación</t>
        </is>
      </c>
    </row>
    <row r="396" ht="15" customHeight="1" s="700">
      <c r="A396" s="1">
        <f>A395+1</f>
        <v/>
      </c>
      <c r="B396" s="26" t="n">
        <v>45929</v>
      </c>
      <c r="C396" s="1" t="inlineStr">
        <is>
          <t>c/ Las Cruzadas 3A, local D</t>
        </is>
      </c>
      <c r="D396" s="1" t="inlineStr">
        <is>
          <t>Sevilla 41004</t>
        </is>
      </c>
      <c r="E396" s="1" t="inlineStr">
        <is>
          <t>CIF B91938662</t>
        </is>
      </c>
      <c r="F396" s="1" t="inlineStr">
        <is>
          <t>aBalados@abalados.es</t>
        </is>
      </c>
      <c r="G396" s="1" t="inlineStr">
        <is>
          <t>Monte Reina Renovables, S.L.</t>
        </is>
      </c>
      <c r="H396" s="1">
        <f>VLOOKUP($G396,DATOS!$B:$E,2,FALSE)</f>
        <v/>
      </c>
      <c r="I396" s="1">
        <f>VLOOKUP($G396,DATOS!$B:$E,3,FALSE)</f>
        <v/>
      </c>
      <c r="J396" s="1">
        <f>VLOOKUP($G396,DATOS!$B:$E,4,FALSE)</f>
        <v/>
      </c>
      <c r="K396" s="1" t="inlineStr">
        <is>
          <t>Refacturación gastos y/o servicios prestados a nombre de la sociedad</t>
        </is>
      </c>
      <c r="M396" s="1" t="inlineStr">
        <is>
          <t>Jofran Mensajeros, S.L - Envio de documentación</t>
        </is>
      </c>
      <c r="N396" s="5" t="n">
        <v>6.58</v>
      </c>
      <c r="AB396" s="6" t="inlineStr">
        <is>
          <t>ES85 2080 3509 1130 4009 6171</t>
        </is>
      </c>
      <c r="AC396" s="1" t="inlineStr">
        <is>
          <t>pagado</t>
        </is>
      </c>
      <c r="AD396" s="5">
        <f>L396+N396+P396+R396+T396+V396+X396+Z396</f>
        <v/>
      </c>
      <c r="AE396" s="5">
        <f>IF((LEFT(K396,6))="Contab",L396,0)</f>
        <v/>
      </c>
      <c r="AF396" s="6">
        <f>VLOOKUP(G396,CLIENTES!B:E,4,FALSE)</f>
        <v/>
      </c>
      <c r="AG396" s="5">
        <f>AF396*AE396</f>
        <v/>
      </c>
      <c r="AH396" s="5">
        <f>AD396*1.21</f>
        <v/>
      </c>
      <c r="AI396" s="261">
        <f>IF(AE396&lt;&gt;0,AG396/AD396,"N/A")</f>
        <v/>
      </c>
      <c r="AJ396" s="5">
        <f>IF(AC396="pendiente",AD396,0)</f>
        <v/>
      </c>
      <c r="AK396" s="1">
        <f>VLOOKUP(G396,CLIENTES!B:D,3,FALSE)</f>
        <v/>
      </c>
      <c r="AL396" s="1" t="inlineStr">
        <is>
          <t>nudos</t>
        </is>
      </c>
      <c r="AM396" s="1" t="inlineStr">
        <is>
          <t>Refacturación</t>
        </is>
      </c>
    </row>
    <row r="397" ht="15" customHeight="1" s="700">
      <c r="A397" s="1">
        <f>A396+1</f>
        <v/>
      </c>
      <c r="B397" s="26" t="n">
        <v>45929</v>
      </c>
      <c r="C397" s="1" t="inlineStr">
        <is>
          <t>c/ Las Cruzadas 3A, local D</t>
        </is>
      </c>
      <c r="D397" s="1" t="inlineStr">
        <is>
          <t>Sevilla 41004</t>
        </is>
      </c>
      <c r="E397" s="1" t="inlineStr">
        <is>
          <t>CIF B91938662</t>
        </is>
      </c>
      <c r="F397" s="1" t="inlineStr">
        <is>
          <t>aBalados@abalados.es</t>
        </is>
      </c>
      <c r="G397" s="1" t="inlineStr">
        <is>
          <t>Línea Covatillas, A.I.E.</t>
        </is>
      </c>
      <c r="H397" s="1">
        <f>VLOOKUP($G397,DATOS!$B:$E,2,FALSE)</f>
        <v/>
      </c>
      <c r="I397" s="1">
        <f>VLOOKUP($G397,DATOS!$B:$E,3,FALSE)</f>
        <v/>
      </c>
      <c r="J397" s="1">
        <f>VLOOKUP($G397,DATOS!$B:$E,4,FALSE)</f>
        <v/>
      </c>
      <c r="K397" s="1" t="inlineStr">
        <is>
          <t>Refacturación gastos y/o servicios prestados a nombre de la sociedad</t>
        </is>
      </c>
      <c r="M397" s="1" t="inlineStr">
        <is>
          <t>Jofran Mensajeros, S.L - Envio de documentación</t>
        </is>
      </c>
      <c r="N397" s="5" t="n">
        <v>13.16</v>
      </c>
      <c r="O397" s="1" t="inlineStr">
        <is>
          <t>OFICINA VIRTUAL DE CORREOS TI250982148</t>
        </is>
      </c>
      <c r="P397" s="5" t="n">
        <v>25.74</v>
      </c>
      <c r="Q397" s="1" t="inlineStr">
        <is>
          <t>OFICINA VIRTUAL DE CORREOS TI250982227</t>
        </is>
      </c>
      <c r="R397" s="5" t="n">
        <v>25.74</v>
      </c>
      <c r="S397" s="1" t="inlineStr">
        <is>
          <t>OFICINA VIRTUAL DE CORREOS TI250982236</t>
        </is>
      </c>
      <c r="T397" s="5" t="n">
        <v>25.74</v>
      </c>
      <c r="U397" s="1" t="inlineStr">
        <is>
          <t>OFICINA VIRTUAL DE CORREOS TI250982206</t>
        </is>
      </c>
      <c r="V397" s="5" t="n">
        <v>25.74</v>
      </c>
      <c r="W397" s="1" t="inlineStr">
        <is>
          <t>OFICINA VIRTUAL DE CORREOS TI250982171</t>
        </is>
      </c>
      <c r="X397" s="5" t="n">
        <v>25.74</v>
      </c>
      <c r="AB397" s="6" t="inlineStr">
        <is>
          <t>ES85 2080 3509 1130 4009 6171</t>
        </is>
      </c>
      <c r="AC397" s="1" t="inlineStr">
        <is>
          <t>pendiente</t>
        </is>
      </c>
      <c r="AD397" s="5">
        <f>L397+N397+P397+R397+T397+V397+X397+Z397</f>
        <v/>
      </c>
      <c r="AE397" s="5">
        <f>IF((LEFT(K397,6))="Contab",L397,0)</f>
        <v/>
      </c>
      <c r="AF397" s="6">
        <f>VLOOKUP(G397,CLIENTES!B:E,4,FALSE)</f>
        <v/>
      </c>
      <c r="AG397" s="5">
        <f>AF397*AE397</f>
        <v/>
      </c>
      <c r="AH397" s="5">
        <f>AD397*1.21</f>
        <v/>
      </c>
      <c r="AI397" s="261">
        <f>IF(AE397&lt;&gt;0,AG397/AD397,"N/A")</f>
        <v/>
      </c>
      <c r="AJ397" s="5">
        <f>IF(AC397="pendiente",AD397,0)</f>
        <v/>
      </c>
      <c r="AK397" s="1">
        <f>VLOOKUP(G397,CLIENTES!B:D,3,FALSE)</f>
        <v/>
      </c>
      <c r="AL397" s="1" t="inlineStr">
        <is>
          <t>nudos</t>
        </is>
      </c>
      <c r="AM397" s="1" t="inlineStr">
        <is>
          <t>Refacturación</t>
        </is>
      </c>
    </row>
    <row r="398" ht="15" customHeight="1" s="700">
      <c r="A398" s="1">
        <f>A397+1</f>
        <v/>
      </c>
      <c r="B398" s="26" t="n">
        <v>45929</v>
      </c>
      <c r="C398" s="1" t="inlineStr">
        <is>
          <t>c/ Las Cruzadas 3A, local D</t>
        </is>
      </c>
      <c r="D398" s="1" t="inlineStr">
        <is>
          <t>Sevilla 41004</t>
        </is>
      </c>
      <c r="E398" s="1" t="inlineStr">
        <is>
          <t>CIF B91938662</t>
        </is>
      </c>
      <c r="F398" s="1" t="inlineStr">
        <is>
          <t>aBalados@abalados.es</t>
        </is>
      </c>
      <c r="G398" s="1" t="inlineStr">
        <is>
          <t>Valcabado Renovables 220 kV, S.L.</t>
        </is>
      </c>
      <c r="H398" s="1">
        <f>VLOOKUP($G398,DATOS!$B:$E,2,FALSE)</f>
        <v/>
      </c>
      <c r="I398" s="1">
        <f>VLOOKUP($G398,DATOS!$B:$E,3,FALSE)</f>
        <v/>
      </c>
      <c r="J398" s="1">
        <f>VLOOKUP($G398,DATOS!$B:$E,4,FALSE)</f>
        <v/>
      </c>
      <c r="K398" s="1" t="inlineStr">
        <is>
          <t>Refacturación gastos y/o servicios prestados a nombre de la sociedad</t>
        </is>
      </c>
      <c r="M398" s="1" t="inlineStr">
        <is>
          <t>Jofran Mensajeros, S.L - Envio de documentación</t>
        </is>
      </c>
      <c r="N398" s="5" t="n">
        <v>6.58</v>
      </c>
      <c r="O398" s="1" t="inlineStr">
        <is>
          <t>REGISTRO DE LA PROPIEDAD ZAMORA 2025/281</t>
        </is>
      </c>
      <c r="P398" s="5" t="n">
        <v>9.02</v>
      </c>
      <c r="Q398" s="1" t="inlineStr">
        <is>
          <t>REGISTRO MERCANTIL 2025/54366</t>
        </is>
      </c>
      <c r="R398" s="5" t="n">
        <v>39.97</v>
      </c>
      <c r="S398" s="1" t="inlineStr">
        <is>
          <t>MARCIAL FERRETERIA 02-070815</t>
        </is>
      </c>
      <c r="T398" s="5" t="n">
        <v>34.39</v>
      </c>
      <c r="AB398" s="6" t="inlineStr">
        <is>
          <t>ES85 2080 3509 1130 4009 6171</t>
        </is>
      </c>
      <c r="AC398" s="1" t="inlineStr">
        <is>
          <t>pagado</t>
        </is>
      </c>
      <c r="AD398" s="5">
        <f>L398+N398+P398+R398+T398+V398+X398+Z398</f>
        <v/>
      </c>
      <c r="AE398" s="5">
        <f>IF((LEFT(K398,6))="Contab",L398,0)</f>
        <v/>
      </c>
      <c r="AF398" s="6">
        <f>VLOOKUP(G398,CLIENTES!B:E,4,FALSE)</f>
        <v/>
      </c>
      <c r="AG398" s="5">
        <f>AF398*AE398</f>
        <v/>
      </c>
      <c r="AH398" s="5">
        <f>AD398*1.21</f>
        <v/>
      </c>
      <c r="AI398" s="261">
        <f>IF(AE398&lt;&gt;0,AG398/AD398,"N/A")</f>
        <v/>
      </c>
      <c r="AJ398" s="5">
        <f>IF(AC398="pendiente",AD398,0)</f>
        <v/>
      </c>
      <c r="AK398" s="1">
        <f>VLOOKUP(G398,CLIENTES!B:D,3,FALSE)</f>
        <v/>
      </c>
      <c r="AL398" s="1" t="inlineStr">
        <is>
          <t>nudos</t>
        </is>
      </c>
      <c r="AM398" s="1" t="inlineStr">
        <is>
          <t>Refacturación</t>
        </is>
      </c>
    </row>
    <row r="399" ht="15" customHeight="1" s="700">
      <c r="A399" s="1">
        <f>A398+1</f>
        <v/>
      </c>
      <c r="B399" s="26" t="n">
        <v>45929</v>
      </c>
      <c r="C399" s="1" t="inlineStr">
        <is>
          <t>c/ Las Cruzadas 3A, local D</t>
        </is>
      </c>
      <c r="D399" s="1" t="inlineStr">
        <is>
          <t>Sevilla 41004</t>
        </is>
      </c>
      <c r="E399" s="1" t="inlineStr">
        <is>
          <t>CIF B91938662</t>
        </is>
      </c>
      <c r="F399" s="1" t="inlineStr">
        <is>
          <t>aBalados@abalados.es</t>
        </is>
      </c>
      <c r="G399" s="1" t="inlineStr">
        <is>
          <t>Renovables Brovales Segura de León 400 kV, S.L.</t>
        </is>
      </c>
      <c r="H399" s="1">
        <f>VLOOKUP($G399,DATOS!$B:$E,2,FALSE)</f>
        <v/>
      </c>
      <c r="I399" s="1">
        <f>VLOOKUP($G399,DATOS!$B:$E,3,FALSE)</f>
        <v/>
      </c>
      <c r="J399" s="1">
        <f>VLOOKUP($G399,DATOS!$B:$E,4,FALSE)</f>
        <v/>
      </c>
      <c r="K399" s="1" t="inlineStr">
        <is>
          <t>Refacturación gastos y/o servicios prestados a nombre de la sociedad</t>
        </is>
      </c>
      <c r="M399" s="1" t="inlineStr">
        <is>
          <t>Jofran Mensajeros, S.L - Envio de documentación</t>
        </is>
      </c>
      <c r="N399" s="5" t="n">
        <v>6.58</v>
      </c>
      <c r="AB399" s="6" t="inlineStr">
        <is>
          <t>ES85 2080 3509 1130 4009 6171</t>
        </is>
      </c>
      <c r="AC399" s="1" t="inlineStr">
        <is>
          <t>pagado</t>
        </is>
      </c>
      <c r="AD399" s="5">
        <f>L399+N399+P399+R399+T399+V399+X399+Z399</f>
        <v/>
      </c>
      <c r="AE399" s="5">
        <f>IF((LEFT(K399,6))="Contab",L399,0)</f>
        <v/>
      </c>
      <c r="AF399" s="6">
        <f>VLOOKUP(G399,CLIENTES!B:E,4,FALSE)</f>
        <v/>
      </c>
      <c r="AG399" s="5">
        <f>AF399*AE399</f>
        <v/>
      </c>
      <c r="AH399" s="5">
        <f>AD399*1.21</f>
        <v/>
      </c>
      <c r="AI399" s="261">
        <f>IF(AE399&lt;&gt;0,AG399/AD399,"N/A")</f>
        <v/>
      </c>
      <c r="AJ399" s="5">
        <f>IF(AC399="pendiente",AD399,0)</f>
        <v/>
      </c>
      <c r="AK399" s="1">
        <f>VLOOKUP(G399,CLIENTES!B:D,3,FALSE)</f>
        <v/>
      </c>
      <c r="AL399" s="1" t="inlineStr">
        <is>
          <t>nudos</t>
        </is>
      </c>
      <c r="AM399" s="1" t="inlineStr">
        <is>
          <t>Refacturación</t>
        </is>
      </c>
    </row>
    <row r="400" ht="15" customHeight="1" s="700">
      <c r="A400" s="1">
        <f>A399+1</f>
        <v/>
      </c>
      <c r="B400" s="26" t="n">
        <v>45929</v>
      </c>
      <c r="C400" s="1" t="inlineStr">
        <is>
          <t>c/ Las Cruzadas 3A, local D</t>
        </is>
      </c>
      <c r="D400" s="1" t="inlineStr">
        <is>
          <t>Sevilla 41004</t>
        </is>
      </c>
      <c r="E400" s="1" t="inlineStr">
        <is>
          <t>CIF B91938662</t>
        </is>
      </c>
      <c r="F400" s="1" t="inlineStr">
        <is>
          <t>aBalados@abalados.es</t>
        </is>
      </c>
      <c r="G400" s="1" t="inlineStr">
        <is>
          <t>Cubillos Renovables, S.L.</t>
        </is>
      </c>
      <c r="H400" s="1">
        <f>VLOOKUP($G400,DATOS!$B:$E,2,FALSE)</f>
        <v/>
      </c>
      <c r="I400" s="1">
        <f>VLOOKUP($G400,DATOS!$B:$E,3,FALSE)</f>
        <v/>
      </c>
      <c r="J400" s="1">
        <f>VLOOKUP($G400,DATOS!$B:$E,4,FALSE)</f>
        <v/>
      </c>
      <c r="K400" s="1" t="inlineStr">
        <is>
          <t>Refacturación gastos y/o servicios prestados a nombre de la sociedad</t>
        </is>
      </c>
      <c r="M400" s="1" t="inlineStr">
        <is>
          <t>Jofran Mensajeros, S.L - Envio de documentación</t>
        </is>
      </c>
      <c r="N400" s="5" t="n">
        <v>6.58</v>
      </c>
      <c r="AB400" s="6" t="inlineStr">
        <is>
          <t>ES85 2080 3509 1130 4009 6171</t>
        </is>
      </c>
      <c r="AC400" s="1" t="inlineStr">
        <is>
          <t>pendiente</t>
        </is>
      </c>
      <c r="AD400" s="5">
        <f>L400+N400+P400+R400+T400+V400+X400+Z400</f>
        <v/>
      </c>
      <c r="AE400" s="5">
        <f>IF((LEFT(K400,6))="Contab",L400,0)</f>
        <v/>
      </c>
      <c r="AF400" s="6">
        <f>VLOOKUP(G400,CLIENTES!B:E,4,FALSE)</f>
        <v/>
      </c>
      <c r="AG400" s="5">
        <f>AF400*AE400</f>
        <v/>
      </c>
      <c r="AH400" s="5">
        <f>AD400*1.21</f>
        <v/>
      </c>
      <c r="AI400" s="261">
        <f>IF(AE400&lt;&gt;0,AG400/AD400,"N/A")</f>
        <v/>
      </c>
      <c r="AJ400" s="5">
        <f>IF(AC400="pendiente",AD400,0)</f>
        <v/>
      </c>
      <c r="AK400" s="1">
        <f>VLOOKUP(G400,CLIENTES!B:D,3,FALSE)</f>
        <v/>
      </c>
      <c r="AL400" s="1" t="inlineStr">
        <is>
          <t>nudos</t>
        </is>
      </c>
      <c r="AM400" s="1" t="inlineStr">
        <is>
          <t>Refacturación</t>
        </is>
      </c>
    </row>
    <row r="401" ht="15" customHeight="1" s="700">
      <c r="A401" s="1">
        <f>A400+1</f>
        <v/>
      </c>
      <c r="B401" s="26" t="n">
        <v>45929</v>
      </c>
      <c r="C401" s="1" t="inlineStr">
        <is>
          <t>c/ Las Cruzadas 3A, local D</t>
        </is>
      </c>
      <c r="D401" s="1" t="inlineStr">
        <is>
          <t>Sevilla 41004</t>
        </is>
      </c>
      <c r="E401" s="1" t="inlineStr">
        <is>
          <t>CIF B91938662</t>
        </is>
      </c>
      <c r="F401" s="1" t="inlineStr">
        <is>
          <t>aBalados@abalados.es</t>
        </is>
      </c>
      <c r="G401" s="1" t="inlineStr">
        <is>
          <t>Herrera Renovables 400, A.I.E.</t>
        </is>
      </c>
      <c r="H401" s="1">
        <f>VLOOKUP($G401,DATOS!$B:$E,2,FALSE)</f>
        <v/>
      </c>
      <c r="I401" s="1">
        <f>VLOOKUP($G401,DATOS!$B:$E,3,FALSE)</f>
        <v/>
      </c>
      <c r="J401" s="1">
        <f>VLOOKUP($G401,DATOS!$B:$E,4,FALSE)</f>
        <v/>
      </c>
      <c r="K401" s="1" t="inlineStr">
        <is>
          <t>Refacturación gastos y/o servicios prestados a nombre de la sociedad</t>
        </is>
      </c>
      <c r="M401" s="1" t="inlineStr">
        <is>
          <t>REGISTRADORES DE ESPAÑA 2025,475</t>
        </is>
      </c>
      <c r="N401" s="5" t="n">
        <v>9.02</v>
      </c>
      <c r="AB401" s="6" t="inlineStr">
        <is>
          <t>ES85 2080 3509 1130 4009 6171</t>
        </is>
      </c>
      <c r="AC401" s="1" t="inlineStr">
        <is>
          <t>pendiente</t>
        </is>
      </c>
      <c r="AD401" s="5">
        <f>L401+N401+P401+R401+T401+V401+X401+Z401</f>
        <v/>
      </c>
      <c r="AE401" s="5">
        <f>IF((LEFT(K401,6))="Contab",L401,0)</f>
        <v/>
      </c>
      <c r="AF401" s="6">
        <f>VLOOKUP(G401,CLIENTES!B:E,4,FALSE)</f>
        <v/>
      </c>
      <c r="AG401" s="5">
        <f>AF401*AE401</f>
        <v/>
      </c>
      <c r="AH401" s="5">
        <f>AD401*1.21</f>
        <v/>
      </c>
      <c r="AI401" s="261">
        <f>IF(AE401&lt;&gt;0,AG401/AD401,"N/A")</f>
        <v/>
      </c>
      <c r="AJ401" s="5">
        <f>IF(AC401="pendiente",AD401,0)</f>
        <v/>
      </c>
      <c r="AK401" s="1">
        <f>VLOOKUP(G401,CLIENTES!B:D,3,FALSE)</f>
        <v/>
      </c>
      <c r="AL401" s="1" t="inlineStr">
        <is>
          <t>nudos</t>
        </is>
      </c>
      <c r="AM401" s="1" t="inlineStr">
        <is>
          <t>Refacturación</t>
        </is>
      </c>
    </row>
    <row r="402" ht="15" customHeight="1" s="700">
      <c r="A402" s="1">
        <f>A401+1</f>
        <v/>
      </c>
      <c r="B402" s="26" t="n">
        <v>45929</v>
      </c>
      <c r="C402" s="1" t="inlineStr">
        <is>
          <t>c/ Las Cruzadas 3A, local D</t>
        </is>
      </c>
      <c r="D402" s="1" t="inlineStr">
        <is>
          <t>Sevilla 41004</t>
        </is>
      </c>
      <c r="E402" s="1" t="inlineStr">
        <is>
          <t>CIF B91938662</t>
        </is>
      </c>
      <c r="F402" s="1" t="inlineStr">
        <is>
          <t>aBalados@abalados.es</t>
        </is>
      </c>
      <c r="G402" s="1" t="inlineStr">
        <is>
          <t>Renedo Renovables, S.L.</t>
        </is>
      </c>
      <c r="H402" s="1">
        <f>VLOOKUP($G402,DATOS!$B:$E,2,FALSE)</f>
        <v/>
      </c>
      <c r="I402" s="1">
        <f>VLOOKUP($G402,DATOS!$B:$E,3,FALSE)</f>
        <v/>
      </c>
      <c r="J402" s="1">
        <f>VLOOKUP($G402,DATOS!$B:$E,4,FALSE)</f>
        <v/>
      </c>
      <c r="K402" s="1" t="inlineStr">
        <is>
          <t>Refacturación gastos y/o servicios prestados a nombre de la sociedad</t>
        </is>
      </c>
      <c r="M402" s="1" t="inlineStr">
        <is>
          <t>OFICINA VIRTUAL DE CORREOS F250311421</t>
        </is>
      </c>
      <c r="N402" s="5" t="n">
        <v>25.74</v>
      </c>
      <c r="AB402" s="6" t="inlineStr">
        <is>
          <t>ES85 2080 3509 1130 4009 6171</t>
        </is>
      </c>
      <c r="AC402" s="1" t="inlineStr">
        <is>
          <t>pendiente</t>
        </is>
      </c>
      <c r="AD402" s="5">
        <f>L402+N402+P402+R402+T402+V402+X402+Z402</f>
        <v/>
      </c>
      <c r="AE402" s="5">
        <f>IF((LEFT(K402,6))="Contab",L402,0)</f>
        <v/>
      </c>
      <c r="AF402" s="6">
        <f>VLOOKUP(G402,CLIENTES!B:E,4,FALSE)</f>
        <v/>
      </c>
      <c r="AG402" s="5">
        <f>AF402*AE402</f>
        <v/>
      </c>
      <c r="AH402" s="5">
        <f>AD402*1.21</f>
        <v/>
      </c>
      <c r="AI402" s="261">
        <f>IF(AE402&lt;&gt;0,AG402/AD402,"N/A")</f>
        <v/>
      </c>
      <c r="AJ402" s="5">
        <f>IF(AC402="pendiente",AD402,0)</f>
        <v/>
      </c>
      <c r="AK402" s="1">
        <f>VLOOKUP(G402,CLIENTES!B:D,3,FALSE)</f>
        <v/>
      </c>
      <c r="AL402" s="1" t="inlineStr">
        <is>
          <t>nudos</t>
        </is>
      </c>
      <c r="AM402" s="1" t="inlineStr">
        <is>
          <t>Refacturación</t>
        </is>
      </c>
    </row>
    <row r="403" ht="15" customHeight="1" s="700">
      <c r="A403" s="1">
        <f>A402+1</f>
        <v/>
      </c>
      <c r="B403" s="26" t="n">
        <v>45929</v>
      </c>
      <c r="C403" s="1" t="inlineStr">
        <is>
          <t>c/ Las Cruzadas 3A, local D</t>
        </is>
      </c>
      <c r="D403" s="1" t="inlineStr">
        <is>
          <t>Sevilla 41004</t>
        </is>
      </c>
      <c r="E403" s="1" t="inlineStr">
        <is>
          <t>CIF B91938662</t>
        </is>
      </c>
      <c r="F403" s="1" t="inlineStr">
        <is>
          <t>aBalados@abalados.es</t>
        </is>
      </c>
      <c r="G403" s="1" t="inlineStr">
        <is>
          <t>San Pedro Pinatar Renovables, S.L.</t>
        </is>
      </c>
      <c r="H403" s="1">
        <f>VLOOKUP($G403,DATOS!$B:$E,2,FALSE)</f>
        <v/>
      </c>
      <c r="I403" s="1">
        <f>VLOOKUP($G403,DATOS!$B:$E,3,FALSE)</f>
        <v/>
      </c>
      <c r="J403" s="1">
        <f>VLOOKUP($G403,DATOS!$B:$E,4,FALSE)</f>
        <v/>
      </c>
      <c r="K403" s="1" t="inlineStr">
        <is>
          <t>Refacturación gastos y/o servicios prestados a nombre de la sociedad</t>
        </is>
      </c>
      <c r="M403" s="1" t="inlineStr">
        <is>
          <t>Jofran Mensajeros, S.L - Envio de documentación</t>
        </is>
      </c>
      <c r="N403" s="5" t="n">
        <v>25.89</v>
      </c>
      <c r="AB403" s="6" t="inlineStr">
        <is>
          <t>ES85 2080 3509 1130 4009 6171</t>
        </is>
      </c>
      <c r="AC403" s="1" t="inlineStr">
        <is>
          <t>pendiente</t>
        </is>
      </c>
      <c r="AD403" s="5">
        <f>L403+N403+P403+R403+T403+V403+X403+Z403</f>
        <v/>
      </c>
      <c r="AE403" s="5">
        <f>IF((LEFT(K403,6))="Contab",L403,0)</f>
        <v/>
      </c>
      <c r="AF403" s="6">
        <f>VLOOKUP(G403,CLIENTES!B:E,4,FALSE)</f>
        <v/>
      </c>
      <c r="AG403" s="5">
        <f>AF403*AE403</f>
        <v/>
      </c>
      <c r="AH403" s="5">
        <f>AD403*1.21</f>
        <v/>
      </c>
      <c r="AI403" s="261">
        <f>IF(AE403&lt;&gt;0,AG403/AD403,"N/A")</f>
        <v/>
      </c>
      <c r="AJ403" s="5">
        <f>IF(AC403="pendiente",AD403,0)</f>
        <v/>
      </c>
      <c r="AK403" s="1">
        <f>VLOOKUP(G403,CLIENTES!B:D,3,FALSE)</f>
        <v/>
      </c>
      <c r="AL403" s="1" t="inlineStr">
        <is>
          <t>nudos</t>
        </is>
      </c>
      <c r="AM403" s="1" t="inlineStr">
        <is>
          <t>Refacturación</t>
        </is>
      </c>
    </row>
    <row r="404" ht="15" customFormat="1" customHeight="1" s="146">
      <c r="A404" s="146">
        <f>A403+1</f>
        <v/>
      </c>
      <c r="B404" s="149" t="n">
        <v>45929</v>
      </c>
      <c r="C404" s="146" t="inlineStr">
        <is>
          <t>c/ Las Cruzadas 3A, local D</t>
        </is>
      </c>
      <c r="D404" s="146" t="inlineStr">
        <is>
          <t>Sevilla 41004</t>
        </is>
      </c>
      <c r="E404" s="146" t="inlineStr">
        <is>
          <t>CIF B91938662</t>
        </is>
      </c>
      <c r="F404" s="146" t="inlineStr">
        <is>
          <t>aBalados@abalados.es</t>
        </is>
      </c>
      <c r="G404" s="146" t="inlineStr">
        <is>
          <t>ICE Santa Engracia, S.L.</t>
        </is>
      </c>
      <c r="H404" s="146">
        <f>VLOOKUP($G404,DATOS!$B:$E,2,FALSE)</f>
        <v/>
      </c>
      <c r="I404" s="146">
        <f>VLOOKUP($G404,DATOS!$B:$E,3,FALSE)</f>
        <v/>
      </c>
      <c r="J404" s="146">
        <f>VLOOKUP($G404,DATOS!$B:$E,4,FALSE)</f>
        <v/>
      </c>
      <c r="K404" s="146" t="inlineStr">
        <is>
          <t>Refacturación gastos y/o servicios prestados a nombre de la sociedad</t>
        </is>
      </c>
      <c r="L404" s="147" t="n"/>
      <c r="M404" s="146" t="inlineStr">
        <is>
          <t>REGISTRO MERCANTIL LA RIOJA 2025.1372</t>
        </is>
      </c>
      <c r="N404" s="147" t="n">
        <v>30.65</v>
      </c>
      <c r="P404" s="147" t="n"/>
      <c r="R404" s="147" t="n"/>
      <c r="T404" s="147" t="n"/>
      <c r="V404" s="147" t="n"/>
      <c r="X404" s="147" t="n"/>
      <c r="Z404" s="147" t="n"/>
      <c r="AA404" s="147" t="n"/>
      <c r="AB404" s="148" t="inlineStr">
        <is>
          <t>ES85 2080 3509 1130 4009 6171</t>
        </is>
      </c>
      <c r="AC404" s="146" t="inlineStr">
        <is>
          <t>pendiente</t>
        </is>
      </c>
      <c r="AD404" s="147">
        <f>L404+N404+P404+R404+T404+V404+X404+Z404</f>
        <v/>
      </c>
      <c r="AE404" s="147">
        <f>IF((LEFT(K404,6))="Contab",L404,0)</f>
        <v/>
      </c>
      <c r="AF404" s="148">
        <f>VLOOKUP(G404,CLIENTES!B:E,4,FALSE)</f>
        <v/>
      </c>
      <c r="AG404" s="147">
        <f>AF404*AE404</f>
        <v/>
      </c>
      <c r="AH404" s="147">
        <f>AD404*1.21</f>
        <v/>
      </c>
      <c r="AI404" s="257">
        <f>IF(AE404&lt;&gt;0,AG404/AD404,"N/A")</f>
        <v/>
      </c>
      <c r="AJ404" s="147">
        <f>IF(AC404="pendiente",AD404,0)</f>
        <v/>
      </c>
      <c r="AK404" s="146">
        <f>VLOOKUP(G404,CLIENTES!B:D,3,FALSE)</f>
        <v/>
      </c>
      <c r="AL404" s="146" t="inlineStr">
        <is>
          <t>nudos</t>
        </is>
      </c>
      <c r="AM404" s="146" t="inlineStr">
        <is>
          <t>Refacturación</t>
        </is>
      </c>
    </row>
    <row r="405" ht="15" customFormat="1" customHeight="1" s="475">
      <c r="A405" s="475">
        <f>A404+1</f>
        <v/>
      </c>
      <c r="B405" s="476" t="n">
        <v>45929</v>
      </c>
      <c r="C405" s="475" t="inlineStr">
        <is>
          <t>c/ Las Cruzadas 3A, local D</t>
        </is>
      </c>
      <c r="D405" s="475" t="inlineStr">
        <is>
          <t>Sevilla 41004</t>
        </is>
      </c>
      <c r="E405" s="475" t="inlineStr">
        <is>
          <t>CIF B91938662</t>
        </is>
      </c>
      <c r="F405" s="475" t="inlineStr">
        <is>
          <t>aBalados@abalados.es</t>
        </is>
      </c>
      <c r="G405" s="475" t="inlineStr">
        <is>
          <t>Desarrollos Fotovoltaicos Mas del Bou, S.L.</t>
        </is>
      </c>
      <c r="H405" s="475">
        <f>VLOOKUP($G405,DATOS!$B:$E,2,FALSE)</f>
        <v/>
      </c>
      <c r="I405" s="475">
        <f>VLOOKUP($G405,DATOS!$B:$E,3,FALSE)</f>
        <v/>
      </c>
      <c r="J405" s="581">
        <f>VLOOKUP($G405,DATOS!$B:$E,4,FALSE)</f>
        <v/>
      </c>
      <c r="K405" s="475" t="inlineStr">
        <is>
          <t>Servicios extraordinarios - Operación &amp; Mantenimiento</t>
        </is>
      </c>
      <c r="L405" s="477" t="n"/>
      <c r="M405" s="475" t="inlineStr">
        <is>
          <t>Acceso a cubierta - Alquiler plataforma</t>
        </is>
      </c>
      <c r="N405" s="477" t="n"/>
      <c r="P405" s="477" t="n"/>
      <c r="Q405" s="475" t="inlineStr">
        <is>
          <t xml:space="preserve">  · 30/04/2025 - Plataforma JLG 510 AJ ARTICULADA DIÉSEL 18 M (JJ Bastidas e Hijos SL)</t>
        </is>
      </c>
      <c r="R405" s="477" t="n">
        <v>165.8</v>
      </c>
      <c r="S405" s="475" t="inlineStr">
        <is>
          <t xml:space="preserve">  · 30/06/2025 - Plataforma JLG 510 AJ ARTICULADA DIÉSEL 18 M (JJ Bastidas e Hijos SL)</t>
        </is>
      </c>
      <c r="T405" s="477" t="n">
        <v>165</v>
      </c>
      <c r="V405" s="477" t="n"/>
      <c r="X405" s="477" t="n"/>
      <c r="Z405" s="477" t="n"/>
      <c r="AA405" s="477" t="n"/>
      <c r="AB405" s="478" t="inlineStr">
        <is>
          <t>ES85 2080 3509 1130 4009 6171</t>
        </is>
      </c>
      <c r="AC405" s="475" t="inlineStr">
        <is>
          <t>pagado</t>
        </is>
      </c>
      <c r="AD405" s="477">
        <f>L405+N405+P405+R405+T405+V405+X405+Z405</f>
        <v/>
      </c>
      <c r="AE405" s="477">
        <f>IF((LEFT(K405,6))="Contab",L405,0)</f>
        <v/>
      </c>
      <c r="AF405" s="478">
        <f>VLOOKUP(G405,CLIENTES!B:E,4,FALSE)</f>
        <v/>
      </c>
      <c r="AG405" s="477">
        <f>AF405*AE405</f>
        <v/>
      </c>
      <c r="AH405" s="477">
        <f>AD405*1.21</f>
        <v/>
      </c>
      <c r="AI405" s="479">
        <f>IF(AE405&lt;&gt;0,AG405/AD405,"N/A")</f>
        <v/>
      </c>
      <c r="AJ405" s="477">
        <f>IF(AC405="pendiente",AD405,0)</f>
        <v/>
      </c>
      <c r="AK405" s="475">
        <f>VLOOKUP(G405,CLIENTES!B:D,3,FALSE)</f>
        <v/>
      </c>
      <c r="AL405" s="475" t="inlineStr">
        <is>
          <t>OM_Otros</t>
        </is>
      </c>
      <c r="AM405" s="475" t="inlineStr">
        <is>
          <t>Extraordinario</t>
        </is>
      </c>
    </row>
    <row r="406" ht="15" customHeight="1" s="700">
      <c r="A406" s="1">
        <f>A405+1</f>
        <v/>
      </c>
      <c r="B406" s="26" t="n">
        <v>45938</v>
      </c>
      <c r="C406" s="1" t="inlineStr">
        <is>
          <t>c/ Las Cruzadas 3A, local D</t>
        </is>
      </c>
      <c r="D406" s="1" t="inlineStr">
        <is>
          <t>Sevilla 41004</t>
        </is>
      </c>
      <c r="E406" s="1" t="inlineStr">
        <is>
          <t>CIF B91938662</t>
        </is>
      </c>
      <c r="F406" s="1" t="inlineStr">
        <is>
          <t>aBalados@abalados.es</t>
        </is>
      </c>
      <c r="G406" s="1" t="inlineStr">
        <is>
          <t>C2C Inver Park, S.L.</t>
        </is>
      </c>
      <c r="H406" s="1">
        <f>VLOOKUP($G406,DATOS!$B:$E,2,FALSE)</f>
        <v/>
      </c>
      <c r="I406" s="1">
        <f>VLOOKUP($G406,DATOS!$B:$E,3,FALSE)</f>
        <v/>
      </c>
      <c r="J406" s="4">
        <f>VLOOKUP($G406,DATOS!$B:$E,4,FALSE)</f>
        <v/>
      </c>
      <c r="K406" s="1" t="inlineStr">
        <is>
          <t>Honorarios - Contrato Operación &amp; Mantenimiento</t>
        </is>
      </c>
      <c r="M406" s="1" t="inlineStr">
        <is>
          <t>Mantenimiento Correctivo fuera de Franquicia</t>
        </is>
      </c>
      <c r="O406" s="1" t="inlineStr">
        <is>
          <t>Periodo Julio 2024 - Julio 2025</t>
        </is>
      </c>
      <c r="P406" s="5" t="n">
        <v>5259.2</v>
      </c>
      <c r="S406" s="1" t="inlineStr">
        <is>
          <t xml:space="preserve">   · PSFV C2C Inver Park</t>
        </is>
      </c>
      <c r="AB406" s="6" t="inlineStr">
        <is>
          <t>ES85 2080 3509 1130 4009 6171</t>
        </is>
      </c>
      <c r="AC406" s="1" t="inlineStr">
        <is>
          <t>pendiente</t>
        </is>
      </c>
      <c r="AD406" s="5">
        <f>L406+N406+P406+R406+T406+V406+X406+Z406</f>
        <v/>
      </c>
      <c r="AE406" s="5">
        <f>IF((LEFT(K406,6))="Contab",L406,0)</f>
        <v/>
      </c>
      <c r="AF406" s="6">
        <f>VLOOKUP(G406,CLIENTES!B:E,4,FALSE)</f>
        <v/>
      </c>
      <c r="AG406" s="5">
        <f>AF406*AE406</f>
        <v/>
      </c>
      <c r="AH406" s="5">
        <f>AD406*1.21</f>
        <v/>
      </c>
      <c r="AI406" s="261">
        <f>IF(AE406&lt;&gt;0,AG406/AD406,"N/A")</f>
        <v/>
      </c>
      <c r="AJ406" s="5">
        <f>IF(AC406="pendiente",AD406,0)</f>
        <v/>
      </c>
      <c r="AK406" s="1">
        <f>VLOOKUP(G406,CLIENTES!B:D,3,FALSE)</f>
        <v/>
      </c>
      <c r="AL406" s="1" t="inlineStr">
        <is>
          <t>OM_Otros</t>
        </is>
      </c>
      <c r="AM406" s="1" t="inlineStr">
        <is>
          <t>Extraordinario</t>
        </is>
      </c>
    </row>
    <row r="407" ht="15" customFormat="1" customHeight="1" s="146">
      <c r="A407" s="146">
        <f>A406+1</f>
        <v/>
      </c>
      <c r="B407" s="149" t="n">
        <v>45938</v>
      </c>
      <c r="C407" s="146" t="inlineStr">
        <is>
          <t>c/ Las Cruzadas 3A, local D</t>
        </is>
      </c>
      <c r="D407" s="146" t="inlineStr">
        <is>
          <t>Sevilla 41004</t>
        </is>
      </c>
      <c r="E407" s="146" t="inlineStr">
        <is>
          <t>CIF B91938662</t>
        </is>
      </c>
      <c r="F407" s="146" t="inlineStr">
        <is>
          <t>aBalados@abalados.es</t>
        </is>
      </c>
      <c r="G407" s="146" t="inlineStr">
        <is>
          <t>C2C Inver Park, S.L.</t>
        </is>
      </c>
      <c r="H407" s="146">
        <f>VLOOKUP($G407,DATOS!$B:$E,2,FALSE)</f>
        <v/>
      </c>
      <c r="I407" s="146">
        <f>VLOOKUP($G407,DATOS!$B:$E,3,FALSE)</f>
        <v/>
      </c>
      <c r="J407" s="473">
        <f>VLOOKUP($G407,DATOS!$B:$E,4,FALSE)</f>
        <v/>
      </c>
      <c r="K407" s="146" t="inlineStr">
        <is>
          <t>Servicios extraordinarios - Operación &amp; Mantenimiento</t>
        </is>
      </c>
      <c r="L407" s="147" t="n"/>
      <c r="M407" s="146" t="inlineStr">
        <is>
          <t>Oferta 20240911 – Revamping módulos C2C</t>
        </is>
      </c>
      <c r="N407" s="147" t="n"/>
      <c r="P407" s="147" t="n"/>
      <c r="Q407" s="146" t="inlineStr">
        <is>
          <t>Hito 1: Pago del 30% a la entrega de documentación</t>
        </is>
      </c>
      <c r="R407" s="147">
        <f>(1380+6653+6705+3415)*30%</f>
        <v/>
      </c>
      <c r="S407" s="146" t="inlineStr">
        <is>
          <t>Hito 2: Pago del 70% a la terminación de los trabajos</t>
        </is>
      </c>
      <c r="T407" s="147">
        <f>(1380+6653+6705+3415)*70%</f>
        <v/>
      </c>
      <c r="V407" s="147" t="n"/>
      <c r="X407" s="147" t="n"/>
      <c r="Z407" s="147" t="n"/>
      <c r="AA407" s="147" t="n"/>
      <c r="AB407" s="148" t="inlineStr">
        <is>
          <t>ES85 2080 3509 1130 4009 6171</t>
        </is>
      </c>
      <c r="AC407" s="146" t="inlineStr">
        <is>
          <t>pendiente</t>
        </is>
      </c>
      <c r="AD407" s="147">
        <f>L407+N407+P407+R407+T407+V407+X407+Z407</f>
        <v/>
      </c>
      <c r="AE407" s="147">
        <f>IF((LEFT(K407,6))="Contab",L407,0)</f>
        <v/>
      </c>
      <c r="AF407" s="148">
        <f>VLOOKUP(G407,CLIENTES!B:E,4,FALSE)</f>
        <v/>
      </c>
      <c r="AG407" s="147">
        <f>AF407*AE407</f>
        <v/>
      </c>
      <c r="AH407" s="147">
        <f>AD407*1.21</f>
        <v/>
      </c>
      <c r="AI407" s="257">
        <f>IF(AE407&lt;&gt;0,AG407/AD407,"N/A")</f>
        <v/>
      </c>
      <c r="AJ407" s="147">
        <f>IF(AC407="pendiente",AD407,0)</f>
        <v/>
      </c>
      <c r="AK407" s="146">
        <f>VLOOKUP(G407,CLIENTES!B:D,3,FALSE)</f>
        <v/>
      </c>
      <c r="AL407" s="146" t="inlineStr">
        <is>
          <t>OM_Otros</t>
        </is>
      </c>
      <c r="AM407" s="146" t="inlineStr">
        <is>
          <t>Extraordinario</t>
        </is>
      </c>
    </row>
    <row r="408" ht="15" customFormat="1" customHeight="1" s="258">
      <c r="A408" s="258">
        <f>A407+1</f>
        <v/>
      </c>
      <c r="B408" s="299" t="n">
        <v>45939</v>
      </c>
      <c r="C408" s="258" t="inlineStr">
        <is>
          <t>c/ Las Cruzadas 3A, local D</t>
        </is>
      </c>
      <c r="D408" s="258" t="inlineStr">
        <is>
          <t>Sevilla 41004</t>
        </is>
      </c>
      <c r="E408" s="258" t="inlineStr">
        <is>
          <t>CIF B91938662</t>
        </is>
      </c>
      <c r="F408" s="258" t="inlineStr">
        <is>
          <t>aBalados@abalados.es</t>
        </is>
      </c>
      <c r="G408" s="258" t="inlineStr">
        <is>
          <t>Dehesa Asomadilla Inversiones S.L.U.</t>
        </is>
      </c>
      <c r="H408" s="258">
        <f>VLOOKUP($G408,DATOS!$B:$E,2,FALSE)</f>
        <v/>
      </c>
      <c r="I408" s="258">
        <f>VLOOKUP($G408,DATOS!$B:$E,3,FALSE)</f>
        <v/>
      </c>
      <c r="J408" s="258">
        <f>VLOOKUP($G408,DATOS!$B:$E,4,FALSE)</f>
        <v/>
      </c>
      <c r="K408" s="258" t="inlineStr">
        <is>
          <t>Contabilidad y Fiscalidad de proyecto Valverde - 4º Trimestre</t>
        </is>
      </c>
      <c r="L408" s="259">
        <f>'Tarifa 2025'!$D$5/4</f>
        <v/>
      </c>
      <c r="M408" s="258" t="inlineStr">
        <is>
          <t>SPV Management  Proyecto Valverde - 4º Trimestre</t>
        </is>
      </c>
      <c r="N408" s="259">
        <f>'Tarifa 2025'!$F$5/4</f>
        <v/>
      </c>
      <c r="O408" s="258" t="inlineStr">
        <is>
          <t>O&amp;M Management Proyecto Valverde - 4º Trimestre</t>
        </is>
      </c>
      <c r="P408" s="259">
        <f>'Tarifa 2025'!$H$5/4</f>
        <v/>
      </c>
      <c r="Q408" s="258" t="inlineStr">
        <is>
          <t>Consultoría - 4º Trimestre</t>
        </is>
      </c>
      <c r="R408" s="259">
        <f>'Tarifa 2025'!$J$5/4</f>
        <v/>
      </c>
      <c r="T408" s="259" t="n"/>
      <c r="V408" s="259" t="n"/>
      <c r="X408" s="259" t="n"/>
      <c r="Y408" s="258" t="inlineStr">
        <is>
          <t>Gastos derivados de contrato (3,5%)</t>
        </is>
      </c>
      <c r="Z408" s="259">
        <f>(L408+N408+P408+R408+T408+V408+X408)*0.035</f>
        <v/>
      </c>
      <c r="AA408" s="259" t="n"/>
      <c r="AB408" s="260" t="inlineStr">
        <is>
          <t>ES85 2080 3509 1130 4009 6171</t>
        </is>
      </c>
      <c r="AC408" s="258" t="inlineStr">
        <is>
          <t>pendiente</t>
        </is>
      </c>
      <c r="AD408" s="259">
        <f>L408+N408+P408+R408+T408+V408+X408+Z408</f>
        <v/>
      </c>
      <c r="AE408" s="259">
        <f>IF((LEFT(K408,6))="Contab",L408,0)</f>
        <v/>
      </c>
      <c r="AF408" s="465">
        <f>VLOOKUP(G408,CLIENTES!B:E,4,FALSE)</f>
        <v/>
      </c>
      <c r="AG408" s="259">
        <f>AF408*AE408</f>
        <v/>
      </c>
      <c r="AH408" s="259">
        <f>AD408*1.21</f>
        <v/>
      </c>
      <c r="AI408" s="264">
        <f>IF(AE408&lt;&gt;0,AG408/AD408,"N/A")</f>
        <v/>
      </c>
      <c r="AJ408" s="259">
        <f>IF(AC408="pendiente",AD408,0)</f>
        <v/>
      </c>
      <c r="AK408" s="258">
        <f>VLOOKUP(G408,CLIENTES!B:D,3,FALSE)</f>
        <v/>
      </c>
      <c r="AL408" s="258" t="inlineStr">
        <is>
          <t>WOC_Asset</t>
        </is>
      </c>
      <c r="AM408" s="258" t="inlineStr">
        <is>
          <t>Administración</t>
        </is>
      </c>
    </row>
    <row r="409" ht="15" customHeight="1" s="700">
      <c r="A409" s="1">
        <f>A408+1</f>
        <v/>
      </c>
      <c r="B409" s="26" t="n">
        <v>45939</v>
      </c>
      <c r="C409" s="1" t="inlineStr">
        <is>
          <t>c/ Las Cruzadas 3A, local D</t>
        </is>
      </c>
      <c r="D409" s="1" t="inlineStr">
        <is>
          <t>Sevilla 41004</t>
        </is>
      </c>
      <c r="E409" s="1" t="inlineStr">
        <is>
          <t>CIF B91938662</t>
        </is>
      </c>
      <c r="F409" s="1" t="inlineStr">
        <is>
          <t>aBalados@abalados.es</t>
        </is>
      </c>
      <c r="G409" s="1" t="inlineStr">
        <is>
          <t>Asomadilla Solar 2007 S.L.U.</t>
        </is>
      </c>
      <c r="H409" s="1">
        <f>VLOOKUP($G409,DATOS!$B:$E,2,FALSE)</f>
        <v/>
      </c>
      <c r="I409" s="1">
        <f>VLOOKUP($G409,DATOS!$B:$E,3,FALSE)</f>
        <v/>
      </c>
      <c r="J409" s="1">
        <f>VLOOKUP($G409,DATOS!$B:$E,4,FALSE)</f>
        <v/>
      </c>
      <c r="K409" s="1" t="inlineStr">
        <is>
          <t>Contabilidad y Fiscalidad de proyecto Castuera - 4º Trimestre</t>
        </is>
      </c>
      <c r="L409" s="5">
        <f>'Tarifa 2025'!$D$6/4</f>
        <v/>
      </c>
      <c r="M409" s="1" t="inlineStr">
        <is>
          <t>SPV Management  Proyecto Castuera - 4º Trimestre</t>
        </is>
      </c>
      <c r="N409" s="5">
        <f>'Tarifa 2025'!$F$6/4</f>
        <v/>
      </c>
      <c r="O409" s="1" t="inlineStr">
        <is>
          <t>O&amp;M Management Proyecto Castuera - 4º Trimestre</t>
        </is>
      </c>
      <c r="P409" s="5">
        <f>'Tarifa 2025'!$H$6/4</f>
        <v/>
      </c>
      <c r="Q409" s="1" t="inlineStr">
        <is>
          <t>Consultoría - 4º Trimestre</t>
        </is>
      </c>
      <c r="R409" s="5">
        <f>'Tarifa 2025'!$J$6/4</f>
        <v/>
      </c>
      <c r="Y409" s="1" t="inlineStr">
        <is>
          <t>Gastos derivados de contrato (3,5%)</t>
        </is>
      </c>
      <c r="Z409" s="5">
        <f>(L409+N409+P409+R409+T409+V409+X409)*0.035</f>
        <v/>
      </c>
      <c r="AB409" s="6" t="inlineStr">
        <is>
          <t>ES85 2080 3509 1130 4009 6171</t>
        </is>
      </c>
      <c r="AC409" s="1" t="inlineStr">
        <is>
          <t>pendiente</t>
        </is>
      </c>
      <c r="AD409" s="5">
        <f>L409+N409+P409+R409+T409+V409+X409+Z409</f>
        <v/>
      </c>
      <c r="AE409" s="5">
        <f>IF((LEFT(K409,6))="Contab",L409,0)</f>
        <v/>
      </c>
      <c r="AF409" s="466">
        <f>VLOOKUP(G409,CLIENTES!B:E,4,FALSE)</f>
        <v/>
      </c>
      <c r="AG409" s="5">
        <f>AF409*AE409</f>
        <v/>
      </c>
      <c r="AH409" s="5">
        <f>AD409*1.21</f>
        <v/>
      </c>
      <c r="AI409" s="261">
        <f>IF(AE409&lt;&gt;0,AG409/AD409,"N/A")</f>
        <v/>
      </c>
      <c r="AJ409" s="5">
        <f>IF(AC409="pendiente",AD409,0)</f>
        <v/>
      </c>
      <c r="AK409" s="1">
        <f>VLOOKUP(G409,CLIENTES!B:D,3,FALSE)</f>
        <v/>
      </c>
      <c r="AL409" s="1" t="inlineStr">
        <is>
          <t>WOC_Asset</t>
        </is>
      </c>
      <c r="AM409" s="1" t="inlineStr">
        <is>
          <t>Administración</t>
        </is>
      </c>
    </row>
    <row r="410" ht="15" customHeight="1" s="700">
      <c r="A410" s="1">
        <f>A409+1</f>
        <v/>
      </c>
      <c r="B410" s="26" t="n">
        <v>45939</v>
      </c>
      <c r="C410" s="1" t="inlineStr">
        <is>
          <t>c/ Las Cruzadas 3A, local D</t>
        </is>
      </c>
      <c r="D410" s="1" t="inlineStr">
        <is>
          <t>Sevilla 41004</t>
        </is>
      </c>
      <c r="E410" s="1" t="inlineStr">
        <is>
          <t>CIF B91938662</t>
        </is>
      </c>
      <c r="F410" s="1" t="inlineStr">
        <is>
          <t>aBalados@abalados.es</t>
        </is>
      </c>
      <c r="G410" s="1" t="inlineStr">
        <is>
          <t>Inversión Cubiertas Solares S.L.U.</t>
        </is>
      </c>
      <c r="H410" s="1">
        <f>VLOOKUP($G410,DATOS!$B:$E,2,FALSE)</f>
        <v/>
      </c>
      <c r="I410" s="1">
        <f>VLOOKUP($G410,DATOS!$B:$E,3,FALSE)</f>
        <v/>
      </c>
      <c r="J410" s="1">
        <f>VLOOKUP($G410,DATOS!$B:$E,4,FALSE)</f>
        <v/>
      </c>
      <c r="K410" s="1" t="inlineStr">
        <is>
          <t>Contabilidad y Fiscalidad de proyecto Paiporta - 4º Trimestre</t>
        </is>
      </c>
      <c r="L410" s="5">
        <f>'Tarifa 2025'!$D$7/4</f>
        <v/>
      </c>
      <c r="M410" s="1" t="inlineStr">
        <is>
          <t>SPV Management  Proyecto Paiporta - 4º Trimestre</t>
        </is>
      </c>
      <c r="N410" s="5">
        <f>'Tarifa 2025'!$F$7/4</f>
        <v/>
      </c>
      <c r="O410" s="1" t="inlineStr">
        <is>
          <t>O&amp;M Management Proyecto Paiporta - 4º Trimestre</t>
        </is>
      </c>
      <c r="P410" s="5">
        <f>'Tarifa 2025'!$H$7/4</f>
        <v/>
      </c>
      <c r="Q410" s="1" t="inlineStr">
        <is>
          <t>Consultoría - 4º Trimestre</t>
        </is>
      </c>
      <c r="R410" s="5">
        <f>'Tarifa 2025'!$J$7/4</f>
        <v/>
      </c>
      <c r="Y410" s="1" t="inlineStr">
        <is>
          <t>Gastos derivados de contrato (3,5%)</t>
        </is>
      </c>
      <c r="Z410" s="5">
        <f>(L410+N410+P410+R410+T410+V410+X410)*0.035</f>
        <v/>
      </c>
      <c r="AB410" s="6" t="inlineStr">
        <is>
          <t>ES85 2080 3509 1130 4009 6171</t>
        </is>
      </c>
      <c r="AC410" s="1" t="inlineStr">
        <is>
          <t>pendiente</t>
        </is>
      </c>
      <c r="AD410" s="5">
        <f>L410+N410+P410+R410+T410+V410+X410+Z410</f>
        <v/>
      </c>
      <c r="AE410" s="5">
        <f>IF((LEFT(K410,6))="Contab",L410,0)</f>
        <v/>
      </c>
      <c r="AF410" s="466">
        <f>VLOOKUP(G410,CLIENTES!B:E,4,FALSE)</f>
        <v/>
      </c>
      <c r="AG410" s="5">
        <f>AF410*AE410</f>
        <v/>
      </c>
      <c r="AH410" s="5">
        <f>AD410*1.21</f>
        <v/>
      </c>
      <c r="AI410" s="261">
        <f>IF(AE410&lt;&gt;0,AG410/AD410,"N/A")</f>
        <v/>
      </c>
      <c r="AJ410" s="5">
        <f>IF(AC410="pendiente",AD410,0)</f>
        <v/>
      </c>
      <c r="AK410" s="1">
        <f>VLOOKUP(G410,CLIENTES!B:D,3,FALSE)</f>
        <v/>
      </c>
      <c r="AL410" s="1" t="inlineStr">
        <is>
          <t>WOC_Asset</t>
        </is>
      </c>
      <c r="AM410" s="1" t="inlineStr">
        <is>
          <t>Administración</t>
        </is>
      </c>
    </row>
    <row r="411" ht="15" customHeight="1" s="700">
      <c r="A411" s="1">
        <f>A410+1</f>
        <v/>
      </c>
      <c r="B411" s="26" t="n">
        <v>45939</v>
      </c>
      <c r="C411" s="1" t="inlineStr">
        <is>
          <t>c/ Las Cruzadas 3A, local D</t>
        </is>
      </c>
      <c r="D411" s="1" t="inlineStr">
        <is>
          <t>Sevilla 41004</t>
        </is>
      </c>
      <c r="E411" s="1" t="inlineStr">
        <is>
          <t>CIF B91938662</t>
        </is>
      </c>
      <c r="F411" s="1" t="inlineStr">
        <is>
          <t>aBalados@abalados.es</t>
        </is>
      </c>
      <c r="G411" s="1" t="inlineStr">
        <is>
          <t>Lugec Inversión Solar S.L.U.</t>
        </is>
      </c>
      <c r="H411" s="1">
        <f>VLOOKUP($G411,DATOS!$B:$E,2,FALSE)</f>
        <v/>
      </c>
      <c r="I411" s="1">
        <f>VLOOKUP($G411,DATOS!$B:$E,3,FALSE)</f>
        <v/>
      </c>
      <c r="J411" s="1">
        <f>VLOOKUP($G411,DATOS!$B:$E,4,FALSE)</f>
        <v/>
      </c>
      <c r="K411" s="1" t="inlineStr">
        <is>
          <t>Contabilidad y Fiscalidad de proyecto Bonaire - 4º Trimestre</t>
        </is>
      </c>
      <c r="L411" s="5">
        <f>'Tarifa 2025'!$D$8/4</f>
        <v/>
      </c>
      <c r="M411" s="1" t="inlineStr">
        <is>
          <t>SPV Management  Proyecto Bonaire - 4º Trimestre</t>
        </is>
      </c>
      <c r="N411" s="5">
        <f>'Tarifa 2025'!$F$8/4</f>
        <v/>
      </c>
      <c r="O411" s="1" t="inlineStr">
        <is>
          <t>O&amp;M Management Proyecto Bonaire - 4º Trimestre</t>
        </is>
      </c>
      <c r="P411" s="5">
        <f>'Tarifa 2025'!$H$8/4</f>
        <v/>
      </c>
      <c r="Q411" s="1" t="inlineStr">
        <is>
          <t>Consultoría - 4º Trimestre</t>
        </is>
      </c>
      <c r="R411" s="5">
        <f>'Tarifa 2025'!$J$8/4</f>
        <v/>
      </c>
      <c r="Y411" s="1" t="inlineStr">
        <is>
          <t>Gastos derivados de contrato (3,5%)</t>
        </is>
      </c>
      <c r="Z411" s="5">
        <f>(L411+N411+P411+R411+T411+V411+X411)*0.035</f>
        <v/>
      </c>
      <c r="AB411" s="6" t="inlineStr">
        <is>
          <t>ES85 2080 3509 1130 4009 6171</t>
        </is>
      </c>
      <c r="AC411" s="1" t="inlineStr">
        <is>
          <t>pagado</t>
        </is>
      </c>
      <c r="AD411" s="5">
        <f>L411+N411+P411+R411+T411+V411+X411+Z411</f>
        <v/>
      </c>
      <c r="AE411" s="5">
        <f>IF((LEFT(K411,6))="Contab",L411,0)</f>
        <v/>
      </c>
      <c r="AF411" s="466">
        <f>VLOOKUP(G411,CLIENTES!B:E,4,FALSE)</f>
        <v/>
      </c>
      <c r="AG411" s="5">
        <f>AF411*AE411</f>
        <v/>
      </c>
      <c r="AH411" s="5">
        <f>AD411*1.21</f>
        <v/>
      </c>
      <c r="AI411" s="261">
        <f>IF(AE411&lt;&gt;0,AG411/AD411,"N/A")</f>
        <v/>
      </c>
      <c r="AJ411" s="5">
        <f>IF(AC411="pendiente",AD411,0)</f>
        <v/>
      </c>
      <c r="AK411" s="1">
        <f>VLOOKUP(G411,CLIENTES!B:D,3,FALSE)</f>
        <v/>
      </c>
      <c r="AL411" s="1" t="inlineStr">
        <is>
          <t>WOC_Asset</t>
        </is>
      </c>
      <c r="AM411" s="1" t="inlineStr">
        <is>
          <t>Administración</t>
        </is>
      </c>
    </row>
    <row r="412" ht="15" customHeight="1" s="700">
      <c r="A412" s="1">
        <f>A411+1</f>
        <v/>
      </c>
      <c r="B412" s="26" t="n">
        <v>45939</v>
      </c>
      <c r="C412" s="1" t="inlineStr">
        <is>
          <t>c/ Las Cruzadas 3A, local D</t>
        </is>
      </c>
      <c r="D412" s="1" t="inlineStr">
        <is>
          <t>Sevilla 41004</t>
        </is>
      </c>
      <c r="E412" s="1" t="inlineStr">
        <is>
          <t>CIF B91938662</t>
        </is>
      </c>
      <c r="F412" s="1" t="inlineStr">
        <is>
          <t>aBalados@abalados.es</t>
        </is>
      </c>
      <c r="G412" s="1" t="inlineStr">
        <is>
          <t>LOCABA SOLAR S.L.U.</t>
        </is>
      </c>
      <c r="H412" s="1">
        <f>VLOOKUP($G412,DATOS!$B:$E,2,FALSE)</f>
        <v/>
      </c>
      <c r="I412" s="1">
        <f>VLOOKUP($G412,DATOS!$B:$E,3,FALSE)</f>
        <v/>
      </c>
      <c r="J412" s="1">
        <f>VLOOKUP($G412,DATOS!$B:$E,4,FALSE)</f>
        <v/>
      </c>
      <c r="K412" s="1" t="inlineStr">
        <is>
          <t>Contabilidad y Fiscalidad de proyecto Coreses - 4º Trimestre</t>
        </is>
      </c>
      <c r="L412" s="5">
        <f>'Tarifa 2025'!$D$9/4</f>
        <v/>
      </c>
      <c r="M412" s="1" t="inlineStr">
        <is>
          <t>SPV Management  Proyecto Coreses - 4º Trimestre</t>
        </is>
      </c>
      <c r="N412" s="5">
        <f>'Tarifa 2025'!$F$9/4</f>
        <v/>
      </c>
      <c r="O412" s="1" t="inlineStr">
        <is>
          <t>O&amp;M Management Proyecto Coreses - 4º Trimestre</t>
        </is>
      </c>
      <c r="P412" s="5">
        <f>'Tarifa 2025'!$H$9/4</f>
        <v/>
      </c>
      <c r="Q412" s="1" t="inlineStr">
        <is>
          <t>Consultoría - 4º Trimestre</t>
        </is>
      </c>
      <c r="R412" s="5">
        <f>'Tarifa 2025'!$J$9/4</f>
        <v/>
      </c>
      <c r="Y412" s="1" t="inlineStr">
        <is>
          <t>Gastos derivados de contrato (3,5%)</t>
        </is>
      </c>
      <c r="Z412" s="5">
        <f>(L412+N412+P412+R412+T412+V412+X412)*0.035</f>
        <v/>
      </c>
      <c r="AB412" s="6" t="inlineStr">
        <is>
          <t>ES85 2080 3509 1130 4009 6171</t>
        </is>
      </c>
      <c r="AC412" s="258" t="inlineStr">
        <is>
          <t>pagado</t>
        </is>
      </c>
      <c r="AD412" s="5">
        <f>L412+N412+P412+R412+T412+V412+X412+Z412</f>
        <v/>
      </c>
      <c r="AE412" s="5">
        <f>IF((LEFT(K412,6))="Contab",L412,0)</f>
        <v/>
      </c>
      <c r="AF412" s="466">
        <f>VLOOKUP(G412,CLIENTES!B:E,4,FALSE)</f>
        <v/>
      </c>
      <c r="AG412" s="5">
        <f>AF412*AE412</f>
        <v/>
      </c>
      <c r="AH412" s="5">
        <f>AD412*1.21</f>
        <v/>
      </c>
      <c r="AI412" s="261">
        <f>IF(AE412&lt;&gt;0,AG412/AD412,"N/A")</f>
        <v/>
      </c>
      <c r="AJ412" s="5">
        <f>IF(AC412="pendiente",AD412,0)</f>
        <v/>
      </c>
      <c r="AK412" s="1">
        <f>VLOOKUP(G412,CLIENTES!B:D,3,FALSE)</f>
        <v/>
      </c>
      <c r="AL412" s="1" t="inlineStr">
        <is>
          <t>WOC_Asset</t>
        </is>
      </c>
      <c r="AM412" s="1" t="inlineStr">
        <is>
          <t>Administración</t>
        </is>
      </c>
    </row>
    <row r="413" ht="15" customHeight="1" s="700">
      <c r="A413" s="1">
        <f>A412+1</f>
        <v/>
      </c>
      <c r="B413" s="26" t="n">
        <v>45939</v>
      </c>
      <c r="C413" s="1" t="inlineStr">
        <is>
          <t>c/ Las Cruzadas 3A, local D</t>
        </is>
      </c>
      <c r="D413" s="1" t="inlineStr">
        <is>
          <t>Sevilla 41004</t>
        </is>
      </c>
      <c r="E413" s="1" t="inlineStr">
        <is>
          <t>CIF B91938662</t>
        </is>
      </c>
      <c r="F413" s="1" t="inlineStr">
        <is>
          <t>aBalados@abalados.es</t>
        </is>
      </c>
      <c r="G413" s="1" t="inlineStr">
        <is>
          <t>Agrupación Solar el Algarrobo I, S.L.U.</t>
        </is>
      </c>
      <c r="H413" s="1">
        <f>VLOOKUP($G413,DATOS!$B:$E,2,FALSE)</f>
        <v/>
      </c>
      <c r="I413" s="1">
        <f>VLOOKUP($G413,DATOS!$B:$E,3,FALSE)</f>
        <v/>
      </c>
      <c r="J413" s="1">
        <f>VLOOKUP($G413,DATOS!$B:$E,4,FALSE)</f>
        <v/>
      </c>
      <c r="K413" s="1" t="inlineStr">
        <is>
          <t>Contabilidad y Fiscalidad de proyecto Algarrobo I - 4º Trimestre</t>
        </is>
      </c>
      <c r="L413" s="5">
        <f>'Tarifa 2025'!$D$12*1.89/5.49/4</f>
        <v/>
      </c>
      <c r="M413" s="1" t="inlineStr">
        <is>
          <t>SPV Management  Proyecto Algarrobo I -  4º Trimestre</t>
        </is>
      </c>
      <c r="N413" s="5">
        <f>'Tarifa 2025'!$F$12*1.89/5.49/4</f>
        <v/>
      </c>
      <c r="O413" s="1" t="inlineStr">
        <is>
          <t>O&amp;M Management Proyecto Algarrobo I - 4º Trimestre</t>
        </is>
      </c>
      <c r="P413" s="5">
        <f>'Tarifa 2025'!$H$12*1.89/5.49/4</f>
        <v/>
      </c>
      <c r="Q413" s="1" t="inlineStr">
        <is>
          <t>Consultoría - 4º Trimestre</t>
        </is>
      </c>
      <c r="R413" s="5">
        <f>'Tarifa 2025'!$J$12*(1.89/(1.89+1.89+1.71))/4</f>
        <v/>
      </c>
      <c r="Y413" s="1" t="inlineStr">
        <is>
          <t>Gastos derivados de contrato (3,5%)</t>
        </is>
      </c>
      <c r="Z413" s="5">
        <f>(L413+N413+P413+R413+T413+V413+X413)*0.035</f>
        <v/>
      </c>
      <c r="AB413" s="6" t="inlineStr">
        <is>
          <t>ES85 2080 3509 1130 4009 6171</t>
        </is>
      </c>
      <c r="AC413" s="1" t="inlineStr">
        <is>
          <t>pendiente</t>
        </is>
      </c>
      <c r="AD413" s="5">
        <f>L413+N413+P413+R413+T413+V413+X413+Z413</f>
        <v/>
      </c>
      <c r="AE413" s="5">
        <f>IF((LEFT(K413,6))="Contab",L413,0)</f>
        <v/>
      </c>
      <c r="AF413" s="466">
        <f>VLOOKUP(G413,CLIENTES!B:E,4,FALSE)</f>
        <v/>
      </c>
      <c r="AG413" s="5">
        <f>AF413*AE413</f>
        <v/>
      </c>
      <c r="AH413" s="5">
        <f>AD413*1.21</f>
        <v/>
      </c>
      <c r="AI413" s="261">
        <f>IF(AE413&lt;&gt;0,AG413/AD413,"N/A")</f>
        <v/>
      </c>
      <c r="AJ413" s="5">
        <f>IF(AC413="pendiente",AD413,0)</f>
        <v/>
      </c>
      <c r="AK413" s="1">
        <f>VLOOKUP(G413,CLIENTES!B:D,3,FALSE)</f>
        <v/>
      </c>
      <c r="AL413" s="1" t="inlineStr">
        <is>
          <t>WOC_Asset</t>
        </is>
      </c>
      <c r="AM413" s="1" t="inlineStr">
        <is>
          <t>Administración</t>
        </is>
      </c>
    </row>
    <row r="414" ht="15" customHeight="1" s="700">
      <c r="A414" s="1">
        <f>A413+1</f>
        <v/>
      </c>
      <c r="B414" s="26" t="n">
        <v>45939</v>
      </c>
      <c r="C414" s="1" t="inlineStr">
        <is>
          <t>c/ Las Cruzadas 3A, local D</t>
        </is>
      </c>
      <c r="D414" s="1" t="inlineStr">
        <is>
          <t>Sevilla 41004</t>
        </is>
      </c>
      <c r="E414" s="1" t="inlineStr">
        <is>
          <t>CIF B91938662</t>
        </is>
      </c>
      <c r="F414" s="1" t="inlineStr">
        <is>
          <t>aBalados@abalados.es</t>
        </is>
      </c>
      <c r="G414" s="1" t="inlineStr">
        <is>
          <t>Agrupación Solar el Algarrobo II, S.L.U.</t>
        </is>
      </c>
      <c r="H414" s="1">
        <f>VLOOKUP($G414,DATOS!$B:$E,2,FALSE)</f>
        <v/>
      </c>
      <c r="I414" s="1">
        <f>VLOOKUP($G414,DATOS!$B:$E,3,FALSE)</f>
        <v/>
      </c>
      <c r="J414" s="1">
        <f>VLOOKUP($G414,DATOS!$B:$E,4,FALSE)</f>
        <v/>
      </c>
      <c r="K414" s="1" t="inlineStr">
        <is>
          <t>Contabilidad y Fiscalidad de proyecto Algarrobo II - 4º Trimestre</t>
        </is>
      </c>
      <c r="L414" s="5">
        <f>'Tarifa 2025'!$D$12*1.89/5.49/4</f>
        <v/>
      </c>
      <c r="M414" s="1" t="inlineStr">
        <is>
          <t>SPV Management  Proyecto Algarrobo II -  4º Trimestre</t>
        </is>
      </c>
      <c r="N414" s="5">
        <f>'Tarifa 2025'!$F$12*1.89/5.49/4</f>
        <v/>
      </c>
      <c r="O414" s="1" t="inlineStr">
        <is>
          <t>O&amp;M Management Proyecto Algarrobo II - 4º Trimestre</t>
        </is>
      </c>
      <c r="P414" s="5">
        <f>'Tarifa 2025'!$H$12*1.89/5.49/4</f>
        <v/>
      </c>
      <c r="Q414" s="1" t="inlineStr">
        <is>
          <t>Consultoría - 4º Trimestre</t>
        </is>
      </c>
      <c r="R414" s="5">
        <f>'Tarifa 2025'!$J$12*(1.89/(1.89+1.89+1.71))/4</f>
        <v/>
      </c>
      <c r="Y414" s="1" t="inlineStr">
        <is>
          <t>Gastos derivados de contrato (3,5%)</t>
        </is>
      </c>
      <c r="Z414" s="5">
        <f>(L414+N414+P414+R414+T414+V414+X414)*0.035</f>
        <v/>
      </c>
      <c r="AB414" s="6" t="inlineStr">
        <is>
          <t>ES85 2080 3509 1130 4009 6171</t>
        </is>
      </c>
      <c r="AC414" s="1" t="inlineStr">
        <is>
          <t>pendiente</t>
        </is>
      </c>
      <c r="AD414" s="5">
        <f>L414+N414+P414+R414+T414+V414+X414+Z414</f>
        <v/>
      </c>
      <c r="AE414" s="5">
        <f>IF((LEFT(K414,6))="Contab",L414,0)</f>
        <v/>
      </c>
      <c r="AF414" s="466">
        <f>VLOOKUP(G414,CLIENTES!B:E,4,FALSE)</f>
        <v/>
      </c>
      <c r="AG414" s="5">
        <f>AF414*AE414</f>
        <v/>
      </c>
      <c r="AH414" s="5">
        <f>AD414*1.21</f>
        <v/>
      </c>
      <c r="AI414" s="261">
        <f>IF(AE414&lt;&gt;0,AG414/AD414,"N/A")</f>
        <v/>
      </c>
      <c r="AJ414" s="5">
        <f>IF(AC414="pendiente",AD414,0)</f>
        <v/>
      </c>
      <c r="AK414" s="1">
        <f>VLOOKUP(G414,CLIENTES!B:D,3,FALSE)</f>
        <v/>
      </c>
      <c r="AL414" s="1" t="inlineStr">
        <is>
          <t>WOC_Asset</t>
        </is>
      </c>
      <c r="AM414" s="1" t="inlineStr">
        <is>
          <t>Administración</t>
        </is>
      </c>
    </row>
    <row r="415" ht="15" customHeight="1" s="700">
      <c r="A415" s="1">
        <f>A414+1</f>
        <v/>
      </c>
      <c r="B415" s="26" t="n">
        <v>45939</v>
      </c>
      <c r="C415" s="1" t="inlineStr">
        <is>
          <t>c/ Las Cruzadas 3A, local D</t>
        </is>
      </c>
      <c r="D415" s="1" t="inlineStr">
        <is>
          <t>Sevilla 41004</t>
        </is>
      </c>
      <c r="E415" s="1" t="inlineStr">
        <is>
          <t>CIF B91938662</t>
        </is>
      </c>
      <c r="F415" s="1" t="inlineStr">
        <is>
          <t>aBalados@abalados.es</t>
        </is>
      </c>
      <c r="G415" s="1" t="inlineStr">
        <is>
          <t>Agrupación Solar el Algarrobo III, S.L.U.</t>
        </is>
      </c>
      <c r="H415" s="1">
        <f>VLOOKUP($G415,DATOS!$B:$E,2,FALSE)</f>
        <v/>
      </c>
      <c r="I415" s="1">
        <f>VLOOKUP($G415,DATOS!$B:$E,3,FALSE)</f>
        <v/>
      </c>
      <c r="J415" s="1">
        <f>VLOOKUP($G415,DATOS!$B:$E,4,FALSE)</f>
        <v/>
      </c>
      <c r="K415" s="1" t="inlineStr">
        <is>
          <t>Contabilidad y Fiscalidad de proyecto Algarrobo III - 4º Trimestre</t>
        </is>
      </c>
      <c r="L415" s="5">
        <f>'Tarifa 2025'!$D$12*1.71/5.49/4</f>
        <v/>
      </c>
      <c r="M415" s="1" t="inlineStr">
        <is>
          <t>SPV Management  Proyecto Algarrobo III -  4º Trimestre</t>
        </is>
      </c>
      <c r="N415" s="5">
        <f>'Tarifa 2025'!$F$12*1.71/5.49/4</f>
        <v/>
      </c>
      <c r="O415" s="1" t="inlineStr">
        <is>
          <t>O&amp;M Management Proyecto Algarrobo III - 4º Trimestre</t>
        </is>
      </c>
      <c r="P415" s="5">
        <f>'Tarifa 2025'!$H$12*1.71/5.49/4</f>
        <v/>
      </c>
      <c r="Q415" s="1" t="inlineStr">
        <is>
          <t>Consultoría - 4º Trimestre</t>
        </is>
      </c>
      <c r="R415" s="5">
        <f>'Tarifa 2025'!$J$12*(1.71/(1.89+1.89+1.71))/4</f>
        <v/>
      </c>
      <c r="Y415" s="1" t="inlineStr">
        <is>
          <t>Gastos derivados de contrato (3,5%)</t>
        </is>
      </c>
      <c r="Z415" s="5">
        <f>(L415+N415+P415+R415+T415+V415+X415)*0.035</f>
        <v/>
      </c>
      <c r="AB415" s="6" t="inlineStr">
        <is>
          <t>ES85 2080 3509 1130 4009 6171</t>
        </is>
      </c>
      <c r="AC415" s="1" t="inlineStr">
        <is>
          <t>pendiente</t>
        </is>
      </c>
      <c r="AD415" s="5">
        <f>L415+N415+P415+R415+T415+V415+X415+Z415</f>
        <v/>
      </c>
      <c r="AE415" s="5">
        <f>IF((LEFT(K415,6))="Contab",L415,0)</f>
        <v/>
      </c>
      <c r="AF415" s="466">
        <f>VLOOKUP(G415,CLIENTES!B:E,4,FALSE)</f>
        <v/>
      </c>
      <c r="AG415" s="5">
        <f>AF415*AE415</f>
        <v/>
      </c>
      <c r="AH415" s="5">
        <f>AD415*1.21</f>
        <v/>
      </c>
      <c r="AI415" s="261">
        <f>IF(AE415&lt;&gt;0,AG415/AD415,"N/A")</f>
        <v/>
      </c>
      <c r="AJ415" s="5">
        <f>IF(AC415="pendiente",AD415,0)</f>
        <v/>
      </c>
      <c r="AK415" s="1">
        <f>VLOOKUP(G415,CLIENTES!B:D,3,FALSE)</f>
        <v/>
      </c>
      <c r="AL415" s="1" t="inlineStr">
        <is>
          <t>WOC_Asset</t>
        </is>
      </c>
      <c r="AM415" s="1" t="inlineStr">
        <is>
          <t>Administración</t>
        </is>
      </c>
    </row>
    <row r="416" ht="15" customHeight="1" s="700">
      <c r="A416" s="1">
        <f>A415+1</f>
        <v/>
      </c>
      <c r="B416" s="26" t="n">
        <v>45939</v>
      </c>
      <c r="C416" s="1" t="inlineStr">
        <is>
          <t>c/ Las Cruzadas 3A, local D</t>
        </is>
      </c>
      <c r="D416" s="1" t="inlineStr">
        <is>
          <t>Sevilla 41004</t>
        </is>
      </c>
      <c r="E416" s="1" t="inlineStr">
        <is>
          <t>CIF B91938662</t>
        </is>
      </c>
      <c r="F416" s="1" t="inlineStr">
        <is>
          <t>aBalados@abalados.es</t>
        </is>
      </c>
      <c r="G416" s="1" t="inlineStr">
        <is>
          <t>WOC Fotovoltaica España Proyecto Sollana S.L.U.</t>
        </is>
      </c>
      <c r="H416" s="1">
        <f>VLOOKUP($G416,DATOS!$B:$E,2,FALSE)</f>
        <v/>
      </c>
      <c r="I416" s="1">
        <f>VLOOKUP($G416,DATOS!$B:$E,3,FALSE)</f>
        <v/>
      </c>
      <c r="J416" s="1">
        <f>VLOOKUP($G416,DATOS!$B:$E,4,FALSE)</f>
        <v/>
      </c>
      <c r="K416" s="1" t="inlineStr">
        <is>
          <t>Contabilidad y Fiscalidad de proyecto Sollana - 4º Trimestre</t>
        </is>
      </c>
      <c r="L416" s="5">
        <f>'Tarifa 2025'!$D$13/4</f>
        <v/>
      </c>
      <c r="M416" s="1" t="inlineStr">
        <is>
          <t>SPV Management  Proyecto Sollana - 4º Trimestre</t>
        </is>
      </c>
      <c r="N416" s="5">
        <f>'Tarifa 2025'!$F$13/4</f>
        <v/>
      </c>
      <c r="O416" s="1" t="inlineStr">
        <is>
          <t>O&amp;M Management Proyecto Sollana - 4º Trimestre</t>
        </is>
      </c>
      <c r="P416" s="5">
        <f>'Tarifa 2025'!$H$13/4</f>
        <v/>
      </c>
      <c r="Q416" s="1" t="inlineStr">
        <is>
          <t>Consultoría - 4º Trimestre</t>
        </is>
      </c>
      <c r="R416" s="5">
        <f>'Tarifa 2025'!$J$13/4</f>
        <v/>
      </c>
      <c r="Y416" s="1" t="inlineStr">
        <is>
          <t>Gastos derivados de contrato (3,5%)</t>
        </is>
      </c>
      <c r="Z416" s="5">
        <f>(L416+N416+P416+R416+T416+V416+X416)*0.035</f>
        <v/>
      </c>
      <c r="AB416" s="6" t="inlineStr">
        <is>
          <t>ES85 2080 3509 1130 4009 6171</t>
        </is>
      </c>
      <c r="AC416" s="1" t="inlineStr">
        <is>
          <t>pagado</t>
        </is>
      </c>
      <c r="AD416" s="5">
        <f>L416+N416+P416+R416+T416+V416+X416+Z416</f>
        <v/>
      </c>
      <c r="AE416" s="5">
        <f>IF((LEFT(K416,6))="Contab",L416,0)</f>
        <v/>
      </c>
      <c r="AF416" s="466">
        <f>VLOOKUP(G416,CLIENTES!B:E,4,FALSE)</f>
        <v/>
      </c>
      <c r="AG416" s="5">
        <f>AF416*AE416</f>
        <v/>
      </c>
      <c r="AH416" s="5">
        <f>AD416*1.21</f>
        <v/>
      </c>
      <c r="AI416" s="261">
        <f>IF(AE416&lt;&gt;0,AG416/AD416,"N/A")</f>
        <v/>
      </c>
      <c r="AJ416" s="5">
        <f>IF(AC416="pendiente",AD416,0)</f>
        <v/>
      </c>
      <c r="AK416" s="1">
        <f>VLOOKUP(G416,CLIENTES!B:D,3,FALSE)</f>
        <v/>
      </c>
      <c r="AL416" s="1" t="inlineStr">
        <is>
          <t>WOC_Asset</t>
        </is>
      </c>
      <c r="AM416" s="1" t="inlineStr">
        <is>
          <t>Administración</t>
        </is>
      </c>
    </row>
    <row r="417" ht="15" customHeight="1" s="700">
      <c r="A417" s="1">
        <f>A416+1</f>
        <v/>
      </c>
      <c r="B417" s="26" t="n">
        <v>45939</v>
      </c>
      <c r="C417" s="1" t="inlineStr">
        <is>
          <t>c/ Las Cruzadas 3A, local D</t>
        </is>
      </c>
      <c r="D417" s="1" t="inlineStr">
        <is>
          <t>Sevilla 41004</t>
        </is>
      </c>
      <c r="E417" s="1" t="inlineStr">
        <is>
          <t>CIF B91938662</t>
        </is>
      </c>
      <c r="F417" s="1" t="inlineStr">
        <is>
          <t>aBalados@abalados.es</t>
        </is>
      </c>
      <c r="G417" s="1" t="inlineStr">
        <is>
          <t>ES Garrovers Energía Solar S.L.U.</t>
        </is>
      </c>
      <c r="H417" s="1">
        <f>VLOOKUP($G417,DATOS!$B:$E,2,FALSE)</f>
        <v/>
      </c>
      <c r="I417" s="1">
        <f>VLOOKUP($G417,DATOS!$B:$E,3,FALSE)</f>
        <v/>
      </c>
      <c r="J417" s="1">
        <f>VLOOKUP($G417,DATOS!$B:$E,4,FALSE)</f>
        <v/>
      </c>
      <c r="K417" s="1" t="inlineStr">
        <is>
          <t>Contabilidad y Fiscalidad de proyecto Artà - 4º Trimestre</t>
        </is>
      </c>
      <c r="L417" s="5">
        <f>'Tarifa 2025'!$D$14/4</f>
        <v/>
      </c>
      <c r="M417" s="1" t="inlineStr">
        <is>
          <t>SPV Management  Proyecto Artà - 4º Trimestre</t>
        </is>
      </c>
      <c r="N417" s="5">
        <f>'Tarifa 2025'!$F$14/4</f>
        <v/>
      </c>
      <c r="O417" s="1" t="inlineStr">
        <is>
          <t>O&amp;M Management Proyecto Artà - 4º Trimestre</t>
        </is>
      </c>
      <c r="P417" s="5">
        <f>'Tarifa 2025'!$H$14/4</f>
        <v/>
      </c>
      <c r="Q417" s="1" t="inlineStr">
        <is>
          <t>Consultoría - 4º Trimestre</t>
        </is>
      </c>
      <c r="R417" s="5">
        <f>'Tarifa 2025'!$J$14/4</f>
        <v/>
      </c>
      <c r="Y417" s="1" t="inlineStr">
        <is>
          <t>Gastos derivados de contrato (3,5%)</t>
        </is>
      </c>
      <c r="Z417" s="5">
        <f>(L417+N417+P417+R417+T417+V417+X417)*0.035</f>
        <v/>
      </c>
      <c r="AB417" s="6" t="inlineStr">
        <is>
          <t>ES85 2080 3509 1130 4009 6171</t>
        </is>
      </c>
      <c r="AC417" s="1" t="inlineStr">
        <is>
          <t>pagado</t>
        </is>
      </c>
      <c r="AD417" s="5">
        <f>L417+N417+P417+R417+T417+V417+X417+Z417</f>
        <v/>
      </c>
      <c r="AE417" s="5">
        <f>IF((LEFT(K417,6))="Contab",L417,0)</f>
        <v/>
      </c>
      <c r="AF417" s="466">
        <f>VLOOKUP(G417,CLIENTES!B:E,4,FALSE)</f>
        <v/>
      </c>
      <c r="AG417" s="5">
        <f>AF417*AE417</f>
        <v/>
      </c>
      <c r="AH417" s="5">
        <f>AD417*1.21</f>
        <v/>
      </c>
      <c r="AI417" s="261">
        <f>IF(AE417&lt;&gt;0,AG417/AD417,"N/A")</f>
        <v/>
      </c>
      <c r="AJ417" s="5">
        <f>IF(AC417="pendiente",AD417,0)</f>
        <v/>
      </c>
      <c r="AK417" s="1">
        <f>VLOOKUP(G417,CLIENTES!B:D,3,FALSE)</f>
        <v/>
      </c>
      <c r="AL417" s="1" t="inlineStr">
        <is>
          <t>WOC_Asset</t>
        </is>
      </c>
      <c r="AM417" s="1" t="inlineStr">
        <is>
          <t>Administración</t>
        </is>
      </c>
    </row>
    <row r="418" ht="15" customHeight="1" s="700">
      <c r="A418" s="1">
        <f>A417+1</f>
        <v/>
      </c>
      <c r="B418" s="26" t="n">
        <v>45939</v>
      </c>
      <c r="C418" s="1" t="inlineStr">
        <is>
          <t>c/ Las Cruzadas 3A, local D</t>
        </is>
      </c>
      <c r="D418" s="1" t="inlineStr">
        <is>
          <t>Sevilla 41004</t>
        </is>
      </c>
      <c r="E418" s="1" t="inlineStr">
        <is>
          <t>CIF B91938662</t>
        </is>
      </c>
      <c r="F418" s="1" t="inlineStr">
        <is>
          <t>aBalados@abalados.es</t>
        </is>
      </c>
      <c r="G418" s="1" t="inlineStr">
        <is>
          <t>Contreras Parque Solar S.L.U.</t>
        </is>
      </c>
      <c r="H418" s="1">
        <f>VLOOKUP($G418,DATOS!$B:$E,2,FALSE)</f>
        <v/>
      </c>
      <c r="I418" s="1">
        <f>VLOOKUP($G418,DATOS!$B:$E,3,FALSE)</f>
        <v/>
      </c>
      <c r="J418" s="1">
        <f>VLOOKUP($G418,DATOS!$B:$E,4,FALSE)</f>
        <v/>
      </c>
      <c r="K418" s="1" t="inlineStr">
        <is>
          <t>Contabilidad y Fiscalidad de proyecto Contreras- 4º Trimestre</t>
        </is>
      </c>
      <c r="L418" s="5">
        <f>'Tarifa 2025'!$D$15/4</f>
        <v/>
      </c>
      <c r="M418" s="1" t="inlineStr">
        <is>
          <t>SPV Management  Proyecto Contreras - 4º Trimestre</t>
        </is>
      </c>
      <c r="N418" s="5">
        <f>'Tarifa 2025'!$F$15/4</f>
        <v/>
      </c>
      <c r="O418" s="1" t="inlineStr">
        <is>
          <t>O&amp;M Management Proyecto Contreras - 4º Trimestre</t>
        </is>
      </c>
      <c r="P418" s="5">
        <f>'Tarifa 2025'!$H$15/4</f>
        <v/>
      </c>
      <c r="Q418" s="1" t="inlineStr">
        <is>
          <t>Consultoría - 4º Trimestre</t>
        </is>
      </c>
      <c r="R418" s="5">
        <f>'Tarifa 2025'!$J$15/4</f>
        <v/>
      </c>
      <c r="Y418" s="1" t="inlineStr">
        <is>
          <t>Gastos derivados de contrato (3,5%)</t>
        </is>
      </c>
      <c r="Z418" s="5">
        <f>(L418+N418+P418+R418+T418+V418+X418)*0.035</f>
        <v/>
      </c>
      <c r="AB418" s="6" t="inlineStr">
        <is>
          <t>ES85 2080 3509 1130 4009 6171</t>
        </is>
      </c>
      <c r="AC418" s="1" t="inlineStr">
        <is>
          <t>pagado</t>
        </is>
      </c>
      <c r="AD418" s="5">
        <f>L418+N418+P418+R418+T418+V418+X418+Z418</f>
        <v/>
      </c>
      <c r="AE418" s="5">
        <f>IF((LEFT(K418,6))="Contab",L418,0)</f>
        <v/>
      </c>
      <c r="AF418" s="466">
        <f>VLOOKUP(G418,CLIENTES!B:E,4,FALSE)</f>
        <v/>
      </c>
      <c r="AG418" s="5">
        <f>AF418*AE418</f>
        <v/>
      </c>
      <c r="AH418" s="5">
        <f>AD418*1.21</f>
        <v/>
      </c>
      <c r="AI418" s="261">
        <f>IF(AE418&lt;&gt;0,AG418/AD418,"N/A")</f>
        <v/>
      </c>
      <c r="AJ418" s="5">
        <f>IF(AC418="pendiente",AD418,0)</f>
        <v/>
      </c>
      <c r="AK418" s="1">
        <f>VLOOKUP(G418,CLIENTES!B:D,3,FALSE)</f>
        <v/>
      </c>
      <c r="AL418" s="1" t="inlineStr">
        <is>
          <t>WOC_Asset</t>
        </is>
      </c>
      <c r="AM418" s="1" t="inlineStr">
        <is>
          <t>Administración</t>
        </is>
      </c>
    </row>
    <row r="419" ht="15" customHeight="1" s="700">
      <c r="A419" s="1">
        <f>A418+1</f>
        <v/>
      </c>
      <c r="B419" s="26" t="n">
        <v>45939</v>
      </c>
      <c r="C419" s="1" t="inlineStr">
        <is>
          <t>c/ Las Cruzadas 3A, local D</t>
        </is>
      </c>
      <c r="D419" s="1" t="inlineStr">
        <is>
          <t>Sevilla 41004</t>
        </is>
      </c>
      <c r="E419" s="1" t="inlineStr">
        <is>
          <t>CIF B91938662</t>
        </is>
      </c>
      <c r="F419" s="1" t="inlineStr">
        <is>
          <t>aBalados@abalados.es</t>
        </is>
      </c>
      <c r="G419" s="1" t="inlineStr">
        <is>
          <t>Lo Illán Parque Solar S.L.U.</t>
        </is>
      </c>
      <c r="H419" s="1">
        <f>VLOOKUP($G419,DATOS!$B:$E,2,FALSE)</f>
        <v/>
      </c>
      <c r="I419" s="1">
        <f>VLOOKUP($G419,DATOS!$B:$E,3,FALSE)</f>
        <v/>
      </c>
      <c r="J419" s="1">
        <f>VLOOKUP($G419,DATOS!$B:$E,4,FALSE)</f>
        <v/>
      </c>
      <c r="K419" s="1" t="inlineStr">
        <is>
          <t>Contabilidad y Fiscalidad de proyecto Lo Illán - 4º Trimestre</t>
        </is>
      </c>
      <c r="L419" s="5">
        <f>'Tarifa 2025'!$D$16/4</f>
        <v/>
      </c>
      <c r="M419" s="1" t="inlineStr">
        <is>
          <t>SPV Management  Proyecto Lo Illán - 4º Trimestre</t>
        </is>
      </c>
      <c r="N419" s="5">
        <f>'Tarifa 2025'!$F$16/4</f>
        <v/>
      </c>
      <c r="O419" s="1" t="inlineStr">
        <is>
          <t>O&amp;M Management Proyecto Lo Illán - 4º Trimestre</t>
        </is>
      </c>
      <c r="P419" s="5">
        <f>'Tarifa 2025'!$H$16/4</f>
        <v/>
      </c>
      <c r="Q419" s="1" t="inlineStr">
        <is>
          <t>Consultoría - 4º Trimestre</t>
        </is>
      </c>
      <c r="R419" s="5">
        <f>'Tarifa 2025'!$J$16/4</f>
        <v/>
      </c>
      <c r="Y419" s="1" t="inlineStr">
        <is>
          <t>Gastos derivados de contrato (3,5%)</t>
        </is>
      </c>
      <c r="Z419" s="5">
        <f>(L419+N419+P419+R419+T419+V419+X419)*0.035</f>
        <v/>
      </c>
      <c r="AB419" s="6" t="inlineStr">
        <is>
          <t>ES85 2080 3509 1130 4009 6171</t>
        </is>
      </c>
      <c r="AC419" s="1" t="inlineStr">
        <is>
          <t>pagado</t>
        </is>
      </c>
      <c r="AD419" s="5">
        <f>L419+N419+P419+R419+T419+V419+X419+Z419</f>
        <v/>
      </c>
      <c r="AE419" s="5">
        <f>IF((LEFT(K419,6))="Contab",L419,0)</f>
        <v/>
      </c>
      <c r="AF419" s="466">
        <f>VLOOKUP(G419,CLIENTES!B:E,4,FALSE)</f>
        <v/>
      </c>
      <c r="AG419" s="5">
        <f>AF419*AE419</f>
        <v/>
      </c>
      <c r="AH419" s="5">
        <f>AD419*1.21</f>
        <v/>
      </c>
      <c r="AI419" s="261">
        <f>IF(AE419&lt;&gt;0,AG419/AD419,"N/A")</f>
        <v/>
      </c>
      <c r="AJ419" s="5">
        <f>IF(AC419="pendiente",AD419,0)</f>
        <v/>
      </c>
      <c r="AK419" s="1">
        <f>VLOOKUP(G419,CLIENTES!B:D,3,FALSE)</f>
        <v/>
      </c>
      <c r="AL419" s="1" t="inlineStr">
        <is>
          <t>WOC_Asset</t>
        </is>
      </c>
      <c r="AM419" s="1" t="inlineStr">
        <is>
          <t>Administración</t>
        </is>
      </c>
    </row>
    <row r="420" ht="15" customHeight="1" s="700">
      <c r="A420" s="1">
        <f>A419+1</f>
        <v/>
      </c>
      <c r="B420" s="26" t="n">
        <v>45939</v>
      </c>
      <c r="C420" s="1" t="inlineStr">
        <is>
          <t>c/ Las Cruzadas 3A, local D</t>
        </is>
      </c>
      <c r="D420" s="1" t="inlineStr">
        <is>
          <t>Sevilla 41004</t>
        </is>
      </c>
      <c r="E420" s="1" t="inlineStr">
        <is>
          <t>CIF B91938662</t>
        </is>
      </c>
      <c r="F420" s="1" t="inlineStr">
        <is>
          <t>aBalados@abalados.es</t>
        </is>
      </c>
      <c r="G420" s="1" t="inlineStr">
        <is>
          <t>Turbinto Parque Solar S.L.U.</t>
        </is>
      </c>
      <c r="H420" s="1">
        <f>VLOOKUP($G420,DATOS!$B:$E,2,FALSE)</f>
        <v/>
      </c>
      <c r="I420" s="1">
        <f>VLOOKUP($G420,DATOS!$B:$E,3,FALSE)</f>
        <v/>
      </c>
      <c r="J420" s="1">
        <f>VLOOKUP($G420,DATOS!$B:$E,4,FALSE)</f>
        <v/>
      </c>
      <c r="K420" s="1" t="inlineStr">
        <is>
          <t>Contabilidad y Fiscalidad de proyecto Turbinto - 4º Trimestre</t>
        </is>
      </c>
      <c r="L420" s="5">
        <f>'Tarifa 2025'!$D$17/4</f>
        <v/>
      </c>
      <c r="M420" s="1" t="inlineStr">
        <is>
          <t>SPV Management  Proyecto Turbinto - 4º Trimestre</t>
        </is>
      </c>
      <c r="N420" s="5">
        <f>'Tarifa 2025'!$F$17/4</f>
        <v/>
      </c>
      <c r="O420" s="1" t="inlineStr">
        <is>
          <t>O&amp;M Management Proyecto Turbinto - 4º Trimestre</t>
        </is>
      </c>
      <c r="P420" s="5">
        <f>'Tarifa 2025'!$H$17/4</f>
        <v/>
      </c>
      <c r="Q420" s="1" t="inlineStr">
        <is>
          <t>Consultoría - 4º Trimestre</t>
        </is>
      </c>
      <c r="R420" s="5">
        <f>'Tarifa 2025'!$J$17/4</f>
        <v/>
      </c>
      <c r="Y420" s="1" t="inlineStr">
        <is>
          <t>Gastos derivados de contrato (3,5%)</t>
        </is>
      </c>
      <c r="Z420" s="5">
        <f>(L420+N420+P420+R420+T420+V420+X420)*0.035</f>
        <v/>
      </c>
      <c r="AB420" s="6" t="inlineStr">
        <is>
          <t>ES85 2080 3509 1130 4009 6171</t>
        </is>
      </c>
      <c r="AC420" s="1" t="inlineStr">
        <is>
          <t>pagado</t>
        </is>
      </c>
      <c r="AD420" s="5">
        <f>L420+N420+P420+R420+T420+V420+X420+Z420</f>
        <v/>
      </c>
      <c r="AE420" s="5">
        <f>IF((LEFT(K420,6))="Contab",L420,0)</f>
        <v/>
      </c>
      <c r="AF420" s="466">
        <f>VLOOKUP(G420,CLIENTES!B:E,4,FALSE)</f>
        <v/>
      </c>
      <c r="AG420" s="5">
        <f>AF420*AE420</f>
        <v/>
      </c>
      <c r="AH420" s="5">
        <f>AD420*1.21</f>
        <v/>
      </c>
      <c r="AI420" s="261">
        <f>IF(AE420&lt;&gt;0,AG420/AD420,"N/A")</f>
        <v/>
      </c>
      <c r="AJ420" s="5">
        <f>IF(AC420="pendiente",AD420,0)</f>
        <v/>
      </c>
      <c r="AK420" s="1">
        <f>VLOOKUP(G420,CLIENTES!B:D,3,FALSE)</f>
        <v/>
      </c>
      <c r="AL420" s="1" t="inlineStr">
        <is>
          <t>WOC_Asset</t>
        </is>
      </c>
      <c r="AM420" s="1" t="inlineStr">
        <is>
          <t>Administración</t>
        </is>
      </c>
    </row>
    <row r="421" ht="15" customHeight="1" s="700">
      <c r="A421" s="1">
        <f>A420+1</f>
        <v/>
      </c>
      <c r="B421" s="26" t="n">
        <v>45939</v>
      </c>
      <c r="C421" s="1" t="inlineStr">
        <is>
          <t>c/ Las Cruzadas 3A, local D</t>
        </is>
      </c>
      <c r="D421" s="1" t="inlineStr">
        <is>
          <t>Sevilla 41004</t>
        </is>
      </c>
      <c r="E421" s="1" t="inlineStr">
        <is>
          <t>CIF B91938662</t>
        </is>
      </c>
      <c r="F421" s="1" t="inlineStr">
        <is>
          <t>aBalados@abalados.es</t>
        </is>
      </c>
      <c r="G421" s="1" t="inlineStr">
        <is>
          <t>Amberg V S.L.U.</t>
        </is>
      </c>
      <c r="H421" s="1">
        <f>VLOOKUP($G421,DATOS!$B:$E,2,FALSE)</f>
        <v/>
      </c>
      <c r="I421" s="1">
        <f>VLOOKUP($G421,DATOS!$B:$E,3,FALSE)</f>
        <v/>
      </c>
      <c r="J421" s="1">
        <f>VLOOKUP($G421,DATOS!$B:$E,4,FALSE)</f>
        <v/>
      </c>
      <c r="K421" s="1" t="inlineStr">
        <is>
          <t>Contabilidad y Fiscalidad de proyecto - 4º Trimestre</t>
        </is>
      </c>
      <c r="L421" s="5">
        <f>'Tarifa 2025'!$D$18/4/6</f>
        <v/>
      </c>
      <c r="M421" s="1" t="inlineStr">
        <is>
          <t>SPV Management de Proyecto - 4º Trimestre</t>
        </is>
      </c>
      <c r="N421" s="5">
        <f>'Tarifa 2025'!$F$18/6/4</f>
        <v/>
      </c>
      <c r="O421" s="1" t="inlineStr">
        <is>
          <t>O&amp;M Management de Proyecto - 4º Trimestre</t>
        </is>
      </c>
      <c r="P421" s="5">
        <f>'Tarifa 2025'!$H$18/6/4</f>
        <v/>
      </c>
      <c r="Y421" s="1" t="inlineStr">
        <is>
          <t>Gastos derivados de contrato (3,5%)</t>
        </is>
      </c>
      <c r="Z421" s="5">
        <f>(L421+N421+P421+R421+T421+V421+X421)*0.035</f>
        <v/>
      </c>
      <c r="AB421" s="6" t="inlineStr">
        <is>
          <t>ES85 2080 3509 1130 4009 6171</t>
        </is>
      </c>
      <c r="AC421" s="1" t="inlineStr">
        <is>
          <t>pagado</t>
        </is>
      </c>
      <c r="AD421" s="5">
        <f>L421+N421+P421+R421+T421+V421+X421+Z421</f>
        <v/>
      </c>
      <c r="AE421" s="5">
        <f>IF((LEFT(K421,6))="Contab",L421,0)</f>
        <v/>
      </c>
      <c r="AF421" s="466">
        <f>VLOOKUP(G421,CLIENTES!B:E,4,FALSE)</f>
        <v/>
      </c>
      <c r="AG421" s="5">
        <f>AF421*AE421</f>
        <v/>
      </c>
      <c r="AH421" s="5">
        <f>AD421*1.21</f>
        <v/>
      </c>
      <c r="AI421" s="261">
        <f>IF(AE421&lt;&gt;0,AG421/AD421,"N/A")</f>
        <v/>
      </c>
      <c r="AJ421" s="5">
        <f>IF(AC421="pendiente",AD421,0)</f>
        <v/>
      </c>
      <c r="AK421" s="1">
        <f>VLOOKUP(G421,CLIENTES!B:D,3,FALSE)</f>
        <v/>
      </c>
      <c r="AL421" s="1" t="inlineStr">
        <is>
          <t>WOC_Asset</t>
        </is>
      </c>
      <c r="AM421" s="1" t="inlineStr">
        <is>
          <t>Administración</t>
        </is>
      </c>
    </row>
    <row r="422" ht="15" customHeight="1" s="700">
      <c r="A422" s="1">
        <f>A421+1</f>
        <v/>
      </c>
      <c r="B422" s="26" t="n">
        <v>45939</v>
      </c>
      <c r="C422" s="1" t="inlineStr">
        <is>
          <t>c/ Las Cruzadas 3A, local D</t>
        </is>
      </c>
      <c r="D422" s="1" t="inlineStr">
        <is>
          <t>Sevilla 41004</t>
        </is>
      </c>
      <c r="E422" s="1" t="inlineStr">
        <is>
          <t>CIF B91938662</t>
        </is>
      </c>
      <c r="F422" s="1" t="inlineStr">
        <is>
          <t>aBalados@abalados.es</t>
        </is>
      </c>
      <c r="G422" s="1" t="inlineStr">
        <is>
          <t>Solar Photo Collect S.L.U.</t>
        </is>
      </c>
      <c r="H422" s="1">
        <f>VLOOKUP($G422,DATOS!$B:$E,2,FALSE)</f>
        <v/>
      </c>
      <c r="I422" s="1">
        <f>VLOOKUP($G422,DATOS!$B:$E,3,FALSE)</f>
        <v/>
      </c>
      <c r="J422" s="1">
        <f>VLOOKUP($G422,DATOS!$B:$E,4,FALSE)</f>
        <v/>
      </c>
      <c r="K422" s="1" t="inlineStr">
        <is>
          <t>Contabilidad y Fiscalidad de proyecto - 4º Trimestre</t>
        </is>
      </c>
      <c r="L422" s="5">
        <f>'Tarifa 2025'!$D$18/4/6</f>
        <v/>
      </c>
      <c r="M422" s="1" t="inlineStr">
        <is>
          <t>SPV Management de Proyecto - 4º Trimestre</t>
        </is>
      </c>
      <c r="N422" s="5">
        <f>'Tarifa 2025'!$F$18/6/4</f>
        <v/>
      </c>
      <c r="O422" s="1" t="inlineStr">
        <is>
          <t>O&amp;M Management de Proyecto - 4º Trimestre</t>
        </is>
      </c>
      <c r="P422" s="5">
        <f>'Tarifa 2025'!$H$18/6/4</f>
        <v/>
      </c>
      <c r="Y422" s="1" t="inlineStr">
        <is>
          <t>Gastos derivados de contrato (3,5%)</t>
        </is>
      </c>
      <c r="Z422" s="5">
        <f>(L422+N422+P422+R422+T422+V422+X422)*0.035</f>
        <v/>
      </c>
      <c r="AB422" s="6" t="inlineStr">
        <is>
          <t>ES85 2080 3509 1130 4009 6171</t>
        </is>
      </c>
      <c r="AC422" s="1" t="inlineStr">
        <is>
          <t>pagado</t>
        </is>
      </c>
      <c r="AD422" s="5">
        <f>L422+N422+P422+R422+T422+V422+X422+Z422</f>
        <v/>
      </c>
      <c r="AE422" s="5">
        <f>IF((LEFT(K422,6))="Contab",L422,0)</f>
        <v/>
      </c>
      <c r="AF422" s="466">
        <f>VLOOKUP(G422,CLIENTES!B:E,4,FALSE)</f>
        <v/>
      </c>
      <c r="AG422" s="5">
        <f>AF422*AE422</f>
        <v/>
      </c>
      <c r="AH422" s="5">
        <f>AD422*1.21</f>
        <v/>
      </c>
      <c r="AI422" s="261">
        <f>IF(AE422&lt;&gt;0,AG422/AD422,"N/A")</f>
        <v/>
      </c>
      <c r="AJ422" s="5">
        <f>IF(AC422="pendiente",AD422,0)</f>
        <v/>
      </c>
      <c r="AK422" s="1">
        <f>VLOOKUP(G422,CLIENTES!B:D,3,FALSE)</f>
        <v/>
      </c>
      <c r="AL422" s="1" t="inlineStr">
        <is>
          <t>WOC_Asset</t>
        </is>
      </c>
      <c r="AM422" s="1" t="inlineStr">
        <is>
          <t>Administración</t>
        </is>
      </c>
    </row>
    <row r="423" ht="15" customHeight="1" s="700">
      <c r="A423" s="1">
        <f>A422+1</f>
        <v/>
      </c>
      <c r="B423" s="26" t="n">
        <v>45939</v>
      </c>
      <c r="C423" s="1" t="inlineStr">
        <is>
          <t>c/ Las Cruzadas 3A, local D</t>
        </is>
      </c>
      <c r="D423" s="1" t="inlineStr">
        <is>
          <t>Sevilla 41004</t>
        </is>
      </c>
      <c r="E423" s="1" t="inlineStr">
        <is>
          <t>CIF B91938662</t>
        </is>
      </c>
      <c r="F423" s="1" t="inlineStr">
        <is>
          <t>aBalados@abalados.es</t>
        </is>
      </c>
      <c r="G423" s="1" t="inlineStr">
        <is>
          <t xml:space="preserve">Rasteding PV I, S.L.U. </t>
        </is>
      </c>
      <c r="H423" s="1">
        <f>VLOOKUP($G423,DATOS!$B:$E,2,FALSE)</f>
        <v/>
      </c>
      <c r="I423" s="1">
        <f>VLOOKUP($G423,DATOS!$B:$E,3,FALSE)</f>
        <v/>
      </c>
      <c r="J423" s="1">
        <f>VLOOKUP($G423,DATOS!$B:$E,4,FALSE)</f>
        <v/>
      </c>
      <c r="K423" s="1" t="inlineStr">
        <is>
          <t>Contabilidad y Fiscalidad de proyecto - 4º Trimestre</t>
        </is>
      </c>
      <c r="L423" s="5">
        <f>'Tarifa 2025'!$D$18/4/6</f>
        <v/>
      </c>
      <c r="M423" s="1" t="inlineStr">
        <is>
          <t>SPV Management de Proyecto - 4º Trimestre</t>
        </is>
      </c>
      <c r="N423" s="5">
        <f>'Tarifa 2025'!$F$18/6/4</f>
        <v/>
      </c>
      <c r="O423" s="1" t="inlineStr">
        <is>
          <t>O&amp;M Management de Proyecto - 4º Trimestre</t>
        </is>
      </c>
      <c r="P423" s="5">
        <f>'Tarifa 2025'!$H$18/6/4</f>
        <v/>
      </c>
      <c r="Y423" s="1" t="inlineStr">
        <is>
          <t>Gastos derivados de contrato (3,5%)</t>
        </is>
      </c>
      <c r="Z423" s="5">
        <f>(L423+N423+P423+R423+T423+V423+X423)*0.035</f>
        <v/>
      </c>
      <c r="AB423" s="6" t="inlineStr">
        <is>
          <t>ES85 2080 3509 1130 4009 6171</t>
        </is>
      </c>
      <c r="AC423" s="1" t="inlineStr">
        <is>
          <t>pagado</t>
        </is>
      </c>
      <c r="AD423" s="5">
        <f>L423+N423+P423+R423+T423+V423+X423+Z423</f>
        <v/>
      </c>
      <c r="AE423" s="5">
        <f>IF((LEFT(K423,6))="Contab",L423,0)</f>
        <v/>
      </c>
      <c r="AF423" s="466">
        <f>VLOOKUP(G423,CLIENTES!B:E,4,FALSE)</f>
        <v/>
      </c>
      <c r="AG423" s="5">
        <f>AF423*AE423</f>
        <v/>
      </c>
      <c r="AH423" s="5">
        <f>AD423*1.21</f>
        <v/>
      </c>
      <c r="AI423" s="261">
        <f>IF(AE423&lt;&gt;0,AG423/AD423,"N/A")</f>
        <v/>
      </c>
      <c r="AJ423" s="5">
        <f>IF(AC423="pendiente",AD423,0)</f>
        <v/>
      </c>
      <c r="AK423" s="1">
        <f>VLOOKUP(G423,CLIENTES!B:D,3,FALSE)</f>
        <v/>
      </c>
      <c r="AL423" s="1" t="inlineStr">
        <is>
          <t>WOC_Asset</t>
        </is>
      </c>
      <c r="AM423" s="1" t="inlineStr">
        <is>
          <t>Administración</t>
        </is>
      </c>
    </row>
    <row r="424" ht="15" customHeight="1" s="700">
      <c r="A424" s="1">
        <f>A423+1</f>
        <v/>
      </c>
      <c r="B424" s="26" t="n">
        <v>45939</v>
      </c>
      <c r="C424" s="1" t="inlineStr">
        <is>
          <t>c/ Las Cruzadas 3A, local D</t>
        </is>
      </c>
      <c r="D424" s="1" t="inlineStr">
        <is>
          <t>Sevilla 41004</t>
        </is>
      </c>
      <c r="E424" s="1" t="inlineStr">
        <is>
          <t>CIF B91938662</t>
        </is>
      </c>
      <c r="F424" s="1" t="inlineStr">
        <is>
          <t>aBalados@abalados.es</t>
        </is>
      </c>
      <c r="G424" s="1" t="inlineStr">
        <is>
          <t>Amberg II S.L.U.</t>
        </is>
      </c>
      <c r="H424" s="1">
        <f>VLOOKUP($G424,DATOS!$B:$E,2,FALSE)</f>
        <v/>
      </c>
      <c r="I424" s="1">
        <f>VLOOKUP($G424,DATOS!$B:$E,3,FALSE)</f>
        <v/>
      </c>
      <c r="J424" s="1">
        <f>VLOOKUP($G424,DATOS!$B:$E,4,FALSE)</f>
        <v/>
      </c>
      <c r="K424" s="1" t="inlineStr">
        <is>
          <t>Contabilidad y Fiscalidad de proyecto - 4º Trimestre</t>
        </is>
      </c>
      <c r="L424" s="5">
        <f>'Tarifa 2025'!$D$18/4/6</f>
        <v/>
      </c>
      <c r="M424" s="1" t="inlineStr">
        <is>
          <t>SPV Management de Proyecto - 4º Trimestre</t>
        </is>
      </c>
      <c r="N424" s="5">
        <f>'Tarifa 2025'!$F$18/6/4</f>
        <v/>
      </c>
      <c r="O424" s="1" t="inlineStr">
        <is>
          <t>O&amp;M Management de Proyecto - 4º Trimestre</t>
        </is>
      </c>
      <c r="P424" s="5">
        <f>'Tarifa 2025'!$H$18/6/4</f>
        <v/>
      </c>
      <c r="Y424" s="1" t="inlineStr">
        <is>
          <t>Gastos derivados de contrato (3,5%)</t>
        </is>
      </c>
      <c r="Z424" s="5">
        <f>(L424+N424+P424+R424+T424+V424+X424)*0.035</f>
        <v/>
      </c>
      <c r="AB424" s="6" t="inlineStr">
        <is>
          <t>ES85 2080 3509 1130 4009 6171</t>
        </is>
      </c>
      <c r="AC424" s="1" t="inlineStr">
        <is>
          <t>pagado</t>
        </is>
      </c>
      <c r="AD424" s="5">
        <f>L424+N424+P424+R424+T424+V424+X424+Z424</f>
        <v/>
      </c>
      <c r="AE424" s="5">
        <f>IF((LEFT(K424,6))="Contab",L424,0)</f>
        <v/>
      </c>
      <c r="AF424" s="466">
        <f>VLOOKUP(G424,CLIENTES!B:E,4,FALSE)</f>
        <v/>
      </c>
      <c r="AG424" s="5">
        <f>AF424*AE424</f>
        <v/>
      </c>
      <c r="AH424" s="5">
        <f>AD424*1.21</f>
        <v/>
      </c>
      <c r="AI424" s="261">
        <f>IF(AE424&lt;&gt;0,AG424/AD424,"N/A")</f>
        <v/>
      </c>
      <c r="AJ424" s="5">
        <f>IF(AC424="pendiente",AD424,0)</f>
        <v/>
      </c>
      <c r="AK424" s="1">
        <f>VLOOKUP(G424,CLIENTES!B:D,3,FALSE)</f>
        <v/>
      </c>
      <c r="AL424" s="1" t="inlineStr">
        <is>
          <t>WOC_Asset</t>
        </is>
      </c>
      <c r="AM424" s="1" t="inlineStr">
        <is>
          <t>Administración</t>
        </is>
      </c>
    </row>
    <row r="425" ht="15" customHeight="1" s="700">
      <c r="A425" s="1">
        <f>A424+1</f>
        <v/>
      </c>
      <c r="B425" s="26" t="n">
        <v>45939</v>
      </c>
      <c r="C425" s="1" t="inlineStr">
        <is>
          <t>c/ Las Cruzadas 3A, local D</t>
        </is>
      </c>
      <c r="D425" s="1" t="inlineStr">
        <is>
          <t>Sevilla 41004</t>
        </is>
      </c>
      <c r="E425" s="1" t="inlineStr">
        <is>
          <t>CIF B91938662</t>
        </is>
      </c>
      <c r="F425" s="1" t="inlineStr">
        <is>
          <t>aBalados@abalados.es</t>
        </is>
      </c>
      <c r="G425" s="1" t="inlineStr">
        <is>
          <t>Tiksi PV II S.L.U.</t>
        </is>
      </c>
      <c r="H425" s="1">
        <f>VLOOKUP($G425,DATOS!$B:$E,2,FALSE)</f>
        <v/>
      </c>
      <c r="I425" s="1">
        <f>VLOOKUP($G425,DATOS!$B:$E,3,FALSE)</f>
        <v/>
      </c>
      <c r="J425" s="1">
        <f>VLOOKUP($G425,DATOS!$B:$E,4,FALSE)</f>
        <v/>
      </c>
      <c r="K425" s="1" t="inlineStr">
        <is>
          <t>Contabilidad y Fiscalidad de proyecto - 4º Trimestre</t>
        </is>
      </c>
      <c r="L425" s="5">
        <f>'Tarifa 2025'!$D$18/4/6</f>
        <v/>
      </c>
      <c r="M425" s="1" t="inlineStr">
        <is>
          <t>SPV Management de Proyecto - 4º Trimestre</t>
        </is>
      </c>
      <c r="N425" s="5">
        <f>'Tarifa 2025'!$F$18/6/4</f>
        <v/>
      </c>
      <c r="O425" s="1" t="inlineStr">
        <is>
          <t>O&amp;M Management de Proyecto - 4º Trimestre</t>
        </is>
      </c>
      <c r="P425" s="5">
        <f>'Tarifa 2025'!$H$18/6/4</f>
        <v/>
      </c>
      <c r="Y425" s="1" t="inlineStr">
        <is>
          <t>Gastos derivados de contrato (3,5%)</t>
        </is>
      </c>
      <c r="Z425" s="5">
        <f>(L425+N425+P425+R425+T425+V425+X425)*0.035</f>
        <v/>
      </c>
      <c r="AB425" s="6" t="inlineStr">
        <is>
          <t>ES85 2080 3509 1130 4009 6171</t>
        </is>
      </c>
      <c r="AC425" s="1" t="inlineStr">
        <is>
          <t>pagado</t>
        </is>
      </c>
      <c r="AD425" s="5">
        <f>L425+N425+P425+R425+T425+V425+X425+Z425</f>
        <v/>
      </c>
      <c r="AE425" s="5">
        <f>IF((LEFT(K425,6))="Contab",L425,0)</f>
        <v/>
      </c>
      <c r="AF425" s="466">
        <f>VLOOKUP(G425,CLIENTES!B:E,4,FALSE)</f>
        <v/>
      </c>
      <c r="AG425" s="5">
        <f>AF425*AE425</f>
        <v/>
      </c>
      <c r="AH425" s="5">
        <f>AD425*1.21</f>
        <v/>
      </c>
      <c r="AI425" s="261">
        <f>IF(AE425&lt;&gt;0,AG425/AD425,"N/A")</f>
        <v/>
      </c>
      <c r="AJ425" s="5">
        <f>IF(AC425="pendiente",AD425,0)</f>
        <v/>
      </c>
      <c r="AK425" s="1">
        <f>VLOOKUP(G425,CLIENTES!B:D,3,FALSE)</f>
        <v/>
      </c>
      <c r="AL425" s="1" t="inlineStr">
        <is>
          <t>WOC_Asset</t>
        </is>
      </c>
      <c r="AM425" s="1" t="inlineStr">
        <is>
          <t>Administración</t>
        </is>
      </c>
    </row>
    <row r="426" ht="15" customFormat="1" customHeight="1" s="146">
      <c r="A426" s="146">
        <f>A425+1</f>
        <v/>
      </c>
      <c r="B426" s="149" t="n">
        <v>45939</v>
      </c>
      <c r="C426" s="146" t="inlineStr">
        <is>
          <t>c/ Las Cruzadas 3A, local D</t>
        </is>
      </c>
      <c r="D426" s="146" t="inlineStr">
        <is>
          <t>Sevilla 41004</t>
        </is>
      </c>
      <c r="E426" s="146" t="inlineStr">
        <is>
          <t>CIF B91938662</t>
        </is>
      </c>
      <c r="F426" s="146" t="inlineStr">
        <is>
          <t>aBalados@abalados.es</t>
        </is>
      </c>
      <c r="G426" s="146" t="inlineStr">
        <is>
          <t>Solar Photo Corp S.L.U.</t>
        </is>
      </c>
      <c r="H426" s="146">
        <f>VLOOKUP($G426,DATOS!$B:$E,2,FALSE)</f>
        <v/>
      </c>
      <c r="I426" s="146">
        <f>VLOOKUP($G426,DATOS!$B:$E,3,FALSE)</f>
        <v/>
      </c>
      <c r="J426" s="146">
        <f>VLOOKUP($G426,DATOS!$B:$E,4,FALSE)</f>
        <v/>
      </c>
      <c r="K426" s="146" t="inlineStr">
        <is>
          <t>Contabilidad y Fiscalidad de proyecto - 4º Trimestre</t>
        </is>
      </c>
      <c r="L426" s="147">
        <f>'Tarifa 2025'!$D$18/4/6</f>
        <v/>
      </c>
      <c r="M426" s="146" t="inlineStr">
        <is>
          <t>SPV Management de Proyecto - 4º Trimestre</t>
        </is>
      </c>
      <c r="N426" s="147">
        <f>'Tarifa 2025'!$F$18/6/4</f>
        <v/>
      </c>
      <c r="O426" s="146" t="inlineStr">
        <is>
          <t>O&amp;M Management de Proyecto - 4º Trimestre</t>
        </is>
      </c>
      <c r="P426" s="147">
        <f>'Tarifa 2025'!$H$18/6/4</f>
        <v/>
      </c>
      <c r="R426" s="147" t="n"/>
      <c r="T426" s="147" t="n"/>
      <c r="V426" s="147" t="n"/>
      <c r="X426" s="147" t="n"/>
      <c r="Y426" s="146" t="inlineStr">
        <is>
          <t>Gastos derivados de contrato (3,5%)</t>
        </is>
      </c>
      <c r="Z426" s="147">
        <f>(L426+N426+P426+R426+T426+V426+X426)*0.035</f>
        <v/>
      </c>
      <c r="AA426" s="147" t="n"/>
      <c r="AB426" s="148" t="inlineStr">
        <is>
          <t>ES85 2080 3509 1130 4009 6171</t>
        </is>
      </c>
      <c r="AC426" s="146" t="inlineStr">
        <is>
          <t>pagado</t>
        </is>
      </c>
      <c r="AD426" s="147">
        <f>L426+N426+P426+R426+T426+V426+X426+Z426</f>
        <v/>
      </c>
      <c r="AE426" s="147">
        <f>IF((LEFT(K426,6))="Contab",L426,0)</f>
        <v/>
      </c>
      <c r="AF426" s="467">
        <f>VLOOKUP(G426,CLIENTES!B:E,4,FALSE)</f>
        <v/>
      </c>
      <c r="AG426" s="147">
        <f>AF426*AE426</f>
        <v/>
      </c>
      <c r="AH426" s="147">
        <f>AD426*1.21</f>
        <v/>
      </c>
      <c r="AI426" s="257">
        <f>IF(AE426&lt;&gt;0,AG426/AD426,"N/A")</f>
        <v/>
      </c>
      <c r="AJ426" s="147">
        <f>IF(AC426="pendiente",AD426,0)</f>
        <v/>
      </c>
      <c r="AK426" s="146">
        <f>VLOOKUP(G426,CLIENTES!B:D,3,FALSE)</f>
        <v/>
      </c>
      <c r="AL426" s="146" t="inlineStr">
        <is>
          <t>WOC_Asset</t>
        </is>
      </c>
      <c r="AM426" s="146" t="inlineStr">
        <is>
          <t>Administración</t>
        </is>
      </c>
    </row>
    <row r="427" ht="15" customFormat="1" customHeight="1" s="258">
      <c r="A427" s="258">
        <f>A426+1</f>
        <v/>
      </c>
      <c r="B427" s="299" t="n">
        <v>45939</v>
      </c>
      <c r="C427" s="258" t="inlineStr">
        <is>
          <t>c/ Las Cruzadas 3A, local D</t>
        </is>
      </c>
      <c r="D427" s="258" t="inlineStr">
        <is>
          <t>Sevilla 41004</t>
        </is>
      </c>
      <c r="E427" s="258" t="inlineStr">
        <is>
          <t>CIF B91938662</t>
        </is>
      </c>
      <c r="F427" s="258" t="inlineStr">
        <is>
          <t>aBalados@abalados.es</t>
        </is>
      </c>
      <c r="G427" s="258" t="inlineStr">
        <is>
          <t>Dehesa Asomadilla Inversiones S.L.U.</t>
        </is>
      </c>
      <c r="H427" s="258">
        <f>VLOOKUP($G427,DATOS!$B:$E,2,FALSE)</f>
        <v/>
      </c>
      <c r="I427" s="258">
        <f>VLOOKUP($G427,DATOS!$B:$E,3,FALSE)</f>
        <v/>
      </c>
      <c r="J427" s="258">
        <f>VLOOKUP($G427,DATOS!$B:$E,4,FALSE)</f>
        <v/>
      </c>
      <c r="K427" s="258" t="inlineStr">
        <is>
          <t>Honorarios - Contrato O&amp;M 4º Trimestre</t>
        </is>
      </c>
      <c r="L427" s="259" t="n">
        <v>34407.88317690637</v>
      </c>
      <c r="N427" s="259" t="n"/>
      <c r="P427" s="719" t="n"/>
      <c r="R427" s="259" t="n"/>
      <c r="T427" s="259" t="n"/>
      <c r="V427" s="259" t="n"/>
      <c r="X427" s="259" t="n"/>
      <c r="Y427" s="258" t="inlineStr">
        <is>
          <t>Gastos derivados de contrato (3,5%)</t>
        </is>
      </c>
      <c r="Z427" s="259">
        <f>(L427+N427+P427+R427+T427+V427+X427)*0.035</f>
        <v/>
      </c>
      <c r="AA427" s="259" t="n"/>
      <c r="AB427" s="260" t="inlineStr">
        <is>
          <t>ES85 2080 3509 1130 4009 6171</t>
        </is>
      </c>
      <c r="AC427" s="258" t="inlineStr">
        <is>
          <t>pendiente</t>
        </is>
      </c>
      <c r="AD427" s="259">
        <f>L427+N427+P427+R427+T427+V427+X427+Z427</f>
        <v/>
      </c>
      <c r="AE427" s="259">
        <f>IF((LEFT(K427,6))="Contab",L427,0)</f>
        <v/>
      </c>
      <c r="AF427" s="260">
        <f>VLOOKUP(G427,CLIENTES!B:E,4,FALSE)</f>
        <v/>
      </c>
      <c r="AG427" s="259">
        <f>AF427*AE427</f>
        <v/>
      </c>
      <c r="AH427" s="259">
        <f>AD427*1.21</f>
        <v/>
      </c>
      <c r="AI427" s="264">
        <f>IF(AE427&lt;&gt;0,AG427/AD427,"N/A")</f>
        <v/>
      </c>
      <c r="AJ427" s="259">
        <f>IF(AC427="pendiente",AD427,0)</f>
        <v/>
      </c>
      <c r="AK427" s="258">
        <f>VLOOKUP(G427,CLIENTES!B:D,3,FALSE)</f>
        <v/>
      </c>
      <c r="AL427" s="258" t="inlineStr">
        <is>
          <t>WOC_OM</t>
        </is>
      </c>
      <c r="AM427" s="258" t="inlineStr">
        <is>
          <t>Explotación</t>
        </is>
      </c>
    </row>
    <row r="428" ht="15" customHeight="1" s="700">
      <c r="A428" s="1">
        <f>A427+1</f>
        <v/>
      </c>
      <c r="B428" s="26" t="n">
        <v>45939</v>
      </c>
      <c r="C428" s="1" t="inlineStr">
        <is>
          <t>c/ Las Cruzadas 3A, local D</t>
        </is>
      </c>
      <c r="D428" s="1" t="inlineStr">
        <is>
          <t>Sevilla 41004</t>
        </is>
      </c>
      <c r="E428" s="1" t="inlineStr">
        <is>
          <t>CIF B91938662</t>
        </is>
      </c>
      <c r="F428" s="1" t="inlineStr">
        <is>
          <t>aBalados@abalados.es</t>
        </is>
      </c>
      <c r="G428" s="1" t="inlineStr">
        <is>
          <t>Asomadilla Solar 2007 S.L.U.</t>
        </is>
      </c>
      <c r="H428" s="1">
        <f>VLOOKUP($G428,DATOS!$B:$E,2,FALSE)</f>
        <v/>
      </c>
      <c r="I428" s="1">
        <f>VLOOKUP($G428,DATOS!$B:$E,3,FALSE)</f>
        <v/>
      </c>
      <c r="J428" s="1">
        <f>VLOOKUP($G428,DATOS!$B:$E,4,FALSE)</f>
        <v/>
      </c>
      <c r="K428" s="1" t="inlineStr">
        <is>
          <t>Honorarios - Contrato O&amp;M 4º Trimestre</t>
        </is>
      </c>
      <c r="L428" s="5" t="n">
        <v>22021.04523322008</v>
      </c>
      <c r="Y428" s="1" t="inlineStr">
        <is>
          <t>Gastos derivados de contrato (3,5%)</t>
        </is>
      </c>
      <c r="Z428" s="5">
        <f>(L428+N428+P428+R428+T428+V428+X428)*0.035</f>
        <v/>
      </c>
      <c r="AB428" s="6" t="inlineStr">
        <is>
          <t>ES85 2080 3509 1130 4009 6171</t>
        </is>
      </c>
      <c r="AC428" s="1" t="inlineStr">
        <is>
          <t>pendiente</t>
        </is>
      </c>
      <c r="AD428" s="5">
        <f>L428+N428+P428+R428+T428+V428+X428+Z428</f>
        <v/>
      </c>
      <c r="AE428" s="5">
        <f>IF((LEFT(K428,6))="Contab",L428,0)</f>
        <v/>
      </c>
      <c r="AF428" s="6">
        <f>VLOOKUP(G428,CLIENTES!B:E,4,FALSE)</f>
        <v/>
      </c>
      <c r="AG428" s="5">
        <f>AF428*AE428</f>
        <v/>
      </c>
      <c r="AH428" s="5">
        <f>AD428*1.21</f>
        <v/>
      </c>
      <c r="AI428" s="261">
        <f>IF(AE428&lt;&gt;0,AG428/AD428,"N/A")</f>
        <v/>
      </c>
      <c r="AJ428" s="5">
        <f>IF(AC428="pendiente",AD428,0)</f>
        <v/>
      </c>
      <c r="AK428" s="1">
        <f>VLOOKUP(G428,CLIENTES!B:D,3,FALSE)</f>
        <v/>
      </c>
      <c r="AL428" s="1" t="inlineStr">
        <is>
          <t>WOC_OM</t>
        </is>
      </c>
      <c r="AM428" s="1" t="inlineStr">
        <is>
          <t>Explotación</t>
        </is>
      </c>
    </row>
    <row r="429" ht="15" customHeight="1" s="700">
      <c r="A429" s="1">
        <f>A428+1</f>
        <v/>
      </c>
      <c r="B429" s="26" t="n">
        <v>45939</v>
      </c>
      <c r="C429" s="1" t="inlineStr">
        <is>
          <t>c/ Las Cruzadas 3A, local D</t>
        </is>
      </c>
      <c r="D429" s="1" t="inlineStr">
        <is>
          <t>Sevilla 41004</t>
        </is>
      </c>
      <c r="E429" s="1" t="inlineStr">
        <is>
          <t>CIF B91938662</t>
        </is>
      </c>
      <c r="F429" s="1" t="inlineStr">
        <is>
          <t>aBalados@abalados.es</t>
        </is>
      </c>
      <c r="G429" s="1" t="inlineStr">
        <is>
          <t>ES Garrovers Energía Solar S.L.U.</t>
        </is>
      </c>
      <c r="H429" s="1">
        <f>VLOOKUP($G429,DATOS!$B:$E,2,FALSE)</f>
        <v/>
      </c>
      <c r="I429" s="1">
        <f>VLOOKUP($G429,DATOS!$B:$E,3,FALSE)</f>
        <v/>
      </c>
      <c r="J429" s="1">
        <f>VLOOKUP($G429,DATOS!$B:$E,4,FALSE)</f>
        <v/>
      </c>
      <c r="K429" s="1" t="inlineStr">
        <is>
          <t>Honorarios - Contrato O&amp;M 4º Trimestre</t>
        </is>
      </c>
      <c r="L429" s="5" t="n">
        <v>25938.09378140574</v>
      </c>
      <c r="Y429" s="1" t="inlineStr">
        <is>
          <t>Gastos derivados de contrato (3,5%)</t>
        </is>
      </c>
      <c r="Z429" s="5">
        <f>(L429+N429+P429+R429+T429+V429+X429)*0.035</f>
        <v/>
      </c>
      <c r="AB429" s="6" t="inlineStr">
        <is>
          <t>ES85 2080 3509 1130 4009 6171</t>
        </is>
      </c>
      <c r="AC429" s="1" t="inlineStr">
        <is>
          <t>pendiente</t>
        </is>
      </c>
      <c r="AD429" s="5">
        <f>L429+N429+P429+R429+T429+V429+X429+Z429</f>
        <v/>
      </c>
      <c r="AE429" s="5">
        <f>IF((LEFT(K429,6))="Contab",L429,0)</f>
        <v/>
      </c>
      <c r="AF429" s="6">
        <f>VLOOKUP(G429,CLIENTES!B:E,4,FALSE)</f>
        <v/>
      </c>
      <c r="AG429" s="5">
        <f>AF429*AE429</f>
        <v/>
      </c>
      <c r="AH429" s="5">
        <f>AD429*1.21</f>
        <v/>
      </c>
      <c r="AI429" s="261">
        <f>IF(AE429&lt;&gt;0,AG429/AD429,"N/A")</f>
        <v/>
      </c>
      <c r="AJ429" s="5">
        <f>IF(AC429="pendiente",AD429,0)</f>
        <v/>
      </c>
      <c r="AK429" s="1">
        <f>VLOOKUP(G429,CLIENTES!B:D,3,FALSE)</f>
        <v/>
      </c>
      <c r="AL429" s="1" t="inlineStr">
        <is>
          <t>WOC_OM</t>
        </is>
      </c>
      <c r="AM429" s="1" t="inlineStr">
        <is>
          <t>Explotación</t>
        </is>
      </c>
    </row>
    <row r="430" ht="15" customHeight="1" s="700">
      <c r="A430" s="1">
        <f>A429+1</f>
        <v/>
      </c>
      <c r="B430" s="26" t="n">
        <v>45939</v>
      </c>
      <c r="C430" s="1" t="inlineStr">
        <is>
          <t>c/ Las Cruzadas 3A, local D</t>
        </is>
      </c>
      <c r="D430" s="1" t="inlineStr">
        <is>
          <t>Sevilla 41004</t>
        </is>
      </c>
      <c r="E430" s="1" t="inlineStr">
        <is>
          <t>CIF B91938662</t>
        </is>
      </c>
      <c r="F430" s="1" t="inlineStr">
        <is>
          <t>aBalados@abalados.es</t>
        </is>
      </c>
      <c r="G430" s="1" t="inlineStr">
        <is>
          <t>WOC Fotovoltaica España Proyecto Sollana S.L.U.</t>
        </is>
      </c>
      <c r="H430" s="1">
        <f>VLOOKUP($G430,DATOS!$B:$E,2,FALSE)</f>
        <v/>
      </c>
      <c r="I430" s="1">
        <f>VLOOKUP($G430,DATOS!$B:$E,3,FALSE)</f>
        <v/>
      </c>
      <c r="J430" s="1">
        <f>VLOOKUP($G430,DATOS!$B:$E,4,FALSE)</f>
        <v/>
      </c>
      <c r="K430" s="1" t="inlineStr">
        <is>
          <t>Honorarios - Contrato O&amp;M 4º Trimestre</t>
        </is>
      </c>
      <c r="L430" s="5" t="n">
        <v>14275.34438962105</v>
      </c>
      <c r="Y430" s="1" t="inlineStr">
        <is>
          <t>Gastos derivados de contrato (3,5%)</t>
        </is>
      </c>
      <c r="Z430" s="5">
        <f>(L430+N430+P430+R430+T430+V430+X430)*0.035</f>
        <v/>
      </c>
      <c r="AB430" s="6" t="inlineStr">
        <is>
          <t>ES85 2080 3509 1130 4009 6171</t>
        </is>
      </c>
      <c r="AC430" s="1" t="inlineStr">
        <is>
          <t>pagado</t>
        </is>
      </c>
      <c r="AD430" s="5">
        <f>L430+N430+P430+R430+T430+V430+X430+Z430</f>
        <v/>
      </c>
      <c r="AE430" s="5">
        <f>IF((LEFT(K430,6))="Contab",L430,0)</f>
        <v/>
      </c>
      <c r="AF430" s="6">
        <f>VLOOKUP(G430,CLIENTES!B:E,4,FALSE)</f>
        <v/>
      </c>
      <c r="AG430" s="5">
        <f>AF430*AE430</f>
        <v/>
      </c>
      <c r="AH430" s="5">
        <f>AD430*1.21</f>
        <v/>
      </c>
      <c r="AI430" s="261">
        <f>IF(AE430&lt;&gt;0,AG430/AD430,"N/A")</f>
        <v/>
      </c>
      <c r="AJ430" s="5">
        <f>IF(AC430="pendiente",AD430,0)</f>
        <v/>
      </c>
      <c r="AK430" s="1">
        <f>VLOOKUP(G430,CLIENTES!B:D,3,FALSE)</f>
        <v/>
      </c>
      <c r="AL430" s="1" t="inlineStr">
        <is>
          <t>WOC_OM</t>
        </is>
      </c>
      <c r="AM430" s="1" t="inlineStr">
        <is>
          <t>Explotación</t>
        </is>
      </c>
    </row>
    <row r="431" ht="15" customHeight="1" s="700">
      <c r="A431" s="1">
        <f>A430+1</f>
        <v/>
      </c>
      <c r="B431" s="26" t="n">
        <v>45939</v>
      </c>
      <c r="C431" s="1" t="inlineStr">
        <is>
          <t>c/ Las Cruzadas 3A, local D</t>
        </is>
      </c>
      <c r="D431" s="1" t="inlineStr">
        <is>
          <t>Sevilla 41004</t>
        </is>
      </c>
      <c r="E431" s="1" t="inlineStr">
        <is>
          <t>CIF B91938662</t>
        </is>
      </c>
      <c r="F431" s="1" t="inlineStr">
        <is>
          <t>aBalados@abalados.es</t>
        </is>
      </c>
      <c r="G431" s="1" t="inlineStr">
        <is>
          <t>Inversión Cubiertas Solares S.L.U.</t>
        </is>
      </c>
      <c r="H431" s="1">
        <f>VLOOKUP($G431,DATOS!$B:$E,2,FALSE)</f>
        <v/>
      </c>
      <c r="I431" s="1">
        <f>VLOOKUP($G431,DATOS!$B:$E,3,FALSE)</f>
        <v/>
      </c>
      <c r="J431" s="1">
        <f>VLOOKUP($G431,DATOS!$B:$E,4,FALSE)</f>
        <v/>
      </c>
      <c r="K431" s="1" t="inlineStr">
        <is>
          <t>Honorarios - Contrato O&amp;M 4º Trimestre</t>
        </is>
      </c>
      <c r="L431" s="5" t="n">
        <v>1523.175263130934</v>
      </c>
      <c r="Y431" s="1" t="inlineStr">
        <is>
          <t>Gastos derivados de contrato (3,5%)</t>
        </is>
      </c>
      <c r="Z431" s="5">
        <f>(L431+N431+P431+R431+T431+V431+X431)*0.035</f>
        <v/>
      </c>
      <c r="AB431" s="6" t="inlineStr">
        <is>
          <t>ES85 2080 3509 1130 4009 6171</t>
        </is>
      </c>
      <c r="AC431" s="1" t="inlineStr">
        <is>
          <t>pendiente</t>
        </is>
      </c>
      <c r="AD431" s="5">
        <f>L431+N431+P431+R431+T431+V431+X431+Z431</f>
        <v/>
      </c>
      <c r="AE431" s="5">
        <f>IF((LEFT(K431,6))="Contab",L431,0)</f>
        <v/>
      </c>
      <c r="AF431" s="6">
        <f>VLOOKUP(G431,CLIENTES!B:E,4,FALSE)</f>
        <v/>
      </c>
      <c r="AG431" s="5">
        <f>AF431*AE431</f>
        <v/>
      </c>
      <c r="AH431" s="5">
        <f>AD431*1.21</f>
        <v/>
      </c>
      <c r="AI431" s="261">
        <f>IF(AE431&lt;&gt;0,AG431/AD431,"N/A")</f>
        <v/>
      </c>
      <c r="AJ431" s="5">
        <f>IF(AC431="pendiente",AD431,0)</f>
        <v/>
      </c>
      <c r="AK431" s="1">
        <f>VLOOKUP(G431,CLIENTES!B:D,3,FALSE)</f>
        <v/>
      </c>
      <c r="AL431" s="1" t="inlineStr">
        <is>
          <t>WOC_OM</t>
        </is>
      </c>
      <c r="AM431" s="1" t="inlineStr">
        <is>
          <t>Explotación</t>
        </is>
      </c>
    </row>
    <row r="432" ht="15" customHeight="1" s="700">
      <c r="A432" s="1">
        <f>A431+1</f>
        <v/>
      </c>
      <c r="B432" s="26" t="n">
        <v>45939</v>
      </c>
      <c r="C432" s="1" t="inlineStr">
        <is>
          <t>c/ Las Cruzadas 3A, local D</t>
        </is>
      </c>
      <c r="D432" s="1" t="inlineStr">
        <is>
          <t>Sevilla 41004</t>
        </is>
      </c>
      <c r="E432" s="1" t="inlineStr">
        <is>
          <t>CIF B91938662</t>
        </is>
      </c>
      <c r="F432" s="1" t="inlineStr">
        <is>
          <t>aBalados@abalados.es</t>
        </is>
      </c>
      <c r="G432" s="1" t="inlineStr">
        <is>
          <t>Lugec Inversión Solar S.L.U.</t>
        </is>
      </c>
      <c r="H432" s="1">
        <f>VLOOKUP($G432,DATOS!$B:$E,2,FALSE)</f>
        <v/>
      </c>
      <c r="I432" s="1">
        <f>VLOOKUP($G432,DATOS!$B:$E,3,FALSE)</f>
        <v/>
      </c>
      <c r="J432" s="1">
        <f>VLOOKUP($G432,DATOS!$B:$E,4,FALSE)</f>
        <v/>
      </c>
      <c r="K432" s="1" t="inlineStr">
        <is>
          <t>Honorarios - Contrato O&amp;M 4º Trimestre</t>
        </is>
      </c>
      <c r="L432" s="5" t="n">
        <v>4114.18727134347</v>
      </c>
      <c r="Y432" s="1" t="inlineStr">
        <is>
          <t>Gastos derivados de contrato (3,5%)</t>
        </is>
      </c>
      <c r="Z432" s="5">
        <f>(L432+N432+P432+R432+T432+V432+X432)*0.035</f>
        <v/>
      </c>
      <c r="AB432" s="6" t="inlineStr">
        <is>
          <t>ES85 2080 3509 1130 4009 6171</t>
        </is>
      </c>
      <c r="AC432" s="1" t="inlineStr">
        <is>
          <t>pagado</t>
        </is>
      </c>
      <c r="AD432" s="5">
        <f>L432+N432+P432+R432+T432+V432+X432+Z432</f>
        <v/>
      </c>
      <c r="AE432" s="5">
        <f>IF((LEFT(K432,6))="Contab",L432,0)</f>
        <v/>
      </c>
      <c r="AF432" s="6">
        <f>VLOOKUP(G432,CLIENTES!B:E,4,FALSE)</f>
        <v/>
      </c>
      <c r="AG432" s="5">
        <f>AF432*AE432</f>
        <v/>
      </c>
      <c r="AH432" s="5">
        <f>AD432*1.21</f>
        <v/>
      </c>
      <c r="AI432" s="261">
        <f>IF(AE432&lt;&gt;0,AG432/AD432,"N/A")</f>
        <v/>
      </c>
      <c r="AJ432" s="5">
        <f>IF(AC432="pendiente",AD432,0)</f>
        <v/>
      </c>
      <c r="AK432" s="1">
        <f>VLOOKUP(G432,CLIENTES!B:D,3,FALSE)</f>
        <v/>
      </c>
      <c r="AL432" s="1" t="inlineStr">
        <is>
          <t>WOC_OM</t>
        </is>
      </c>
      <c r="AM432" s="1" t="inlineStr">
        <is>
          <t>Explotación</t>
        </is>
      </c>
    </row>
    <row r="433" ht="15" customHeight="1" s="700">
      <c r="A433" s="1">
        <f>A432+1</f>
        <v/>
      </c>
      <c r="B433" s="26" t="n">
        <v>45939</v>
      </c>
      <c r="C433" s="1" t="inlineStr">
        <is>
          <t>c/ Las Cruzadas 3A, local D</t>
        </is>
      </c>
      <c r="D433" s="1" t="inlineStr">
        <is>
          <t>Sevilla 41004</t>
        </is>
      </c>
      <c r="E433" s="1" t="inlineStr">
        <is>
          <t>CIF B91938662</t>
        </is>
      </c>
      <c r="F433" s="1" t="inlineStr">
        <is>
          <t>aBalados@abalados.es</t>
        </is>
      </c>
      <c r="G433" s="1" t="inlineStr">
        <is>
          <t>Agrupación Solar el Algarrobo I, S.L.U.</t>
        </is>
      </c>
      <c r="H433" s="1">
        <f>VLOOKUP($G433,DATOS!$B:$E,2,FALSE)</f>
        <v/>
      </c>
      <c r="I433" s="1">
        <f>VLOOKUP($G433,DATOS!$B:$E,3,FALSE)</f>
        <v/>
      </c>
      <c r="J433" s="1">
        <f>VLOOKUP($G433,DATOS!$B:$E,4,FALSE)</f>
        <v/>
      </c>
      <c r="K433" s="1" t="inlineStr">
        <is>
          <t>Honorarios - Contrato O&amp;M 4º Trimestre</t>
        </is>
      </c>
      <c r="L433" s="5" t="n">
        <v>11723.97979537169</v>
      </c>
      <c r="M433" s="1" t="inlineStr">
        <is>
          <t>Garantía 30% (dotada en 2017)</t>
        </is>
      </c>
      <c r="Y433" s="1" t="inlineStr">
        <is>
          <t>Gastos derivados de contrato (3,5%)</t>
        </is>
      </c>
      <c r="Z433" s="5">
        <f>(L433+N433+P433+R433+T433+V433+X433)*0.035</f>
        <v/>
      </c>
      <c r="AB433" s="6" t="inlineStr">
        <is>
          <t>ES85 2080 3509 1130 4009 6171</t>
        </is>
      </c>
      <c r="AC433" s="1" t="inlineStr">
        <is>
          <t>pendiente</t>
        </is>
      </c>
      <c r="AD433" s="5">
        <f>L433+N433+P433+R433+T433+V433+X433+Z433</f>
        <v/>
      </c>
      <c r="AE433" s="5">
        <f>IF((LEFT(K433,6))="Contab",L433,0)</f>
        <v/>
      </c>
      <c r="AF433" s="6">
        <f>VLOOKUP(G433,CLIENTES!B:E,4,FALSE)</f>
        <v/>
      </c>
      <c r="AG433" s="5">
        <f>AF433*AE433</f>
        <v/>
      </c>
      <c r="AH433" s="5">
        <f>AD433*1.21</f>
        <v/>
      </c>
      <c r="AI433" s="261">
        <f>IF(AE433&lt;&gt;0,AG433/AD433,"N/A")</f>
        <v/>
      </c>
      <c r="AJ433" s="5">
        <f>IF(AC433="pendiente",AD433,0)</f>
        <v/>
      </c>
      <c r="AK433" s="1">
        <f>VLOOKUP(G433,CLIENTES!B:D,3,FALSE)</f>
        <v/>
      </c>
      <c r="AL433" s="1" t="inlineStr">
        <is>
          <t>WOC_OM</t>
        </is>
      </c>
      <c r="AM433" s="1" t="inlineStr">
        <is>
          <t>Explotación</t>
        </is>
      </c>
    </row>
    <row r="434" ht="15" customHeight="1" s="700">
      <c r="A434" s="1">
        <f>A433+1</f>
        <v/>
      </c>
      <c r="B434" s="26" t="n">
        <v>45939</v>
      </c>
      <c r="C434" s="1" t="inlineStr">
        <is>
          <t>c/ Las Cruzadas 3A, local D</t>
        </is>
      </c>
      <c r="D434" s="1" t="inlineStr">
        <is>
          <t>Sevilla 41004</t>
        </is>
      </c>
      <c r="E434" s="1" t="inlineStr">
        <is>
          <t>CIF B91938662</t>
        </is>
      </c>
      <c r="F434" s="1" t="inlineStr">
        <is>
          <t>aBalados@abalados.es</t>
        </is>
      </c>
      <c r="G434" s="1" t="inlineStr">
        <is>
          <t>Agrupación Solar el Algarrobo II, S.L.U.</t>
        </is>
      </c>
      <c r="H434" s="1">
        <f>VLOOKUP($G434,DATOS!$B:$E,2,FALSE)</f>
        <v/>
      </c>
      <c r="I434" s="1">
        <f>VLOOKUP($G434,DATOS!$B:$E,3,FALSE)</f>
        <v/>
      </c>
      <c r="J434" s="1">
        <f>VLOOKUP($G434,DATOS!$B:$E,4,FALSE)</f>
        <v/>
      </c>
      <c r="K434" s="1" t="inlineStr">
        <is>
          <t>Honorarios - Contrato O&amp;M 4º Trimestre</t>
        </is>
      </c>
      <c r="L434" s="5" t="n">
        <v>11723.97979537169</v>
      </c>
      <c r="M434" s="1" t="inlineStr">
        <is>
          <t>Garantía 30% (dotada en 2017)</t>
        </is>
      </c>
      <c r="Y434" s="1" t="inlineStr">
        <is>
          <t>Gastos derivados de contrato (3,5%)</t>
        </is>
      </c>
      <c r="Z434" s="5">
        <f>(L434+N434+P434+R434+T434+V434+X434)*0.035</f>
        <v/>
      </c>
      <c r="AB434" s="6" t="inlineStr">
        <is>
          <t>ES85 2080 3509 1130 4009 6171</t>
        </is>
      </c>
      <c r="AC434" s="1" t="inlineStr">
        <is>
          <t>pendiente</t>
        </is>
      </c>
      <c r="AD434" s="5">
        <f>L434+N434+P434+R434+T434+V434+X434+Z434</f>
        <v/>
      </c>
      <c r="AE434" s="5">
        <f>IF((LEFT(K434,6))="Contab",L434,0)</f>
        <v/>
      </c>
      <c r="AF434" s="6">
        <f>VLOOKUP(G434,CLIENTES!B:E,4,FALSE)</f>
        <v/>
      </c>
      <c r="AG434" s="5">
        <f>AF434*AE434</f>
        <v/>
      </c>
      <c r="AH434" s="5">
        <f>AD434*1.21</f>
        <v/>
      </c>
      <c r="AI434" s="261">
        <f>IF(AE434&lt;&gt;0,AG434/AD434,"N/A")</f>
        <v/>
      </c>
      <c r="AJ434" s="5">
        <f>IF(AC434="pendiente",AD434,0)</f>
        <v/>
      </c>
      <c r="AK434" s="1">
        <f>VLOOKUP(G434,CLIENTES!B:D,3,FALSE)</f>
        <v/>
      </c>
      <c r="AL434" s="1" t="inlineStr">
        <is>
          <t>WOC_OM</t>
        </is>
      </c>
      <c r="AM434" s="1" t="inlineStr">
        <is>
          <t>Explotación</t>
        </is>
      </c>
    </row>
    <row r="435" ht="15" customHeight="1" s="700">
      <c r="A435" s="1">
        <f>A434+1</f>
        <v/>
      </c>
      <c r="B435" s="26" t="n">
        <v>45939</v>
      </c>
      <c r="C435" s="1" t="inlineStr">
        <is>
          <t>c/ Las Cruzadas 3A, local D</t>
        </is>
      </c>
      <c r="D435" s="1" t="inlineStr">
        <is>
          <t>Sevilla 41004</t>
        </is>
      </c>
      <c r="E435" s="1" t="inlineStr">
        <is>
          <t>CIF B91938662</t>
        </is>
      </c>
      <c r="F435" s="1" t="inlineStr">
        <is>
          <t>aBalados@abalados.es</t>
        </is>
      </c>
      <c r="G435" s="1" t="inlineStr">
        <is>
          <t>Agrupación Solar el Algarrobo III, S.L.U.</t>
        </is>
      </c>
      <c r="H435" s="1">
        <f>VLOOKUP($G435,DATOS!$B:$E,2,FALSE)</f>
        <v/>
      </c>
      <c r="I435" s="1">
        <f>VLOOKUP($G435,DATOS!$B:$E,3,FALSE)</f>
        <v/>
      </c>
      <c r="J435" s="1">
        <f>VLOOKUP($G435,DATOS!$B:$E,4,FALSE)</f>
        <v/>
      </c>
      <c r="K435" s="1" t="inlineStr">
        <is>
          <t>Honorarios - Contrato O&amp;M 4º Trimestre</t>
        </is>
      </c>
      <c r="L435" s="5" t="n">
        <v>10607.41029105058</v>
      </c>
      <c r="M435" s="1" t="inlineStr">
        <is>
          <t>Garantía 30% (dotada en 2017)</t>
        </is>
      </c>
      <c r="Y435" s="1" t="inlineStr">
        <is>
          <t>Gastos derivados de contrato (3,5%)</t>
        </is>
      </c>
      <c r="Z435" s="5">
        <f>(L435+N435+P435+R435+T435+V435+X435)*0.035</f>
        <v/>
      </c>
      <c r="AB435" s="6" t="inlineStr">
        <is>
          <t>ES85 2080 3509 1130 4009 6171</t>
        </is>
      </c>
      <c r="AC435" s="1" t="inlineStr">
        <is>
          <t>pendiente</t>
        </is>
      </c>
      <c r="AD435" s="5">
        <f>L435+N435+P435+R435+T435+V435+X435+Z435</f>
        <v/>
      </c>
      <c r="AE435" s="5">
        <f>IF((LEFT(K435,6))="Contab",L435,0)</f>
        <v/>
      </c>
      <c r="AF435" s="6">
        <f>VLOOKUP(G435,CLIENTES!B:E,4,FALSE)</f>
        <v/>
      </c>
      <c r="AG435" s="5">
        <f>AF435*AE435</f>
        <v/>
      </c>
      <c r="AH435" s="5">
        <f>AD435*1.21</f>
        <v/>
      </c>
      <c r="AI435" s="261">
        <f>IF(AE435&lt;&gt;0,AG435/AD435,"N/A")</f>
        <v/>
      </c>
      <c r="AJ435" s="5">
        <f>IF(AC435="pendiente",AD435,0)</f>
        <v/>
      </c>
      <c r="AK435" s="1">
        <f>VLOOKUP(G435,CLIENTES!B:D,3,FALSE)</f>
        <v/>
      </c>
      <c r="AL435" s="1" t="inlineStr">
        <is>
          <t>WOC_OM</t>
        </is>
      </c>
      <c r="AM435" s="1" t="inlineStr">
        <is>
          <t>Explotación</t>
        </is>
      </c>
    </row>
    <row r="436" ht="15" customHeight="1" s="700">
      <c r="A436" s="1">
        <f>A435+1</f>
        <v/>
      </c>
      <c r="B436" s="26" t="n">
        <v>45939</v>
      </c>
      <c r="C436" s="1" t="inlineStr">
        <is>
          <t>c/ Las Cruzadas 3A, local D</t>
        </is>
      </c>
      <c r="D436" s="1" t="inlineStr">
        <is>
          <t>Sevilla 41004</t>
        </is>
      </c>
      <c r="E436" s="1" t="inlineStr">
        <is>
          <t>CIF B91938662</t>
        </is>
      </c>
      <c r="F436" s="1" t="inlineStr">
        <is>
          <t>aBalados@abalados.es</t>
        </is>
      </c>
      <c r="G436" s="1" t="inlineStr">
        <is>
          <t>Locaba Solar S.L.U.</t>
        </is>
      </c>
      <c r="H436" s="1">
        <f>VLOOKUP($G436,DATOS!$B:$E,2,FALSE)</f>
        <v/>
      </c>
      <c r="I436" s="1">
        <f>VLOOKUP($G436,DATOS!$B:$E,3,FALSE)</f>
        <v/>
      </c>
      <c r="J436" s="1">
        <f>VLOOKUP($G436,DATOS!$B:$E,4,FALSE)</f>
        <v/>
      </c>
      <c r="K436" s="1" t="inlineStr">
        <is>
          <t>Honorarios - Contrato O&amp;M 4º Trimestre</t>
        </is>
      </c>
      <c r="L436" s="5" t="n">
        <v>23317.4514668617</v>
      </c>
      <c r="M436" s="1" t="inlineStr">
        <is>
          <t>Garantía 30% (dotada en 2017)</t>
        </is>
      </c>
      <c r="Y436" s="1" t="inlineStr">
        <is>
          <t>Gastos derivados de contrato (3,5%)</t>
        </is>
      </c>
      <c r="Z436" s="5">
        <f>(L436+N436+P436+R436+T436+V436+X436)*0.035</f>
        <v/>
      </c>
      <c r="AB436" s="6" t="inlineStr">
        <is>
          <t>ES85 2080 3509 1130 4009 6171</t>
        </is>
      </c>
      <c r="AC436" s="1" t="inlineStr">
        <is>
          <t>pagado</t>
        </is>
      </c>
      <c r="AD436" s="5">
        <f>L436+N436+P436+R436+T436+V436+X436+Z436</f>
        <v/>
      </c>
      <c r="AE436" s="5">
        <f>IF((LEFT(K436,6))="Contab",L436,0)</f>
        <v/>
      </c>
      <c r="AF436" s="6">
        <f>VLOOKUP(G436,CLIENTES!B:E,4,FALSE)</f>
        <v/>
      </c>
      <c r="AG436" s="5">
        <f>AF436*AE436</f>
        <v/>
      </c>
      <c r="AH436" s="5">
        <f>AD436*1.21</f>
        <v/>
      </c>
      <c r="AI436" s="261">
        <f>IF(AE436&lt;&gt;0,AG436/AD436,"N/A")</f>
        <v/>
      </c>
      <c r="AJ436" s="5">
        <f>IF(AC436="pendiente",AD436,0)</f>
        <v/>
      </c>
      <c r="AK436" s="1">
        <f>VLOOKUP(G436,CLIENTES!B:D,3,FALSE)</f>
        <v/>
      </c>
      <c r="AL436" s="1" t="inlineStr">
        <is>
          <t>WOC_OM</t>
        </is>
      </c>
      <c r="AM436" s="1" t="inlineStr">
        <is>
          <t>Explotación</t>
        </is>
      </c>
    </row>
    <row r="437" ht="15" customHeight="1" s="700">
      <c r="A437" s="1">
        <f>A436+1</f>
        <v/>
      </c>
      <c r="B437" s="26" t="n">
        <v>45939</v>
      </c>
      <c r="C437" s="1" t="inlineStr">
        <is>
          <t>c/ Las Cruzadas 3A, local D</t>
        </is>
      </c>
      <c r="D437" s="1" t="inlineStr">
        <is>
          <t>Sevilla 41004</t>
        </is>
      </c>
      <c r="E437" s="1" t="inlineStr">
        <is>
          <t>CIF B91938662</t>
        </is>
      </c>
      <c r="F437" s="1" t="inlineStr">
        <is>
          <t>aBalados@abalados.es</t>
        </is>
      </c>
      <c r="G437" s="1" t="inlineStr">
        <is>
          <t>Lo Illán Parque Solar S.L.U.</t>
        </is>
      </c>
      <c r="H437" s="1">
        <f>VLOOKUP($G437,DATOS!$B:$E,2,FALSE)</f>
        <v/>
      </c>
      <c r="I437" s="1">
        <f>VLOOKUP($G437,DATOS!$B:$E,3,FALSE)</f>
        <v/>
      </c>
      <c r="J437" s="1">
        <f>VLOOKUP($G437,DATOS!$B:$E,4,FALSE)</f>
        <v/>
      </c>
      <c r="K437" s="1" t="inlineStr">
        <is>
          <t>Honorarios - Contrato O&amp;M 4º Trimestre</t>
        </is>
      </c>
      <c r="L437" s="5" t="n">
        <v>11549.82679197542</v>
      </c>
      <c r="Y437" s="1" t="inlineStr">
        <is>
          <t>Gastos derivados de contrato (3,5%)</t>
        </is>
      </c>
      <c r="Z437" s="5">
        <f>(L437+N437+P437+R437+T437+V437+X437)*0.035</f>
        <v/>
      </c>
      <c r="AB437" s="6" t="inlineStr">
        <is>
          <t>ES85 2080 3509 1130 4009 6171</t>
        </is>
      </c>
      <c r="AC437" s="1" t="inlineStr">
        <is>
          <t>pagado</t>
        </is>
      </c>
      <c r="AD437" s="5">
        <f>L437+N437+P437+R437+T437+V437+X437+Z437</f>
        <v/>
      </c>
      <c r="AE437" s="5">
        <f>IF((LEFT(K437,6))="Contab",L437,0)</f>
        <v/>
      </c>
      <c r="AF437" s="6">
        <f>VLOOKUP(G437,CLIENTES!B:E,4,FALSE)</f>
        <v/>
      </c>
      <c r="AG437" s="5">
        <f>AF437*AE437</f>
        <v/>
      </c>
      <c r="AH437" s="5">
        <f>AD437*1.21</f>
        <v/>
      </c>
      <c r="AI437" s="261">
        <f>IF(AE437&lt;&gt;0,AG437/AD437,"N/A")</f>
        <v/>
      </c>
      <c r="AJ437" s="5">
        <f>IF(AC437="pendiente",AD437,0)</f>
        <v/>
      </c>
      <c r="AK437" s="1">
        <f>VLOOKUP(G437,CLIENTES!B:D,3,FALSE)</f>
        <v/>
      </c>
      <c r="AL437" s="1" t="inlineStr">
        <is>
          <t>WOC_OM</t>
        </is>
      </c>
      <c r="AM437" s="1" t="inlineStr">
        <is>
          <t>Explotación</t>
        </is>
      </c>
    </row>
    <row r="438" ht="15" customHeight="1" s="700">
      <c r="A438" s="1">
        <f>A437+1</f>
        <v/>
      </c>
      <c r="B438" s="26" t="n">
        <v>45939</v>
      </c>
      <c r="C438" s="1" t="inlineStr">
        <is>
          <t>c/ Las Cruzadas 3A, local D</t>
        </is>
      </c>
      <c r="D438" s="1" t="inlineStr">
        <is>
          <t>Sevilla 41004</t>
        </is>
      </c>
      <c r="E438" s="1" t="inlineStr">
        <is>
          <t>CIF B91938662</t>
        </is>
      </c>
      <c r="F438" s="1" t="inlineStr">
        <is>
          <t>aBalados@abalados.es</t>
        </is>
      </c>
      <c r="G438" s="1" t="inlineStr">
        <is>
          <t>Contreras Parque Solar S.L.U.</t>
        </is>
      </c>
      <c r="H438" s="1">
        <f>VLOOKUP($G438,DATOS!$B:$E,2,FALSE)</f>
        <v/>
      </c>
      <c r="I438" s="1">
        <f>VLOOKUP($G438,DATOS!$B:$E,3,FALSE)</f>
        <v/>
      </c>
      <c r="J438" s="1">
        <f>VLOOKUP($G438,DATOS!$B:$E,4,FALSE)</f>
        <v/>
      </c>
      <c r="K438" s="1" t="inlineStr">
        <is>
          <t>Honorarios - Contrato O&amp;M 4º Trimestre</t>
        </is>
      </c>
      <c r="L438" s="5" t="n">
        <v>17598.58545360271</v>
      </c>
      <c r="Y438" s="1" t="inlineStr">
        <is>
          <t>Gastos derivados de contrato (3,5%)</t>
        </is>
      </c>
      <c r="Z438" s="5">
        <f>(L438+N438+P438+R438+T438+V438+X438)*0.035</f>
        <v/>
      </c>
      <c r="AB438" s="6" t="inlineStr">
        <is>
          <t>ES85 2080 3509 1130 4009 6171</t>
        </is>
      </c>
      <c r="AC438" s="1" t="inlineStr">
        <is>
          <t>pagado</t>
        </is>
      </c>
      <c r="AD438" s="5">
        <f>L438+N438+P438+R438+T438+V438+X438+Z438</f>
        <v/>
      </c>
      <c r="AE438" s="5">
        <f>IF((LEFT(K438,6))="Contab",L438,0)</f>
        <v/>
      </c>
      <c r="AF438" s="6">
        <f>VLOOKUP(G438,CLIENTES!B:E,4,FALSE)</f>
        <v/>
      </c>
      <c r="AG438" s="5">
        <f>AF438*AE438</f>
        <v/>
      </c>
      <c r="AH438" s="5">
        <f>AD438*1.21</f>
        <v/>
      </c>
      <c r="AI438" s="261">
        <f>IF(AE438&lt;&gt;0,AG438/AD438,"N/A")</f>
        <v/>
      </c>
      <c r="AJ438" s="5">
        <f>IF(AC438="pendiente",AD438,0)</f>
        <v/>
      </c>
      <c r="AK438" s="1">
        <f>VLOOKUP(G438,CLIENTES!B:D,3,FALSE)</f>
        <v/>
      </c>
      <c r="AL438" s="1" t="inlineStr">
        <is>
          <t>WOC_OM</t>
        </is>
      </c>
      <c r="AM438" s="1" t="inlineStr">
        <is>
          <t>Explotación</t>
        </is>
      </c>
    </row>
    <row r="439" ht="15" customHeight="1" s="700">
      <c r="A439" s="1">
        <f>A438+1</f>
        <v/>
      </c>
      <c r="B439" s="26" t="n">
        <v>45939</v>
      </c>
      <c r="C439" s="1" t="inlineStr">
        <is>
          <t>c/ Las Cruzadas 3A, local D</t>
        </is>
      </c>
      <c r="D439" s="1" t="inlineStr">
        <is>
          <t>Sevilla 41004</t>
        </is>
      </c>
      <c r="E439" s="1" t="inlineStr">
        <is>
          <t>CIF B91938662</t>
        </is>
      </c>
      <c r="F439" s="1" t="inlineStr">
        <is>
          <t>aBalados@abalados.es</t>
        </is>
      </c>
      <c r="G439" s="1" t="inlineStr">
        <is>
          <t>Turbinto Parque Solar S.L.U.</t>
        </is>
      </c>
      <c r="H439" s="1">
        <f>VLOOKUP($G439,DATOS!$B:$E,2,FALSE)</f>
        <v/>
      </c>
      <c r="I439" s="1">
        <f>VLOOKUP($G439,DATOS!$B:$E,3,FALSE)</f>
        <v/>
      </c>
      <c r="J439" s="1">
        <f>VLOOKUP($G439,DATOS!$B:$E,4,FALSE)</f>
        <v/>
      </c>
      <c r="K439" s="1" t="inlineStr">
        <is>
          <t>Honorarios - Contrato O&amp;M 4º Trimestre</t>
        </is>
      </c>
      <c r="L439" s="5" t="n">
        <v>12539.49552772436</v>
      </c>
      <c r="Y439" s="1" t="inlineStr">
        <is>
          <t>Gastos derivados de contrato (3,5%)</t>
        </is>
      </c>
      <c r="Z439" s="5">
        <f>(L439+N439+P439+R439+T439+V439+X439)*0.035</f>
        <v/>
      </c>
      <c r="AB439" s="6" t="inlineStr">
        <is>
          <t>ES85 2080 3509 1130 4009 6171</t>
        </is>
      </c>
      <c r="AC439" s="1" t="inlineStr">
        <is>
          <t>pagado</t>
        </is>
      </c>
      <c r="AD439" s="5">
        <f>L439+N439+P439+R439+T439+V439+X439+Z439</f>
        <v/>
      </c>
      <c r="AE439" s="5">
        <f>IF((LEFT(K439,6))="Contab",L439,0)</f>
        <v/>
      </c>
      <c r="AF439" s="6">
        <f>VLOOKUP(G439,CLIENTES!B:E,4,FALSE)</f>
        <v/>
      </c>
      <c r="AG439" s="5">
        <f>AF439*AE439</f>
        <v/>
      </c>
      <c r="AH439" s="5">
        <f>AD439*1.21</f>
        <v/>
      </c>
      <c r="AI439" s="261">
        <f>IF(AE439&lt;&gt;0,AG439/AD439,"N/A")</f>
        <v/>
      </c>
      <c r="AJ439" s="5">
        <f>IF(AC439="pendiente",AD439,0)</f>
        <v/>
      </c>
      <c r="AK439" s="1">
        <f>VLOOKUP(G439,CLIENTES!B:D,3,FALSE)</f>
        <v/>
      </c>
      <c r="AL439" s="1" t="inlineStr">
        <is>
          <t>WOC_OM</t>
        </is>
      </c>
      <c r="AM439" s="1" t="inlineStr">
        <is>
          <t>Explotación</t>
        </is>
      </c>
    </row>
    <row r="440" ht="15" customHeight="1" s="700">
      <c r="A440" s="1">
        <f>A439+1</f>
        <v/>
      </c>
      <c r="B440" s="26" t="n">
        <v>45939</v>
      </c>
      <c r="C440" s="1" t="inlineStr">
        <is>
          <t>c/ Las Cruzadas 3A, local D</t>
        </is>
      </c>
      <c r="D440" s="1" t="inlineStr">
        <is>
          <t>Sevilla 41004</t>
        </is>
      </c>
      <c r="E440" s="1" t="inlineStr">
        <is>
          <t>CIF B91938662</t>
        </is>
      </c>
      <c r="F440" s="1" t="inlineStr">
        <is>
          <t>aBalados@abalados.es</t>
        </is>
      </c>
      <c r="G440" s="1" t="inlineStr">
        <is>
          <t>Solar Photo Collect S.L.U.</t>
        </is>
      </c>
      <c r="H440" s="1">
        <f>VLOOKUP($G440,DATOS!$B:$E,2,FALSE)</f>
        <v/>
      </c>
      <c r="I440" s="1">
        <f>VLOOKUP($G440,DATOS!$B:$E,3,FALSE)</f>
        <v/>
      </c>
      <c r="J440" s="1">
        <f>VLOOKUP($G440,DATOS!$B:$E,4,FALSE)</f>
        <v/>
      </c>
      <c r="K440" s="1" t="inlineStr">
        <is>
          <t>Honorarios - Contrato O&amp;M 4º Trimestre</t>
        </is>
      </c>
      <c r="L440" s="5" t="n">
        <v>16745.12613288354</v>
      </c>
      <c r="Y440" s="1" t="inlineStr">
        <is>
          <t>Gastos derivados de contrato (3,5%)</t>
        </is>
      </c>
      <c r="Z440" s="5">
        <f>(L440+N440+P440+R440+T440+V440+X440)*0.035</f>
        <v/>
      </c>
      <c r="AB440" s="6" t="inlineStr">
        <is>
          <t>ES85 2080 3509 1130 4009 6171</t>
        </is>
      </c>
      <c r="AC440" s="1" t="inlineStr">
        <is>
          <t>pendiente</t>
        </is>
      </c>
      <c r="AD440" s="5">
        <f>L440+N440+P440+R440+T440+V440+X440+Z440</f>
        <v/>
      </c>
      <c r="AE440" s="5">
        <f>IF((LEFT(K440,6))="Contab",L440,0)</f>
        <v/>
      </c>
      <c r="AF440" s="6">
        <f>VLOOKUP(G440,CLIENTES!B:E,4,FALSE)</f>
        <v/>
      </c>
      <c r="AG440" s="5">
        <f>AF440*AE440</f>
        <v/>
      </c>
      <c r="AH440" s="5">
        <f>AD440*1.21</f>
        <v/>
      </c>
      <c r="AI440" s="261">
        <f>IF(AE440&lt;&gt;0,AG440/AD440,"N/A")</f>
        <v/>
      </c>
      <c r="AJ440" s="5">
        <f>IF(AC440="pendiente",AD440,0)</f>
        <v/>
      </c>
      <c r="AK440" s="1">
        <f>VLOOKUP(G440,CLIENTES!B:D,3,FALSE)</f>
        <v/>
      </c>
      <c r="AL440" s="1" t="inlineStr">
        <is>
          <t>WOC_OM</t>
        </is>
      </c>
      <c r="AM440" s="1" t="inlineStr">
        <is>
          <t>Explotación</t>
        </is>
      </c>
    </row>
    <row r="441" ht="15" customHeight="1" s="700">
      <c r="A441" s="1">
        <f>A440+1</f>
        <v/>
      </c>
      <c r="B441" s="26" t="n">
        <v>45939</v>
      </c>
      <c r="C441" s="1" t="inlineStr">
        <is>
          <t>c/ Las Cruzadas 3A, local D</t>
        </is>
      </c>
      <c r="D441" s="1" t="inlineStr">
        <is>
          <t>Sevilla 41004</t>
        </is>
      </c>
      <c r="E441" s="1" t="inlineStr">
        <is>
          <t>CIF B91938662</t>
        </is>
      </c>
      <c r="F441" s="1" t="inlineStr">
        <is>
          <t>aBalados@abalados.es</t>
        </is>
      </c>
      <c r="G441" s="1" t="inlineStr">
        <is>
          <t>Solar Photo Corp S.L.U.</t>
        </is>
      </c>
      <c r="H441" s="1">
        <f>VLOOKUP($G441,DATOS!$B:$E,2,FALSE)</f>
        <v/>
      </c>
      <c r="I441" s="1">
        <f>VLOOKUP($G441,DATOS!$B:$E,3,FALSE)</f>
        <v/>
      </c>
      <c r="J441" s="1">
        <f>VLOOKUP($G441,DATOS!$B:$E,4,FALSE)</f>
        <v/>
      </c>
      <c r="K441" s="1" t="inlineStr">
        <is>
          <t>Honorarios - Contrato O&amp;M 4º Trimestre</t>
        </is>
      </c>
      <c r="L441" s="5" t="n">
        <v>7442.24366345754</v>
      </c>
      <c r="Y441" s="1" t="inlineStr">
        <is>
          <t>Gastos derivados de contrato (3,5%)</t>
        </is>
      </c>
      <c r="Z441" s="5">
        <f>(L441+N441+P441+R441+T441+V441+X441)*0.035</f>
        <v/>
      </c>
      <c r="AB441" s="6" t="inlineStr">
        <is>
          <t>ES85 2080 3509 1130 4009 6171</t>
        </is>
      </c>
      <c r="AC441" s="1" t="inlineStr">
        <is>
          <t>pendiente</t>
        </is>
      </c>
      <c r="AD441" s="5">
        <f>L441+N441+P441+R441+T441+V441+X441+Z441</f>
        <v/>
      </c>
      <c r="AE441" s="5">
        <f>IF((LEFT(K441,6))="Contab",L441,0)</f>
        <v/>
      </c>
      <c r="AF441" s="6">
        <f>VLOOKUP(G441,CLIENTES!B:E,4,FALSE)</f>
        <v/>
      </c>
      <c r="AG441" s="5">
        <f>AF441*AE441</f>
        <v/>
      </c>
      <c r="AH441" s="5">
        <f>AD441*1.21</f>
        <v/>
      </c>
      <c r="AI441" s="261">
        <f>IF(AE441&lt;&gt;0,AG441/AD441,"N/A")</f>
        <v/>
      </c>
      <c r="AJ441" s="5">
        <f>IF(AC441="pendiente",AD441,0)</f>
        <v/>
      </c>
      <c r="AK441" s="1">
        <f>VLOOKUP(G441,CLIENTES!B:D,3,FALSE)</f>
        <v/>
      </c>
      <c r="AL441" s="1" t="inlineStr">
        <is>
          <t>WOC_OM</t>
        </is>
      </c>
      <c r="AM441" s="1" t="inlineStr">
        <is>
          <t>Explotación</t>
        </is>
      </c>
    </row>
    <row r="442" ht="15" customHeight="1" s="700">
      <c r="A442" s="1">
        <f>A441+1</f>
        <v/>
      </c>
      <c r="B442" s="26" t="n">
        <v>45939</v>
      </c>
      <c r="C442" s="1" t="inlineStr">
        <is>
          <t>c/ Las Cruzadas 3A, local D</t>
        </is>
      </c>
      <c r="D442" s="1" t="inlineStr">
        <is>
          <t>Sevilla 41004</t>
        </is>
      </c>
      <c r="E442" s="1" t="inlineStr">
        <is>
          <t>CIF B91938662</t>
        </is>
      </c>
      <c r="F442" s="1" t="inlineStr">
        <is>
          <t>aBalados@abalados.es</t>
        </is>
      </c>
      <c r="G442" s="1" t="inlineStr">
        <is>
          <t xml:space="preserve">Rasteding PV I, S.L.U. </t>
        </is>
      </c>
      <c r="H442" s="1">
        <f>VLOOKUP($G442,DATOS!$B:$E,2,FALSE)</f>
        <v/>
      </c>
      <c r="I442" s="1">
        <f>VLOOKUP($G442,DATOS!$B:$E,3,FALSE)</f>
        <v/>
      </c>
      <c r="J442" s="1">
        <f>VLOOKUP($G442,DATOS!$B:$E,4,FALSE)</f>
        <v/>
      </c>
      <c r="K442" s="1" t="inlineStr">
        <is>
          <t>Honorarios - Contrato O&amp;M 4º Trimestre</t>
        </is>
      </c>
      <c r="L442" s="5" t="n">
        <v>3841.954307971025</v>
      </c>
      <c r="Y442" s="1" t="inlineStr">
        <is>
          <t>Gastos derivados de contrato (3,5%)</t>
        </is>
      </c>
      <c r="Z442" s="5">
        <f>(L442+N442+P442+R442+T442+V442+X442)*0.035</f>
        <v/>
      </c>
      <c r="AB442" s="6" t="inlineStr">
        <is>
          <t>ES85 2080 3509 1130 4009 6171</t>
        </is>
      </c>
      <c r="AC442" s="1" t="inlineStr">
        <is>
          <t>pendiente</t>
        </is>
      </c>
      <c r="AD442" s="5">
        <f>L442+N442+P442+R442+T442+V442+X442+Z442</f>
        <v/>
      </c>
      <c r="AE442" s="5">
        <f>IF((LEFT(K442,6))="Contab",L442,0)</f>
        <v/>
      </c>
      <c r="AF442" s="6">
        <f>VLOOKUP(G442,CLIENTES!B:E,4,FALSE)</f>
        <v/>
      </c>
      <c r="AG442" s="5">
        <f>AF442*AE442</f>
        <v/>
      </c>
      <c r="AH442" s="5">
        <f>AD442*1.21</f>
        <v/>
      </c>
      <c r="AI442" s="261">
        <f>IF(AE442&lt;&gt;0,AG442/AD442,"N/A")</f>
        <v/>
      </c>
      <c r="AJ442" s="5">
        <f>IF(AC442="pendiente",AD442,0)</f>
        <v/>
      </c>
      <c r="AK442" s="1">
        <f>VLOOKUP(G442,CLIENTES!B:D,3,FALSE)</f>
        <v/>
      </c>
      <c r="AL442" s="1" t="inlineStr">
        <is>
          <t>WOC_OM</t>
        </is>
      </c>
      <c r="AM442" s="1" t="inlineStr">
        <is>
          <t>Explotación</t>
        </is>
      </c>
    </row>
    <row r="443" ht="15" customHeight="1" s="700">
      <c r="A443" s="1">
        <f>A442+1</f>
        <v/>
      </c>
      <c r="B443" s="26" t="n">
        <v>45939</v>
      </c>
      <c r="C443" s="1" t="inlineStr">
        <is>
          <t>c/ Las Cruzadas 3A, local D</t>
        </is>
      </c>
      <c r="D443" s="1" t="inlineStr">
        <is>
          <t>Sevilla 41004</t>
        </is>
      </c>
      <c r="E443" s="1" t="inlineStr">
        <is>
          <t>CIF B91938662</t>
        </is>
      </c>
      <c r="F443" s="1" t="inlineStr">
        <is>
          <t>aBalados@abalados.es</t>
        </is>
      </c>
      <c r="G443" s="1" t="inlineStr">
        <is>
          <t>Tiksi PV II S.L.U.</t>
        </is>
      </c>
      <c r="H443" s="1">
        <f>VLOOKUP($G443,DATOS!$B:$E,2,FALSE)</f>
        <v/>
      </c>
      <c r="I443" s="1">
        <f>VLOOKUP($G443,DATOS!$B:$E,3,FALSE)</f>
        <v/>
      </c>
      <c r="J443" s="1">
        <f>VLOOKUP($G443,DATOS!$B:$E,4,FALSE)</f>
        <v/>
      </c>
      <c r="K443" s="1" t="inlineStr">
        <is>
          <t>Honorarios - Contrato O&amp;M 4º Trimestre</t>
        </is>
      </c>
      <c r="L443" s="5" t="n">
        <v>5215.52136837105</v>
      </c>
      <c r="Y443" s="1" t="inlineStr">
        <is>
          <t>Gastos derivados de contrato (3,5%)</t>
        </is>
      </c>
      <c r="Z443" s="5">
        <f>(L443+N443+P443+R443+T443+V443+X443)*0.035</f>
        <v/>
      </c>
      <c r="AB443" s="6" t="inlineStr">
        <is>
          <t>ES85 2080 3509 1130 4009 6171</t>
        </is>
      </c>
      <c r="AC443" s="1" t="inlineStr">
        <is>
          <t>pendiente</t>
        </is>
      </c>
      <c r="AD443" s="5">
        <f>L443+N443+P443+R443+T443+V443+X443+Z443</f>
        <v/>
      </c>
      <c r="AE443" s="5">
        <f>IF((LEFT(K443,6))="Contab",L443,0)</f>
        <v/>
      </c>
      <c r="AF443" s="6">
        <f>VLOOKUP(G443,CLIENTES!B:E,4,FALSE)</f>
        <v/>
      </c>
      <c r="AG443" s="5">
        <f>AF443*AE443</f>
        <v/>
      </c>
      <c r="AH443" s="5">
        <f>AD443*1.21</f>
        <v/>
      </c>
      <c r="AI443" s="261">
        <f>IF(AE443&lt;&gt;0,AG443/AD443,"N/A")</f>
        <v/>
      </c>
      <c r="AJ443" s="5">
        <f>IF(AC443="pendiente",AD443,0)</f>
        <v/>
      </c>
      <c r="AK443" s="1">
        <f>VLOOKUP(G443,CLIENTES!B:D,3,FALSE)</f>
        <v/>
      </c>
      <c r="AL443" s="1" t="inlineStr">
        <is>
          <t>WOC_OM</t>
        </is>
      </c>
      <c r="AM443" s="1" t="inlineStr">
        <is>
          <t>Explotación</t>
        </is>
      </c>
    </row>
    <row r="444" ht="15" customHeight="1" s="700">
      <c r="A444" s="1">
        <f>A443+1</f>
        <v/>
      </c>
      <c r="B444" s="26" t="n">
        <v>45939</v>
      </c>
      <c r="C444" s="1" t="inlineStr">
        <is>
          <t>c/ Las Cruzadas 3A, local D</t>
        </is>
      </c>
      <c r="D444" s="1" t="inlineStr">
        <is>
          <t>Sevilla 41004</t>
        </is>
      </c>
      <c r="E444" s="1" t="inlineStr">
        <is>
          <t>CIF B91938662</t>
        </is>
      </c>
      <c r="F444" s="1" t="inlineStr">
        <is>
          <t>aBalados@abalados.es</t>
        </is>
      </c>
      <c r="G444" s="1" t="inlineStr">
        <is>
          <t>Amberg V S.L.U.</t>
        </is>
      </c>
      <c r="H444" s="1">
        <f>VLOOKUP($G444,DATOS!$B:$E,2,FALSE)</f>
        <v/>
      </c>
      <c r="I444" s="1">
        <f>VLOOKUP($G444,DATOS!$B:$E,3,FALSE)</f>
        <v/>
      </c>
      <c r="J444" s="1">
        <f>VLOOKUP($G444,DATOS!$B:$E,4,FALSE)</f>
        <v/>
      </c>
      <c r="K444" s="1" t="inlineStr">
        <is>
          <t>Honorarios - Contrato O&amp;M 4º Trimestre</t>
        </is>
      </c>
      <c r="L444" s="5" t="n">
        <v>7362.297260642487</v>
      </c>
      <c r="Y444" s="1" t="inlineStr">
        <is>
          <t>Gastos derivados de contrato (3,5%)</t>
        </is>
      </c>
      <c r="Z444" s="5">
        <f>(L444+N444+P444+R444+T444+V444+X444)*0.035</f>
        <v/>
      </c>
      <c r="AB444" s="6" t="inlineStr">
        <is>
          <t>ES85 2080 3509 1130 4009 6171</t>
        </is>
      </c>
      <c r="AC444" s="1" t="inlineStr">
        <is>
          <t>pendiente</t>
        </is>
      </c>
      <c r="AD444" s="5">
        <f>L444+N444+P444+R444+T444+V444+X444+Z444</f>
        <v/>
      </c>
      <c r="AE444" s="5">
        <f>IF((LEFT(K444,6))="Contab",L444,0)</f>
        <v/>
      </c>
      <c r="AF444" s="6">
        <f>VLOOKUP(G444,CLIENTES!B:E,4,FALSE)</f>
        <v/>
      </c>
      <c r="AG444" s="5">
        <f>AF444*AE444</f>
        <v/>
      </c>
      <c r="AH444" s="5">
        <f>AD444*1.21</f>
        <v/>
      </c>
      <c r="AI444" s="261">
        <f>IF(AE444&lt;&gt;0,AG444/AD444,"N/A")</f>
        <v/>
      </c>
      <c r="AJ444" s="5">
        <f>IF(AC444="pendiente",AD444,0)</f>
        <v/>
      </c>
      <c r="AK444" s="1">
        <f>VLOOKUP(G444,CLIENTES!B:D,3,FALSE)</f>
        <v/>
      </c>
      <c r="AL444" s="1" t="inlineStr">
        <is>
          <t>WOC_OM</t>
        </is>
      </c>
      <c r="AM444" s="1" t="inlineStr">
        <is>
          <t>Explotación</t>
        </is>
      </c>
    </row>
    <row r="445" ht="15" customFormat="1" customHeight="1" s="146">
      <c r="A445" s="146">
        <f>A444+1</f>
        <v/>
      </c>
      <c r="B445" s="149" t="n">
        <v>45939</v>
      </c>
      <c r="C445" s="146" t="inlineStr">
        <is>
          <t>c/ Las Cruzadas 3A, local D</t>
        </is>
      </c>
      <c r="D445" s="146" t="inlineStr">
        <is>
          <t>Sevilla 41004</t>
        </is>
      </c>
      <c r="E445" s="146" t="inlineStr">
        <is>
          <t>CIF B91938662</t>
        </is>
      </c>
      <c r="F445" s="146" t="inlineStr">
        <is>
          <t>aBalados@abalados.es</t>
        </is>
      </c>
      <c r="G445" s="146" t="inlineStr">
        <is>
          <t>Amberg II S.L.U.</t>
        </is>
      </c>
      <c r="H445" s="146">
        <f>VLOOKUP($G445,DATOS!$B:$E,2,FALSE)</f>
        <v/>
      </c>
      <c r="I445" s="146">
        <f>VLOOKUP($G445,DATOS!$B:$E,3,FALSE)</f>
        <v/>
      </c>
      <c r="J445" s="146">
        <f>VLOOKUP($G445,DATOS!$B:$E,4,FALSE)</f>
        <v/>
      </c>
      <c r="K445" s="146" t="inlineStr">
        <is>
          <t>Honorarios - Contrato O&amp;M 4º Trimestre</t>
        </is>
      </c>
      <c r="L445" s="147" t="n">
        <v>3964.917857460571</v>
      </c>
      <c r="N445" s="147" t="n"/>
      <c r="P445" s="147" t="n"/>
      <c r="R445" s="147" t="n"/>
      <c r="T445" s="147" t="n"/>
      <c r="V445" s="147" t="n"/>
      <c r="X445" s="147" t="n"/>
      <c r="Y445" s="146" t="inlineStr">
        <is>
          <t>Gastos derivados de contrato (3,5%)</t>
        </is>
      </c>
      <c r="Z445" s="147">
        <f>(L445+N445+P445+R445+T445+V445+X445)*0.035</f>
        <v/>
      </c>
      <c r="AA445" s="147" t="n"/>
      <c r="AB445" s="148" t="inlineStr">
        <is>
          <t>ES85 2080 3509 1130 4009 6171</t>
        </is>
      </c>
      <c r="AC445" s="146" t="inlineStr">
        <is>
          <t>pendiente</t>
        </is>
      </c>
      <c r="AD445" s="147">
        <f>L445+N445+P445+R445+T445+V445+X445+Z445</f>
        <v/>
      </c>
      <c r="AE445" s="147">
        <f>IF((LEFT(K445,6))="Contab",L445,0)</f>
        <v/>
      </c>
      <c r="AF445" s="148">
        <f>VLOOKUP(G445,CLIENTES!B:E,4,FALSE)</f>
        <v/>
      </c>
      <c r="AG445" s="147">
        <f>AF445*AE445</f>
        <v/>
      </c>
      <c r="AH445" s="147">
        <f>AD445*1.21</f>
        <v/>
      </c>
      <c r="AI445" s="257">
        <f>IF(AE445&lt;&gt;0,AG445/AD445,"N/A")</f>
        <v/>
      </c>
      <c r="AJ445" s="147">
        <f>IF(AC445="pendiente",AD445,0)</f>
        <v/>
      </c>
      <c r="AK445" s="146">
        <f>VLOOKUP(G445,CLIENTES!B:D,3,FALSE)</f>
        <v/>
      </c>
      <c r="AL445" s="146" t="inlineStr">
        <is>
          <t>WOC_OM</t>
        </is>
      </c>
      <c r="AM445" s="146" t="inlineStr">
        <is>
          <t>Explotación</t>
        </is>
      </c>
    </row>
    <row r="446" ht="15" customHeight="1" s="700">
      <c r="A446" s="1">
        <f>A445+1</f>
        <v/>
      </c>
      <c r="B446" s="26" t="n">
        <v>45939</v>
      </c>
      <c r="C446" s="1" t="inlineStr">
        <is>
          <t>c/ Las Cruzadas 3A, local D</t>
        </is>
      </c>
      <c r="D446" s="1" t="inlineStr">
        <is>
          <t>Sevilla 41004</t>
        </is>
      </c>
      <c r="E446" s="1" t="inlineStr">
        <is>
          <t>CIF B91938662</t>
        </is>
      </c>
      <c r="F446" s="1" t="inlineStr">
        <is>
          <t>aBalados@abalados.es</t>
        </is>
      </c>
      <c r="G446" s="1" t="inlineStr">
        <is>
          <t>FP LUX REIO PV VALLADOLID, S.L.U.</t>
        </is>
      </c>
      <c r="H446" s="1" t="inlineStr">
        <is>
          <t>CIF B71334833</t>
        </is>
      </c>
      <c r="I446" s="1" t="inlineStr">
        <is>
          <t>c/ Las Cruzadas 3A, local D</t>
        </is>
      </c>
      <c r="J446" s="4" t="inlineStr">
        <is>
          <t>41004 Sevilla</t>
        </is>
      </c>
      <c r="K446" s="1" t="inlineStr">
        <is>
          <t>Asset Management 4Q2025 | 01.10 - 31.12</t>
        </is>
      </c>
      <c r="L446" s="5">
        <f>'Tarifa 2025'!$D$29/4</f>
        <v/>
      </c>
      <c r="O446" s="1" t="inlineStr">
        <is>
          <t>Gestión de Activos 4T2025 | 01.10 - 31.12</t>
        </is>
      </c>
      <c r="AB446" s="6" t="inlineStr">
        <is>
          <t>ES85 2080 3509 1130 4009 6171</t>
        </is>
      </c>
      <c r="AC446" s="1" t="inlineStr">
        <is>
          <t>pagado</t>
        </is>
      </c>
      <c r="AD446" s="5">
        <f>L446+N446+P446+R446+T446+V446+X446+Z446</f>
        <v/>
      </c>
      <c r="AE446" s="259">
        <f>IF((LEFT(K446,4))="Cont",N446,0)</f>
        <v/>
      </c>
      <c r="AF446" s="260" t="n">
        <v>0.1</v>
      </c>
      <c r="AG446" s="259">
        <f>AF446*AE446</f>
        <v/>
      </c>
      <c r="AH446" s="259">
        <f>AD446*1.21</f>
        <v/>
      </c>
      <c r="AI446" s="264">
        <f>IF(AE446&lt;&gt;0,AG446/AD446,"N/A")</f>
        <v/>
      </c>
      <c r="AJ446" s="259">
        <f>IF(AC446="pendiente",AD446,0)</f>
        <v/>
      </c>
      <c r="AK446" s="258" t="inlineStr">
        <is>
          <t>2020-006</t>
        </is>
      </c>
      <c r="AL446" s="1" t="inlineStr">
        <is>
          <t>OM_Otros</t>
        </is>
      </c>
      <c r="AM446" s="258" t="inlineStr">
        <is>
          <t>Explotación</t>
        </is>
      </c>
    </row>
    <row r="447" ht="15" customFormat="1" customHeight="1" s="146">
      <c r="A447" s="146">
        <f>A446+1</f>
        <v/>
      </c>
      <c r="B447" s="149" t="n">
        <v>45939</v>
      </c>
      <c r="C447" s="146" t="inlineStr">
        <is>
          <t>c/ Las Cruzadas 3A, local D</t>
        </is>
      </c>
      <c r="D447" s="146" t="inlineStr">
        <is>
          <t>Sevilla 41004</t>
        </is>
      </c>
      <c r="E447" s="146" t="inlineStr">
        <is>
          <t>CIF B91938662</t>
        </is>
      </c>
      <c r="F447" s="146" t="inlineStr">
        <is>
          <t>aBalados@abalados.es</t>
        </is>
      </c>
      <c r="G447" s="146" t="inlineStr">
        <is>
          <t>FP LUX REIO PV ZARAGOZA SL.</t>
        </is>
      </c>
      <c r="H447" s="146">
        <f>VLOOKUP($G447,DATOS!$B:$E,2,FALSE)</f>
        <v/>
      </c>
      <c r="I447" s="146">
        <f>VLOOKUP($G447,DATOS!$B:$E,3,FALSE)</f>
        <v/>
      </c>
      <c r="J447" s="473">
        <f>VLOOKUP($G447,DATOS!$B:$E,4,FALSE)</f>
        <v/>
      </c>
      <c r="K447" s="146" t="inlineStr">
        <is>
          <t>Proyecto El Marqués - Zaragoza</t>
        </is>
      </c>
      <c r="L447" s="147" t="n"/>
      <c r="M447" s="146" t="inlineStr">
        <is>
          <t>Asset Management fee - 4th quarter 2025</t>
        </is>
      </c>
      <c r="N447" s="147">
        <f>'Tarifa 2025'!$D$25/4</f>
        <v/>
      </c>
      <c r="P447" s="147" t="n"/>
      <c r="Q447" s="146" t="inlineStr">
        <is>
          <t>Honorarios de gestión de activo - 4o trimestre 2025</t>
        </is>
      </c>
      <c r="R447" s="147" t="n"/>
      <c r="T447" s="147" t="n"/>
      <c r="V447" s="147" t="n"/>
      <c r="X447" s="147" t="n"/>
      <c r="Z447" s="147" t="n"/>
      <c r="AA447" s="147" t="n"/>
      <c r="AB447" s="148" t="inlineStr">
        <is>
          <t>ES85 2080 3509 1130 4009 6171</t>
        </is>
      </c>
      <c r="AC447" s="146" t="inlineStr">
        <is>
          <t>pagado</t>
        </is>
      </c>
      <c r="AD447" s="147">
        <f>L447+N447+P447+R447+T447+V447+X447+Z447</f>
        <v/>
      </c>
      <c r="AE447" s="147">
        <f>IF((LEFT(K447,6))="Contab",L447,0)</f>
        <v/>
      </c>
      <c r="AF447" s="148">
        <f>VLOOKUP(G447,CLIENTES!B:E,4,FALSE)</f>
        <v/>
      </c>
      <c r="AG447" s="147">
        <f>AF447*AE447</f>
        <v/>
      </c>
      <c r="AH447" s="147">
        <f>AD447*1.21</f>
        <v/>
      </c>
      <c r="AI447" s="257">
        <f>IF(AE447&lt;&gt;0,AG447/AD447,"N/A")</f>
        <v/>
      </c>
      <c r="AJ447" s="147">
        <f>IF(AC447="pendiente",AD447,0)</f>
        <v/>
      </c>
      <c r="AK447" s="146">
        <f>VLOOKUP(G447,CLIENTES!B:D,3,FALSE)</f>
        <v/>
      </c>
      <c r="AL447" s="146" t="inlineStr">
        <is>
          <t>OM_Otros</t>
        </is>
      </c>
      <c r="AM447" s="146" t="inlineStr">
        <is>
          <t>Explotación</t>
        </is>
      </c>
    </row>
    <row r="448" ht="15" customFormat="1" customHeight="1" s="475">
      <c r="A448" s="475">
        <f>A447+1</f>
        <v/>
      </c>
      <c r="B448" s="476" t="n">
        <v>45939</v>
      </c>
      <c r="C448" s="475" t="inlineStr">
        <is>
          <t>c/ Las Cruzadas 3A, local D</t>
        </is>
      </c>
      <c r="D448" s="475" t="inlineStr">
        <is>
          <t>Sevilla 41004</t>
        </is>
      </c>
      <c r="E448" s="475" t="inlineStr">
        <is>
          <t>CIF B91938662</t>
        </is>
      </c>
      <c r="F448" s="475" t="inlineStr">
        <is>
          <t>aBalados@abalados.es</t>
        </is>
      </c>
      <c r="G448" s="475" t="inlineStr">
        <is>
          <t>FP LUX REIO PV ZARAGOZA SL.</t>
        </is>
      </c>
      <c r="H448" s="475">
        <f>VLOOKUP($G448,DATOS!$B:$E,2,FALSE)</f>
        <v/>
      </c>
      <c r="I448" s="475">
        <f>VLOOKUP($G448,DATOS!$B:$E,3,FALSE)</f>
        <v/>
      </c>
      <c r="J448" s="475">
        <f>VLOOKUP($G448,DATOS!$B:$E,4,FALSE)</f>
        <v/>
      </c>
      <c r="K448" s="475" t="inlineStr">
        <is>
          <t>Proyecto El Marqués - Zaragoza</t>
        </is>
      </c>
      <c r="L448" s="477" t="n"/>
      <c r="M448" s="475" t="inlineStr">
        <is>
          <t>Honorarios - Contrato O&amp;M 4º Trimestre 2025</t>
        </is>
      </c>
      <c r="N448" s="477">
        <f>+(7200*12.33792/12*1.028*1.031*1.061*1.065*1.005)*3</f>
        <v/>
      </c>
      <c r="P448" s="477" t="n"/>
      <c r="Q448" s="475" t="inlineStr">
        <is>
          <t>O&amp;M Fee - 4Q2025</t>
        </is>
      </c>
      <c r="R448" s="477" t="n"/>
      <c r="T448" s="477" t="n"/>
      <c r="U448" s="475" t="inlineStr">
        <is>
          <t>Fee 7.200€/MWp+IPC aplicable, a fecha 31 de julio de 2025</t>
        </is>
      </c>
      <c r="V448" s="477" t="n"/>
      <c r="X448" s="477" t="n"/>
      <c r="Z448" s="477" t="n"/>
      <c r="AA448" s="477" t="n"/>
      <c r="AB448" s="478" t="inlineStr">
        <is>
          <t>ES85 2080 3509 1130 4009 6171</t>
        </is>
      </c>
      <c r="AC448" s="475" t="inlineStr">
        <is>
          <t>pagado</t>
        </is>
      </c>
      <c r="AD448" s="477">
        <f>L448+N448+P448+R448+T448+V448+X448+Z448</f>
        <v/>
      </c>
      <c r="AE448" s="477">
        <f>IF((LEFT(K448,6))="Contab",L448,0)</f>
        <v/>
      </c>
      <c r="AF448" s="478">
        <f>VLOOKUP(G448,CLIENTES!B:E,4,FALSE)</f>
        <v/>
      </c>
      <c r="AG448" s="477">
        <f>AF448*AE448</f>
        <v/>
      </c>
      <c r="AH448" s="477">
        <f>AD448*1.21</f>
        <v/>
      </c>
      <c r="AI448" s="479">
        <f>IF(AE448&lt;&gt;0,AG448/AD448,"N/A")</f>
        <v/>
      </c>
      <c r="AJ448" s="477">
        <f>IF(AC448="pendiente",AD448,0)</f>
        <v/>
      </c>
      <c r="AK448" s="475">
        <f>VLOOKUP(G448,CLIENTES!B:D,3,FALSE)</f>
        <v/>
      </c>
      <c r="AL448" s="475" t="inlineStr">
        <is>
          <t>OM_Otros</t>
        </is>
      </c>
      <c r="AM448" s="475" t="inlineStr">
        <is>
          <t>Explotación</t>
        </is>
      </c>
    </row>
    <row r="449" ht="15" customHeight="1" s="700">
      <c r="B449" s="26" t="n"/>
      <c r="F449" t="inlineStr">
        <is>
          <t>mailto:aBalados@abalados.es</t>
        </is>
      </c>
      <c r="J449" s="1" t="n"/>
      <c r="AC449" s="1" t="n"/>
      <c r="AD449" s="5" t="n"/>
      <c r="AE449" s="5" t="n"/>
      <c r="AG449" s="5" t="n"/>
      <c r="AH449" s="5" t="n"/>
      <c r="AI449" s="261" t="n"/>
      <c r="AJ449" s="5" t="n"/>
      <c r="AL449" s="1" t="n"/>
    </row>
    <row r="450" ht="15" customHeight="1" s="700">
      <c r="B450" s="26" t="n"/>
      <c r="F450" t="inlineStr">
        <is>
          <t>mailto:aBalados@abalados.es</t>
        </is>
      </c>
      <c r="J450" s="1" t="n"/>
      <c r="AC450" s="1" t="n"/>
      <c r="AD450" s="5" t="n"/>
      <c r="AE450" s="5" t="n"/>
      <c r="AG450" s="5" t="n"/>
      <c r="AH450" s="5" t="n"/>
      <c r="AI450" s="261" t="n"/>
      <c r="AJ450" s="5" t="n"/>
      <c r="AL450" s="1" t="n"/>
    </row>
    <row r="451" ht="15" customHeight="1" s="700">
      <c r="B451" s="26" t="n"/>
      <c r="F451" t="inlineStr">
        <is>
          <t>mailto:aBalados@abalados.es</t>
        </is>
      </c>
      <c r="J451" s="1" t="n"/>
      <c r="AC451" s="1" t="n"/>
      <c r="AD451" s="5" t="n"/>
      <c r="AE451" s="5" t="n"/>
      <c r="AG451" s="5" t="n"/>
      <c r="AH451" s="5" t="n"/>
      <c r="AI451" s="261" t="n"/>
      <c r="AJ451" s="5" t="n"/>
      <c r="AL451" s="1" t="n"/>
    </row>
    <row r="452" ht="15" customHeight="1" s="700">
      <c r="B452" s="26" t="n"/>
      <c r="F452" t="inlineStr">
        <is>
          <t>mailto:aBalados@abalados.es</t>
        </is>
      </c>
      <c r="J452" s="1" t="n"/>
      <c r="AC452" s="1" t="n"/>
      <c r="AD452" s="5" t="n"/>
      <c r="AE452" s="5" t="n"/>
      <c r="AG452" s="5" t="n"/>
      <c r="AH452" s="5" t="n"/>
      <c r="AI452" s="261" t="n"/>
      <c r="AJ452" s="5" t="n"/>
      <c r="AL452" s="1" t="n"/>
    </row>
    <row r="453" ht="15" customHeight="1" s="700">
      <c r="B453" s="26" t="n"/>
      <c r="F453" t="inlineStr">
        <is>
          <t>mailto:aBalados@abalados.es</t>
        </is>
      </c>
      <c r="J453" s="1" t="n"/>
      <c r="AC453" s="1" t="n"/>
      <c r="AD453" s="5" t="n"/>
      <c r="AE453" s="5" t="n"/>
      <c r="AG453" s="5" t="n"/>
      <c r="AH453" s="5" t="n"/>
      <c r="AI453" s="261" t="n"/>
      <c r="AJ453" s="5" t="n"/>
      <c r="AL453" s="1" t="n"/>
    </row>
    <row r="454" ht="15" customHeight="1" s="700">
      <c r="B454" s="26" t="n"/>
      <c r="F454" t="inlineStr">
        <is>
          <t>mailto:aBalados@abalados.es</t>
        </is>
      </c>
      <c r="J454" s="1" t="n"/>
      <c r="AC454" s="1" t="n"/>
      <c r="AD454" s="5" t="n"/>
      <c r="AE454" s="5" t="n"/>
      <c r="AG454" s="5" t="n"/>
      <c r="AH454" s="5" t="n"/>
      <c r="AI454" s="261" t="n"/>
      <c r="AJ454" s="5" t="n"/>
      <c r="AL454" s="1" t="n"/>
    </row>
    <row r="455" ht="15" customHeight="1" s="700">
      <c r="B455" s="26" t="n"/>
      <c r="F455" t="inlineStr">
        <is>
          <t>mailto:aBalados@abalados.es</t>
        </is>
      </c>
      <c r="J455" s="1" t="n"/>
      <c r="AC455" s="1" t="n"/>
      <c r="AD455" s="5" t="n"/>
      <c r="AE455" s="5" t="n"/>
      <c r="AG455" s="5" t="n"/>
      <c r="AH455" s="5" t="n"/>
      <c r="AI455" s="261" t="n"/>
      <c r="AJ455" s="5" t="n"/>
      <c r="AL455" s="1" t="n"/>
    </row>
    <row r="456" ht="15" customHeight="1" s="700">
      <c r="B456" s="26" t="n"/>
      <c r="F456" t="inlineStr">
        <is>
          <t>mailto:aBalados@abalados.es</t>
        </is>
      </c>
      <c r="J456" s="1" t="n"/>
      <c r="AC456" s="1" t="n"/>
      <c r="AD456" s="5" t="n"/>
      <c r="AE456" s="5" t="n"/>
      <c r="AG456" s="5" t="n"/>
      <c r="AH456" s="5" t="n"/>
      <c r="AI456" s="261" t="n"/>
      <c r="AJ456" s="5" t="n"/>
      <c r="AL456" s="1" t="n"/>
    </row>
    <row r="457" ht="15" customHeight="1" s="700">
      <c r="B457" s="26" t="n"/>
      <c r="F457" t="inlineStr">
        <is>
          <t>mailto:aBalados@abalados.es</t>
        </is>
      </c>
      <c r="J457" s="1" t="n"/>
      <c r="AC457" s="1" t="n"/>
      <c r="AD457" s="5" t="n"/>
      <c r="AE457" s="5" t="n"/>
      <c r="AG457" s="5" t="n"/>
      <c r="AH457" s="5" t="n"/>
      <c r="AI457" s="261" t="n"/>
      <c r="AJ457" s="5" t="n"/>
      <c r="AL457" s="1" t="n"/>
    </row>
    <row r="458" ht="15" customHeight="1" s="700">
      <c r="B458" s="26" t="n"/>
      <c r="F458" t="inlineStr">
        <is>
          <t>mailto:aBalados@abalados.es</t>
        </is>
      </c>
      <c r="J458" s="1" t="n"/>
      <c r="AC458" s="1" t="n"/>
      <c r="AD458" s="5" t="n"/>
      <c r="AE458" s="5" t="n"/>
      <c r="AG458" s="5" t="n"/>
      <c r="AH458" s="5" t="n"/>
      <c r="AI458" s="261" t="n"/>
      <c r="AJ458" s="5" t="n"/>
      <c r="AL458" s="1" t="n"/>
    </row>
    <row r="459" ht="15" customHeight="1" s="700">
      <c r="B459" s="26" t="n"/>
      <c r="F459" t="inlineStr">
        <is>
          <t>mailto:aBalados@abalados.es</t>
        </is>
      </c>
      <c r="J459" s="1" t="n"/>
      <c r="AC459" s="1" t="n"/>
      <c r="AD459" s="5" t="n"/>
      <c r="AE459" s="5" t="n"/>
      <c r="AG459" s="5" t="n"/>
      <c r="AH459" s="5" t="n"/>
      <c r="AI459" s="261" t="n"/>
      <c r="AJ459" s="5" t="n"/>
      <c r="AL459" s="1" t="n"/>
    </row>
    <row r="460" ht="15" customHeight="1" s="700">
      <c r="B460" s="26" t="n"/>
      <c r="F460" t="inlineStr">
        <is>
          <t>mailto:aBalados@abalados.es</t>
        </is>
      </c>
      <c r="J460" s="1" t="n"/>
      <c r="AC460" s="1" t="n"/>
      <c r="AD460" s="5" t="n"/>
      <c r="AE460" s="5" t="n"/>
      <c r="AG460" s="5" t="n"/>
      <c r="AH460" s="5" t="n"/>
      <c r="AI460" s="261" t="n"/>
      <c r="AJ460" s="5" t="n"/>
      <c r="AL460" s="1" t="n"/>
    </row>
    <row r="461" ht="15" customHeight="1" s="700">
      <c r="B461" s="26" t="n"/>
      <c r="F461" t="inlineStr">
        <is>
          <t>mailto:aBalados@abalados.es</t>
        </is>
      </c>
      <c r="J461" s="1" t="n"/>
      <c r="AC461" s="1" t="n"/>
      <c r="AD461" s="5" t="n"/>
      <c r="AE461" s="5" t="n"/>
      <c r="AG461" s="5" t="n"/>
      <c r="AH461" s="5" t="n"/>
      <c r="AI461" s="261" t="n"/>
      <c r="AJ461" s="5" t="n"/>
      <c r="AL461" s="1" t="n"/>
    </row>
    <row r="462" ht="15" customHeight="1" s="700">
      <c r="B462" s="26" t="n"/>
      <c r="F462" t="inlineStr">
        <is>
          <t>mailto:aBalados@abalados.es</t>
        </is>
      </c>
      <c r="J462" s="1" t="n"/>
      <c r="AC462" s="1" t="n"/>
      <c r="AD462" s="5" t="n"/>
      <c r="AE462" s="5" t="n"/>
      <c r="AG462" s="5" t="n"/>
      <c r="AH462" s="5" t="n"/>
      <c r="AI462" s="261" t="n"/>
      <c r="AJ462" s="5" t="n"/>
      <c r="AL462" s="1" t="n"/>
    </row>
    <row r="463" ht="15" customHeight="1" s="700">
      <c r="B463" s="26" t="n"/>
      <c r="F463" t="inlineStr">
        <is>
          <t>mailto:aBalados@abalados.es</t>
        </is>
      </c>
      <c r="J463" s="1" t="n"/>
      <c r="AC463" s="1" t="n"/>
      <c r="AD463" s="5" t="n"/>
      <c r="AE463" s="5" t="n"/>
      <c r="AG463" s="5" t="n"/>
      <c r="AH463" s="5" t="n"/>
      <c r="AI463" s="261" t="n"/>
      <c r="AJ463" s="5" t="n"/>
      <c r="AL463" s="1" t="n"/>
    </row>
    <row r="464" ht="15" customHeight="1" s="700">
      <c r="B464" s="26" t="n"/>
      <c r="F464" t="inlineStr">
        <is>
          <t>mailto:aBalados@abalados.es</t>
        </is>
      </c>
      <c r="J464" s="1" t="n"/>
      <c r="AC464" s="1" t="n"/>
      <c r="AD464" s="5" t="n"/>
      <c r="AE464" s="5" t="n"/>
      <c r="AG464" s="5" t="n"/>
      <c r="AH464" s="5" t="n"/>
      <c r="AI464" s="261" t="n"/>
      <c r="AJ464" s="5" t="n"/>
      <c r="AL464" s="1" t="n"/>
    </row>
    <row r="465" ht="15" customHeight="1" s="700">
      <c r="B465" s="26" t="n"/>
      <c r="F465" t="inlineStr">
        <is>
          <t>mailto:aBalados@abalados.es</t>
        </is>
      </c>
      <c r="J465" s="1" t="n"/>
      <c r="AC465" s="1" t="n"/>
      <c r="AD465" s="5" t="n"/>
      <c r="AE465" s="5" t="n"/>
      <c r="AG465" s="5" t="n"/>
      <c r="AH465" s="5" t="n"/>
      <c r="AI465" s="261" t="n"/>
      <c r="AJ465" s="5" t="n"/>
      <c r="AL465" s="1" t="n"/>
    </row>
    <row r="466" ht="15" customHeight="1" s="700">
      <c r="B466" s="26" t="n"/>
      <c r="F466" t="inlineStr">
        <is>
          <t>mailto:aBalados@abalados.es</t>
        </is>
      </c>
      <c r="J466" s="1" t="n"/>
      <c r="AC466" s="1" t="n"/>
      <c r="AD466" s="5" t="n"/>
      <c r="AE466" s="5" t="n"/>
      <c r="AG466" s="5" t="n"/>
      <c r="AH466" s="5" t="n"/>
      <c r="AI466" s="261" t="n"/>
      <c r="AJ466" s="5" t="n"/>
      <c r="AL466" s="1" t="n"/>
    </row>
    <row r="467" ht="15" customHeight="1" s="700">
      <c r="B467" s="26" t="n"/>
      <c r="F467" t="inlineStr">
        <is>
          <t>mailto:aBalados@abalados.es</t>
        </is>
      </c>
      <c r="J467" s="1" t="n"/>
      <c r="AC467" s="1" t="n"/>
      <c r="AD467" s="5" t="n"/>
      <c r="AE467" s="5" t="n"/>
      <c r="AG467" s="5" t="n"/>
      <c r="AH467" s="5" t="n"/>
      <c r="AI467" s="261" t="n"/>
      <c r="AJ467" s="5" t="n"/>
      <c r="AL467" s="1" t="n"/>
    </row>
    <row r="468" ht="15" customHeight="1" s="700">
      <c r="B468" s="26" t="n"/>
      <c r="F468" t="inlineStr">
        <is>
          <t>mailto:aBalados@abalados.es</t>
        </is>
      </c>
      <c r="J468" s="1" t="n"/>
      <c r="AC468" s="1" t="n"/>
      <c r="AD468" s="5" t="n"/>
      <c r="AE468" s="5" t="n"/>
      <c r="AG468" s="5" t="n"/>
      <c r="AH468" s="5" t="n"/>
      <c r="AI468" s="261" t="n"/>
      <c r="AJ468" s="5" t="n"/>
      <c r="AL468" s="1" t="n"/>
    </row>
    <row r="469" ht="15" customHeight="1" s="700">
      <c r="B469" s="26" t="n"/>
      <c r="F469" t="inlineStr">
        <is>
          <t>mailto:aBalados@abalados.es</t>
        </is>
      </c>
      <c r="J469" s="1" t="n"/>
      <c r="AC469" s="1" t="n"/>
      <c r="AD469" s="5" t="n"/>
      <c r="AE469" s="5" t="n"/>
      <c r="AG469" s="5" t="n"/>
      <c r="AH469" s="5" t="n"/>
      <c r="AI469" s="261" t="n"/>
      <c r="AJ469" s="5" t="n"/>
      <c r="AL469" s="1" t="n"/>
    </row>
    <row r="470" ht="15" customHeight="1" s="700">
      <c r="B470" s="26" t="n"/>
      <c r="F470" t="inlineStr">
        <is>
          <t>mailto:aBalados@abalados.es</t>
        </is>
      </c>
      <c r="J470" s="1" t="n"/>
      <c r="AC470" s="1" t="n"/>
      <c r="AD470" s="5" t="n"/>
      <c r="AE470" s="5" t="n"/>
      <c r="AG470" s="5" t="n"/>
      <c r="AH470" s="5" t="n"/>
      <c r="AI470" s="261" t="n"/>
      <c r="AJ470" s="5" t="n"/>
      <c r="AL470" s="1" t="n"/>
    </row>
    <row r="471" ht="15" customHeight="1" s="700">
      <c r="B471" s="26" t="n"/>
      <c r="F471" t="inlineStr">
        <is>
          <t>mailto:aBalados@abalados.es</t>
        </is>
      </c>
      <c r="J471" s="1" t="n"/>
      <c r="AC471" s="1" t="n"/>
      <c r="AD471" s="5" t="n"/>
      <c r="AE471" s="5" t="n"/>
      <c r="AG471" s="5" t="n"/>
      <c r="AH471" s="5" t="n"/>
      <c r="AI471" s="261" t="n"/>
      <c r="AJ471" s="5" t="n"/>
      <c r="AL471" s="1" t="n"/>
    </row>
    <row r="472" ht="15" customHeight="1" s="700">
      <c r="B472" s="26" t="n"/>
      <c r="F472" t="inlineStr">
        <is>
          <t>mailto:aBalados@abalados.es</t>
        </is>
      </c>
      <c r="J472" s="1" t="n"/>
      <c r="AC472" s="1" t="n"/>
      <c r="AD472" s="5" t="n"/>
      <c r="AE472" s="5" t="n"/>
      <c r="AG472" s="5" t="n"/>
      <c r="AH472" s="5" t="n"/>
      <c r="AI472" s="261" t="n"/>
      <c r="AJ472" s="5" t="n"/>
      <c r="AL472" s="1" t="n"/>
    </row>
    <row r="473" ht="15" customFormat="1" customHeight="1" s="278">
      <c r="B473" s="279" t="n"/>
      <c r="C473" s="278" t="inlineStr">
        <is>
          <t>c/ Las Cruzadas 3A, local D</t>
        </is>
      </c>
      <c r="D473" s="278" t="inlineStr">
        <is>
          <t>Sevilla 41004</t>
        </is>
      </c>
      <c r="E473" s="278" t="inlineStr">
        <is>
          <t>CIF B91938662</t>
        </is>
      </c>
      <c r="F473" s="278" t="inlineStr">
        <is>
          <t>aBalados@abalados.es</t>
        </is>
      </c>
      <c r="G473" s="278" t="inlineStr">
        <is>
          <t>Agrupación Solar el Algarrobo II, S.L.U.</t>
        </is>
      </c>
      <c r="H473" s="278">
        <f>VLOOKUP($G473,DATOS!$B:$E,2,FALSE)</f>
        <v/>
      </c>
      <c r="I473" s="278">
        <f>VLOOKUP($G473,DATOS!$B:$E,3,FALSE)</f>
        <v/>
      </c>
      <c r="J473" s="278">
        <f>VLOOKUP($G473,DATOS!$B:$E,4,FALSE)</f>
        <v/>
      </c>
      <c r="K473" s="278" t="inlineStr">
        <is>
          <t>Honorarios - Contrato O&amp;M 3º Trimestre</t>
        </is>
      </c>
      <c r="L473" s="280" t="n">
        <v>11404.6496063927</v>
      </c>
      <c r="M473" s="278" t="inlineStr">
        <is>
          <t>Garantía 30% (dotada en 2017)</t>
        </is>
      </c>
      <c r="N473" s="280" t="n"/>
      <c r="P473" s="280" t="n"/>
      <c r="R473" s="280" t="n"/>
      <c r="T473" s="280" t="n"/>
      <c r="V473" s="280" t="n"/>
      <c r="X473" s="280" t="n"/>
      <c r="Z473" s="280" t="n"/>
      <c r="AA473" s="280" t="n"/>
      <c r="AB473" s="281" t="inlineStr">
        <is>
          <t>ES85 2080 3509 1130 4009 6171</t>
        </is>
      </c>
      <c r="AC473" s="278" t="inlineStr">
        <is>
          <t>pendiente</t>
        </is>
      </c>
      <c r="AD473" s="280">
        <f>L473+N473+P473+R473+T473+V473+X473+Z473</f>
        <v/>
      </c>
      <c r="AE473" s="280">
        <f>IF((LEFT(K473,6))="Contab",L473,0)</f>
        <v/>
      </c>
      <c r="AF473" s="281">
        <f>VLOOKUP(G473,CLIENTES!B:E,4,FALSE)</f>
        <v/>
      </c>
      <c r="AG473" s="280">
        <f>AF473*AE473</f>
        <v/>
      </c>
      <c r="AH473" s="280">
        <f>AD473*1.21</f>
        <v/>
      </c>
      <c r="AI473" s="284">
        <f>IF(AE473&lt;&gt;0,AG473/AD473,"N/A")</f>
        <v/>
      </c>
      <c r="AJ473" s="280">
        <f>IF(AC473="pendiente",AD473,0)</f>
        <v/>
      </c>
      <c r="AK473" s="278">
        <f>VLOOKUP(G473,CLIENTES!B:D,3,FALSE)</f>
        <v/>
      </c>
    </row>
    <row r="474" ht="15" customFormat="1" customHeight="1" s="278">
      <c r="B474" s="279" t="n"/>
      <c r="C474" s="278" t="inlineStr">
        <is>
          <t>c/ Las Cruzadas 3A, local D</t>
        </is>
      </c>
      <c r="D474" s="278" t="inlineStr">
        <is>
          <t>Sevilla 41004</t>
        </is>
      </c>
      <c r="E474" s="278" t="inlineStr">
        <is>
          <t>CIF B91938662</t>
        </is>
      </c>
      <c r="F474" s="278" t="inlineStr">
        <is>
          <t>aBalados@abalados.es</t>
        </is>
      </c>
      <c r="G474" s="278" t="inlineStr">
        <is>
          <t>Agrupación Solar el Algarrobo III, S.L.U.</t>
        </is>
      </c>
      <c r="H474" s="278">
        <f>VLOOKUP($G474,DATOS!$B:$E,2,FALSE)</f>
        <v/>
      </c>
      <c r="I474" s="278">
        <f>VLOOKUP($G474,DATOS!$B:$E,3,FALSE)</f>
        <v/>
      </c>
      <c r="J474" s="278">
        <f>VLOOKUP($G474,DATOS!$B:$E,4,FALSE)</f>
        <v/>
      </c>
      <c r="K474" s="278" t="inlineStr">
        <is>
          <t>Honorarios - Contrato O&amp;M 3º Trimestre</t>
        </is>
      </c>
      <c r="L474" s="280" t="n">
        <v>10318.49250102196</v>
      </c>
      <c r="M474" s="278" t="inlineStr">
        <is>
          <t>Garantía 30% (dotada en 2017)</t>
        </is>
      </c>
      <c r="N474" s="280" t="n"/>
      <c r="P474" s="280" t="n"/>
      <c r="R474" s="280" t="n"/>
      <c r="T474" s="280" t="n"/>
      <c r="V474" s="280" t="n"/>
      <c r="X474" s="280" t="n"/>
      <c r="Z474" s="280" t="n"/>
      <c r="AA474" s="280" t="n"/>
      <c r="AB474" s="281" t="inlineStr">
        <is>
          <t>ES85 2080 3509 1130 4009 6171</t>
        </is>
      </c>
      <c r="AC474" s="278" t="inlineStr">
        <is>
          <t>pendiente</t>
        </is>
      </c>
      <c r="AD474" s="280">
        <f>L474+N474+P474+R474+T474+V474+X474+Z474</f>
        <v/>
      </c>
      <c r="AE474" s="280">
        <f>IF((LEFT(K474,6))="Contab",L474,0)</f>
        <v/>
      </c>
      <c r="AF474" s="281">
        <f>VLOOKUP(G474,CLIENTES!B:E,4,FALSE)</f>
        <v/>
      </c>
      <c r="AG474" s="280">
        <f>AF474*AE474</f>
        <v/>
      </c>
      <c r="AH474" s="280">
        <f>AD474*1.21</f>
        <v/>
      </c>
      <c r="AI474" s="284">
        <f>IF(AE474&lt;&gt;0,AG474/AD474,"N/A")</f>
        <v/>
      </c>
      <c r="AJ474" s="280">
        <f>IF(AC474="pendiente",AD474,0)</f>
        <v/>
      </c>
      <c r="AK474" s="278">
        <f>VLOOKUP(G474,CLIENTES!B:D,3,FALSE)</f>
        <v/>
      </c>
    </row>
    <row r="475" ht="15" customFormat="1" customHeight="1" s="278">
      <c r="B475" s="279" t="n"/>
      <c r="C475" s="278" t="inlineStr">
        <is>
          <t>c/ Las Cruzadas 3A, local D</t>
        </is>
      </c>
      <c r="D475" s="278" t="inlineStr">
        <is>
          <t>Sevilla 41004</t>
        </is>
      </c>
      <c r="E475" s="278" t="inlineStr">
        <is>
          <t>CIF B91938662</t>
        </is>
      </c>
      <c r="F475" s="278" t="inlineStr">
        <is>
          <t>aBalados@abalados.es</t>
        </is>
      </c>
      <c r="G475" s="278" t="inlineStr">
        <is>
          <t>Locaba Solar S.L.U.</t>
        </is>
      </c>
      <c r="H475" s="278">
        <f>VLOOKUP($G475,DATOS!$B:$E,2,FALSE)</f>
        <v/>
      </c>
      <c r="I475" s="278">
        <f>VLOOKUP($G475,DATOS!$B:$E,3,FALSE)</f>
        <v/>
      </c>
      <c r="J475" s="278">
        <f>VLOOKUP($G475,DATOS!$B:$E,4,FALSE)</f>
        <v/>
      </c>
      <c r="K475" s="278" t="inlineStr">
        <is>
          <t>Honorarios - Contrato O&amp;M 3º Trimestre</t>
        </is>
      </c>
      <c r="L475" s="280" t="n">
        <v>22682.34578488492</v>
      </c>
      <c r="M475" s="278" t="inlineStr">
        <is>
          <t>Garantía 30% (dotada en 2017)</t>
        </is>
      </c>
      <c r="N475" s="280" t="n"/>
      <c r="P475" s="280" t="n"/>
      <c r="R475" s="280" t="n"/>
      <c r="T475" s="280" t="n"/>
      <c r="V475" s="280" t="n"/>
      <c r="X475" s="280" t="n"/>
      <c r="Z475" s="280" t="n"/>
      <c r="AA475" s="280" t="n"/>
      <c r="AB475" s="281" t="inlineStr">
        <is>
          <t>ES85 2080 3509 1130 4009 6171</t>
        </is>
      </c>
      <c r="AC475" s="278" t="inlineStr">
        <is>
          <t>pendiente</t>
        </is>
      </c>
      <c r="AD475" s="280">
        <f>L475+N475+P475+R475+T475+V475+X475+Z475</f>
        <v/>
      </c>
      <c r="AE475" s="280">
        <f>IF((LEFT(K475,6))="Contab",L475,0)</f>
        <v/>
      </c>
      <c r="AF475" s="281">
        <f>VLOOKUP(G475,CLIENTES!B:E,4,FALSE)</f>
        <v/>
      </c>
      <c r="AG475" s="280">
        <f>AF475*AE475</f>
        <v/>
      </c>
      <c r="AH475" s="280">
        <f>AD475*1.21</f>
        <v/>
      </c>
      <c r="AI475" s="284">
        <f>IF(AE475&lt;&gt;0,AG475/AD475,"N/A")</f>
        <v/>
      </c>
      <c r="AJ475" s="280">
        <f>IF(AC475="pendiente",AD475,0)</f>
        <v/>
      </c>
      <c r="AK475" s="278">
        <f>VLOOKUP(G475,CLIENTES!B:D,3,FALSE)</f>
        <v/>
      </c>
    </row>
    <row r="476" ht="15" customFormat="1" customHeight="1" s="278">
      <c r="B476" s="279" t="n"/>
      <c r="C476" s="278" t="inlineStr">
        <is>
          <t>c/ Las Cruzadas 3A, local D</t>
        </is>
      </c>
      <c r="D476" s="278" t="inlineStr">
        <is>
          <t>Sevilla 41004</t>
        </is>
      </c>
      <c r="E476" s="278" t="inlineStr">
        <is>
          <t>CIF B91938662</t>
        </is>
      </c>
      <c r="F476" s="278" t="inlineStr">
        <is>
          <t>aBalados@abalados.es</t>
        </is>
      </c>
      <c r="G476" s="278" t="inlineStr">
        <is>
          <t>Lo Illán  Parque Solar S.L.U.</t>
        </is>
      </c>
      <c r="H476" s="278">
        <f>VLOOKUP($G476,DATOS!$B:$E,2,FALSE)</f>
        <v/>
      </c>
      <c r="I476" s="278">
        <f>VLOOKUP($G476,DATOS!$B:$E,3,FALSE)</f>
        <v/>
      </c>
      <c r="J476" s="278">
        <f>VLOOKUP($G476,DATOS!$B:$E,4,FALSE)</f>
        <v/>
      </c>
      <c r="K476" s="278" t="inlineStr">
        <is>
          <t>Honorarios - Contrato O&amp;M 3º Trimestre</t>
        </is>
      </c>
      <c r="L476" s="280" t="n">
        <v>11235.240070015</v>
      </c>
      <c r="N476" s="280" t="n"/>
      <c r="P476" s="280" t="n"/>
      <c r="R476" s="280" t="n"/>
      <c r="T476" s="280" t="n"/>
      <c r="V476" s="280" t="n"/>
      <c r="X476" s="280" t="n"/>
      <c r="Z476" s="280" t="n"/>
      <c r="AA476" s="280" t="n"/>
      <c r="AB476" s="281" t="inlineStr">
        <is>
          <t>ES85 2080 3509 1130 4009 6171</t>
        </is>
      </c>
      <c r="AC476" s="278" t="inlineStr">
        <is>
          <t>pendiente</t>
        </is>
      </c>
      <c r="AD476" s="280">
        <f>L476+N476+P476+R476+T476+V476+X476+Z476</f>
        <v/>
      </c>
      <c r="AE476" s="280">
        <f>IF((LEFT(K476,6))="Contab",L476,0)</f>
        <v/>
      </c>
      <c r="AF476" s="281">
        <f>VLOOKUP(G476,CLIENTES!B:E,4,FALSE)</f>
        <v/>
      </c>
      <c r="AG476" s="280">
        <f>AF476*AE476</f>
        <v/>
      </c>
      <c r="AH476" s="280">
        <f>AD476*1.21</f>
        <v/>
      </c>
      <c r="AI476" s="284">
        <f>IF(AE476&lt;&gt;0,AG476/AD476,"N/A")</f>
        <v/>
      </c>
      <c r="AJ476" s="280">
        <f>IF(AC476="pendiente",AD476,0)</f>
        <v/>
      </c>
      <c r="AK476" s="278">
        <f>VLOOKUP(G476,CLIENTES!B:D,3,FALSE)</f>
        <v/>
      </c>
    </row>
    <row r="477" ht="15" customFormat="1" customHeight="1" s="278">
      <c r="B477" s="279" t="n"/>
      <c r="C477" s="278" t="inlineStr">
        <is>
          <t>c/ Las Cruzadas 3A, local D</t>
        </is>
      </c>
      <c r="D477" s="278" t="inlineStr">
        <is>
          <t>Sevilla 41004</t>
        </is>
      </c>
      <c r="E477" s="278" t="inlineStr">
        <is>
          <t>CIF B91938662</t>
        </is>
      </c>
      <c r="F477" s="278" t="inlineStr">
        <is>
          <t>aBalados@abalados.es</t>
        </is>
      </c>
      <c r="G477" s="278" t="inlineStr">
        <is>
          <t>Contreras Parque Solar S.L.U.</t>
        </is>
      </c>
      <c r="H477" s="278">
        <f>VLOOKUP($G477,DATOS!$B:$E,2,FALSE)</f>
        <v/>
      </c>
      <c r="I477" s="278">
        <f>VLOOKUP($G477,DATOS!$B:$E,3,FALSE)</f>
        <v/>
      </c>
      <c r="J477" s="278">
        <f>VLOOKUP($G477,DATOS!$B:$E,4,FALSE)</f>
        <v/>
      </c>
      <c r="K477" s="278" t="inlineStr">
        <is>
          <t>Honorarios - Contrato O&amp;M 3º Trimestre</t>
        </is>
      </c>
      <c r="L477" s="280" t="n">
        <v>17119.24655019719</v>
      </c>
      <c r="N477" s="280" t="n"/>
      <c r="P477" s="280" t="n"/>
      <c r="R477" s="280" t="n"/>
      <c r="T477" s="280" t="n"/>
      <c r="V477" s="280" t="n"/>
      <c r="X477" s="280" t="n"/>
      <c r="Z477" s="280" t="n"/>
      <c r="AA477" s="280" t="n"/>
      <c r="AB477" s="281" t="inlineStr">
        <is>
          <t>ES85 2080 3509 1130 4009 6171</t>
        </is>
      </c>
      <c r="AC477" s="278" t="inlineStr">
        <is>
          <t>pendiente</t>
        </is>
      </c>
      <c r="AD477" s="280">
        <f>L477+N477+P477+R477+T477+V477+X477+Z477</f>
        <v/>
      </c>
      <c r="AE477" s="280">
        <f>IF((LEFT(K477,6))="Contab",L477,0)</f>
        <v/>
      </c>
      <c r="AF477" s="281">
        <f>VLOOKUP(G477,CLIENTES!B:E,4,FALSE)</f>
        <v/>
      </c>
      <c r="AG477" s="280">
        <f>AF477*AE477</f>
        <v/>
      </c>
      <c r="AH477" s="280">
        <f>AD477*1.21</f>
        <v/>
      </c>
      <c r="AI477" s="284">
        <f>IF(AE477&lt;&gt;0,AG477/AD477,"N/A")</f>
        <v/>
      </c>
      <c r="AJ477" s="280">
        <f>IF(AC477="pendiente",AD477,0)</f>
        <v/>
      </c>
      <c r="AK477" s="278">
        <f>VLOOKUP(G477,CLIENTES!B:D,3,FALSE)</f>
        <v/>
      </c>
    </row>
    <row r="478" ht="15" customFormat="1" customHeight="1" s="192">
      <c r="B478" s="199" t="n"/>
      <c r="C478" s="192" t="inlineStr">
        <is>
          <t>c/ Las Cruzadas 3A, local D</t>
        </is>
      </c>
      <c r="D478" s="192" t="inlineStr">
        <is>
          <t>Sevilla 41004</t>
        </is>
      </c>
      <c r="E478" s="192" t="inlineStr">
        <is>
          <t>CIF B91938662</t>
        </is>
      </c>
      <c r="F478" s="192" t="inlineStr">
        <is>
          <t>aBalados@abalados.es</t>
        </is>
      </c>
      <c r="G478" s="192" t="inlineStr">
        <is>
          <t>Turbinto Parque Solar S.L.U.</t>
        </is>
      </c>
      <c r="H478" s="192">
        <f>VLOOKUP($G478,DATOS!$B:$E,2,FALSE)</f>
        <v/>
      </c>
      <c r="I478" s="192">
        <f>VLOOKUP($G478,DATOS!$B:$E,3,FALSE)</f>
        <v/>
      </c>
      <c r="J478" s="192">
        <f>VLOOKUP($G478,DATOS!$B:$E,4,FALSE)</f>
        <v/>
      </c>
      <c r="K478" s="192" t="inlineStr">
        <is>
          <t>Honorarios - Contrato O&amp;M 3º Trimestre</t>
        </is>
      </c>
      <c r="L478" s="200" t="n">
        <v>12197.95284798089</v>
      </c>
      <c r="N478" s="200" t="n"/>
      <c r="P478" s="200" t="n"/>
      <c r="R478" s="200" t="n"/>
      <c r="T478" s="200" t="n"/>
      <c r="V478" s="200" t="n"/>
      <c r="X478" s="200" t="n"/>
      <c r="Z478" s="200" t="n"/>
      <c r="AA478" s="200" t="n"/>
      <c r="AB478" s="201" t="inlineStr">
        <is>
          <t>ES85 2080 3509 1130 4009 6171</t>
        </is>
      </c>
      <c r="AC478" s="192" t="inlineStr">
        <is>
          <t>pendiente</t>
        </is>
      </c>
      <c r="AD478" s="200">
        <f>L478+N478+P478+R478+T478+V478+X478+Z478</f>
        <v/>
      </c>
      <c r="AE478" s="200">
        <f>IF((LEFT(K478,6))="Contab",L478,0)</f>
        <v/>
      </c>
      <c r="AF478" s="201">
        <f>VLOOKUP(G478,CLIENTES!B:E,4,FALSE)</f>
        <v/>
      </c>
      <c r="AG478" s="200">
        <f>AF478*AE478</f>
        <v/>
      </c>
      <c r="AH478" s="200">
        <f>AD478*1.21</f>
        <v/>
      </c>
      <c r="AI478" s="283">
        <f>IF(AE478&lt;&gt;0,AG478/AD478,"N/A")</f>
        <v/>
      </c>
      <c r="AJ478" s="200">
        <f>IF(AC478="pendiente",AD478,0)</f>
        <v/>
      </c>
      <c r="AK478" s="192">
        <f>VLOOKUP(G478,CLIENTES!B:D,3,FALSE)</f>
        <v/>
      </c>
    </row>
    <row r="479" ht="15" customFormat="1" customHeight="1" s="278">
      <c r="B479" s="279" t="n"/>
      <c r="C479" s="278" t="inlineStr">
        <is>
          <t>c/ Las Cruzadas 3A, local D</t>
        </is>
      </c>
      <c r="D479" s="278" t="inlineStr">
        <is>
          <t>Sevilla 41004</t>
        </is>
      </c>
      <c r="E479" s="278" t="inlineStr">
        <is>
          <t>CIF B91938662</t>
        </is>
      </c>
      <c r="F479" s="278" t="inlineStr">
        <is>
          <t>aBalados@abalados.es</t>
        </is>
      </c>
      <c r="G479" s="278" t="inlineStr">
        <is>
          <t>SET Carmona 400 kV Renovables, S.L.</t>
        </is>
      </c>
      <c r="H479" s="278">
        <f>VLOOKUP($G479,DATOS!$B:$E,2,FALSE)</f>
        <v/>
      </c>
      <c r="I479" s="278">
        <f>VLOOKUP($G479,DATOS!$B:$E,3,FALSE)</f>
        <v/>
      </c>
      <c r="J479" s="278">
        <f>VLOOKUP($G479,DATOS!$B:$E,4,FALSE)</f>
        <v/>
      </c>
      <c r="K479" s="278" t="inlineStr">
        <is>
          <t>Servicios extraordinarios - Asset Management (Subestación Carmona400)</t>
        </is>
      </c>
      <c r="L479" s="280" t="n"/>
      <c r="N479" s="280" t="n"/>
      <c r="O479" s="278" t="inlineStr">
        <is>
          <t>Asistencia insitu para gestión de acceso a subestación (25/04/2024)</t>
        </is>
      </c>
      <c r="P479" s="280" t="n">
        <v>810</v>
      </c>
      <c r="Q479" s="278" t="inlineStr">
        <is>
          <t>Asistencia insitu para gestión de acceso a subestación (04/06/2024)</t>
        </is>
      </c>
      <c r="R479" s="280" t="n">
        <v>810</v>
      </c>
      <c r="T479" s="280" t="n"/>
      <c r="V479" s="280" t="n"/>
      <c r="X479" s="280" t="n"/>
      <c r="Z479" s="280" t="n"/>
      <c r="AA479" s="280" t="n"/>
      <c r="AB479" s="402" t="inlineStr">
        <is>
          <t>ES85 2080 3509 1130 4009 6171</t>
        </is>
      </c>
      <c r="AC479" s="278" t="inlineStr">
        <is>
          <t>pendiente</t>
        </is>
      </c>
      <c r="AD479" s="280">
        <f>L479+N479+P479+R479+T479+V479+X479+Z479</f>
        <v/>
      </c>
      <c r="AE479" s="280">
        <f>P479</f>
        <v/>
      </c>
      <c r="AF479" s="281">
        <f>IF(AM479="Explotación",0.05,0.08)</f>
        <v/>
      </c>
      <c r="AG479" s="280">
        <f>AF479*AE479</f>
        <v/>
      </c>
      <c r="AH479" s="280">
        <f>AD479*1.21</f>
        <v/>
      </c>
      <c r="AI479" s="284">
        <f>IF(AE479&lt;&gt;0,AG479/AD479,"N/A")</f>
        <v/>
      </c>
      <c r="AJ479" s="280">
        <f>IF(AC479="pendiente",AD479,0)</f>
        <v/>
      </c>
      <c r="AK479" s="278">
        <f>VLOOKUP(G479,CLIENTES!B:D,3,FALSE)</f>
        <v/>
      </c>
    </row>
    <row r="480" ht="15" customFormat="1" customHeight="1" s="278">
      <c r="B480" s="279" t="n"/>
      <c r="C480" s="278" t="inlineStr">
        <is>
          <t>c/ Las Cruzadas 3A, local D</t>
        </is>
      </c>
      <c r="D480" s="278" t="inlineStr">
        <is>
          <t>Sevilla 41004</t>
        </is>
      </c>
      <c r="E480" s="278" t="inlineStr">
        <is>
          <t>CIF B91938662</t>
        </is>
      </c>
      <c r="F480" s="278" t="inlineStr">
        <is>
          <t>aBalados@abalados.es</t>
        </is>
      </c>
      <c r="G480" s="278" t="inlineStr">
        <is>
          <t>Gazules Renovables, S.L.</t>
        </is>
      </c>
      <c r="H480" s="278">
        <f>VLOOKUP($G480,DATOS!$B:$E,2,FALSE)</f>
        <v/>
      </c>
      <c r="I480" s="278">
        <f>VLOOKUP($G480,DATOS!$B:$E,3,FALSE)</f>
        <v/>
      </c>
      <c r="J480" s="278">
        <f>VLOOKUP($G480,DATOS!$B:$E,4,FALSE)</f>
        <v/>
      </c>
      <c r="K480" s="278" t="inlineStr">
        <is>
          <t>Servicios extraordinarios - Asset Management (Subestación Gazules)</t>
        </is>
      </c>
      <c r="L480" s="280" t="n"/>
      <c r="N480" s="280" t="n"/>
      <c r="O480" s="278" t="inlineStr">
        <is>
          <t>Asistencia en notaría para elevar el arrendamiento a público (25/04/2024)</t>
        </is>
      </c>
      <c r="P480" s="280" t="n">
        <v>810</v>
      </c>
      <c r="R480" s="280" t="n"/>
      <c r="S480" s="280" t="n"/>
      <c r="T480" s="280" t="n"/>
      <c r="V480" s="280" t="n"/>
      <c r="X480" s="280" t="n"/>
      <c r="Z480" s="280" t="n"/>
      <c r="AA480" s="280" t="n"/>
      <c r="AB480" s="402" t="inlineStr">
        <is>
          <t>ES85 2080 3509 1130 4009 6171</t>
        </is>
      </c>
      <c r="AC480" s="278" t="inlineStr">
        <is>
          <t>pendiente</t>
        </is>
      </c>
      <c r="AD480" s="280">
        <f>L480+N480+P480+R480+T480+V480+X480+Z480</f>
        <v/>
      </c>
      <c r="AE480" s="280">
        <f>P480</f>
        <v/>
      </c>
      <c r="AF480" s="281">
        <f>IF(AM480="Explotación",0.05,0.08)</f>
        <v/>
      </c>
      <c r="AG480" s="280">
        <f>AF480*AE480</f>
        <v/>
      </c>
      <c r="AH480" s="280">
        <f>AD480*1.21</f>
        <v/>
      </c>
      <c r="AI480" s="284">
        <f>IF(AE480&lt;&gt;0,AG480/AD480,"N/A")</f>
        <v/>
      </c>
      <c r="AJ480" s="280">
        <f>IF(AC480="pendiente",AD480,0)</f>
        <v/>
      </c>
      <c r="AK480" s="278">
        <f>VLOOKUP(G480,CLIENTES!B:D,3,FALSE)</f>
        <v/>
      </c>
    </row>
    <row r="481" ht="15" customFormat="1" customHeight="1" s="189">
      <c r="B481" s="188" t="n"/>
      <c r="C481" s="189" t="inlineStr">
        <is>
          <t>c/ Las Cruzadas 3A, local D</t>
        </is>
      </c>
      <c r="D481" s="189" t="inlineStr">
        <is>
          <t>Sevilla 41004</t>
        </is>
      </c>
      <c r="E481" s="189" t="inlineStr">
        <is>
          <t>CIF B91938662</t>
        </is>
      </c>
      <c r="F481" s="189" t="inlineStr">
        <is>
          <t>aBalados@abalados.es</t>
        </is>
      </c>
      <c r="G481" s="189" t="inlineStr">
        <is>
          <t>China Triumph International Engineering Co., LTD EP EN SPAIN</t>
        </is>
      </c>
      <c r="H481" s="189">
        <f>VLOOKUP($G481,DATOS!$B:$E,2,FALSE)</f>
        <v/>
      </c>
      <c r="I481" s="189">
        <f>VLOOKUP($G481,DATOS!$B:$E,3,FALSE)</f>
        <v/>
      </c>
      <c r="J481" s="189">
        <f>VLOOKUP($G481,DATOS!$B:$E,4,FALSE)</f>
        <v/>
      </c>
      <c r="K481" s="189" t="inlineStr">
        <is>
          <t>Technical Advisory  -  DoA No.2405_01</t>
        </is>
      </c>
      <c r="L481" s="190" t="n"/>
      <c r="M481" s="189" t="inlineStr">
        <is>
          <t>Puerto Real 2 PV - Cádiz | Spain</t>
        </is>
      </c>
      <c r="N481" s="190" t="n"/>
      <c r="P481" s="190" t="n"/>
      <c r="Q481" s="189" t="inlineStr">
        <is>
          <t>Advanced payment for Access Control and Portable WC</t>
        </is>
      </c>
      <c r="R481" s="190" t="n">
        <v>2561.58</v>
      </c>
      <c r="T481" s="190" t="n"/>
      <c r="V481" s="190" t="n"/>
      <c r="X481" s="190" t="n"/>
      <c r="Z481" s="190" t="n"/>
      <c r="AA481" s="190" t="n"/>
      <c r="AB481" s="400" t="inlineStr">
        <is>
          <t>ES85 2080 3509 1130 4009 6171</t>
        </is>
      </c>
      <c r="AC481" s="189" t="inlineStr">
        <is>
          <t>pendiente</t>
        </is>
      </c>
      <c r="AD481" s="190">
        <f>L481+N481+P481+R481+T481+V481+X481+Z481</f>
        <v/>
      </c>
      <c r="AE481" s="190">
        <f>IF((LEFT(K481,6))="Contab",L481,0)</f>
        <v/>
      </c>
      <c r="AF481" s="191">
        <f>VLOOKUP(G481,CLIENTES!B:E,4,FALSE)</f>
        <v/>
      </c>
      <c r="AG481" s="190">
        <f>AF481*AE481</f>
        <v/>
      </c>
      <c r="AH481" s="190">
        <f>AD481*1.21</f>
        <v/>
      </c>
      <c r="AI481" s="289">
        <f>IF(AE481&lt;&gt;0,AG481/AD481,"N/A")</f>
        <v/>
      </c>
      <c r="AJ481" s="190">
        <f>IF(AC481="pendiente",AD481,0)</f>
        <v/>
      </c>
      <c r="AK481" s="189">
        <f>VLOOKUP(G481,CLIENTES!B:D,3,FALSE)</f>
        <v/>
      </c>
    </row>
    <row r="482" ht="15" customFormat="1" customHeight="1" s="189">
      <c r="B482" s="188" t="n"/>
      <c r="C482" s="189" t="inlineStr">
        <is>
          <t>c/ Las Cruzadas 3A, local D</t>
        </is>
      </c>
      <c r="D482" s="189" t="inlineStr">
        <is>
          <t>Sevilla 41004</t>
        </is>
      </c>
      <c r="E482" s="189" t="inlineStr">
        <is>
          <t>CIF B91938662</t>
        </is>
      </c>
      <c r="F482" s="189" t="inlineStr">
        <is>
          <t>aBalados@abalados.es</t>
        </is>
      </c>
      <c r="G482" s="189" t="inlineStr">
        <is>
          <t>Solar Photo Corp S.L.U.</t>
        </is>
      </c>
      <c r="H482" s="189">
        <f>VLOOKUP($G482,DATOS!$B:$E,2,FALSE)</f>
        <v/>
      </c>
      <c r="I482" s="189">
        <f>VLOOKUP($G482,DATOS!$B:$E,3,FALSE)</f>
        <v/>
      </c>
      <c r="J482" s="189">
        <f>VLOOKUP($G482,DATOS!$B:$E,4,FALSE)</f>
        <v/>
      </c>
      <c r="K482" s="189" t="inlineStr">
        <is>
          <t>Servicios extraordinarios - O&amp;M</t>
        </is>
      </c>
      <c r="L482" s="190" t="n"/>
      <c r="N482" s="190" t="n"/>
      <c r="O482" s="189" t="inlineStr">
        <is>
          <t>OCAs MT (2 instalaciones)</t>
        </is>
      </c>
      <c r="P482" s="190" t="n">
        <v>536</v>
      </c>
      <c r="Q482" s="189" t="inlineStr">
        <is>
          <t>Revamping Inversor - Ingecon Sun 3Play 100TL</t>
        </is>
      </c>
      <c r="R482" s="190" t="n">
        <v>4959</v>
      </c>
      <c r="S482" s="189" t="inlineStr">
        <is>
          <t>Gastos derivados de Gestión (3,5%)</t>
        </is>
      </c>
      <c r="T482" s="190" t="n">
        <v>192.325</v>
      </c>
      <c r="V482" s="190" t="n"/>
      <c r="X482" s="190" t="n"/>
      <c r="Z482" s="190" t="n"/>
      <c r="AA482" s="190" t="n"/>
      <c r="AB482" s="400" t="inlineStr">
        <is>
          <t>ES85 2080 3509 1130 4009 6171</t>
        </is>
      </c>
      <c r="AC482" s="189" t="inlineStr">
        <is>
          <t>pendiente</t>
        </is>
      </c>
      <c r="AD482" s="190">
        <f>L482+N482+P482+R482+T482+V482+X482+Z482</f>
        <v/>
      </c>
      <c r="AE482" s="190">
        <f>IF((LEFT(K482,6))="Contab",L482,0)</f>
        <v/>
      </c>
      <c r="AF482" s="191">
        <f>VLOOKUP(G482,CLIENTES!B:E,4,FALSE)</f>
        <v/>
      </c>
      <c r="AG482" s="190">
        <f>AF482*AE482</f>
        <v/>
      </c>
      <c r="AH482" s="190">
        <f>AD482*1.21</f>
        <v/>
      </c>
      <c r="AI482" s="289">
        <f>IF(AE482&lt;&gt;0,AG482/AD482,"N/A")</f>
        <v/>
      </c>
      <c r="AJ482" s="190">
        <f>IF(AC482="pendiente",AD482,0)</f>
        <v/>
      </c>
      <c r="AK482" s="189">
        <f>VLOOKUP(G482,CLIENTES!B:D,3,FALSE)</f>
        <v/>
      </c>
    </row>
    <row r="483" ht="15" customFormat="1" customHeight="1" s="195">
      <c r="B483" s="194" t="n"/>
      <c r="C483" s="195" t="inlineStr">
        <is>
          <t>c/ Las Cruzadas 3A, local D</t>
        </is>
      </c>
      <c r="D483" s="195" t="inlineStr">
        <is>
          <t>Sevilla 41004</t>
        </is>
      </c>
      <c r="E483" s="195" t="inlineStr">
        <is>
          <t>CIF B91938662</t>
        </is>
      </c>
      <c r="F483" s="195" t="inlineStr">
        <is>
          <t>aBalados@abalados.es</t>
        </is>
      </c>
      <c r="G483" s="195" t="inlineStr">
        <is>
          <t>China Triumph International Engineering Co., LTD EP EN SPAIN</t>
        </is>
      </c>
      <c r="H483" s="195">
        <f>VLOOKUP($G483,DATOS!$B:$E,2,FALSE)</f>
        <v/>
      </c>
      <c r="I483" s="195">
        <f>VLOOKUP($G483,DATOS!$B:$E,3,FALSE)</f>
        <v/>
      </c>
      <c r="J483" s="195">
        <f>VLOOKUP($G483,DATOS!$B:$E,4,FALSE)</f>
        <v/>
      </c>
      <c r="K483" s="195" t="inlineStr">
        <is>
          <t>Project Management for EPC Closing</t>
        </is>
      </c>
      <c r="L483" s="196" t="n"/>
      <c r="M483" s="195" t="inlineStr">
        <is>
          <t>Puerto Real 2 PV - Cádiz | Spain</t>
        </is>
      </c>
      <c r="N483" s="196" t="n"/>
      <c r="O483" s="404" t="inlineStr">
        <is>
          <t>Extintive novation of the Contract for the provision of Technical Services - February 1st 2023</t>
        </is>
      </c>
      <c r="P483" s="196" t="n"/>
      <c r="R483" s="196" t="n"/>
      <c r="S483" s="195" t="inlineStr">
        <is>
          <t>Milestone 2 - Obtention of PAC</t>
        </is>
      </c>
      <c r="T483" s="196" t="n">
        <v>69801</v>
      </c>
      <c r="V483" s="196" t="n"/>
      <c r="X483" s="196" t="n"/>
      <c r="Z483" s="196" t="n"/>
      <c r="AA483" s="196" t="n"/>
      <c r="AB483" s="401" t="inlineStr">
        <is>
          <t>ES85 2080 3509 1130 4009 6171</t>
        </is>
      </c>
      <c r="AC483" s="195" t="inlineStr">
        <is>
          <t>pendiente</t>
        </is>
      </c>
      <c r="AD483" s="196">
        <f>L483+N483+P483+R483+T483+V483+X483+Z483</f>
        <v/>
      </c>
      <c r="AE483" s="196">
        <f>IF((LEFT(K483,6))="Contab",L483,0)</f>
        <v/>
      </c>
      <c r="AF483" s="197">
        <f>VLOOKUP(G483,CLIENTES!B:E,4,FALSE)</f>
        <v/>
      </c>
      <c r="AG483" s="196">
        <f>AF483*AE483</f>
        <v/>
      </c>
      <c r="AH483" s="196">
        <f>AD483*1.21</f>
        <v/>
      </c>
      <c r="AI483" s="285">
        <f>IF(AE483&lt;&gt;0,AG483/AD483,"N/A")</f>
        <v/>
      </c>
      <c r="AJ483" s="196">
        <f>IF(AC483="pendiente",AD483,0)</f>
        <v/>
      </c>
      <c r="AK483" s="195">
        <f>VLOOKUP(G483,CLIENTES!B:D,3,FALSE)</f>
        <v/>
      </c>
    </row>
    <row r="484" ht="15" customFormat="1" customHeight="1" s="192">
      <c r="B484" s="199" t="n"/>
      <c r="C484" s="192" t="inlineStr">
        <is>
          <t>c/ Las Cruzadas 3A, local D</t>
        </is>
      </c>
      <c r="D484" s="192" t="inlineStr">
        <is>
          <t>Sevilla 41004</t>
        </is>
      </c>
      <c r="E484" s="192" t="inlineStr">
        <is>
          <t>CIF B91938662</t>
        </is>
      </c>
      <c r="F484" s="192" t="inlineStr">
        <is>
          <t>aBalados@abalados.es</t>
        </is>
      </c>
      <c r="G484" s="192" t="inlineStr">
        <is>
          <t>China Triumph International Engineering Co., LTD EP EN SPAIN</t>
        </is>
      </c>
      <c r="H484" s="192">
        <f>VLOOKUP($G484,DATOS!$B:$E,2,FALSE)</f>
        <v/>
      </c>
      <c r="I484" s="192">
        <f>VLOOKUP($G484,DATOS!$B:$E,3,FALSE)</f>
        <v/>
      </c>
      <c r="J484" s="192">
        <f>VLOOKUP($G484,DATOS!$B:$E,4,FALSE)</f>
        <v/>
      </c>
      <c r="K484" s="192" t="inlineStr">
        <is>
          <t>Project Management for EPC Closing</t>
        </is>
      </c>
      <c r="L484" s="200" t="n"/>
      <c r="M484" s="192" t="inlineStr">
        <is>
          <t>Puerto Real 2 PV - Cádiz | Spain</t>
        </is>
      </c>
      <c r="N484" s="200" t="n"/>
      <c r="O484" s="405" t="inlineStr">
        <is>
          <t>Extintive novation of the Contract for the provision of Technical Services - February 1st 2023</t>
        </is>
      </c>
      <c r="P484" s="200" t="n"/>
      <c r="R484" s="200" t="n"/>
      <c r="S484" s="192" t="inlineStr">
        <is>
          <t>Milestone 4 - EPC Payment release</t>
        </is>
      </c>
      <c r="T484" s="200" t="n">
        <v>34900.5</v>
      </c>
      <c r="V484" s="200" t="n"/>
      <c r="X484" s="200" t="n"/>
      <c r="Z484" s="200" t="n"/>
      <c r="AA484" s="200" t="n"/>
      <c r="AB484" s="403" t="inlineStr">
        <is>
          <t>ES85 2080 3509 1130 4009 6171</t>
        </is>
      </c>
      <c r="AC484" s="192" t="inlineStr">
        <is>
          <t>pendiente</t>
        </is>
      </c>
      <c r="AD484" s="200">
        <f>L484+N484+P484+R484+T484+V484+X484+Z484</f>
        <v/>
      </c>
      <c r="AE484" s="200">
        <f>IF((LEFT(K484,6))="Contab",L484,0)</f>
        <v/>
      </c>
      <c r="AF484" s="201">
        <f>VLOOKUP(G484,CLIENTES!B:E,4,FALSE)</f>
        <v/>
      </c>
      <c r="AG484" s="200">
        <f>AF484*AE484</f>
        <v/>
      </c>
      <c r="AH484" s="200">
        <f>AD484*1.21</f>
        <v/>
      </c>
      <c r="AI484" s="283">
        <f>IF(AE484&lt;&gt;0,AG484/AD484,"N/A")</f>
        <v/>
      </c>
      <c r="AJ484" s="200">
        <f>IF(AC484="pendiente",AD484,0)</f>
        <v/>
      </c>
      <c r="AK484" s="192">
        <f>VLOOKUP(G484,CLIENTES!B:D,3,FALSE)</f>
        <v/>
      </c>
    </row>
    <row r="485" ht="15" customFormat="1" customHeight="1" s="192">
      <c r="B485" s="199" t="n"/>
      <c r="C485" s="192" t="inlineStr">
        <is>
          <t>c/ Las Cruzadas 3A, local D</t>
        </is>
      </c>
      <c r="D485" s="192" t="inlineStr">
        <is>
          <t>Sevilla 41004</t>
        </is>
      </c>
      <c r="E485" s="192" t="inlineStr">
        <is>
          <t>CIF B91938662</t>
        </is>
      </c>
      <c r="F485" s="192" t="inlineStr">
        <is>
          <t>aBalados@abalados.es</t>
        </is>
      </c>
      <c r="G485" s="192" t="inlineStr">
        <is>
          <t>Crisol Alcores, S.L.</t>
        </is>
      </c>
      <c r="H485" s="192">
        <f>VLOOKUP($G485,DATOS!$B:$E,2,FALSE)</f>
        <v/>
      </c>
      <c r="I485" s="192">
        <f>VLOOKUP($G485,DATOS!$B:$E,3,FALSE)</f>
        <v/>
      </c>
      <c r="J485" s="192">
        <f>VLOOKUP($G485,DATOS!$B:$E,4,FALSE)</f>
        <v/>
      </c>
      <c r="K485" s="192" t="inlineStr">
        <is>
          <t>Technical Advisory - PSFV Los Alcores</t>
        </is>
      </c>
      <c r="L485" s="200" t="n"/>
      <c r="N485" s="200" t="n"/>
      <c r="O485" s="405" t="inlineStr">
        <is>
          <t>Assessment of Final Acceptance process</t>
        </is>
      </c>
      <c r="P485" s="200" t="n">
        <v>3500</v>
      </c>
      <c r="Q485" s="192" t="inlineStr">
        <is>
          <t>Additional service: Site visit June 6th 2024</t>
        </is>
      </c>
      <c r="R485" s="200" t="n">
        <v>1125</v>
      </c>
      <c r="T485" s="200" t="n"/>
      <c r="V485" s="200" t="n"/>
      <c r="X485" s="200" t="n"/>
      <c r="Z485" s="200" t="n"/>
      <c r="AA485" s="200" t="n"/>
      <c r="AB485" s="403" t="inlineStr">
        <is>
          <t>ES85 2080 3509 1130 4009 6171</t>
        </is>
      </c>
      <c r="AC485" s="192" t="inlineStr">
        <is>
          <t>pendiente</t>
        </is>
      </c>
      <c r="AD485" s="200">
        <f>L485+N485+P485+R485+T485+V485+X485+Z485</f>
        <v/>
      </c>
      <c r="AE485" s="200">
        <f>IF((LEFT(K485,6))="Contab",L485,0)</f>
        <v/>
      </c>
      <c r="AF485" s="201">
        <f>VLOOKUP(G485,CLIENTES!B:E,4,FALSE)</f>
        <v/>
      </c>
      <c r="AG485" s="200">
        <f>AF485*AE485</f>
        <v/>
      </c>
      <c r="AH485" s="200">
        <f>AD485*1.21</f>
        <v/>
      </c>
      <c r="AI485" s="283">
        <f>IF(AE485&lt;&gt;0,AG485/AD485,"N/A")</f>
        <v/>
      </c>
      <c r="AJ485" s="200">
        <f>IF(AC485="pendiente",AD485,0)</f>
        <v/>
      </c>
      <c r="AK485" s="192">
        <f>VLOOKUP(G485,CLIENTES!B:D,3,FALSE)</f>
        <v/>
      </c>
    </row>
    <row r="486" ht="15" customFormat="1" customHeight="1" s="192">
      <c r="B486" s="199" t="n"/>
      <c r="C486" s="192" t="inlineStr">
        <is>
          <t>c/ Las Cruzadas 3A, local D</t>
        </is>
      </c>
      <c r="D486" s="192" t="inlineStr">
        <is>
          <t>Sevilla 41004</t>
        </is>
      </c>
      <c r="E486" s="192" t="inlineStr">
        <is>
          <t>CIF B91938662</t>
        </is>
      </c>
      <c r="F486" s="192" t="inlineStr">
        <is>
          <t>aBalados@abalados.es</t>
        </is>
      </c>
      <c r="G486" s="192" t="inlineStr">
        <is>
          <t>Jaime García de Viguera Enrile</t>
        </is>
      </c>
      <c r="H486" s="192">
        <f>VLOOKUP($G486,DATOS!$B:$E,2,FALSE)</f>
        <v/>
      </c>
      <c r="I486" s="192">
        <f>VLOOKUP($G486,DATOS!$B:$E,3,FALSE)</f>
        <v/>
      </c>
      <c r="J486" s="192">
        <f>VLOOKUP($G486,DATOS!$B:$E,4,FALSE)</f>
        <v/>
      </c>
      <c r="K486" s="192" t="inlineStr">
        <is>
          <t xml:space="preserve">Venta de Toyota Verso </t>
        </is>
      </c>
      <c r="L486" s="200" t="n">
        <v>500</v>
      </c>
      <c r="M486" s="192" t="inlineStr">
        <is>
          <t>Matrícula 7291-KBD</t>
        </is>
      </c>
      <c r="N486" s="200" t="n"/>
      <c r="O486" s="405" t="n"/>
      <c r="P486" s="200" t="n"/>
      <c r="R486" s="200" t="n"/>
      <c r="T486" s="200" t="n"/>
      <c r="V486" s="200" t="n"/>
      <c r="X486" s="200" t="n"/>
      <c r="Z486" s="200" t="n"/>
      <c r="AA486" s="200" t="n"/>
      <c r="AB486" s="403" t="inlineStr">
        <is>
          <t>ES85 2080 3509 1130 4009 6171</t>
        </is>
      </c>
      <c r="AC486" s="192" t="inlineStr">
        <is>
          <t>pendiente</t>
        </is>
      </c>
      <c r="AD486" s="200">
        <f>L486+N486+P486+R486+T486+V486+X486+Z486</f>
        <v/>
      </c>
      <c r="AE486" s="200">
        <f>IF((LEFT(K486,6))="Contab",L486,0)</f>
        <v/>
      </c>
      <c r="AF486" s="201">
        <f>VLOOKUP(G486,CLIENTES!B:E,4,FALSE)</f>
        <v/>
      </c>
      <c r="AG486" s="200">
        <f>AF486*AE486</f>
        <v/>
      </c>
      <c r="AH486" s="200">
        <f>AD486*1.21</f>
        <v/>
      </c>
      <c r="AI486" s="283">
        <f>IF(AE486&lt;&gt;0,AG486/AD486,"N/A")</f>
        <v/>
      </c>
      <c r="AJ486" s="200">
        <f>IF(AC486="pendiente",AD486,0)</f>
        <v/>
      </c>
      <c r="AK486" s="192">
        <f>VLOOKUP(G486,CLIENTES!B:D,3,FALSE)</f>
        <v/>
      </c>
    </row>
    <row r="487" ht="15" customFormat="1" customHeight="1" s="192">
      <c r="B487" s="199" t="n"/>
      <c r="C487" s="192" t="inlineStr">
        <is>
          <t>c/ Las Cruzadas 3A, local D</t>
        </is>
      </c>
      <c r="D487" s="192" t="inlineStr">
        <is>
          <t>Sevilla 41004</t>
        </is>
      </c>
      <c r="E487" s="192" t="inlineStr">
        <is>
          <t>CIF B91938662</t>
        </is>
      </c>
      <c r="F487" s="192" t="inlineStr">
        <is>
          <t>aBalados@abalados.es</t>
        </is>
      </c>
      <c r="G487" s="192" t="inlineStr">
        <is>
          <t>Saja Renovables, S.L.</t>
        </is>
      </c>
      <c r="H487" s="192">
        <f>VLOOKUP($G487,DATOS!$B:$E,2,FALSE)</f>
        <v/>
      </c>
      <c r="I487" s="192">
        <f>VLOOKUP($G487,DATOS!$B:$E,3,FALSE)</f>
        <v/>
      </c>
      <c r="J487" s="192">
        <f>VLOOKUP($G487,DATOS!$B:$E,4,FALSE)</f>
        <v/>
      </c>
      <c r="K487" s="192" t="inlineStr">
        <is>
          <t>Servicios extraordinarios - Operación &amp; Mantenimiento</t>
        </is>
      </c>
      <c r="L487" s="200" t="n"/>
      <c r="M487" s="192" t="inlineStr">
        <is>
          <t>Correctivos extraordinarios tras auditoría inicial</t>
        </is>
      </c>
      <c r="N487" s="200" t="n"/>
      <c r="O487" s="405" t="inlineStr">
        <is>
          <t>Revamping inversores Saja Renovables - Hito 1 (30%)</t>
        </is>
      </c>
      <c r="P487" s="200">
        <f>0.3*38865</f>
        <v/>
      </c>
      <c r="R487" s="200" t="n"/>
      <c r="T487" s="200" t="n"/>
      <c r="U487" s="406" t="inlineStr">
        <is>
          <t>- PSFV Atarfe I</t>
        </is>
      </c>
      <c r="V487" s="200" t="n"/>
      <c r="W487" s="406" t="inlineStr">
        <is>
          <t>- PSFV Atarfe V</t>
        </is>
      </c>
      <c r="X487" s="200" t="n"/>
      <c r="Y487" s="406" t="inlineStr">
        <is>
          <t>- PSFV Moclin I</t>
        </is>
      </c>
      <c r="Z487" s="200" t="n"/>
      <c r="AA487" s="200" t="n"/>
      <c r="AB487" s="403" t="inlineStr">
        <is>
          <t>ES85 2080 3509 1130 4009 6171</t>
        </is>
      </c>
      <c r="AC487" s="192" t="inlineStr">
        <is>
          <t>pendiente</t>
        </is>
      </c>
      <c r="AD487" s="200">
        <f>L487+N487+P487+R487+T487+V487+X487+Z487</f>
        <v/>
      </c>
      <c r="AE487" s="200">
        <f>IF((LEFT(K487,6))="Contab",L487,0)</f>
        <v/>
      </c>
      <c r="AF487" s="201">
        <f>VLOOKUP(G487,CLIENTES!B:E,4,FALSE)</f>
        <v/>
      </c>
      <c r="AG487" s="200">
        <f>AF487*AE487</f>
        <v/>
      </c>
      <c r="AH487" s="200">
        <f>AD487*1.21</f>
        <v/>
      </c>
      <c r="AI487" s="283">
        <f>IF(AE487&lt;&gt;0,AG487/AD487,"N/A")</f>
        <v/>
      </c>
      <c r="AJ487" s="200">
        <f>IF(AC487="pendiente",AD487,0)</f>
        <v/>
      </c>
      <c r="AK487" s="192">
        <f>VLOOKUP(G487,CLIENTES!B:D,3,FALSE)</f>
        <v/>
      </c>
    </row>
    <row r="488" ht="15" customFormat="1" customHeight="1" s="189">
      <c r="B488" s="188" t="n"/>
      <c r="C488" s="189" t="inlineStr">
        <is>
          <t>c/ Las Cruzadas 3A, local D</t>
        </is>
      </c>
      <c r="D488" s="189" t="inlineStr">
        <is>
          <t>Sevilla 41004</t>
        </is>
      </c>
      <c r="E488" s="189" t="inlineStr">
        <is>
          <t>CIF B91938662</t>
        </is>
      </c>
      <c r="F488" s="189" t="inlineStr">
        <is>
          <t>aBalados@abalados.es</t>
        </is>
      </c>
      <c r="G488" s="189" t="inlineStr">
        <is>
          <t>China Triumph International Engineering Co., LTD EP EN SPAIN</t>
        </is>
      </c>
      <c r="H488" s="189">
        <f>VLOOKUP($G488,DATOS!$B:$E,2,FALSE)</f>
        <v/>
      </c>
      <c r="I488" s="189">
        <f>VLOOKUP($G488,DATOS!$B:$E,3,FALSE)</f>
        <v/>
      </c>
      <c r="J488" s="189">
        <f>VLOOKUP($G488,DATOS!$B:$E,4,FALSE)</f>
        <v/>
      </c>
      <c r="K488" s="189" t="inlineStr">
        <is>
          <t>Technical Advisory  -  DoA No.2401_04</t>
        </is>
      </c>
      <c r="L488" s="190" t="n"/>
      <c r="M488" s="189" t="inlineStr">
        <is>
          <t>Puerto Real 1 PV - Cádiz | Spain</t>
        </is>
      </c>
      <c r="N488" s="190" t="n"/>
      <c r="P488" s="190" t="n"/>
      <c r="Q488" s="189" t="inlineStr">
        <is>
          <t>Advanced payment for renewal of contracted insurance coverage</t>
        </is>
      </c>
      <c r="R488" s="190">
        <f>2505.06/1.21</f>
        <v/>
      </c>
      <c r="T488" s="190" t="n"/>
      <c r="V488" s="190" t="n"/>
      <c r="X488" s="190" t="n"/>
      <c r="Z488" s="190" t="n"/>
      <c r="AA488" s="190" t="n"/>
      <c r="AB488" s="400" t="inlineStr">
        <is>
          <t>ES85 2080 3509 1130 4009 6171</t>
        </is>
      </c>
      <c r="AC488" s="189" t="inlineStr">
        <is>
          <t>pendiente</t>
        </is>
      </c>
      <c r="AD488" s="190">
        <f>L488+N488+P488+R488+T488+V488+X488+Z488</f>
        <v/>
      </c>
      <c r="AE488" s="190">
        <f>IF((LEFT(K488,6))="Contab",L488,0)</f>
        <v/>
      </c>
      <c r="AF488" s="191">
        <f>VLOOKUP(G488,CLIENTES!B:E,4,FALSE)</f>
        <v/>
      </c>
      <c r="AG488" s="190">
        <f>AF488*AE488</f>
        <v/>
      </c>
      <c r="AH488" s="190">
        <f>AD488*1.21</f>
        <v/>
      </c>
      <c r="AI488" s="289">
        <f>IF(AE488&lt;&gt;0,AG488/AD488,"N/A")</f>
        <v/>
      </c>
      <c r="AJ488" s="190">
        <f>IF(AC488="pendiente",AD488,0)</f>
        <v/>
      </c>
      <c r="AK488" s="189">
        <f>VLOOKUP(G488,CLIENTES!B:D,3,FALSE)</f>
        <v/>
      </c>
    </row>
    <row r="489" ht="15" customFormat="1" customHeight="1" s="195">
      <c r="B489" s="194" t="n"/>
      <c r="C489" s="195" t="inlineStr">
        <is>
          <t>c/ Las Cruzadas 3A, local D</t>
        </is>
      </c>
      <c r="D489" s="195" t="inlineStr">
        <is>
          <t>Sevilla 41004</t>
        </is>
      </c>
      <c r="E489" s="195" t="inlineStr">
        <is>
          <t>CIF B91938662</t>
        </is>
      </c>
      <c r="F489" s="195" t="inlineStr">
        <is>
          <t>aBalados@abalados.es</t>
        </is>
      </c>
      <c r="G489" s="195" t="inlineStr">
        <is>
          <t>FP LUX REIO PV VALLADOLID, S.L.U.</t>
        </is>
      </c>
      <c r="H489" s="195">
        <f>VLOOKUP($G489,DATOS!$B:$E,2,FALSE)</f>
        <v/>
      </c>
      <c r="I489" s="195">
        <f>VLOOKUP($G489,DATOS!$B:$E,3,FALSE)</f>
        <v/>
      </c>
      <c r="J489" s="195">
        <f>VLOOKUP($G489,DATOS!$B:$E,4,FALSE)</f>
        <v/>
      </c>
      <c r="K489" s="195" t="inlineStr">
        <is>
          <t>Proyecto Verdinales - Valladolid</t>
        </is>
      </c>
      <c r="L489" s="196" t="n"/>
      <c r="M489" s="195" t="inlineStr">
        <is>
          <t>Refacturación gastos y/o servicios prestados a nombre de la sociedad</t>
        </is>
      </c>
      <c r="N489" s="196" t="n"/>
      <c r="P489" s="196" t="n"/>
      <c r="Q489" s="195" t="inlineStr">
        <is>
          <t>Nota informativa Registro Mercantil</t>
        </is>
      </c>
      <c r="R489" s="196" t="n">
        <v>6.58</v>
      </c>
      <c r="T489" s="196" t="n"/>
      <c r="V489" s="196" t="n"/>
      <c r="X489" s="196" t="n"/>
      <c r="Z489" s="196" t="n"/>
      <c r="AA489" s="196" t="n"/>
      <c r="AB489" s="197" t="inlineStr">
        <is>
          <t>ES85 2080 3509 1130 4009 6171</t>
        </is>
      </c>
      <c r="AC489" s="195" t="inlineStr">
        <is>
          <t>pendiente</t>
        </is>
      </c>
      <c r="AD489" s="196">
        <f>L489+N489+P489+R489+T489+V489+X489+Z489</f>
        <v/>
      </c>
      <c r="AE489" s="196">
        <f>IF((LEFT(K489,6))="Contab",L489,0)</f>
        <v/>
      </c>
      <c r="AF489" s="197">
        <f>VLOOKUP(G489,CLIENTES!B:E,4,FALSE)</f>
        <v/>
      </c>
      <c r="AG489" s="196">
        <f>AF489*AE489</f>
        <v/>
      </c>
      <c r="AH489" s="196">
        <f>AD489*1.21</f>
        <v/>
      </c>
      <c r="AI489" s="285">
        <f>IF(AE489&lt;&gt;0,AG489/AD489,"N/A")</f>
        <v/>
      </c>
      <c r="AJ489" s="196">
        <f>IF(AC489="pendiente",AD489,0)</f>
        <v/>
      </c>
      <c r="AK489" s="195">
        <f>VLOOKUP(G489,CLIENTES!B:D,3,FALSE)</f>
        <v/>
      </c>
    </row>
    <row r="490" ht="15" customFormat="1" customHeight="1" s="278">
      <c r="B490" s="279" t="n"/>
      <c r="C490" s="278" t="inlineStr">
        <is>
          <t>c/ Las Cruzadas 3A, local D</t>
        </is>
      </c>
      <c r="D490" s="278" t="inlineStr">
        <is>
          <t>Sevilla 41004</t>
        </is>
      </c>
      <c r="E490" s="278" t="inlineStr">
        <is>
          <t>CIF B91938662</t>
        </is>
      </c>
      <c r="F490" s="278" t="inlineStr">
        <is>
          <t>aBalados@abalados.es</t>
        </is>
      </c>
      <c r="G490" s="278" t="inlineStr">
        <is>
          <t>FP LUX REIO PV ZARAGOZA SL.</t>
        </is>
      </c>
      <c r="H490" s="278">
        <f>VLOOKUP($G490,DATOS!$B:$E,2,FALSE)</f>
        <v/>
      </c>
      <c r="I490" s="278">
        <f>VLOOKUP($G490,DATOS!$B:$E,3,FALSE)</f>
        <v/>
      </c>
      <c r="J490" s="278">
        <f>VLOOKUP($G490,DATOS!$B:$E,4,FALSE)</f>
        <v/>
      </c>
      <c r="K490" s="278" t="inlineStr">
        <is>
          <t>Proyecto El Marqués - Zaragoza</t>
        </is>
      </c>
      <c r="L490" s="280" t="n"/>
      <c r="M490" s="278" t="inlineStr">
        <is>
          <t>Refacturación gastos y/o servicios prestados a nombre de la sociedad</t>
        </is>
      </c>
      <c r="N490" s="280" t="n"/>
      <c r="P490" s="280" t="n"/>
      <c r="Q490" s="278" t="inlineStr">
        <is>
          <t>Nota informativa Registro Mercantil</t>
        </is>
      </c>
      <c r="R490" s="280" t="n">
        <v>7.79</v>
      </c>
      <c r="T490" s="280" t="n"/>
      <c r="V490" s="280" t="n"/>
      <c r="X490" s="280" t="n"/>
      <c r="Z490" s="280" t="n"/>
      <c r="AA490" s="280" t="n"/>
      <c r="AB490" s="281" t="inlineStr">
        <is>
          <t>ES85 2080 3509 1130 4009 6171</t>
        </is>
      </c>
      <c r="AC490" s="278" t="inlineStr">
        <is>
          <t>pendiente</t>
        </is>
      </c>
      <c r="AD490" s="280">
        <f>L490+N490+P490+R490+T490+V490+X490+Z490</f>
        <v/>
      </c>
      <c r="AE490" s="280">
        <f>IF((LEFT(K490,6))="Contab",L490,0)</f>
        <v/>
      </c>
      <c r="AF490" s="281">
        <f>VLOOKUP(G490,CLIENTES!B:E,4,FALSE)</f>
        <v/>
      </c>
      <c r="AG490" s="280">
        <f>AF490*AE490</f>
        <v/>
      </c>
      <c r="AH490" s="280">
        <f>AD490*1.21</f>
        <v/>
      </c>
      <c r="AI490" s="284">
        <f>IF(AE490&lt;&gt;0,AG490/AD490,"N/A")</f>
        <v/>
      </c>
      <c r="AJ490" s="280">
        <f>IF(AC490="pendiente",AD490,0)</f>
        <v/>
      </c>
      <c r="AK490" s="278">
        <f>VLOOKUP(G490,CLIENTES!B:D,3,FALSE)</f>
        <v/>
      </c>
    </row>
    <row r="491" ht="15" customFormat="1" customHeight="1" s="278">
      <c r="B491" s="199" t="n"/>
      <c r="C491" s="278" t="inlineStr">
        <is>
          <t>c/ Las Cruzadas 3A, local D</t>
        </is>
      </c>
      <c r="D491" s="278" t="inlineStr">
        <is>
          <t>Sevilla 41004</t>
        </is>
      </c>
      <c r="E491" s="278" t="inlineStr">
        <is>
          <t>CIF B91938662</t>
        </is>
      </c>
      <c r="F491" s="278" t="inlineStr">
        <is>
          <t>aBalados@abalados.es</t>
        </is>
      </c>
      <c r="G491" s="278" t="inlineStr">
        <is>
          <t>Técnicas y Servicios de Automoción, S.A.</t>
        </is>
      </c>
      <c r="H491" s="278">
        <f>VLOOKUP($G491,DATOS!$B:$E,2,FALSE)</f>
        <v/>
      </c>
      <c r="I491" s="278">
        <f>VLOOKUP($G491,DATOS!$B:$E,3,FALSE)</f>
        <v/>
      </c>
      <c r="J491" s="278">
        <f>VLOOKUP($G491,DATOS!$B:$E,4,FALSE)</f>
        <v/>
      </c>
      <c r="K491" s="278" t="inlineStr">
        <is>
          <t>Venta vehículo</t>
        </is>
      </c>
      <c r="L491" s="280" t="n"/>
      <c r="M491" s="278" t="inlineStr">
        <is>
          <t>Peugeot Expert - 0415 LGK</t>
        </is>
      </c>
      <c r="N491" s="280">
        <f>2200/1.21</f>
        <v/>
      </c>
      <c r="P491" s="280" t="n"/>
      <c r="R491" s="280" t="n"/>
      <c r="T491" s="280" t="n"/>
      <c r="V491" s="280" t="n"/>
      <c r="X491" s="280" t="n"/>
      <c r="Z491" s="280" t="n"/>
      <c r="AA491" s="280" t="n"/>
      <c r="AB491" s="281" t="inlineStr">
        <is>
          <t>ES85 2080 3509 1130 4009 6171</t>
        </is>
      </c>
      <c r="AC491" s="278" t="inlineStr">
        <is>
          <t>pendiente</t>
        </is>
      </c>
      <c r="AD491" s="280">
        <f>L491+N491+P491+R491+T491+V491+X491+Z491</f>
        <v/>
      </c>
      <c r="AE491" s="280">
        <f>IF((LEFT(K491,6))="Contab",L491,0)</f>
        <v/>
      </c>
      <c r="AF491" s="281">
        <f>VLOOKUP(G491,CLIENTES!B:E,4,FALSE)</f>
        <v/>
      </c>
      <c r="AG491" s="280">
        <f>AF491*AE491</f>
        <v/>
      </c>
      <c r="AH491" s="280">
        <f>AD491*1.21</f>
        <v/>
      </c>
      <c r="AI491" s="284">
        <f>IF(AE491&lt;&gt;0,AG491/AD491,"N/A")</f>
        <v/>
      </c>
      <c r="AJ491" s="280">
        <f>IF(AC491="pendiente",AD491,0)</f>
        <v/>
      </c>
      <c r="AK491" s="278">
        <f>VLOOKUP(G491,CLIENTES!B:D,3,FALSE)</f>
        <v/>
      </c>
    </row>
    <row r="492" ht="15" customFormat="1" customHeight="1" s="195">
      <c r="B492" s="279" t="n"/>
      <c r="C492" s="195" t="inlineStr">
        <is>
          <t>c/ Las Cruzadas 3A, local D</t>
        </is>
      </c>
      <c r="D492" s="195" t="inlineStr">
        <is>
          <t>Sevilla 41004</t>
        </is>
      </c>
      <c r="E492" s="195" t="inlineStr">
        <is>
          <t>CIF B91938662</t>
        </is>
      </c>
      <c r="F492" s="195" t="inlineStr">
        <is>
          <t>aBalados@abalados.es</t>
        </is>
      </c>
      <c r="G492" s="195" t="inlineStr">
        <is>
          <t>Saja Renovables, S.L.</t>
        </is>
      </c>
      <c r="H492" s="195">
        <f>VLOOKUP($G492,DATOS!$B:$E,2,FALSE)</f>
        <v/>
      </c>
      <c r="I492" s="195">
        <f>VLOOKUP($G492,DATOS!$B:$E,3,FALSE)</f>
        <v/>
      </c>
      <c r="J492" s="195">
        <f>VLOOKUP($G492,DATOS!$B:$E,4,FALSE)</f>
        <v/>
      </c>
      <c r="K492" s="195" t="inlineStr">
        <is>
          <t>Honorarios - Contrato Operación &amp; Mantenimiento</t>
        </is>
      </c>
      <c r="L492" s="196" t="n"/>
      <c r="M492" s="195" t="inlineStr">
        <is>
          <t>Fee Trimestral - Inicio contrato (1Julio 2024) / 30Septiembre 2024</t>
        </is>
      </c>
      <c r="N492" s="196">
        <f>3*(46575/12)</f>
        <v/>
      </c>
      <c r="P492" s="196" t="n"/>
      <c r="Q492" s="195" t="inlineStr">
        <is>
          <t xml:space="preserve">   · PSFV Atarfe I</t>
        </is>
      </c>
      <c r="R492" s="196" t="n"/>
      <c r="S492" s="195" t="inlineStr">
        <is>
          <t xml:space="preserve">   · PSFV Atarfe V</t>
        </is>
      </c>
      <c r="T492" s="196" t="n"/>
      <c r="U492" s="195" t="inlineStr">
        <is>
          <t xml:space="preserve">   · PSFV Moclin I</t>
        </is>
      </c>
      <c r="V492" s="196" t="n"/>
      <c r="X492" s="196" t="n"/>
      <c r="Z492" s="196" t="n"/>
      <c r="AA492" s="196" t="n"/>
      <c r="AB492" s="197" t="inlineStr">
        <is>
          <t>ES85 2080 3509 1130 4009 6171</t>
        </is>
      </c>
      <c r="AC492" s="195" t="inlineStr">
        <is>
          <t>pendiente</t>
        </is>
      </c>
      <c r="AD492" s="196">
        <f>L492+N492+P492+R492+T492+V492+X492+Z492</f>
        <v/>
      </c>
      <c r="AE492" s="196">
        <f>IF((LEFT(K492,6))="Contab",L492,0)</f>
        <v/>
      </c>
      <c r="AF492" s="197">
        <f>VLOOKUP(G492,CLIENTES!B:E,4,FALSE)</f>
        <v/>
      </c>
      <c r="AG492" s="196">
        <f>AF492*AE492</f>
        <v/>
      </c>
      <c r="AH492" s="196">
        <f>AD492*1.21</f>
        <v/>
      </c>
      <c r="AI492" s="285">
        <f>IF(AE492&lt;&gt;0,AG492/AD492,"N/A")</f>
        <v/>
      </c>
      <c r="AJ492" s="196">
        <f>IF(AC492="pendiente",AD492,0)</f>
        <v/>
      </c>
      <c r="AK492" s="195">
        <f>VLOOKUP(G492,CLIENTES!B:D,3,FALSE)</f>
        <v/>
      </c>
    </row>
    <row r="493" ht="15" customFormat="1" customHeight="1" s="278">
      <c r="B493" s="279" t="n"/>
      <c r="C493" s="278" t="inlineStr">
        <is>
          <t>c/ Las Cruzadas 3A, local D</t>
        </is>
      </c>
      <c r="D493" s="278" t="inlineStr">
        <is>
          <t>Sevilla 41004</t>
        </is>
      </c>
      <c r="E493" s="278" t="inlineStr">
        <is>
          <t>CIF B91938662</t>
        </is>
      </c>
      <c r="F493" s="278" t="inlineStr">
        <is>
          <t>aBalados@abalados.es</t>
        </is>
      </c>
      <c r="G493" s="278" t="inlineStr">
        <is>
          <t>C2C Inver Park, S.L.</t>
        </is>
      </c>
      <c r="H493" s="278">
        <f>VLOOKUP($G493,DATOS!$B:$E,2,FALSE)</f>
        <v/>
      </c>
      <c r="I493" s="278">
        <f>VLOOKUP($G493,DATOS!$B:$E,3,FALSE)</f>
        <v/>
      </c>
      <c r="J493" s="278">
        <f>VLOOKUP($G493,DATOS!$B:$E,4,FALSE)</f>
        <v/>
      </c>
      <c r="K493" s="278" t="inlineStr">
        <is>
          <t>Honorarios - Contrato Operación &amp; Mantenimiento</t>
        </is>
      </c>
      <c r="L493" s="280" t="n"/>
      <c r="M493" s="278" t="inlineStr">
        <is>
          <t>Fee Trimestral - Inicio contrato (1Agosto 2024) / 30Septiembre 2024</t>
        </is>
      </c>
      <c r="N493" s="280">
        <f>2*(25470/12)</f>
        <v/>
      </c>
      <c r="P493" s="280" t="n"/>
      <c r="Q493" s="278" t="inlineStr">
        <is>
          <t xml:space="preserve">   · PSFV C2C Inver Park</t>
        </is>
      </c>
      <c r="R493" s="280" t="n"/>
      <c r="T493" s="280" t="n"/>
      <c r="V493" s="280" t="n"/>
      <c r="X493" s="280" t="n"/>
      <c r="Z493" s="280" t="n"/>
      <c r="AA493" s="280" t="n"/>
      <c r="AB493" s="281" t="inlineStr">
        <is>
          <t>ES85 2080 3509 1130 4009 6171</t>
        </is>
      </c>
      <c r="AC493" s="278" t="inlineStr">
        <is>
          <t>pendiente</t>
        </is>
      </c>
      <c r="AD493" s="280">
        <f>L493+N493+P493+R493+T493+V493+X493+Z493</f>
        <v/>
      </c>
      <c r="AE493" s="280">
        <f>IF((LEFT(K493,6))="Contab",L493,0)</f>
        <v/>
      </c>
      <c r="AF493" s="281">
        <f>VLOOKUP(G493,CLIENTES!B:E,4,FALSE)</f>
        <v/>
      </c>
      <c r="AG493" s="280">
        <f>AF493*AE493</f>
        <v/>
      </c>
      <c r="AH493" s="280">
        <f>AD493*1.21</f>
        <v/>
      </c>
      <c r="AI493" s="284">
        <f>IF(AE493&lt;&gt;0,AG493/AD493,"N/A")</f>
        <v/>
      </c>
      <c r="AJ493" s="280">
        <f>IF(AC493="pendiente",AD493,0)</f>
        <v/>
      </c>
      <c r="AK493" s="278">
        <f>VLOOKUP(G493,CLIENTES!B:D,3,FALSE)</f>
        <v/>
      </c>
    </row>
    <row r="494" ht="15" customFormat="1" customHeight="1" s="278">
      <c r="B494" s="279" t="n"/>
      <c r="C494" s="278" t="inlineStr">
        <is>
          <t>c/ Las Cruzadas 3A, local D</t>
        </is>
      </c>
      <c r="D494" s="278" t="inlineStr">
        <is>
          <t>Sevilla 41004</t>
        </is>
      </c>
      <c r="E494" s="278" t="inlineStr">
        <is>
          <t>CIF B91938662</t>
        </is>
      </c>
      <c r="F494" s="278" t="inlineStr">
        <is>
          <t>aBalados@abalados.es</t>
        </is>
      </c>
      <c r="G494" s="278" t="inlineStr">
        <is>
          <t>Desarrollos Fotovoltaicos Mas del Bou, S.L.</t>
        </is>
      </c>
      <c r="H494" s="278">
        <f>VLOOKUP($G494,DATOS!$B:$E,2,FALSE)</f>
        <v/>
      </c>
      <c r="I494" s="278">
        <f>VLOOKUP($G494,DATOS!$B:$E,3,FALSE)</f>
        <v/>
      </c>
      <c r="J494" s="278">
        <f>VLOOKUP($G494,DATOS!$B:$E,4,FALSE)</f>
        <v/>
      </c>
      <c r="K494" s="278" t="inlineStr">
        <is>
          <t>Honorarios - Contrato Operación &amp; Mantenimiento</t>
        </is>
      </c>
      <c r="L494" s="280" t="n"/>
      <c r="M494" s="278" t="inlineStr">
        <is>
          <t>Fee Trimestral - Inicio contrato (1Agosto 2024) / 30Septiembre 2024</t>
        </is>
      </c>
      <c r="N494" s="280">
        <f>2*(5186/12)</f>
        <v/>
      </c>
      <c r="P494" s="280" t="n"/>
      <c r="Q494" s="278" t="inlineStr">
        <is>
          <t xml:space="preserve">   · PSFV Cubierta Mas del Bou</t>
        </is>
      </c>
      <c r="R494" s="280" t="n"/>
      <c r="T494" s="280" t="n"/>
      <c r="V494" s="280" t="n"/>
      <c r="X494" s="280" t="n"/>
      <c r="Z494" s="280" t="n"/>
      <c r="AA494" s="280" t="n"/>
      <c r="AB494" s="281" t="inlineStr">
        <is>
          <t>ES85 2080 3509 1130 4009 6171</t>
        </is>
      </c>
      <c r="AC494" s="278" t="inlineStr">
        <is>
          <t>pendiente</t>
        </is>
      </c>
      <c r="AD494" s="280">
        <f>L494+N494+P494+R494+T494+V494+X494+Z494</f>
        <v/>
      </c>
      <c r="AE494" s="280">
        <f>IF((LEFT(K494,6))="Contab",L494,0)</f>
        <v/>
      </c>
      <c r="AF494" s="281">
        <f>VLOOKUP(G494,CLIENTES!B:E,4,FALSE)</f>
        <v/>
      </c>
      <c r="AG494" s="280">
        <f>AF494*AE494</f>
        <v/>
      </c>
      <c r="AH494" s="280">
        <f>AD494*1.21</f>
        <v/>
      </c>
      <c r="AI494" s="284">
        <f>IF(AE494&lt;&gt;0,AG494/AD494,"N/A")</f>
        <v/>
      </c>
      <c r="AJ494" s="280">
        <f>IF(AC494="pendiente",AD494,0)</f>
        <v/>
      </c>
      <c r="AK494" s="278">
        <f>VLOOKUP(G494,CLIENTES!B:D,3,FALSE)</f>
        <v/>
      </c>
    </row>
    <row r="495" ht="15" customFormat="1" customHeight="1" s="278">
      <c r="B495" s="279" t="n"/>
      <c r="C495" s="278" t="inlineStr">
        <is>
          <t>c/ Las Cruzadas 3A, local D</t>
        </is>
      </c>
      <c r="D495" s="278" t="inlineStr">
        <is>
          <t>Sevilla 41004</t>
        </is>
      </c>
      <c r="E495" s="278" t="inlineStr">
        <is>
          <t>CIF B91938662</t>
        </is>
      </c>
      <c r="F495" s="278" t="inlineStr">
        <is>
          <t>aBalados@abalados.es</t>
        </is>
      </c>
      <c r="G495" s="278" t="inlineStr">
        <is>
          <t>Saja Renovables, S.L.</t>
        </is>
      </c>
      <c r="H495" s="278">
        <f>VLOOKUP($G495,DATOS!$B:$E,2,FALSE)</f>
        <v/>
      </c>
      <c r="I495" s="278">
        <f>VLOOKUP($G495,DATOS!$B:$E,3,FALSE)</f>
        <v/>
      </c>
      <c r="J495" s="278">
        <f>VLOOKUP($G495,DATOS!$B:$E,4,FALSE)</f>
        <v/>
      </c>
      <c r="K495" s="278" t="inlineStr">
        <is>
          <t>Servicios Extraordinarios - Contrato Operación &amp; Mantenimiento</t>
        </is>
      </c>
      <c r="L495" s="280" t="n"/>
      <c r="M495" s="278" t="inlineStr">
        <is>
          <t>Mantenimiento correctivo extraordinario - Puesta a punto</t>
        </is>
      </c>
      <c r="N495" s="280" t="n"/>
      <c r="P495" s="280" t="n"/>
      <c r="Q495" s="278" t="inlineStr">
        <is>
          <t xml:space="preserve">  · Subsanación fallo ventiladores (5 inversores Atarfe I, 3 inversores Atarfe V, 8 inversores Moclin I) </t>
        </is>
      </c>
      <c r="R495" s="280">
        <f>16*180</f>
        <v/>
      </c>
      <c r="S495" s="278" t="inlineStr">
        <is>
          <t xml:space="preserve">  · PSFV Atarfe I: Adquisición SAI e instalación</t>
        </is>
      </c>
      <c r="T495" s="280" t="n">
        <v>370</v>
      </c>
      <c r="U495" s="278" t="inlineStr">
        <is>
          <t xml:space="preserve">  · Resolución fallo comunicaciones (2 inversores Atarfe I)</t>
        </is>
      </c>
      <c r="V495" s="280">
        <f>2*180</f>
        <v/>
      </c>
      <c r="W495" s="278" t="inlineStr">
        <is>
          <t xml:space="preserve">  · Recableado cuadros de protección (2 cuadros Atarfe I)</t>
        </is>
      </c>
      <c r="X495" s="280">
        <f>270*2</f>
        <v/>
      </c>
      <c r="Y495" s="278" t="inlineStr">
        <is>
          <t xml:space="preserve">  · Asistencia presencial para inspección periódica reglamentaria (OCA)</t>
        </is>
      </c>
      <c r="Z495" s="280">
        <f>720+50</f>
        <v/>
      </c>
      <c r="AA495" s="280" t="n"/>
      <c r="AB495" s="281" t="inlineStr">
        <is>
          <t>ES85 2080 3509 1130 4009 6171</t>
        </is>
      </c>
      <c r="AC495" s="278" t="inlineStr">
        <is>
          <t>pendiente</t>
        </is>
      </c>
      <c r="AD495" s="280">
        <f>L495+N495+P495+R495+T495+V495+X495+Z495</f>
        <v/>
      </c>
      <c r="AE495" s="280">
        <f>IF((LEFT(K495,6))="Contab",L495,0)</f>
        <v/>
      </c>
      <c r="AF495" s="281">
        <f>VLOOKUP(G495,CLIENTES!B:E,4,FALSE)</f>
        <v/>
      </c>
      <c r="AG495" s="280">
        <f>AF495*AE495</f>
        <v/>
      </c>
      <c r="AH495" s="280">
        <f>AD495*1.21</f>
        <v/>
      </c>
      <c r="AI495" s="284">
        <f>IF(AE495&lt;&gt;0,AG495/AD495,"N/A")</f>
        <v/>
      </c>
      <c r="AJ495" s="280">
        <f>IF(AC495="pendiente",AD495,0)</f>
        <v/>
      </c>
      <c r="AK495" s="278">
        <f>VLOOKUP(G495,CLIENTES!B:D,3,FALSE)</f>
        <v/>
      </c>
    </row>
    <row r="496" ht="15" customFormat="1" customHeight="1" s="278">
      <c r="B496" s="279" t="n"/>
      <c r="C496" s="278" t="inlineStr">
        <is>
          <t>c/ Las Cruzadas 3A, local D</t>
        </is>
      </c>
      <c r="D496" s="278" t="inlineStr">
        <is>
          <t>Sevilla 41004</t>
        </is>
      </c>
      <c r="E496" s="278" t="inlineStr">
        <is>
          <t>CIF B91938662</t>
        </is>
      </c>
      <c r="F496" s="278" t="inlineStr">
        <is>
          <t>aBalados@abalados.es</t>
        </is>
      </c>
      <c r="G496" s="278" t="inlineStr">
        <is>
          <t>C2C Inver Park, S.L.</t>
        </is>
      </c>
      <c r="H496" s="278">
        <f>VLOOKUP($G496,DATOS!$B:$E,2,FALSE)</f>
        <v/>
      </c>
      <c r="I496" s="278">
        <f>VLOOKUP($G496,DATOS!$B:$E,3,FALSE)</f>
        <v/>
      </c>
      <c r="J496" s="278">
        <f>VLOOKUP($G496,DATOS!$B:$E,4,FALSE)</f>
        <v/>
      </c>
      <c r="K496" s="278" t="inlineStr">
        <is>
          <t>Servicios Extraordinarios - Contrato Operación &amp; Mantenimiento</t>
        </is>
      </c>
      <c r="L496" s="280" t="n"/>
      <c r="M496" s="278" t="inlineStr">
        <is>
          <t>Mantenimiento correctivo extraordinario - Puesta a punto</t>
        </is>
      </c>
      <c r="N496" s="280" t="n"/>
      <c r="P496" s="280" t="n"/>
      <c r="Q496" s="278" t="inlineStr">
        <is>
          <t xml:space="preserve">  · Mano de Obra</t>
        </is>
      </c>
      <c r="R496" s="280" t="n">
        <v>3360</v>
      </c>
      <c r="S496" s="278" t="inlineStr">
        <is>
          <t xml:space="preserve">  · 12-23/08/2024 - Plataforma TE-136 12 M (XMAQ-LIGHT SL)</t>
        </is>
      </c>
      <c r="T496" s="280" t="n">
        <v>690.27</v>
      </c>
      <c r="U496" s="407" t="inlineStr">
        <is>
          <t xml:space="preserve">      - Subsanación de 4 fases a 0.</t>
        </is>
      </c>
      <c r="V496" s="280" t="n"/>
      <c r="W496" s="407" t="inlineStr">
        <is>
          <t xml:space="preserve">      - Sustitución de 4 módulos.</t>
        </is>
      </c>
      <c r="X496" s="280" t="n"/>
      <c r="Y496" s="407" t="inlineStr">
        <is>
          <t xml:space="preserve">      - Fase diagnosticada, pendiente de recibir stock para sustitución de módulo.</t>
        </is>
      </c>
      <c r="Z496" s="280" t="n"/>
      <c r="AA496" s="280" t="n"/>
      <c r="AB496" s="281" t="inlineStr">
        <is>
          <t>ES85 2080 3509 1130 4009 6171</t>
        </is>
      </c>
      <c r="AC496" s="278" t="inlineStr">
        <is>
          <t>pendiente</t>
        </is>
      </c>
      <c r="AD496" s="280">
        <f>L496+N496+P496+R496+T496+V496+X496+Z496</f>
        <v/>
      </c>
      <c r="AE496" s="280">
        <f>IF((LEFT(K496,6))="Contab",L496,0)</f>
        <v/>
      </c>
      <c r="AF496" s="281">
        <f>VLOOKUP(G496,CLIENTES!B:E,4,FALSE)</f>
        <v/>
      </c>
      <c r="AG496" s="280">
        <f>AF496*AE496</f>
        <v/>
      </c>
      <c r="AH496" s="280">
        <f>AD496*1.21</f>
        <v/>
      </c>
      <c r="AI496" s="284">
        <f>IF(AE496&lt;&gt;0,AG496/AD496,"N/A")</f>
        <v/>
      </c>
      <c r="AJ496" s="280">
        <f>IF(AC496="pendiente",AD496,0)</f>
        <v/>
      </c>
      <c r="AK496" s="278">
        <f>VLOOKUP(G496,CLIENTES!B:D,3,FALSE)</f>
        <v/>
      </c>
    </row>
    <row r="497" ht="15" customFormat="1" customHeight="1" s="278">
      <c r="B497" s="279" t="n"/>
      <c r="C497" s="278" t="inlineStr">
        <is>
          <t>c/ Las Cruzadas 3A, local D</t>
        </is>
      </c>
      <c r="D497" s="278" t="inlineStr">
        <is>
          <t>Sevilla 41004</t>
        </is>
      </c>
      <c r="E497" s="278" t="inlineStr">
        <is>
          <t>CIF B91938662</t>
        </is>
      </c>
      <c r="F497" s="278" t="inlineStr">
        <is>
          <t>aBalados@abalados.es</t>
        </is>
      </c>
      <c r="G497" s="278" t="inlineStr">
        <is>
          <t>Desarrollos Fotovoltaicos Mas del Bou, S.L.</t>
        </is>
      </c>
      <c r="H497" s="278">
        <f>VLOOKUP($G497,DATOS!$B:$E,2,FALSE)</f>
        <v/>
      </c>
      <c r="I497" s="278">
        <f>VLOOKUP($G497,DATOS!$B:$E,3,FALSE)</f>
        <v/>
      </c>
      <c r="J497" s="278">
        <f>VLOOKUP($G497,DATOS!$B:$E,4,FALSE)</f>
        <v/>
      </c>
      <c r="K497" s="278" t="inlineStr">
        <is>
          <t>Servicios Extraordinarios - Contrato Operación &amp; Mantenimiento</t>
        </is>
      </c>
      <c r="L497" s="280" t="n"/>
      <c r="M497" s="278" t="inlineStr">
        <is>
          <t>Acceso a cubierta - Alquiler plataforma</t>
        </is>
      </c>
      <c r="N497" s="280" t="n"/>
      <c r="P497" s="280" t="n"/>
      <c r="Q497" s="278" t="inlineStr">
        <is>
          <t xml:space="preserve">  · 13/08/2024 - Plataforma JLG 510 AJ ARTICULADA DIÉSEL 18 M (Momentum Alquiler SL)</t>
        </is>
      </c>
      <c r="R497" s="280" t="n">
        <v>235.7</v>
      </c>
      <c r="T497" s="280" t="n"/>
      <c r="V497" s="280" t="n"/>
      <c r="X497" s="280" t="n"/>
      <c r="Z497" s="280" t="n"/>
      <c r="AA497" s="280" t="n"/>
      <c r="AB497" s="281" t="inlineStr">
        <is>
          <t>ES85 2080 3509 1130 4009 6171</t>
        </is>
      </c>
      <c r="AC497" s="278" t="inlineStr">
        <is>
          <t>pendiente</t>
        </is>
      </c>
      <c r="AD497" s="280">
        <f>L497+N497+P497+R497+T497+V497+X497+Z497</f>
        <v/>
      </c>
      <c r="AE497" s="280">
        <f>IF((LEFT(K497,6))="Contab",L497,0)</f>
        <v/>
      </c>
      <c r="AF497" s="281">
        <f>VLOOKUP(G497,CLIENTES!B:E,4,FALSE)</f>
        <v/>
      </c>
      <c r="AG497" s="280">
        <f>AF497*AE497</f>
        <v/>
      </c>
      <c r="AH497" s="280">
        <f>AD497*1.21</f>
        <v/>
      </c>
      <c r="AI497" s="284">
        <f>IF(AE497&lt;&gt;0,AG497/AD497,"N/A")</f>
        <v/>
      </c>
      <c r="AJ497" s="280">
        <f>IF(AC497="pendiente",AD497,0)</f>
        <v/>
      </c>
      <c r="AK497" s="278">
        <f>VLOOKUP(G497,CLIENTES!B:D,3,FALSE)</f>
        <v/>
      </c>
    </row>
    <row r="498" ht="15" customFormat="1" customHeight="1" s="278">
      <c r="B498" s="279" t="n"/>
      <c r="C498" s="278" t="inlineStr">
        <is>
          <t>c/ Las Cruzadas 3A, local D</t>
        </is>
      </c>
      <c r="D498" s="278" t="inlineStr">
        <is>
          <t>Sevilla 41004</t>
        </is>
      </c>
      <c r="E498" s="278" t="inlineStr">
        <is>
          <t>CIF B91938662</t>
        </is>
      </c>
      <c r="F498" s="278" t="inlineStr">
        <is>
          <t>aBalados@abalados.es</t>
        </is>
      </c>
      <c r="G498" s="278" t="inlineStr">
        <is>
          <t>Valcabado Renovables 220 kV, S.L.</t>
        </is>
      </c>
      <c r="H498" s="278">
        <f>VLOOKUP($G498,DATOS!$B:$E,2,FALSE)</f>
        <v/>
      </c>
      <c r="I498" s="278">
        <f>VLOOKUP($G498,DATOS!$B:$E,3,FALSE)</f>
        <v/>
      </c>
      <c r="J498" s="278">
        <f>VLOOKUP($G498,DATOS!$B:$E,4,FALSE)</f>
        <v/>
      </c>
      <c r="K498" s="278" t="inlineStr">
        <is>
          <t>Contrato de Asset Management - Subestación Valcabado</t>
        </is>
      </c>
      <c r="L498" s="280" t="n"/>
      <c r="N498" s="280" t="n"/>
      <c r="O498" s="278" t="inlineStr">
        <is>
          <t>Fee Trimestral - 01Julio/30Septiembre 2024</t>
        </is>
      </c>
      <c r="P498" s="280">
        <f>3* 2898*1.098*1.033*1.032</f>
        <v/>
      </c>
      <c r="R498" s="280" t="n"/>
      <c r="T498" s="280" t="n"/>
      <c r="V498" s="280" t="n"/>
      <c r="X498" s="280" t="n"/>
      <c r="Z498" s="280" t="n"/>
      <c r="AA498" s="280" t="n"/>
      <c r="AB498" s="402" t="inlineStr">
        <is>
          <t>ES85 2080 3509 1130 4009 6171</t>
        </is>
      </c>
      <c r="AC498" s="278" t="inlineStr">
        <is>
          <t>pendiente</t>
        </is>
      </c>
      <c r="AD498" s="280">
        <f>L498+N498+P498+R498+T498+V498+X498+Z498</f>
        <v/>
      </c>
      <c r="AE498" s="280">
        <f>P498</f>
        <v/>
      </c>
      <c r="AF498" s="281">
        <f>IF(AM498="Explotación",0.05,0.08)</f>
        <v/>
      </c>
      <c r="AG498" s="280">
        <f>AF498*AE498</f>
        <v/>
      </c>
      <c r="AH498" s="280">
        <f>AD498*1.21</f>
        <v/>
      </c>
      <c r="AI498" s="284">
        <f>IF(AE498&lt;&gt;0,AG498/AD498,"N/A")</f>
        <v/>
      </c>
      <c r="AJ498" s="280">
        <f>IF(AC498="pendiente",AD498,0)</f>
        <v/>
      </c>
      <c r="AK498" s="278">
        <f>VLOOKUP(G498,CLIENTES!B:D,3,FALSE)</f>
        <v/>
      </c>
    </row>
    <row r="499" ht="15" customFormat="1" customHeight="1" s="278">
      <c r="B499" s="279" t="n"/>
      <c r="C499" s="278" t="inlineStr">
        <is>
          <t>c/ Las Cruzadas 3A, local D</t>
        </is>
      </c>
      <c r="D499" s="278" t="inlineStr">
        <is>
          <t>Sevilla 41004</t>
        </is>
      </c>
      <c r="E499" s="278" t="inlineStr">
        <is>
          <t>CIF B91938662</t>
        </is>
      </c>
      <c r="F499" s="278" t="inlineStr">
        <is>
          <t>aBalados@abalados.es</t>
        </is>
      </c>
      <c r="G499" s="278" t="inlineStr">
        <is>
          <t>Grijota Renovables, S.L.</t>
        </is>
      </c>
      <c r="H499" s="278">
        <f>VLOOKUP($G499,DATOS!$B:$E,2,FALSE)</f>
        <v/>
      </c>
      <c r="I499" s="278">
        <f>VLOOKUP($G499,DATOS!$B:$E,3,FALSE)</f>
        <v/>
      </c>
      <c r="J499" s="278">
        <f>VLOOKUP($G499,DATOS!$B:$E,4,FALSE)</f>
        <v/>
      </c>
      <c r="K499" s="278" t="inlineStr">
        <is>
          <t>Contrato de Asset Management - Subestación Grijota</t>
        </is>
      </c>
      <c r="L499" s="280" t="n"/>
      <c r="N499" s="280" t="n"/>
      <c r="O499" s="278" t="inlineStr">
        <is>
          <t>Fee Trimestral - 01Julio/30Septiembre 2024</t>
        </is>
      </c>
      <c r="P499" s="280">
        <f>1035*1.108*1.023*(11/31)  +  1035*1.108*1.023*1.028*(20/31) + 2* 1035*1.108*1.023*1.028</f>
        <v/>
      </c>
      <c r="Q499" s="278" t="inlineStr">
        <is>
          <t>Tasa actualización IPC General (Julio 2023 - Julio 2024): 2,8%</t>
        </is>
      </c>
      <c r="R499" s="280" t="n"/>
      <c r="S499" s="278" t="inlineStr">
        <is>
          <t>Fecha actualización: 12 Julio</t>
        </is>
      </c>
      <c r="T499" s="280" t="n"/>
      <c r="V499" s="280" t="n"/>
      <c r="X499" s="280" t="n"/>
      <c r="Z499" s="280" t="n"/>
      <c r="AA499" s="280" t="n"/>
      <c r="AB499" s="402" t="inlineStr">
        <is>
          <t>ES85 2080 3509 1130 4009 6171</t>
        </is>
      </c>
      <c r="AC499" s="278" t="inlineStr">
        <is>
          <t>pendiente</t>
        </is>
      </c>
      <c r="AD499" s="280">
        <f>L499+N499+P499+R499+T499+V499+X499+Z499</f>
        <v/>
      </c>
      <c r="AE499" s="280">
        <f>P499</f>
        <v/>
      </c>
      <c r="AF499" s="281">
        <f>IF(AM499="Explotación",0.05,0.08)</f>
        <v/>
      </c>
      <c r="AG499" s="280">
        <f>AF499*AE499</f>
        <v/>
      </c>
      <c r="AH499" s="280">
        <f>AD499*1.21</f>
        <v/>
      </c>
      <c r="AI499" s="284">
        <f>IF(AE499&lt;&gt;0,AG499/AD499,"N/A")</f>
        <v/>
      </c>
      <c r="AJ499" s="280">
        <f>IF(AC499="pendiente",AD499,0)</f>
        <v/>
      </c>
      <c r="AK499" s="278">
        <f>VLOOKUP(G499,CLIENTES!B:D,3,FALSE)</f>
        <v/>
      </c>
    </row>
    <row r="500" ht="15" customFormat="1" customHeight="1" s="278">
      <c r="B500" s="279" t="n"/>
      <c r="C500" s="278" t="inlineStr">
        <is>
          <t>c/ Las Cruzadas 3A, local D</t>
        </is>
      </c>
      <c r="D500" s="278" t="inlineStr">
        <is>
          <t>Sevilla 41004</t>
        </is>
      </c>
      <c r="E500" s="278" t="inlineStr">
        <is>
          <t>CIF B91938662</t>
        </is>
      </c>
      <c r="F500" s="278" t="inlineStr">
        <is>
          <t>aBalados@abalados.es</t>
        </is>
      </c>
      <c r="G500" s="278" t="inlineStr">
        <is>
          <t>Cubillos Renovables, S.L.</t>
        </is>
      </c>
      <c r="H500" s="278">
        <f>VLOOKUP($G500,DATOS!$B:$E,2,FALSE)</f>
        <v/>
      </c>
      <c r="I500" s="278">
        <f>VLOOKUP($G500,DATOS!$B:$E,3,FALSE)</f>
        <v/>
      </c>
      <c r="J500" s="278">
        <f>VLOOKUP($G500,DATOS!$B:$E,4,FALSE)</f>
        <v/>
      </c>
      <c r="K500" s="278" t="inlineStr">
        <is>
          <t>Contrato de Asset Management - Subestación Majuelo</t>
        </is>
      </c>
      <c r="L500" s="280" t="n"/>
      <c r="N500" s="280" t="n"/>
      <c r="O500" s="278" t="inlineStr">
        <is>
          <t>Fee Trimestral - 01Julio/30Septiembre 2024</t>
        </is>
      </c>
      <c r="P500" s="280">
        <f>1* 2898*1.105*1.026  +  2* 2898*1.105*1.026*1.023</f>
        <v/>
      </c>
      <c r="Q500" s="278" t="inlineStr">
        <is>
          <t>Tasa actualización IPC General (Agosto 2023 - Agosto 2024): 2,3%</t>
        </is>
      </c>
      <c r="R500" s="280" t="n"/>
      <c r="S500" s="278" t="inlineStr">
        <is>
          <t>Fecha actualización: 01 Agosto</t>
        </is>
      </c>
      <c r="T500" s="280" t="n"/>
      <c r="V500" s="280" t="n"/>
      <c r="X500" s="280" t="n"/>
      <c r="Z500" s="280" t="n"/>
      <c r="AA500" s="280" t="n"/>
      <c r="AB500" s="402" t="inlineStr">
        <is>
          <t>ES85 2080 3509 1130 4009 6171</t>
        </is>
      </c>
      <c r="AC500" s="278" t="inlineStr">
        <is>
          <t>pendiente</t>
        </is>
      </c>
      <c r="AD500" s="280">
        <f>L500+N500+P500+R500+T500+V500+X500+Z500</f>
        <v/>
      </c>
      <c r="AE500" s="280">
        <f>P500</f>
        <v/>
      </c>
      <c r="AF500" s="281">
        <f>IF(AM500="Explotación",0.05,0.08)</f>
        <v/>
      </c>
      <c r="AG500" s="280">
        <f>AF500*AE500</f>
        <v/>
      </c>
      <c r="AH500" s="280">
        <f>AD500*1.21</f>
        <v/>
      </c>
      <c r="AI500" s="284">
        <f>IF(AE500&lt;&gt;0,AG500/AD500,"N/A")</f>
        <v/>
      </c>
      <c r="AJ500" s="280">
        <f>IF(AC500="pendiente",AD500,0)</f>
        <v/>
      </c>
      <c r="AK500" s="278">
        <f>VLOOKUP(G500,CLIENTES!B:D,3,FALSE)</f>
        <v/>
      </c>
    </row>
    <row r="501" ht="15" customFormat="1" customHeight="1" s="278">
      <c r="B501" s="279" t="n"/>
      <c r="C501" s="278" t="inlineStr">
        <is>
          <t>c/ Las Cruzadas 3A, local D</t>
        </is>
      </c>
      <c r="D501" s="278" t="inlineStr">
        <is>
          <t>Sevilla 41004</t>
        </is>
      </c>
      <c r="E501" s="278" t="inlineStr">
        <is>
          <t>CIF B91938662</t>
        </is>
      </c>
      <c r="F501" s="278" t="inlineStr">
        <is>
          <t>aBalados@abalados.es</t>
        </is>
      </c>
      <c r="G501" s="278" t="inlineStr">
        <is>
          <t>Tordesillas Renovables, S.L.</t>
        </is>
      </c>
      <c r="H501" s="278">
        <f>VLOOKUP($G501,DATOS!$B:$E,2,FALSE)</f>
        <v/>
      </c>
      <c r="I501" s="278">
        <f>VLOOKUP($G501,DATOS!$B:$E,3,FALSE)</f>
        <v/>
      </c>
      <c r="J501" s="278">
        <f>VLOOKUP($G501,DATOS!$B:$E,4,FALSE)</f>
        <v/>
      </c>
      <c r="K501" s="278" t="inlineStr">
        <is>
          <t>Contrato de Asset Management - Subestación Tordesillas</t>
        </is>
      </c>
      <c r="L501" s="280" t="n"/>
      <c r="N501" s="280" t="n"/>
      <c r="O501" s="278" t="inlineStr">
        <is>
          <t>Fee Trimestral - 01Julio/30Septiembre 2024</t>
        </is>
      </c>
      <c r="P501" s="280">
        <f>3* 1200*1.073*1.035</f>
        <v/>
      </c>
      <c r="R501" s="280" t="n"/>
      <c r="S501" s="280" t="n"/>
      <c r="T501" s="280" t="n"/>
      <c r="V501" s="280" t="n"/>
      <c r="X501" s="280" t="n"/>
      <c r="Z501" s="280" t="n"/>
      <c r="AA501" s="280" t="n"/>
      <c r="AB501" s="402" t="inlineStr">
        <is>
          <t>ES85 2080 3509 1130 4009 6171</t>
        </is>
      </c>
      <c r="AC501" s="278" t="inlineStr">
        <is>
          <t>pendiente</t>
        </is>
      </c>
      <c r="AD501" s="280">
        <f>L501+N501+P501+R501+T501+V501+X501+Z501</f>
        <v/>
      </c>
      <c r="AE501" s="280">
        <f>P501</f>
        <v/>
      </c>
      <c r="AF501" s="281">
        <f>IF(AM501="Explotación",0.05,0.08)</f>
        <v/>
      </c>
      <c r="AG501" s="280">
        <f>AF501*AE501</f>
        <v/>
      </c>
      <c r="AH501" s="280">
        <f>AD501*1.21</f>
        <v/>
      </c>
      <c r="AI501" s="284">
        <f>IF(AE501&lt;&gt;0,AG501/AD501,"N/A")</f>
        <v/>
      </c>
      <c r="AJ501" s="280">
        <f>IF(AC501="pendiente",AD501,0)</f>
        <v/>
      </c>
      <c r="AK501" s="278">
        <f>VLOOKUP(G501,CLIENTES!B:D,3,FALSE)</f>
        <v/>
      </c>
    </row>
    <row r="502" ht="15" customFormat="1" customHeight="1" s="278">
      <c r="B502" s="279" t="n"/>
      <c r="C502" s="278" t="inlineStr">
        <is>
          <t>c/ Las Cruzadas 3A, local D</t>
        </is>
      </c>
      <c r="D502" s="278" t="inlineStr">
        <is>
          <t>Sevilla 41004</t>
        </is>
      </c>
      <c r="E502" s="278" t="inlineStr">
        <is>
          <t>CIF B91938662</t>
        </is>
      </c>
      <c r="F502" s="278" t="inlineStr">
        <is>
          <t>aBalados@abalados.es</t>
        </is>
      </c>
      <c r="G502" s="278" t="inlineStr">
        <is>
          <t>Monte Reina Renovables, S.L.</t>
        </is>
      </c>
      <c r="H502" s="278">
        <f>VLOOKUP($G502,DATOS!$B:$E,2,FALSE)</f>
        <v/>
      </c>
      <c r="I502" s="278">
        <f>VLOOKUP($G502,DATOS!$B:$E,3,FALSE)</f>
        <v/>
      </c>
      <c r="J502" s="278">
        <f>VLOOKUP($G502,DATOS!$B:$E,4,FALSE)</f>
        <v/>
      </c>
      <c r="K502" s="278" t="inlineStr">
        <is>
          <t>Contrato de Asset Management - Subestación Valdecarretas</t>
        </is>
      </c>
      <c r="L502" s="280" t="n"/>
      <c r="N502" s="280" t="n"/>
      <c r="O502" s="278" t="inlineStr">
        <is>
          <t>Fee Trimestral - 01Julio/30Septiembre 2024</t>
        </is>
      </c>
      <c r="P502" s="280">
        <f>3* 1380*1.073*1.035</f>
        <v/>
      </c>
      <c r="R502" s="280" t="n"/>
      <c r="S502" s="280" t="n"/>
      <c r="T502" s="280" t="n"/>
      <c r="V502" s="280" t="n"/>
      <c r="X502" s="280" t="n"/>
      <c r="Z502" s="280" t="n"/>
      <c r="AA502" s="280" t="n"/>
      <c r="AB502" s="402" t="inlineStr">
        <is>
          <t>ES85 2080 3509 1130 4009 6171</t>
        </is>
      </c>
      <c r="AC502" s="278" t="inlineStr">
        <is>
          <t>pendiente</t>
        </is>
      </c>
      <c r="AD502" s="280">
        <f>L502+N502+P502+R502+T502+V502+X502+Z502</f>
        <v/>
      </c>
      <c r="AE502" s="280">
        <f>P502</f>
        <v/>
      </c>
      <c r="AF502" s="281">
        <f>IF(AM502="Explotación",0.05,0.08)</f>
        <v/>
      </c>
      <c r="AG502" s="280">
        <f>AF502*AE502</f>
        <v/>
      </c>
      <c r="AH502" s="280">
        <f>AD502*1.21</f>
        <v/>
      </c>
      <c r="AI502" s="284">
        <f>IF(AE502&lt;&gt;0,AG502/AD502,"N/A")</f>
        <v/>
      </c>
      <c r="AJ502" s="280">
        <f>IF(AC502="pendiente",AD502,0)</f>
        <v/>
      </c>
      <c r="AK502" s="278">
        <f>VLOOKUP(G502,CLIENTES!B:D,3,FALSE)</f>
        <v/>
      </c>
    </row>
    <row r="503" ht="15" customFormat="1" customHeight="1" s="278">
      <c r="B503" s="279" t="n"/>
      <c r="C503" s="278" t="inlineStr">
        <is>
          <t>c/ Las Cruzadas 3A, local D</t>
        </is>
      </c>
      <c r="D503" s="278" t="inlineStr">
        <is>
          <t>Sevilla 41004</t>
        </is>
      </c>
      <c r="E503" s="278" t="inlineStr">
        <is>
          <t>CIF B91938662</t>
        </is>
      </c>
      <c r="F503" s="278" t="inlineStr">
        <is>
          <t>aBalados@abalados.es</t>
        </is>
      </c>
      <c r="G503" s="278" t="inlineStr">
        <is>
          <t>Herrera Renovables 400, A.I.E.</t>
        </is>
      </c>
      <c r="H503" s="278">
        <f>VLOOKUP($G503,DATOS!$B:$E,2,FALSE)</f>
        <v/>
      </c>
      <c r="I503" s="278">
        <f>VLOOKUP($G503,DATOS!$B:$E,3,FALSE)</f>
        <v/>
      </c>
      <c r="J503" s="278">
        <f>VLOOKUP($G503,DATOS!$B:$E,4,FALSE)</f>
        <v/>
      </c>
      <c r="K503" s="278" t="inlineStr">
        <is>
          <t>Contrato de Asset Management - Subestación Herrera</t>
        </is>
      </c>
      <c r="L503" s="280" t="n"/>
      <c r="N503" s="280" t="n"/>
      <c r="O503" s="278" t="inlineStr">
        <is>
          <t>Fee Trimestral - 01Julio/30Septiembre 2024</t>
        </is>
      </c>
      <c r="P503" s="280">
        <f>3* 1250*1.068*1.032</f>
        <v/>
      </c>
      <c r="R503" s="280" t="n"/>
      <c r="S503" s="280" t="n"/>
      <c r="T503" s="280" t="n"/>
      <c r="V503" s="280" t="n"/>
      <c r="X503" s="280" t="n"/>
      <c r="Z503" s="280" t="n"/>
      <c r="AA503" s="280" t="n"/>
      <c r="AB503" s="402" t="inlineStr">
        <is>
          <t>ES85 2080 3509 1130 4009 6171</t>
        </is>
      </c>
      <c r="AC503" s="278" t="inlineStr">
        <is>
          <t>pendiente</t>
        </is>
      </c>
      <c r="AD503" s="280">
        <f>L503+N503+P503+R503+T503+V503+X503+Z503</f>
        <v/>
      </c>
      <c r="AE503" s="280">
        <f>P503</f>
        <v/>
      </c>
      <c r="AF503" s="281">
        <f>IF(AM503="Explotación",0.05,0.08)</f>
        <v/>
      </c>
      <c r="AG503" s="280">
        <f>AF503*AE503</f>
        <v/>
      </c>
      <c r="AH503" s="280">
        <f>AD503*1.21</f>
        <v/>
      </c>
      <c r="AI503" s="284">
        <f>IF(AE503&lt;&gt;0,AG503/AD503,"N/A")</f>
        <v/>
      </c>
      <c r="AJ503" s="280">
        <f>IF(AC503="pendiente",AD503,0)</f>
        <v/>
      </c>
      <c r="AK503" s="278">
        <f>VLOOKUP(G503,CLIENTES!B:D,3,FALSE)</f>
        <v/>
      </c>
    </row>
    <row r="504" ht="15" customFormat="1" customHeight="1" s="278">
      <c r="B504" s="279" t="n"/>
      <c r="C504" s="278" t="inlineStr">
        <is>
          <t>c/ Las Cruzadas 3A, local D</t>
        </is>
      </c>
      <c r="D504" s="278" t="inlineStr">
        <is>
          <t>Sevilla 41004</t>
        </is>
      </c>
      <c r="E504" s="278" t="inlineStr">
        <is>
          <t>CIF B91938662</t>
        </is>
      </c>
      <c r="F504" s="278" t="inlineStr">
        <is>
          <t>aBalados@abalados.es</t>
        </is>
      </c>
      <c r="G504" s="278" t="inlineStr">
        <is>
          <t>Gazules Renovables, S.L.</t>
        </is>
      </c>
      <c r="H504" s="278">
        <f>VLOOKUP($G504,DATOS!$B:$E,2,FALSE)</f>
        <v/>
      </c>
      <c r="I504" s="278">
        <f>VLOOKUP($G504,DATOS!$B:$E,3,FALSE)</f>
        <v/>
      </c>
      <c r="J504" s="278">
        <f>VLOOKUP($G504,DATOS!$B:$E,4,FALSE)</f>
        <v/>
      </c>
      <c r="K504" s="278" t="inlineStr">
        <is>
          <t>Contrato de Asset Management - Subestación Gazules</t>
        </is>
      </c>
      <c r="L504" s="280" t="n"/>
      <c r="N504" s="280" t="n"/>
      <c r="O504" s="278" t="inlineStr">
        <is>
          <t>Fee Trimestral - 01Julio/30Septiembre 2024</t>
        </is>
      </c>
      <c r="P504" s="280">
        <f>3* 2900*1.068*1.032</f>
        <v/>
      </c>
      <c r="R504" s="280" t="n"/>
      <c r="S504" s="280" t="n"/>
      <c r="T504" s="280" t="n"/>
      <c r="V504" s="280" t="n"/>
      <c r="X504" s="280" t="n"/>
      <c r="Z504" s="280" t="n"/>
      <c r="AA504" s="280" t="n"/>
      <c r="AB504" s="402" t="inlineStr">
        <is>
          <t>ES85 2080 3509 1130 4009 6171</t>
        </is>
      </c>
      <c r="AC504" s="278" t="inlineStr">
        <is>
          <t>pendiente</t>
        </is>
      </c>
      <c r="AD504" s="280">
        <f>L504+N504+P504+R504+T504+V504+X504+Z504</f>
        <v/>
      </c>
      <c r="AE504" s="280">
        <f>P504</f>
        <v/>
      </c>
      <c r="AF504" s="281">
        <f>IF(AM504="Explotación",0.05,0.08)</f>
        <v/>
      </c>
      <c r="AG504" s="280">
        <f>AF504*AE504</f>
        <v/>
      </c>
      <c r="AH504" s="280">
        <f>AD504*1.21</f>
        <v/>
      </c>
      <c r="AI504" s="284">
        <f>IF(AE504&lt;&gt;0,AG504/AD504,"N/A")</f>
        <v/>
      </c>
      <c r="AJ504" s="280">
        <f>IF(AC504="pendiente",AD504,0)</f>
        <v/>
      </c>
      <c r="AK504" s="278">
        <f>VLOOKUP(G504,CLIENTES!B:D,3,FALSE)</f>
        <v/>
      </c>
    </row>
    <row r="505" ht="15" customFormat="1" customHeight="1" s="278">
      <c r="B505" s="279" t="n"/>
      <c r="C505" s="278" t="inlineStr">
        <is>
          <t>c/ Las Cruzadas 3A, local D</t>
        </is>
      </c>
      <c r="D505" s="278" t="inlineStr">
        <is>
          <t>Sevilla 41004</t>
        </is>
      </c>
      <c r="E505" s="278" t="inlineStr">
        <is>
          <t>CIF B91938662</t>
        </is>
      </c>
      <c r="F505" s="278" t="inlineStr">
        <is>
          <t>aBalados@abalados.es</t>
        </is>
      </c>
      <c r="G505" s="278" t="inlineStr">
        <is>
          <t>Evacuación Tordesillas 400 kV, S.L.</t>
        </is>
      </c>
      <c r="H505" s="278">
        <f>VLOOKUP($G505,DATOS!$B:$E,2,FALSE)</f>
        <v/>
      </c>
      <c r="I505" s="278">
        <f>VLOOKUP($G505,DATOS!$B:$E,3,FALSE)</f>
        <v/>
      </c>
      <c r="J505" s="278">
        <f>VLOOKUP($G505,DATOS!$B:$E,4,FALSE)</f>
        <v/>
      </c>
      <c r="K505" s="278" t="inlineStr">
        <is>
          <t>Contrato de Asset Management - LAAT T2 (Tordesillas)</t>
        </is>
      </c>
      <c r="L505" s="280" t="n"/>
      <c r="N505" s="280" t="n"/>
      <c r="O505" s="278" t="inlineStr">
        <is>
          <t>Fee Trimestral - 01Julio/30Septiembre 2024</t>
        </is>
      </c>
      <c r="P505" s="280">
        <f>3* 1200*1.059*1.034</f>
        <v/>
      </c>
      <c r="R505" s="280" t="n"/>
      <c r="S505" s="280" t="n"/>
      <c r="T505" s="280" t="n"/>
      <c r="V505" s="280" t="n"/>
      <c r="X505" s="280" t="n"/>
      <c r="Z505" s="280" t="n"/>
      <c r="AA505" s="280" t="n"/>
      <c r="AB505" s="402" t="inlineStr">
        <is>
          <t>ES85 2080 3509 1130 4009 6171</t>
        </is>
      </c>
      <c r="AC505" s="278" t="inlineStr">
        <is>
          <t>pendiente</t>
        </is>
      </c>
      <c r="AD505" s="280">
        <f>L505+N505+P505+R505+T505+V505+X505+Z505</f>
        <v/>
      </c>
      <c r="AE505" s="280">
        <f>P505</f>
        <v/>
      </c>
      <c r="AF505" s="281">
        <f>IF(AM505="Explotación",0.05,0.08)</f>
        <v/>
      </c>
      <c r="AG505" s="280">
        <f>AF505*AE505</f>
        <v/>
      </c>
      <c r="AH505" s="280">
        <f>AD505*1.21</f>
        <v/>
      </c>
      <c r="AI505" s="284">
        <f>IF(AE505&lt;&gt;0,AG505/AD505,"N/A")</f>
        <v/>
      </c>
      <c r="AJ505" s="280">
        <f>IF(AC505="pendiente",AD505,0)</f>
        <v/>
      </c>
      <c r="AK505" s="278">
        <f>VLOOKUP(G505,CLIENTES!B:D,3,FALSE)</f>
        <v/>
      </c>
    </row>
    <row r="506" ht="15" customFormat="1" customHeight="1" s="278">
      <c r="B506" s="279" t="n"/>
      <c r="C506" s="278" t="inlineStr">
        <is>
          <t>c/ Las Cruzadas 3A, local D</t>
        </is>
      </c>
      <c r="D506" s="278" t="inlineStr">
        <is>
          <t>Sevilla 41004</t>
        </is>
      </c>
      <c r="E506" s="278" t="inlineStr">
        <is>
          <t>CIF B91938662</t>
        </is>
      </c>
      <c r="F506" s="278" t="inlineStr">
        <is>
          <t>aBalados@abalados.es</t>
        </is>
      </c>
      <c r="G506" s="278" t="inlineStr">
        <is>
          <t>Energías Limpias de Carmona, S.L.</t>
        </is>
      </c>
      <c r="H506" s="278">
        <f>VLOOKUP($G506,DATOS!$B:$E,2,FALSE)</f>
        <v/>
      </c>
      <c r="I506" s="278">
        <f>VLOOKUP($G506,DATOS!$B:$E,3,FALSE)</f>
        <v/>
      </c>
      <c r="J506" s="278">
        <f>VLOOKUP($G506,DATOS!$B:$E,4,FALSE)</f>
        <v/>
      </c>
      <c r="K506" s="278" t="inlineStr">
        <is>
          <t>Contrato de Asset Management - Subestación Carmona220</t>
        </is>
      </c>
      <c r="L506" s="280" t="n"/>
      <c r="N506" s="280" t="n"/>
      <c r="O506" s="278" t="inlineStr">
        <is>
          <t>Fee Trimestral - 01Julio/30Septiembre 2024</t>
        </is>
      </c>
      <c r="P506" s="280">
        <f>3* 1250*1.06*1.028</f>
        <v/>
      </c>
      <c r="R506" s="280" t="n"/>
      <c r="S506" s="280" t="n"/>
      <c r="T506" s="280" t="n"/>
      <c r="V506" s="280" t="n"/>
      <c r="X506" s="280" t="n"/>
      <c r="Z506" s="280" t="n"/>
      <c r="AA506" s="280" t="n"/>
      <c r="AB506" s="402" t="inlineStr">
        <is>
          <t>ES85 2080 3509 1130 4009 6171</t>
        </is>
      </c>
      <c r="AC506" s="278" t="inlineStr">
        <is>
          <t>pendiente</t>
        </is>
      </c>
      <c r="AD506" s="280">
        <f>L506+N506+P506+R506+T506+V506+X506+Z506</f>
        <v/>
      </c>
      <c r="AE506" s="280">
        <f>P506</f>
        <v/>
      </c>
      <c r="AF506" s="281">
        <f>IF(AM506="Explotación",0.05,0.08)</f>
        <v/>
      </c>
      <c r="AG506" s="280">
        <f>AF506*AE506</f>
        <v/>
      </c>
      <c r="AH506" s="280">
        <f>AD506*1.21</f>
        <v/>
      </c>
      <c r="AI506" s="284">
        <f>IF(AE506&lt;&gt;0,AG506/AD506,"N/A")</f>
        <v/>
      </c>
      <c r="AJ506" s="280">
        <f>IF(AC506="pendiente",AD506,0)</f>
        <v/>
      </c>
      <c r="AK506" s="278">
        <f>VLOOKUP(G506,CLIENTES!B:D,3,FALSE)</f>
        <v/>
      </c>
    </row>
    <row r="507" ht="15" customFormat="1" customHeight="1" s="278">
      <c r="B507" s="279" t="n"/>
      <c r="C507" s="278" t="inlineStr">
        <is>
          <t>c/ Las Cruzadas 3A, local D</t>
        </is>
      </c>
      <c r="D507" s="278" t="inlineStr">
        <is>
          <t>Sevilla 41004</t>
        </is>
      </c>
      <c r="E507" s="278" t="inlineStr">
        <is>
          <t>CIF B91938662</t>
        </is>
      </c>
      <c r="F507" s="278" t="inlineStr">
        <is>
          <t>aBalados@abalados.es</t>
        </is>
      </c>
      <c r="G507" s="278" t="inlineStr">
        <is>
          <t>Martinez Montes Tordesillas, S.L.</t>
        </is>
      </c>
      <c r="H507" s="278">
        <f>VLOOKUP($G507,DATOS!$B:$E,2,FALSE)</f>
        <v/>
      </c>
      <c r="I507" s="278">
        <f>VLOOKUP($G507,DATOS!$B:$E,3,FALSE)</f>
        <v/>
      </c>
      <c r="J507" s="278">
        <f>VLOOKUP($G507,DATOS!$B:$E,4,FALSE)</f>
        <v/>
      </c>
      <c r="K507" s="278" t="inlineStr">
        <is>
          <t>Contrato de Asset Management - Subestación Martínez Montes (Tordesillas)</t>
        </is>
      </c>
      <c r="L507" s="280" t="n"/>
      <c r="N507" s="280" t="n"/>
      <c r="O507" s="278" t="inlineStr">
        <is>
          <t>Fee Trimestral - 01Julio/30Septiembre 2024</t>
        </is>
      </c>
      <c r="P507" s="280">
        <f>3* 1200*1.06*1.028</f>
        <v/>
      </c>
      <c r="R507" s="280" t="n"/>
      <c r="S507" s="280" t="n"/>
      <c r="T507" s="280" t="n"/>
      <c r="V507" s="280" t="n"/>
      <c r="X507" s="280" t="n"/>
      <c r="Z507" s="280" t="n"/>
      <c r="AA507" s="280" t="n"/>
      <c r="AB507" s="402" t="inlineStr">
        <is>
          <t>ES85 2080 3509 1130 4009 6171</t>
        </is>
      </c>
      <c r="AC507" s="278" t="inlineStr">
        <is>
          <t>pendiente</t>
        </is>
      </c>
      <c r="AD507" s="280">
        <f>L507+N507+P507+R507+T507+V507+X507+Z507</f>
        <v/>
      </c>
      <c r="AE507" s="280">
        <f>P507</f>
        <v/>
      </c>
      <c r="AF507" s="281">
        <f>IF(AM507="Explotación",0.05,0.08)</f>
        <v/>
      </c>
      <c r="AG507" s="280">
        <f>AF507*AE507</f>
        <v/>
      </c>
      <c r="AH507" s="280">
        <f>AD507*1.21</f>
        <v/>
      </c>
      <c r="AI507" s="284">
        <f>IF(AE507&lt;&gt;0,AG507/AD507,"N/A")</f>
        <v/>
      </c>
      <c r="AJ507" s="280">
        <f>IF(AC507="pendiente",AD507,0)</f>
        <v/>
      </c>
      <c r="AK507" s="278">
        <f>VLOOKUP(G507,CLIENTES!B:D,3,FALSE)</f>
        <v/>
      </c>
    </row>
    <row r="508" ht="15" customFormat="1" customHeight="1" s="278">
      <c r="B508" s="279" t="n"/>
      <c r="C508" s="278" t="inlineStr">
        <is>
          <t>c/ Las Cruzadas 3A, local D</t>
        </is>
      </c>
      <c r="D508" s="278" t="inlineStr">
        <is>
          <t>Sevilla 41004</t>
        </is>
      </c>
      <c r="E508" s="278" t="inlineStr">
        <is>
          <t>CIF B91938662</t>
        </is>
      </c>
      <c r="F508" s="278" t="inlineStr">
        <is>
          <t>aBalados@abalados.es</t>
        </is>
      </c>
      <c r="G508" s="278" t="inlineStr">
        <is>
          <t>SET Carmona 400 kV Renovables, S.L.</t>
        </is>
      </c>
      <c r="H508" s="278">
        <f>VLOOKUP($G508,DATOS!$B:$E,2,FALSE)</f>
        <v/>
      </c>
      <c r="I508" s="278">
        <f>VLOOKUP($G508,DATOS!$B:$E,3,FALSE)</f>
        <v/>
      </c>
      <c r="J508" s="278">
        <f>VLOOKUP($G508,DATOS!$B:$E,4,FALSE)</f>
        <v/>
      </c>
      <c r="K508" s="278" t="inlineStr">
        <is>
          <t>Contrato de Asset Management - Subestación Carmona400</t>
        </is>
      </c>
      <c r="L508" s="280" t="n"/>
      <c r="N508" s="280" t="n"/>
      <c r="O508" s="278" t="inlineStr">
        <is>
          <t>Fee Trimestral - 01Julio/30Septiembre 2024</t>
        </is>
      </c>
      <c r="P508" s="280">
        <f>3*  2950*1.06*1.028</f>
        <v/>
      </c>
      <c r="R508" s="280" t="n"/>
      <c r="T508" s="280" t="n"/>
      <c r="V508" s="280" t="n"/>
      <c r="X508" s="280" t="n"/>
      <c r="Z508" s="280" t="n"/>
      <c r="AA508" s="280" t="n"/>
      <c r="AB508" s="402" t="inlineStr">
        <is>
          <t>ES85 2080 3509 1130 4009 6171</t>
        </is>
      </c>
      <c r="AC508" s="278" t="inlineStr">
        <is>
          <t>pendiente</t>
        </is>
      </c>
      <c r="AD508" s="280">
        <f>L508+N508+P508+R508+T508+V508+X508+Z508</f>
        <v/>
      </c>
      <c r="AE508" s="280">
        <f>P508</f>
        <v/>
      </c>
      <c r="AF508" s="281">
        <f>IF(AM508="Explotación",0.05,0.08)</f>
        <v/>
      </c>
      <c r="AG508" s="280">
        <f>AF508*AE508</f>
        <v/>
      </c>
      <c r="AH508" s="280">
        <f>AD508*1.21</f>
        <v/>
      </c>
      <c r="AI508" s="284">
        <f>IF(AE508&lt;&gt;0,AG508/AD508,"N/A")</f>
        <v/>
      </c>
      <c r="AJ508" s="280">
        <f>IF(AC508="pendiente",AD508,0)</f>
        <v/>
      </c>
      <c r="AK508" s="278">
        <f>VLOOKUP(G508,CLIENTES!B:D,3,FALSE)</f>
        <v/>
      </c>
    </row>
    <row r="509" ht="15" customFormat="1" customHeight="1" s="278">
      <c r="B509" s="279" t="n"/>
      <c r="C509" s="278" t="inlineStr">
        <is>
          <t>c/ Las Cruzadas 3A, local D</t>
        </is>
      </c>
      <c r="D509" s="278" t="inlineStr">
        <is>
          <t>Sevilla 41004</t>
        </is>
      </c>
      <c r="E509" s="278" t="inlineStr">
        <is>
          <t>CIF B91938662</t>
        </is>
      </c>
      <c r="F509" s="278" t="inlineStr">
        <is>
          <t>aBalados@abalados.es</t>
        </is>
      </c>
      <c r="G509" s="278" t="inlineStr">
        <is>
          <t>Evacuación Carmona 400-220 kV Renovables, S.L.</t>
        </is>
      </c>
      <c r="H509" s="278">
        <f>VLOOKUP($G509,DATOS!$B:$E,2,FALSE)</f>
        <v/>
      </c>
      <c r="I509" s="278">
        <f>VLOOKUP($G509,DATOS!$B:$E,3,FALSE)</f>
        <v/>
      </c>
      <c r="J509" s="278">
        <f>VLOOKUP($G509,DATOS!$B:$E,4,FALSE)</f>
        <v/>
      </c>
      <c r="K509" s="278" t="inlineStr">
        <is>
          <t>Contrato de Asset Management - LAAT 220/400kV</t>
        </is>
      </c>
      <c r="L509" s="280" t="n"/>
      <c r="N509" s="280" t="n"/>
      <c r="O509" s="278" t="inlineStr">
        <is>
          <t>Fee Trimestral - 01Julio/30Septiembre 2024</t>
        </is>
      </c>
      <c r="P509" s="280">
        <f>3* 1200*1.059*1.034</f>
        <v/>
      </c>
      <c r="Q509" s="280" t="n"/>
      <c r="R509" s="280" t="n"/>
      <c r="S509" s="280" t="n"/>
      <c r="T509" s="280" t="n"/>
      <c r="V509" s="280" t="n"/>
      <c r="X509" s="280" t="n"/>
      <c r="Z509" s="280" t="n"/>
      <c r="AA509" s="280" t="n"/>
      <c r="AB509" s="402" t="inlineStr">
        <is>
          <t>ES85 2080 3509 1130 4009 6171</t>
        </is>
      </c>
      <c r="AC509" s="278" t="inlineStr">
        <is>
          <t>pendiente</t>
        </is>
      </c>
      <c r="AD509" s="280">
        <f>L509+N509+P509+R509+T509+V509+X509+Z509</f>
        <v/>
      </c>
      <c r="AE509" s="280">
        <f>P509</f>
        <v/>
      </c>
      <c r="AF509" s="281">
        <f>IF(AM509="Explotación",0.05,0.08)</f>
        <v/>
      </c>
      <c r="AG509" s="280">
        <f>AF509*AE509</f>
        <v/>
      </c>
      <c r="AH509" s="280">
        <f>AD509*1.21</f>
        <v/>
      </c>
      <c r="AI509" s="284">
        <f>IF(AE509&lt;&gt;0,AG509/AD509,"N/A")</f>
        <v/>
      </c>
      <c r="AJ509" s="280">
        <f>IF(AC509="pendiente",AD509,0)</f>
        <v/>
      </c>
      <c r="AK509" s="278">
        <f>VLOOKUP(G509,CLIENTES!B:D,3,FALSE)</f>
        <v/>
      </c>
    </row>
    <row r="510" ht="15" customFormat="1" customHeight="1" s="278">
      <c r="B510" s="279" t="n"/>
      <c r="C510" s="278" t="inlineStr">
        <is>
          <t>c/ Las Cruzadas 3A, local D</t>
        </is>
      </c>
      <c r="D510" s="278" t="inlineStr">
        <is>
          <t>Sevilla 41004</t>
        </is>
      </c>
      <c r="E510" s="278" t="inlineStr">
        <is>
          <t>CIF B91938662</t>
        </is>
      </c>
      <c r="F510" s="278" t="inlineStr">
        <is>
          <t>aBalados@abalados.es</t>
        </is>
      </c>
      <c r="G510" s="278" t="inlineStr">
        <is>
          <t>La Serranilla Renovables 132 kV, A.I.E.</t>
        </is>
      </c>
      <c r="H510" s="278">
        <f>VLOOKUP($G510,DATOS!$B:$E,2,FALSE)</f>
        <v/>
      </c>
      <c r="I510" s="278">
        <f>VLOOKUP($G510,DATOS!$B:$E,3,FALSE)</f>
        <v/>
      </c>
      <c r="J510" s="278">
        <f>VLOOKUP($G510,DATOS!$B:$E,4,FALSE)</f>
        <v/>
      </c>
      <c r="K510" s="278" t="inlineStr">
        <is>
          <t>Contrato de Asset Management - Subestación María Castro</t>
        </is>
      </c>
      <c r="L510" s="280" t="n"/>
      <c r="N510" s="280" t="n"/>
      <c r="O510" s="278" t="inlineStr">
        <is>
          <t>Fee Trimestral - 01Julio/30Septiembre 2024</t>
        </is>
      </c>
      <c r="P510" s="280">
        <f>3* 1275*1.041*1.033</f>
        <v/>
      </c>
      <c r="R510" s="280" t="n"/>
      <c r="T510" s="280" t="n"/>
      <c r="V510" s="280" t="n"/>
      <c r="X510" s="280" t="n"/>
      <c r="Z510" s="280" t="n"/>
      <c r="AA510" s="280" t="n"/>
      <c r="AB510" s="402" t="inlineStr">
        <is>
          <t>ES85 2080 3509 1130 4009 6171</t>
        </is>
      </c>
      <c r="AC510" s="278" t="inlineStr">
        <is>
          <t>pendiente</t>
        </is>
      </c>
      <c r="AD510" s="280">
        <f>L510+N510+P510+R510+T510+V510+X510+Z510</f>
        <v/>
      </c>
      <c r="AE510" s="280">
        <f>P510</f>
        <v/>
      </c>
      <c r="AF510" s="281">
        <f>IF(AM510="Explotación",0.05,0.08)</f>
        <v/>
      </c>
      <c r="AG510" s="280">
        <f>AF510*AE510</f>
        <v/>
      </c>
      <c r="AH510" s="280">
        <f>AD510*1.21</f>
        <v/>
      </c>
      <c r="AI510" s="284">
        <f>IF(AE510&lt;&gt;0,AG510/AD510,"N/A")</f>
        <v/>
      </c>
      <c r="AJ510" s="280">
        <f>IF(AC510="pendiente",AD510,0)</f>
        <v/>
      </c>
      <c r="AK510" s="278">
        <f>VLOOKUP(G510,CLIENTES!B:D,3,FALSE)</f>
        <v/>
      </c>
    </row>
    <row r="511" ht="15" customFormat="1" customHeight="1" s="278">
      <c r="B511" s="279" t="n"/>
      <c r="C511" s="278" t="inlineStr">
        <is>
          <t>c/ Las Cruzadas 3A, local D</t>
        </is>
      </c>
      <c r="D511" s="278" t="inlineStr">
        <is>
          <t>Sevilla 41004</t>
        </is>
      </c>
      <c r="E511" s="278" t="inlineStr">
        <is>
          <t>CIF B91938662</t>
        </is>
      </c>
      <c r="F511" s="278" t="inlineStr">
        <is>
          <t>aBalados@abalados.es</t>
        </is>
      </c>
      <c r="G511" s="278" t="inlineStr">
        <is>
          <t>Línea Covatillas, A.I.E.</t>
        </is>
      </c>
      <c r="H511" s="278">
        <f>VLOOKUP($G511,DATOS!$B:$E,2,FALSE)</f>
        <v/>
      </c>
      <c r="I511" s="278">
        <f>VLOOKUP($G511,DATOS!$B:$E,3,FALSE)</f>
        <v/>
      </c>
      <c r="J511" s="278">
        <f>VLOOKUP($G511,DATOS!$B:$E,4,FALSE)</f>
        <v/>
      </c>
      <c r="K511" s="278" t="inlineStr">
        <is>
          <t>Contrato de Asset Management - LAAT 132kV</t>
        </is>
      </c>
      <c r="L511" s="280" t="n"/>
      <c r="N511" s="280" t="n"/>
      <c r="O511" s="278" t="inlineStr">
        <is>
          <t>Fee Trimestral - 01Julio/30Septiembre 2024</t>
        </is>
      </c>
      <c r="P511" s="280">
        <f>3* 2545*1.032*1.036</f>
        <v/>
      </c>
      <c r="R511" s="280" t="n"/>
      <c r="S511" s="280" t="n"/>
      <c r="T511" s="280" t="n"/>
      <c r="V511" s="280" t="n"/>
      <c r="X511" s="280" t="n"/>
      <c r="Z511" s="280" t="n"/>
      <c r="AA511" s="280" t="n"/>
      <c r="AB511" s="402" t="inlineStr">
        <is>
          <t>ES85 2080 3509 1130 4009 6171</t>
        </is>
      </c>
      <c r="AC511" s="278" t="inlineStr">
        <is>
          <t>pendiente</t>
        </is>
      </c>
      <c r="AD511" s="280">
        <f>L511+N511+P511+R511+T511+V511+X511+Z511</f>
        <v/>
      </c>
      <c r="AE511" s="280">
        <f>P511</f>
        <v/>
      </c>
      <c r="AF511" s="281">
        <f>IF(AM511="Explotación",0.05,0.08)</f>
        <v/>
      </c>
      <c r="AG511" s="280">
        <f>AF511*AE511</f>
        <v/>
      </c>
      <c r="AH511" s="280">
        <f>AD511*1.21</f>
        <v/>
      </c>
      <c r="AI511" s="284">
        <f>IF(AE511&lt;&gt;0,AG511/AD511,"N/A")</f>
        <v/>
      </c>
      <c r="AJ511" s="280">
        <f>IF(AC511="pendiente",AD511,0)</f>
        <v/>
      </c>
      <c r="AK511" s="278">
        <f>VLOOKUP(G511,CLIENTES!B:D,3,FALSE)</f>
        <v/>
      </c>
    </row>
    <row r="512" ht="15" customFormat="1" customHeight="1" s="278">
      <c r="B512" s="279" t="n"/>
      <c r="C512" s="278" t="inlineStr">
        <is>
          <t>c/ Las Cruzadas 3A, local D</t>
        </is>
      </c>
      <c r="D512" s="278" t="inlineStr">
        <is>
          <t>Sevilla 41004</t>
        </is>
      </c>
      <c r="E512" s="278" t="inlineStr">
        <is>
          <t>CIF B91938662</t>
        </is>
      </c>
      <c r="F512" s="278" t="inlineStr">
        <is>
          <t>aBalados@abalados.es</t>
        </is>
      </c>
      <c r="G512" s="278" t="inlineStr">
        <is>
          <t>Herrera Sotillo Renovables, A.I.E.</t>
        </is>
      </c>
      <c r="H512" s="278">
        <f>VLOOKUP($G512,DATOS!$B:$E,2,FALSE)</f>
        <v/>
      </c>
      <c r="I512" s="278">
        <f>VLOOKUP($G512,DATOS!$B:$E,3,FALSE)</f>
        <v/>
      </c>
      <c r="J512" s="278">
        <f>VLOOKUP($G512,DATOS!$B:$E,4,FALSE)</f>
        <v/>
      </c>
      <c r="K512" s="278" t="inlineStr">
        <is>
          <t>Contrato de Asset Management - Subestación Sotillo</t>
        </is>
      </c>
      <c r="L512" s="280" t="n"/>
      <c r="N512" s="280" t="n"/>
      <c r="O512" s="278" t="inlineStr">
        <is>
          <t>Fee Trimestral - 01Julio/30Septiembre 2024</t>
        </is>
      </c>
      <c r="P512" s="280">
        <f>3* 1250*1.019*1.034</f>
        <v/>
      </c>
      <c r="Q512" s="278" t="inlineStr">
        <is>
          <t>Tasa actualización IPC General (Junio 2023 - Junio 2024): 3,4%</t>
        </is>
      </c>
      <c r="R512" s="280" t="n"/>
      <c r="T512" s="280" t="n"/>
      <c r="U512" s="278" t="inlineStr">
        <is>
          <t>Regularización IPC trimestre anterior (23Junio-30Junio 2024)</t>
        </is>
      </c>
      <c r="V512" s="280">
        <f>1250*(8/30) *0.034</f>
        <v/>
      </c>
      <c r="X512" s="280" t="n"/>
      <c r="Z512" s="280" t="n"/>
      <c r="AA512" s="280" t="n"/>
      <c r="AB512" s="402" t="inlineStr">
        <is>
          <t>ES85 2080 3509 1130 4009 6171</t>
        </is>
      </c>
      <c r="AC512" s="278" t="inlineStr">
        <is>
          <t>pendiente</t>
        </is>
      </c>
      <c r="AD512" s="280">
        <f>L512+N512+P512+R512+T512+V512+X512+Z512</f>
        <v/>
      </c>
      <c r="AE512" s="280">
        <f>P512</f>
        <v/>
      </c>
      <c r="AF512" s="281">
        <f>IF(AM512="Explotación",0.05,0.08)</f>
        <v/>
      </c>
      <c r="AG512" s="280">
        <f>AF512*AE512</f>
        <v/>
      </c>
      <c r="AH512" s="280">
        <f>AD512*1.21</f>
        <v/>
      </c>
      <c r="AI512" s="284">
        <f>IF(AE512&lt;&gt;0,AG512/AD512,"N/A")</f>
        <v/>
      </c>
      <c r="AJ512" s="280">
        <f>IF(AC512="pendiente",AD512,0)</f>
        <v/>
      </c>
      <c r="AK512" s="278">
        <f>VLOOKUP(G512,CLIENTES!B:D,3,FALSE)</f>
        <v/>
      </c>
    </row>
    <row r="513" ht="15" customFormat="1" customHeight="1" s="278">
      <c r="B513" s="279" t="n"/>
      <c r="C513" s="278" t="inlineStr">
        <is>
          <t>c/ Las Cruzadas 3A, local D</t>
        </is>
      </c>
      <c r="D513" s="278" t="inlineStr">
        <is>
          <t>Sevilla 41004</t>
        </is>
      </c>
      <c r="E513" s="278" t="inlineStr">
        <is>
          <t>CIF B91938662</t>
        </is>
      </c>
      <c r="F513" s="278" t="inlineStr">
        <is>
          <t>aBalados@abalados.es</t>
        </is>
      </c>
      <c r="G513" s="278" t="inlineStr">
        <is>
          <t>Cuádruple Belinchón, S.L.</t>
        </is>
      </c>
      <c r="H513" s="278">
        <f>VLOOKUP($G513,DATOS!$B:$E,2,FALSE)</f>
        <v/>
      </c>
      <c r="I513" s="278">
        <f>VLOOKUP($G513,DATOS!$B:$E,3,FALSE)</f>
        <v/>
      </c>
      <c r="J513" s="278">
        <f>VLOOKUP($G513,DATOS!$B:$E,4,FALSE)</f>
        <v/>
      </c>
      <c r="K513" s="278" t="inlineStr">
        <is>
          <t>Contrato de Asset Management - LAAT 132kV</t>
        </is>
      </c>
      <c r="L513" s="280" t="n"/>
      <c r="N513" s="280" t="n"/>
      <c r="O513" s="278" t="inlineStr">
        <is>
          <t>Fee Trimestral - 01Julio/30Septiembre 2024</t>
        </is>
      </c>
      <c r="P513" s="280">
        <f>3* 2675*1.032</f>
        <v/>
      </c>
      <c r="R513" s="280" t="n"/>
      <c r="S513" s="280" t="n"/>
      <c r="T513" s="280" t="n"/>
      <c r="V513" s="280" t="n"/>
      <c r="X513" s="280" t="n"/>
      <c r="Z513" s="280" t="n"/>
      <c r="AA513" s="280" t="n"/>
      <c r="AB513" s="402" t="inlineStr">
        <is>
          <t>ES85 2080 3509 1130 4009 6171</t>
        </is>
      </c>
      <c r="AC513" s="278" t="inlineStr">
        <is>
          <t>pendiente</t>
        </is>
      </c>
      <c r="AD513" s="280">
        <f>L513+N513+P513+R513+T513+V513+X513+Z513</f>
        <v/>
      </c>
      <c r="AE513" s="280">
        <f>P513</f>
        <v/>
      </c>
      <c r="AF513" s="281">
        <f>IF(AM513="Explotación",0.05,0.08)</f>
        <v/>
      </c>
      <c r="AG513" s="280">
        <f>AF513*AE513</f>
        <v/>
      </c>
      <c r="AH513" s="280">
        <f>AD513*1.21</f>
        <v/>
      </c>
      <c r="AI513" s="284">
        <f>IF(AE513&lt;&gt;0,AG513/AD513,"N/A")</f>
        <v/>
      </c>
      <c r="AJ513" s="280">
        <f>IF(AC513="pendiente",AD513,0)</f>
        <v/>
      </c>
      <c r="AK513" s="278">
        <f>VLOOKUP(G513,CLIENTES!B:D,3,FALSE)</f>
        <v/>
      </c>
    </row>
    <row r="514" ht="15" customFormat="1" customHeight="1" s="278">
      <c r="B514" s="279" t="n"/>
      <c r="C514" s="278" t="inlineStr">
        <is>
          <t>c/ Las Cruzadas 3A, local D</t>
        </is>
      </c>
      <c r="D514" s="278" t="inlineStr">
        <is>
          <t>Sevilla 41004</t>
        </is>
      </c>
      <c r="E514" s="278" t="inlineStr">
        <is>
          <t>CIF B91938662</t>
        </is>
      </c>
      <c r="F514" s="278" t="inlineStr">
        <is>
          <t>aBalados@abalados.es</t>
        </is>
      </c>
      <c r="G514" s="278" t="inlineStr">
        <is>
          <t>Renovables Brovales 400 kV, S.L.</t>
        </is>
      </c>
      <c r="H514" s="278">
        <f>VLOOKUP($G514,DATOS!$B:$E,2,FALSE)</f>
        <v/>
      </c>
      <c r="I514" s="278">
        <f>VLOOKUP($G514,DATOS!$B:$E,3,FALSE)</f>
        <v/>
      </c>
      <c r="J514" s="278">
        <f>VLOOKUP($G514,DATOS!$B:$E,4,FALSE)</f>
        <v/>
      </c>
      <c r="K514" s="278" t="inlineStr">
        <is>
          <t>Contrato de Asset Management - Subestación BrovalesF1</t>
        </is>
      </c>
      <c r="L514" s="280" t="n"/>
      <c r="N514" s="280" t="n"/>
      <c r="O514" s="278" t="inlineStr">
        <is>
          <t>Fee Trimestral - 01Julio/30Septiembre 2024</t>
        </is>
      </c>
      <c r="P514" s="280">
        <f>3* 3025*1.035</f>
        <v/>
      </c>
      <c r="Q514" s="278" t="inlineStr">
        <is>
          <t>Tasa actualización IPC General (Septiembre 2023 - Septiembre 2024) no disponible</t>
        </is>
      </c>
      <c r="R514" s="280" t="n"/>
      <c r="S514" s="280" t="n"/>
      <c r="T514" s="280" t="n"/>
      <c r="V514" s="280" t="n"/>
      <c r="X514" s="280" t="n"/>
      <c r="Z514" s="280" t="n"/>
      <c r="AA514" s="280" t="n"/>
      <c r="AB514" s="402" t="inlineStr">
        <is>
          <t>ES85 2080 3509 1130 4009 6171</t>
        </is>
      </c>
      <c r="AC514" s="278" t="inlineStr">
        <is>
          <t>pendiente</t>
        </is>
      </c>
      <c r="AD514" s="280">
        <f>L514+N514+P514+R514+T514+V514+X514+Z514</f>
        <v/>
      </c>
      <c r="AE514" s="280">
        <f>P514</f>
        <v/>
      </c>
      <c r="AF514" s="281">
        <f>IF(AM514="Explotación",0.05,0.08)</f>
        <v/>
      </c>
      <c r="AG514" s="280">
        <f>AF514*AE514</f>
        <v/>
      </c>
      <c r="AH514" s="280">
        <f>AD514*1.21</f>
        <v/>
      </c>
      <c r="AI514" s="284">
        <f>IF(AE514&lt;&gt;0,AG514/AD514,"N/A")</f>
        <v/>
      </c>
      <c r="AJ514" s="280">
        <f>IF(AC514="pendiente",AD514,0)</f>
        <v/>
      </c>
      <c r="AK514" s="278">
        <f>VLOOKUP(G514,CLIENTES!B:D,3,FALSE)</f>
        <v/>
      </c>
    </row>
    <row r="515" ht="15" customFormat="1" customHeight="1" s="278">
      <c r="B515" s="279" t="n"/>
      <c r="C515" s="278" t="inlineStr">
        <is>
          <t>c/ Las Cruzadas 3A, local D</t>
        </is>
      </c>
      <c r="D515" s="278" t="inlineStr">
        <is>
          <t>Sevilla 41004</t>
        </is>
      </c>
      <c r="E515" s="278" t="inlineStr">
        <is>
          <t>CIF B91938662</t>
        </is>
      </c>
      <c r="F515" s="278" t="inlineStr">
        <is>
          <t>aBalados@abalados.es</t>
        </is>
      </c>
      <c r="G515" s="278" t="inlineStr">
        <is>
          <t>Huerta Sevilla Renovables, S.L.</t>
        </is>
      </c>
      <c r="H515" s="278">
        <f>VLOOKUP($G515,DATOS!$B:$E,2,FALSE)</f>
        <v/>
      </c>
      <c r="I515" s="278">
        <f>VLOOKUP($G515,DATOS!$B:$E,3,FALSE)</f>
        <v/>
      </c>
      <c r="J515" s="278">
        <f>VLOOKUP($G515,DATOS!$B:$E,4,FALSE)</f>
        <v/>
      </c>
      <c r="K515" s="278" t="inlineStr">
        <is>
          <t>Contrato de Asset Management - Subestación BrovalesF3</t>
        </is>
      </c>
      <c r="L515" s="280" t="n"/>
      <c r="N515" s="280" t="n"/>
      <c r="O515" s="278" t="inlineStr">
        <is>
          <t>Fee Trimestral - 01Julio/30Septiembre 2024</t>
        </is>
      </c>
      <c r="P515" s="280">
        <f>3* 2960*1.032</f>
        <v/>
      </c>
      <c r="R515" s="280" t="n"/>
      <c r="S515" s="279" t="n"/>
      <c r="T515" s="280" t="n"/>
      <c r="V515" s="280" t="n"/>
      <c r="X515" s="280" t="n"/>
      <c r="Y515" s="280" t="n"/>
      <c r="Z515" s="280" t="n"/>
      <c r="AA515" s="280" t="n"/>
      <c r="AB515" s="402" t="inlineStr">
        <is>
          <t>ES85 2080 3509 1130 4009 6171</t>
        </is>
      </c>
      <c r="AC515" s="278" t="inlineStr">
        <is>
          <t>pendiente</t>
        </is>
      </c>
      <c r="AD515" s="280">
        <f>L515+N515+P515+R515+T515+V515+X515+Z515</f>
        <v/>
      </c>
      <c r="AE515" s="280">
        <f>P515</f>
        <v/>
      </c>
      <c r="AF515" s="281">
        <f>IF(AM515="Explotación",0.05,0.08)</f>
        <v/>
      </c>
      <c r="AG515" s="280">
        <f>AF515*AE515</f>
        <v/>
      </c>
      <c r="AH515" s="280">
        <f>AD515*1.21</f>
        <v/>
      </c>
      <c r="AI515" s="284">
        <f>IF(AE515&lt;&gt;0,AG515/AD515,"N/A")</f>
        <v/>
      </c>
      <c r="AJ515" s="280">
        <f>IF(AC515="pendiente",AD515,0)</f>
        <v/>
      </c>
      <c r="AK515" s="278">
        <f>VLOOKUP(G515,CLIENTES!B:D,3,FALSE)</f>
        <v/>
      </c>
    </row>
    <row r="516" ht="15" customFormat="1" customHeight="1" s="278">
      <c r="B516" s="279" t="n"/>
      <c r="C516" s="278" t="inlineStr">
        <is>
          <t>c/ Las Cruzadas 3A, local D</t>
        </is>
      </c>
      <c r="D516" s="278" t="inlineStr">
        <is>
          <t>Sevilla 41004</t>
        </is>
      </c>
      <c r="E516" s="278" t="inlineStr">
        <is>
          <t>CIF B91938662</t>
        </is>
      </c>
      <c r="F516" s="278" t="inlineStr">
        <is>
          <t>aBalados@abalados.es</t>
        </is>
      </c>
      <c r="G516" s="278" t="inlineStr">
        <is>
          <t>Belisol 132 kV, S.L.</t>
        </is>
      </c>
      <c r="H516" s="278">
        <f>VLOOKUP($G516,DATOS!$B:$E,2,FALSE)</f>
        <v/>
      </c>
      <c r="I516" s="278">
        <f>VLOOKUP($G516,DATOS!$B:$E,3,FALSE)</f>
        <v/>
      </c>
      <c r="J516" s="278">
        <f>VLOOKUP($G516,DATOS!$B:$E,4,FALSE)</f>
        <v/>
      </c>
      <c r="K516" s="278" t="inlineStr">
        <is>
          <t>Contrato de Asset Management - Subestación Belisol</t>
        </is>
      </c>
      <c r="L516" s="280" t="n"/>
      <c r="N516" s="280" t="n"/>
      <c r="O516" s="278" t="inlineStr">
        <is>
          <t>Fee Trimestral - 01Julio/30Septiembre 2024</t>
        </is>
      </c>
      <c r="P516" s="280">
        <f>3* 3045*1.028</f>
        <v/>
      </c>
      <c r="Q516" s="280" t="n"/>
      <c r="R516" s="280" t="n"/>
      <c r="S516" s="280" t="n"/>
      <c r="T516" s="280" t="n"/>
      <c r="V516" s="280" t="n"/>
      <c r="X516" s="280" t="n"/>
      <c r="Z516" s="280" t="n"/>
      <c r="AA516" s="280" t="n"/>
      <c r="AB516" s="402" t="inlineStr">
        <is>
          <t>ES85 2080 3509 1130 4009 6171</t>
        </is>
      </c>
      <c r="AC516" s="278" t="inlineStr">
        <is>
          <t>pendiente</t>
        </is>
      </c>
      <c r="AD516" s="280">
        <f>L516+N516+P516+R516+T516+V516+X516+Z516</f>
        <v/>
      </c>
      <c r="AE516" s="280">
        <f>P516</f>
        <v/>
      </c>
      <c r="AF516" s="281">
        <f>IF(AM516="Explotación",0.05,0.08)</f>
        <v/>
      </c>
      <c r="AG516" s="280">
        <f>AF516*AE516</f>
        <v/>
      </c>
      <c r="AH516" s="280">
        <f>AD516*1.21</f>
        <v/>
      </c>
      <c r="AI516" s="284">
        <f>IF(AE516&lt;&gt;0,AG516/AD516,"N/A")</f>
        <v/>
      </c>
      <c r="AJ516" s="280">
        <f>IF(AC516="pendiente",AD516,0)</f>
        <v/>
      </c>
      <c r="AK516" s="278">
        <f>VLOOKUP(G516,CLIENTES!B:D,3,FALSE)</f>
        <v/>
      </c>
    </row>
    <row r="517" ht="15" customFormat="1" customHeight="1" s="278">
      <c r="B517" s="279" t="n"/>
      <c r="C517" s="278" t="inlineStr">
        <is>
          <t>c/ Las Cruzadas 3A, local D</t>
        </is>
      </c>
      <c r="D517" s="278" t="inlineStr">
        <is>
          <t>Sevilla 41004</t>
        </is>
      </c>
      <c r="E517" s="278" t="inlineStr">
        <is>
          <t>CIF B91938662</t>
        </is>
      </c>
      <c r="F517" s="278" t="inlineStr">
        <is>
          <t>aBalados@abalados.es</t>
        </is>
      </c>
      <c r="G517" s="278" t="inlineStr">
        <is>
          <t>Brazatortas 220 Renovables, S.L.</t>
        </is>
      </c>
      <c r="H517" s="278">
        <f>VLOOKUP($G517,DATOS!$B:$E,2,FALSE)</f>
        <v/>
      </c>
      <c r="I517" s="278">
        <f>VLOOKUP($G517,DATOS!$B:$E,3,FALSE)</f>
        <v/>
      </c>
      <c r="J517" s="278">
        <f>VLOOKUP($G517,DATOS!$B:$E,4,FALSE)</f>
        <v/>
      </c>
      <c r="K517" s="278" t="inlineStr">
        <is>
          <t>Contrato de Asset Management - Subestación Brazatortas220</t>
        </is>
      </c>
      <c r="L517" s="280" t="n"/>
      <c r="N517" s="280" t="n"/>
      <c r="O517" s="278" t="inlineStr">
        <is>
          <t>Fee Trimestral - 01Julio/30Septiembre 2024</t>
        </is>
      </c>
      <c r="P517" s="280">
        <f>3* 3015*1.031</f>
        <v/>
      </c>
      <c r="R517" s="280" t="n"/>
      <c r="T517" s="280" t="n"/>
      <c r="V517" s="280" t="n"/>
      <c r="X517" s="280" t="n"/>
      <c r="Z517" s="280" t="n"/>
      <c r="AA517" s="280" t="n"/>
      <c r="AB517" s="402" t="inlineStr">
        <is>
          <t>ES85 2080 3509 1130 4009 6171</t>
        </is>
      </c>
      <c r="AC517" s="278" t="inlineStr">
        <is>
          <t>pendiente</t>
        </is>
      </c>
      <c r="AD517" s="280">
        <f>L517+N517+P517+R517+T517+V517+X517+Z517</f>
        <v/>
      </c>
      <c r="AE517" s="280">
        <f>P517</f>
        <v/>
      </c>
      <c r="AF517" s="281">
        <f>IF(AM517="Explotación",0.05,0.08)</f>
        <v/>
      </c>
      <c r="AG517" s="280">
        <f>AF517*AE517</f>
        <v/>
      </c>
      <c r="AH517" s="280">
        <f>AD517*1.21</f>
        <v/>
      </c>
      <c r="AI517" s="284">
        <f>IF(AE517&lt;&gt;0,AG517/AD517,"N/A")</f>
        <v/>
      </c>
      <c r="AJ517" s="280">
        <f>IF(AC517="pendiente",AD517,0)</f>
        <v/>
      </c>
      <c r="AK517" s="278">
        <f>VLOOKUP(G517,CLIENTES!B:D,3,FALSE)</f>
        <v/>
      </c>
    </row>
    <row r="518" ht="15" customFormat="1" customHeight="1" s="278">
      <c r="B518" s="279" t="n"/>
      <c r="C518" s="278" t="inlineStr">
        <is>
          <t>c/ Las Cruzadas 3A, local D</t>
        </is>
      </c>
      <c r="D518" s="278" t="inlineStr">
        <is>
          <t>Sevilla 41004</t>
        </is>
      </c>
      <c r="E518" s="278" t="inlineStr">
        <is>
          <t>CIF B91938662</t>
        </is>
      </c>
      <c r="F518" s="278" t="inlineStr">
        <is>
          <t>aBalados@abalados.es</t>
        </is>
      </c>
      <c r="G518" s="278" t="inlineStr">
        <is>
          <t>Evacuación Liquesun, S.L.</t>
        </is>
      </c>
      <c r="H518" s="278">
        <f>VLOOKUP($G518,DATOS!$B:$E,2,FALSE)</f>
        <v/>
      </c>
      <c r="I518" s="278">
        <f>VLOOKUP($G518,DATOS!$B:$E,3,FALSE)</f>
        <v/>
      </c>
      <c r="J518" s="278">
        <f>VLOOKUP($G518,DATOS!$B:$E,4,FALSE)</f>
        <v/>
      </c>
      <c r="K518" s="278" t="inlineStr">
        <is>
          <t>Contrato de Asset Management - LSAT 30kV</t>
        </is>
      </c>
      <c r="L518" s="280" t="n"/>
      <c r="N518" s="280" t="n"/>
      <c r="O518" s="278" t="inlineStr">
        <is>
          <t>Fee Trimestral - 01Julio/30Septiembre 2024</t>
        </is>
      </c>
      <c r="P518" s="280">
        <f>3* 750*1.032</f>
        <v/>
      </c>
      <c r="R518" s="280" t="n"/>
      <c r="T518" s="280" t="n"/>
      <c r="V518" s="280" t="n"/>
      <c r="X518" s="280" t="n"/>
      <c r="Z518" s="280" t="n"/>
      <c r="AA518" s="280" t="n"/>
      <c r="AB518" s="402" t="inlineStr">
        <is>
          <t>ES85 2080 3509 1130 4009 6171</t>
        </is>
      </c>
      <c r="AC518" s="278" t="inlineStr">
        <is>
          <t>pendiente</t>
        </is>
      </c>
      <c r="AD518" s="280">
        <f>L518+N518+P518+R518+T518+V518+X518+Z518</f>
        <v/>
      </c>
      <c r="AE518" s="280">
        <f>P518</f>
        <v/>
      </c>
      <c r="AF518" s="281">
        <f>IF(AM518="Explotación",0.05,0.08)</f>
        <v/>
      </c>
      <c r="AG518" s="280">
        <f>AF518*AE518</f>
        <v/>
      </c>
      <c r="AH518" s="280">
        <f>AD518*1.21</f>
        <v/>
      </c>
      <c r="AI518" s="284">
        <f>IF(AE518&lt;&gt;0,AG518/AD518,"N/A")</f>
        <v/>
      </c>
      <c r="AJ518" s="280">
        <f>IF(AC518="pendiente",AD518,0)</f>
        <v/>
      </c>
      <c r="AK518" s="278">
        <f>VLOOKUP(G518,CLIENTES!B:D,3,FALSE)</f>
        <v/>
      </c>
    </row>
    <row r="519" ht="15" customFormat="1" customHeight="1" s="278">
      <c r="B519" s="279" t="n"/>
      <c r="C519" s="278" t="inlineStr">
        <is>
          <t>c/ Las Cruzadas 3A, local D</t>
        </is>
      </c>
      <c r="D519" s="278" t="inlineStr">
        <is>
          <t>Sevilla 41004</t>
        </is>
      </c>
      <c r="E519" s="278" t="inlineStr">
        <is>
          <t>CIF B91938662</t>
        </is>
      </c>
      <c r="F519" s="278" t="inlineStr">
        <is>
          <t>aBalados@abalados.es</t>
        </is>
      </c>
      <c r="G519" s="278" t="inlineStr">
        <is>
          <t>Colectora Carmona, S.L.</t>
        </is>
      </c>
      <c r="H519" s="278">
        <f>VLOOKUP($G519,DATOS!$B:$E,2,FALSE)</f>
        <v/>
      </c>
      <c r="I519" s="278">
        <f>VLOOKUP($G519,DATOS!$B:$E,3,FALSE)</f>
        <v/>
      </c>
      <c r="J519" s="278">
        <f>VLOOKUP($G519,DATOS!$B:$E,4,FALSE)</f>
        <v/>
      </c>
      <c r="K519" s="278" t="inlineStr">
        <is>
          <t>Contrato de Asset Management - Subestación Colectora Carmona</t>
        </is>
      </c>
      <c r="L519" s="280" t="n"/>
      <c r="N519" s="280" t="n"/>
      <c r="O519" s="278" t="inlineStr">
        <is>
          <t>Fee Trimestral - 01Julio/30Septiembre 2024</t>
        </is>
      </c>
      <c r="P519" s="280">
        <f>3* 1250*1.032</f>
        <v/>
      </c>
      <c r="R519" s="280" t="n"/>
      <c r="S519" s="280" t="n"/>
      <c r="T519" s="280" t="n"/>
      <c r="V519" s="280" t="n"/>
      <c r="X519" s="280" t="n"/>
      <c r="Z519" s="280" t="n"/>
      <c r="AA519" s="280" t="n"/>
      <c r="AB519" s="402" t="inlineStr">
        <is>
          <t>ES85 2080 3509 1130 4009 6171</t>
        </is>
      </c>
      <c r="AC519" s="278" t="inlineStr">
        <is>
          <t>pendiente</t>
        </is>
      </c>
      <c r="AD519" s="280">
        <f>L519+N519+P519+R519+T519+V519+X519+Z519</f>
        <v/>
      </c>
      <c r="AE519" s="280">
        <f>P519</f>
        <v/>
      </c>
      <c r="AF519" s="281">
        <f>IF(AM519="Explotación",0.05,0.08)</f>
        <v/>
      </c>
      <c r="AG519" s="280">
        <f>AF519*AE519</f>
        <v/>
      </c>
      <c r="AH519" s="280">
        <f>AD519*1.21</f>
        <v/>
      </c>
      <c r="AI519" s="284">
        <f>IF(AE519&lt;&gt;0,AG519/AD519,"N/A")</f>
        <v/>
      </c>
      <c r="AJ519" s="280">
        <f>IF(AC519="pendiente",AD519,0)</f>
        <v/>
      </c>
      <c r="AK519" s="278">
        <f>VLOOKUP(G519,CLIENTES!B:D,3,FALSE)</f>
        <v/>
      </c>
    </row>
    <row r="520" ht="15" customFormat="1" customHeight="1" s="278">
      <c r="B520" s="279" t="n"/>
      <c r="C520" s="278" t="inlineStr">
        <is>
          <t>c/ Las Cruzadas 3A, local D</t>
        </is>
      </c>
      <c r="D520" s="278" t="inlineStr">
        <is>
          <t>Sevilla 41004</t>
        </is>
      </c>
      <c r="E520" s="278" t="inlineStr">
        <is>
          <t>CIF B91938662</t>
        </is>
      </c>
      <c r="F520" s="278" t="inlineStr">
        <is>
          <t>aBalados@abalados.es</t>
        </is>
      </c>
      <c r="G520" s="278" t="inlineStr">
        <is>
          <t>Toro Renovables, S.L.</t>
        </is>
      </c>
      <c r="H520" s="278">
        <f>VLOOKUP($G520,DATOS!$B:$E,2,FALSE)</f>
        <v/>
      </c>
      <c r="I520" s="278">
        <f>VLOOKUP($G520,DATOS!$B:$E,3,FALSE)</f>
        <v/>
      </c>
      <c r="J520" s="278">
        <f>VLOOKUP($G520,DATOS!$B:$E,4,FALSE)</f>
        <v/>
      </c>
      <c r="K520" s="278" t="inlineStr">
        <is>
          <t>Contrato de Asset Management - Subestación Toro400</t>
        </is>
      </c>
      <c r="L520" s="280" t="n"/>
      <c r="N520" s="280" t="n"/>
      <c r="O520" s="278" t="inlineStr">
        <is>
          <t>Fee Trimestral - 01Julio/30Septiembre 2024</t>
        </is>
      </c>
      <c r="P520" s="280">
        <f>3*2800*1.036</f>
        <v/>
      </c>
      <c r="R520" s="280" t="n"/>
      <c r="T520" s="280" t="n"/>
      <c r="V520" s="280" t="n"/>
      <c r="X520" s="280" t="n"/>
      <c r="Z520" s="280" t="n"/>
      <c r="AA520" s="280" t="n"/>
      <c r="AB520" s="402" t="inlineStr">
        <is>
          <t>ES85 2080 3509 1130 4009 6171</t>
        </is>
      </c>
      <c r="AC520" s="278" t="inlineStr">
        <is>
          <t>pendiente</t>
        </is>
      </c>
      <c r="AD520" s="280">
        <f>L520+N520+P520+R520+T520+V520+X520+Z520</f>
        <v/>
      </c>
      <c r="AE520" s="280">
        <f>P520</f>
        <v/>
      </c>
      <c r="AF520" s="281">
        <f>IF(AM520="Explotación",0.05,0.08)</f>
        <v/>
      </c>
      <c r="AG520" s="280">
        <f>AF520*AE520</f>
        <v/>
      </c>
      <c r="AH520" s="280">
        <f>AD520*1.21</f>
        <v/>
      </c>
      <c r="AI520" s="284">
        <f>IF(AE520&lt;&gt;0,AG520/AD520,"N/A")</f>
        <v/>
      </c>
      <c r="AJ520" s="280">
        <f>IF(AC520="pendiente",AD520,0)</f>
        <v/>
      </c>
      <c r="AK520" s="278">
        <f>VLOOKUP(G520,CLIENTES!B:D,3,FALSE)</f>
        <v/>
      </c>
    </row>
    <row r="521" ht="15" customFormat="1" customHeight="1" s="278">
      <c r="B521" s="279" t="n"/>
      <c r="C521" s="278" t="inlineStr">
        <is>
          <t>c/ Las Cruzadas 3A, local D</t>
        </is>
      </c>
      <c r="D521" s="278" t="inlineStr">
        <is>
          <t>Sevilla 41004</t>
        </is>
      </c>
      <c r="E521" s="278" t="inlineStr">
        <is>
          <t>CIF B91938662</t>
        </is>
      </c>
      <c r="F521" s="278" t="inlineStr">
        <is>
          <t>aBalados@abalados.es</t>
        </is>
      </c>
      <c r="G521" s="278" t="inlineStr">
        <is>
          <t>Renovables Brovales Segura de León 400 kV, S.L.</t>
        </is>
      </c>
      <c r="H521" s="278">
        <f>VLOOKUP($G521,DATOS!$B:$E,2,FALSE)</f>
        <v/>
      </c>
      <c r="I521" s="278">
        <f>VLOOKUP($G521,DATOS!$B:$E,3,FALSE)</f>
        <v/>
      </c>
      <c r="J521" s="278">
        <f>VLOOKUP($G521,DATOS!$B:$E,4,FALSE)</f>
        <v/>
      </c>
      <c r="K521" s="278" t="inlineStr">
        <is>
          <t>Contrato de Asset Management - Subestación BrovalesF2</t>
        </is>
      </c>
      <c r="L521" s="280" t="n"/>
      <c r="N521" s="280" t="n"/>
      <c r="O521" s="278" t="inlineStr">
        <is>
          <t>Fee Trimestral - 01Julio/30Septiembre 2024</t>
        </is>
      </c>
      <c r="P521" s="280">
        <f>3* 3025*1.032</f>
        <v/>
      </c>
      <c r="R521" s="280" t="n"/>
      <c r="T521" s="280" t="n"/>
      <c r="V521" s="280" t="n"/>
      <c r="X521" s="280" t="n"/>
      <c r="Z521" s="280" t="n"/>
      <c r="AA521" s="280" t="n"/>
      <c r="AB521" s="402" t="inlineStr">
        <is>
          <t>ES85 2080 3509 1130 4009 6171</t>
        </is>
      </c>
      <c r="AC521" s="278" t="inlineStr">
        <is>
          <t>pendiente</t>
        </is>
      </c>
      <c r="AD521" s="280">
        <f>L521+N521+P521+R521+T521+V521+X521+Z521</f>
        <v/>
      </c>
      <c r="AE521" s="280">
        <f>P521</f>
        <v/>
      </c>
      <c r="AF521" s="281">
        <f>IF(AM521="Explotación",0.05,0.08)</f>
        <v/>
      </c>
      <c r="AG521" s="280">
        <f>AF521*AE521</f>
        <v/>
      </c>
      <c r="AH521" s="280">
        <f>AD521*1.21</f>
        <v/>
      </c>
      <c r="AI521" s="284">
        <f>IF(AE521&lt;&gt;0,AG521/AD521,"N/A")</f>
        <v/>
      </c>
      <c r="AJ521" s="280">
        <f>IF(AC521="pendiente",AD521,0)</f>
        <v/>
      </c>
      <c r="AK521" s="278">
        <f>VLOOKUP(G521,CLIENTES!B:D,3,FALSE)</f>
        <v/>
      </c>
    </row>
    <row r="522" ht="15" customFormat="1" customHeight="1" s="278">
      <c r="B522" s="279" t="n"/>
      <c r="C522" s="278" t="inlineStr">
        <is>
          <t>c/ Las Cruzadas 3A, local D</t>
        </is>
      </c>
      <c r="D522" s="278" t="inlineStr">
        <is>
          <t>Sevilla 41004</t>
        </is>
      </c>
      <c r="E522" s="278" t="inlineStr">
        <is>
          <t>CIF B91938662</t>
        </is>
      </c>
      <c r="F522" s="278" t="inlineStr">
        <is>
          <t>aBalados@abalados.es</t>
        </is>
      </c>
      <c r="G522" s="278" t="inlineStr">
        <is>
          <t>Promotores Benejama Generación, S.L.</t>
        </is>
      </c>
      <c r="H522" s="278">
        <f>VLOOKUP($G522,DATOS!$B:$E,2,FALSE)</f>
        <v/>
      </c>
      <c r="I522" s="278">
        <f>VLOOKUP($G522,DATOS!$B:$E,3,FALSE)</f>
        <v/>
      </c>
      <c r="J522" s="278">
        <f>VLOOKUP($G522,DATOS!$B:$E,4,FALSE)</f>
        <v/>
      </c>
      <c r="K522" s="278" t="inlineStr">
        <is>
          <t>Contrato de Asset Management - Subestación Benejama Generación</t>
        </is>
      </c>
      <c r="L522" s="280" t="n"/>
      <c r="N522" s="280" t="n"/>
      <c r="O522" s="278" t="inlineStr">
        <is>
          <t>Fee Trimestral - 01Julio/30Septiembre 2024</t>
        </is>
      </c>
      <c r="P522" s="280">
        <f>3* 1350*1.032</f>
        <v/>
      </c>
      <c r="R522" s="280" t="n"/>
      <c r="T522" s="280" t="n"/>
      <c r="V522" s="280" t="n"/>
      <c r="X522" s="280" t="n"/>
      <c r="Z522" s="280" t="n"/>
      <c r="AA522" s="280" t="n"/>
      <c r="AB522" s="402" t="inlineStr">
        <is>
          <t>ES85 2080 3509 1130 4009 6171</t>
        </is>
      </c>
      <c r="AC522" s="278" t="inlineStr">
        <is>
          <t>pendiente</t>
        </is>
      </c>
      <c r="AD522" s="280">
        <f>L522+N522+P522+R522+T522+V522+X522+Z522</f>
        <v/>
      </c>
      <c r="AE522" s="280">
        <f>P522</f>
        <v/>
      </c>
      <c r="AF522" s="281">
        <f>IF(AM522="Explotación",0.05,0.08)</f>
        <v/>
      </c>
      <c r="AG522" s="280">
        <f>AF522*AE522</f>
        <v/>
      </c>
      <c r="AH522" s="280">
        <f>AD522*1.21</f>
        <v/>
      </c>
      <c r="AI522" s="284">
        <f>IF(AE522&lt;&gt;0,AG522/AD522,"N/A")</f>
        <v/>
      </c>
      <c r="AJ522" s="280">
        <f>IF(AC522="pendiente",AD522,0)</f>
        <v/>
      </c>
      <c r="AK522" s="278">
        <f>VLOOKUP(G522,CLIENTES!B:D,3,FALSE)</f>
        <v/>
      </c>
    </row>
    <row r="523" ht="15" customFormat="1" customHeight="1" s="278">
      <c r="B523" s="279" t="n"/>
      <c r="C523" s="278" t="inlineStr">
        <is>
          <t>c/ Las Cruzadas 3A, local D</t>
        </is>
      </c>
      <c r="D523" s="278" t="inlineStr">
        <is>
          <t>Sevilla 41004</t>
        </is>
      </c>
      <c r="E523" s="278" t="inlineStr">
        <is>
          <t>CIF B91938662</t>
        </is>
      </c>
      <c r="F523" s="278" t="inlineStr">
        <is>
          <t>aBalados@abalados.es</t>
        </is>
      </c>
      <c r="G523" s="278" t="inlineStr">
        <is>
          <t>ICE Santa Engracia, S.L.</t>
        </is>
      </c>
      <c r="H523" s="278">
        <f>VLOOKUP($G523,DATOS!$B:$E,2,FALSE)</f>
        <v/>
      </c>
      <c r="I523" s="278">
        <f>VLOOKUP($G523,DATOS!$B:$E,3,FALSE)</f>
        <v/>
      </c>
      <c r="J523" s="278">
        <f>VLOOKUP($G523,DATOS!$B:$E,4,FALSE)</f>
        <v/>
      </c>
      <c r="K523" s="278" t="inlineStr">
        <is>
          <t>Contrato de Asset Management - Subestación Santa Engracia</t>
        </is>
      </c>
      <c r="L523" s="280" t="n"/>
      <c r="N523" s="280" t="n"/>
      <c r="O523" s="278" t="inlineStr">
        <is>
          <t>Fee Trimestral - 01Julio/30Septiembre 2024</t>
        </is>
      </c>
      <c r="P523" s="280">
        <f>3* 1350*1.033</f>
        <v/>
      </c>
      <c r="R523" s="280" t="n"/>
      <c r="T523" s="280" t="n"/>
      <c r="V523" s="280" t="n"/>
      <c r="X523" s="280" t="n"/>
      <c r="Z523" s="280" t="n"/>
      <c r="AA523" s="280" t="n"/>
      <c r="AB523" s="402" t="inlineStr">
        <is>
          <t>ES85 2080 3509 1130 4009 6171</t>
        </is>
      </c>
      <c r="AC523" s="278" t="inlineStr">
        <is>
          <t>pendiente</t>
        </is>
      </c>
      <c r="AD523" s="280">
        <f>L523+N523+P523+R523+T523+V523+X523+Z523</f>
        <v/>
      </c>
      <c r="AE523" s="280">
        <f>P523</f>
        <v/>
      </c>
      <c r="AF523" s="281">
        <f>IF(AM523="Explotación",0.05,0.08)</f>
        <v/>
      </c>
      <c r="AG523" s="280">
        <f>AF523*AE523</f>
        <v/>
      </c>
      <c r="AH523" s="280">
        <f>AD523*1.21</f>
        <v/>
      </c>
      <c r="AI523" s="284">
        <f>IF(AE523&lt;&gt;0,AG523/AD523,"N/A")</f>
        <v/>
      </c>
      <c r="AJ523" s="280">
        <f>IF(AC523="pendiente",AD523,0)</f>
        <v/>
      </c>
      <c r="AK523" s="278">
        <f>VLOOKUP(G523,CLIENTES!B:D,3,FALSE)</f>
        <v/>
      </c>
    </row>
    <row r="524" ht="15" customFormat="1" customHeight="1" s="278">
      <c r="B524" s="279" t="n"/>
      <c r="C524" s="278" t="inlineStr">
        <is>
          <t>c/ Las Cruzadas 3A, local D</t>
        </is>
      </c>
      <c r="D524" s="278" t="inlineStr">
        <is>
          <t>Sevilla 41004</t>
        </is>
      </c>
      <c r="E524" s="278" t="inlineStr">
        <is>
          <t>CIF B91938662</t>
        </is>
      </c>
      <c r="F524" s="278" t="inlineStr">
        <is>
          <t>aBalados@abalados.es</t>
        </is>
      </c>
      <c r="G524" s="278" t="inlineStr">
        <is>
          <t>Becerril Renovables, S.L.</t>
        </is>
      </c>
      <c r="H524" s="278">
        <f>VLOOKUP($G524,DATOS!$B:$E,2,FALSE)</f>
        <v/>
      </c>
      <c r="I524" s="278">
        <f>VLOOKUP($G524,DATOS!$B:$E,3,FALSE)</f>
        <v/>
      </c>
      <c r="J524" s="278">
        <f>VLOOKUP($G524,DATOS!$B:$E,4,FALSE)</f>
        <v/>
      </c>
      <c r="K524" s="278" t="inlineStr">
        <is>
          <t>Contrato de Asset Management - Subestación Becerril</t>
        </is>
      </c>
      <c r="L524" s="280" t="n"/>
      <c r="N524" s="280" t="n"/>
      <c r="O524" s="278" t="inlineStr">
        <is>
          <t>Fee Trimestral - 01Julio/30Septiembre 2024</t>
        </is>
      </c>
      <c r="P524" s="280">
        <f>3* 1350*1.028</f>
        <v/>
      </c>
      <c r="R524" s="280" t="n"/>
      <c r="T524" s="280" t="n"/>
      <c r="V524" s="280" t="n"/>
      <c r="X524" s="280" t="n"/>
      <c r="Z524" s="280" t="n"/>
      <c r="AA524" s="280" t="n"/>
      <c r="AB524" s="402" t="inlineStr">
        <is>
          <t>ES85 2080 3509 1130 4009 6171</t>
        </is>
      </c>
      <c r="AC524" s="278" t="inlineStr">
        <is>
          <t>pendiente</t>
        </is>
      </c>
      <c r="AD524" s="280">
        <f>L524+N524+P524+R524+T524+V524+X524+Z524</f>
        <v/>
      </c>
      <c r="AE524" s="280">
        <f>P524</f>
        <v/>
      </c>
      <c r="AF524" s="281">
        <f>IF(AM524="Explotación",0.05,0.08)</f>
        <v/>
      </c>
      <c r="AG524" s="280">
        <f>AF524*AE524</f>
        <v/>
      </c>
      <c r="AH524" s="280">
        <f>AD524*1.21</f>
        <v/>
      </c>
      <c r="AI524" s="284">
        <f>IF(AE524&lt;&gt;0,AG524/AD524,"N/A")</f>
        <v/>
      </c>
      <c r="AJ524" s="280">
        <f>IF(AC524="pendiente",AD524,0)</f>
        <v/>
      </c>
      <c r="AK524" s="278">
        <f>VLOOKUP(G524,CLIENTES!B:D,3,FALSE)</f>
        <v/>
      </c>
    </row>
    <row r="525" ht="15" customFormat="1" customHeight="1" s="278">
      <c r="B525" s="279" t="n"/>
      <c r="C525" s="278" t="inlineStr">
        <is>
          <t>c/ Las Cruzadas 3A, local D</t>
        </is>
      </c>
      <c r="D525" s="278" t="inlineStr">
        <is>
          <t>Sevilla 41004</t>
        </is>
      </c>
      <c r="E525" s="278" t="inlineStr">
        <is>
          <t>CIF B91938662</t>
        </is>
      </c>
      <c r="F525" s="278" t="inlineStr">
        <is>
          <t>aBalados@abalados.es</t>
        </is>
      </c>
      <c r="G525" s="278" t="inlineStr">
        <is>
          <t>Transformadora Almodóvar Renovables, S.L.</t>
        </is>
      </c>
      <c r="H525" s="278">
        <f>VLOOKUP($G525,DATOS!$B:$E,2,FALSE)</f>
        <v/>
      </c>
      <c r="I525" s="278">
        <f>VLOOKUP($G525,DATOS!$B:$E,3,FALSE)</f>
        <v/>
      </c>
      <c r="J525" s="278">
        <f>VLOOKUP($G525,DATOS!$B:$E,4,FALSE)</f>
        <v/>
      </c>
      <c r="K525" s="278" t="inlineStr">
        <is>
          <t>Contrato de Asset Management - Subestación Almodóvar</t>
        </is>
      </c>
      <c r="L525" s="280" t="n"/>
      <c r="N525" s="280" t="n"/>
      <c r="O525" s="278" t="inlineStr">
        <is>
          <t>Fee Trimestral - 01Julio/30Septiembre 2024</t>
        </is>
      </c>
      <c r="P525" s="280">
        <f>3* 1350*1.032</f>
        <v/>
      </c>
      <c r="R525" s="280" t="n"/>
      <c r="S525" s="280" t="n"/>
      <c r="T525" s="280" t="n"/>
      <c r="V525" s="280" t="n"/>
      <c r="X525" s="280" t="n"/>
      <c r="Z525" s="280" t="n"/>
      <c r="AA525" s="280" t="n"/>
      <c r="AB525" s="402" t="inlineStr">
        <is>
          <t>ES85 2080 3509 1130 4009 6171</t>
        </is>
      </c>
      <c r="AC525" s="278" t="inlineStr">
        <is>
          <t>pendiente</t>
        </is>
      </c>
      <c r="AD525" s="280">
        <f>L525+N525+P525+R525+T525+V525+X525+Z525</f>
        <v/>
      </c>
      <c r="AE525" s="280">
        <f>P525</f>
        <v/>
      </c>
      <c r="AF525" s="281">
        <f>IF(AM525="Explotación",0.05,0.08)</f>
        <v/>
      </c>
      <c r="AG525" s="280">
        <f>AF525*AE525</f>
        <v/>
      </c>
      <c r="AH525" s="280">
        <f>AD525*1.21</f>
        <v/>
      </c>
      <c r="AI525" s="284">
        <f>IF(AE525&lt;&gt;0,AG525/AD525,"N/A")</f>
        <v/>
      </c>
      <c r="AJ525" s="280">
        <f>IF(AC525="pendiente",AD525,0)</f>
        <v/>
      </c>
      <c r="AK525" s="278">
        <f>VLOOKUP(G525,CLIENTES!B:D,3,FALSE)</f>
        <v/>
      </c>
    </row>
    <row r="526" ht="15" customFormat="1" customHeight="1" s="278">
      <c r="B526" s="279" t="n"/>
      <c r="C526" s="278" t="inlineStr">
        <is>
          <t>c/ Las Cruzadas 3A, local D</t>
        </is>
      </c>
      <c r="D526" s="278" t="inlineStr">
        <is>
          <t>Sevilla 41004</t>
        </is>
      </c>
      <c r="E526" s="278" t="inlineStr">
        <is>
          <t>CIF B91938662</t>
        </is>
      </c>
      <c r="F526" s="278" t="inlineStr">
        <is>
          <t>aBalados@abalados.es</t>
        </is>
      </c>
      <c r="G526" s="278" t="inlineStr">
        <is>
          <t>Teodomiro Renovables, S.L.</t>
        </is>
      </c>
      <c r="H526" s="278">
        <f>VLOOKUP($G526,DATOS!$B:$E,2,FALSE)</f>
        <v/>
      </c>
      <c r="I526" s="278">
        <f>VLOOKUP($G526,DATOS!$B:$E,3,FALSE)</f>
        <v/>
      </c>
      <c r="J526" s="278">
        <f>VLOOKUP($G526,DATOS!$B:$E,4,FALSE)</f>
        <v/>
      </c>
      <c r="K526" s="278" t="inlineStr">
        <is>
          <t>Contrato de Asset Management - Subestación Teodomiro</t>
        </is>
      </c>
      <c r="L526" s="280" t="n"/>
      <c r="N526" s="280" t="n"/>
      <c r="O526" s="278" t="inlineStr">
        <is>
          <t>Fee Trimestral - 01Julio/30Septiembre 2024</t>
        </is>
      </c>
      <c r="P526" s="280">
        <f>3* 1350*1.032</f>
        <v/>
      </c>
      <c r="R526" s="280" t="n"/>
      <c r="T526" s="280" t="n"/>
      <c r="V526" s="280" t="n"/>
      <c r="X526" s="280" t="n"/>
      <c r="Z526" s="280" t="n"/>
      <c r="AA526" s="280" t="n"/>
      <c r="AB526" s="402" t="inlineStr">
        <is>
          <t>ES85 2080 3509 1130 4009 6171</t>
        </is>
      </c>
      <c r="AC526" s="278" t="inlineStr">
        <is>
          <t>pendiente</t>
        </is>
      </c>
      <c r="AD526" s="280">
        <f>L526+N526+P526+R526+T526+V526+X526+Z526</f>
        <v/>
      </c>
      <c r="AE526" s="280">
        <f>P526</f>
        <v/>
      </c>
      <c r="AF526" s="281">
        <f>IF(AM526="Explotación",0.05,0.08)</f>
        <v/>
      </c>
      <c r="AG526" s="280">
        <f>AF526*AE526</f>
        <v/>
      </c>
      <c r="AH526" s="280">
        <f>AD526*1.21</f>
        <v/>
      </c>
      <c r="AI526" s="284">
        <f>IF(AE526&lt;&gt;0,AG526/AD526,"N/A")</f>
        <v/>
      </c>
      <c r="AJ526" s="280">
        <f>IF(AC526="pendiente",AD526,0)</f>
        <v/>
      </c>
      <c r="AK526" s="278">
        <f>VLOOKUP(G526,CLIENTES!B:D,3,FALSE)</f>
        <v/>
      </c>
    </row>
    <row r="527" ht="15" customFormat="1" customHeight="1" s="278">
      <c r="B527" s="279" t="n"/>
      <c r="C527" s="278" t="inlineStr">
        <is>
          <t>c/ Las Cruzadas 3A, local D</t>
        </is>
      </c>
      <c r="D527" s="278" t="inlineStr">
        <is>
          <t>Sevilla 41004</t>
        </is>
      </c>
      <c r="E527" s="278" t="inlineStr">
        <is>
          <t>CIF B91938662</t>
        </is>
      </c>
      <c r="F527" s="278" t="inlineStr">
        <is>
          <t>aBalados@abalados.es</t>
        </is>
      </c>
      <c r="G527" s="278" t="inlineStr">
        <is>
          <t>Nudo SE Zaratan 220 kV, S.L.</t>
        </is>
      </c>
      <c r="H527" s="278">
        <f>VLOOKUP($G527,DATOS!$B:$E,2,FALSE)</f>
        <v/>
      </c>
      <c r="I527" s="278">
        <f>VLOOKUP($G527,DATOS!$B:$E,3,FALSE)</f>
        <v/>
      </c>
      <c r="J527" s="278">
        <f>VLOOKUP($G527,DATOS!$B:$E,4,FALSE)</f>
        <v/>
      </c>
      <c r="K527" s="278" t="inlineStr">
        <is>
          <t>Contrato de Asset Management - Subestación Ciguñuela</t>
        </is>
      </c>
      <c r="L527" s="280" t="n"/>
      <c r="N527" s="280" t="n"/>
      <c r="O527" s="278" t="inlineStr">
        <is>
          <t>Fee Trimestral - 01Julio/30Septiembre 2024</t>
        </is>
      </c>
      <c r="P527" s="280">
        <f>3* 1350*1.034</f>
        <v/>
      </c>
      <c r="Q527" s="278" t="inlineStr">
        <is>
          <t>Tasa actualización IPC General (Junio 2023 - Junio 2024): 3,4%</t>
        </is>
      </c>
      <c r="R527" s="280" t="n"/>
      <c r="S527" s="280" t="n"/>
      <c r="T527" s="280" t="n"/>
      <c r="U527" s="278" t="inlineStr">
        <is>
          <t>Regularización IPC trimestre anterior (27Junio-30Junio 2024)</t>
        </is>
      </c>
      <c r="V527" s="280">
        <f>1350*(4/30) *0.034</f>
        <v/>
      </c>
      <c r="X527" s="280" t="n"/>
      <c r="Z527" s="280" t="n"/>
      <c r="AA527" s="280" t="n"/>
      <c r="AB527" s="402" t="inlineStr">
        <is>
          <t>ES85 2080 3509 1130 4009 6171</t>
        </is>
      </c>
      <c r="AC527" s="278" t="inlineStr">
        <is>
          <t>pendiente</t>
        </is>
      </c>
      <c r="AD527" s="280">
        <f>L527+N527+P527+R527+T527+V527+X527+Z527</f>
        <v/>
      </c>
      <c r="AE527" s="280">
        <f>P527</f>
        <v/>
      </c>
      <c r="AF527" s="281">
        <f>IF(AM527="Explotación",0.05,0.08)</f>
        <v/>
      </c>
      <c r="AG527" s="280">
        <f>AF527*AE527</f>
        <v/>
      </c>
      <c r="AH527" s="280">
        <f>AD527*1.21</f>
        <v/>
      </c>
      <c r="AI527" s="284">
        <f>IF(AE527&lt;&gt;0,AG527/AD527,"N/A")</f>
        <v/>
      </c>
      <c r="AJ527" s="280">
        <f>IF(AC527="pendiente",AD527,0)</f>
        <v/>
      </c>
      <c r="AK527" s="278">
        <f>VLOOKUP(G527,CLIENTES!B:D,3,FALSE)</f>
        <v/>
      </c>
    </row>
    <row r="528" ht="15" customFormat="1" customHeight="1" s="278">
      <c r="B528" s="279" t="n"/>
      <c r="C528" s="278" t="inlineStr">
        <is>
          <t>c/ Las Cruzadas 3A, local D</t>
        </is>
      </c>
      <c r="D528" s="278" t="inlineStr">
        <is>
          <t>Sevilla 41004</t>
        </is>
      </c>
      <c r="E528" s="278" t="inlineStr">
        <is>
          <t>CIF B91938662</t>
        </is>
      </c>
      <c r="F528" s="278" t="inlineStr">
        <is>
          <t>aBalados@abalados.es</t>
        </is>
      </c>
      <c r="G528" s="278" t="inlineStr">
        <is>
          <t>Promotores Benejama Colectora, S.L.</t>
        </is>
      </c>
      <c r="H528" s="278">
        <f>VLOOKUP($G528,DATOS!$B:$E,2,FALSE)</f>
        <v/>
      </c>
      <c r="I528" s="278">
        <f>VLOOKUP($G528,DATOS!$B:$E,3,FALSE)</f>
        <v/>
      </c>
      <c r="J528" s="278">
        <f>VLOOKUP($G528,DATOS!$B:$E,4,FALSE)</f>
        <v/>
      </c>
      <c r="K528" s="278" t="inlineStr">
        <is>
          <t>Contrato de Asset Management - Subestación Benejama Colectora</t>
        </is>
      </c>
      <c r="L528" s="280" t="n"/>
      <c r="N528" s="280" t="n"/>
      <c r="O528" s="278" t="inlineStr">
        <is>
          <t>Fee Trimestral - 01Julio/30Septiembre 2024</t>
        </is>
      </c>
      <c r="P528" s="280">
        <f>3* 1350*1.033</f>
        <v/>
      </c>
      <c r="R528" s="280" t="n"/>
      <c r="T528" s="280" t="n"/>
      <c r="V528" s="280" t="n"/>
      <c r="X528" s="280" t="n"/>
      <c r="Z528" s="280" t="n"/>
      <c r="AA528" s="280" t="n"/>
      <c r="AB528" s="402" t="inlineStr">
        <is>
          <t>ES85 2080 3509 1130 4009 6171</t>
        </is>
      </c>
      <c r="AC528" s="278" t="inlineStr">
        <is>
          <t>pendiente</t>
        </is>
      </c>
      <c r="AD528" s="280">
        <f>L528+N528+P528+R528+T528+V528+X528+Z528</f>
        <v/>
      </c>
      <c r="AE528" s="280">
        <f>P528</f>
        <v/>
      </c>
      <c r="AF528" s="281">
        <f>IF(AM528="Explotación",0.05,0.08)</f>
        <v/>
      </c>
      <c r="AG528" s="280">
        <f>AF528*AE528</f>
        <v/>
      </c>
      <c r="AH528" s="280">
        <f>AD528*1.21</f>
        <v/>
      </c>
      <c r="AI528" s="284">
        <f>IF(AE528&lt;&gt;0,AG528/AD528,"N/A")</f>
        <v/>
      </c>
      <c r="AJ528" s="280">
        <f>IF(AC528="pendiente",AD528,0)</f>
        <v/>
      </c>
      <c r="AK528" s="278">
        <f>VLOOKUP(G528,CLIENTES!B:D,3,FALSE)</f>
        <v/>
      </c>
    </row>
    <row r="529" ht="15" customFormat="1" customHeight="1" s="278">
      <c r="B529" s="279" t="n"/>
      <c r="C529" s="278" t="inlineStr">
        <is>
          <t>c/ Las Cruzadas 3A, local D</t>
        </is>
      </c>
      <c r="D529" s="278" t="inlineStr">
        <is>
          <t>Sevilla 41004</t>
        </is>
      </c>
      <c r="E529" s="278" t="inlineStr">
        <is>
          <t>CIF B91938662</t>
        </is>
      </c>
      <c r="F529" s="278" t="inlineStr">
        <is>
          <t>aBalados@abalados.es</t>
        </is>
      </c>
      <c r="G529" s="278" t="inlineStr">
        <is>
          <t>Las Monas Gallego, A.I.E.</t>
        </is>
      </c>
      <c r="H529" s="278">
        <f>VLOOKUP($G529,DATOS!$B:$E,2,FALSE)</f>
        <v/>
      </c>
      <c r="I529" s="278">
        <f>VLOOKUP($G529,DATOS!$B:$E,3,FALSE)</f>
        <v/>
      </c>
      <c r="J529" s="278">
        <f>VLOOKUP($G529,DATOS!$B:$E,4,FALSE)</f>
        <v/>
      </c>
      <c r="K529" s="278" t="inlineStr">
        <is>
          <t>Contrato de Asset Management - Subestación Las Monas</t>
        </is>
      </c>
      <c r="L529" s="280" t="n"/>
      <c r="N529" s="280" t="n"/>
      <c r="O529" s="278" t="inlineStr">
        <is>
          <t>Fee Trimestral - 01Julio/30Septiembre 2024</t>
        </is>
      </c>
      <c r="P529" s="280">
        <f>3* 1350</f>
        <v/>
      </c>
      <c r="Q529" s="278" t="inlineStr">
        <is>
          <t>Tasa actualización IPC General (Septiembre 2023 - Septiembre 2024) no disponible</t>
        </is>
      </c>
      <c r="R529" s="280" t="n"/>
      <c r="S529" s="280" t="n"/>
      <c r="T529" s="280" t="n"/>
      <c r="V529" s="280" t="n"/>
      <c r="X529" s="280" t="n"/>
      <c r="Z529" s="280" t="n"/>
      <c r="AA529" s="280" t="n"/>
      <c r="AB529" s="402" t="inlineStr">
        <is>
          <t>ES85 2080 3509 1130 4009 6171</t>
        </is>
      </c>
      <c r="AC529" s="278" t="inlineStr">
        <is>
          <t>pendiente</t>
        </is>
      </c>
      <c r="AD529" s="280">
        <f>L529+N529+P529+R529+T529+V529+X529+Z529</f>
        <v/>
      </c>
      <c r="AE529" s="280">
        <f>P529</f>
        <v/>
      </c>
      <c r="AF529" s="281">
        <f>IF(AM529="Explotación",0.05,0.08)</f>
        <v/>
      </c>
      <c r="AG529" s="280">
        <f>AF529*AE529</f>
        <v/>
      </c>
      <c r="AH529" s="280">
        <f>AD529*1.21</f>
        <v/>
      </c>
      <c r="AI529" s="284">
        <f>IF(AE529&lt;&gt;0,AG529/AD529,"N/A")</f>
        <v/>
      </c>
      <c r="AJ529" s="280">
        <f>IF(AC529="pendiente",AD529,0)</f>
        <v/>
      </c>
      <c r="AK529" s="278">
        <f>VLOOKUP(G529,CLIENTES!B:D,3,FALSE)</f>
        <v/>
      </c>
    </row>
    <row r="530" ht="15" customFormat="1" customHeight="1" s="278">
      <c r="B530" s="279" t="n"/>
      <c r="C530" s="278" t="inlineStr">
        <is>
          <t>c/ Las Cruzadas 3A, local D</t>
        </is>
      </c>
      <c r="D530" s="278" t="inlineStr">
        <is>
          <t>Sevilla 41004</t>
        </is>
      </c>
      <c r="E530" s="278" t="inlineStr">
        <is>
          <t>CIF B91938662</t>
        </is>
      </c>
      <c r="F530" s="278" t="inlineStr">
        <is>
          <t>aBalados@abalados.es</t>
        </is>
      </c>
      <c r="G530" s="278" t="inlineStr">
        <is>
          <t>Maria Renovables, S.L.</t>
        </is>
      </c>
      <c r="H530" s="278">
        <f>VLOOKUP($G530,DATOS!$B:$E,2,FALSE)</f>
        <v/>
      </c>
      <c r="I530" s="278">
        <f>VLOOKUP($G530,DATOS!$B:$E,3,FALSE)</f>
        <v/>
      </c>
      <c r="J530" s="278">
        <f>VLOOKUP($G530,DATOS!$B:$E,4,FALSE)</f>
        <v/>
      </c>
      <c r="K530" s="278" t="inlineStr">
        <is>
          <t>Contrato de Asset Management - Subestación María</t>
        </is>
      </c>
      <c r="L530" s="280" t="n"/>
      <c r="N530" s="280" t="n"/>
      <c r="O530" s="278" t="inlineStr">
        <is>
          <t>Fee Trimestral - 01Julio/30Septiembre 2024</t>
        </is>
      </c>
      <c r="P530" s="280">
        <f>3* 1350*1.034</f>
        <v/>
      </c>
      <c r="R530" s="280" t="n"/>
      <c r="S530" s="280" t="n"/>
      <c r="T530" s="280" t="n"/>
      <c r="V530" s="280" t="n"/>
      <c r="X530" s="280" t="n"/>
      <c r="Z530" s="280" t="n"/>
      <c r="AA530" s="280" t="n"/>
      <c r="AB530" s="402" t="inlineStr">
        <is>
          <t>ES85 2080 3509 1130 4009 6171</t>
        </is>
      </c>
      <c r="AC530" s="278" t="inlineStr">
        <is>
          <t>pendiente</t>
        </is>
      </c>
      <c r="AD530" s="280">
        <f>L530+N530+P530+R530+T530+V530+X530+Z530</f>
        <v/>
      </c>
      <c r="AE530" s="280">
        <f>P530</f>
        <v/>
      </c>
      <c r="AF530" s="281">
        <f>IF(AM530="Explotación",0.05,0.08)</f>
        <v/>
      </c>
      <c r="AG530" s="280">
        <f>AF530*AE530</f>
        <v/>
      </c>
      <c r="AH530" s="280">
        <f>AD530*1.21</f>
        <v/>
      </c>
      <c r="AI530" s="284">
        <f>IF(AE530&lt;&gt;0,AG530/AD530,"N/A")</f>
        <v/>
      </c>
      <c r="AJ530" s="280">
        <f>IF(AC530="pendiente",AD530,0)</f>
        <v/>
      </c>
      <c r="AK530" s="278">
        <f>VLOOKUP(G530,CLIENTES!B:D,3,FALSE)</f>
        <v/>
      </c>
    </row>
    <row r="531" ht="15" customFormat="1" customHeight="1" s="278">
      <c r="B531" s="279" t="n"/>
      <c r="C531" s="278" t="inlineStr">
        <is>
          <t>c/ Las Cruzadas 3A, local D</t>
        </is>
      </c>
      <c r="D531" s="278" t="inlineStr">
        <is>
          <t>Sevilla 41004</t>
        </is>
      </c>
      <c r="E531" s="278" t="inlineStr">
        <is>
          <t>CIF B91938662</t>
        </is>
      </c>
      <c r="F531" s="278" t="inlineStr">
        <is>
          <t>aBalados@abalados.es</t>
        </is>
      </c>
      <c r="G531" s="278" t="inlineStr">
        <is>
          <t>Escatrón Promotores 400 y 220, S.L.</t>
        </is>
      </c>
      <c r="H531" s="278">
        <f>VLOOKUP($G531,DATOS!$B:$E,2,FALSE)</f>
        <v/>
      </c>
      <c r="I531" s="278">
        <f>VLOOKUP($G531,DATOS!$B:$E,3,FALSE)</f>
        <v/>
      </c>
      <c r="J531" s="278">
        <f>VLOOKUP($G531,DATOS!$B:$E,4,FALSE)</f>
        <v/>
      </c>
      <c r="K531" s="278" t="inlineStr">
        <is>
          <t>Contrato de Asset Management - Subestación Escatrón</t>
        </is>
      </c>
      <c r="L531" s="280" t="n"/>
      <c r="N531" s="280" t="n"/>
      <c r="O531" s="278" t="inlineStr">
        <is>
          <t>Fee Trimestral - 01Julio/30Septiembre 2024</t>
        </is>
      </c>
      <c r="P531" s="280">
        <f>3* 1350*1.032</f>
        <v/>
      </c>
      <c r="R531" s="280" t="n"/>
      <c r="T531" s="280" t="n"/>
      <c r="V531" s="280" t="n"/>
      <c r="X531" s="280" t="n"/>
      <c r="Z531" s="280" t="n"/>
      <c r="AA531" s="280" t="n"/>
      <c r="AB531" s="402" t="inlineStr">
        <is>
          <t>ES85 2080 3509 1130 4009 6171</t>
        </is>
      </c>
      <c r="AC531" s="278" t="inlineStr">
        <is>
          <t>pendiente</t>
        </is>
      </c>
      <c r="AD531" s="280">
        <f>L531+N531+P531+R531+T531+V531+X531+Z531</f>
        <v/>
      </c>
      <c r="AE531" s="280">
        <f>P531</f>
        <v/>
      </c>
      <c r="AF531" s="281">
        <f>IF(AM531="Explotación",0.05,0.08)</f>
        <v/>
      </c>
      <c r="AG531" s="280">
        <f>AF531*AE531</f>
        <v/>
      </c>
      <c r="AH531" s="280">
        <f>AD531*1.21</f>
        <v/>
      </c>
      <c r="AI531" s="284">
        <f>IF(AE531&lt;&gt;0,AG531/AD531,"N/A")</f>
        <v/>
      </c>
      <c r="AJ531" s="280">
        <f>IF(AC531="pendiente",AD531,0)</f>
        <v/>
      </c>
      <c r="AK531" s="278">
        <f>VLOOKUP(G531,CLIENTES!B:D,3,FALSE)</f>
        <v/>
      </c>
    </row>
    <row r="532" ht="15" customFormat="1" customHeight="1" s="278">
      <c r="B532" s="279" t="n"/>
      <c r="C532" s="278" t="inlineStr">
        <is>
          <t>c/ Las Cruzadas 3A, local D</t>
        </is>
      </c>
      <c r="D532" s="278" t="inlineStr">
        <is>
          <t>Sevilla 41004</t>
        </is>
      </c>
      <c r="E532" s="278" t="inlineStr">
        <is>
          <t>CIF B91938662</t>
        </is>
      </c>
      <c r="F532" s="278" t="inlineStr">
        <is>
          <t>aBalados@abalados.es</t>
        </is>
      </c>
      <c r="G532" s="278" t="inlineStr">
        <is>
          <t>Comunidad de Bienes Grupotec Rotonda</t>
        </is>
      </c>
      <c r="H532" s="278">
        <f>VLOOKUP($G532,DATOS!$B:$E,2,FALSE)</f>
        <v/>
      </c>
      <c r="I532" s="278">
        <f>VLOOKUP($G532,DATOS!$B:$E,3,FALSE)</f>
        <v/>
      </c>
      <c r="J532" s="278">
        <f>VLOOKUP($G532,DATOS!$B:$E,4,FALSE)</f>
        <v/>
      </c>
      <c r="K532" s="278" t="inlineStr">
        <is>
          <t>Contrato de Asset Management - Subestación Almansol</t>
        </is>
      </c>
      <c r="L532" s="280" t="n"/>
      <c r="N532" s="280" t="n"/>
      <c r="O532" s="278" t="inlineStr">
        <is>
          <t>Fee Trimestral - 01Julio/30Septiembre 2024</t>
        </is>
      </c>
      <c r="P532" s="280">
        <f>3* 2960</f>
        <v/>
      </c>
      <c r="R532" s="280" t="n"/>
      <c r="T532" s="280" t="n"/>
      <c r="V532" s="280" t="n"/>
      <c r="X532" s="280" t="n"/>
      <c r="Z532" s="280" t="n"/>
      <c r="AA532" s="280" t="n"/>
      <c r="AB532" s="402" t="inlineStr">
        <is>
          <t>ES85 2080 3509 1130 4009 6171</t>
        </is>
      </c>
      <c r="AC532" s="278" t="inlineStr">
        <is>
          <t>pendiente</t>
        </is>
      </c>
      <c r="AD532" s="280">
        <f>L532+N532+P532+R532+T532+V532+X532+Z532</f>
        <v/>
      </c>
      <c r="AE532" s="280">
        <f>P532</f>
        <v/>
      </c>
      <c r="AF532" s="281">
        <f>IF(AM532="Explotación",0.05,0.08)</f>
        <v/>
      </c>
      <c r="AG532" s="280">
        <f>AF532*AE532</f>
        <v/>
      </c>
      <c r="AH532" s="280">
        <f>AD532*1.21</f>
        <v/>
      </c>
      <c r="AI532" s="284">
        <f>IF(AE532&lt;&gt;0,AG532/AD532,"N/A")</f>
        <v/>
      </c>
      <c r="AJ532" s="280">
        <f>IF(AC532="pendiente",AD532,0)</f>
        <v/>
      </c>
      <c r="AK532" s="278">
        <f>VLOOKUP(G532,CLIENTES!B:D,3,FALSE)</f>
        <v/>
      </c>
    </row>
    <row r="533" ht="15" customFormat="1" customHeight="1" s="278">
      <c r="B533" s="279" t="n"/>
      <c r="C533" s="278" t="inlineStr">
        <is>
          <t>c/ Las Cruzadas 3A, local D</t>
        </is>
      </c>
      <c r="D533" s="278" t="inlineStr">
        <is>
          <t>Sevilla 41004</t>
        </is>
      </c>
      <c r="E533" s="278" t="inlineStr">
        <is>
          <t>CIF B91938662</t>
        </is>
      </c>
      <c r="F533" s="278" t="inlineStr">
        <is>
          <t>aBalados@abalados.es</t>
        </is>
      </c>
      <c r="G533" s="278" t="inlineStr">
        <is>
          <t>ICE Sequero, S.L.</t>
        </is>
      </c>
      <c r="H533" s="278">
        <f>VLOOKUP($G533,DATOS!$B:$E,2,FALSE)</f>
        <v/>
      </c>
      <c r="I533" s="278">
        <f>VLOOKUP($G533,DATOS!$B:$E,3,FALSE)</f>
        <v/>
      </c>
      <c r="J533" s="278">
        <f>VLOOKUP($G533,DATOS!$B:$E,4,FALSE)</f>
        <v/>
      </c>
      <c r="K533" s="278" t="inlineStr">
        <is>
          <t>Contrato de Asset Management - Subestación Colectora Sequero</t>
        </is>
      </c>
      <c r="L533" s="280" t="n"/>
      <c r="N533" s="280" t="n"/>
      <c r="O533" s="278" t="inlineStr">
        <is>
          <t>Fee Trimestral - 01Julio/30Septiembre 2024</t>
        </is>
      </c>
      <c r="P533" s="280">
        <f>3* 1350</f>
        <v/>
      </c>
      <c r="Q533" s="278" t="inlineStr">
        <is>
          <t>Tasa actualización IPC General (Septiembre 2023 - Septiembre 2024) no disponible</t>
        </is>
      </c>
      <c r="R533" s="280" t="n"/>
      <c r="T533" s="280" t="n"/>
      <c r="V533" s="280" t="n"/>
      <c r="X533" s="280" t="n"/>
      <c r="Z533" s="280" t="n"/>
      <c r="AA533" s="280" t="n"/>
      <c r="AB533" s="402" t="inlineStr">
        <is>
          <t>ES85 2080 3509 1130 4009 6171</t>
        </is>
      </c>
      <c r="AC533" s="278" t="inlineStr">
        <is>
          <t>pendiente</t>
        </is>
      </c>
      <c r="AD533" s="280">
        <f>L533+N533+P533+R533+T533+V533+X533+Z533</f>
        <v/>
      </c>
      <c r="AE533" s="280">
        <f>P533</f>
        <v/>
      </c>
      <c r="AF533" s="281">
        <f>IF(AM533="Explotación",0.05,0.08)</f>
        <v/>
      </c>
      <c r="AG533" s="280">
        <f>AF533*AE533</f>
        <v/>
      </c>
      <c r="AH533" s="280">
        <f>AD533*1.21</f>
        <v/>
      </c>
      <c r="AI533" s="284">
        <f>IF(AE533&lt;&gt;0,AG533/AD533,"N/A")</f>
        <v/>
      </c>
      <c r="AJ533" s="280">
        <f>IF(AC533="pendiente",AD533,0)</f>
        <v/>
      </c>
      <c r="AK533" s="278">
        <f>VLOOKUP(G533,CLIENTES!B:D,3,FALSE)</f>
        <v/>
      </c>
    </row>
    <row r="534" ht="15" customFormat="1" customHeight="1" s="278">
      <c r="B534" s="279" t="n"/>
      <c r="C534" s="278" t="inlineStr">
        <is>
          <t>c/ Las Cruzadas 3A, local D</t>
        </is>
      </c>
      <c r="D534" s="278" t="inlineStr">
        <is>
          <t>Sevilla 41004</t>
        </is>
      </c>
      <c r="E534" s="278" t="inlineStr">
        <is>
          <t>CIF B91938662</t>
        </is>
      </c>
      <c r="F534" s="278" t="inlineStr">
        <is>
          <t>aBalados@abalados.es</t>
        </is>
      </c>
      <c r="G534" s="278" t="inlineStr">
        <is>
          <t>Renedo Renovables, S.L.</t>
        </is>
      </c>
      <c r="H534" s="278">
        <f>VLOOKUP($G534,DATOS!$B:$E,2,FALSE)</f>
        <v/>
      </c>
      <c r="I534" s="278">
        <f>VLOOKUP($G534,DATOS!$B:$E,3,FALSE)</f>
        <v/>
      </c>
      <c r="J534" s="278">
        <f>VLOOKUP($G534,DATOS!$B:$E,4,FALSE)</f>
        <v/>
      </c>
      <c r="K534" s="278" t="inlineStr">
        <is>
          <t>Contrato de Asset Management - Nudo Renedo</t>
        </is>
      </c>
      <c r="L534" s="280" t="n"/>
      <c r="N534" s="280" t="n"/>
      <c r="O534" s="278" t="inlineStr">
        <is>
          <t>Fee Trimestral - 01Julio/30Septiembre 2024</t>
        </is>
      </c>
      <c r="P534" s="280">
        <f>3* 2295</f>
        <v/>
      </c>
      <c r="R534" s="280" t="n"/>
      <c r="T534" s="280" t="n"/>
      <c r="V534" s="280" t="n"/>
      <c r="X534" s="280" t="n"/>
      <c r="Z534" s="280" t="n"/>
      <c r="AA534" s="280" t="n"/>
      <c r="AB534" s="402" t="inlineStr">
        <is>
          <t>ES85 2080 3509 1130 4009 6171</t>
        </is>
      </c>
      <c r="AC534" s="278" t="inlineStr">
        <is>
          <t>pendiente</t>
        </is>
      </c>
      <c r="AD534" s="280">
        <f>L534+N534+P534+R534+T534+V534+X534+Z534</f>
        <v/>
      </c>
      <c r="AE534" s="280">
        <f>P534</f>
        <v/>
      </c>
      <c r="AF534" s="281">
        <f>IF(AM534="Explotación",0.05,0.08)</f>
        <v/>
      </c>
      <c r="AG534" s="280">
        <f>AF534*AE534</f>
        <v/>
      </c>
      <c r="AH534" s="280">
        <f>AD534*1.21</f>
        <v/>
      </c>
      <c r="AI534" s="284">
        <f>IF(AE534&lt;&gt;0,AG534/AD534,"N/A")</f>
        <v/>
      </c>
      <c r="AJ534" s="280">
        <f>IF(AC534="pendiente",AD534,0)</f>
        <v/>
      </c>
      <c r="AK534" s="278">
        <f>VLOOKUP(G534,CLIENTES!B:D,3,FALSE)</f>
        <v/>
      </c>
    </row>
    <row r="535" ht="15" customFormat="1" customHeight="1" s="278">
      <c r="B535" s="279" t="n"/>
      <c r="C535" s="278" t="inlineStr">
        <is>
          <t>c/ Las Cruzadas 3A, local D</t>
        </is>
      </c>
      <c r="D535" s="278" t="inlineStr">
        <is>
          <t>Sevilla 41004</t>
        </is>
      </c>
      <c r="E535" s="278" t="inlineStr">
        <is>
          <t>CIF B91938662</t>
        </is>
      </c>
      <c r="F535" s="278" t="inlineStr">
        <is>
          <t>aBalados@abalados.es</t>
        </is>
      </c>
      <c r="G535" s="278" t="inlineStr">
        <is>
          <t>Irina Generación 220, A.I.E.</t>
        </is>
      </c>
      <c r="H535" s="278">
        <f>VLOOKUP($G535,DATOS!$B:$E,2,FALSE)</f>
        <v/>
      </c>
      <c r="I535" s="278">
        <f>VLOOKUP($G535,DATOS!$B:$E,3,FALSE)</f>
        <v/>
      </c>
      <c r="J535" s="278">
        <f>VLOOKUP($G535,DATOS!$B:$E,4,FALSE)</f>
        <v/>
      </c>
      <c r="K535" s="278" t="inlineStr">
        <is>
          <t>Contrato de Asset Management - Subestación Irina</t>
        </is>
      </c>
      <c r="L535" s="280" t="n"/>
      <c r="N535" s="280" t="n"/>
      <c r="O535" s="278" t="inlineStr">
        <is>
          <t>Fee Trimestral - 01Julio/30Septiembre 2024</t>
        </is>
      </c>
      <c r="P535" s="280">
        <f>3* 2985</f>
        <v/>
      </c>
      <c r="R535" s="280" t="n"/>
      <c r="T535" s="280" t="n"/>
      <c r="V535" s="280" t="n"/>
      <c r="X535" s="280" t="n"/>
      <c r="Z535" s="280" t="n"/>
      <c r="AA535" s="280" t="n"/>
      <c r="AB535" s="402" t="inlineStr">
        <is>
          <t>ES85 2080 3509 1130 4009 6171</t>
        </is>
      </c>
      <c r="AC535" s="278" t="inlineStr">
        <is>
          <t>pendiente</t>
        </is>
      </c>
      <c r="AD535" s="280">
        <f>L535+N535+P535+R535+T535+V535+X535+Z535</f>
        <v/>
      </c>
      <c r="AE535" s="280">
        <f>P535</f>
        <v/>
      </c>
      <c r="AF535" s="281">
        <f>IF(AM535="Explotación",0.05,0.08)</f>
        <v/>
      </c>
      <c r="AG535" s="280">
        <f>AF535*AE535</f>
        <v/>
      </c>
      <c r="AH535" s="280">
        <f>AD535*1.21</f>
        <v/>
      </c>
      <c r="AI535" s="284">
        <f>IF(AE535&lt;&gt;0,AG535/AD535,"N/A")</f>
        <v/>
      </c>
      <c r="AJ535" s="280">
        <f>IF(AC535="pendiente",AD535,0)</f>
        <v/>
      </c>
      <c r="AK535" s="278">
        <f>VLOOKUP(G535,CLIENTES!B:D,3,FALSE)</f>
        <v/>
      </c>
    </row>
    <row r="536" ht="15" customFormat="1" customHeight="1" s="278">
      <c r="B536" s="279" t="n"/>
      <c r="C536" s="278" t="inlineStr">
        <is>
          <t>c/ Las Cruzadas 3A, local D</t>
        </is>
      </c>
      <c r="D536" s="278" t="inlineStr">
        <is>
          <t>Sevilla 41004</t>
        </is>
      </c>
      <c r="E536" s="278" t="inlineStr">
        <is>
          <t>CIF B91938662</t>
        </is>
      </c>
      <c r="F536" s="278" t="inlineStr">
        <is>
          <t>aBalados@abalados.es</t>
        </is>
      </c>
      <c r="G536" s="278" t="inlineStr">
        <is>
          <t>Manzasol 132 kV, S.L.</t>
        </is>
      </c>
      <c r="H536" s="278">
        <f>VLOOKUP($G536,DATOS!$B:$E,2,FALSE)</f>
        <v/>
      </c>
      <c r="I536" s="278">
        <f>VLOOKUP($G536,DATOS!$B:$E,3,FALSE)</f>
        <v/>
      </c>
      <c r="J536" s="278">
        <f>VLOOKUP($G536,DATOS!$B:$E,4,FALSE)</f>
        <v/>
      </c>
      <c r="K536" s="278" t="inlineStr">
        <is>
          <t>Contrato de Asset Management - Subestación Manzasol</t>
        </is>
      </c>
      <c r="L536" s="280" t="n"/>
      <c r="N536" s="280" t="n"/>
      <c r="O536" s="278" t="inlineStr">
        <is>
          <t>Fee Trimestral - 01Julio/30Septiembre 2024</t>
        </is>
      </c>
      <c r="P536" s="280">
        <f>3* 3015</f>
        <v/>
      </c>
      <c r="R536" s="280" t="n"/>
      <c r="T536" s="280" t="n"/>
      <c r="V536" s="280" t="n"/>
      <c r="X536" s="280" t="n"/>
      <c r="Z536" s="280" t="n"/>
      <c r="AA536" s="280" t="n"/>
      <c r="AB536" s="402" t="inlineStr">
        <is>
          <t>ES85 2080 3509 1130 4009 6171</t>
        </is>
      </c>
      <c r="AC536" s="278" t="inlineStr">
        <is>
          <t>pendiente</t>
        </is>
      </c>
      <c r="AD536" s="280">
        <f>L536+N536+P536+R536+T536+V536+X536+Z536</f>
        <v/>
      </c>
      <c r="AE536" s="280">
        <f>P536</f>
        <v/>
      </c>
      <c r="AF536" s="281">
        <f>IF(AM536="Explotación",0.05,0.08)</f>
        <v/>
      </c>
      <c r="AG536" s="280">
        <f>AF536*AE536</f>
        <v/>
      </c>
      <c r="AH536" s="280">
        <f>AD536*1.21</f>
        <v/>
      </c>
      <c r="AI536" s="284">
        <f>IF(AE536&lt;&gt;0,AG536/AD536,"N/A")</f>
        <v/>
      </c>
      <c r="AJ536" s="280">
        <f>IF(AC536="pendiente",AD536,0)</f>
        <v/>
      </c>
      <c r="AK536" s="278">
        <f>VLOOKUP(G536,CLIENTES!B:D,3,FALSE)</f>
        <v/>
      </c>
    </row>
    <row r="537" ht="15" customFormat="1" customHeight="1" s="278">
      <c r="B537" s="279" t="n"/>
      <c r="C537" s="278" t="inlineStr">
        <is>
          <t>c/ Las Cruzadas 3A, local D</t>
        </is>
      </c>
      <c r="D537" s="278" t="inlineStr">
        <is>
          <t>Sevilla 41004</t>
        </is>
      </c>
      <c r="E537" s="278" t="inlineStr">
        <is>
          <t>CIF B91938662</t>
        </is>
      </c>
      <c r="F537" s="278" t="inlineStr">
        <is>
          <t>aBalados@abalados.es</t>
        </is>
      </c>
      <c r="G537" s="278" t="inlineStr">
        <is>
          <t>SE Colectora Ayora Renovables, A.I.E.</t>
        </is>
      </c>
      <c r="H537" s="278">
        <f>VLOOKUP($G537,DATOS!$B:$E,2,FALSE)</f>
        <v/>
      </c>
      <c r="I537" s="278">
        <f>VLOOKUP($G537,DATOS!$B:$E,3,FALSE)</f>
        <v/>
      </c>
      <c r="J537" s="278">
        <f>VLOOKUP($G537,DATOS!$B:$E,4,FALSE)</f>
        <v/>
      </c>
      <c r="K537" s="278" t="inlineStr">
        <is>
          <t>Contrato de Asset Management - Subestación Ayora</t>
        </is>
      </c>
      <c r="L537" s="280" t="n"/>
      <c r="N537" s="280" t="n"/>
      <c r="O537" s="278" t="inlineStr">
        <is>
          <t>Fee Trimestral - 01Julio/30Septiembre 2024</t>
        </is>
      </c>
      <c r="P537" s="280">
        <f>3* 1350</f>
        <v/>
      </c>
      <c r="R537" s="280" t="n"/>
      <c r="T537" s="280" t="n"/>
      <c r="V537" s="280" t="n"/>
      <c r="X537" s="280" t="n"/>
      <c r="Z537" s="280" t="n"/>
      <c r="AA537" s="280" t="n"/>
      <c r="AB537" s="402" t="inlineStr">
        <is>
          <t>ES85 2080 3509 1130 4009 6171</t>
        </is>
      </c>
      <c r="AC537" s="278" t="inlineStr">
        <is>
          <t>pendiente</t>
        </is>
      </c>
      <c r="AD537" s="280">
        <f>L537+N537+P537+R537+T537+V537+X537+Z537</f>
        <v/>
      </c>
      <c r="AE537" s="280">
        <f>P537</f>
        <v/>
      </c>
      <c r="AF537" s="281">
        <f>IF(AM537="Explotación",0.05,0.08)</f>
        <v/>
      </c>
      <c r="AG537" s="280">
        <f>AF537*AE537</f>
        <v/>
      </c>
      <c r="AH537" s="280">
        <f>AD537*1.21</f>
        <v/>
      </c>
      <c r="AI537" s="284">
        <f>IF(AE537&lt;&gt;0,AG537/AD537,"N/A")</f>
        <v/>
      </c>
      <c r="AJ537" s="280">
        <f>IF(AC537="pendiente",AD537,0)</f>
        <v/>
      </c>
      <c r="AK537" s="278">
        <f>VLOOKUP(G537,CLIENTES!B:D,3,FALSE)</f>
        <v/>
      </c>
    </row>
    <row r="538" ht="15" customFormat="1" customHeight="1" s="278">
      <c r="B538" s="279" t="n"/>
      <c r="C538" s="278" t="inlineStr">
        <is>
          <t>c/ Las Cruzadas 3A, local D</t>
        </is>
      </c>
      <c r="D538" s="278" t="inlineStr">
        <is>
          <t>Sevilla 41004</t>
        </is>
      </c>
      <c r="E538" s="278" t="inlineStr">
        <is>
          <t>CIF B91938662</t>
        </is>
      </c>
      <c r="F538" s="278" t="inlineStr">
        <is>
          <t>aBalados@abalados.es</t>
        </is>
      </c>
      <c r="G538" s="278" t="inlineStr">
        <is>
          <t>Renovables Valle Solar Fotovoltaica, A.I.E.</t>
        </is>
      </c>
      <c r="H538" s="278">
        <f>VLOOKUP($G538,DATOS!$B:$E,2,FALSE)</f>
        <v/>
      </c>
      <c r="I538" s="278">
        <f>VLOOKUP($G538,DATOS!$B:$E,3,FALSE)</f>
        <v/>
      </c>
      <c r="J538" s="278">
        <f>VLOOKUP($G538,DATOS!$B:$E,4,FALSE)</f>
        <v/>
      </c>
      <c r="K538" s="278" t="inlineStr">
        <is>
          <t>Contrato de Asset Management - Subestación Valle Solar</t>
        </is>
      </c>
      <c r="L538" s="280" t="n"/>
      <c r="N538" s="280" t="n"/>
      <c r="O538" s="278" t="inlineStr">
        <is>
          <t>Fee Trimestral - 01Julio/30Septiembre 2024</t>
        </is>
      </c>
      <c r="P538" s="280">
        <f>3* 1350</f>
        <v/>
      </c>
      <c r="R538" s="280" t="n"/>
      <c r="T538" s="280" t="n"/>
      <c r="V538" s="280" t="n"/>
      <c r="X538" s="280" t="n"/>
      <c r="Z538" s="280" t="n"/>
      <c r="AA538" s="280" t="n"/>
      <c r="AB538" s="402" t="inlineStr">
        <is>
          <t>ES85 2080 3509 1130 4009 6171</t>
        </is>
      </c>
      <c r="AC538" s="278" t="inlineStr">
        <is>
          <t>pendiente</t>
        </is>
      </c>
      <c r="AD538" s="280">
        <f>L538+N538+P538+R538+T538+V538+X538+Z538</f>
        <v/>
      </c>
      <c r="AE538" s="280">
        <f>P538</f>
        <v/>
      </c>
      <c r="AF538" s="281">
        <f>IF(AM538="Explotación",0.05,0.08)</f>
        <v/>
      </c>
      <c r="AG538" s="280">
        <f>AF538*AE538</f>
        <v/>
      </c>
      <c r="AH538" s="280">
        <f>AD538*1.21</f>
        <v/>
      </c>
      <c r="AI538" s="284">
        <f>IF(AE538&lt;&gt;0,AG538/AD538,"N/A")</f>
        <v/>
      </c>
      <c r="AJ538" s="280">
        <f>IF(AC538="pendiente",AD538,0)</f>
        <v/>
      </c>
      <c r="AK538" s="278">
        <f>VLOOKUP(G538,CLIENTES!B:D,3,FALSE)</f>
        <v/>
      </c>
    </row>
    <row r="539" ht="15" customFormat="1" customHeight="1" s="278">
      <c r="A539" t="n"/>
      <c r="B539" s="279" t="n"/>
      <c r="C539" s="278" t="inlineStr">
        <is>
          <t>c/ Las Cruzadas 3A, local D</t>
        </is>
      </c>
      <c r="D539" s="278" t="inlineStr">
        <is>
          <t>Sevilla 41004</t>
        </is>
      </c>
      <c r="E539" s="278" t="inlineStr">
        <is>
          <t>CIF B91938662</t>
        </is>
      </c>
      <c r="F539" s="278" t="inlineStr">
        <is>
          <t>aBalados@abalados.es</t>
        </is>
      </c>
      <c r="G539" s="278" t="inlineStr">
        <is>
          <t>San Pedro Pinatar Renovables, S.L.</t>
        </is>
      </c>
      <c r="H539" s="278">
        <f>VLOOKUP($G539,DATOS!$B:$E,2,FALSE)</f>
        <v/>
      </c>
      <c r="I539" s="278">
        <f>VLOOKUP($G539,DATOS!$B:$E,3,FALSE)</f>
        <v/>
      </c>
      <c r="J539" s="278">
        <f>VLOOKUP($G539,DATOS!$B:$E,4,FALSE)</f>
        <v/>
      </c>
      <c r="K539" s="278" t="inlineStr">
        <is>
          <t>Contrato de Asset Management - Subestación San Pedro</t>
        </is>
      </c>
      <c r="L539" s="280" t="n"/>
      <c r="N539" s="280" t="n"/>
      <c r="O539" s="278" t="inlineStr">
        <is>
          <t>Fee Trimestral - 01Julio/30Septiembre 2024</t>
        </is>
      </c>
      <c r="P539" s="280">
        <f>3* 1350</f>
        <v/>
      </c>
      <c r="R539" s="280" t="n"/>
      <c r="T539" s="280" t="n"/>
      <c r="V539" s="280" t="n"/>
      <c r="X539" s="280" t="n"/>
      <c r="Z539" s="280" t="n"/>
      <c r="AA539" s="280" t="n"/>
      <c r="AB539" s="402" t="inlineStr">
        <is>
          <t>ES85 2080 3509 1130 4009 6171</t>
        </is>
      </c>
      <c r="AC539" s="278" t="inlineStr">
        <is>
          <t>pendiente</t>
        </is>
      </c>
      <c r="AD539" s="280">
        <f>L539+N539+P539+R539+T539+V539+X539+Z539</f>
        <v/>
      </c>
      <c r="AE539" s="280">
        <f>P539</f>
        <v/>
      </c>
      <c r="AF539" s="281">
        <f>IF(AM539="Explotación",0.05,0.08)</f>
        <v/>
      </c>
      <c r="AG539" s="280">
        <f>AF539*AE539</f>
        <v/>
      </c>
      <c r="AH539" s="280">
        <f>AD539*1.21</f>
        <v/>
      </c>
      <c r="AI539" s="284">
        <f>IF(AE539&lt;&gt;0,AG539/AD539,"N/A")</f>
        <v/>
      </c>
      <c r="AJ539" s="280">
        <f>IF(AC539="pendiente",AD539,0)</f>
        <v/>
      </c>
      <c r="AK539" s="278">
        <f>VLOOKUP(G539,CLIENTES!B:D,3,FALSE)</f>
        <v/>
      </c>
    </row>
    <row r="540" ht="15" customFormat="1" customHeight="1" s="278">
      <c r="B540" s="279" t="n"/>
      <c r="C540" s="278" t="inlineStr">
        <is>
          <t>c/ Las Cruzadas 3A, local D</t>
        </is>
      </c>
      <c r="D540" s="278" t="inlineStr">
        <is>
          <t>Sevilla 41004</t>
        </is>
      </c>
      <c r="E540" s="278" t="inlineStr">
        <is>
          <t>CIF B91938662</t>
        </is>
      </c>
      <c r="F540" s="278" t="inlineStr">
        <is>
          <t>aBalados@abalados.es</t>
        </is>
      </c>
      <c r="G540" s="278" t="inlineStr">
        <is>
          <t>Evacuación Salteras, S.L.</t>
        </is>
      </c>
      <c r="H540" s="278">
        <f>VLOOKUP($G540,DATOS!$B:$E,2,FALSE)</f>
        <v/>
      </c>
      <c r="I540" s="278">
        <f>VLOOKUP($G540,DATOS!$B:$E,3,FALSE)</f>
        <v/>
      </c>
      <c r="J540" s="278">
        <f>VLOOKUP($G540,DATOS!$B:$E,4,FALSE)</f>
        <v/>
      </c>
      <c r="K540" s="278" t="inlineStr">
        <is>
          <t>Contrato de Asset Management - Subestación Campofrío</t>
        </is>
      </c>
      <c r="L540" s="280" t="n"/>
      <c r="N540" s="280" t="n"/>
      <c r="O540" s="278" t="inlineStr">
        <is>
          <t>Fee Trimestral - 01Julio/30Septiembre 2024</t>
        </is>
      </c>
      <c r="P540" s="280">
        <f>3* 1350</f>
        <v/>
      </c>
      <c r="R540" s="280" t="n"/>
      <c r="T540" s="280" t="n"/>
      <c r="V540" s="280" t="n"/>
      <c r="X540" s="280" t="n"/>
      <c r="Z540" s="280" t="n"/>
      <c r="AA540" s="280" t="n"/>
      <c r="AB540" s="402" t="inlineStr">
        <is>
          <t>ES85 2080 3509 1130 4009 6171</t>
        </is>
      </c>
      <c r="AC540" s="278" t="inlineStr">
        <is>
          <t>pendiente</t>
        </is>
      </c>
      <c r="AD540" s="280">
        <f>L540+N540+P540+R540+T540+V540+X540+Z540</f>
        <v/>
      </c>
      <c r="AE540" s="280">
        <f>P540</f>
        <v/>
      </c>
      <c r="AF540" s="281">
        <f>IF(AM540="Explotación",0.05,0.08)</f>
        <v/>
      </c>
      <c r="AG540" s="280">
        <f>AF540*AE540</f>
        <v/>
      </c>
      <c r="AH540" s="280">
        <f>AD540*1.21</f>
        <v/>
      </c>
      <c r="AI540" s="284">
        <f>IF(AE540&lt;&gt;0,AG540/AD540,"N/A")</f>
        <v/>
      </c>
      <c r="AJ540" s="280">
        <f>IF(AC540="pendiente",AD540,0)</f>
        <v/>
      </c>
      <c r="AK540" s="278">
        <f>VLOOKUP(G540,CLIENTES!B:D,3,FALSE)</f>
        <v/>
      </c>
    </row>
    <row r="541" ht="15" customFormat="1" customHeight="1" s="278">
      <c r="B541" s="279" t="n"/>
      <c r="C541" s="278" t="inlineStr">
        <is>
          <t>c/ Las Cruzadas 3A, local D</t>
        </is>
      </c>
      <c r="D541" s="278" t="inlineStr">
        <is>
          <t>Sevilla 41004</t>
        </is>
      </c>
      <c r="E541" s="278" t="inlineStr">
        <is>
          <t>CIF B91938662</t>
        </is>
      </c>
      <c r="F541" s="278" t="inlineStr">
        <is>
          <t>aBalados@abalados.es</t>
        </is>
      </c>
      <c r="G541" s="278" t="inlineStr">
        <is>
          <t>Tordesillas T2Prima 132kV, S.L.</t>
        </is>
      </c>
      <c r="H541" s="278">
        <f>VLOOKUP($G541,DATOS!$B:$E,2,FALSE)</f>
        <v/>
      </c>
      <c r="I541" s="278">
        <f>VLOOKUP($G541,DATOS!$B:$E,3,FALSE)</f>
        <v/>
      </c>
      <c r="J541" s="278">
        <f>VLOOKUP($G541,DATOS!$B:$E,4,FALSE)</f>
        <v/>
      </c>
      <c r="K541" s="278" t="inlineStr">
        <is>
          <t>Contrato de Asset Management - Subestación T2Prima</t>
        </is>
      </c>
      <c r="L541" s="280" t="n"/>
      <c r="N541" s="280" t="n"/>
      <c r="O541" s="278" t="inlineStr">
        <is>
          <t>Fee Trimestral - 01Julio/30Septiembre 2024</t>
        </is>
      </c>
      <c r="P541" s="280">
        <f>3* 1350</f>
        <v/>
      </c>
      <c r="R541" s="280" t="n"/>
      <c r="T541" s="280" t="n"/>
      <c r="V541" s="280" t="n"/>
      <c r="X541" s="280" t="n"/>
      <c r="Z541" s="280" t="n"/>
      <c r="AA541" s="280" t="n"/>
      <c r="AB541" s="402" t="inlineStr">
        <is>
          <t>ES85 2080 3509 1130 4009 6171</t>
        </is>
      </c>
      <c r="AC541" s="278" t="inlineStr">
        <is>
          <t>pendiente</t>
        </is>
      </c>
      <c r="AD541" s="280">
        <f>L541+N541+P541+R541+T541+V541+X541+Z541</f>
        <v/>
      </c>
      <c r="AE541" s="280">
        <f>P541</f>
        <v/>
      </c>
      <c r="AF541" s="281">
        <f>IF(AM541="Explotación",0.05,0.08)</f>
        <v/>
      </c>
      <c r="AG541" s="280">
        <f>AF541*AE541</f>
        <v/>
      </c>
      <c r="AH541" s="280">
        <f>AD541*1.21</f>
        <v/>
      </c>
      <c r="AI541" s="284">
        <f>IF(AE541&lt;&gt;0,AG541/AD541,"N/A")</f>
        <v/>
      </c>
      <c r="AJ541" s="280">
        <f>IF(AC541="pendiente",AD541,0)</f>
        <v/>
      </c>
      <c r="AK541" s="278">
        <f>VLOOKUP(G541,CLIENTES!B:D,3,FALSE)</f>
        <v/>
      </c>
    </row>
    <row r="542" ht="15" customFormat="1" customHeight="1" s="278">
      <c r="B542" s="279" t="n"/>
      <c r="C542" s="278" t="inlineStr">
        <is>
          <t>c/ Las Cruzadas 3A, local D</t>
        </is>
      </c>
      <c r="D542" s="278" t="inlineStr">
        <is>
          <t>Sevilla 41004</t>
        </is>
      </c>
      <c r="E542" s="278" t="inlineStr">
        <is>
          <t>CIF B91938662</t>
        </is>
      </c>
      <c r="F542" s="278" t="inlineStr">
        <is>
          <t>aBalados@abalados.es</t>
        </is>
      </c>
      <c r="G542" s="278" t="inlineStr">
        <is>
          <t>Energías Renovables El Canto, S.L.</t>
        </is>
      </c>
      <c r="H542" s="278">
        <f>VLOOKUP($G542,DATOS!$B:$E,2,FALSE)</f>
        <v/>
      </c>
      <c r="I542" s="278">
        <f>VLOOKUP($G542,DATOS!$B:$E,3,FALSE)</f>
        <v/>
      </c>
      <c r="J542" s="278">
        <f>VLOOKUP($G542,DATOS!$B:$E,4,FALSE)</f>
        <v/>
      </c>
      <c r="K542" s="278" t="inlineStr">
        <is>
          <t>Contrato de Asset Management - Subestación El Canto</t>
        </is>
      </c>
      <c r="L542" s="280" t="n"/>
      <c r="N542" s="280" t="n"/>
      <c r="O542" s="278" t="inlineStr">
        <is>
          <t>Fee Trimestral - Inicio contrato (01Agosto 2024) / 30Septiembre 2024</t>
        </is>
      </c>
      <c r="P542" s="280">
        <f>2* 1350</f>
        <v/>
      </c>
      <c r="R542" s="280" t="n"/>
      <c r="T542" s="280" t="n"/>
      <c r="V542" s="280" t="n"/>
      <c r="X542" s="280" t="n"/>
      <c r="Z542" s="280" t="n"/>
      <c r="AA542" s="280" t="n"/>
      <c r="AB542" s="402" t="inlineStr">
        <is>
          <t>ES85 2080 3509 1130 4009 6171</t>
        </is>
      </c>
      <c r="AC542" s="278" t="inlineStr">
        <is>
          <t>pendiente</t>
        </is>
      </c>
      <c r="AD542" s="280">
        <f>L542+N542+P542+R542+T542+V542+X542+Z542</f>
        <v/>
      </c>
      <c r="AE542" s="280">
        <f>P542</f>
        <v/>
      </c>
      <c r="AF542" s="281">
        <f>IF(AM542="Explotación",0.05,0.08)</f>
        <v/>
      </c>
      <c r="AG542" s="280">
        <f>AF542*AE542</f>
        <v/>
      </c>
      <c r="AH542" s="280">
        <f>AD542*1.21</f>
        <v/>
      </c>
      <c r="AI542" s="284">
        <f>IF(AE542&lt;&gt;0,AG542/AD542,"N/A")</f>
        <v/>
      </c>
      <c r="AJ542" s="280">
        <f>IF(AC542="pendiente",AD542,0)</f>
        <v/>
      </c>
      <c r="AK542" s="278">
        <f>VLOOKUP(G542,CLIENTES!B:D,3,FALSE)</f>
        <v/>
      </c>
    </row>
    <row r="543" ht="15" customFormat="1" customHeight="1" s="278">
      <c r="B543" s="279" t="n"/>
      <c r="C543" s="278" t="inlineStr">
        <is>
          <t>c/ Las Cruzadas 3A, local D</t>
        </is>
      </c>
      <c r="D543" s="278" t="inlineStr">
        <is>
          <t>Sevilla 41004</t>
        </is>
      </c>
      <c r="E543" s="278" t="inlineStr">
        <is>
          <t>CIF B91938662</t>
        </is>
      </c>
      <c r="F543" s="278" t="inlineStr">
        <is>
          <t>aBalados@abalados.es</t>
        </is>
      </c>
      <c r="G543" s="278" t="inlineStr">
        <is>
          <t>Asociación Molinos de Guadaíra</t>
        </is>
      </c>
      <c r="H543" s="278">
        <f>VLOOKUP($G543,DATOS!$B:$E,2,FALSE)</f>
        <v/>
      </c>
      <c r="I543" s="278">
        <f>VLOOKUP($G543,DATOS!$B:$E,3,FALSE)</f>
        <v/>
      </c>
      <c r="J543" s="278">
        <f>VLOOKUP($G543,DATOS!$B:$E,4,FALSE)</f>
        <v/>
      </c>
      <c r="K543" s="278" t="inlineStr">
        <is>
          <t>Servicios Contabilidad 3T2024</t>
        </is>
      </c>
      <c r="L543" s="280">
        <f>200*3</f>
        <v/>
      </c>
      <c r="N543" s="280" t="n"/>
      <c r="P543" s="280" t="n"/>
      <c r="R543" s="280" t="n"/>
      <c r="T543" s="280" t="n"/>
      <c r="V543" s="280" t="n"/>
      <c r="X543" s="280" t="n"/>
      <c r="Z543" s="280" t="n"/>
      <c r="AA543" s="280" t="n"/>
      <c r="AB543" s="402" t="inlineStr">
        <is>
          <t>ES85 2080 3509 1130 4009 6171</t>
        </is>
      </c>
      <c r="AC543" s="278" t="inlineStr">
        <is>
          <t>pendiente</t>
        </is>
      </c>
      <c r="AD543" s="280">
        <f>L543+N543+P543+R543+T543+V543+X543+Z543</f>
        <v/>
      </c>
      <c r="AE543" s="280">
        <f>IF((LEFT(K543,6))="Contab",L543,0)</f>
        <v/>
      </c>
      <c r="AF543" s="281">
        <f>VLOOKUP(G543,CLIENTES!B:E,4,FALSE)</f>
        <v/>
      </c>
      <c r="AG543" s="280">
        <f>AF543*AE543</f>
        <v/>
      </c>
      <c r="AH543" s="280">
        <f>AD543*1.21</f>
        <v/>
      </c>
      <c r="AI543" s="284">
        <f>IF(AE543&lt;&gt;0,AG543/AD543,"N/A")</f>
        <v/>
      </c>
      <c r="AJ543" s="280">
        <f>IF(AC543="pendiente",AD543,0)</f>
        <v/>
      </c>
      <c r="AK543" s="278">
        <f>VLOOKUP(G543,CLIENTES!B:D,3,FALSE)</f>
        <v/>
      </c>
    </row>
    <row r="544" ht="15" customFormat="1" customHeight="1" s="278">
      <c r="B544" s="279" t="n"/>
      <c r="C544" s="278" t="inlineStr">
        <is>
          <t>c/ Las Cruzadas 3A, local D</t>
        </is>
      </c>
      <c r="D544" s="278" t="inlineStr">
        <is>
          <t>Sevilla 41004</t>
        </is>
      </c>
      <c r="E544" s="278" t="inlineStr">
        <is>
          <t>CIF B91938662</t>
        </is>
      </c>
      <c r="F544" s="278" t="inlineStr">
        <is>
          <t>aBalados@abalados.es</t>
        </is>
      </c>
      <c r="G544" s="278" t="inlineStr">
        <is>
          <t>Escatrón Promotores 400 y 220, S.L.</t>
        </is>
      </c>
      <c r="H544" s="278">
        <f>VLOOKUP($G544,DATOS!$B:$E,2,FALSE)</f>
        <v/>
      </c>
      <c r="I544" s="278">
        <f>VLOOKUP($G544,DATOS!$B:$E,3,FALSE)</f>
        <v/>
      </c>
      <c r="J544" s="278">
        <f>VLOOKUP($G544,DATOS!$B:$E,4,FALSE)</f>
        <v/>
      </c>
      <c r="K544" s="278" t="inlineStr">
        <is>
          <t>Servicios extraordinarios - Asset Management (subestación Escatrón)</t>
        </is>
      </c>
      <c r="L544" s="280" t="n"/>
      <c r="N544" s="280" t="n"/>
      <c r="O544" s="278" t="inlineStr">
        <is>
          <t>Contract Manager - Asesoramiento sobre Contrato EPC</t>
        </is>
      </c>
      <c r="P544" s="280" t="n"/>
      <c r="Q544" s="278" t="inlineStr">
        <is>
          <t>Fee Trimestral - 01Julio/30Septiembre 2024</t>
        </is>
      </c>
      <c r="R544" s="280">
        <f>3* 910</f>
        <v/>
      </c>
      <c r="T544" s="280" t="n"/>
      <c r="V544" s="280" t="n"/>
      <c r="X544" s="280" t="n"/>
      <c r="Z544" s="280" t="n"/>
      <c r="AA544" s="280" t="n"/>
      <c r="AB544" s="402" t="inlineStr">
        <is>
          <t>ES85 2080 3509 1130 4009 6171</t>
        </is>
      </c>
      <c r="AC544" s="278" t="inlineStr">
        <is>
          <t>pendiente</t>
        </is>
      </c>
      <c r="AD544" s="280">
        <f>L544+N544+P544+R544+T544+V544+X544+Z544</f>
        <v/>
      </c>
      <c r="AE544" s="280">
        <f>P544</f>
        <v/>
      </c>
      <c r="AF544" s="281">
        <f>VLOOKUP(G544,CLIENTES!B:E,4,FALSE)</f>
        <v/>
      </c>
      <c r="AG544" s="280">
        <f>AF544*AE544</f>
        <v/>
      </c>
      <c r="AH544" s="280">
        <f>AD544*1.21</f>
        <v/>
      </c>
      <c r="AI544" s="284">
        <f>IF(AE544&lt;&gt;0,AG544/AD544,"N/A")</f>
        <v/>
      </c>
      <c r="AJ544" s="280">
        <f>IF(AC544="pendiente",AD544,0)</f>
        <v/>
      </c>
      <c r="AK544" s="278">
        <f>VLOOKUP(G544,CLIENTES!B:D,3,FALSE)</f>
        <v/>
      </c>
    </row>
    <row r="545" ht="15" customFormat="1" customHeight="1" s="278">
      <c r="B545" s="279" t="n"/>
      <c r="C545" s="278" t="inlineStr">
        <is>
          <t>c/ Las Cruzadas 3A, local D</t>
        </is>
      </c>
      <c r="D545" s="278" t="inlineStr">
        <is>
          <t>Sevilla 41004</t>
        </is>
      </c>
      <c r="E545" s="278" t="inlineStr">
        <is>
          <t>CIF B91938662</t>
        </is>
      </c>
      <c r="F545" s="278" t="inlineStr">
        <is>
          <t>aBalados@abalados.es</t>
        </is>
      </c>
      <c r="G545" s="278" t="inlineStr">
        <is>
          <t>Renovables Brovales 400 kV, S.L.</t>
        </is>
      </c>
      <c r="H545" s="278">
        <f>VLOOKUP($G545,DATOS!$B:$E,2,FALSE)</f>
        <v/>
      </c>
      <c r="I545" s="278">
        <f>VLOOKUP($G545,DATOS!$B:$E,3,FALSE)</f>
        <v/>
      </c>
      <c r="J545" s="278">
        <f>VLOOKUP($G545,DATOS!$B:$E,4,FALSE)</f>
        <v/>
      </c>
      <c r="K545" s="278" t="inlineStr">
        <is>
          <t>Servicios extraordinarios - Asset Management (subestación BrovalesF1)</t>
        </is>
      </c>
      <c r="L545" s="280" t="n"/>
      <c r="N545" s="280" t="n"/>
      <c r="O545" s="278" t="inlineStr">
        <is>
          <t>Servicios Jurídicos</t>
        </is>
      </c>
      <c r="P545" s="280" t="n"/>
      <c r="Q545" s="278" t="inlineStr">
        <is>
          <t>Redacción de adendas a Contratos de Prestación de Servicios ENEL/BTAM</t>
        </is>
      </c>
      <c r="R545" s="280" t="n">
        <v>1200</v>
      </c>
      <c r="T545" s="280" t="n"/>
      <c r="V545" s="280" t="n"/>
      <c r="X545" s="280" t="n"/>
      <c r="Z545" s="280" t="n"/>
      <c r="AA545" s="280" t="n"/>
      <c r="AB545" s="402" t="inlineStr">
        <is>
          <t>ES85 2080 3509 1130 4009 6171</t>
        </is>
      </c>
      <c r="AC545" s="278" t="inlineStr">
        <is>
          <t>pendiente</t>
        </is>
      </c>
      <c r="AD545" s="280">
        <f>L545+N545+P545+R545+T545+V545+X545+Z545</f>
        <v/>
      </c>
      <c r="AE545" s="280">
        <f>P545</f>
        <v/>
      </c>
      <c r="AF545" s="281">
        <f>VLOOKUP(G545,CLIENTES!B:E,4,FALSE)</f>
        <v/>
      </c>
      <c r="AG545" s="280">
        <f>AF545*AE545</f>
        <v/>
      </c>
      <c r="AH545" s="280">
        <f>AD545*1.21</f>
        <v/>
      </c>
      <c r="AI545" s="284">
        <f>IF(AE545&lt;&gt;0,AG545/AD545,"N/A")</f>
        <v/>
      </c>
      <c r="AJ545" s="280">
        <f>IF(AC545="pendiente",AD545,0)</f>
        <v/>
      </c>
      <c r="AK545" s="278">
        <f>VLOOKUP(G545,CLIENTES!B:D,3,FALSE)</f>
        <v/>
      </c>
    </row>
    <row r="546" ht="15" customFormat="1" customHeight="1" s="278">
      <c r="B546" s="279" t="n"/>
      <c r="C546" s="278" t="inlineStr">
        <is>
          <t>c/ Las Cruzadas 3A, local D</t>
        </is>
      </c>
      <c r="D546" s="278" t="inlineStr">
        <is>
          <t>Sevilla 41004</t>
        </is>
      </c>
      <c r="E546" s="278" t="inlineStr">
        <is>
          <t>CIF B91938662</t>
        </is>
      </c>
      <c r="F546" s="278" t="inlineStr">
        <is>
          <t>aBalados@abalados.es</t>
        </is>
      </c>
      <c r="G546" s="278" t="inlineStr">
        <is>
          <t>Escatrón Promotores 400 y 220, S.L.</t>
        </is>
      </c>
      <c r="H546" s="278">
        <f>VLOOKUP($G546,DATOS!$B:$E,2,FALSE)</f>
        <v/>
      </c>
      <c r="I546" s="278">
        <f>VLOOKUP($G546,DATOS!$B:$E,3,FALSE)</f>
        <v/>
      </c>
      <c r="J546" s="278">
        <f>VLOOKUP($G546,DATOS!$B:$E,4,FALSE)</f>
        <v/>
      </c>
      <c r="K546" s="278" t="inlineStr">
        <is>
          <t>Servicios extraordinarios - Asset Management (subestación Escatrón)</t>
        </is>
      </c>
      <c r="L546" s="280" t="n"/>
      <c r="N546" s="280" t="n"/>
      <c r="O546" s="278" t="inlineStr">
        <is>
          <t>Asistencia administrativa</t>
        </is>
      </c>
      <c r="P546" s="280" t="n"/>
      <c r="Q546" s="278" t="inlineStr">
        <is>
          <t>Contratación póliza de seguros IICC</t>
        </is>
      </c>
      <c r="R546" s="280" t="n">
        <v>900</v>
      </c>
      <c r="T546" s="280" t="n"/>
      <c r="V546" s="280" t="n"/>
      <c r="X546" s="280" t="n"/>
      <c r="Z546" s="280" t="n"/>
      <c r="AA546" s="280" t="n"/>
      <c r="AB546" s="402" t="inlineStr">
        <is>
          <t>ES85 2080 3509 1130 4009 6171</t>
        </is>
      </c>
      <c r="AC546" s="278" t="inlineStr">
        <is>
          <t>pendiente</t>
        </is>
      </c>
      <c r="AD546" s="280">
        <f>L546+N546+P546+R546+T546+V546+X546+Z546</f>
        <v/>
      </c>
      <c r="AE546" s="280">
        <f>P546</f>
        <v/>
      </c>
      <c r="AF546" s="281">
        <f>VLOOKUP(G546,CLIENTES!B:E,4,FALSE)</f>
        <v/>
      </c>
      <c r="AG546" s="280">
        <f>AF546*AE546</f>
        <v/>
      </c>
      <c r="AH546" s="280">
        <f>AD546*1.21</f>
        <v/>
      </c>
      <c r="AI546" s="284">
        <f>IF(AE546&lt;&gt;0,AG546/AD546,"N/A")</f>
        <v/>
      </c>
      <c r="AJ546" s="280">
        <f>IF(AC546="pendiente",AD546,0)</f>
        <v/>
      </c>
      <c r="AK546" s="278">
        <f>VLOOKUP(G546,CLIENTES!B:D,3,FALSE)</f>
        <v/>
      </c>
    </row>
    <row r="547" ht="15" customFormat="1" customHeight="1" s="278">
      <c r="B547" s="279" t="n"/>
      <c r="C547" s="278" t="inlineStr">
        <is>
          <t>c/ Las Cruzadas 3A, local D</t>
        </is>
      </c>
      <c r="D547" s="278" t="inlineStr">
        <is>
          <t>Sevilla 41004</t>
        </is>
      </c>
      <c r="E547" s="278" t="inlineStr">
        <is>
          <t>CIF B91938662</t>
        </is>
      </c>
      <c r="F547" s="278" t="inlineStr">
        <is>
          <t>aBalados@abalados.es</t>
        </is>
      </c>
      <c r="G547" s="278" t="inlineStr">
        <is>
          <t>Grijota Renovables, S.L.</t>
        </is>
      </c>
      <c r="H547" s="278">
        <f>VLOOKUP($G547,DATOS!$B:$E,2,FALSE)</f>
        <v/>
      </c>
      <c r="I547" s="278">
        <f>VLOOKUP($G547,DATOS!$B:$E,3,FALSE)</f>
        <v/>
      </c>
      <c r="J547" s="278">
        <f>VLOOKUP($G547,DATOS!$B:$E,4,FALSE)</f>
        <v/>
      </c>
      <c r="K547" s="278" t="inlineStr">
        <is>
          <t>Servicios extraordinarios - Asset Management (subestación Grijota)</t>
        </is>
      </c>
      <c r="L547" s="280" t="n"/>
      <c r="N547" s="280" t="n"/>
      <c r="O547" s="278" t="inlineStr">
        <is>
          <t>Contract Manager - Asesoramiento sobre Contrato EPC/Trafo</t>
        </is>
      </c>
      <c r="P547" s="280" t="n"/>
      <c r="Q547" s="278" t="inlineStr">
        <is>
          <t>Fee Trimestral - Inicio contrato (12Agosto 2024) / 30Septiembre 2024</t>
        </is>
      </c>
      <c r="R547" s="280">
        <f>455+1630</f>
        <v/>
      </c>
      <c r="T547" s="280" t="n"/>
      <c r="V547" s="280" t="n"/>
      <c r="X547" s="280" t="n"/>
      <c r="Z547" s="280" t="n"/>
      <c r="AA547" s="280" t="n"/>
      <c r="AB547" s="402" t="inlineStr">
        <is>
          <t>ES85 2080 3509 1130 4009 6171</t>
        </is>
      </c>
      <c r="AC547" s="278" t="inlineStr">
        <is>
          <t>pendiente</t>
        </is>
      </c>
      <c r="AD547" s="280">
        <f>L547+N547+P547+R547+T547+V547+X547+Z547</f>
        <v/>
      </c>
      <c r="AE547" s="280">
        <f>P547</f>
        <v/>
      </c>
      <c r="AF547" s="281">
        <f>VLOOKUP(G547,CLIENTES!B:E,4,FALSE)</f>
        <v/>
      </c>
      <c r="AG547" s="280">
        <f>AF547*AE547</f>
        <v/>
      </c>
      <c r="AH547" s="280">
        <f>AD547*1.21</f>
        <v/>
      </c>
      <c r="AI547" s="284">
        <f>IF(AE547&lt;&gt;0,AG547/AD547,"N/A")</f>
        <v/>
      </c>
      <c r="AJ547" s="280">
        <f>IF(AC547="pendiente",AD547,0)</f>
        <v/>
      </c>
      <c r="AK547" s="278">
        <f>VLOOKUP(G547,CLIENTES!B:D,3,FALSE)</f>
        <v/>
      </c>
    </row>
    <row r="548" ht="15" customFormat="1" customHeight="1" s="278">
      <c r="B548" s="279" t="n"/>
      <c r="C548" s="278" t="inlineStr">
        <is>
          <t>c/ Las Cruzadas 3A, local D</t>
        </is>
      </c>
      <c r="D548" s="278" t="inlineStr">
        <is>
          <t>Sevilla 41004</t>
        </is>
      </c>
      <c r="E548" s="278" t="inlineStr">
        <is>
          <t>CIF B91938662</t>
        </is>
      </c>
      <c r="F548" s="278" t="inlineStr">
        <is>
          <t>aBalados@abalados.es</t>
        </is>
      </c>
      <c r="G548" s="278" t="inlineStr">
        <is>
          <t>ICE Santa Engracia, S.L.</t>
        </is>
      </c>
      <c r="H548" s="278">
        <f>VLOOKUP($G548,DATOS!$B:$E,2,FALSE)</f>
        <v/>
      </c>
      <c r="I548" s="278">
        <f>VLOOKUP($G548,DATOS!$B:$E,3,FALSE)</f>
        <v/>
      </c>
      <c r="J548" s="278">
        <f>VLOOKUP($G548,DATOS!$B:$E,4,FALSE)</f>
        <v/>
      </c>
      <c r="K548" s="278" t="inlineStr">
        <is>
          <t>Servicios extraordinarios - Asset Management (subestación Santa Engracia)</t>
        </is>
      </c>
      <c r="L548" s="280" t="n"/>
      <c r="N548" s="280" t="n"/>
      <c r="O548" s="278" t="inlineStr">
        <is>
          <t>Asistencia administrativa</t>
        </is>
      </c>
      <c r="P548" s="280" t="n"/>
      <c r="Q548" s="278" t="inlineStr">
        <is>
          <t>Contratación póliza de seguros IICC</t>
        </is>
      </c>
      <c r="R548" s="280" t="n">
        <v>850</v>
      </c>
      <c r="T548" s="280" t="n"/>
      <c r="V548" s="280" t="n"/>
      <c r="X548" s="280" t="n"/>
      <c r="Z548" s="280" t="n"/>
      <c r="AA548" s="280" t="n"/>
      <c r="AB548" s="402" t="inlineStr">
        <is>
          <t>ES85 2080 3509 1130 4009 6171</t>
        </is>
      </c>
      <c r="AC548" s="278" t="inlineStr">
        <is>
          <t>pendiente</t>
        </is>
      </c>
      <c r="AD548" s="280">
        <f>L548+N548+P548+R548+T548+V548+X548+Z548</f>
        <v/>
      </c>
      <c r="AE548" s="280">
        <f>P548</f>
        <v/>
      </c>
      <c r="AF548" s="281">
        <f>VLOOKUP(G548,CLIENTES!B:E,4,FALSE)</f>
        <v/>
      </c>
      <c r="AG548" s="280">
        <f>AF548*AE548</f>
        <v/>
      </c>
      <c r="AH548" s="280">
        <f>AD548*1.21</f>
        <v/>
      </c>
      <c r="AI548" s="284">
        <f>IF(AE548&lt;&gt;0,AG548/AD548,"N/A")</f>
        <v/>
      </c>
      <c r="AJ548" s="280">
        <f>IF(AC548="pendiente",AD548,0)</f>
        <v/>
      </c>
      <c r="AK548" s="278">
        <f>VLOOKUP(G548,CLIENTES!B:D,3,FALSE)</f>
        <v/>
      </c>
    </row>
    <row r="549" ht="15" customFormat="1" customHeight="1" s="192">
      <c r="B549" s="199" t="n"/>
      <c r="C549" s="192" t="inlineStr">
        <is>
          <t>c/ Las Cruzadas 3A, local D</t>
        </is>
      </c>
      <c r="D549" s="192" t="inlineStr">
        <is>
          <t>Sevilla 41004</t>
        </is>
      </c>
      <c r="E549" s="192" t="inlineStr">
        <is>
          <t>CIF B91938662</t>
        </is>
      </c>
      <c r="F549" s="192" t="inlineStr">
        <is>
          <t>aBalados@abalados.es</t>
        </is>
      </c>
      <c r="G549" s="192" t="inlineStr">
        <is>
          <t>Herrera Renovables 400, A.I.E.</t>
        </is>
      </c>
      <c r="H549" s="192">
        <f>VLOOKUP($G549,DATOS!$B:$E,2,FALSE)</f>
        <v/>
      </c>
      <c r="I549" s="192">
        <f>VLOOKUP($G549,DATOS!$B:$E,3,FALSE)</f>
        <v/>
      </c>
      <c r="J549" s="192">
        <f>VLOOKUP($G549,DATOS!$B:$E,4,FALSE)</f>
        <v/>
      </c>
      <c r="K549" s="192" t="inlineStr">
        <is>
          <t>Servicios extraordinarios - Asset Management (subestación Herrera)</t>
        </is>
      </c>
      <c r="L549" s="200" t="n"/>
      <c r="N549" s="200" t="n"/>
      <c r="O549" s="192" t="inlineStr">
        <is>
          <t>Servicios Jurídicos</t>
        </is>
      </c>
      <c r="P549" s="200" t="n"/>
      <c r="Q549" s="192" t="inlineStr">
        <is>
          <t xml:space="preserve">Adenda al contrato suscrito por Herrera Renovables 400 AIE y Tbeashenyang Transformer Group Co., LTD </t>
        </is>
      </c>
      <c r="R549" s="200" t="n">
        <v>3680</v>
      </c>
      <c r="T549" s="200" t="n"/>
      <c r="V549" s="200" t="n"/>
      <c r="X549" s="200" t="n"/>
      <c r="Z549" s="200" t="n"/>
      <c r="AA549" s="200" t="n"/>
      <c r="AB549" s="403" t="inlineStr">
        <is>
          <t>ES85 2080 3509 1130 4009 6171</t>
        </is>
      </c>
      <c r="AC549" s="192" t="inlineStr">
        <is>
          <t>pendiente</t>
        </is>
      </c>
      <c r="AD549" s="200">
        <f>L549+N549+P549+R549+T549+V549+X549+Z549</f>
        <v/>
      </c>
      <c r="AE549" s="200">
        <f>P549</f>
        <v/>
      </c>
      <c r="AF549" s="201">
        <f>VLOOKUP(G549,CLIENTES!B:E,4,FALSE)</f>
        <v/>
      </c>
      <c r="AG549" s="200">
        <f>AF549*AE549</f>
        <v/>
      </c>
      <c r="AH549" s="200">
        <f>AD549*1.21</f>
        <v/>
      </c>
      <c r="AI549" s="283">
        <f>IF(AE549&lt;&gt;0,AG549/AD549,"N/A")</f>
        <v/>
      </c>
      <c r="AJ549" s="200">
        <f>IF(AC549="pendiente",AD549,0)</f>
        <v/>
      </c>
      <c r="AK549" s="192">
        <f>VLOOKUP(G549,CLIENTES!B:D,3,FALSE)</f>
        <v/>
      </c>
    </row>
    <row r="550" ht="15" customFormat="1" customHeight="1" s="278">
      <c r="B550" s="279" t="n"/>
      <c r="C550" s="278" t="inlineStr">
        <is>
          <t>c/ Las Cruzadas 3A, local D</t>
        </is>
      </c>
      <c r="D550" s="278" t="inlineStr">
        <is>
          <t>Sevilla 41004</t>
        </is>
      </c>
      <c r="E550" s="278" t="inlineStr">
        <is>
          <t>CIF B91938662</t>
        </is>
      </c>
      <c r="F550" s="278" t="inlineStr">
        <is>
          <t>aBalados@abalados.es</t>
        </is>
      </c>
      <c r="G550" s="278" t="inlineStr">
        <is>
          <t>Javier Valladares Ruiz</t>
        </is>
      </c>
      <c r="H550" s="278">
        <f>VLOOKUP($G550,DATOS!$B:$E,2,FALSE)</f>
        <v/>
      </c>
      <c r="I550" s="278">
        <f>VLOOKUP($G550,DATOS!$B:$E,3,FALSE)</f>
        <v/>
      </c>
      <c r="J550" s="278">
        <f>VLOOKUP($G550,DATOS!$B:$E,4,FALSE)</f>
        <v/>
      </c>
      <c r="K550" s="278" t="inlineStr">
        <is>
          <t>Venta vehículo</t>
        </is>
      </c>
      <c r="L550" s="280" t="n"/>
      <c r="M550" s="278" t="inlineStr">
        <is>
          <t>MINI Cooper S Cabrio - 0854 KBB</t>
        </is>
      </c>
      <c r="N550" s="196" t="n">
        <v>6000</v>
      </c>
      <c r="O550" s="195" t="n"/>
      <c r="P550" s="196" t="n"/>
      <c r="Q550" s="195" t="n"/>
      <c r="R550" s="196" t="n"/>
      <c r="S550" s="195" t="n"/>
      <c r="T550" s="196" t="n"/>
      <c r="U550" s="195" t="n"/>
      <c r="V550" s="196" t="n"/>
      <c r="W550" s="195" t="n"/>
      <c r="X550" s="196" t="n"/>
      <c r="Y550" s="195" t="n"/>
      <c r="Z550" s="196" t="n"/>
      <c r="AA550" s="196" t="n"/>
      <c r="AB550" s="401" t="inlineStr">
        <is>
          <t>ES85 2080 3509 1130 4009 6171</t>
        </is>
      </c>
      <c r="AC550" s="195" t="inlineStr">
        <is>
          <t>pendiente</t>
        </is>
      </c>
      <c r="AD550" s="196">
        <f>L550+N550+P550+R550+T550+V550+X550+Z550</f>
        <v/>
      </c>
      <c r="AE550" s="196">
        <f>P550</f>
        <v/>
      </c>
      <c r="AF550" s="197">
        <f>VLOOKUP(G550,CLIENTES!B:E,4,FALSE)</f>
        <v/>
      </c>
      <c r="AG550" s="196">
        <f>AF550*AE550</f>
        <v/>
      </c>
      <c r="AH550" s="196">
        <f>AD550*1.105</f>
        <v/>
      </c>
      <c r="AI550" s="285">
        <f>IF(AE550&lt;&gt;0,AG550/AD550,"N/A")</f>
        <v/>
      </c>
      <c r="AJ550" s="196">
        <f>IF(AC550="pendiente",AD550,0)</f>
        <v/>
      </c>
      <c r="AK550" s="195">
        <f>VLOOKUP(G550,CLIENTES!B:D,3,FALSE)</f>
        <v/>
      </c>
      <c r="AL550" s="195" t="n"/>
      <c r="AM550" s="195" t="n"/>
      <c r="AN550" s="196" t="n"/>
      <c r="AO550" s="195" t="n"/>
      <c r="AP550" s="195" t="n"/>
      <c r="AQ550" s="195" t="n"/>
      <c r="AR550" s="195" t="n"/>
      <c r="AS550" s="195" t="n"/>
      <c r="AT550" s="195" t="n"/>
      <c r="AU550" s="195" t="n"/>
      <c r="AV550" s="195" t="n"/>
      <c r="AW550" s="195" t="n"/>
      <c r="AX550" s="195" t="n"/>
      <c r="AY550" s="195" t="n"/>
      <c r="AZ550" s="195" t="n"/>
      <c r="BA550" s="195" t="n"/>
      <c r="BB550" s="195" t="n"/>
      <c r="BC550" s="195" t="n"/>
      <c r="BD550" s="195" t="n"/>
      <c r="BE550" s="195" t="n"/>
      <c r="BF550" s="195" t="n"/>
      <c r="BG550" s="195" t="n"/>
      <c r="BH550" s="195" t="n"/>
      <c r="BI550" s="195" t="n"/>
      <c r="BJ550" s="195" t="n"/>
      <c r="BK550" s="195" t="n"/>
      <c r="BL550" s="195" t="n"/>
      <c r="BM550" s="195" t="n"/>
      <c r="BN550" s="195" t="n"/>
      <c r="BO550" s="195" t="n"/>
      <c r="BP550" s="195" t="n"/>
      <c r="BQ550" s="195" t="n"/>
      <c r="BR550" s="195" t="n"/>
      <c r="BS550" s="195" t="n"/>
      <c r="BT550" s="195" t="n"/>
      <c r="BU550" s="195" t="n"/>
      <c r="BV550" s="195" t="n"/>
      <c r="BW550" s="195" t="n"/>
      <c r="BX550" s="195" t="n"/>
      <c r="BY550" s="195" t="n"/>
      <c r="BZ550" s="195" t="n"/>
      <c r="CA550" s="195" t="n"/>
      <c r="CB550" s="195" t="n"/>
    </row>
    <row r="551" ht="15" customFormat="1" customHeight="1" s="195">
      <c r="B551" s="194" t="n"/>
      <c r="C551" s="195" t="inlineStr">
        <is>
          <t>c/ Las Cruzadas 3A, local D</t>
        </is>
      </c>
      <c r="D551" s="195" t="inlineStr">
        <is>
          <t>Sevilla 41004</t>
        </is>
      </c>
      <c r="E551" s="195" t="inlineStr">
        <is>
          <t>CIF B91938662</t>
        </is>
      </c>
      <c r="F551" s="195" t="inlineStr">
        <is>
          <t>aBalados@abalados.es</t>
        </is>
      </c>
      <c r="G551" s="195" t="inlineStr">
        <is>
          <t>Dehesa Asomadilla Inversiones S.L.U.</t>
        </is>
      </c>
      <c r="H551" s="195">
        <f>VLOOKUP($G551,DATOS!$B:$E,2,FALSE)</f>
        <v/>
      </c>
      <c r="I551" s="195">
        <f>VLOOKUP($G551,DATOS!$B:$E,3,FALSE)</f>
        <v/>
      </c>
      <c r="J551" s="195">
        <f>VLOOKUP($G551,DATOS!$B:$E,4,FALSE)</f>
        <v/>
      </c>
      <c r="K551" s="195" t="inlineStr">
        <is>
          <t>Contabilidad y Fiscalidad de proyecto Valverde - 4º Trimestre</t>
        </is>
      </c>
      <c r="L551" s="196">
        <f>'Tarifa 2025'!$D$5/4</f>
        <v/>
      </c>
      <c r="M551" s="195" t="inlineStr">
        <is>
          <t>SPV Management  Proyecto Valverde - 4º Trimestre</t>
        </is>
      </c>
      <c r="N551" s="196">
        <f>'Tarifa 2025'!$F$5/4</f>
        <v/>
      </c>
      <c r="O551" s="195" t="inlineStr">
        <is>
          <t>O&amp;M Management Proyecto Valverde - 4º Trimestre</t>
        </is>
      </c>
      <c r="P551" s="196">
        <f>'Tarifa 2025'!$H$5/4</f>
        <v/>
      </c>
      <c r="Q551" s="195" t="inlineStr">
        <is>
          <t>Consultoría - 4º Trimestre</t>
        </is>
      </c>
      <c r="R551" s="196">
        <f>'Tarifa 2025'!$I$5/4</f>
        <v/>
      </c>
      <c r="T551" s="196" t="n"/>
      <c r="V551" s="196" t="n"/>
      <c r="X551" s="196" t="n"/>
      <c r="Y551" s="195" t="inlineStr">
        <is>
          <t>Gastos derivados de contrato (3,5%)</t>
        </is>
      </c>
      <c r="Z551" s="196">
        <f>(L551+N551+P551+R551+T551+V551+X551)*0.035</f>
        <v/>
      </c>
      <c r="AA551" s="196" t="n"/>
      <c r="AB551" s="197" t="inlineStr">
        <is>
          <t>ES85 2080 3509 1130 4009 6171</t>
        </is>
      </c>
      <c r="AC551" s="195" t="inlineStr">
        <is>
          <t>pendiente</t>
        </is>
      </c>
      <c r="AD551" s="196">
        <f>L551+N551+P551+R551+T551+V551+X551+Z551</f>
        <v/>
      </c>
      <c r="AE551" s="196">
        <f>IF((LEFT(K551,6))="Contab",L551,0)</f>
        <v/>
      </c>
      <c r="AF551" s="397">
        <f>VLOOKUP(G551,CLIENTES!B:E,4,FALSE)</f>
        <v/>
      </c>
      <c r="AG551" s="196">
        <f>AF551*AE551</f>
        <v/>
      </c>
      <c r="AH551" s="280">
        <f>AD551*1.21</f>
        <v/>
      </c>
      <c r="AI551" s="285">
        <f>IF(AE551&lt;&gt;0,AG551/AD551,"N/A")</f>
        <v/>
      </c>
      <c r="AJ551" s="196">
        <f>IF(AC551="pendiente",AD551,0)</f>
        <v/>
      </c>
      <c r="AK551" s="195">
        <f>VLOOKUP(G551,CLIENTES!B:D,3,FALSE)</f>
        <v/>
      </c>
    </row>
    <row r="552" ht="15" customFormat="1" customHeight="1" s="278">
      <c r="B552" s="279" t="n"/>
      <c r="C552" s="278" t="inlineStr">
        <is>
          <t>c/ Las Cruzadas 3A, local D</t>
        </is>
      </c>
      <c r="D552" s="278" t="inlineStr">
        <is>
          <t>Sevilla 41004</t>
        </is>
      </c>
      <c r="E552" s="278" t="inlineStr">
        <is>
          <t>CIF B91938662</t>
        </is>
      </c>
      <c r="F552" s="278" t="inlineStr">
        <is>
          <t>aBalados@abalados.es</t>
        </is>
      </c>
      <c r="G552" s="278" t="inlineStr">
        <is>
          <t>Asomadilla Solar 2007 S.L.U.</t>
        </is>
      </c>
      <c r="H552" s="278">
        <f>VLOOKUP($G552,DATOS!$B:$E,2,FALSE)</f>
        <v/>
      </c>
      <c r="I552" s="278">
        <f>VLOOKUP($G552,DATOS!$B:$E,3,FALSE)</f>
        <v/>
      </c>
      <c r="J552" s="278">
        <f>VLOOKUP($G552,DATOS!$B:$E,4,FALSE)</f>
        <v/>
      </c>
      <c r="K552" s="278" t="inlineStr">
        <is>
          <t>Contabilidad y Fiscalidad de proyecto Castuera - 4º Trimestre</t>
        </is>
      </c>
      <c r="L552" s="280">
        <f>'Tarifa 2025'!$D$6/4</f>
        <v/>
      </c>
      <c r="M552" s="278" t="inlineStr">
        <is>
          <t>SPV Management  Proyecto Castuera - 4º Trimestre</t>
        </is>
      </c>
      <c r="N552" s="280">
        <f>'Tarifa 2025'!$F$6/4</f>
        <v/>
      </c>
      <c r="O552" s="278" t="inlineStr">
        <is>
          <t>O&amp;M Management Proyecto Castuera - 4º Trimestre</t>
        </is>
      </c>
      <c r="P552" s="280">
        <f>'Tarifa 2025'!$H$6/4</f>
        <v/>
      </c>
      <c r="Q552" s="278" t="inlineStr">
        <is>
          <t>Consultoría - 4º Trimestre</t>
        </is>
      </c>
      <c r="R552" s="280">
        <f>'Tarifa 2025'!$J$6/4</f>
        <v/>
      </c>
      <c r="T552" s="280" t="n"/>
      <c r="V552" s="280" t="n"/>
      <c r="X552" s="280" t="n"/>
      <c r="Y552" s="278" t="inlineStr">
        <is>
          <t>Gastos derivados de contrato (3,5%)</t>
        </is>
      </c>
      <c r="Z552" s="280">
        <f>(L552+N552+P552+R552+T552+V552+X552)*0.035</f>
        <v/>
      </c>
      <c r="AA552" s="280" t="n"/>
      <c r="AB552" s="281" t="inlineStr">
        <is>
          <t>ES85 2080 3509 1130 4009 6171</t>
        </is>
      </c>
      <c r="AC552" s="278" t="inlineStr">
        <is>
          <t>pendiente</t>
        </is>
      </c>
      <c r="AD552" s="280">
        <f>L552+N552+P552+R552+T552+V552+X552+Z552</f>
        <v/>
      </c>
      <c r="AE552" s="280">
        <f>IF((LEFT(K552,6))="Contab",L552,0)</f>
        <v/>
      </c>
      <c r="AF552" s="297">
        <f>VLOOKUP(G552,CLIENTES!B:E,4,FALSE)</f>
        <v/>
      </c>
      <c r="AG552" s="280">
        <f>AF552*AE552</f>
        <v/>
      </c>
      <c r="AH552" s="280">
        <f>AD552*1.21</f>
        <v/>
      </c>
      <c r="AI552" s="284">
        <f>IF(AE552&lt;&gt;0,AG552/AD552,"N/A")</f>
        <v/>
      </c>
      <c r="AJ552" s="280">
        <f>IF(AC552="pendiente",AD552,0)</f>
        <v/>
      </c>
      <c r="AK552" s="278">
        <f>VLOOKUP(G552,CLIENTES!B:D,3,FALSE)</f>
        <v/>
      </c>
    </row>
    <row r="553" ht="15" customFormat="1" customHeight="1" s="278">
      <c r="B553" s="279" t="n"/>
      <c r="C553" s="278" t="inlineStr">
        <is>
          <t>c/ Las Cruzadas 3A, local D</t>
        </is>
      </c>
      <c r="D553" s="278" t="inlineStr">
        <is>
          <t>Sevilla 41004</t>
        </is>
      </c>
      <c r="E553" s="278" t="inlineStr">
        <is>
          <t>CIF B91938662</t>
        </is>
      </c>
      <c r="F553" s="278" t="inlineStr">
        <is>
          <t>aBalados@abalados.es</t>
        </is>
      </c>
      <c r="G553" s="278" t="inlineStr">
        <is>
          <t>Inversión Cubiertas Solares S.L.U.</t>
        </is>
      </c>
      <c r="H553" s="278">
        <f>VLOOKUP($G553,DATOS!$B:$E,2,FALSE)</f>
        <v/>
      </c>
      <c r="I553" s="278">
        <f>VLOOKUP($G553,DATOS!$B:$E,3,FALSE)</f>
        <v/>
      </c>
      <c r="J553" s="278">
        <f>VLOOKUP($G553,DATOS!$B:$E,4,FALSE)</f>
        <v/>
      </c>
      <c r="K553" s="278" t="inlineStr">
        <is>
          <t>Contabilidad y Fiscalidad de proyecto Paiporta - 4º Trimestre</t>
        </is>
      </c>
      <c r="L553" s="280">
        <f>'Tarifa 2025'!$D$7/4</f>
        <v/>
      </c>
      <c r="M553" s="278" t="inlineStr">
        <is>
          <t>SPV Management  Proyecto Paiporta - 4º Trimestre</t>
        </is>
      </c>
      <c r="N553" s="280">
        <f>'Tarifa 2025'!$F$7/4</f>
        <v/>
      </c>
      <c r="O553" s="278" t="inlineStr">
        <is>
          <t>O&amp;M Management Proyecto Paiporta - 4º Trimestre</t>
        </is>
      </c>
      <c r="P553" s="280">
        <f>'Tarifa 2025'!$H$7/4</f>
        <v/>
      </c>
      <c r="Q553" s="278" t="inlineStr">
        <is>
          <t>Consultoría - 4º Trimestre</t>
        </is>
      </c>
      <c r="R553" s="280">
        <f>'Tarifa 2025'!$J$7/4</f>
        <v/>
      </c>
      <c r="T553" s="280" t="n"/>
      <c r="V553" s="280" t="n"/>
      <c r="X553" s="280" t="n"/>
      <c r="Y553" s="278" t="inlineStr">
        <is>
          <t>Gastos derivados de contrato (3,5%)</t>
        </is>
      </c>
      <c r="Z553" s="280">
        <f>(L553+N553+P553+R553+T553+V553+X553)*0.035</f>
        <v/>
      </c>
      <c r="AA553" s="280" t="n"/>
      <c r="AB553" s="281" t="inlineStr">
        <is>
          <t>ES85 2080 3509 1130 4009 6171</t>
        </is>
      </c>
      <c r="AC553" s="278" t="inlineStr">
        <is>
          <t>pendiente</t>
        </is>
      </c>
      <c r="AD553" s="280">
        <f>L553+N553+P553+R553+T553+V553+X553+Z553</f>
        <v/>
      </c>
      <c r="AE553" s="280">
        <f>IF((LEFT(K553,6))="Contab",L553,0)</f>
        <v/>
      </c>
      <c r="AF553" s="297">
        <f>VLOOKUP(G553,CLIENTES!B:E,4,FALSE)</f>
        <v/>
      </c>
      <c r="AG553" s="280">
        <f>AF553*AE553</f>
        <v/>
      </c>
      <c r="AH553" s="280">
        <f>AD553*1.21</f>
        <v/>
      </c>
      <c r="AI553" s="284">
        <f>IF(AE553&lt;&gt;0,AG553/AD553,"N/A")</f>
        <v/>
      </c>
      <c r="AJ553" s="280">
        <f>IF(AC553="pendiente",AD553,0)</f>
        <v/>
      </c>
      <c r="AK553" s="278">
        <f>VLOOKUP(G553,CLIENTES!B:D,3,FALSE)</f>
        <v/>
      </c>
    </row>
    <row r="554" ht="15" customFormat="1" customHeight="1" s="278">
      <c r="B554" s="279" t="n"/>
      <c r="C554" s="278" t="inlineStr">
        <is>
          <t>c/ Las Cruzadas 3A, local D</t>
        </is>
      </c>
      <c r="D554" s="278" t="inlineStr">
        <is>
          <t>Sevilla 41004</t>
        </is>
      </c>
      <c r="E554" s="278" t="inlineStr">
        <is>
          <t>CIF B91938662</t>
        </is>
      </c>
      <c r="F554" s="278" t="inlineStr">
        <is>
          <t>aBalados@abalados.es</t>
        </is>
      </c>
      <c r="G554" s="278" t="inlineStr">
        <is>
          <t>Lugec Inversión Solar S.L.U.</t>
        </is>
      </c>
      <c r="H554" s="278">
        <f>VLOOKUP($G554,DATOS!$B:$E,2,FALSE)</f>
        <v/>
      </c>
      <c r="I554" s="278">
        <f>VLOOKUP($G554,DATOS!$B:$E,3,FALSE)</f>
        <v/>
      </c>
      <c r="J554" s="278">
        <f>VLOOKUP($G554,DATOS!$B:$E,4,FALSE)</f>
        <v/>
      </c>
      <c r="K554" s="278" t="inlineStr">
        <is>
          <t>Contabilidad y Fiscalidad de proyecto Bonaire - 4º Trimestre</t>
        </is>
      </c>
      <c r="L554" s="280">
        <f>'Tarifa 2025'!$D$8/4</f>
        <v/>
      </c>
      <c r="M554" s="278" t="inlineStr">
        <is>
          <t>SPV Management  Proyecto Bonaire - 4º Trimestre</t>
        </is>
      </c>
      <c r="N554" s="280">
        <f>'Tarifa 2025'!$F$8/4</f>
        <v/>
      </c>
      <c r="O554" s="278" t="inlineStr">
        <is>
          <t>O&amp;M Management Proyecto Bonaire - 4º Trimestre</t>
        </is>
      </c>
      <c r="P554" s="280">
        <f>'Tarifa 2025'!$H$8/4</f>
        <v/>
      </c>
      <c r="Q554" s="278" t="inlineStr">
        <is>
          <t>Consultoría - 4º Trimestre</t>
        </is>
      </c>
      <c r="R554" s="280">
        <f>'Tarifa 2025'!$J$8/4</f>
        <v/>
      </c>
      <c r="T554" s="280" t="n"/>
      <c r="V554" s="280" t="n"/>
      <c r="X554" s="280" t="n"/>
      <c r="Y554" s="278" t="inlineStr">
        <is>
          <t>Gastos derivados de contrato (3,5%)</t>
        </is>
      </c>
      <c r="Z554" s="280">
        <f>(L554+N554+P554+R554+T554+V554+X554)*0.035</f>
        <v/>
      </c>
      <c r="AA554" s="280" t="n"/>
      <c r="AB554" s="281" t="inlineStr">
        <is>
          <t>ES85 2080 3509 1130 4009 6171</t>
        </is>
      </c>
      <c r="AC554" s="278" t="inlineStr">
        <is>
          <t>pendiente</t>
        </is>
      </c>
      <c r="AD554" s="280">
        <f>L554+N554+P554+R554+T554+V554+X554+Z554</f>
        <v/>
      </c>
      <c r="AE554" s="280">
        <f>IF((LEFT(K554,6))="Contab",L554,0)</f>
        <v/>
      </c>
      <c r="AF554" s="297">
        <f>VLOOKUP(G554,CLIENTES!B:E,4,FALSE)</f>
        <v/>
      </c>
      <c r="AG554" s="280">
        <f>AF554*AE554</f>
        <v/>
      </c>
      <c r="AH554" s="280">
        <f>AD554*1.21</f>
        <v/>
      </c>
      <c r="AI554" s="284">
        <f>IF(AE554&lt;&gt;0,AG554/AD554,"N/A")</f>
        <v/>
      </c>
      <c r="AJ554" s="280">
        <f>IF(AC554="pendiente",AD554,0)</f>
        <v/>
      </c>
      <c r="AK554" s="278">
        <f>VLOOKUP(G554,CLIENTES!B:D,3,FALSE)</f>
        <v/>
      </c>
    </row>
    <row r="555" ht="15" customFormat="1" customHeight="1" s="278">
      <c r="B555" s="279" t="n"/>
      <c r="C555" s="278" t="inlineStr">
        <is>
          <t>c/ Las Cruzadas 3A, local D</t>
        </is>
      </c>
      <c r="D555" s="278" t="inlineStr">
        <is>
          <t>Sevilla 41004</t>
        </is>
      </c>
      <c r="E555" s="278" t="inlineStr">
        <is>
          <t>CIF B91938662</t>
        </is>
      </c>
      <c r="F555" s="278" t="inlineStr">
        <is>
          <t>aBalados@abalados.es</t>
        </is>
      </c>
      <c r="G555" s="278" t="inlineStr">
        <is>
          <t>LOCABA SOLAR S.L.U.</t>
        </is>
      </c>
      <c r="H555" s="278">
        <f>VLOOKUP($G555,DATOS!$B:$E,2,FALSE)</f>
        <v/>
      </c>
      <c r="I555" s="278">
        <f>VLOOKUP($G555,DATOS!$B:$E,3,FALSE)</f>
        <v/>
      </c>
      <c r="J555" s="278">
        <f>VLOOKUP($G555,DATOS!$B:$E,4,FALSE)</f>
        <v/>
      </c>
      <c r="K555" s="278" t="inlineStr">
        <is>
          <t>Contabilidad y Fiscalidad de proyecto Coreses - 4º Trimestre</t>
        </is>
      </c>
      <c r="L555" s="280">
        <f>'Tarifa 2025'!$D$9/4</f>
        <v/>
      </c>
      <c r="M555" s="278" t="inlineStr">
        <is>
          <t>SPV Management  Proyecto Coreses - 4º Trimestre</t>
        </is>
      </c>
      <c r="N555" s="280">
        <f>'Tarifa 2025'!$F$9/4</f>
        <v/>
      </c>
      <c r="O555" s="278" t="inlineStr">
        <is>
          <t>O&amp;M Management Proyecto Coreses - 4º Trimestre</t>
        </is>
      </c>
      <c r="P555" s="280">
        <f>'Tarifa 2025'!$H$9/4</f>
        <v/>
      </c>
      <c r="Q555" s="278" t="inlineStr">
        <is>
          <t>Consultoría - 4º Trimestre</t>
        </is>
      </c>
      <c r="R555" s="280">
        <f>'Tarifa 2025'!$J$9/4</f>
        <v/>
      </c>
      <c r="T555" s="280" t="n"/>
      <c r="V555" s="280" t="n"/>
      <c r="X555" s="280" t="n"/>
      <c r="Y555" s="278" t="inlineStr">
        <is>
          <t>Gastos derivados de contrato (3,5%)</t>
        </is>
      </c>
      <c r="Z555" s="280">
        <f>(L555+N555+P555+R555+T555+V555+X555)*0.035</f>
        <v/>
      </c>
      <c r="AA555" s="280" t="n"/>
      <c r="AB555" s="281" t="inlineStr">
        <is>
          <t>ES85 2080 3509 1130 4009 6171</t>
        </is>
      </c>
      <c r="AC555" s="195" t="inlineStr">
        <is>
          <t>pendiente</t>
        </is>
      </c>
      <c r="AD555" s="280">
        <f>L555+N555+P555+R555+T555+V555+X555+Z555</f>
        <v/>
      </c>
      <c r="AE555" s="280">
        <f>IF((LEFT(K555,6))="Contab",L555,0)</f>
        <v/>
      </c>
      <c r="AF555" s="297">
        <f>VLOOKUP(G555,CLIENTES!B:E,4,FALSE)</f>
        <v/>
      </c>
      <c r="AG555" s="280">
        <f>AF555*AE555</f>
        <v/>
      </c>
      <c r="AH555" s="280">
        <f>AD555*1.21</f>
        <v/>
      </c>
      <c r="AI555" s="284">
        <f>IF(AE555&lt;&gt;0,AG555/AD555,"N/A")</f>
        <v/>
      </c>
      <c r="AJ555" s="280">
        <f>IF(AC555="pendiente",AD555,0)</f>
        <v/>
      </c>
      <c r="AK555" s="278">
        <f>VLOOKUP(G555,CLIENTES!B:D,3,FALSE)</f>
        <v/>
      </c>
    </row>
    <row r="556" ht="15" customFormat="1" customHeight="1" s="278">
      <c r="B556" s="279" t="n"/>
      <c r="C556" s="278" t="inlineStr">
        <is>
          <t>c/ Las Cruzadas 3A, local D</t>
        </is>
      </c>
      <c r="D556" s="278" t="inlineStr">
        <is>
          <t>Sevilla 41004</t>
        </is>
      </c>
      <c r="E556" s="278" t="inlineStr">
        <is>
          <t>CIF B91938662</t>
        </is>
      </c>
      <c r="F556" s="278" t="inlineStr">
        <is>
          <t>aBalados@abalados.es</t>
        </is>
      </c>
      <c r="G556" s="278" t="inlineStr">
        <is>
          <t>Agrupación Solar el Algarrobo I, S.L.U.</t>
        </is>
      </c>
      <c r="H556" s="278">
        <f>VLOOKUP($G556,DATOS!$B:$E,2,FALSE)</f>
        <v/>
      </c>
      <c r="I556" s="278">
        <f>VLOOKUP($G556,DATOS!$B:$E,3,FALSE)</f>
        <v/>
      </c>
      <c r="J556" s="278">
        <f>VLOOKUP($G556,DATOS!$B:$E,4,FALSE)</f>
        <v/>
      </c>
      <c r="K556" s="278" t="inlineStr">
        <is>
          <t>Contabilidad y Fiscalidad de proyecto Algarrobo I - 4º Trimestre</t>
        </is>
      </c>
      <c r="L556" s="280">
        <f>'Tarifa 2025'!$D$12*1.89/5.49/4</f>
        <v/>
      </c>
      <c r="M556" s="278" t="inlineStr">
        <is>
          <t>SPV Management  Proyecto Algarrobo I -  4º Trimestre</t>
        </is>
      </c>
      <c r="N556" s="280">
        <f>'Tarifa 2025'!$F$12*1.89/5.49/4</f>
        <v/>
      </c>
      <c r="O556" s="278" t="inlineStr">
        <is>
          <t>O&amp;M Management Proyecto Algarrobo I - 4º Trimestre</t>
        </is>
      </c>
      <c r="P556" s="280">
        <f>'Tarifa 2025'!$H$12*1.89/5.49/4</f>
        <v/>
      </c>
      <c r="Q556" s="278" t="inlineStr">
        <is>
          <t>Consultoría - 4º Trimestre</t>
        </is>
      </c>
      <c r="R556" s="280">
        <f>'Tarifa 2025'!$J$12*(1.89/(1.89+1.89+1.71))/4</f>
        <v/>
      </c>
      <c r="T556" s="280" t="n"/>
      <c r="V556" s="280" t="n"/>
      <c r="X556" s="280" t="n"/>
      <c r="Y556" s="278" t="inlineStr">
        <is>
          <t>Gastos derivados de contrato (3,5%)</t>
        </is>
      </c>
      <c r="Z556" s="280">
        <f>(L556+N556+P556+R556+T556+V556+X556)*0.035</f>
        <v/>
      </c>
      <c r="AA556" s="280" t="n"/>
      <c r="AB556" s="281" t="inlineStr">
        <is>
          <t>ES85 2080 3509 1130 4009 6171</t>
        </is>
      </c>
      <c r="AC556" s="278" t="inlineStr">
        <is>
          <t>pendiente</t>
        </is>
      </c>
      <c r="AD556" s="280">
        <f>L556+N556+P556+R556+T556+V556+X556+Z556</f>
        <v/>
      </c>
      <c r="AE556" s="280">
        <f>IF((LEFT(K556,6))="Contab",L556,0)</f>
        <v/>
      </c>
      <c r="AF556" s="297">
        <f>VLOOKUP(G556,CLIENTES!B:E,4,FALSE)</f>
        <v/>
      </c>
      <c r="AG556" s="280">
        <f>AF556*AE556</f>
        <v/>
      </c>
      <c r="AH556" s="280">
        <f>AD556*1.21</f>
        <v/>
      </c>
      <c r="AI556" s="284">
        <f>IF(AE556&lt;&gt;0,AG556/AD556,"N/A")</f>
        <v/>
      </c>
      <c r="AJ556" s="280">
        <f>IF(AC556="pendiente",AD556,0)</f>
        <v/>
      </c>
      <c r="AK556" s="278">
        <f>VLOOKUP(G556,CLIENTES!B:D,3,FALSE)</f>
        <v/>
      </c>
    </row>
    <row r="557" ht="15" customFormat="1" customHeight="1" s="278">
      <c r="B557" s="279" t="n"/>
      <c r="C557" s="278" t="inlineStr">
        <is>
          <t>c/ Las Cruzadas 3A, local D</t>
        </is>
      </c>
      <c r="D557" s="278" t="inlineStr">
        <is>
          <t>Sevilla 41004</t>
        </is>
      </c>
      <c r="E557" s="278" t="inlineStr">
        <is>
          <t>CIF B91938662</t>
        </is>
      </c>
      <c r="F557" s="278" t="inlineStr">
        <is>
          <t>aBalados@abalados.es</t>
        </is>
      </c>
      <c r="G557" s="278" t="inlineStr">
        <is>
          <t>Agrupación Solar el Algarrobo II, S.L.U.</t>
        </is>
      </c>
      <c r="H557" s="278">
        <f>VLOOKUP($G557,DATOS!$B:$E,2,FALSE)</f>
        <v/>
      </c>
      <c r="I557" s="278">
        <f>VLOOKUP($G557,DATOS!$B:$E,3,FALSE)</f>
        <v/>
      </c>
      <c r="J557" s="278">
        <f>VLOOKUP($G557,DATOS!$B:$E,4,FALSE)</f>
        <v/>
      </c>
      <c r="K557" s="278" t="inlineStr">
        <is>
          <t>Contabilidad y Fiscalidad de proyecto Algarrobo II - 4º Trimestre</t>
        </is>
      </c>
      <c r="L557" s="280">
        <f>'Tarifa 2025'!$D$12*1.89/5.49/4</f>
        <v/>
      </c>
      <c r="M557" s="278" t="inlineStr">
        <is>
          <t>SPV Management  Proyecto Algarrobo II -  4º Trimestre</t>
        </is>
      </c>
      <c r="N557" s="280">
        <f>'Tarifa 2025'!$F$12*1.89/5.49/4</f>
        <v/>
      </c>
      <c r="O557" s="278" t="inlineStr">
        <is>
          <t>O&amp;M Management Proyecto Algarrobo II - 4º Trimestre</t>
        </is>
      </c>
      <c r="P557" s="280">
        <f>'Tarifa 2025'!$H$12*1.89/5.49/4</f>
        <v/>
      </c>
      <c r="Q557" s="278" t="inlineStr">
        <is>
          <t>Consultoría - 4º Trimestre</t>
        </is>
      </c>
      <c r="R557" s="280">
        <f>'Tarifa 2025'!$J$12*(1.89/(1.89+1.89+1.71))/4</f>
        <v/>
      </c>
      <c r="T557" s="280" t="n"/>
      <c r="V557" s="280" t="n"/>
      <c r="X557" s="280" t="n"/>
      <c r="Y557" s="278" t="inlineStr">
        <is>
          <t>Gastos derivados de contrato (3,5%)</t>
        </is>
      </c>
      <c r="Z557" s="280">
        <f>(L557+N557+P557+R557+T557+V557+X557)*0.035</f>
        <v/>
      </c>
      <c r="AA557" s="280" t="n"/>
      <c r="AB557" s="281" t="inlineStr">
        <is>
          <t>ES85 2080 3509 1130 4009 6171</t>
        </is>
      </c>
      <c r="AC557" s="278" t="inlineStr">
        <is>
          <t>pendiente</t>
        </is>
      </c>
      <c r="AD557" s="280">
        <f>L557+N557+P557+R557+T557+V557+X557+Z557</f>
        <v/>
      </c>
      <c r="AE557" s="280">
        <f>IF((LEFT(K557,6))="Contab",L557,0)</f>
        <v/>
      </c>
      <c r="AF557" s="297">
        <f>VLOOKUP(G557,CLIENTES!B:E,4,FALSE)</f>
        <v/>
      </c>
      <c r="AG557" s="280">
        <f>AF557*AE557</f>
        <v/>
      </c>
      <c r="AH557" s="280">
        <f>AD557*1.21</f>
        <v/>
      </c>
      <c r="AI557" s="284">
        <f>IF(AE557&lt;&gt;0,AG557/AD557,"N/A")</f>
        <v/>
      </c>
      <c r="AJ557" s="280">
        <f>IF(AC557="pendiente",AD557,0)</f>
        <v/>
      </c>
      <c r="AK557" s="278">
        <f>VLOOKUP(G557,CLIENTES!B:D,3,FALSE)</f>
        <v/>
      </c>
    </row>
    <row r="558" ht="15" customFormat="1" customHeight="1" s="278">
      <c r="B558" s="279" t="n"/>
      <c r="C558" s="278" t="inlineStr">
        <is>
          <t>c/ Las Cruzadas 3A, local D</t>
        </is>
      </c>
      <c r="D558" s="278" t="inlineStr">
        <is>
          <t>Sevilla 41004</t>
        </is>
      </c>
      <c r="E558" s="278" t="inlineStr">
        <is>
          <t>CIF B91938662</t>
        </is>
      </c>
      <c r="F558" s="278" t="inlineStr">
        <is>
          <t>aBalados@abalados.es</t>
        </is>
      </c>
      <c r="G558" s="278" t="inlineStr">
        <is>
          <t>Agrupación Solar el Algarrobo III, S.L.U.</t>
        </is>
      </c>
      <c r="H558" s="278">
        <f>VLOOKUP($G558,DATOS!$B:$E,2,FALSE)</f>
        <v/>
      </c>
      <c r="I558" s="278">
        <f>VLOOKUP($G558,DATOS!$B:$E,3,FALSE)</f>
        <v/>
      </c>
      <c r="J558" s="278">
        <f>VLOOKUP($G558,DATOS!$B:$E,4,FALSE)</f>
        <v/>
      </c>
      <c r="K558" s="278" t="inlineStr">
        <is>
          <t>Contabilidad y Fiscalidad de proyecto Algarrobo III - 4º Trimestre</t>
        </is>
      </c>
      <c r="L558" s="280">
        <f>'Tarifa 2025'!$D$12*1.71/5.49/4</f>
        <v/>
      </c>
      <c r="M558" s="278" t="inlineStr">
        <is>
          <t>SPV Management  Proyecto Algarrobo III -  4º Trimestre</t>
        </is>
      </c>
      <c r="N558" s="280">
        <f>'Tarifa 2025'!$F$12*1.71/5.49/4</f>
        <v/>
      </c>
      <c r="O558" s="278" t="inlineStr">
        <is>
          <t>O&amp;M Management Proyecto Algarrobo III - 4º Trimestre</t>
        </is>
      </c>
      <c r="P558" s="280">
        <f>'Tarifa 2025'!$H$12*1.71/5.49/4</f>
        <v/>
      </c>
      <c r="Q558" s="278" t="inlineStr">
        <is>
          <t>Consultoría - 4º Trimestre</t>
        </is>
      </c>
      <c r="R558" s="280">
        <f>'Tarifa 2025'!$J$12*(1.71/(1.89+1.89+1.71))/4</f>
        <v/>
      </c>
      <c r="T558" s="280" t="n"/>
      <c r="V558" s="280" t="n"/>
      <c r="X558" s="280" t="n"/>
      <c r="Y558" s="278" t="inlineStr">
        <is>
          <t>Gastos derivados de contrato (3,5%)</t>
        </is>
      </c>
      <c r="Z558" s="280">
        <f>(L558+N558+P558+R558+T558+V558+X558)*0.035</f>
        <v/>
      </c>
      <c r="AA558" s="280" t="n"/>
      <c r="AB558" s="281" t="inlineStr">
        <is>
          <t>ES85 2080 3509 1130 4009 6171</t>
        </is>
      </c>
      <c r="AC558" s="278" t="inlineStr">
        <is>
          <t>pendiente</t>
        </is>
      </c>
      <c r="AD558" s="280">
        <f>L558+N558+P558+R558+T558+V558+X558+Z558</f>
        <v/>
      </c>
      <c r="AE558" s="280">
        <f>IF((LEFT(K558,6))="Contab",L558,0)</f>
        <v/>
      </c>
      <c r="AF558" s="297">
        <f>VLOOKUP(G558,CLIENTES!B:E,4,FALSE)</f>
        <v/>
      </c>
      <c r="AG558" s="280">
        <f>AF558*AE558</f>
        <v/>
      </c>
      <c r="AH558" s="280">
        <f>AD558*1.21</f>
        <v/>
      </c>
      <c r="AI558" s="284">
        <f>IF(AE558&lt;&gt;0,AG558/AD558,"N/A")</f>
        <v/>
      </c>
      <c r="AJ558" s="280">
        <f>IF(AC558="pendiente",AD558,0)</f>
        <v/>
      </c>
      <c r="AK558" s="278">
        <f>VLOOKUP(G558,CLIENTES!B:D,3,FALSE)</f>
        <v/>
      </c>
    </row>
    <row r="559" ht="15" customFormat="1" customHeight="1" s="278">
      <c r="B559" s="279" t="n"/>
      <c r="C559" s="278" t="inlineStr">
        <is>
          <t>c/ Las Cruzadas 3A, local D</t>
        </is>
      </c>
      <c r="D559" s="278" t="inlineStr">
        <is>
          <t>Sevilla 41004</t>
        </is>
      </c>
      <c r="E559" s="278" t="inlineStr">
        <is>
          <t>CIF B91938662</t>
        </is>
      </c>
      <c r="F559" s="278" t="inlineStr">
        <is>
          <t>aBalados@abalados.es</t>
        </is>
      </c>
      <c r="G559" s="278" t="inlineStr">
        <is>
          <t>WOC Fotovoltaica España Proyecto Sollana S.L.U.</t>
        </is>
      </c>
      <c r="H559" s="278">
        <f>VLOOKUP($G559,DATOS!$B:$E,2,FALSE)</f>
        <v/>
      </c>
      <c r="I559" s="278">
        <f>VLOOKUP($G559,DATOS!$B:$E,3,FALSE)</f>
        <v/>
      </c>
      <c r="J559" s="278">
        <f>VLOOKUP($G559,DATOS!$B:$E,4,FALSE)</f>
        <v/>
      </c>
      <c r="K559" s="278" t="inlineStr">
        <is>
          <t>Contabilidad y Fiscalidad de proyecto Sollana - 4º Trimestre</t>
        </is>
      </c>
      <c r="L559" s="280">
        <f>'Tarifa 2025'!$D$13/4</f>
        <v/>
      </c>
      <c r="M559" s="278" t="inlineStr">
        <is>
          <t>SPV Management  Proyecto Sollana - 4º Trimestre</t>
        </is>
      </c>
      <c r="N559" s="280">
        <f>'Tarifa 2025'!$F$13/4</f>
        <v/>
      </c>
      <c r="O559" s="278" t="inlineStr">
        <is>
          <t>O&amp;M Management Proyecto Sollana - 4º Trimestre</t>
        </is>
      </c>
      <c r="P559" s="280">
        <f>'Tarifa 2025'!$H$13/4</f>
        <v/>
      </c>
      <c r="Q559" s="278" t="inlineStr">
        <is>
          <t>Consultoría - 4º Trimestre</t>
        </is>
      </c>
      <c r="R559" s="280">
        <f>'Tarifa 2025'!$J$13/4</f>
        <v/>
      </c>
      <c r="T559" s="280" t="n"/>
      <c r="V559" s="280" t="n"/>
      <c r="X559" s="280" t="n"/>
      <c r="Y559" s="278" t="inlineStr">
        <is>
          <t>Gastos derivados de contrato (3,5%)</t>
        </is>
      </c>
      <c r="Z559" s="280">
        <f>(L559+N559+P559+R559+T559+V559+X559)*0.035</f>
        <v/>
      </c>
      <c r="AA559" s="280" t="n"/>
      <c r="AB559" s="281" t="inlineStr">
        <is>
          <t>ES85 2080 3509 1130 4009 6171</t>
        </is>
      </c>
      <c r="AC559" s="278" t="inlineStr">
        <is>
          <t>pendiente</t>
        </is>
      </c>
      <c r="AD559" s="280">
        <f>L559+N559+P559+R559+T559+V559+X559+Z559</f>
        <v/>
      </c>
      <c r="AE559" s="280">
        <f>IF((LEFT(K559,6))="Contab",L559,0)</f>
        <v/>
      </c>
      <c r="AF559" s="297">
        <f>VLOOKUP(G559,CLIENTES!B:E,4,FALSE)</f>
        <v/>
      </c>
      <c r="AG559" s="280">
        <f>AF559*AE559</f>
        <v/>
      </c>
      <c r="AH559" s="280">
        <f>AD559*1.21</f>
        <v/>
      </c>
      <c r="AI559" s="284">
        <f>IF(AE559&lt;&gt;0,AG559/AD559,"N/A")</f>
        <v/>
      </c>
      <c r="AJ559" s="280">
        <f>IF(AC559="pendiente",AD559,0)</f>
        <v/>
      </c>
      <c r="AK559" s="278">
        <f>VLOOKUP(G559,CLIENTES!B:D,3,FALSE)</f>
        <v/>
      </c>
    </row>
    <row r="560" ht="15" customFormat="1" customHeight="1" s="278">
      <c r="B560" s="279" t="n"/>
      <c r="C560" s="278" t="inlineStr">
        <is>
          <t>c/ Las Cruzadas 3A, local D</t>
        </is>
      </c>
      <c r="D560" s="278" t="inlineStr">
        <is>
          <t>Sevilla 41004</t>
        </is>
      </c>
      <c r="E560" s="278" t="inlineStr">
        <is>
          <t>CIF B91938662</t>
        </is>
      </c>
      <c r="F560" s="278" t="inlineStr">
        <is>
          <t>aBalados@abalados.es</t>
        </is>
      </c>
      <c r="G560" s="278" t="inlineStr">
        <is>
          <t>ES Garrovers Energía Solar S.L.U.</t>
        </is>
      </c>
      <c r="H560" s="278">
        <f>VLOOKUP($G560,DATOS!$B:$E,2,FALSE)</f>
        <v/>
      </c>
      <c r="I560" s="278">
        <f>VLOOKUP($G560,DATOS!$B:$E,3,FALSE)</f>
        <v/>
      </c>
      <c r="J560" s="278">
        <f>VLOOKUP($G560,DATOS!$B:$E,4,FALSE)</f>
        <v/>
      </c>
      <c r="K560" s="278" t="inlineStr">
        <is>
          <t>Contabilidad y Fiscalidad de proyecto Artà - 4º Trimestre</t>
        </is>
      </c>
      <c r="L560" s="280">
        <f>'Tarifa 2025'!$D$14/4</f>
        <v/>
      </c>
      <c r="M560" s="278" t="inlineStr">
        <is>
          <t>SPV Management  Proyecto Artà - 4º Trimestre</t>
        </is>
      </c>
      <c r="N560" s="280">
        <f>'Tarifa 2025'!$F$14/4</f>
        <v/>
      </c>
      <c r="O560" s="278" t="inlineStr">
        <is>
          <t>O&amp;M Management Proyecto Artà - 4º Trimestre</t>
        </is>
      </c>
      <c r="P560" s="280">
        <f>'Tarifa 2025'!$H$14/4</f>
        <v/>
      </c>
      <c r="Q560" s="278" t="inlineStr">
        <is>
          <t>Consultoría - 4º Trimestre</t>
        </is>
      </c>
      <c r="R560" s="280">
        <f>'Tarifa 2025'!$J$14/4</f>
        <v/>
      </c>
      <c r="T560" s="280" t="n"/>
      <c r="V560" s="280" t="n"/>
      <c r="X560" s="280" t="n"/>
      <c r="Y560" s="278" t="inlineStr">
        <is>
          <t>Gastos derivados de contrato (3,5%)</t>
        </is>
      </c>
      <c r="Z560" s="280">
        <f>(L560+N560+P560+R560+T560+V560+X560)*0.035</f>
        <v/>
      </c>
      <c r="AA560" s="280" t="n"/>
      <c r="AB560" s="281" t="inlineStr">
        <is>
          <t>ES85 2080 3509 1130 4009 6171</t>
        </is>
      </c>
      <c r="AC560" s="278" t="inlineStr">
        <is>
          <t>pendiente</t>
        </is>
      </c>
      <c r="AD560" s="280">
        <f>L560+N560+P560+R560+T560+V560+X560+Z560</f>
        <v/>
      </c>
      <c r="AE560" s="280">
        <f>IF((LEFT(K560,6))="Contab",L560,0)</f>
        <v/>
      </c>
      <c r="AF560" s="297">
        <f>VLOOKUP(G560,CLIENTES!B:E,4,FALSE)</f>
        <v/>
      </c>
      <c r="AG560" s="280">
        <f>AF560*AE560</f>
        <v/>
      </c>
      <c r="AH560" s="280">
        <f>AD560*1.21</f>
        <v/>
      </c>
      <c r="AI560" s="284">
        <f>IF(AE560&lt;&gt;0,AG560/AD560,"N/A")</f>
        <v/>
      </c>
      <c r="AJ560" s="280">
        <f>IF(AC560="pendiente",AD560,0)</f>
        <v/>
      </c>
      <c r="AK560" s="278">
        <f>VLOOKUP(G560,CLIENTES!B:D,3,FALSE)</f>
        <v/>
      </c>
    </row>
    <row r="561" ht="15" customFormat="1" customHeight="1" s="278">
      <c r="B561" s="279" t="n"/>
      <c r="C561" s="278" t="inlineStr">
        <is>
          <t>c/ Las Cruzadas 3A, local D</t>
        </is>
      </c>
      <c r="D561" s="278" t="inlineStr">
        <is>
          <t>Sevilla 41004</t>
        </is>
      </c>
      <c r="E561" s="278" t="inlineStr">
        <is>
          <t>CIF B91938662</t>
        </is>
      </c>
      <c r="F561" s="278" t="inlineStr">
        <is>
          <t>aBalados@abalados.es</t>
        </is>
      </c>
      <c r="G561" s="278" t="inlineStr">
        <is>
          <t>Contreras Parque Solar S.L.U.</t>
        </is>
      </c>
      <c r="H561" s="278">
        <f>VLOOKUP($G561,DATOS!$B:$E,2,FALSE)</f>
        <v/>
      </c>
      <c r="I561" s="278">
        <f>VLOOKUP($G561,DATOS!$B:$E,3,FALSE)</f>
        <v/>
      </c>
      <c r="J561" s="278">
        <f>VLOOKUP($G561,DATOS!$B:$E,4,FALSE)</f>
        <v/>
      </c>
      <c r="K561" s="278" t="inlineStr">
        <is>
          <t>Contabilidad y Fiscalidad de proyecto Casa Roja - 4º Trimestre</t>
        </is>
      </c>
      <c r="L561" s="280">
        <f>'Tarifa 2025'!$D$15/4</f>
        <v/>
      </c>
      <c r="M561" s="278" t="inlineStr">
        <is>
          <t>SPV Management  Proyecto Contreras - 4º Trimestre</t>
        </is>
      </c>
      <c r="N561" s="280">
        <f>'Tarifa 2025'!$F$15/4</f>
        <v/>
      </c>
      <c r="O561" s="278" t="inlineStr">
        <is>
          <t>O&amp;M Management Proyecto Contreras - 4º Trimestre</t>
        </is>
      </c>
      <c r="P561" s="280">
        <f>'Tarifa 2025'!$H$15/4</f>
        <v/>
      </c>
      <c r="Q561" s="278" t="inlineStr">
        <is>
          <t>Consultoría - 4º Trimestre</t>
        </is>
      </c>
      <c r="R561" s="280">
        <f>'Tarifa 2025'!$J$15/4</f>
        <v/>
      </c>
      <c r="T561" s="280" t="n"/>
      <c r="V561" s="280" t="n"/>
      <c r="X561" s="280" t="n"/>
      <c r="Y561" s="278" t="inlineStr">
        <is>
          <t>Gastos derivados de contrato (3,5%)</t>
        </is>
      </c>
      <c r="Z561" s="280">
        <f>(L561+N561+P561+R561+T561+V561+X561)*0.035</f>
        <v/>
      </c>
      <c r="AA561" s="280" t="n"/>
      <c r="AB561" s="281" t="inlineStr">
        <is>
          <t>ES85 2080 3509 1130 4009 6171</t>
        </is>
      </c>
      <c r="AC561" s="278" t="inlineStr">
        <is>
          <t>pendiente</t>
        </is>
      </c>
      <c r="AD561" s="280">
        <f>L561+N561+P561+R561+T561+V561+X561+Z561</f>
        <v/>
      </c>
      <c r="AE561" s="280">
        <f>IF((LEFT(K561,6))="Contab",L561,0)</f>
        <v/>
      </c>
      <c r="AF561" s="297">
        <f>VLOOKUP(G561,CLIENTES!B:E,4,FALSE)</f>
        <v/>
      </c>
      <c r="AG561" s="280">
        <f>AF561*AE561</f>
        <v/>
      </c>
      <c r="AH561" s="280">
        <f>AD561*1.21</f>
        <v/>
      </c>
      <c r="AI561" s="284">
        <f>IF(AE561&lt;&gt;0,AG561/AD561,"N/A")</f>
        <v/>
      </c>
      <c r="AJ561" s="280">
        <f>IF(AC561="pendiente",AD561,0)</f>
        <v/>
      </c>
      <c r="AK561" s="278">
        <f>VLOOKUP(G561,CLIENTES!B:D,3,FALSE)</f>
        <v/>
      </c>
    </row>
    <row r="562" ht="15" customFormat="1" customHeight="1" s="278">
      <c r="B562" s="279" t="n"/>
      <c r="C562" s="278" t="inlineStr">
        <is>
          <t>c/ Las Cruzadas 3A, local D</t>
        </is>
      </c>
      <c r="D562" s="278" t="inlineStr">
        <is>
          <t>Sevilla 41004</t>
        </is>
      </c>
      <c r="E562" s="278" t="inlineStr">
        <is>
          <t>CIF B91938662</t>
        </is>
      </c>
      <c r="F562" s="278" t="inlineStr">
        <is>
          <t>aBalados@abalados.es</t>
        </is>
      </c>
      <c r="G562" s="278" t="inlineStr">
        <is>
          <t>Lo Illán  Parque Solar S.L.U.</t>
        </is>
      </c>
      <c r="H562" s="278">
        <f>VLOOKUP($G562,DATOS!$B:$E,2,FALSE)</f>
        <v/>
      </c>
      <c r="I562" s="278">
        <f>VLOOKUP($G562,DATOS!$B:$E,3,FALSE)</f>
        <v/>
      </c>
      <c r="J562" s="278">
        <f>VLOOKUP($G562,DATOS!$B:$E,4,FALSE)</f>
        <v/>
      </c>
      <c r="K562" s="278" t="inlineStr">
        <is>
          <t>Contabilidad y Fiscalidad de proyecto Casa Roja - 4º Trimestre</t>
        </is>
      </c>
      <c r="L562" s="280">
        <f>'Tarifa 2025'!$D$16/4</f>
        <v/>
      </c>
      <c r="M562" s="278" t="inlineStr">
        <is>
          <t>SPV Management  Proyecto Lo Illán - 4º Trimestre</t>
        </is>
      </c>
      <c r="N562" s="280">
        <f>'Tarifa 2025'!$F$16/4</f>
        <v/>
      </c>
      <c r="O562" s="278" t="inlineStr">
        <is>
          <t>O&amp;M Management Proyecto Lo Illán - 4º Trimestre</t>
        </is>
      </c>
      <c r="P562" s="280">
        <f>'Tarifa 2025'!$H$16/4</f>
        <v/>
      </c>
      <c r="Q562" s="278" t="inlineStr">
        <is>
          <t>Consultoría - 4º Trimestre</t>
        </is>
      </c>
      <c r="R562" s="280">
        <f>'Tarifa 2025'!$J$16/4</f>
        <v/>
      </c>
      <c r="T562" s="280" t="n"/>
      <c r="V562" s="280" t="n"/>
      <c r="X562" s="280" t="n"/>
      <c r="Y562" s="278" t="inlineStr">
        <is>
          <t>Gastos derivados de contrato (3,5%)</t>
        </is>
      </c>
      <c r="Z562" s="280">
        <f>(L562+N562+P562+R562+T562+V562+X562)*0.035</f>
        <v/>
      </c>
      <c r="AA562" s="280" t="n"/>
      <c r="AB562" s="281" t="inlineStr">
        <is>
          <t>ES85 2080 3509 1130 4009 6171</t>
        </is>
      </c>
      <c r="AC562" s="278" t="inlineStr">
        <is>
          <t>pendiente</t>
        </is>
      </c>
      <c r="AD562" s="280">
        <f>L562+N562+P562+R562+T562+V562+X562+Z562</f>
        <v/>
      </c>
      <c r="AE562" s="280">
        <f>IF((LEFT(K562,6))="Contab",L562,0)</f>
        <v/>
      </c>
      <c r="AF562" s="297">
        <f>VLOOKUP(G562,CLIENTES!B:E,4,FALSE)</f>
        <v/>
      </c>
      <c r="AG562" s="280">
        <f>AF562*AE562</f>
        <v/>
      </c>
      <c r="AH562" s="280">
        <f>AD562*1.21</f>
        <v/>
      </c>
      <c r="AI562" s="284">
        <f>IF(AE562&lt;&gt;0,AG562/AD562,"N/A")</f>
        <v/>
      </c>
      <c r="AJ562" s="280">
        <f>IF(AC562="pendiente",AD562,0)</f>
        <v/>
      </c>
      <c r="AK562" s="278">
        <f>VLOOKUP(G562,CLIENTES!B:D,3,FALSE)</f>
        <v/>
      </c>
    </row>
    <row r="563" ht="15" customFormat="1" customHeight="1" s="278">
      <c r="B563" s="279" t="n"/>
      <c r="C563" s="278" t="inlineStr">
        <is>
          <t>c/ Las Cruzadas 3A, local D</t>
        </is>
      </c>
      <c r="D563" s="278" t="inlineStr">
        <is>
          <t>Sevilla 41004</t>
        </is>
      </c>
      <c r="E563" s="278" t="inlineStr">
        <is>
          <t>CIF B91938662</t>
        </is>
      </c>
      <c r="F563" s="278" t="inlineStr">
        <is>
          <t>aBalados@abalados.es</t>
        </is>
      </c>
      <c r="G563" s="278" t="inlineStr">
        <is>
          <t>Turbinto Parque Solar S.L.U.</t>
        </is>
      </c>
      <c r="H563" s="278">
        <f>VLOOKUP($G563,DATOS!$B:$E,2,FALSE)</f>
        <v/>
      </c>
      <c r="I563" s="278">
        <f>VLOOKUP($G563,DATOS!$B:$E,3,FALSE)</f>
        <v/>
      </c>
      <c r="J563" s="278">
        <f>VLOOKUP($G563,DATOS!$B:$E,4,FALSE)</f>
        <v/>
      </c>
      <c r="K563" s="278" t="inlineStr">
        <is>
          <t>Contabilidad y Fiscalidad de proyecto Casa Roja - 4º Trimestre</t>
        </is>
      </c>
      <c r="L563" s="280">
        <f>'Tarifa 2025'!$D$17/4</f>
        <v/>
      </c>
      <c r="M563" s="278" t="inlineStr">
        <is>
          <t>SPV Management  Proyecto Turbinto - 4º Trimestre</t>
        </is>
      </c>
      <c r="N563" s="280">
        <f>'Tarifa 2025'!$F$17/4</f>
        <v/>
      </c>
      <c r="O563" s="278" t="inlineStr">
        <is>
          <t>O&amp;M Management Proyecto Turbinto - 4º Trimestre</t>
        </is>
      </c>
      <c r="P563" s="280">
        <f>'Tarifa 2025'!$H$17/4</f>
        <v/>
      </c>
      <c r="Q563" s="278" t="inlineStr">
        <is>
          <t>Consultoría - 4º Trimestre</t>
        </is>
      </c>
      <c r="R563" s="280">
        <f>'Tarifa 2025'!$J$17/4</f>
        <v/>
      </c>
      <c r="T563" s="280" t="n"/>
      <c r="V563" s="280" t="n"/>
      <c r="X563" s="280" t="n"/>
      <c r="Y563" s="278" t="inlineStr">
        <is>
          <t>Gastos derivados de contrato (3,5%)</t>
        </is>
      </c>
      <c r="Z563" s="280">
        <f>(L563+N563+P563+R563+T563+V563+X563)*0.035</f>
        <v/>
      </c>
      <c r="AA563" s="280" t="n"/>
      <c r="AB563" s="281" t="inlineStr">
        <is>
          <t>ES85 2080 3509 1130 4009 6171</t>
        </is>
      </c>
      <c r="AC563" s="278" t="inlineStr">
        <is>
          <t>pendiente</t>
        </is>
      </c>
      <c r="AD563" s="280">
        <f>L563+N563+P563+R563+T563+V563+X563+Z563</f>
        <v/>
      </c>
      <c r="AE563" s="280">
        <f>IF((LEFT(K563,6))="Contab",L563,0)</f>
        <v/>
      </c>
      <c r="AF563" s="297">
        <f>VLOOKUP(G563,CLIENTES!B:E,4,FALSE)</f>
        <v/>
      </c>
      <c r="AG563" s="280">
        <f>AF563*AE563</f>
        <v/>
      </c>
      <c r="AH563" s="280">
        <f>AD563*1.21</f>
        <v/>
      </c>
      <c r="AI563" s="284">
        <f>IF(AE563&lt;&gt;0,AG563/AD563,"N/A")</f>
        <v/>
      </c>
      <c r="AJ563" s="280">
        <f>IF(AC563="pendiente",AD563,0)</f>
        <v/>
      </c>
      <c r="AK563" s="278">
        <f>VLOOKUP(G563,CLIENTES!B:D,3,FALSE)</f>
        <v/>
      </c>
    </row>
    <row r="564" ht="15" customFormat="1" customHeight="1" s="278">
      <c r="B564" s="279" t="n"/>
      <c r="C564" s="278" t="inlineStr">
        <is>
          <t>c/ Las Cruzadas 3A, local D</t>
        </is>
      </c>
      <c r="D564" s="278" t="inlineStr">
        <is>
          <t>Sevilla 41004</t>
        </is>
      </c>
      <c r="E564" s="278" t="inlineStr">
        <is>
          <t>CIF B91938662</t>
        </is>
      </c>
      <c r="F564" s="278" t="inlineStr">
        <is>
          <t>aBalados@abalados.es</t>
        </is>
      </c>
      <c r="G564" s="278" t="inlineStr">
        <is>
          <t>Amberg V S.L.U.</t>
        </is>
      </c>
      <c r="H564" s="278">
        <f>VLOOKUP($G564,DATOS!$B:$E,2,FALSE)</f>
        <v/>
      </c>
      <c r="I564" s="278">
        <f>VLOOKUP($G564,DATOS!$B:$E,3,FALSE)</f>
        <v/>
      </c>
      <c r="J564" s="278">
        <f>VLOOKUP($G564,DATOS!$B:$E,4,FALSE)</f>
        <v/>
      </c>
      <c r="K564" s="278" t="inlineStr">
        <is>
          <t>Contabilidad y Fiscalidad de proyecto - 4º Trimestre</t>
        </is>
      </c>
      <c r="L564" s="280">
        <f>'Tarifa 2025'!$D$18/4/6</f>
        <v/>
      </c>
      <c r="M564" s="278" t="inlineStr">
        <is>
          <t>SPV Management de Proyecto - 4º Trimestre</t>
        </is>
      </c>
      <c r="N564" s="280">
        <f>'Tarifa 2025'!$F$18/6/4</f>
        <v/>
      </c>
      <c r="O564" s="278" t="inlineStr">
        <is>
          <t>O&amp;M Management de Proyecto - 4º Trimestre</t>
        </is>
      </c>
      <c r="P564" s="280">
        <f>'Tarifa 2025'!$H$18/6/4</f>
        <v/>
      </c>
      <c r="R564" s="280" t="n"/>
      <c r="T564" s="280" t="n"/>
      <c r="V564" s="280" t="n"/>
      <c r="X564" s="280" t="n"/>
      <c r="Y564" s="278" t="inlineStr">
        <is>
          <t>Gastos derivados de contrato (3,5%)</t>
        </is>
      </c>
      <c r="Z564" s="280">
        <f>(L564+N564+P564+R564+T564+V564+X564)*0.035</f>
        <v/>
      </c>
      <c r="AA564" s="280" t="n"/>
      <c r="AB564" s="281" t="inlineStr">
        <is>
          <t>ES85 2080 3509 1130 4009 6171</t>
        </is>
      </c>
      <c r="AC564" s="278" t="inlineStr">
        <is>
          <t>pendiente</t>
        </is>
      </c>
      <c r="AD564" s="280">
        <f>L564+N564+P564+R564+T564+V564+X564+Z564</f>
        <v/>
      </c>
      <c r="AE564" s="280">
        <f>IF((LEFT(K564,6))="Contab",L564,0)</f>
        <v/>
      </c>
      <c r="AF564" s="297">
        <f>VLOOKUP(G564,CLIENTES!B:E,4,FALSE)</f>
        <v/>
      </c>
      <c r="AG564" s="280">
        <f>AF564*AE564</f>
        <v/>
      </c>
      <c r="AH564" s="280">
        <f>AD564*1.21</f>
        <v/>
      </c>
      <c r="AI564" s="284">
        <f>IF(AE564&lt;&gt;0,AG564/AD564,"N/A")</f>
        <v/>
      </c>
      <c r="AJ564" s="280">
        <f>IF(AC564="pendiente",AD564,0)</f>
        <v/>
      </c>
      <c r="AK564" s="278">
        <f>VLOOKUP(G564,CLIENTES!B:D,3,FALSE)</f>
        <v/>
      </c>
    </row>
    <row r="565" ht="15" customFormat="1" customHeight="1" s="278">
      <c r="B565" s="279" t="n"/>
      <c r="C565" s="278" t="inlineStr">
        <is>
          <t>c/ Las Cruzadas 3A, local D</t>
        </is>
      </c>
      <c r="D565" s="278" t="inlineStr">
        <is>
          <t>Sevilla 41004</t>
        </is>
      </c>
      <c r="E565" s="278" t="inlineStr">
        <is>
          <t>CIF B91938662</t>
        </is>
      </c>
      <c r="F565" s="278" t="inlineStr">
        <is>
          <t>aBalados@abalados.es</t>
        </is>
      </c>
      <c r="G565" s="278" t="inlineStr">
        <is>
          <t>Solar Photo Collect S.L.U.</t>
        </is>
      </c>
      <c r="H565" s="278">
        <f>VLOOKUP($G565,DATOS!$B:$E,2,FALSE)</f>
        <v/>
      </c>
      <c r="I565" s="278">
        <f>VLOOKUP($G565,DATOS!$B:$E,3,FALSE)</f>
        <v/>
      </c>
      <c r="J565" s="278">
        <f>VLOOKUP($G565,DATOS!$B:$E,4,FALSE)</f>
        <v/>
      </c>
      <c r="K565" s="278" t="inlineStr">
        <is>
          <t>Contabilidad y Fiscalidad de proyecto - 4º Trimestre</t>
        </is>
      </c>
      <c r="L565" s="280">
        <f>'Tarifa 2025'!$D$18/4/6</f>
        <v/>
      </c>
      <c r="M565" s="278" t="inlineStr">
        <is>
          <t>SPV Management de Proyecto - 4º Trimestre</t>
        </is>
      </c>
      <c r="N565" s="280">
        <f>'Tarifa 2025'!$F$18/6/4</f>
        <v/>
      </c>
      <c r="O565" s="278" t="inlineStr">
        <is>
          <t>O&amp;M Management de Proyecto - 4º Trimestre</t>
        </is>
      </c>
      <c r="P565" s="280">
        <f>'Tarifa 2025'!$H$18/6/4</f>
        <v/>
      </c>
      <c r="R565" s="280" t="n"/>
      <c r="T565" s="280" t="n"/>
      <c r="V565" s="280" t="n"/>
      <c r="X565" s="280" t="n"/>
      <c r="Y565" s="278" t="inlineStr">
        <is>
          <t>Gastos derivados de contrato (3,5%)</t>
        </is>
      </c>
      <c r="Z565" s="280">
        <f>(L565+N565+P565+R565+T565+V565+X565)*0.035</f>
        <v/>
      </c>
      <c r="AA565" s="280" t="n"/>
      <c r="AB565" s="281" t="inlineStr">
        <is>
          <t>ES85 2080 3509 1130 4009 6171</t>
        </is>
      </c>
      <c r="AC565" s="278" t="inlineStr">
        <is>
          <t>pendiente</t>
        </is>
      </c>
      <c r="AD565" s="280">
        <f>L565+N565+P565+R565+T565+V565+X565+Z565</f>
        <v/>
      </c>
      <c r="AE565" s="280">
        <f>IF((LEFT(K565,6))="Contab",L565,0)</f>
        <v/>
      </c>
      <c r="AF565" s="297">
        <f>VLOOKUP(G565,CLIENTES!B:E,4,FALSE)</f>
        <v/>
      </c>
      <c r="AG565" s="280">
        <f>AF565*AE565</f>
        <v/>
      </c>
      <c r="AH565" s="280">
        <f>AD565*1.21</f>
        <v/>
      </c>
      <c r="AI565" s="284">
        <f>IF(AE565&lt;&gt;0,AG565/AD565,"N/A")</f>
        <v/>
      </c>
      <c r="AJ565" s="280">
        <f>IF(AC565="pendiente",AD565,0)</f>
        <v/>
      </c>
      <c r="AK565" s="278">
        <f>VLOOKUP(G565,CLIENTES!B:D,3,FALSE)</f>
        <v/>
      </c>
    </row>
    <row r="566" ht="15" customFormat="1" customHeight="1" s="278">
      <c r="B566" s="279" t="n"/>
      <c r="C566" s="278" t="inlineStr">
        <is>
          <t>c/ Las Cruzadas 3A, local D</t>
        </is>
      </c>
      <c r="D566" s="278" t="inlineStr">
        <is>
          <t>Sevilla 41004</t>
        </is>
      </c>
      <c r="E566" s="278" t="inlineStr">
        <is>
          <t>CIF B91938662</t>
        </is>
      </c>
      <c r="F566" s="278" t="inlineStr">
        <is>
          <t>aBalados@abalados.es</t>
        </is>
      </c>
      <c r="G566" s="278" t="inlineStr">
        <is>
          <t xml:space="preserve">Rasteding PV I, S.L.U. </t>
        </is>
      </c>
      <c r="H566" s="278">
        <f>VLOOKUP($G566,DATOS!$B:$E,2,FALSE)</f>
        <v/>
      </c>
      <c r="I566" s="278">
        <f>VLOOKUP($G566,DATOS!$B:$E,3,FALSE)</f>
        <v/>
      </c>
      <c r="J566" s="278">
        <f>VLOOKUP($G566,DATOS!$B:$E,4,FALSE)</f>
        <v/>
      </c>
      <c r="K566" s="278" t="inlineStr">
        <is>
          <t>Contabilidad y Fiscalidad de proyecto - 4º Trimestre</t>
        </is>
      </c>
      <c r="L566" s="280">
        <f>'Tarifa 2025'!$D$18/4/6</f>
        <v/>
      </c>
      <c r="M566" s="278" t="inlineStr">
        <is>
          <t>SPV Management de Proyecto - 4º Trimestre</t>
        </is>
      </c>
      <c r="N566" s="280">
        <f>'Tarifa 2025'!$F$18/6/4</f>
        <v/>
      </c>
      <c r="O566" s="278" t="inlineStr">
        <is>
          <t>O&amp;M Management de Proyecto - 4º Trimestre</t>
        </is>
      </c>
      <c r="P566" s="280">
        <f>'Tarifa 2025'!$H$18/6/4</f>
        <v/>
      </c>
      <c r="R566" s="280" t="n"/>
      <c r="T566" s="280" t="n"/>
      <c r="V566" s="280" t="n"/>
      <c r="X566" s="280" t="n"/>
      <c r="Y566" s="278" t="inlineStr">
        <is>
          <t>Gastos derivados de contrato (3,5%)</t>
        </is>
      </c>
      <c r="Z566" s="280">
        <f>(L566+N566+P566+R566+T566+V566+X566)*0.035</f>
        <v/>
      </c>
      <c r="AA566" s="280" t="n"/>
      <c r="AB566" s="281" t="inlineStr">
        <is>
          <t>ES85 2080 3509 1130 4009 6171</t>
        </is>
      </c>
      <c r="AC566" s="278" t="inlineStr">
        <is>
          <t>pendiente</t>
        </is>
      </c>
      <c r="AD566" s="280">
        <f>L566+N566+P566+R566+T566+V566+X566+Z566</f>
        <v/>
      </c>
      <c r="AE566" s="280">
        <f>IF((LEFT(K566,6))="Contab",L566,0)</f>
        <v/>
      </c>
      <c r="AF566" s="297">
        <f>VLOOKUP(G566,CLIENTES!B:E,4,FALSE)</f>
        <v/>
      </c>
      <c r="AG566" s="280">
        <f>AF566*AE566</f>
        <v/>
      </c>
      <c r="AH566" s="280">
        <f>AD566*1.21</f>
        <v/>
      </c>
      <c r="AI566" s="284">
        <f>IF(AE566&lt;&gt;0,AG566/AD566,"N/A")</f>
        <v/>
      </c>
      <c r="AJ566" s="280">
        <f>IF(AC566="pendiente",AD566,0)</f>
        <v/>
      </c>
      <c r="AK566" s="278">
        <f>VLOOKUP(G566,CLIENTES!B:D,3,FALSE)</f>
        <v/>
      </c>
    </row>
    <row r="567" ht="15" customFormat="1" customHeight="1" s="278">
      <c r="B567" s="279" t="n"/>
      <c r="C567" s="278" t="inlineStr">
        <is>
          <t>c/ Las Cruzadas 3A, local D</t>
        </is>
      </c>
      <c r="D567" s="278" t="inlineStr">
        <is>
          <t>Sevilla 41004</t>
        </is>
      </c>
      <c r="E567" s="278" t="inlineStr">
        <is>
          <t>CIF B91938662</t>
        </is>
      </c>
      <c r="F567" s="278" t="inlineStr">
        <is>
          <t>aBalados@abalados.es</t>
        </is>
      </c>
      <c r="G567" s="278" t="inlineStr">
        <is>
          <t>Amberg II S.L.U.</t>
        </is>
      </c>
      <c r="H567" s="278">
        <f>VLOOKUP($G567,DATOS!$B:$E,2,FALSE)</f>
        <v/>
      </c>
      <c r="I567" s="278">
        <f>VLOOKUP($G567,DATOS!$B:$E,3,FALSE)</f>
        <v/>
      </c>
      <c r="J567" s="278">
        <f>VLOOKUP($G567,DATOS!$B:$E,4,FALSE)</f>
        <v/>
      </c>
      <c r="K567" s="278" t="inlineStr">
        <is>
          <t>Contabilidad y Fiscalidad de proyecto - 4º Trimestre</t>
        </is>
      </c>
      <c r="L567" s="280">
        <f>'Tarifa 2025'!$D$18/4/6</f>
        <v/>
      </c>
      <c r="M567" s="278" t="inlineStr">
        <is>
          <t>SPV Management de Proyecto - 4º Trimestre</t>
        </is>
      </c>
      <c r="N567" s="280">
        <f>'Tarifa 2025'!$F$18/6/4</f>
        <v/>
      </c>
      <c r="O567" s="278" t="inlineStr">
        <is>
          <t>O&amp;M Management de Proyecto - 4º Trimestre</t>
        </is>
      </c>
      <c r="P567" s="280">
        <f>'Tarifa 2025'!$H$18/6/4</f>
        <v/>
      </c>
      <c r="R567" s="280" t="n"/>
      <c r="T567" s="280" t="n"/>
      <c r="V567" s="280" t="n"/>
      <c r="X567" s="280" t="n"/>
      <c r="Y567" s="278" t="inlineStr">
        <is>
          <t>Gastos derivados de contrato (3,5%)</t>
        </is>
      </c>
      <c r="Z567" s="280">
        <f>(L567+N567+P567+R567+T567+V567+X567)*0.035</f>
        <v/>
      </c>
      <c r="AA567" s="280" t="n"/>
      <c r="AB567" s="281" t="inlineStr">
        <is>
          <t>ES85 2080 3509 1130 4009 6171</t>
        </is>
      </c>
      <c r="AC567" s="278" t="inlineStr">
        <is>
          <t>pendiente</t>
        </is>
      </c>
      <c r="AD567" s="280">
        <f>L567+N567+P567+R567+T567+V567+X567+Z567</f>
        <v/>
      </c>
      <c r="AE567" s="280">
        <f>IF((LEFT(K567,6))="Contab",L567,0)</f>
        <v/>
      </c>
      <c r="AF567" s="297">
        <f>VLOOKUP(G567,CLIENTES!B:E,4,FALSE)</f>
        <v/>
      </c>
      <c r="AG567" s="280">
        <f>AF567*AE567</f>
        <v/>
      </c>
      <c r="AH567" s="280">
        <f>AD567*1.21</f>
        <v/>
      </c>
      <c r="AI567" s="284">
        <f>IF(AE567&lt;&gt;0,AG567/AD567,"N/A")</f>
        <v/>
      </c>
      <c r="AJ567" s="280">
        <f>IF(AC567="pendiente",AD567,0)</f>
        <v/>
      </c>
      <c r="AK567" s="278">
        <f>VLOOKUP(G567,CLIENTES!B:D,3,FALSE)</f>
        <v/>
      </c>
    </row>
    <row r="568" ht="15" customFormat="1" customHeight="1" s="278">
      <c r="B568" s="279" t="n"/>
      <c r="C568" s="278" t="inlineStr">
        <is>
          <t>c/ Las Cruzadas 3A, local D</t>
        </is>
      </c>
      <c r="D568" s="278" t="inlineStr">
        <is>
          <t>Sevilla 41004</t>
        </is>
      </c>
      <c r="E568" s="278" t="inlineStr">
        <is>
          <t>CIF B91938662</t>
        </is>
      </c>
      <c r="F568" s="278" t="inlineStr">
        <is>
          <t>aBalados@abalados.es</t>
        </is>
      </c>
      <c r="G568" s="278" t="inlineStr">
        <is>
          <t>Tiksi PV II S.L.U.</t>
        </is>
      </c>
      <c r="H568" s="278">
        <f>VLOOKUP($G568,DATOS!$B:$E,2,FALSE)</f>
        <v/>
      </c>
      <c r="I568" s="278">
        <f>VLOOKUP($G568,DATOS!$B:$E,3,FALSE)</f>
        <v/>
      </c>
      <c r="J568" s="278">
        <f>VLOOKUP($G568,DATOS!$B:$E,4,FALSE)</f>
        <v/>
      </c>
      <c r="K568" s="278" t="inlineStr">
        <is>
          <t>Contabilidad y Fiscalidad de proyecto - 4º Trimestre</t>
        </is>
      </c>
      <c r="L568" s="280">
        <f>'Tarifa 2025'!$D$18/4/6</f>
        <v/>
      </c>
      <c r="M568" s="278" t="inlineStr">
        <is>
          <t>SPV Management de Proyecto - 4º Trimestre</t>
        </is>
      </c>
      <c r="N568" s="280">
        <f>'Tarifa 2025'!$F$18/6/4</f>
        <v/>
      </c>
      <c r="O568" s="278" t="inlineStr">
        <is>
          <t>O&amp;M Management de Proyecto - 4º Trimestre</t>
        </is>
      </c>
      <c r="P568" s="280">
        <f>'Tarifa 2025'!$H$18/6/4</f>
        <v/>
      </c>
      <c r="R568" s="280" t="n"/>
      <c r="T568" s="280" t="n"/>
      <c r="V568" s="280" t="n"/>
      <c r="X568" s="280" t="n"/>
      <c r="Y568" s="278" t="inlineStr">
        <is>
          <t>Gastos derivados de contrato (3,5%)</t>
        </is>
      </c>
      <c r="Z568" s="280">
        <f>(L568+N568+P568+R568+T568+V568+X568)*0.035</f>
        <v/>
      </c>
      <c r="AA568" s="280" t="n"/>
      <c r="AB568" s="281" t="inlineStr">
        <is>
          <t>ES85 2080 3509 1130 4009 6171</t>
        </is>
      </c>
      <c r="AC568" s="278" t="inlineStr">
        <is>
          <t>pendiente</t>
        </is>
      </c>
      <c r="AD568" s="280">
        <f>L568+N568+P568+R568+T568+V568+X568+Z568</f>
        <v/>
      </c>
      <c r="AE568" s="280">
        <f>IF((LEFT(K568,6))="Contab",L568,0)</f>
        <v/>
      </c>
      <c r="AF568" s="297">
        <f>VLOOKUP(G568,CLIENTES!B:E,4,FALSE)</f>
        <v/>
      </c>
      <c r="AG568" s="280">
        <f>AF568*AE568</f>
        <v/>
      </c>
      <c r="AH568" s="280">
        <f>AD568*1.21</f>
        <v/>
      </c>
      <c r="AI568" s="284">
        <f>IF(AE568&lt;&gt;0,AG568/AD568,"N/A")</f>
        <v/>
      </c>
      <c r="AJ568" s="280">
        <f>IF(AC568="pendiente",AD568,0)</f>
        <v/>
      </c>
      <c r="AK568" s="278">
        <f>VLOOKUP(G568,CLIENTES!B:D,3,FALSE)</f>
        <v/>
      </c>
    </row>
    <row r="569" ht="15" customFormat="1" customHeight="1" s="192">
      <c r="B569" s="199" t="n"/>
      <c r="C569" s="192" t="inlineStr">
        <is>
          <t>c/ Las Cruzadas 3A, local D</t>
        </is>
      </c>
      <c r="D569" s="192" t="inlineStr">
        <is>
          <t>Sevilla 41004</t>
        </is>
      </c>
      <c r="E569" s="192" t="inlineStr">
        <is>
          <t>CIF B91938662</t>
        </is>
      </c>
      <c r="F569" s="192" t="inlineStr">
        <is>
          <t>aBalados@abalados.es</t>
        </is>
      </c>
      <c r="G569" s="192" t="inlineStr">
        <is>
          <t>Solar Photo Corp S.L.U.</t>
        </is>
      </c>
      <c r="H569" s="192">
        <f>VLOOKUP($G569,DATOS!$B:$E,2,FALSE)</f>
        <v/>
      </c>
      <c r="I569" s="192">
        <f>VLOOKUP($G569,DATOS!$B:$E,3,FALSE)</f>
        <v/>
      </c>
      <c r="J569" s="192">
        <f>VLOOKUP($G569,DATOS!$B:$E,4,FALSE)</f>
        <v/>
      </c>
      <c r="K569" s="192" t="inlineStr">
        <is>
          <t>Contabilidad y Fiscalidad de proyecto - 4º Trimestre</t>
        </is>
      </c>
      <c r="L569" s="200">
        <f>'Tarifa 2025'!$D$18/4/6</f>
        <v/>
      </c>
      <c r="M569" s="192" t="inlineStr">
        <is>
          <t>SPV Management de Proyecto - 4º Trimestre</t>
        </is>
      </c>
      <c r="N569" s="200">
        <f>'Tarifa 2025'!$F$18/6/4</f>
        <v/>
      </c>
      <c r="O569" s="192" t="inlineStr">
        <is>
          <t>O&amp;M Management de Proyecto - 4º Trimestre</t>
        </is>
      </c>
      <c r="P569" s="200">
        <f>'Tarifa 2025'!$H$18/6/4</f>
        <v/>
      </c>
      <c r="R569" s="200" t="n"/>
      <c r="T569" s="200" t="n"/>
      <c r="V569" s="200" t="n"/>
      <c r="X569" s="200" t="n"/>
      <c r="Y569" s="192" t="inlineStr">
        <is>
          <t>Gastos derivados de contrato (3,5%)</t>
        </is>
      </c>
      <c r="Z569" s="200">
        <f>(L569+N569+P569+R569+T569+V569+X569)*0.035</f>
        <v/>
      </c>
      <c r="AA569" s="200" t="n"/>
      <c r="AB569" s="201" t="inlineStr">
        <is>
          <t>ES85 2080 3509 1130 4009 6171</t>
        </is>
      </c>
      <c r="AC569" s="192" t="inlineStr">
        <is>
          <t>pendiente</t>
        </is>
      </c>
      <c r="AD569" s="200">
        <f>L569+N569+P569+R569+T569+V569+X569+Z569</f>
        <v/>
      </c>
      <c r="AE569" s="200">
        <f>IF((LEFT(K569,6))="Contab",L569,0)</f>
        <v/>
      </c>
      <c r="AF569" s="298">
        <f>VLOOKUP(G569,CLIENTES!B:E,4,FALSE)</f>
        <v/>
      </c>
      <c r="AG569" s="200">
        <f>AF569*AE569</f>
        <v/>
      </c>
      <c r="AH569" s="200">
        <f>AD569*1.21</f>
        <v/>
      </c>
      <c r="AI569" s="283">
        <f>IF(AE569&lt;&gt;0,AG569/AD569,"N/A")</f>
        <v/>
      </c>
      <c r="AJ569" s="200">
        <f>IF(AC569="pendiente",AD569,0)</f>
        <v/>
      </c>
      <c r="AK569" s="192">
        <f>VLOOKUP(G569,CLIENTES!B:D,3,FALSE)</f>
        <v/>
      </c>
    </row>
    <row r="570" ht="15" customFormat="1" customHeight="1" s="195">
      <c r="B570" s="194" t="n"/>
      <c r="C570" s="195" t="inlineStr">
        <is>
          <t>c/ Las Cruzadas 3A, local D</t>
        </is>
      </c>
      <c r="D570" s="195" t="inlineStr">
        <is>
          <t>Sevilla 41004</t>
        </is>
      </c>
      <c r="E570" s="195" t="inlineStr">
        <is>
          <t>CIF B91938662</t>
        </is>
      </c>
      <c r="F570" s="195" t="inlineStr">
        <is>
          <t>aBalados@abalados.es</t>
        </is>
      </c>
      <c r="G570" s="278" t="inlineStr">
        <is>
          <t>FP LUX REIO PV VALLADOLID, S.L.U.</t>
        </is>
      </c>
      <c r="H570" s="349" t="inlineStr">
        <is>
          <t>CIF B71334833</t>
        </is>
      </c>
      <c r="I570" s="349" t="inlineStr">
        <is>
          <t>c/ Las Cruzadas 3A, local D</t>
        </is>
      </c>
      <c r="J570" s="349" t="inlineStr">
        <is>
          <t>41004 Sevilla</t>
        </is>
      </c>
      <c r="K570" s="195" t="inlineStr">
        <is>
          <t>Asset Management 4Q2024 | 10.10 - 31.12</t>
        </is>
      </c>
      <c r="L570" s="196">
        <f>'Tarifa 2025'!$D$29/4</f>
        <v/>
      </c>
      <c r="N570" s="196" t="n"/>
      <c r="O570" s="195" t="inlineStr">
        <is>
          <t>Gestión de Activos 4T2024 | 01.10 - 31.12</t>
        </is>
      </c>
      <c r="P570" s="196" t="n"/>
      <c r="Q570" s="195" t="inlineStr">
        <is>
          <t>Recargo presentación extemporánea</t>
        </is>
      </c>
      <c r="R570" s="196" t="n">
        <v>-86.93000000000001</v>
      </c>
      <c r="T570" s="196" t="n"/>
      <c r="V570" s="196" t="n"/>
      <c r="X570" s="196" t="n"/>
      <c r="Z570" s="196" t="n"/>
      <c r="AA570" s="196" t="n"/>
      <c r="AB570" s="197" t="inlineStr">
        <is>
          <t>ES85 2080 3509 1130 4009 6171</t>
        </is>
      </c>
      <c r="AC570" s="195" t="inlineStr">
        <is>
          <t>pendiente</t>
        </is>
      </c>
      <c r="AD570" s="280">
        <f>L570+N570+P570+R570+T570+V570+X570+Z570</f>
        <v/>
      </c>
      <c r="AE570" s="280">
        <f>IF((LEFT(K570,4))="Cont",N570,0)</f>
        <v/>
      </c>
      <c r="AF570" s="398" t="n">
        <v>0.1</v>
      </c>
      <c r="AG570" s="280">
        <f>AF570*AE570</f>
        <v/>
      </c>
      <c r="AH570" s="280">
        <f>AD570*1.21</f>
        <v/>
      </c>
      <c r="AI570" s="284">
        <f>IF(AE570&lt;&gt;0,AG570/AD570,"N/A")</f>
        <v/>
      </c>
      <c r="AJ570" s="280">
        <f>IF(AC570="pendiente",AD570,0)</f>
        <v/>
      </c>
      <c r="AK570" s="399" t="inlineStr">
        <is>
          <t>2020-006</t>
        </is>
      </c>
    </row>
    <row r="571" ht="15" customFormat="1" customHeight="1" s="192">
      <c r="B571" s="199" t="n"/>
      <c r="C571" s="192" t="inlineStr">
        <is>
          <t>c/ Las Cruzadas 3A, local D</t>
        </is>
      </c>
      <c r="D571" s="192" t="inlineStr">
        <is>
          <t>Sevilla 41004</t>
        </is>
      </c>
      <c r="E571" s="192" t="inlineStr">
        <is>
          <t>CIF B91938662</t>
        </is>
      </c>
      <c r="F571" s="192" t="inlineStr">
        <is>
          <t>aBalados@abalados.es</t>
        </is>
      </c>
      <c r="G571" s="192" t="inlineStr">
        <is>
          <t>FP LUX REIO PV ZARAGOZA SL.</t>
        </is>
      </c>
      <c r="H571" s="192">
        <f>VLOOKUP($G571,DATOS!$B:$E,2,FALSE)</f>
        <v/>
      </c>
      <c r="I571" s="192">
        <f>VLOOKUP($G571,DATOS!$B:$E,3,FALSE)</f>
        <v/>
      </c>
      <c r="J571" s="192">
        <f>VLOOKUP($G571,DATOS!$B:$E,4,FALSE)</f>
        <v/>
      </c>
      <c r="K571" s="192" t="inlineStr">
        <is>
          <t>Proyecto El Marqués - Zaragoza</t>
        </is>
      </c>
      <c r="L571" s="200" t="n"/>
      <c r="M571" s="192" t="inlineStr">
        <is>
          <t>Asset Management fee - 4th quarter 2024</t>
        </is>
      </c>
      <c r="N571" s="200">
        <f>'Tarifa 2025'!$D$25/4</f>
        <v/>
      </c>
      <c r="P571" s="200" t="n"/>
      <c r="Q571" s="192" t="inlineStr">
        <is>
          <t>Honorarios de gestión de activo - 4º trimestre 2024</t>
        </is>
      </c>
      <c r="R571" s="200" t="n"/>
      <c r="T571" s="200" t="n"/>
      <c r="V571" s="200" t="n"/>
      <c r="X571" s="200" t="n"/>
      <c r="Z571" s="200" t="n"/>
      <c r="AA571" s="200" t="n"/>
      <c r="AB571" s="201" t="inlineStr">
        <is>
          <t>ES85 2080 3509 1130 4009 6171</t>
        </is>
      </c>
      <c r="AC571" s="192" t="inlineStr">
        <is>
          <t>pendiente</t>
        </is>
      </c>
      <c r="AD571" s="200">
        <f>L571+N571+P571+R571+T571+V571+X571+Z571</f>
        <v/>
      </c>
      <c r="AE571" s="200">
        <f>IF((LEFT(K571,6))="Contab",L571,0)</f>
        <v/>
      </c>
      <c r="AF571" s="201">
        <f>VLOOKUP(G571,CLIENTES!B:E,4,FALSE)</f>
        <v/>
      </c>
      <c r="AG571" s="200">
        <f>AF571*AE571</f>
        <v/>
      </c>
      <c r="AH571" s="200">
        <f>AD571*1.21</f>
        <v/>
      </c>
      <c r="AI571" s="283">
        <f>IF(AE571&lt;&gt;0,AG571/AD571,"N/A")</f>
        <v/>
      </c>
      <c r="AJ571" s="200">
        <f>IF(AC571="pendiente",AD571,0)</f>
        <v/>
      </c>
      <c r="AK571" s="192">
        <f>VLOOKUP(G571,CLIENTES!B:D,3,FALSE)</f>
        <v/>
      </c>
    </row>
    <row r="572" ht="15" customFormat="1" customHeight="1" s="195">
      <c r="B572" s="194" t="n"/>
      <c r="C572" s="195" t="inlineStr">
        <is>
          <t>c/ Las Cruzadas 3A, local D</t>
        </is>
      </c>
      <c r="D572" s="195" t="inlineStr">
        <is>
          <t>Sevilla 41004</t>
        </is>
      </c>
      <c r="E572" s="195" t="inlineStr">
        <is>
          <t>CIF B91938662</t>
        </is>
      </c>
      <c r="F572" s="195" t="inlineStr">
        <is>
          <t>aBalados@abalados.es</t>
        </is>
      </c>
      <c r="G572" s="195" t="inlineStr">
        <is>
          <t>FP LUX REIO PV ZARAGOZA SL.</t>
        </is>
      </c>
      <c r="H572" s="195">
        <f>VLOOKUP($G572,DATOS!$B:$E,2,FALSE)</f>
        <v/>
      </c>
      <c r="I572" s="195">
        <f>VLOOKUP($G572,DATOS!$B:$E,3,FALSE)</f>
        <v/>
      </c>
      <c r="J572" s="195">
        <f>VLOOKUP($G572,DATOS!$B:$E,4,FALSE)</f>
        <v/>
      </c>
      <c r="K572" s="195" t="inlineStr">
        <is>
          <t>Proyecto El Marqués - Zaragoza</t>
        </is>
      </c>
      <c r="L572" s="196" t="n"/>
      <c r="M572" s="195" t="inlineStr">
        <is>
          <t>Honorarios - Contrato O&amp;M 4º Trimestre 2024</t>
        </is>
      </c>
      <c r="N572" s="196" t="n">
        <v>22932.18246</v>
      </c>
      <c r="P572" s="196" t="n"/>
      <c r="Q572" s="195" t="inlineStr">
        <is>
          <t>O&amp;M Fee - 4Q2024</t>
        </is>
      </c>
      <c r="R572" s="196" t="n"/>
      <c r="T572" s="196" t="n"/>
      <c r="V572" s="196" t="n"/>
      <c r="X572" s="196" t="n"/>
      <c r="Z572" s="196" t="n"/>
      <c r="AA572" s="196" t="n"/>
      <c r="AB572" s="197" t="inlineStr">
        <is>
          <t>ES85 2080 3509 1130 4009 6171</t>
        </is>
      </c>
      <c r="AC572" s="195" t="inlineStr">
        <is>
          <t>pendiente</t>
        </is>
      </c>
      <c r="AD572" s="196">
        <f>L572+N572+P572+R572+T572+V572+X572+Z572</f>
        <v/>
      </c>
      <c r="AE572" s="196">
        <f>IF((LEFT(K572,6))="Contab",L572,0)</f>
        <v/>
      </c>
      <c r="AF572" s="197">
        <f>VLOOKUP(G572,CLIENTES!B:E,4,FALSE)</f>
        <v/>
      </c>
      <c r="AG572" s="196">
        <f>AF572*AE572</f>
        <v/>
      </c>
      <c r="AH572" s="196">
        <f>AD572*1.21</f>
        <v/>
      </c>
      <c r="AI572" s="285">
        <f>IF(AE572&lt;&gt;0,AG572/AD572,"N/A")</f>
        <v/>
      </c>
      <c r="AJ572" s="196">
        <f>IF(AC572="pendiente",AD572,0)</f>
        <v/>
      </c>
      <c r="AK572" s="195">
        <f>VLOOKUP(G572,CLIENTES!B:D,3,FALSE)</f>
        <v/>
      </c>
    </row>
    <row r="573" ht="15" customFormat="1" customHeight="1" s="278">
      <c r="B573" s="279" t="n"/>
      <c r="C573" s="278" t="inlineStr">
        <is>
          <t>c/ Las Cruzadas 3A, local D</t>
        </is>
      </c>
      <c r="D573" s="278" t="inlineStr">
        <is>
          <t>Sevilla 41004</t>
        </is>
      </c>
      <c r="E573" s="278" t="inlineStr">
        <is>
          <t>CIF B91938662</t>
        </is>
      </c>
      <c r="F573" s="278" t="inlineStr">
        <is>
          <t>aBalados@abalados.es</t>
        </is>
      </c>
      <c r="G573" s="278" t="inlineStr">
        <is>
          <t>Dehesa Asomadilla Inversiones S.L.U.</t>
        </is>
      </c>
      <c r="H573" s="278">
        <f>VLOOKUP($G573,DATOS!$B:$E,2,FALSE)</f>
        <v/>
      </c>
      <c r="I573" s="278">
        <f>VLOOKUP($G573,DATOS!$B:$E,3,FALSE)</f>
        <v/>
      </c>
      <c r="J573" s="278">
        <f>VLOOKUP($G573,DATOS!$B:$E,4,FALSE)</f>
        <v/>
      </c>
      <c r="K573" s="278" t="inlineStr">
        <is>
          <t>Honorarios - Contrato O&amp;M 4º Trimestre</t>
        </is>
      </c>
      <c r="L573" s="280" t="n">
        <v>33470.7034794809</v>
      </c>
      <c r="N573" s="280" t="n"/>
      <c r="P573" s="280" t="n"/>
      <c r="R573" s="280" t="n"/>
      <c r="T573" s="280" t="n"/>
      <c r="V573" s="280" t="n"/>
      <c r="X573" s="280" t="n"/>
      <c r="Z573" s="280" t="n"/>
      <c r="AA573" s="280" t="n"/>
      <c r="AB573" s="281" t="inlineStr">
        <is>
          <t>ES85 2080 3509 1130 4009 6171</t>
        </is>
      </c>
      <c r="AC573" s="278" t="inlineStr">
        <is>
          <t>pendiente</t>
        </is>
      </c>
      <c r="AD573" s="280">
        <f>L573+N573+P573+R573+T573+V573+X573+Z573</f>
        <v/>
      </c>
      <c r="AE573" s="280">
        <f>IF((LEFT(K573,6))="Contab",L573,0)</f>
        <v/>
      </c>
      <c r="AF573" s="281">
        <f>VLOOKUP(G573,CLIENTES!B:E,4,FALSE)</f>
        <v/>
      </c>
      <c r="AG573" s="280">
        <f>AF573*AE573</f>
        <v/>
      </c>
      <c r="AH573" s="280">
        <f>AD573*1.21</f>
        <v/>
      </c>
      <c r="AI573" s="284">
        <f>IF(AE573&lt;&gt;0,AG573/AD573,"N/A")</f>
        <v/>
      </c>
      <c r="AJ573" s="280">
        <f>IF(AC573="pendiente",AD573,0)</f>
        <v/>
      </c>
      <c r="AK573" s="278">
        <f>VLOOKUP(G573,CLIENTES!B:D,3,FALSE)</f>
        <v/>
      </c>
    </row>
    <row r="574" ht="15" customFormat="1" customHeight="1" s="278">
      <c r="B574" s="279" t="n"/>
      <c r="C574" s="278" t="inlineStr">
        <is>
          <t>c/ Las Cruzadas 3A, local D</t>
        </is>
      </c>
      <c r="D574" s="278" t="inlineStr">
        <is>
          <t>Sevilla 41004</t>
        </is>
      </c>
      <c r="E574" s="278" t="inlineStr">
        <is>
          <t>CIF B91938662</t>
        </is>
      </c>
      <c r="F574" s="278" t="inlineStr">
        <is>
          <t>aBalados@abalados.es</t>
        </is>
      </c>
      <c r="G574" s="278" t="inlineStr">
        <is>
          <t>Asomadilla Solar 2007 S.L.U.</t>
        </is>
      </c>
      <c r="H574" s="278">
        <f>VLOOKUP($G574,DATOS!$B:$E,2,FALSE)</f>
        <v/>
      </c>
      <c r="I574" s="278">
        <f>VLOOKUP($G574,DATOS!$B:$E,3,FALSE)</f>
        <v/>
      </c>
      <c r="J574" s="278">
        <f>VLOOKUP($G574,DATOS!$B:$E,4,FALSE)</f>
        <v/>
      </c>
      <c r="K574" s="278" t="inlineStr">
        <is>
          <t>Honorarios - Contrato O&amp;M 4º Trimestre</t>
        </is>
      </c>
      <c r="L574" s="280" t="n">
        <v>21421.25022686778</v>
      </c>
      <c r="N574" s="280" t="n"/>
      <c r="P574" s="280" t="n"/>
      <c r="R574" s="280" t="n"/>
      <c r="T574" s="280" t="n"/>
      <c r="V574" s="280" t="n"/>
      <c r="X574" s="280" t="n"/>
      <c r="Z574" s="280" t="n"/>
      <c r="AA574" s="280" t="n"/>
      <c r="AB574" s="281" t="inlineStr">
        <is>
          <t>ES85 2080 3509 1130 4009 6171</t>
        </is>
      </c>
      <c r="AC574" s="278" t="inlineStr">
        <is>
          <t>pendiente</t>
        </is>
      </c>
      <c r="AD574" s="280">
        <f>L574+N574+P574+R574+T574+V574+X574+Z574</f>
        <v/>
      </c>
      <c r="AE574" s="280">
        <f>IF((LEFT(K574,6))="Contab",L574,0)</f>
        <v/>
      </c>
      <c r="AF574" s="281">
        <f>VLOOKUP(G574,CLIENTES!B:E,4,FALSE)</f>
        <v/>
      </c>
      <c r="AG574" s="280">
        <f>AF574*AE574</f>
        <v/>
      </c>
      <c r="AH574" s="280">
        <f>AD574*1.21</f>
        <v/>
      </c>
      <c r="AI574" s="284">
        <f>IF(AE574&lt;&gt;0,AG574/AD574,"N/A")</f>
        <v/>
      </c>
      <c r="AJ574" s="280">
        <f>IF(AC574="pendiente",AD574,0)</f>
        <v/>
      </c>
      <c r="AK574" s="278">
        <f>VLOOKUP(G574,CLIENTES!B:D,3,FALSE)</f>
        <v/>
      </c>
    </row>
    <row r="575" ht="15" customFormat="1" customHeight="1" s="278">
      <c r="B575" s="279" t="n"/>
      <c r="C575" s="278" t="inlineStr">
        <is>
          <t>c/ Las Cruzadas 3A, local D</t>
        </is>
      </c>
      <c r="D575" s="278" t="inlineStr">
        <is>
          <t>Sevilla 41004</t>
        </is>
      </c>
      <c r="E575" s="278" t="inlineStr">
        <is>
          <t>CIF B91938662</t>
        </is>
      </c>
      <c r="F575" s="278" t="inlineStr">
        <is>
          <t>aBalados@abalados.es</t>
        </is>
      </c>
      <c r="G575" s="278" t="inlineStr">
        <is>
          <t>ES Garrovers Energía Solar S.L.U.</t>
        </is>
      </c>
      <c r="H575" s="278">
        <f>VLOOKUP($G575,DATOS!$B:$E,2,FALSE)</f>
        <v/>
      </c>
      <c r="I575" s="278">
        <f>VLOOKUP($G575,DATOS!$B:$E,3,FALSE)</f>
        <v/>
      </c>
      <c r="J575" s="278">
        <f>VLOOKUP($G575,DATOS!$B:$E,4,FALSE)</f>
        <v/>
      </c>
      <c r="K575" s="278" t="inlineStr">
        <is>
          <t>Honorarios - Contrato O&amp;M 4º Trimestre</t>
        </is>
      </c>
      <c r="L575" s="280" t="n">
        <v>25231.60873677601</v>
      </c>
      <c r="N575" s="280" t="n"/>
      <c r="P575" s="280" t="n"/>
      <c r="R575" s="280" t="n"/>
      <c r="T575" s="280" t="n"/>
      <c r="V575" s="280" t="n"/>
      <c r="X575" s="280" t="n"/>
      <c r="Z575" s="280" t="n"/>
      <c r="AA575" s="280" t="n"/>
      <c r="AB575" s="281" t="inlineStr">
        <is>
          <t>ES85 2080 3509 1130 4009 6171</t>
        </is>
      </c>
      <c r="AC575" s="278" t="inlineStr">
        <is>
          <t>pendiente</t>
        </is>
      </c>
      <c r="AD575" s="280">
        <f>L575+N575+P575+R575+T575+V575+X575+Z575</f>
        <v/>
      </c>
      <c r="AE575" s="280">
        <f>IF((LEFT(K575,6))="Contab",L575,0)</f>
        <v/>
      </c>
      <c r="AF575" s="281">
        <f>VLOOKUP(G575,CLIENTES!B:E,4,FALSE)</f>
        <v/>
      </c>
      <c r="AG575" s="280">
        <f>AF575*AE575</f>
        <v/>
      </c>
      <c r="AH575" s="280">
        <f>AD575*1.21</f>
        <v/>
      </c>
      <c r="AI575" s="284">
        <f>IF(AE575&lt;&gt;0,AG575/AD575,"N/A")</f>
        <v/>
      </c>
      <c r="AJ575" s="280">
        <f>IF(AC575="pendiente",AD575,0)</f>
        <v/>
      </c>
      <c r="AK575" s="278">
        <f>VLOOKUP(G575,CLIENTES!B:D,3,FALSE)</f>
        <v/>
      </c>
    </row>
    <row r="576" ht="15" customFormat="1" customHeight="1" s="278">
      <c r="B576" s="279" t="n"/>
      <c r="C576" s="278" t="inlineStr">
        <is>
          <t>c/ Las Cruzadas 3A, local D</t>
        </is>
      </c>
      <c r="D576" s="278" t="inlineStr">
        <is>
          <t>Sevilla 41004</t>
        </is>
      </c>
      <c r="E576" s="278" t="inlineStr">
        <is>
          <t>CIF B91938662</t>
        </is>
      </c>
      <c r="F576" s="278" t="inlineStr">
        <is>
          <t>aBalados@abalados.es</t>
        </is>
      </c>
      <c r="G576" s="278" t="inlineStr">
        <is>
          <t>WOC Fotovoltaica España Proyecto Sollana S.L.U.</t>
        </is>
      </c>
      <c r="H576" s="278">
        <f>VLOOKUP($G576,DATOS!$B:$E,2,FALSE)</f>
        <v/>
      </c>
      <c r="I576" s="278">
        <f>VLOOKUP($G576,DATOS!$B:$E,3,FALSE)</f>
        <v/>
      </c>
      <c r="J576" s="278">
        <f>VLOOKUP($G576,DATOS!$B:$E,4,FALSE)</f>
        <v/>
      </c>
      <c r="K576" s="278" t="inlineStr">
        <is>
          <t>Honorarios - Contrato O&amp;M 4º Trimestre</t>
        </is>
      </c>
      <c r="L576" s="280" t="n">
        <v>13886.52177978702</v>
      </c>
      <c r="N576" s="280" t="n"/>
      <c r="P576" s="280" t="n"/>
      <c r="R576" s="280" t="n"/>
      <c r="T576" s="280" t="n"/>
      <c r="V576" s="280" t="n"/>
      <c r="X576" s="280" t="n"/>
      <c r="Z576" s="280" t="n"/>
      <c r="AA576" s="280" t="n"/>
      <c r="AB576" s="281" t="inlineStr">
        <is>
          <t>ES85 2080 3509 1130 4009 6171</t>
        </is>
      </c>
      <c r="AC576" s="278" t="inlineStr">
        <is>
          <t>pendiente</t>
        </is>
      </c>
      <c r="AD576" s="280">
        <f>L576+N576+P576+R576+T576+V576+X576+Z576</f>
        <v/>
      </c>
      <c r="AE576" s="280">
        <f>IF((LEFT(K576,6))="Contab",L576,0)</f>
        <v/>
      </c>
      <c r="AF576" s="281">
        <f>VLOOKUP(G576,CLIENTES!B:E,4,FALSE)</f>
        <v/>
      </c>
      <c r="AG576" s="280">
        <f>AF576*AE576</f>
        <v/>
      </c>
      <c r="AH576" s="280">
        <f>AD576*1.21</f>
        <v/>
      </c>
      <c r="AI576" s="284">
        <f>IF(AE576&lt;&gt;0,AG576/AD576,"N/A")</f>
        <v/>
      </c>
      <c r="AJ576" s="280">
        <f>IF(AC576="pendiente",AD576,0)</f>
        <v/>
      </c>
      <c r="AK576" s="278">
        <f>VLOOKUP(G576,CLIENTES!B:D,3,FALSE)</f>
        <v/>
      </c>
    </row>
    <row r="577" ht="15" customFormat="1" customHeight="1" s="278">
      <c r="B577" s="279" t="n"/>
      <c r="C577" s="278" t="inlineStr">
        <is>
          <t>c/ Las Cruzadas 3A, local D</t>
        </is>
      </c>
      <c r="D577" s="278" t="inlineStr">
        <is>
          <t>Sevilla 41004</t>
        </is>
      </c>
      <c r="E577" s="278" t="inlineStr">
        <is>
          <t>CIF B91938662</t>
        </is>
      </c>
      <c r="F577" s="278" t="inlineStr">
        <is>
          <t>aBalados@abalados.es</t>
        </is>
      </c>
      <c r="G577" s="278" t="inlineStr">
        <is>
          <t>Inversión Cubiertas Solares S.L.U.</t>
        </is>
      </c>
      <c r="H577" s="278">
        <f>VLOOKUP($G577,DATOS!$B:$E,2,FALSE)</f>
        <v/>
      </c>
      <c r="I577" s="278">
        <f>VLOOKUP($G577,DATOS!$B:$E,3,FALSE)</f>
        <v/>
      </c>
      <c r="J577" s="278">
        <f>VLOOKUP($G577,DATOS!$B:$E,4,FALSE)</f>
        <v/>
      </c>
      <c r="K577" s="278" t="inlineStr">
        <is>
          <t>Honorarios - Contrato O&amp;M 4º Trimestre</t>
        </is>
      </c>
      <c r="L577" s="280" t="n">
        <v>1481.687999154605</v>
      </c>
      <c r="N577" s="280" t="n"/>
      <c r="P577" s="280" t="n"/>
      <c r="R577" s="280" t="n"/>
      <c r="T577" s="280" t="n"/>
      <c r="V577" s="280" t="n"/>
      <c r="X577" s="280" t="n"/>
      <c r="Z577" s="280" t="n"/>
      <c r="AA577" s="280" t="n"/>
      <c r="AB577" s="281" t="inlineStr">
        <is>
          <t>ES85 2080 3509 1130 4009 6171</t>
        </is>
      </c>
      <c r="AC577" s="278" t="inlineStr">
        <is>
          <t>pendiente</t>
        </is>
      </c>
      <c r="AD577" s="280">
        <f>L577+N577+P577+R577+T577+V577+X577+Z577</f>
        <v/>
      </c>
      <c r="AE577" s="280">
        <f>IF((LEFT(K577,6))="Contab",L577,0)</f>
        <v/>
      </c>
      <c r="AF577" s="281">
        <f>VLOOKUP(G577,CLIENTES!B:E,4,FALSE)</f>
        <v/>
      </c>
      <c r="AG577" s="280">
        <f>AF577*AE577</f>
        <v/>
      </c>
      <c r="AH577" s="280">
        <f>AD577*1.21</f>
        <v/>
      </c>
      <c r="AI577" s="284">
        <f>IF(AE577&lt;&gt;0,AG577/AD577,"N/A")</f>
        <v/>
      </c>
      <c r="AJ577" s="280">
        <f>IF(AC577="pendiente",AD577,0)</f>
        <v/>
      </c>
      <c r="AK577" s="278">
        <f>VLOOKUP(G577,CLIENTES!B:D,3,FALSE)</f>
        <v/>
      </c>
    </row>
    <row r="578" ht="15" customFormat="1" customHeight="1" s="278">
      <c r="B578" s="279" t="n"/>
      <c r="C578" s="278" t="inlineStr">
        <is>
          <t>c/ Las Cruzadas 3A, local D</t>
        </is>
      </c>
      <c r="D578" s="278" t="inlineStr">
        <is>
          <t>Sevilla 41004</t>
        </is>
      </c>
      <c r="E578" s="278" t="inlineStr">
        <is>
          <t>CIF B91938662</t>
        </is>
      </c>
      <c r="F578" s="278" t="inlineStr">
        <is>
          <t>aBalados@abalados.es</t>
        </is>
      </c>
      <c r="G578" s="278" t="inlineStr">
        <is>
          <t>Lugec Inversión Solar S.L.U.</t>
        </is>
      </c>
      <c r="H578" s="278">
        <f>VLOOKUP($G578,DATOS!$B:$E,2,FALSE)</f>
        <v/>
      </c>
      <c r="I578" s="278">
        <f>VLOOKUP($G578,DATOS!$B:$E,3,FALSE)</f>
        <v/>
      </c>
      <c r="J578" s="278">
        <f>VLOOKUP($G578,DATOS!$B:$E,4,FALSE)</f>
        <v/>
      </c>
      <c r="K578" s="278" t="inlineStr">
        <is>
          <t>Honorarios - Contrato O&amp;M 4º Trimestre</t>
        </is>
      </c>
      <c r="L578" s="280" t="n">
        <v>4002.127695859406</v>
      </c>
      <c r="N578" s="280" t="n"/>
      <c r="P578" s="280" t="n"/>
      <c r="R578" s="280" t="n"/>
      <c r="T578" s="280" t="n"/>
      <c r="V578" s="280" t="n"/>
      <c r="X578" s="280" t="n"/>
      <c r="Z578" s="280" t="n"/>
      <c r="AA578" s="280" t="n"/>
      <c r="AB578" s="281" t="inlineStr">
        <is>
          <t>ES85 2080 3509 1130 4009 6171</t>
        </is>
      </c>
      <c r="AC578" s="278" t="inlineStr">
        <is>
          <t>pendiente</t>
        </is>
      </c>
      <c r="AD578" s="280">
        <f>L578+N578+P578+R578+T578+V578+X578+Z578</f>
        <v/>
      </c>
      <c r="AE578" s="280">
        <f>IF((LEFT(K578,6))="Contab",L578,0)</f>
        <v/>
      </c>
      <c r="AF578" s="281">
        <f>VLOOKUP(G578,CLIENTES!B:E,4,FALSE)</f>
        <v/>
      </c>
      <c r="AG578" s="280">
        <f>AF578*AE578</f>
        <v/>
      </c>
      <c r="AH578" s="280">
        <f>AD578*1.21</f>
        <v/>
      </c>
      <c r="AI578" s="284">
        <f>IF(AE578&lt;&gt;0,AG578/AD578,"N/A")</f>
        <v/>
      </c>
      <c r="AJ578" s="280">
        <f>IF(AC578="pendiente",AD578,0)</f>
        <v/>
      </c>
      <c r="AK578" s="278">
        <f>VLOOKUP(G578,CLIENTES!B:D,3,FALSE)</f>
        <v/>
      </c>
    </row>
    <row r="579" ht="15" customFormat="1" customHeight="1" s="278">
      <c r="B579" s="279" t="n"/>
      <c r="C579" s="278" t="inlineStr">
        <is>
          <t>c/ Las Cruzadas 3A, local D</t>
        </is>
      </c>
      <c r="D579" s="278" t="inlineStr">
        <is>
          <t>Sevilla 41004</t>
        </is>
      </c>
      <c r="E579" s="278" t="inlineStr">
        <is>
          <t>CIF B91938662</t>
        </is>
      </c>
      <c r="F579" s="278" t="inlineStr">
        <is>
          <t>aBalados@abalados.es</t>
        </is>
      </c>
      <c r="G579" s="278" t="inlineStr">
        <is>
          <t>Solar Photo Collect S.L.U.</t>
        </is>
      </c>
      <c r="H579" s="278">
        <f>VLOOKUP($G579,DATOS!$B:$E,2,FALSE)</f>
        <v/>
      </c>
      <c r="I579" s="278">
        <f>VLOOKUP($G579,DATOS!$B:$E,3,FALSE)</f>
        <v/>
      </c>
      <c r="J579" s="278">
        <f>VLOOKUP($G579,DATOS!$B:$E,4,FALSE)</f>
        <v/>
      </c>
      <c r="K579" s="278" t="inlineStr">
        <is>
          <t>Honorarios - Contrato O&amp;M 4º Trimestre</t>
        </is>
      </c>
      <c r="L579" s="280" t="n">
        <v>15799.25625916014</v>
      </c>
      <c r="N579" s="280" t="n"/>
      <c r="P579" s="280" t="n"/>
      <c r="R579" s="280" t="n"/>
      <c r="T579" s="280" t="n"/>
      <c r="V579" s="280" t="n"/>
      <c r="X579" s="280" t="n"/>
      <c r="Z579" s="280" t="n"/>
      <c r="AA579" s="280" t="n"/>
      <c r="AB579" s="281" t="inlineStr">
        <is>
          <t>ES85 2080 3509 1130 4009 6171</t>
        </is>
      </c>
      <c r="AC579" s="278" t="inlineStr">
        <is>
          <t>pendiente</t>
        </is>
      </c>
      <c r="AD579" s="280">
        <f>L579+N579+P579+R579+T579+V579+X579+Z579</f>
        <v/>
      </c>
      <c r="AE579" s="280">
        <f>IF((LEFT(K579,6))="Contab",L579,0)</f>
        <v/>
      </c>
      <c r="AF579" s="281">
        <f>VLOOKUP(G579,CLIENTES!B:E,4,FALSE)</f>
        <v/>
      </c>
      <c r="AG579" s="280">
        <f>AF579*AE579</f>
        <v/>
      </c>
      <c r="AH579" s="280">
        <f>AD579*1.21</f>
        <v/>
      </c>
      <c r="AI579" s="284">
        <f>IF(AE579&lt;&gt;0,AG579/AD579,"N/A")</f>
        <v/>
      </c>
      <c r="AJ579" s="280">
        <f>IF(AC579="pendiente",AD579,0)</f>
        <v/>
      </c>
      <c r="AK579" s="278">
        <f>VLOOKUP(G579,CLIENTES!B:D,3,FALSE)</f>
        <v/>
      </c>
    </row>
    <row r="580" ht="15" customFormat="1" customHeight="1" s="278">
      <c r="B580" s="279" t="n"/>
      <c r="C580" s="278" t="inlineStr">
        <is>
          <t>c/ Las Cruzadas 3A, local D</t>
        </is>
      </c>
      <c r="D580" s="278" t="inlineStr">
        <is>
          <t>Sevilla 41004</t>
        </is>
      </c>
      <c r="E580" s="278" t="inlineStr">
        <is>
          <t>CIF B91938662</t>
        </is>
      </c>
      <c r="F580" s="278" t="inlineStr">
        <is>
          <t>aBalados@abalados.es</t>
        </is>
      </c>
      <c r="G580" s="278" t="inlineStr">
        <is>
          <t>Solar Photo Corp S.L.U.</t>
        </is>
      </c>
      <c r="H580" s="278">
        <f>VLOOKUP($G580,DATOS!$B:$E,2,FALSE)</f>
        <v/>
      </c>
      <c r="I580" s="278">
        <f>VLOOKUP($G580,DATOS!$B:$E,3,FALSE)</f>
        <v/>
      </c>
      <c r="J580" s="278">
        <f>VLOOKUP($G580,DATOS!$B:$E,4,FALSE)</f>
        <v/>
      </c>
      <c r="K580" s="278" t="inlineStr">
        <is>
          <t>Honorarios - Contrato O&amp;M 4º Trimestre</t>
        </is>
      </c>
      <c r="L580" s="280" t="n">
        <v>7021.859008345888</v>
      </c>
      <c r="N580" s="280" t="n"/>
      <c r="P580" s="280" t="n"/>
      <c r="R580" s="280" t="n"/>
      <c r="T580" s="280" t="n"/>
      <c r="V580" s="280" t="n"/>
      <c r="X580" s="280" t="n"/>
      <c r="Z580" s="280" t="n"/>
      <c r="AA580" s="280" t="n"/>
      <c r="AB580" s="281" t="inlineStr">
        <is>
          <t>ES85 2080 3509 1130 4009 6171</t>
        </is>
      </c>
      <c r="AC580" s="278" t="inlineStr">
        <is>
          <t>pendiente</t>
        </is>
      </c>
      <c r="AD580" s="280">
        <f>L580+N580+P580+R580+T580+V580+X580+Z580</f>
        <v/>
      </c>
      <c r="AE580" s="280">
        <f>IF((LEFT(K580,6))="Contab",L580,0)</f>
        <v/>
      </c>
      <c r="AF580" s="281">
        <f>VLOOKUP(G580,CLIENTES!B:E,4,FALSE)</f>
        <v/>
      </c>
      <c r="AG580" s="280">
        <f>AF580*AE580</f>
        <v/>
      </c>
      <c r="AH580" s="280">
        <f>AD580*1.21</f>
        <v/>
      </c>
      <c r="AI580" s="284">
        <f>IF(AE580&lt;&gt;0,AG580/AD580,"N/A")</f>
        <v/>
      </c>
      <c r="AJ580" s="280">
        <f>IF(AC580="pendiente",AD580,0)</f>
        <v/>
      </c>
      <c r="AK580" s="278">
        <f>VLOOKUP(G580,CLIENTES!B:D,3,FALSE)</f>
        <v/>
      </c>
    </row>
    <row r="581" ht="15" customFormat="1" customHeight="1" s="278">
      <c r="B581" s="279" t="n"/>
      <c r="C581" s="278" t="inlineStr">
        <is>
          <t>c/ Las Cruzadas 3A, local D</t>
        </is>
      </c>
      <c r="D581" s="278" t="inlineStr">
        <is>
          <t>Sevilla 41004</t>
        </is>
      </c>
      <c r="E581" s="278" t="inlineStr">
        <is>
          <t>CIF B91938662</t>
        </is>
      </c>
      <c r="F581" s="278" t="inlineStr">
        <is>
          <t>aBalados@abalados.es</t>
        </is>
      </c>
      <c r="G581" s="278" t="inlineStr">
        <is>
          <t xml:space="preserve">Rasteding PV I, S.L.U. </t>
        </is>
      </c>
      <c r="H581" s="278">
        <f>VLOOKUP($G581,DATOS!$B:$E,2,FALSE)</f>
        <v/>
      </c>
      <c r="I581" s="278">
        <f>VLOOKUP($G581,DATOS!$B:$E,3,FALSE)</f>
        <v/>
      </c>
      <c r="J581" s="278">
        <f>VLOOKUP($G581,DATOS!$B:$E,4,FALSE)</f>
        <v/>
      </c>
      <c r="K581" s="278" t="inlineStr">
        <is>
          <t>Honorarios - Contrato O&amp;M 4º Trimestre</t>
        </is>
      </c>
      <c r="L581" s="280" t="n">
        <v>3624.936603398749</v>
      </c>
      <c r="N581" s="280" t="n"/>
      <c r="P581" s="280" t="n"/>
      <c r="R581" s="280" t="n"/>
      <c r="T581" s="280" t="n"/>
      <c r="V581" s="280" t="n"/>
      <c r="X581" s="280" t="n"/>
      <c r="Z581" s="280" t="n"/>
      <c r="AA581" s="280" t="n"/>
      <c r="AB581" s="281" t="inlineStr">
        <is>
          <t>ES85 2080 3509 1130 4009 6171</t>
        </is>
      </c>
      <c r="AC581" s="278" t="inlineStr">
        <is>
          <t>pendiente</t>
        </is>
      </c>
      <c r="AD581" s="280">
        <f>L581+N581+P581+R581+T581+V581+X581+Z581</f>
        <v/>
      </c>
      <c r="AE581" s="280">
        <f>IF((LEFT(K581,6))="Contab",L581,0)</f>
        <v/>
      </c>
      <c r="AF581" s="281">
        <f>VLOOKUP(G581,CLIENTES!B:E,4,FALSE)</f>
        <v/>
      </c>
      <c r="AG581" s="280">
        <f>AF581*AE581</f>
        <v/>
      </c>
      <c r="AH581" s="280">
        <f>AD581*1.21</f>
        <v/>
      </c>
      <c r="AI581" s="284">
        <f>IF(AE581&lt;&gt;0,AG581/AD581,"N/A")</f>
        <v/>
      </c>
      <c r="AJ581" s="280">
        <f>IF(AC581="pendiente",AD581,0)</f>
        <v/>
      </c>
      <c r="AK581" s="278">
        <f>VLOOKUP(G581,CLIENTES!B:D,3,FALSE)</f>
        <v/>
      </c>
    </row>
    <row r="582" ht="15" customFormat="1" customHeight="1" s="278">
      <c r="B582" s="279" t="n"/>
      <c r="C582" s="278" t="inlineStr">
        <is>
          <t>c/ Las Cruzadas 3A, local D</t>
        </is>
      </c>
      <c r="D582" s="278" t="inlineStr">
        <is>
          <t>Sevilla 41004</t>
        </is>
      </c>
      <c r="E582" s="278" t="inlineStr">
        <is>
          <t>CIF B91938662</t>
        </is>
      </c>
      <c r="F582" s="278" t="inlineStr">
        <is>
          <t>aBalados@abalados.es</t>
        </is>
      </c>
      <c r="G582" s="278" t="inlineStr">
        <is>
          <t>Tiksi PV II S.L.U.</t>
        </is>
      </c>
      <c r="H582" s="278">
        <f>VLOOKUP($G582,DATOS!$B:$E,2,FALSE)</f>
        <v/>
      </c>
      <c r="I582" s="278">
        <f>VLOOKUP($G582,DATOS!$B:$E,3,FALSE)</f>
        <v/>
      </c>
      <c r="J582" s="278">
        <f>VLOOKUP($G582,DATOS!$B:$E,4,FALSE)</f>
        <v/>
      </c>
      <c r="K582" s="278" t="inlineStr">
        <is>
          <t>Honorarios - Contrato O&amp;M 4º Trimestre</t>
        </is>
      </c>
      <c r="L582" s="280" t="n">
        <v>4920.915971018136</v>
      </c>
      <c r="N582" s="280" t="n"/>
      <c r="P582" s="280" t="n"/>
      <c r="R582" s="280" t="n"/>
      <c r="T582" s="280" t="n"/>
      <c r="V582" s="280" t="n"/>
      <c r="X582" s="280" t="n"/>
      <c r="Z582" s="280" t="n"/>
      <c r="AA582" s="280" t="n"/>
      <c r="AB582" s="281" t="inlineStr">
        <is>
          <t>ES85 2080 3509 1130 4009 6171</t>
        </is>
      </c>
      <c r="AC582" s="278" t="inlineStr">
        <is>
          <t>pendiente</t>
        </is>
      </c>
      <c r="AD582" s="280">
        <f>L582+N582+P582+R582+T582+V582+X582+Z582</f>
        <v/>
      </c>
      <c r="AE582" s="280">
        <f>IF((LEFT(K582,6))="Contab",L582,0)</f>
        <v/>
      </c>
      <c r="AF582" s="281">
        <f>VLOOKUP(G582,CLIENTES!B:E,4,FALSE)</f>
        <v/>
      </c>
      <c r="AG582" s="280">
        <f>AF582*AE582</f>
        <v/>
      </c>
      <c r="AH582" s="280">
        <f>AD582*1.21</f>
        <v/>
      </c>
      <c r="AI582" s="284">
        <f>IF(AE582&lt;&gt;0,AG582/AD582,"N/A")</f>
        <v/>
      </c>
      <c r="AJ582" s="280">
        <f>IF(AC582="pendiente",AD582,0)</f>
        <v/>
      </c>
      <c r="AK582" s="278">
        <f>VLOOKUP(G582,CLIENTES!B:D,3,FALSE)</f>
        <v/>
      </c>
    </row>
    <row r="583" ht="15" customFormat="1" customHeight="1" s="278">
      <c r="B583" s="279" t="n"/>
      <c r="C583" s="278" t="inlineStr">
        <is>
          <t>c/ Las Cruzadas 3A, local D</t>
        </is>
      </c>
      <c r="D583" s="278" t="inlineStr">
        <is>
          <t>Sevilla 41004</t>
        </is>
      </c>
      <c r="E583" s="278" t="inlineStr">
        <is>
          <t>CIF B91938662</t>
        </is>
      </c>
      <c r="F583" s="278" t="inlineStr">
        <is>
          <t>aBalados@abalados.es</t>
        </is>
      </c>
      <c r="G583" s="278" t="inlineStr">
        <is>
          <t>Amberg V S.L.U.</t>
        </is>
      </c>
      <c r="H583" s="278">
        <f>VLOOKUP($G583,DATOS!$B:$E,2,FALSE)</f>
        <v/>
      </c>
      <c r="I583" s="278">
        <f>VLOOKUP($G583,DATOS!$B:$E,3,FALSE)</f>
        <v/>
      </c>
      <c r="J583" s="278">
        <f>VLOOKUP($G583,DATOS!$B:$E,4,FALSE)</f>
        <v/>
      </c>
      <c r="K583" s="278" t="inlineStr">
        <is>
          <t>Honorarios - Contrato O&amp;M 4º Trimestre</t>
        </is>
      </c>
      <c r="L583" s="280" t="n">
        <v>6946.428480379149</v>
      </c>
      <c r="N583" s="280" t="n"/>
      <c r="P583" s="280" t="n"/>
      <c r="R583" s="280" t="n"/>
      <c r="T583" s="280" t="n"/>
      <c r="V583" s="280" t="n"/>
      <c r="X583" s="280" t="n"/>
      <c r="Z583" s="280" t="n"/>
      <c r="AA583" s="280" t="n"/>
      <c r="AB583" s="281" t="inlineStr">
        <is>
          <t>ES85 2080 3509 1130 4009 6171</t>
        </is>
      </c>
      <c r="AC583" s="278" t="inlineStr">
        <is>
          <t>pendiente</t>
        </is>
      </c>
      <c r="AD583" s="280">
        <f>L583+N583+P583+R583+T583+V583+X583+Z583</f>
        <v/>
      </c>
      <c r="AE583" s="280">
        <f>IF((LEFT(K583,6))="Contab",L583,0)</f>
        <v/>
      </c>
      <c r="AF583" s="281">
        <f>VLOOKUP(G583,CLIENTES!B:E,4,FALSE)</f>
        <v/>
      </c>
      <c r="AG583" s="280">
        <f>AF583*AE583</f>
        <v/>
      </c>
      <c r="AH583" s="280">
        <f>AD583*1.21</f>
        <v/>
      </c>
      <c r="AI583" s="284">
        <f>IF(AE583&lt;&gt;0,AG583/AD583,"N/A")</f>
        <v/>
      </c>
      <c r="AJ583" s="280">
        <f>IF(AC583="pendiente",AD583,0)</f>
        <v/>
      </c>
      <c r="AK583" s="278">
        <f>VLOOKUP(G583,CLIENTES!B:D,3,FALSE)</f>
        <v/>
      </c>
    </row>
    <row r="584" ht="15" customFormat="1" customHeight="1" s="278">
      <c r="B584" s="279" t="n"/>
      <c r="C584" s="278" t="inlineStr">
        <is>
          <t>c/ Las Cruzadas 3A, local D</t>
        </is>
      </c>
      <c r="D584" s="278" t="inlineStr">
        <is>
          <t>Sevilla 41004</t>
        </is>
      </c>
      <c r="E584" s="278" t="inlineStr">
        <is>
          <t>CIF B91938662</t>
        </is>
      </c>
      <c r="F584" s="278" t="inlineStr">
        <is>
          <t>aBalados@abalados.es</t>
        </is>
      </c>
      <c r="G584" s="278" t="inlineStr">
        <is>
          <t>Amberg II S.L.U.</t>
        </is>
      </c>
      <c r="H584" s="278">
        <f>VLOOKUP($G584,DATOS!$B:$E,2,FALSE)</f>
        <v/>
      </c>
      <c r="I584" s="278">
        <f>VLOOKUP($G584,DATOS!$B:$E,3,FALSE)</f>
        <v/>
      </c>
      <c r="J584" s="278">
        <f>VLOOKUP($G584,DATOS!$B:$E,4,FALSE)</f>
        <v/>
      </c>
      <c r="K584" s="278" t="inlineStr">
        <is>
          <t>Honorarios - Contrato O&amp;M 4º Trimestre</t>
        </is>
      </c>
      <c r="L584" s="280" t="n">
        <v>3740.954399472926</v>
      </c>
      <c r="N584" s="280" t="n"/>
      <c r="P584" s="280" t="n"/>
      <c r="R584" s="280" t="n"/>
      <c r="T584" s="280" t="n"/>
      <c r="V584" s="280" t="n"/>
      <c r="X584" s="280" t="n"/>
      <c r="Z584" s="280" t="n"/>
      <c r="AA584" s="280" t="n"/>
      <c r="AB584" s="281" t="inlineStr">
        <is>
          <t>ES85 2080 3509 1130 4009 6171</t>
        </is>
      </c>
      <c r="AC584" s="278" t="inlineStr">
        <is>
          <t>pendiente</t>
        </is>
      </c>
      <c r="AD584" s="280">
        <f>L584+N584+P584+R584+T584+V584+X584+Z584</f>
        <v/>
      </c>
      <c r="AE584" s="280">
        <f>IF((LEFT(K584,6))="Contab",L584,0)</f>
        <v/>
      </c>
      <c r="AF584" s="281">
        <f>VLOOKUP(G584,CLIENTES!B:E,4,FALSE)</f>
        <v/>
      </c>
      <c r="AG584" s="280">
        <f>AF584*AE584</f>
        <v/>
      </c>
      <c r="AH584" s="280">
        <f>AD584*1.21</f>
        <v/>
      </c>
      <c r="AI584" s="284">
        <f>IF(AE584&lt;&gt;0,AG584/AD584,"N/A")</f>
        <v/>
      </c>
      <c r="AJ584" s="280">
        <f>IF(AC584="pendiente",AD584,0)</f>
        <v/>
      </c>
      <c r="AK584" s="278">
        <f>VLOOKUP(G584,CLIENTES!B:D,3,FALSE)</f>
        <v/>
      </c>
    </row>
    <row r="585" ht="15" customFormat="1" customHeight="1" s="278">
      <c r="B585" s="279" t="n"/>
      <c r="C585" s="278" t="inlineStr">
        <is>
          <t>c/ Las Cruzadas 3A, local D</t>
        </is>
      </c>
      <c r="D585" s="278" t="inlineStr">
        <is>
          <t>Sevilla 41004</t>
        </is>
      </c>
      <c r="E585" s="278" t="inlineStr">
        <is>
          <t>CIF B91938662</t>
        </is>
      </c>
      <c r="F585" s="278" t="inlineStr">
        <is>
          <t>aBalados@abalados.es</t>
        </is>
      </c>
      <c r="G585" s="278" t="inlineStr">
        <is>
          <t>Agrupación Solar el Algarrobo I, S.L.U.</t>
        </is>
      </c>
      <c r="H585" s="278">
        <f>VLOOKUP($G585,DATOS!$B:$E,2,FALSE)</f>
        <v/>
      </c>
      <c r="I585" s="278">
        <f>VLOOKUP($G585,DATOS!$B:$E,3,FALSE)</f>
        <v/>
      </c>
      <c r="J585" s="278">
        <f>VLOOKUP($G585,DATOS!$B:$E,4,FALSE)</f>
        <v/>
      </c>
      <c r="K585" s="278" t="inlineStr">
        <is>
          <t>Honorarios - Contrato O&amp;M 4º Trimestre</t>
        </is>
      </c>
      <c r="L585" s="280" t="n">
        <v>11404.6496063927</v>
      </c>
      <c r="M585" s="278" t="inlineStr">
        <is>
          <t>Garantía 30% (dotada en 2017)</t>
        </is>
      </c>
      <c r="N585" s="280" t="n"/>
      <c r="P585" s="280" t="n"/>
      <c r="R585" s="280" t="n"/>
      <c r="T585" s="280" t="n"/>
      <c r="V585" s="280" t="n"/>
      <c r="X585" s="280" t="n"/>
      <c r="Z585" s="280" t="n"/>
      <c r="AA585" s="280" t="n"/>
      <c r="AB585" s="281" t="inlineStr">
        <is>
          <t>ES85 2080 3509 1130 4009 6171</t>
        </is>
      </c>
      <c r="AC585" s="278" t="inlineStr">
        <is>
          <t>pendiente</t>
        </is>
      </c>
      <c r="AD585" s="280">
        <f>L585+N585+P585+R585+T585+V585+X585+Z585</f>
        <v/>
      </c>
      <c r="AE585" s="280">
        <f>IF((LEFT(K585,6))="Contab",L585,0)</f>
        <v/>
      </c>
      <c r="AF585" s="281">
        <f>VLOOKUP(G585,CLIENTES!B:E,4,FALSE)</f>
        <v/>
      </c>
      <c r="AG585" s="280">
        <f>AF585*AE585</f>
        <v/>
      </c>
      <c r="AH585" s="280">
        <f>AD585*1.21</f>
        <v/>
      </c>
      <c r="AI585" s="284">
        <f>IF(AE585&lt;&gt;0,AG585/AD585,"N/A")</f>
        <v/>
      </c>
      <c r="AJ585" s="280">
        <f>IF(AC585="pendiente",AD585,0)</f>
        <v/>
      </c>
      <c r="AK585" s="278">
        <f>VLOOKUP(G585,CLIENTES!B:D,3,FALSE)</f>
        <v/>
      </c>
    </row>
    <row r="586" ht="15" customFormat="1" customHeight="1" s="278">
      <c r="B586" s="279" t="n"/>
      <c r="C586" s="278" t="inlineStr">
        <is>
          <t>c/ Las Cruzadas 3A, local D</t>
        </is>
      </c>
      <c r="D586" s="278" t="inlineStr">
        <is>
          <t>Sevilla 41004</t>
        </is>
      </c>
      <c r="E586" s="278" t="inlineStr">
        <is>
          <t>CIF B91938662</t>
        </is>
      </c>
      <c r="F586" s="278" t="inlineStr">
        <is>
          <t>aBalados@abalados.es</t>
        </is>
      </c>
      <c r="G586" s="278" t="inlineStr">
        <is>
          <t>Agrupación Solar el Algarrobo II, S.L.U.</t>
        </is>
      </c>
      <c r="H586" s="278">
        <f>VLOOKUP($G586,DATOS!$B:$E,2,FALSE)</f>
        <v/>
      </c>
      <c r="I586" s="278">
        <f>VLOOKUP($G586,DATOS!$B:$E,3,FALSE)</f>
        <v/>
      </c>
      <c r="J586" s="278">
        <f>VLOOKUP($G586,DATOS!$B:$E,4,FALSE)</f>
        <v/>
      </c>
      <c r="K586" s="278" t="inlineStr">
        <is>
          <t>Honorarios - Contrato O&amp;M 4º Trimestre</t>
        </is>
      </c>
      <c r="L586" s="280" t="n">
        <v>11404.6496063927</v>
      </c>
      <c r="M586" s="278" t="inlineStr">
        <is>
          <t>Garantía 30% (dotada en 2017)</t>
        </is>
      </c>
      <c r="N586" s="280" t="n"/>
      <c r="P586" s="280" t="n"/>
      <c r="R586" s="280" t="n"/>
      <c r="T586" s="280" t="n"/>
      <c r="V586" s="280" t="n"/>
      <c r="X586" s="280" t="n"/>
      <c r="Z586" s="280" t="n"/>
      <c r="AA586" s="280" t="n"/>
      <c r="AB586" s="281" t="inlineStr">
        <is>
          <t>ES85 2080 3509 1130 4009 6171</t>
        </is>
      </c>
      <c r="AC586" s="278" t="inlineStr">
        <is>
          <t>pendiente</t>
        </is>
      </c>
      <c r="AD586" s="280">
        <f>L586+N586+P586+R586+T586+V586+X586+Z586</f>
        <v/>
      </c>
      <c r="AE586" s="280">
        <f>IF((LEFT(K586,6))="Contab",L586,0)</f>
        <v/>
      </c>
      <c r="AF586" s="281">
        <f>VLOOKUP(G586,CLIENTES!B:E,4,FALSE)</f>
        <v/>
      </c>
      <c r="AG586" s="280">
        <f>AF586*AE586</f>
        <v/>
      </c>
      <c r="AH586" s="280">
        <f>AD586*1.21</f>
        <v/>
      </c>
      <c r="AI586" s="284">
        <f>IF(AE586&lt;&gt;0,AG586/AD586,"N/A")</f>
        <v/>
      </c>
      <c r="AJ586" s="280">
        <f>IF(AC586="pendiente",AD586,0)</f>
        <v/>
      </c>
      <c r="AK586" s="278">
        <f>VLOOKUP(G586,CLIENTES!B:D,3,FALSE)</f>
        <v/>
      </c>
    </row>
    <row r="587" ht="15" customFormat="1" customHeight="1" s="278">
      <c r="B587" s="279" t="n"/>
      <c r="C587" s="278" t="inlineStr">
        <is>
          <t>c/ Las Cruzadas 3A, local D</t>
        </is>
      </c>
      <c r="D587" s="278" t="inlineStr">
        <is>
          <t>Sevilla 41004</t>
        </is>
      </c>
      <c r="E587" s="278" t="inlineStr">
        <is>
          <t>CIF B91938662</t>
        </is>
      </c>
      <c r="F587" s="278" t="inlineStr">
        <is>
          <t>aBalados@abalados.es</t>
        </is>
      </c>
      <c r="G587" s="278" t="inlineStr">
        <is>
          <t>Agrupación Solar el Algarrobo III, S.L.U.</t>
        </is>
      </c>
      <c r="H587" s="278">
        <f>VLOOKUP($G587,DATOS!$B:$E,2,FALSE)</f>
        <v/>
      </c>
      <c r="I587" s="278">
        <f>VLOOKUP($G587,DATOS!$B:$E,3,FALSE)</f>
        <v/>
      </c>
      <c r="J587" s="278">
        <f>VLOOKUP($G587,DATOS!$B:$E,4,FALSE)</f>
        <v/>
      </c>
      <c r="K587" s="278" t="inlineStr">
        <is>
          <t>Honorarios - Contrato O&amp;M 4º Trimestre</t>
        </is>
      </c>
      <c r="L587" s="280" t="n">
        <v>10318.49250102196</v>
      </c>
      <c r="M587" s="278" t="inlineStr">
        <is>
          <t>Garantía 30% (dotada en 2017)</t>
        </is>
      </c>
      <c r="N587" s="280" t="n"/>
      <c r="P587" s="280" t="n"/>
      <c r="R587" s="280" t="n"/>
      <c r="T587" s="280" t="n"/>
      <c r="V587" s="280" t="n"/>
      <c r="X587" s="280" t="n"/>
      <c r="Z587" s="280" t="n"/>
      <c r="AA587" s="280" t="n"/>
      <c r="AB587" s="281" t="inlineStr">
        <is>
          <t>ES85 2080 3509 1130 4009 6171</t>
        </is>
      </c>
      <c r="AC587" s="278" t="inlineStr">
        <is>
          <t>pendiente</t>
        </is>
      </c>
      <c r="AD587" s="280">
        <f>L587+N587+P587+R587+T587+V587+X587+Z587</f>
        <v/>
      </c>
      <c r="AE587" s="280">
        <f>IF((LEFT(K587,6))="Contab",L587,0)</f>
        <v/>
      </c>
      <c r="AF587" s="281">
        <f>VLOOKUP(G587,CLIENTES!B:E,4,FALSE)</f>
        <v/>
      </c>
      <c r="AG587" s="280">
        <f>AF587*AE587</f>
        <v/>
      </c>
      <c r="AH587" s="280">
        <f>AD587*1.21</f>
        <v/>
      </c>
      <c r="AI587" s="284">
        <f>IF(AE587&lt;&gt;0,AG587/AD587,"N/A")</f>
        <v/>
      </c>
      <c r="AJ587" s="280">
        <f>IF(AC587="pendiente",AD587,0)</f>
        <v/>
      </c>
      <c r="AK587" s="278">
        <f>VLOOKUP(G587,CLIENTES!B:D,3,FALSE)</f>
        <v/>
      </c>
    </row>
    <row r="588" ht="15" customFormat="1" customHeight="1" s="278">
      <c r="B588" s="279" t="n"/>
      <c r="C588" s="278" t="inlineStr">
        <is>
          <t>c/ Las Cruzadas 3A, local D</t>
        </is>
      </c>
      <c r="D588" s="278" t="inlineStr">
        <is>
          <t>Sevilla 41004</t>
        </is>
      </c>
      <c r="E588" s="278" t="inlineStr">
        <is>
          <t>CIF B91938662</t>
        </is>
      </c>
      <c r="F588" s="278" t="inlineStr">
        <is>
          <t>aBalados@abalados.es</t>
        </is>
      </c>
      <c r="G588" s="278" t="inlineStr">
        <is>
          <t>Locaba Solar S.L.U.</t>
        </is>
      </c>
      <c r="H588" s="278">
        <f>VLOOKUP($G588,DATOS!$B:$E,2,FALSE)</f>
        <v/>
      </c>
      <c r="I588" s="278">
        <f>VLOOKUP($G588,DATOS!$B:$E,3,FALSE)</f>
        <v/>
      </c>
      <c r="J588" s="278">
        <f>VLOOKUP($G588,DATOS!$B:$E,4,FALSE)</f>
        <v/>
      </c>
      <c r="K588" s="278" t="inlineStr">
        <is>
          <t>Honorarios - Contrato O&amp;M 4º Trimestre</t>
        </is>
      </c>
      <c r="L588" s="280" t="n">
        <v>22682.34578488492</v>
      </c>
      <c r="M588" s="278" t="inlineStr">
        <is>
          <t>Garantía 30% (dotada en 2017)</t>
        </is>
      </c>
      <c r="N588" s="280" t="n"/>
      <c r="P588" s="280" t="n"/>
      <c r="R588" s="280" t="n"/>
      <c r="T588" s="280" t="n"/>
      <c r="V588" s="280" t="n"/>
      <c r="X588" s="280" t="n"/>
      <c r="Z588" s="280" t="n"/>
      <c r="AA588" s="280" t="n"/>
      <c r="AB588" s="281" t="inlineStr">
        <is>
          <t>ES85 2080 3509 1130 4009 6171</t>
        </is>
      </c>
      <c r="AC588" s="278" t="inlineStr">
        <is>
          <t>pendiente</t>
        </is>
      </c>
      <c r="AD588" s="280">
        <f>L588+N588+P588+R588+T588+V588+X588+Z588</f>
        <v/>
      </c>
      <c r="AE588" s="280">
        <f>IF((LEFT(K588,6))="Contab",L588,0)</f>
        <v/>
      </c>
      <c r="AF588" s="281">
        <f>VLOOKUP(G588,CLIENTES!B:E,4,FALSE)</f>
        <v/>
      </c>
      <c r="AG588" s="280">
        <f>AF588*AE588</f>
        <v/>
      </c>
      <c r="AH588" s="280">
        <f>AD588*1.21</f>
        <v/>
      </c>
      <c r="AI588" s="284">
        <f>IF(AE588&lt;&gt;0,AG588/AD588,"N/A")</f>
        <v/>
      </c>
      <c r="AJ588" s="280">
        <f>IF(AC588="pendiente",AD588,0)</f>
        <v/>
      </c>
      <c r="AK588" s="278">
        <f>VLOOKUP(G588,CLIENTES!B:D,3,FALSE)</f>
        <v/>
      </c>
    </row>
    <row r="589" ht="15" customFormat="1" customHeight="1" s="278">
      <c r="B589" s="279" t="n"/>
      <c r="C589" s="278" t="inlineStr">
        <is>
          <t>c/ Las Cruzadas 3A, local D</t>
        </is>
      </c>
      <c r="D589" s="278" t="inlineStr">
        <is>
          <t>Sevilla 41004</t>
        </is>
      </c>
      <c r="E589" s="278" t="inlineStr">
        <is>
          <t>CIF B91938662</t>
        </is>
      </c>
      <c r="F589" s="278" t="inlineStr">
        <is>
          <t>aBalados@abalados.es</t>
        </is>
      </c>
      <c r="G589" s="278" t="inlineStr">
        <is>
          <t>Lo Illán  Parque Solar S.L.U.</t>
        </is>
      </c>
      <c r="H589" s="278">
        <f>VLOOKUP($G589,DATOS!$B:$E,2,FALSE)</f>
        <v/>
      </c>
      <c r="I589" s="278">
        <f>VLOOKUP($G589,DATOS!$B:$E,3,FALSE)</f>
        <v/>
      </c>
      <c r="J589" s="278">
        <f>VLOOKUP($G589,DATOS!$B:$E,4,FALSE)</f>
        <v/>
      </c>
      <c r="K589" s="278" t="inlineStr">
        <is>
          <t>Honorarios - Contrato O&amp;M 4º Trimestre</t>
        </is>
      </c>
      <c r="L589" s="280" t="n">
        <v>11235.240070015</v>
      </c>
      <c r="N589" s="280" t="n"/>
      <c r="P589" s="280" t="n"/>
      <c r="R589" s="280" t="n"/>
      <c r="T589" s="280" t="n"/>
      <c r="V589" s="280" t="n"/>
      <c r="X589" s="280" t="n"/>
      <c r="Z589" s="280" t="n"/>
      <c r="AA589" s="280" t="n"/>
      <c r="AB589" s="281" t="inlineStr">
        <is>
          <t>ES85 2080 3509 1130 4009 6171</t>
        </is>
      </c>
      <c r="AC589" s="278" t="inlineStr">
        <is>
          <t>pendiente</t>
        </is>
      </c>
      <c r="AD589" s="280">
        <f>L589+N589+P589+R589+T589+V589+X589+Z589</f>
        <v/>
      </c>
      <c r="AE589" s="280">
        <f>IF((LEFT(K589,6))="Contab",L589,0)</f>
        <v/>
      </c>
      <c r="AF589" s="281">
        <f>VLOOKUP(G589,CLIENTES!B:E,4,FALSE)</f>
        <v/>
      </c>
      <c r="AG589" s="280">
        <f>AF589*AE589</f>
        <v/>
      </c>
      <c r="AH589" s="280">
        <f>AD589*1.21</f>
        <v/>
      </c>
      <c r="AI589" s="284">
        <f>IF(AE589&lt;&gt;0,AG589/AD589,"N/A")</f>
        <v/>
      </c>
      <c r="AJ589" s="280">
        <f>IF(AC589="pendiente",AD589,0)</f>
        <v/>
      </c>
      <c r="AK589" s="278">
        <f>VLOOKUP(G589,CLIENTES!B:D,3,FALSE)</f>
        <v/>
      </c>
    </row>
    <row r="590" ht="15" customFormat="1" customHeight="1" s="278">
      <c r="B590" s="279" t="n"/>
      <c r="C590" s="278" t="inlineStr">
        <is>
          <t>c/ Las Cruzadas 3A, local D</t>
        </is>
      </c>
      <c r="D590" s="278" t="inlineStr">
        <is>
          <t>Sevilla 41004</t>
        </is>
      </c>
      <c r="E590" s="278" t="inlineStr">
        <is>
          <t>CIF B91938662</t>
        </is>
      </c>
      <c r="F590" s="278" t="inlineStr">
        <is>
          <t>aBalados@abalados.es</t>
        </is>
      </c>
      <c r="G590" s="278" t="inlineStr">
        <is>
          <t>Contreras Parque Solar S.L.U.</t>
        </is>
      </c>
      <c r="H590" s="278">
        <f>VLOOKUP($G590,DATOS!$B:$E,2,FALSE)</f>
        <v/>
      </c>
      <c r="I590" s="278">
        <f>VLOOKUP($G590,DATOS!$B:$E,3,FALSE)</f>
        <v/>
      </c>
      <c r="J590" s="278">
        <f>VLOOKUP($G590,DATOS!$B:$E,4,FALSE)</f>
        <v/>
      </c>
      <c r="K590" s="278" t="inlineStr">
        <is>
          <t>Honorarios - Contrato O&amp;M 4º Trimestre</t>
        </is>
      </c>
      <c r="L590" s="280" t="n">
        <v>17119.24655019719</v>
      </c>
      <c r="N590" s="280" t="n"/>
      <c r="P590" s="280" t="n"/>
      <c r="R590" s="280" t="n"/>
      <c r="T590" s="280" t="n"/>
      <c r="V590" s="280" t="n"/>
      <c r="X590" s="280" t="n"/>
      <c r="Z590" s="280" t="n"/>
      <c r="AA590" s="280" t="n"/>
      <c r="AB590" s="281" t="inlineStr">
        <is>
          <t>ES85 2080 3509 1130 4009 6171</t>
        </is>
      </c>
      <c r="AC590" s="278" t="inlineStr">
        <is>
          <t>pendiente</t>
        </is>
      </c>
      <c r="AD590" s="280">
        <f>L590+N590+P590+R590+T590+V590+X590+Z590</f>
        <v/>
      </c>
      <c r="AE590" s="280">
        <f>IF((LEFT(K590,6))="Contab",L590,0)</f>
        <v/>
      </c>
      <c r="AF590" s="281">
        <f>VLOOKUP(G590,CLIENTES!B:E,4,FALSE)</f>
        <v/>
      </c>
      <c r="AG590" s="280">
        <f>AF590*AE590</f>
        <v/>
      </c>
      <c r="AH590" s="280">
        <f>AD590*1.21</f>
        <v/>
      </c>
      <c r="AI590" s="284">
        <f>IF(AE590&lt;&gt;0,AG590/AD590,"N/A")</f>
        <v/>
      </c>
      <c r="AJ590" s="280">
        <f>IF(AC590="pendiente",AD590,0)</f>
        <v/>
      </c>
      <c r="AK590" s="278">
        <f>VLOOKUP(G590,CLIENTES!B:D,3,FALSE)</f>
        <v/>
      </c>
    </row>
    <row r="591" ht="15" customFormat="1" customHeight="1" s="192">
      <c r="B591" s="199" t="n"/>
      <c r="C591" s="192" t="inlineStr">
        <is>
          <t>c/ Las Cruzadas 3A, local D</t>
        </is>
      </c>
      <c r="D591" s="192" t="inlineStr">
        <is>
          <t>Sevilla 41004</t>
        </is>
      </c>
      <c r="E591" s="192" t="inlineStr">
        <is>
          <t>CIF B91938662</t>
        </is>
      </c>
      <c r="F591" s="192" t="inlineStr">
        <is>
          <t>aBalados@abalados.es</t>
        </is>
      </c>
      <c r="G591" s="192" t="inlineStr">
        <is>
          <t>Turbinto Parque Solar S.L.U.</t>
        </is>
      </c>
      <c r="H591" s="192">
        <f>VLOOKUP($G591,DATOS!$B:$E,2,FALSE)</f>
        <v/>
      </c>
      <c r="I591" s="192">
        <f>VLOOKUP($G591,DATOS!$B:$E,3,FALSE)</f>
        <v/>
      </c>
      <c r="J591" s="192">
        <f>VLOOKUP($G591,DATOS!$B:$E,4,FALSE)</f>
        <v/>
      </c>
      <c r="K591" s="192" t="inlineStr">
        <is>
          <t>Honorarios - Contrato O&amp;M 4º Trimestre</t>
        </is>
      </c>
      <c r="L591" s="200" t="n">
        <v>12197.95284798089</v>
      </c>
      <c r="N591" s="200" t="n"/>
      <c r="P591" s="200" t="n"/>
      <c r="R591" s="200" t="n"/>
      <c r="T591" s="200" t="n"/>
      <c r="V591" s="200" t="n"/>
      <c r="X591" s="200" t="n"/>
      <c r="Z591" s="200" t="n"/>
      <c r="AA591" s="200" t="n"/>
      <c r="AB591" s="201" t="inlineStr">
        <is>
          <t>ES85 2080 3509 1130 4009 6171</t>
        </is>
      </c>
      <c r="AC591" s="192" t="inlineStr">
        <is>
          <t>pendiente</t>
        </is>
      </c>
      <c r="AD591" s="200">
        <f>L591+N591+P591+R591+T591+V591+X591+Z591</f>
        <v/>
      </c>
      <c r="AE591" s="200">
        <f>IF((LEFT(K591,6))="Contab",L591,0)</f>
        <v/>
      </c>
      <c r="AF591" s="201">
        <f>VLOOKUP(G591,CLIENTES!B:E,4,FALSE)</f>
        <v/>
      </c>
      <c r="AG591" s="200">
        <f>AF591*AE591</f>
        <v/>
      </c>
      <c r="AH591" s="200">
        <f>AD591*1.21</f>
        <v/>
      </c>
      <c r="AI591" s="283">
        <f>IF(AE591&lt;&gt;0,AG591/AD591,"N/A")</f>
        <v/>
      </c>
      <c r="AJ591" s="200">
        <f>IF(AC591="pendiente",AD591,0)</f>
        <v/>
      </c>
      <c r="AK591" s="192">
        <f>VLOOKUP(G591,CLIENTES!B:D,3,FALSE)</f>
        <v/>
      </c>
    </row>
    <row r="592" ht="15" customFormat="1" customHeight="1" s="189">
      <c r="B592" s="188" t="n"/>
      <c r="C592" s="189" t="inlineStr">
        <is>
          <t>c/ Las Cruzadas 3A, local D</t>
        </is>
      </c>
      <c r="D592" s="189" t="inlineStr">
        <is>
          <t>Sevilla 41004</t>
        </is>
      </c>
      <c r="E592" s="189" t="inlineStr">
        <is>
          <t>CIF B91938662</t>
        </is>
      </c>
      <c r="F592" s="189" t="inlineStr">
        <is>
          <t>aBalados@abalados.es</t>
        </is>
      </c>
      <c r="G592" s="189" t="inlineStr">
        <is>
          <t>Jerte Renovables, S.L.</t>
        </is>
      </c>
      <c r="H592" s="189">
        <f>VLOOKUP($G592,DATOS!$B:$E,2,FALSE)</f>
        <v/>
      </c>
      <c r="I592" s="189">
        <f>VLOOKUP($G592,DATOS!$B:$E,3,FALSE)</f>
        <v/>
      </c>
      <c r="J592" s="189">
        <f>VLOOKUP($G592,DATOS!$B:$E,4,FALSE)</f>
        <v/>
      </c>
      <c r="K592" s="189" t="inlineStr">
        <is>
          <t>Asistencia Jurídica - Negociación Contrato Cesión de Uso</t>
        </is>
      </c>
      <c r="L592" s="190" t="n"/>
      <c r="N592" s="190" t="n"/>
      <c r="O592" s="189" t="inlineStr">
        <is>
          <t xml:space="preserve">Asesoramiento jurídico para la negociación y cierre del Contrato de Cesión de Uso entre </t>
        </is>
      </c>
      <c r="P592" s="190" t="n">
        <v>3510</v>
      </c>
      <c r="Q592" s="189" t="inlineStr">
        <is>
          <t xml:space="preserve">VALCABADO RENOVABLES 220 kV, S.L. y JERTE RENOVABLES, S.L. </t>
        </is>
      </c>
      <c r="R592" s="190" t="n"/>
      <c r="T592" s="190" t="n"/>
      <c r="V592" s="190" t="n"/>
      <c r="X592" s="190" t="n"/>
      <c r="Z592" s="190" t="n"/>
      <c r="AA592" s="190" t="n"/>
      <c r="AB592" s="400" t="inlineStr">
        <is>
          <t>ES85 2080 3509 1130 4009 6171</t>
        </is>
      </c>
      <c r="AC592" s="189" t="inlineStr">
        <is>
          <t>pendiente</t>
        </is>
      </c>
      <c r="AD592" s="200">
        <f>L592+N592+P592+R592+T592+V592+X592+Z592</f>
        <v/>
      </c>
      <c r="AE592" s="200">
        <f>IF((LEFT(K592,6))="Contab",L592,0)</f>
        <v/>
      </c>
      <c r="AF592" s="201">
        <f>VLOOKUP(G592,CLIENTES!B:E,4,FALSE)</f>
        <v/>
      </c>
      <c r="AG592" s="200">
        <f>AF592*AE592</f>
        <v/>
      </c>
      <c r="AH592" s="200">
        <f>AD592*1.21</f>
        <v/>
      </c>
      <c r="AI592" s="283">
        <f>IF(AE592&lt;&gt;0,AG592/AD592,"N/A")</f>
        <v/>
      </c>
      <c r="AJ592" s="200">
        <f>IF(AC592="pendiente",AD592,0)</f>
        <v/>
      </c>
      <c r="AK592" s="192">
        <f>VLOOKUP(G592,CLIENTES!B:D,3,FALSE)</f>
        <v/>
      </c>
      <c r="AL592" s="192" t="n"/>
      <c r="AN592" s="190" t="n"/>
    </row>
    <row r="593" ht="15" customFormat="1" customHeight="1" s="189">
      <c r="B593" s="188" t="n"/>
      <c r="C593" s="189" t="inlineStr">
        <is>
          <t>c/ Las Cruzadas 3A, local D</t>
        </is>
      </c>
      <c r="D593" s="189" t="inlineStr">
        <is>
          <t>Sevilla 41004</t>
        </is>
      </c>
      <c r="E593" s="189" t="inlineStr">
        <is>
          <t>CIF B91938662</t>
        </is>
      </c>
      <c r="F593" s="189" t="inlineStr">
        <is>
          <t>aBalados@abalados.es</t>
        </is>
      </c>
      <c r="G593" s="189" t="inlineStr">
        <is>
          <t>Saja Renovables, S.L.</t>
        </is>
      </c>
      <c r="H593" s="189">
        <f>VLOOKUP($G593,DATOS!$B:$E,2,FALSE)</f>
        <v/>
      </c>
      <c r="I593" s="189">
        <f>VLOOKUP($G593,DATOS!$B:$E,3,FALSE)</f>
        <v/>
      </c>
      <c r="J593" s="189">
        <f>VLOOKUP($G593,DATOS!$B:$E,4,FALSE)</f>
        <v/>
      </c>
      <c r="K593" s="189" t="inlineStr">
        <is>
          <t>Servicios Extraordinarios - Contrato Operación &amp; Mantenimiento</t>
        </is>
      </c>
      <c r="L593" s="190" t="n"/>
      <c r="M593" s="189" t="inlineStr">
        <is>
          <t>Mantenimiento correctivo extraordinario - Puesta a punto</t>
        </is>
      </c>
      <c r="N593" s="190" t="n"/>
      <c r="P593" s="190" t="n"/>
      <c r="Q593" s="189" t="inlineStr">
        <is>
          <t xml:space="preserve">  · Organización de los trabajos e instructivos.</t>
        </is>
      </c>
      <c r="R593" s="190" t="n"/>
      <c r="S593" s="189" t="inlineStr">
        <is>
          <t xml:space="preserve">  · Instalación (100) diferenciales Tipo A de 300mA (Atarfe I, Atarfe V, Moclin I).</t>
        </is>
      </c>
      <c r="T593" s="190" t="n"/>
      <c r="U593" s="189" t="inlineStr">
        <is>
          <t xml:space="preserve">  · Recableo cuadro general de protección (casetas Atarfe V, Moclin I).</t>
        </is>
      </c>
      <c r="V593" s="190" t="n"/>
      <c r="W593" s="189" t="inlineStr">
        <is>
          <t>Materiales</t>
        </is>
      </c>
      <c r="X593" s="190" t="n">
        <v>7195</v>
      </c>
      <c r="Y593" s="189" t="inlineStr">
        <is>
          <t>Mano de obra</t>
        </is>
      </c>
      <c r="Z593" s="190" t="n">
        <v>3300</v>
      </c>
      <c r="AA593" s="190" t="n"/>
      <c r="AB593" s="191" t="inlineStr">
        <is>
          <t>ES85 2080 3509 1130 4009 6171</t>
        </is>
      </c>
      <c r="AC593" s="189" t="inlineStr">
        <is>
          <t>pendiente</t>
        </is>
      </c>
      <c r="AD593" s="190">
        <f>L593+N593+P593+R593+T593+V593+X593+Z593</f>
        <v/>
      </c>
      <c r="AE593" s="190">
        <f>IF((LEFT(K593,6))="Contab",L593,0)</f>
        <v/>
      </c>
      <c r="AF593" s="191">
        <f>VLOOKUP(G593,CLIENTES!B:E,4,FALSE)</f>
        <v/>
      </c>
      <c r="AG593" s="190">
        <f>AF593*AE593</f>
        <v/>
      </c>
      <c r="AH593" s="190">
        <f>AD593*1.21</f>
        <v/>
      </c>
      <c r="AI593" s="289">
        <f>IF(AE593&lt;&gt;0,AG593/AD593,"N/A")</f>
        <v/>
      </c>
      <c r="AJ593" s="190">
        <f>IF(AC593="pendiente",AD593,0)</f>
        <v/>
      </c>
      <c r="AK593" s="189">
        <f>VLOOKUP(G593,CLIENTES!B:D,3,FALSE)</f>
        <v/>
      </c>
    </row>
    <row r="594" ht="15" customFormat="1" customHeight="1" s="278">
      <c r="B594" s="279" t="n"/>
      <c r="C594" s="278" t="inlineStr">
        <is>
          <t>c/ Las Cruzadas 3A, local D</t>
        </is>
      </c>
      <c r="D594" s="278" t="inlineStr">
        <is>
          <t>Sevilla 41004</t>
        </is>
      </c>
      <c r="E594" s="278" t="inlineStr">
        <is>
          <t>CIF B91938662</t>
        </is>
      </c>
      <c r="F594" s="278" t="inlineStr">
        <is>
          <t>aBalados@abalados.es</t>
        </is>
      </c>
      <c r="G594" s="278" t="inlineStr">
        <is>
          <t>Nudo SE Zaratan 220 kV, S.L.</t>
        </is>
      </c>
      <c r="H594" s="278">
        <f>VLOOKUP($G594,DATOS!$B:$E,2,FALSE)</f>
        <v/>
      </c>
      <c r="I594" s="278">
        <f>VLOOKUP($G594,DATOS!$B:$E,3,FALSE)</f>
        <v/>
      </c>
      <c r="J594" s="278">
        <f>VLOOKUP($G594,DATOS!$B:$E,4,FALSE)</f>
        <v/>
      </c>
      <c r="K594" s="278" t="inlineStr">
        <is>
          <t>Refacturación gastos y/o servicios prestados a nombre de la sociedad</t>
        </is>
      </c>
      <c r="L594" s="280" t="n"/>
      <c r="M594" s="278" t="inlineStr">
        <is>
          <t>Jofran Mensajeros, S.L - Envio de documentación</t>
        </is>
      </c>
      <c r="N594" s="280" t="n">
        <v>120.8</v>
      </c>
      <c r="O594" s="278" t="inlineStr">
        <is>
          <t>Registro Mercantil de Madrid nº2024/28064</t>
        </is>
      </c>
      <c r="P594" s="280" t="n">
        <v>42.37</v>
      </c>
      <c r="Q594" s="278" t="inlineStr">
        <is>
          <t>Registro Mercantil de Madrid nº2024/28035</t>
        </is>
      </c>
      <c r="R594" s="280" t="n">
        <v>69.42</v>
      </c>
      <c r="T594" s="280" t="n"/>
      <c r="V594" s="280" t="n"/>
      <c r="X594" s="280" t="n"/>
      <c r="Z594" s="280" t="n"/>
      <c r="AA594" s="280" t="n"/>
      <c r="AB594" s="281" t="inlineStr">
        <is>
          <t>ES85 2080 3509 1130 4009 6171</t>
        </is>
      </c>
      <c r="AC594" s="278" t="inlineStr">
        <is>
          <t>pendiente</t>
        </is>
      </c>
      <c r="AD594" s="280">
        <f>L594+N594+P594+R594+T594+V594+X594+Z594</f>
        <v/>
      </c>
      <c r="AE594" s="280">
        <f>IF((LEFT(K594,6))="Contab",L594,0)</f>
        <v/>
      </c>
      <c r="AF594" s="281">
        <f>VLOOKUP(G594,CLIENTES!B:E,4,FALSE)</f>
        <v/>
      </c>
      <c r="AG594" s="280">
        <f>AF594*AE594</f>
        <v/>
      </c>
      <c r="AH594" s="280">
        <f>AD594*1.21</f>
        <v/>
      </c>
      <c r="AI594" s="284">
        <f>IF(AE594&lt;&gt;0,AG594/AD594,"N/A")</f>
        <v/>
      </c>
      <c r="AJ594" s="280">
        <f>IF(AC594="pendiente",AD594,0)</f>
        <v/>
      </c>
      <c r="AK594" s="278">
        <f>VLOOKUP(G594,CLIENTES!B:D,3,FALSE)</f>
        <v/>
      </c>
    </row>
    <row r="595" ht="15" customFormat="1" customHeight="1" s="278">
      <c r="B595" s="279" t="n"/>
      <c r="C595" s="278" t="inlineStr">
        <is>
          <t>c/ Las Cruzadas 3A, local D</t>
        </is>
      </c>
      <c r="D595" s="278" t="inlineStr">
        <is>
          <t>Sevilla 41004</t>
        </is>
      </c>
      <c r="E595" s="278" t="inlineStr">
        <is>
          <t>CIF B91938662</t>
        </is>
      </c>
      <c r="F595" s="278" t="inlineStr">
        <is>
          <t>aBalados@abalados.es</t>
        </is>
      </c>
      <c r="G595" s="278" t="inlineStr">
        <is>
          <t>Evacuación Carmona 400-220 kV Renovables, S.L.</t>
        </is>
      </c>
      <c r="H595" s="278">
        <f>VLOOKUP($G595,DATOS!$B:$E,2,FALSE)</f>
        <v/>
      </c>
      <c r="I595" s="278">
        <f>VLOOKUP($G595,DATOS!$B:$E,3,FALSE)</f>
        <v/>
      </c>
      <c r="J595" s="278">
        <f>VLOOKUP($G595,DATOS!$B:$E,4,FALSE)</f>
        <v/>
      </c>
      <c r="K595" s="278" t="inlineStr">
        <is>
          <t>Refacturación gastos y/o servicios prestados a nombre de la sociedad</t>
        </is>
      </c>
      <c r="L595" s="280" t="n"/>
      <c r="M595" s="278" t="inlineStr">
        <is>
          <t>Jofran Mensajeros, S.L - Envio de documentación</t>
        </is>
      </c>
      <c r="N595" s="280" t="n">
        <v>9.539999999999999</v>
      </c>
      <c r="P595" s="280" t="n"/>
      <c r="R595" s="280" t="n"/>
      <c r="T595" s="280" t="n"/>
      <c r="V595" s="280" t="n"/>
      <c r="X595" s="280" t="n"/>
      <c r="Z595" s="280" t="n"/>
      <c r="AA595" s="280" t="n"/>
      <c r="AB595" s="281" t="inlineStr">
        <is>
          <t>ES85 2080 3509 1130 4009 6171</t>
        </is>
      </c>
      <c r="AC595" s="278" t="inlineStr">
        <is>
          <t>pendiente</t>
        </is>
      </c>
      <c r="AD595" s="280">
        <f>L595+N595+P595+R595+T595+V595+X595+Z595</f>
        <v/>
      </c>
      <c r="AE595" s="280">
        <f>IF((LEFT(K595,6))="Contab",L595,0)</f>
        <v/>
      </c>
      <c r="AF595" s="281">
        <f>VLOOKUP(G595,CLIENTES!B:E,4,FALSE)</f>
        <v/>
      </c>
      <c r="AG595" s="280">
        <f>AF595*AE595</f>
        <v/>
      </c>
      <c r="AH595" s="280">
        <f>AD595*1.21</f>
        <v/>
      </c>
      <c r="AI595" s="284">
        <f>IF(AE595&lt;&gt;0,AG595/AD595,"N/A")</f>
        <v/>
      </c>
      <c r="AJ595" s="280">
        <f>IF(AC595="pendiente",AD595,0)</f>
        <v/>
      </c>
      <c r="AK595" s="278">
        <f>VLOOKUP(G595,CLIENTES!B:D,3,FALSE)</f>
        <v/>
      </c>
    </row>
    <row r="596" ht="15" customFormat="1" customHeight="1" s="278">
      <c r="B596" s="279" t="n"/>
      <c r="C596" s="278" t="inlineStr">
        <is>
          <t>c/ Las Cruzadas 3A, local D</t>
        </is>
      </c>
      <c r="D596" s="278" t="inlineStr">
        <is>
          <t>Sevilla 41004</t>
        </is>
      </c>
      <c r="E596" s="278" t="inlineStr">
        <is>
          <t>CIF B91938662</t>
        </is>
      </c>
      <c r="F596" s="278" t="inlineStr">
        <is>
          <t>aBalados@abalados.es</t>
        </is>
      </c>
      <c r="G596" s="278" t="inlineStr">
        <is>
          <t>Tordesillas Renovables, S.L.</t>
        </is>
      </c>
      <c r="H596" s="278">
        <f>VLOOKUP($G596,DATOS!$B:$E,2,FALSE)</f>
        <v/>
      </c>
      <c r="I596" s="278">
        <f>VLOOKUP($G596,DATOS!$B:$E,3,FALSE)</f>
        <v/>
      </c>
      <c r="J596" s="278">
        <f>VLOOKUP($G596,DATOS!$B:$E,4,FALSE)</f>
        <v/>
      </c>
      <c r="K596" s="278" t="inlineStr">
        <is>
          <t>Refacturación gastos y/o servicios prestados a nombre de la sociedad</t>
        </is>
      </c>
      <c r="L596" s="280" t="n"/>
      <c r="M596" s="278" t="inlineStr">
        <is>
          <t>Jofran Mensajeros, S.L - Envio de documentación</t>
        </is>
      </c>
      <c r="N596" s="280" t="n">
        <v>62.73</v>
      </c>
      <c r="P596" s="280" t="n"/>
      <c r="R596" s="280" t="n"/>
      <c r="T596" s="280" t="n"/>
      <c r="V596" s="280" t="n"/>
      <c r="X596" s="280" t="n"/>
      <c r="Z596" s="280" t="n"/>
      <c r="AA596" s="280" t="n"/>
      <c r="AB596" s="281" t="inlineStr">
        <is>
          <t>ES85 2080 3509 1130 4009 6171</t>
        </is>
      </c>
      <c r="AC596" s="278" t="inlineStr">
        <is>
          <t>pendiente</t>
        </is>
      </c>
      <c r="AD596" s="280">
        <f>L596+N596+P596+R596+T596+V596+X596+Z596</f>
        <v/>
      </c>
      <c r="AE596" s="280">
        <f>IF((LEFT(K596,6))="Contab",L596,0)</f>
        <v/>
      </c>
      <c r="AF596" s="281">
        <f>VLOOKUP(G596,CLIENTES!B:E,4,FALSE)</f>
        <v/>
      </c>
      <c r="AG596" s="280">
        <f>AF596*AE596</f>
        <v/>
      </c>
      <c r="AH596" s="280">
        <f>AD596*1.21</f>
        <v/>
      </c>
      <c r="AI596" s="284">
        <f>IF(AE596&lt;&gt;0,AG596/AD596,"N/A")</f>
        <v/>
      </c>
      <c r="AJ596" s="280">
        <f>IF(AC596="pendiente",AD596,0)</f>
        <v/>
      </c>
      <c r="AK596" s="278">
        <f>VLOOKUP(G596,CLIENTES!B:D,3,FALSE)</f>
        <v/>
      </c>
    </row>
    <row r="597" ht="15" customFormat="1" customHeight="1" s="278">
      <c r="B597" s="279" t="n"/>
      <c r="C597" s="278" t="inlineStr">
        <is>
          <t>c/ Las Cruzadas 3A, local D</t>
        </is>
      </c>
      <c r="D597" s="278" t="inlineStr">
        <is>
          <t>Sevilla 41004</t>
        </is>
      </c>
      <c r="E597" s="278" t="inlineStr">
        <is>
          <t>CIF B91938662</t>
        </is>
      </c>
      <c r="F597" s="278" t="inlineStr">
        <is>
          <t>aBalados@abalados.es</t>
        </is>
      </c>
      <c r="G597" s="278" t="inlineStr">
        <is>
          <t>Gazules Renovables, S.L.</t>
        </is>
      </c>
      <c r="H597" s="278">
        <f>VLOOKUP($G597,DATOS!$B:$E,2,FALSE)</f>
        <v/>
      </c>
      <c r="I597" s="278">
        <f>VLOOKUP($G597,DATOS!$B:$E,3,FALSE)</f>
        <v/>
      </c>
      <c r="J597" s="278">
        <f>VLOOKUP($G597,DATOS!$B:$E,4,FALSE)</f>
        <v/>
      </c>
      <c r="K597" s="278" t="inlineStr">
        <is>
          <t>Refacturación gastos y/o servicios prestados a nombre de la sociedad</t>
        </is>
      </c>
      <c r="L597" s="280" t="n"/>
      <c r="M597" s="278" t="inlineStr">
        <is>
          <t>Jofran Mensajeros, S.L - Envio de documentación</t>
        </is>
      </c>
      <c r="N597" s="280" t="n">
        <v>22.51</v>
      </c>
      <c r="P597" s="280" t="n"/>
      <c r="R597" s="280" t="n"/>
      <c r="T597" s="280" t="n"/>
      <c r="V597" s="280" t="n"/>
      <c r="X597" s="280" t="n"/>
      <c r="Z597" s="280" t="n"/>
      <c r="AA597" s="280" t="n"/>
      <c r="AB597" s="281" t="inlineStr">
        <is>
          <t>ES85 2080 3509 1130 4009 6171</t>
        </is>
      </c>
      <c r="AC597" s="278" t="inlineStr">
        <is>
          <t>pendiente</t>
        </is>
      </c>
      <c r="AD597" s="280">
        <f>L597+N597+P597+R597+T597+V597+X597+Z597</f>
        <v/>
      </c>
      <c r="AE597" s="280">
        <f>IF((LEFT(K597,6))="Contab",L597,0)</f>
        <v/>
      </c>
      <c r="AF597" s="281">
        <f>VLOOKUP(G597,CLIENTES!B:E,4,FALSE)</f>
        <v/>
      </c>
      <c r="AG597" s="280">
        <f>AF597*AE597</f>
        <v/>
      </c>
      <c r="AH597" s="280">
        <f>AD597*1.21</f>
        <v/>
      </c>
      <c r="AI597" s="284">
        <f>IF(AE597&lt;&gt;0,AG597/AD597,"N/A")</f>
        <v/>
      </c>
      <c r="AJ597" s="280">
        <f>IF(AC597="pendiente",AD597,0)</f>
        <v/>
      </c>
      <c r="AK597" s="278">
        <f>VLOOKUP(G597,CLIENTES!B:D,3,FALSE)</f>
        <v/>
      </c>
    </row>
    <row r="598" ht="15" customFormat="1" customHeight="1" s="278">
      <c r="B598" s="279" t="n"/>
      <c r="C598" s="278" t="inlineStr">
        <is>
          <t>c/ Las Cruzadas 3A, local D</t>
        </is>
      </c>
      <c r="D598" s="278" t="inlineStr">
        <is>
          <t>Sevilla 41004</t>
        </is>
      </c>
      <c r="E598" s="278" t="inlineStr">
        <is>
          <t>CIF B91938662</t>
        </is>
      </c>
      <c r="F598" s="278" t="inlineStr">
        <is>
          <t>aBalados@abalados.es</t>
        </is>
      </c>
      <c r="G598" s="278" t="inlineStr">
        <is>
          <t>Evacuación Tordesillas 400 kV, S.L.</t>
        </is>
      </c>
      <c r="H598" s="278">
        <f>VLOOKUP($G598,DATOS!$B:$E,2,FALSE)</f>
        <v/>
      </c>
      <c r="I598" s="278">
        <f>VLOOKUP($G598,DATOS!$B:$E,3,FALSE)</f>
        <v/>
      </c>
      <c r="J598" s="278">
        <f>VLOOKUP($G598,DATOS!$B:$E,4,FALSE)</f>
        <v/>
      </c>
      <c r="K598" s="278" t="inlineStr">
        <is>
          <t>Refacturación gastos y/o servicios prestados a nombre de la sociedad</t>
        </is>
      </c>
      <c r="L598" s="280" t="n"/>
      <c r="M598" s="278" t="inlineStr">
        <is>
          <t>Registro Mercantil de Madrid nº 2024/27208</t>
        </is>
      </c>
      <c r="N598" s="280" t="n">
        <v>44.93</v>
      </c>
      <c r="O598" s="278" t="inlineStr">
        <is>
          <t>Registro Mercantil de Madrid nº 2024/27043</t>
        </is>
      </c>
      <c r="P598" s="280" t="n">
        <v>47.18</v>
      </c>
      <c r="R598" s="280" t="n"/>
      <c r="T598" s="280" t="n"/>
      <c r="V598" s="280" t="n"/>
      <c r="X598" s="280" t="n"/>
      <c r="Z598" s="280" t="n"/>
      <c r="AA598" s="280" t="n"/>
      <c r="AB598" s="281" t="inlineStr">
        <is>
          <t>ES85 2080 3509 1130 4009 6171</t>
        </is>
      </c>
      <c r="AC598" s="278" t="inlineStr">
        <is>
          <t>pendiente</t>
        </is>
      </c>
      <c r="AD598" s="280">
        <f>L598+N598+P598+R598+T598+V598+X598+Z598</f>
        <v/>
      </c>
      <c r="AE598" s="280">
        <f>IF((LEFT(K598,6))="Contab",L598,0)</f>
        <v/>
      </c>
      <c r="AF598" s="281">
        <f>VLOOKUP(G598,CLIENTES!B:E,4,FALSE)</f>
        <v/>
      </c>
      <c r="AG598" s="280">
        <f>AF598*AE598</f>
        <v/>
      </c>
      <c r="AH598" s="280">
        <f>AD598*1.21</f>
        <v/>
      </c>
      <c r="AI598" s="284">
        <f>IF(AE598&lt;&gt;0,AG598/AD598,"N/A")</f>
        <v/>
      </c>
      <c r="AJ598" s="280">
        <f>IF(AC598="pendiente",AD598,0)</f>
        <v/>
      </c>
      <c r="AK598" s="278">
        <f>VLOOKUP(G598,CLIENTES!B:D,3,FALSE)</f>
        <v/>
      </c>
    </row>
    <row r="599" ht="15" customFormat="1" customHeight="1" s="278">
      <c r="B599" s="279" t="n"/>
      <c r="C599" s="278" t="inlineStr">
        <is>
          <t>c/ Las Cruzadas 3A, local D</t>
        </is>
      </c>
      <c r="D599" s="278" t="inlineStr">
        <is>
          <t>Sevilla 41004</t>
        </is>
      </c>
      <c r="E599" s="278" t="inlineStr">
        <is>
          <t>CIF B91938662</t>
        </is>
      </c>
      <c r="F599" s="278" t="inlineStr">
        <is>
          <t>aBalados@abalados.es</t>
        </is>
      </c>
      <c r="G599" s="278" t="inlineStr">
        <is>
          <t>Energías Limpias de Carmona, S.L.</t>
        </is>
      </c>
      <c r="H599" s="278">
        <f>VLOOKUP($G599,DATOS!$B:$E,2,FALSE)</f>
        <v/>
      </c>
      <c r="I599" s="278">
        <f>VLOOKUP($G599,DATOS!$B:$E,3,FALSE)</f>
        <v/>
      </c>
      <c r="J599" s="278">
        <f>VLOOKUP($G599,DATOS!$B:$E,4,FALSE)</f>
        <v/>
      </c>
      <c r="K599" s="278" t="inlineStr">
        <is>
          <t>Refacturación gastos y/o servicios prestados a nombre de la sociedad</t>
        </is>
      </c>
      <c r="L599" s="280" t="n"/>
      <c r="M599" s="278" t="inlineStr">
        <is>
          <t>Jofran Mensajeros, S.L - Envio de documentación</t>
        </is>
      </c>
      <c r="N599" s="280" t="n">
        <v>25.9</v>
      </c>
      <c r="P599" s="280" t="n"/>
      <c r="R599" s="280" t="n"/>
      <c r="T599" s="280" t="n"/>
      <c r="V599" s="280" t="n"/>
      <c r="X599" s="280" t="n"/>
      <c r="Z599" s="280" t="n"/>
      <c r="AA599" s="280" t="n"/>
      <c r="AB599" s="281" t="inlineStr">
        <is>
          <t>ES85 2080 3509 1130 4009 6171</t>
        </is>
      </c>
      <c r="AC599" s="278" t="inlineStr">
        <is>
          <t>pendiente</t>
        </is>
      </c>
      <c r="AD599" s="280">
        <f>L599+N599+P599+R599+T599+V599+X599+Z599</f>
        <v/>
      </c>
      <c r="AE599" s="280">
        <f>IF((LEFT(K599,6))="Contab",L599,0)</f>
        <v/>
      </c>
      <c r="AF599" s="281">
        <f>VLOOKUP(G599,CLIENTES!B:E,4,FALSE)</f>
        <v/>
      </c>
      <c r="AG599" s="280">
        <f>AF599*AE599</f>
        <v/>
      </c>
      <c r="AH599" s="280">
        <f>AD599*1.21</f>
        <v/>
      </c>
      <c r="AI599" s="284">
        <f>IF(AE599&lt;&gt;0,AG599/AD599,"N/A")</f>
        <v/>
      </c>
      <c r="AJ599" s="280">
        <f>IF(AC599="pendiente",AD599,0)</f>
        <v/>
      </c>
      <c r="AK599" s="278">
        <f>VLOOKUP(G599,CLIENTES!B:D,3,FALSE)</f>
        <v/>
      </c>
    </row>
    <row r="600" ht="15" customFormat="1" customHeight="1" s="278">
      <c r="B600" s="279" t="n"/>
      <c r="C600" s="278" t="inlineStr">
        <is>
          <t>c/ Las Cruzadas 3A, local D</t>
        </is>
      </c>
      <c r="D600" s="278" t="inlineStr">
        <is>
          <t>Sevilla 41004</t>
        </is>
      </c>
      <c r="E600" s="278" t="inlineStr">
        <is>
          <t>CIF B91938662</t>
        </is>
      </c>
      <c r="F600" s="278" t="inlineStr">
        <is>
          <t>aBalados@abalados.es</t>
        </is>
      </c>
      <c r="G600" s="278" t="inlineStr">
        <is>
          <t>SET Carmona 400 kV Renovables, S.L.</t>
        </is>
      </c>
      <c r="H600" s="278">
        <f>VLOOKUP($G600,DATOS!$B:$E,2,FALSE)</f>
        <v/>
      </c>
      <c r="I600" s="278">
        <f>VLOOKUP($G600,DATOS!$B:$E,3,FALSE)</f>
        <v/>
      </c>
      <c r="J600" s="278">
        <f>VLOOKUP($G600,DATOS!$B:$E,4,FALSE)</f>
        <v/>
      </c>
      <c r="K600" s="278" t="inlineStr">
        <is>
          <t>Refacturación gastos y/o servicios prestados a nombre de la sociedad</t>
        </is>
      </c>
      <c r="L600" s="280" t="n"/>
      <c r="M600" s="278" t="inlineStr">
        <is>
          <t>Jofran Mensajeros, S.L - Envio de documentación</t>
        </is>
      </c>
      <c r="N600" s="280" t="n">
        <v>31.8</v>
      </c>
      <c r="P600" s="280" t="n"/>
      <c r="R600" s="280" t="n"/>
      <c r="T600" s="280" t="n"/>
      <c r="V600" s="280" t="n"/>
      <c r="X600" s="280" t="n"/>
      <c r="Z600" s="280" t="n"/>
      <c r="AA600" s="280" t="n"/>
      <c r="AB600" s="281" t="inlineStr">
        <is>
          <t>ES85 2080 3509 1130 4009 6171</t>
        </is>
      </c>
      <c r="AC600" s="278" t="inlineStr">
        <is>
          <t>pendiente</t>
        </is>
      </c>
      <c r="AD600" s="280">
        <f>L600+N600+P600+R600+T600+V600+X600+Z600</f>
        <v/>
      </c>
      <c r="AE600" s="280">
        <f>IF((LEFT(K600,6))="Contab",L600,0)</f>
        <v/>
      </c>
      <c r="AF600" s="281">
        <f>VLOOKUP(G600,CLIENTES!B:E,4,FALSE)</f>
        <v/>
      </c>
      <c r="AG600" s="280">
        <f>AF600*AE600</f>
        <v/>
      </c>
      <c r="AH600" s="280">
        <f>AD600*1.21</f>
        <v/>
      </c>
      <c r="AI600" s="284">
        <f>IF(AE600&lt;&gt;0,AG600/AD600,"N/A")</f>
        <v/>
      </c>
      <c r="AJ600" s="280">
        <f>IF(AC600="pendiente",AD600,0)</f>
        <v/>
      </c>
      <c r="AK600" s="278">
        <f>VLOOKUP(G600,CLIENTES!B:D,3,FALSE)</f>
        <v/>
      </c>
    </row>
    <row r="601" ht="15" customFormat="1" customHeight="1" s="278">
      <c r="B601" s="279" t="n"/>
      <c r="C601" s="278" t="inlineStr">
        <is>
          <t>c/ Las Cruzadas 3A, local D</t>
        </is>
      </c>
      <c r="D601" s="278" t="inlineStr">
        <is>
          <t>Sevilla 41004</t>
        </is>
      </c>
      <c r="E601" s="278" t="inlineStr">
        <is>
          <t>CIF B91938662</t>
        </is>
      </c>
      <c r="F601" s="278" t="inlineStr">
        <is>
          <t>aBalados@abalados.es</t>
        </is>
      </c>
      <c r="G601" s="278" t="inlineStr">
        <is>
          <t>La Serranilla Renovables 132 kV, A.I.E.</t>
        </is>
      </c>
      <c r="H601" s="278">
        <f>VLOOKUP($G601,DATOS!$B:$E,2,FALSE)</f>
        <v/>
      </c>
      <c r="I601" s="278">
        <f>VLOOKUP($G601,DATOS!$B:$E,3,FALSE)</f>
        <v/>
      </c>
      <c r="J601" s="278">
        <f>VLOOKUP($G601,DATOS!$B:$E,4,FALSE)</f>
        <v/>
      </c>
      <c r="K601" s="278" t="inlineStr">
        <is>
          <t>Refacturación gastos y/o servicios prestados a nombre de la sociedad</t>
        </is>
      </c>
      <c r="L601" s="280" t="n"/>
      <c r="M601" s="278" t="inlineStr">
        <is>
          <t>Jofran Mensajeros, S.L - Envio de documentación</t>
        </is>
      </c>
      <c r="N601" s="280" t="n">
        <v>6.36</v>
      </c>
      <c r="O601" s="278" t="inlineStr">
        <is>
          <t>Registro Mercantil de Madrid nº 2024/51986</t>
        </is>
      </c>
      <c r="P601" s="280" t="n">
        <v>51.69</v>
      </c>
      <c r="Q601" s="278" t="inlineStr">
        <is>
          <t>Registro Mercantil de Madrid nº 2024/51997</t>
        </is>
      </c>
      <c r="R601" s="280" t="n">
        <v>35.31</v>
      </c>
      <c r="T601" s="280" t="n"/>
      <c r="V601" s="280" t="n"/>
      <c r="X601" s="280" t="n"/>
      <c r="Z601" s="280" t="n"/>
      <c r="AA601" s="280" t="n"/>
      <c r="AB601" s="281" t="inlineStr">
        <is>
          <t>ES85 2080 3509 1130 4009 6171</t>
        </is>
      </c>
      <c r="AC601" s="278" t="inlineStr">
        <is>
          <t>pendiente</t>
        </is>
      </c>
      <c r="AD601" s="280">
        <f>L601+N601+P601+R601+T601+V601+X601+Z601</f>
        <v/>
      </c>
      <c r="AE601" s="280">
        <f>IF((LEFT(K601,6))="Contab",L601,0)</f>
        <v/>
      </c>
      <c r="AF601" s="281">
        <f>VLOOKUP(G601,CLIENTES!B:E,4,FALSE)</f>
        <v/>
      </c>
      <c r="AG601" s="280">
        <f>AF601*AE601</f>
        <v/>
      </c>
      <c r="AH601" s="280">
        <f>AD601*1.21</f>
        <v/>
      </c>
      <c r="AI601" s="284">
        <f>IF(AE601&lt;&gt;0,AG601/AD601,"N/A")</f>
        <v/>
      </c>
      <c r="AJ601" s="280">
        <f>IF(AC601="pendiente",AD601,0)</f>
        <v/>
      </c>
      <c r="AK601" s="278">
        <f>VLOOKUP(G601,CLIENTES!B:D,3,FALSE)</f>
        <v/>
      </c>
    </row>
    <row r="602" ht="15" customFormat="1" customHeight="1" s="278">
      <c r="B602" s="279" t="n"/>
      <c r="C602" s="278" t="inlineStr">
        <is>
          <t>c/ Las Cruzadas 3A, local D</t>
        </is>
      </c>
      <c r="D602" s="278" t="inlineStr">
        <is>
          <t>Sevilla 41004</t>
        </is>
      </c>
      <c r="E602" s="278" t="inlineStr">
        <is>
          <t>CIF B91938662</t>
        </is>
      </c>
      <c r="F602" s="278" t="inlineStr">
        <is>
          <t>aBalados@abalados.es</t>
        </is>
      </c>
      <c r="G602" s="278" t="inlineStr">
        <is>
          <t>Herrera Sotillo Renovables, A.I.E.</t>
        </is>
      </c>
      <c r="H602" s="278">
        <f>VLOOKUP($G602,DATOS!$B:$E,2,FALSE)</f>
        <v/>
      </c>
      <c r="I602" s="278">
        <f>VLOOKUP($G602,DATOS!$B:$E,3,FALSE)</f>
        <v/>
      </c>
      <c r="J602" s="278">
        <f>VLOOKUP($G602,DATOS!$B:$E,4,FALSE)</f>
        <v/>
      </c>
      <c r="K602" s="278" t="inlineStr">
        <is>
          <t>Refacturación gastos y/o servicios prestados a nombre de la sociedad</t>
        </is>
      </c>
      <c r="L602" s="280" t="n"/>
      <c r="M602" s="278" t="inlineStr">
        <is>
          <t>Jofran Mensajeros, S.L - Envio de documentación</t>
        </is>
      </c>
      <c r="N602" s="280" t="n">
        <v>5.47</v>
      </c>
      <c r="O602" s="278" t="inlineStr">
        <is>
          <t xml:space="preserve">Servicios por Docusing </t>
        </is>
      </c>
      <c r="P602" s="280" t="n">
        <v>276</v>
      </c>
      <c r="R602" s="280" t="n"/>
      <c r="T602" s="280" t="n"/>
      <c r="V602" s="280" t="n"/>
      <c r="X602" s="280" t="n"/>
      <c r="Z602" s="280" t="n"/>
      <c r="AA602" s="280" t="n"/>
      <c r="AB602" s="281" t="inlineStr">
        <is>
          <t>ES85 2080 3509 1130 4009 6171</t>
        </is>
      </c>
      <c r="AC602" s="278" t="inlineStr">
        <is>
          <t>pendiente</t>
        </is>
      </c>
      <c r="AD602" s="280">
        <f>L602+N602+P602+R602+T602+V602+X602+Z602</f>
        <v/>
      </c>
      <c r="AE602" s="280">
        <f>IF((LEFT(K602,6))="Contab",L602,0)</f>
        <v/>
      </c>
      <c r="AF602" s="281">
        <f>VLOOKUP(G602,CLIENTES!B:E,4,FALSE)</f>
        <v/>
      </c>
      <c r="AG602" s="280">
        <f>AF602*AE602</f>
        <v/>
      </c>
      <c r="AH602" s="280">
        <f>AD602*1.21</f>
        <v/>
      </c>
      <c r="AI602" s="284">
        <f>IF(AE602&lt;&gt;0,AG602/AD602,"N/A")</f>
        <v/>
      </c>
      <c r="AJ602" s="280">
        <f>IF(AC602="pendiente",AD602,0)</f>
        <v/>
      </c>
      <c r="AK602" s="278">
        <f>VLOOKUP(G602,CLIENTES!B:D,3,FALSE)</f>
        <v/>
      </c>
    </row>
    <row r="603" ht="15" customFormat="1" customHeight="1" s="278">
      <c r="B603" s="279" t="n"/>
      <c r="C603" s="278" t="inlineStr">
        <is>
          <t>c/ Las Cruzadas 3A, local D</t>
        </is>
      </c>
      <c r="D603" s="278" t="inlineStr">
        <is>
          <t>Sevilla 41004</t>
        </is>
      </c>
      <c r="E603" s="278" t="inlineStr">
        <is>
          <t>CIF B91938662</t>
        </is>
      </c>
      <c r="F603" s="278" t="inlineStr">
        <is>
          <t>aBalados@abalados.es</t>
        </is>
      </c>
      <c r="G603" s="278" t="inlineStr">
        <is>
          <t>Renovables Brovales 400 kV, S.L.</t>
        </is>
      </c>
      <c r="H603" s="278">
        <f>VLOOKUP($G603,DATOS!$B:$E,2,FALSE)</f>
        <v/>
      </c>
      <c r="I603" s="278">
        <f>VLOOKUP($G603,DATOS!$B:$E,3,FALSE)</f>
        <v/>
      </c>
      <c r="J603" s="278">
        <f>VLOOKUP($G603,DATOS!$B:$E,4,FALSE)</f>
        <v/>
      </c>
      <c r="K603" s="278" t="inlineStr">
        <is>
          <t>Refacturación gastos y/o servicios prestados a nombre de la sociedad</t>
        </is>
      </c>
      <c r="L603" s="280" t="n"/>
      <c r="M603" s="278" t="inlineStr">
        <is>
          <t>Jofran Mensajeros, S.L - Envio de documentación</t>
        </is>
      </c>
      <c r="N603" s="280" t="n">
        <v>35.44</v>
      </c>
      <c r="P603" s="280" t="n"/>
      <c r="R603" s="280" t="n"/>
      <c r="T603" s="280" t="n"/>
      <c r="V603" s="280" t="n"/>
      <c r="X603" s="280" t="n"/>
      <c r="Z603" s="280" t="n"/>
      <c r="AA603" s="280" t="n"/>
      <c r="AB603" s="281" t="inlineStr">
        <is>
          <t>ES85 2080 3509 1130 4009 6171</t>
        </is>
      </c>
      <c r="AC603" s="278" t="inlineStr">
        <is>
          <t>pendiente</t>
        </is>
      </c>
      <c r="AD603" s="280">
        <f>L603+N603+P603+R603+T603+V603+X603+Z603</f>
        <v/>
      </c>
      <c r="AE603" s="280">
        <f>IF((LEFT(K603,6))="Contab",L603,0)</f>
        <v/>
      </c>
      <c r="AF603" s="281">
        <f>VLOOKUP(G603,CLIENTES!B:E,4,FALSE)</f>
        <v/>
      </c>
      <c r="AG603" s="280">
        <f>AF603*AE603</f>
        <v/>
      </c>
      <c r="AH603" s="280">
        <f>AD603*1.21</f>
        <v/>
      </c>
      <c r="AI603" s="284">
        <f>IF(AE603&lt;&gt;0,AG603/AD603,"N/A")</f>
        <v/>
      </c>
      <c r="AJ603" s="280">
        <f>IF(AC603="pendiente",AD603,0)</f>
        <v/>
      </c>
      <c r="AK603" s="278">
        <f>VLOOKUP(G603,CLIENTES!B:D,3,FALSE)</f>
        <v/>
      </c>
    </row>
    <row r="604" ht="15" customFormat="1" customHeight="1" s="278">
      <c r="B604" s="279" t="n"/>
      <c r="C604" s="278" t="inlineStr">
        <is>
          <t>c/ Las Cruzadas 3A, local D</t>
        </is>
      </c>
      <c r="D604" s="278" t="inlineStr">
        <is>
          <t>Sevilla 41004</t>
        </is>
      </c>
      <c r="E604" s="278" t="inlineStr">
        <is>
          <t>CIF B91938662</t>
        </is>
      </c>
      <c r="F604" s="278" t="inlineStr">
        <is>
          <t>aBalados@abalados.es</t>
        </is>
      </c>
      <c r="G604" s="278" t="inlineStr">
        <is>
          <t>Huerta Sevilla Renovables, S.L.</t>
        </is>
      </c>
      <c r="H604" s="278">
        <f>VLOOKUP($G604,DATOS!$B:$E,2,FALSE)</f>
        <v/>
      </c>
      <c r="I604" s="278">
        <f>VLOOKUP($G604,DATOS!$B:$E,3,FALSE)</f>
        <v/>
      </c>
      <c r="J604" s="278">
        <f>VLOOKUP($G604,DATOS!$B:$E,4,FALSE)</f>
        <v/>
      </c>
      <c r="K604" s="278" t="inlineStr">
        <is>
          <t>Refacturación gastos y/o servicios prestados a nombre de la sociedad</t>
        </is>
      </c>
      <c r="L604" s="280" t="n"/>
      <c r="M604" s="278" t="inlineStr">
        <is>
          <t>Jofran Mensajeros, S.L - Envio de documentación</t>
        </is>
      </c>
      <c r="N604" s="280" t="n">
        <v>53.39</v>
      </c>
      <c r="P604" s="280" t="n"/>
      <c r="R604" s="280" t="n"/>
      <c r="T604" s="280" t="n"/>
      <c r="V604" s="280" t="n"/>
      <c r="X604" s="280" t="n"/>
      <c r="Z604" s="280" t="n"/>
      <c r="AA604" s="280" t="n"/>
      <c r="AB604" s="281" t="inlineStr">
        <is>
          <t>ES85 2080 3509 1130 4009 6171</t>
        </is>
      </c>
      <c r="AC604" s="278" t="inlineStr">
        <is>
          <t>pendiente</t>
        </is>
      </c>
      <c r="AD604" s="280">
        <f>L604+N604+P604+R604+T604+V604+X604+Z604</f>
        <v/>
      </c>
      <c r="AE604" s="280">
        <f>IF((LEFT(K604,6))="Contab",L604,0)</f>
        <v/>
      </c>
      <c r="AF604" s="281">
        <f>VLOOKUP(G604,CLIENTES!B:E,4,FALSE)</f>
        <v/>
      </c>
      <c r="AG604" s="280">
        <f>AF604*AE604</f>
        <v/>
      </c>
      <c r="AH604" s="280">
        <f>AD604*1.21</f>
        <v/>
      </c>
      <c r="AI604" s="284">
        <f>IF(AE604&lt;&gt;0,AG604/AD604,"N/A")</f>
        <v/>
      </c>
      <c r="AJ604" s="280">
        <f>IF(AC604="pendiente",AD604,0)</f>
        <v/>
      </c>
      <c r="AK604" s="278">
        <f>VLOOKUP(G604,CLIENTES!B:D,3,FALSE)</f>
        <v/>
      </c>
    </row>
    <row r="605" ht="15" customFormat="1" customHeight="1" s="278">
      <c r="B605" s="279" t="n"/>
      <c r="C605" s="278" t="inlineStr">
        <is>
          <t>c/ Las Cruzadas 3A, local D</t>
        </is>
      </c>
      <c r="D605" s="278" t="inlineStr">
        <is>
          <t>Sevilla 41004</t>
        </is>
      </c>
      <c r="E605" s="278" t="inlineStr">
        <is>
          <t>CIF B91938662</t>
        </is>
      </c>
      <c r="F605" s="278" t="inlineStr">
        <is>
          <t>aBalados@abalados.es</t>
        </is>
      </c>
      <c r="G605" s="278" t="inlineStr">
        <is>
          <t>Transformadora Almodóvar Renovables, S.L.</t>
        </is>
      </c>
      <c r="H605" s="278">
        <f>VLOOKUP($G605,DATOS!$B:$E,2,FALSE)</f>
        <v/>
      </c>
      <c r="I605" s="278">
        <f>VLOOKUP($G605,DATOS!$B:$E,3,FALSE)</f>
        <v/>
      </c>
      <c r="J605" s="278">
        <f>VLOOKUP($G605,DATOS!$B:$E,4,FALSE)</f>
        <v/>
      </c>
      <c r="K605" s="278" t="inlineStr">
        <is>
          <t>Refacturación gastos y/o servicios prestados a nombre de la sociedad</t>
        </is>
      </c>
      <c r="L605" s="280" t="n"/>
      <c r="M605" s="278" t="inlineStr">
        <is>
          <t>Jofran Mensajeros, S.L - Envio de documentación</t>
        </is>
      </c>
      <c r="N605" s="280" t="n">
        <v>6.36</v>
      </c>
      <c r="P605" s="280" t="n"/>
      <c r="R605" s="280" t="n"/>
      <c r="T605" s="280" t="n"/>
      <c r="V605" s="280" t="n"/>
      <c r="X605" s="280" t="n"/>
      <c r="Z605" s="280" t="n"/>
      <c r="AA605" s="280" t="n"/>
      <c r="AB605" s="281" t="inlineStr">
        <is>
          <t>ES85 2080 3509 1130 4009 6171</t>
        </is>
      </c>
      <c r="AC605" s="278" t="inlineStr">
        <is>
          <t>pendiente</t>
        </is>
      </c>
      <c r="AD605" s="280">
        <f>L605+N605+P605+R605+T605+V605+X605+Z605</f>
        <v/>
      </c>
      <c r="AE605" s="280">
        <f>IF((LEFT(K605,6))="Contab",L605,0)</f>
        <v/>
      </c>
      <c r="AF605" s="281">
        <f>VLOOKUP(G605,CLIENTES!B:E,4,FALSE)</f>
        <v/>
      </c>
      <c r="AG605" s="280">
        <f>AF605*AE605</f>
        <v/>
      </c>
      <c r="AH605" s="280">
        <f>AD605*1.21</f>
        <v/>
      </c>
      <c r="AI605" s="284">
        <f>IF(AE605&lt;&gt;0,AG605/AD605,"N/A")</f>
        <v/>
      </c>
      <c r="AJ605" s="280">
        <f>IF(AC605="pendiente",AD605,0)</f>
        <v/>
      </c>
      <c r="AK605" s="278">
        <f>VLOOKUP(G605,CLIENTES!B:D,3,FALSE)</f>
        <v/>
      </c>
    </row>
    <row r="606" ht="15" customFormat="1" customHeight="1" s="278">
      <c r="B606" s="279" t="n"/>
      <c r="C606" s="278" t="inlineStr">
        <is>
          <t>c/ Las Cruzadas 3A, local D</t>
        </is>
      </c>
      <c r="D606" s="278" t="inlineStr">
        <is>
          <t>Sevilla 41004</t>
        </is>
      </c>
      <c r="E606" s="278" t="inlineStr">
        <is>
          <t>CIF B91938662</t>
        </is>
      </c>
      <c r="F606" s="278" t="inlineStr">
        <is>
          <t>aBalados@abalados.es</t>
        </is>
      </c>
      <c r="G606" s="278" t="inlineStr">
        <is>
          <t>Cuádruple Belinchón, S.L.</t>
        </is>
      </c>
      <c r="H606" s="278">
        <f>VLOOKUP($G606,DATOS!$B:$E,2,FALSE)</f>
        <v/>
      </c>
      <c r="I606" s="278">
        <f>VLOOKUP($G606,DATOS!$B:$E,3,FALSE)</f>
        <v/>
      </c>
      <c r="J606" s="278">
        <f>VLOOKUP($G606,DATOS!$B:$E,4,FALSE)</f>
        <v/>
      </c>
      <c r="K606" s="278" t="inlineStr">
        <is>
          <t>Refacturación gastos y/o servicios prestados a nombre de la sociedad</t>
        </is>
      </c>
      <c r="L606" s="280" t="n"/>
      <c r="M606" s="278" t="inlineStr">
        <is>
          <t>Jofran Mensajeros, S.L - Envio de documentación</t>
        </is>
      </c>
      <c r="N606" s="280" t="n">
        <v>58.16</v>
      </c>
      <c r="P606" s="280" t="n"/>
      <c r="R606" s="280" t="n"/>
      <c r="T606" s="280" t="n"/>
      <c r="V606" s="280" t="n"/>
      <c r="X606" s="280" t="n"/>
      <c r="Z606" s="280" t="n"/>
      <c r="AA606" s="280" t="n"/>
      <c r="AB606" s="281" t="inlineStr">
        <is>
          <t>ES85 2080 3509 1130 4009 6171</t>
        </is>
      </c>
      <c r="AC606" s="278" t="inlineStr">
        <is>
          <t>pendiente</t>
        </is>
      </c>
      <c r="AD606" s="280">
        <f>L606+N606+P606+R606+T606+V606+X606+Z606</f>
        <v/>
      </c>
      <c r="AE606" s="280">
        <f>IF((LEFT(K606,6))="Contab",L606,0)</f>
        <v/>
      </c>
      <c r="AF606" s="281">
        <f>VLOOKUP(G606,CLIENTES!B:E,4,FALSE)</f>
        <v/>
      </c>
      <c r="AG606" s="280">
        <f>AF606*AE606</f>
        <v/>
      </c>
      <c r="AH606" s="280">
        <f>AD606*1.21</f>
        <v/>
      </c>
      <c r="AI606" s="284">
        <f>IF(AE606&lt;&gt;0,AG606/AD606,"N/A")</f>
        <v/>
      </c>
      <c r="AJ606" s="280">
        <f>IF(AC606="pendiente",AD606,0)</f>
        <v/>
      </c>
      <c r="AK606" s="278">
        <f>VLOOKUP(G606,CLIENTES!B:D,3,FALSE)</f>
        <v/>
      </c>
    </row>
    <row r="607" ht="15" customFormat="1" customHeight="1" s="278">
      <c r="B607" s="279" t="n"/>
      <c r="C607" s="278" t="inlineStr">
        <is>
          <t>c/ Las Cruzadas 3A, local D</t>
        </is>
      </c>
      <c r="D607" s="278" t="inlineStr">
        <is>
          <t>Sevilla 41004</t>
        </is>
      </c>
      <c r="E607" s="278" t="inlineStr">
        <is>
          <t>CIF B91938662</t>
        </is>
      </c>
      <c r="F607" s="278" t="inlineStr">
        <is>
          <t>aBalados@abalados.es</t>
        </is>
      </c>
      <c r="G607" s="278" t="inlineStr">
        <is>
          <t>Brazatortas 220 Renovables, S.L.</t>
        </is>
      </c>
      <c r="H607" s="278">
        <f>VLOOKUP($G607,DATOS!$B:$E,2,FALSE)</f>
        <v/>
      </c>
      <c r="I607" s="278">
        <f>VLOOKUP($G607,DATOS!$B:$E,3,FALSE)</f>
        <v/>
      </c>
      <c r="J607" s="278">
        <f>VLOOKUP($G607,DATOS!$B:$E,4,FALSE)</f>
        <v/>
      </c>
      <c r="K607" s="278" t="inlineStr">
        <is>
          <t>Refacturación gastos y/o servicios prestados a nombre de la sociedad</t>
        </is>
      </c>
      <c r="L607" s="280" t="n"/>
      <c r="M607" s="278" t="inlineStr">
        <is>
          <t>Jofran Mensajeros, S.L - Envio de documentación</t>
        </is>
      </c>
      <c r="N607" s="280" t="n">
        <v>13.32</v>
      </c>
      <c r="P607" s="280" t="n"/>
      <c r="R607" s="280" t="n"/>
      <c r="T607" s="280" t="n"/>
      <c r="V607" s="280" t="n"/>
      <c r="X607" s="280" t="n"/>
      <c r="Z607" s="280" t="n"/>
      <c r="AA607" s="280" t="n"/>
      <c r="AB607" s="281" t="inlineStr">
        <is>
          <t>ES85 2080 3509 1130 4009 6171</t>
        </is>
      </c>
      <c r="AC607" s="278" t="inlineStr">
        <is>
          <t>pendiente</t>
        </is>
      </c>
      <c r="AD607" s="280">
        <f>L607+N607+P607+R607+T607+V607+X607+Z607</f>
        <v/>
      </c>
      <c r="AE607" s="280">
        <f>IF((LEFT(K607,6))="Contab",L607,0)</f>
        <v/>
      </c>
      <c r="AF607" s="281">
        <f>VLOOKUP(G607,CLIENTES!B:E,4,FALSE)</f>
        <v/>
      </c>
      <c r="AG607" s="280">
        <f>AF607*AE607</f>
        <v/>
      </c>
      <c r="AH607" s="280">
        <f>AD607*1.21</f>
        <v/>
      </c>
      <c r="AI607" s="284">
        <f>IF(AE607&lt;&gt;0,AG607/AD607,"N/A")</f>
        <v/>
      </c>
      <c r="AJ607" s="280">
        <f>IF(AC607="pendiente",AD607,0)</f>
        <v/>
      </c>
      <c r="AK607" s="278">
        <f>VLOOKUP(G607,CLIENTES!B:D,3,FALSE)</f>
        <v/>
      </c>
    </row>
    <row r="608" ht="15" customFormat="1" customHeight="1" s="278">
      <c r="B608" s="279" t="n"/>
      <c r="C608" s="278" t="inlineStr">
        <is>
          <t>c/ Las Cruzadas 3A, local D</t>
        </is>
      </c>
      <c r="D608" s="278" t="inlineStr">
        <is>
          <t>Sevilla 41004</t>
        </is>
      </c>
      <c r="E608" s="278" t="inlineStr">
        <is>
          <t>CIF B91938662</t>
        </is>
      </c>
      <c r="F608" s="278" t="inlineStr">
        <is>
          <t>aBalados@abalados.es</t>
        </is>
      </c>
      <c r="G608" s="278" t="inlineStr">
        <is>
          <t>Belisol 132 kV, S.L.</t>
        </is>
      </c>
      <c r="H608" s="278">
        <f>VLOOKUP($G608,DATOS!$B:$E,2,FALSE)</f>
        <v/>
      </c>
      <c r="I608" s="278">
        <f>VLOOKUP($G608,DATOS!$B:$E,3,FALSE)</f>
        <v/>
      </c>
      <c r="J608" s="278">
        <f>VLOOKUP($G608,DATOS!$B:$E,4,FALSE)</f>
        <v/>
      </c>
      <c r="K608" s="278" t="inlineStr">
        <is>
          <t>Refacturación gastos y/o servicios prestados a nombre de la sociedad</t>
        </is>
      </c>
      <c r="L608" s="280" t="n"/>
      <c r="M608" s="278" t="inlineStr">
        <is>
          <t>Jofran Mensajeros, S.L - Envio de documentación</t>
        </is>
      </c>
      <c r="N608" s="280" t="n">
        <v>19.08</v>
      </c>
      <c r="P608" s="280" t="n"/>
      <c r="R608" s="280" t="n"/>
      <c r="T608" s="280" t="n"/>
      <c r="V608" s="280" t="n"/>
      <c r="X608" s="280" t="n"/>
      <c r="Z608" s="280" t="n"/>
      <c r="AA608" s="280" t="n"/>
      <c r="AB608" s="281" t="inlineStr">
        <is>
          <t>ES85 2080 3509 1130 4009 6171</t>
        </is>
      </c>
      <c r="AC608" s="278" t="inlineStr">
        <is>
          <t>pendiente</t>
        </is>
      </c>
      <c r="AD608" s="280">
        <f>L608+N608+P608+R608+T608+V608+X608+Z608</f>
        <v/>
      </c>
      <c r="AE608" s="280">
        <f>IF((LEFT(K608,6))="Contab",L608,0)</f>
        <v/>
      </c>
      <c r="AF608" s="281">
        <f>VLOOKUP(G608,CLIENTES!B:E,4,FALSE)</f>
        <v/>
      </c>
      <c r="AG608" s="280">
        <f>AF608*AE608</f>
        <v/>
      </c>
      <c r="AH608" s="280">
        <f>AD608*1.21</f>
        <v/>
      </c>
      <c r="AI608" s="284">
        <f>IF(AE608&lt;&gt;0,AG608/AD608,"N/A")</f>
        <v/>
      </c>
      <c r="AJ608" s="280">
        <f>IF(AC608="pendiente",AD608,0)</f>
        <v/>
      </c>
      <c r="AK608" s="278">
        <f>VLOOKUP(G608,CLIENTES!B:D,3,FALSE)</f>
        <v/>
      </c>
    </row>
    <row r="609" ht="15" customFormat="1" customHeight="1" s="278">
      <c r="B609" s="279" t="n"/>
      <c r="C609" s="278" t="inlineStr">
        <is>
          <t>c/ Las Cruzadas 3A, local D</t>
        </is>
      </c>
      <c r="D609" s="278" t="inlineStr">
        <is>
          <t>Sevilla 41004</t>
        </is>
      </c>
      <c r="E609" s="278" t="inlineStr">
        <is>
          <t>CIF B91938662</t>
        </is>
      </c>
      <c r="F609" s="278" t="inlineStr">
        <is>
          <t>aBalados@abalados.es</t>
        </is>
      </c>
      <c r="G609" s="278" t="inlineStr">
        <is>
          <t>Becerril Renovables, S.L.</t>
        </is>
      </c>
      <c r="H609" s="278">
        <f>VLOOKUP($G609,DATOS!$B:$E,2,FALSE)</f>
        <v/>
      </c>
      <c r="I609" s="278">
        <f>VLOOKUP($G609,DATOS!$B:$E,3,FALSE)</f>
        <v/>
      </c>
      <c r="J609" s="278">
        <f>VLOOKUP($G609,DATOS!$B:$E,4,FALSE)</f>
        <v/>
      </c>
      <c r="K609" s="278" t="inlineStr">
        <is>
          <t>Refacturación gastos y/o servicios prestados a nombre de la sociedad</t>
        </is>
      </c>
      <c r="L609" s="280" t="n"/>
      <c r="M609" s="278" t="inlineStr">
        <is>
          <t>Jofran Mensajeros, S.L - Envio de documentación</t>
        </is>
      </c>
      <c r="N609" s="280" t="n">
        <v>16.93</v>
      </c>
      <c r="P609" s="280" t="n"/>
      <c r="R609" s="280" t="n"/>
      <c r="T609" s="280" t="n"/>
      <c r="V609" s="280" t="n"/>
      <c r="X609" s="280" t="n"/>
      <c r="Z609" s="280" t="n"/>
      <c r="AA609" s="280" t="n"/>
      <c r="AB609" s="281" t="inlineStr">
        <is>
          <t>ES85 2080 3509 1130 4009 6171</t>
        </is>
      </c>
      <c r="AC609" s="278" t="inlineStr">
        <is>
          <t>pendiente</t>
        </is>
      </c>
      <c r="AD609" s="280">
        <f>L609+N609+P609+R609+T609+V609+X609+Z609</f>
        <v/>
      </c>
      <c r="AE609" s="280">
        <f>IF((LEFT(K609,6))="Contab",L609,0)</f>
        <v/>
      </c>
      <c r="AF609" s="281">
        <f>VLOOKUP(G609,CLIENTES!B:E,4,FALSE)</f>
        <v/>
      </c>
      <c r="AG609" s="280">
        <f>AF609*AE609</f>
        <v/>
      </c>
      <c r="AH609" s="280">
        <f>AD609*1.21</f>
        <v/>
      </c>
      <c r="AI609" s="284">
        <f>IF(AE609&lt;&gt;0,AG609/AD609,"N/A")</f>
        <v/>
      </c>
      <c r="AJ609" s="280">
        <f>IF(AC609="pendiente",AD609,0)</f>
        <v/>
      </c>
      <c r="AK609" s="278">
        <f>VLOOKUP(G609,CLIENTES!B:D,3,FALSE)</f>
        <v/>
      </c>
    </row>
    <row r="610" ht="15" customFormat="1" customHeight="1" s="278">
      <c r="B610" s="279" t="n"/>
      <c r="C610" s="278" t="inlineStr">
        <is>
          <t>c/ Las Cruzadas 3A, local D</t>
        </is>
      </c>
      <c r="D610" s="278" t="inlineStr">
        <is>
          <t>Sevilla 41004</t>
        </is>
      </c>
      <c r="E610" s="278" t="inlineStr">
        <is>
          <t>CIF B91938662</t>
        </is>
      </c>
      <c r="F610" s="278" t="inlineStr">
        <is>
          <t>aBalados@abalados.es</t>
        </is>
      </c>
      <c r="G610" s="278" t="inlineStr">
        <is>
          <t>Toro Renovables, S.L.</t>
        </is>
      </c>
      <c r="H610" s="278">
        <f>VLOOKUP($G610,DATOS!$B:$E,2,FALSE)</f>
        <v/>
      </c>
      <c r="I610" s="278">
        <f>VLOOKUP($G610,DATOS!$B:$E,3,FALSE)</f>
        <v/>
      </c>
      <c r="J610" s="278">
        <f>VLOOKUP($G610,DATOS!$B:$E,4,FALSE)</f>
        <v/>
      </c>
      <c r="K610" s="278" t="inlineStr">
        <is>
          <t>Refacturación gastos y/o servicios prestados a nombre de la sociedad</t>
        </is>
      </c>
      <c r="L610" s="280" t="n"/>
      <c r="M610" s="278" t="inlineStr">
        <is>
          <t>Jofran Mensajeros, S.L - Envio de documentación</t>
        </is>
      </c>
      <c r="N610" s="280" t="n">
        <v>87.91</v>
      </c>
      <c r="P610" s="280" t="n"/>
      <c r="R610" s="280" t="n"/>
      <c r="T610" s="280" t="n"/>
      <c r="V610" s="280" t="n"/>
      <c r="X610" s="280" t="n"/>
      <c r="Z610" s="280" t="n"/>
      <c r="AA610" s="280" t="n"/>
      <c r="AB610" s="281" t="inlineStr">
        <is>
          <t>ES85 2080 3509 1130 4009 6171</t>
        </is>
      </c>
      <c r="AC610" s="278" t="inlineStr">
        <is>
          <t>pendiente</t>
        </is>
      </c>
      <c r="AD610" s="280">
        <f>L610+N610+P610+R610+T610+V610+X610+Z610</f>
        <v/>
      </c>
      <c r="AE610" s="280">
        <f>IF((LEFT(K610,6))="Contab",L610,0)</f>
        <v/>
      </c>
      <c r="AF610" s="281">
        <f>VLOOKUP(G610,CLIENTES!B:E,4,FALSE)</f>
        <v/>
      </c>
      <c r="AG610" s="280">
        <f>AF610*AE610</f>
        <v/>
      </c>
      <c r="AH610" s="280">
        <f>AD610*1.21</f>
        <v/>
      </c>
      <c r="AI610" s="284">
        <f>IF(AE610&lt;&gt;0,AG610/AD610,"N/A")</f>
        <v/>
      </c>
      <c r="AJ610" s="280">
        <f>IF(AC610="pendiente",AD610,0)</f>
        <v/>
      </c>
      <c r="AK610" s="278">
        <f>VLOOKUP(G610,CLIENTES!B:D,3,FALSE)</f>
        <v/>
      </c>
    </row>
    <row r="611" ht="15" customFormat="1" customHeight="1" s="278">
      <c r="B611" s="279" t="n"/>
      <c r="C611" s="278" t="inlineStr">
        <is>
          <t>c/ Las Cruzadas 3A, local D</t>
        </is>
      </c>
      <c r="D611" s="278" t="inlineStr">
        <is>
          <t>Sevilla 41004</t>
        </is>
      </c>
      <c r="E611" s="278" t="inlineStr">
        <is>
          <t>CIF B91938662</t>
        </is>
      </c>
      <c r="F611" s="278" t="inlineStr">
        <is>
          <t>aBalados@abalados.es</t>
        </is>
      </c>
      <c r="G611" s="278" t="inlineStr">
        <is>
          <t>ICE Santa Engracia, S.L.</t>
        </is>
      </c>
      <c r="H611" s="278">
        <f>VLOOKUP($G611,DATOS!$B:$E,2,FALSE)</f>
        <v/>
      </c>
      <c r="I611" s="278">
        <f>VLOOKUP($G611,DATOS!$B:$E,3,FALSE)</f>
        <v/>
      </c>
      <c r="J611" s="278">
        <f>VLOOKUP($G611,DATOS!$B:$E,4,FALSE)</f>
        <v/>
      </c>
      <c r="K611" s="278" t="inlineStr">
        <is>
          <t>Refacturación gastos y/o servicios prestados a nombre de la sociedad</t>
        </is>
      </c>
      <c r="L611" s="280" t="n"/>
      <c r="M611" s="278" t="inlineStr">
        <is>
          <t>Jofran Mensajeros, S.L - Envio de documentación</t>
        </is>
      </c>
      <c r="N611" s="280" t="n">
        <v>6.36</v>
      </c>
      <c r="P611" s="280" t="n"/>
      <c r="R611" s="280" t="n"/>
      <c r="T611" s="280" t="n"/>
      <c r="V611" s="280" t="n"/>
      <c r="X611" s="280" t="n"/>
      <c r="Z611" s="280" t="n"/>
      <c r="AA611" s="280" t="n"/>
      <c r="AB611" s="281" t="inlineStr">
        <is>
          <t>ES85 2080 3509 1130 4009 6171</t>
        </is>
      </c>
      <c r="AC611" s="278" t="inlineStr">
        <is>
          <t>pendiente</t>
        </is>
      </c>
      <c r="AD611" s="280">
        <f>L611+N611+P611+R611+T611+V611+X611+Z611</f>
        <v/>
      </c>
      <c r="AE611" s="280">
        <f>IF((LEFT(K611,6))="Contab",L611,0)</f>
        <v/>
      </c>
      <c r="AF611" s="281">
        <f>VLOOKUP(G611,CLIENTES!B:E,4,FALSE)</f>
        <v/>
      </c>
      <c r="AG611" s="280">
        <f>AF611*AE611</f>
        <v/>
      </c>
      <c r="AH611" s="280">
        <f>AD611*1.21</f>
        <v/>
      </c>
      <c r="AI611" s="284">
        <f>IF(AE611&lt;&gt;0,AG611/AD611,"N/A")</f>
        <v/>
      </c>
      <c r="AJ611" s="280">
        <f>IF(AC611="pendiente",AD611,0)</f>
        <v/>
      </c>
      <c r="AK611" s="278">
        <f>VLOOKUP(G611,CLIENTES!B:D,3,FALSE)</f>
        <v/>
      </c>
    </row>
    <row r="612" ht="15" customFormat="1" customHeight="1" s="278">
      <c r="B612" s="279" t="n"/>
      <c r="C612" s="278" t="inlineStr">
        <is>
          <t>c/ Las Cruzadas 3A, local D</t>
        </is>
      </c>
      <c r="D612" s="278" t="inlineStr">
        <is>
          <t>Sevilla 41004</t>
        </is>
      </c>
      <c r="E612" s="278" t="inlineStr">
        <is>
          <t>CIF B91938662</t>
        </is>
      </c>
      <c r="F612" s="278" t="inlineStr">
        <is>
          <t>aBalados@abalados.es</t>
        </is>
      </c>
      <c r="G612" s="278" t="inlineStr">
        <is>
          <t>Irina Generación 220, A.I.E.</t>
        </is>
      </c>
      <c r="H612" s="278">
        <f>VLOOKUP($G612,DATOS!$B:$E,2,FALSE)</f>
        <v/>
      </c>
      <c r="I612" s="278">
        <f>VLOOKUP($G612,DATOS!$B:$E,3,FALSE)</f>
        <v/>
      </c>
      <c r="J612" s="278">
        <f>VLOOKUP($G612,DATOS!$B:$E,4,FALSE)</f>
        <v/>
      </c>
      <c r="K612" s="278" t="inlineStr">
        <is>
          <t>Refacturación gastos y/o servicios prestados a nombre de la sociedad</t>
        </is>
      </c>
      <c r="L612" s="280" t="n"/>
      <c r="M612" s="278" t="inlineStr">
        <is>
          <t>Jofran Mensajeros, S.L - Envio de documentación</t>
        </is>
      </c>
      <c r="N612" s="280" t="n">
        <v>41.8</v>
      </c>
      <c r="O612" s="278" t="inlineStr">
        <is>
          <t>Registro Mercantil de Madrid nº2024/40947</t>
        </is>
      </c>
      <c r="P612" s="280" t="n">
        <v>40.42</v>
      </c>
      <c r="Q612" s="278" t="inlineStr">
        <is>
          <t>Registro Mercantil de Madrid nº2024/40957</t>
        </is>
      </c>
      <c r="R612" s="280" t="n">
        <v>48.68</v>
      </c>
      <c r="S612" s="278" t="inlineStr">
        <is>
          <t>Sociedad Estatal Correos y Telégrafos S.A. Nº F240224058</t>
        </is>
      </c>
      <c r="T612" s="280" t="n">
        <v>26.27</v>
      </c>
      <c r="V612" s="280" t="n"/>
      <c r="X612" s="280" t="n"/>
      <c r="Z612" s="280" t="n"/>
      <c r="AA612" s="280" t="n"/>
      <c r="AB612" s="281" t="inlineStr">
        <is>
          <t>ES85 2080 3509 1130 4009 6171</t>
        </is>
      </c>
      <c r="AC612" s="278" t="inlineStr">
        <is>
          <t>pendiente</t>
        </is>
      </c>
      <c r="AD612" s="280">
        <f>L612+N612+P612+R612+T612+V612+X612+Z612</f>
        <v/>
      </c>
      <c r="AE612" s="280">
        <f>IF((LEFT(K612,6))="Contab",L612,0)</f>
        <v/>
      </c>
      <c r="AF612" s="281">
        <f>VLOOKUP(G612,CLIENTES!B:E,4,FALSE)</f>
        <v/>
      </c>
      <c r="AG612" s="280">
        <f>AF612*AE612</f>
        <v/>
      </c>
      <c r="AH612" s="280">
        <f>AD612*1.21</f>
        <v/>
      </c>
      <c r="AI612" s="284">
        <f>IF(AE612&lt;&gt;0,AG612/AD612,"N/A")</f>
        <v/>
      </c>
      <c r="AJ612" s="280">
        <f>IF(AC612="pendiente",AD612,0)</f>
        <v/>
      </c>
      <c r="AK612" s="278">
        <f>VLOOKUP(G612,CLIENTES!B:D,3,FALSE)</f>
        <v/>
      </c>
    </row>
    <row r="613" ht="15" customFormat="1" customHeight="1" s="278">
      <c r="B613" s="279" t="n"/>
      <c r="C613" s="278" t="inlineStr">
        <is>
          <t>c/ Las Cruzadas 3A, local D</t>
        </is>
      </c>
      <c r="D613" s="278" t="inlineStr">
        <is>
          <t>Sevilla 41004</t>
        </is>
      </c>
      <c r="E613" s="278" t="inlineStr">
        <is>
          <t>CIF B91938662</t>
        </is>
      </c>
      <c r="F613" s="278" t="inlineStr">
        <is>
          <t>aBalados@abalados.es</t>
        </is>
      </c>
      <c r="G613" s="278" t="inlineStr">
        <is>
          <t>SE Colectora Ayora Renovables, A.I.E.</t>
        </is>
      </c>
      <c r="H613" s="278">
        <f>VLOOKUP($G613,DATOS!$B:$E,2,FALSE)</f>
        <v/>
      </c>
      <c r="I613" s="278">
        <f>VLOOKUP($G613,DATOS!$B:$E,3,FALSE)</f>
        <v/>
      </c>
      <c r="J613" s="278">
        <f>VLOOKUP($G613,DATOS!$B:$E,4,FALSE)</f>
        <v/>
      </c>
      <c r="K613" s="278" t="inlineStr">
        <is>
          <t>Refacturación gastos y/o servicios prestados a nombre de la sociedad</t>
        </is>
      </c>
      <c r="L613" s="280" t="n"/>
      <c r="M613" s="278" t="inlineStr">
        <is>
          <t>Jofran Mensajeros, S.L - Envio de documentación</t>
        </is>
      </c>
      <c r="N613" s="280" t="n">
        <v>25.74</v>
      </c>
      <c r="P613" s="280" t="n"/>
      <c r="R613" s="280" t="n"/>
      <c r="T613" s="280" t="n"/>
      <c r="V613" s="280" t="n"/>
      <c r="X613" s="280" t="n"/>
      <c r="Z613" s="280" t="n"/>
      <c r="AA613" s="280" t="n"/>
      <c r="AB613" s="281" t="inlineStr">
        <is>
          <t>ES85 2080 3509 1130 4009 6171</t>
        </is>
      </c>
      <c r="AC613" s="278" t="inlineStr">
        <is>
          <t>pendiente</t>
        </is>
      </c>
      <c r="AD613" s="280">
        <f>L613+N613+P613+R613+T613+V613+X613+Z613</f>
        <v/>
      </c>
      <c r="AE613" s="280">
        <f>IF((LEFT(K613,6))="Contab",L613,0)</f>
        <v/>
      </c>
      <c r="AF613" s="281">
        <f>VLOOKUP(G613,CLIENTES!B:E,4,FALSE)</f>
        <v/>
      </c>
      <c r="AG613" s="280">
        <f>AF613*AE613</f>
        <v/>
      </c>
      <c r="AH613" s="280">
        <f>AD613*1.21</f>
        <v/>
      </c>
      <c r="AI613" s="284">
        <f>IF(AE613&lt;&gt;0,AG613/AD613,"N/A")</f>
        <v/>
      </c>
      <c r="AJ613" s="280">
        <f>IF(AC613="pendiente",AD613,0)</f>
        <v/>
      </c>
      <c r="AK613" s="278">
        <f>VLOOKUP(G613,CLIENTES!B:D,3,FALSE)</f>
        <v/>
      </c>
    </row>
    <row r="614" ht="15" customFormat="1" customHeight="1" s="278">
      <c r="B614" s="279" t="n"/>
      <c r="C614" s="278" t="inlineStr">
        <is>
          <t>c/ Las Cruzadas 3A, local D</t>
        </is>
      </c>
      <c r="D614" s="278" t="inlineStr">
        <is>
          <t>Sevilla 41004</t>
        </is>
      </c>
      <c r="E614" s="278" t="inlineStr">
        <is>
          <t>CIF B91938662</t>
        </is>
      </c>
      <c r="F614" s="278" t="inlineStr">
        <is>
          <t>aBalados@abalados.es</t>
        </is>
      </c>
      <c r="G614" s="278" t="inlineStr">
        <is>
          <t>Renovables Valle Solar Fotovoltaica, A.I.E.</t>
        </is>
      </c>
      <c r="H614" s="278">
        <f>VLOOKUP($G614,DATOS!$B:$E,2,FALSE)</f>
        <v/>
      </c>
      <c r="I614" s="278">
        <f>VLOOKUP($G614,DATOS!$B:$E,3,FALSE)</f>
        <v/>
      </c>
      <c r="J614" s="278">
        <f>VLOOKUP($G614,DATOS!$B:$E,4,FALSE)</f>
        <v/>
      </c>
      <c r="K614" s="278" t="inlineStr">
        <is>
          <t>Refacturación gastos y/o servicios prestados a nombre de la sociedad</t>
        </is>
      </c>
      <c r="L614" s="280" t="n"/>
      <c r="M614" s="278" t="inlineStr">
        <is>
          <t>Jofran Mensajeros, S.L - Envio de documentación</t>
        </is>
      </c>
      <c r="N614" s="280" t="n">
        <v>25.74</v>
      </c>
      <c r="P614" s="280" t="n"/>
      <c r="R614" s="280" t="n"/>
      <c r="T614" s="280" t="n"/>
      <c r="V614" s="280" t="n"/>
      <c r="X614" s="280" t="n"/>
      <c r="Z614" s="280" t="n"/>
      <c r="AA614" s="280" t="n"/>
      <c r="AB614" s="281" t="inlineStr">
        <is>
          <t>ES85 2080 3509 1130 4009 6171</t>
        </is>
      </c>
      <c r="AC614" s="278" t="inlineStr">
        <is>
          <t>pendiente</t>
        </is>
      </c>
      <c r="AD614" s="280">
        <f>L614+N614+P614+R614+T614+V614+X614+Z614</f>
        <v/>
      </c>
      <c r="AE614" s="280">
        <f>IF((LEFT(K614,6))="Contab",L614,0)</f>
        <v/>
      </c>
      <c r="AF614" s="281">
        <f>VLOOKUP(G614,CLIENTES!B:E,4,FALSE)</f>
        <v/>
      </c>
      <c r="AG614" s="280">
        <f>AF614*AE614</f>
        <v/>
      </c>
      <c r="AH614" s="280">
        <f>AD614*1.21</f>
        <v/>
      </c>
      <c r="AI614" s="284">
        <f>IF(AE614&lt;&gt;0,AG614/AD614,"N/A")</f>
        <v/>
      </c>
      <c r="AJ614" s="280">
        <f>IF(AC614="pendiente",AD614,0)</f>
        <v/>
      </c>
      <c r="AK614" s="278">
        <f>VLOOKUP(G614,CLIENTES!B:D,3,FALSE)</f>
        <v/>
      </c>
    </row>
    <row r="615" ht="15" customFormat="1" customHeight="1" s="278">
      <c r="B615" s="279" t="n"/>
      <c r="C615" s="278" t="inlineStr">
        <is>
          <t>c/ Las Cruzadas 3A, local D</t>
        </is>
      </c>
      <c r="D615" s="278" t="inlineStr">
        <is>
          <t>Sevilla 41004</t>
        </is>
      </c>
      <c r="E615" s="278" t="inlineStr">
        <is>
          <t>CIF B91938662</t>
        </is>
      </c>
      <c r="F615" s="278" t="inlineStr">
        <is>
          <t>aBalados@abalados.es</t>
        </is>
      </c>
      <c r="G615" s="278" t="inlineStr">
        <is>
          <t>Comunidad de Bienes Grupotec Rotonda</t>
        </is>
      </c>
      <c r="H615" s="278">
        <f>VLOOKUP($G615,DATOS!$B:$E,2,FALSE)</f>
        <v/>
      </c>
      <c r="I615" s="278">
        <f>VLOOKUP($G615,DATOS!$B:$E,3,FALSE)</f>
        <v/>
      </c>
      <c r="J615" s="278">
        <f>VLOOKUP($G615,DATOS!$B:$E,4,FALSE)</f>
        <v/>
      </c>
      <c r="K615" s="278" t="inlineStr">
        <is>
          <t>Refacturación gastos y/o servicios prestados a nombre de la sociedad</t>
        </is>
      </c>
      <c r="L615" s="280" t="n"/>
      <c r="M615" s="278" t="inlineStr">
        <is>
          <t>Jofran Mensajeros, S.L - Envio de documentación</t>
        </is>
      </c>
      <c r="N615" s="280" t="n">
        <v>19.97</v>
      </c>
      <c r="P615" s="280" t="n"/>
      <c r="R615" s="280" t="n"/>
      <c r="T615" s="280" t="n"/>
      <c r="V615" s="280" t="n"/>
      <c r="X615" s="280" t="n"/>
      <c r="Z615" s="280" t="n"/>
      <c r="AA615" s="280" t="n"/>
      <c r="AB615" s="281" t="inlineStr">
        <is>
          <t>ES85 2080 3509 1130 4009 6171</t>
        </is>
      </c>
      <c r="AC615" s="278" t="inlineStr">
        <is>
          <t>pendiente</t>
        </is>
      </c>
      <c r="AD615" s="280">
        <f>L615+N615+P615+R615+T615+V615+X615+Z615</f>
        <v/>
      </c>
      <c r="AE615" s="280">
        <f>IF((LEFT(K615,6))="Contab",L615,0)</f>
        <v/>
      </c>
      <c r="AF615" s="281">
        <f>VLOOKUP(G615,CLIENTES!B:E,4,FALSE)</f>
        <v/>
      </c>
      <c r="AG615" s="280">
        <f>AF615*AE615</f>
        <v/>
      </c>
      <c r="AH615" s="280">
        <f>AD615*1.21</f>
        <v/>
      </c>
      <c r="AI615" s="284">
        <f>IF(AE615&lt;&gt;0,AG615/AD615,"N/A")</f>
        <v/>
      </c>
      <c r="AJ615" s="280">
        <f>IF(AC615="pendiente",AD615,0)</f>
        <v/>
      </c>
      <c r="AK615" s="278">
        <f>VLOOKUP(G615,CLIENTES!B:D,3,FALSE)</f>
        <v/>
      </c>
    </row>
    <row r="616" ht="15" customFormat="1" customHeight="1" s="278">
      <c r="B616" s="279" t="n"/>
      <c r="C616" s="278" t="inlineStr">
        <is>
          <t>c/ Las Cruzadas 3A, local D</t>
        </is>
      </c>
      <c r="D616" s="278" t="inlineStr">
        <is>
          <t>Sevilla 41004</t>
        </is>
      </c>
      <c r="E616" s="278" t="inlineStr">
        <is>
          <t>CIF B91938662</t>
        </is>
      </c>
      <c r="F616" s="278" t="inlineStr">
        <is>
          <t>aBalados@abalados.es</t>
        </is>
      </c>
      <c r="G616" s="278" t="inlineStr">
        <is>
          <t>Manzasol 132 kV, S.L.</t>
        </is>
      </c>
      <c r="H616" s="278">
        <f>VLOOKUP($G616,DATOS!$B:$E,2,FALSE)</f>
        <v/>
      </c>
      <c r="I616" s="278">
        <f>VLOOKUP($G616,DATOS!$B:$E,3,FALSE)</f>
        <v/>
      </c>
      <c r="J616" s="278">
        <f>VLOOKUP($G616,DATOS!$B:$E,4,FALSE)</f>
        <v/>
      </c>
      <c r="K616" s="278" t="inlineStr">
        <is>
          <t>Refacturación gastos y/o servicios prestados a nombre de la sociedad</t>
        </is>
      </c>
      <c r="L616" s="280" t="n"/>
      <c r="M616" s="278" t="inlineStr">
        <is>
          <t>Jofran Mensajeros, S.L - Envio de documentación</t>
        </is>
      </c>
      <c r="N616" s="280" t="n">
        <v>38.16</v>
      </c>
      <c r="O616" s="278" t="inlineStr">
        <is>
          <t>Registro Mercantil de Albacete nº2024/467</t>
        </is>
      </c>
      <c r="P616" s="280" t="n">
        <v>18.33</v>
      </c>
      <c r="R616" s="280" t="n"/>
      <c r="T616" s="280" t="n"/>
      <c r="V616" s="280" t="n"/>
      <c r="X616" s="280" t="n"/>
      <c r="Z616" s="280" t="n"/>
      <c r="AA616" s="280" t="n"/>
      <c r="AB616" s="281" t="inlineStr">
        <is>
          <t>ES85 2080 3509 1130 4009 6171</t>
        </is>
      </c>
      <c r="AC616" s="278" t="inlineStr">
        <is>
          <t>pendiente</t>
        </is>
      </c>
      <c r="AD616" s="280">
        <f>L616+N616+P616+R616+T616+V616+X616+Z616</f>
        <v/>
      </c>
      <c r="AE616" s="280">
        <f>IF((LEFT(K616,6))="Contab",L616,0)</f>
        <v/>
      </c>
      <c r="AF616" s="281">
        <f>VLOOKUP(G616,CLIENTES!B:E,4,FALSE)</f>
        <v/>
      </c>
      <c r="AG616" s="280">
        <f>AF616*AE616</f>
        <v/>
      </c>
      <c r="AH616" s="280">
        <f>AD616*1.21</f>
        <v/>
      </c>
      <c r="AI616" s="284">
        <f>IF(AE616&lt;&gt;0,AG616/AD616,"N/A")</f>
        <v/>
      </c>
      <c r="AJ616" s="280">
        <f>IF(AC616="pendiente",AD616,0)</f>
        <v/>
      </c>
      <c r="AK616" s="278">
        <f>VLOOKUP(G616,CLIENTES!B:D,3,FALSE)</f>
        <v/>
      </c>
    </row>
    <row r="617" ht="15" customFormat="1" customHeight="1" s="278">
      <c r="B617" s="279" t="n"/>
      <c r="C617" s="278" t="inlineStr">
        <is>
          <t>c/ Las Cruzadas 3A, local D</t>
        </is>
      </c>
      <c r="D617" s="278" t="inlineStr">
        <is>
          <t>Sevilla 41004</t>
        </is>
      </c>
      <c r="E617" s="278" t="inlineStr">
        <is>
          <t>CIF B91938662</t>
        </is>
      </c>
      <c r="F617" s="278" t="inlineStr">
        <is>
          <t>aBalados@abalados.es</t>
        </is>
      </c>
      <c r="G617" s="278" t="inlineStr">
        <is>
          <t>Grijota Renovables, S.L.</t>
        </is>
      </c>
      <c r="H617" s="278">
        <f>VLOOKUP($G617,DATOS!$B:$E,2,FALSE)</f>
        <v/>
      </c>
      <c r="I617" s="278">
        <f>VLOOKUP($G617,DATOS!$B:$E,3,FALSE)</f>
        <v/>
      </c>
      <c r="J617" s="278">
        <f>VLOOKUP($G617,DATOS!$B:$E,4,FALSE)</f>
        <v/>
      </c>
      <c r="K617" s="278" t="inlineStr">
        <is>
          <t>Refacturación gastos y/o servicios prestados a nombre de la sociedad</t>
        </is>
      </c>
      <c r="L617" s="280" t="n"/>
      <c r="M617" s="278" t="inlineStr">
        <is>
          <t>Jofran Mensajeros, S.L - Envio de documentación</t>
        </is>
      </c>
      <c r="N617" s="280" t="n">
        <v>37.73</v>
      </c>
      <c r="P617" s="280" t="n"/>
      <c r="R617" s="280" t="n"/>
      <c r="T617" s="280" t="n"/>
      <c r="V617" s="280" t="n"/>
      <c r="X617" s="280" t="n"/>
      <c r="Z617" s="280" t="n"/>
      <c r="AA617" s="280" t="n"/>
      <c r="AB617" s="281" t="inlineStr">
        <is>
          <t>ES85 2080 3509 1130 4009 6171</t>
        </is>
      </c>
      <c r="AC617" s="278" t="inlineStr">
        <is>
          <t>pendiente</t>
        </is>
      </c>
      <c r="AD617" s="280">
        <f>L617+N617+P617+R617+T617+V617+X617+Z617</f>
        <v/>
      </c>
      <c r="AE617" s="280">
        <f>IF((LEFT(K617,6))="Contab",L617,0)</f>
        <v/>
      </c>
      <c r="AF617" s="281">
        <f>VLOOKUP(G617,CLIENTES!B:E,4,FALSE)</f>
        <v/>
      </c>
      <c r="AG617" s="280">
        <f>AF617*AE617</f>
        <v/>
      </c>
      <c r="AH617" s="280">
        <f>AD617*1.21</f>
        <v/>
      </c>
      <c r="AI617" s="284">
        <f>IF(AE617&lt;&gt;0,AG617/AD617,"N/A")</f>
        <v/>
      </c>
      <c r="AJ617" s="280">
        <f>IF(AC617="pendiente",AD617,0)</f>
        <v/>
      </c>
      <c r="AK617" s="278">
        <f>VLOOKUP(G617,CLIENTES!B:D,3,FALSE)</f>
        <v/>
      </c>
    </row>
    <row r="618" ht="15" customFormat="1" customHeight="1" s="278">
      <c r="B618" s="279" t="n"/>
      <c r="C618" s="278" t="inlineStr">
        <is>
          <t>c/ Las Cruzadas 3A, local D</t>
        </is>
      </c>
      <c r="D618" s="278" t="inlineStr">
        <is>
          <t>Sevilla 41004</t>
        </is>
      </c>
      <c r="E618" s="278" t="inlineStr">
        <is>
          <t>CIF B91938662</t>
        </is>
      </c>
      <c r="F618" s="278" t="inlineStr">
        <is>
          <t>aBalados@abalados.es</t>
        </is>
      </c>
      <c r="G618" s="278" t="inlineStr">
        <is>
          <t>Monte Reina Renovables, S.L.</t>
        </is>
      </c>
      <c r="H618" s="278">
        <f>VLOOKUP($G618,DATOS!$B:$E,2,FALSE)</f>
        <v/>
      </c>
      <c r="I618" s="278">
        <f>VLOOKUP($G618,DATOS!$B:$E,3,FALSE)</f>
        <v/>
      </c>
      <c r="J618" s="278">
        <f>VLOOKUP($G618,DATOS!$B:$E,4,FALSE)</f>
        <v/>
      </c>
      <c r="K618" s="278" t="inlineStr">
        <is>
          <t>Refacturación gastos y/o servicios prestados a nombre de la sociedad</t>
        </is>
      </c>
      <c r="L618" s="280" t="n"/>
      <c r="M618" s="278" t="inlineStr">
        <is>
          <t>Registro Mercantil de Madrid nº2024/32831</t>
        </is>
      </c>
      <c r="N618" s="280" t="n">
        <v>73.02</v>
      </c>
      <c r="O618" s="278" t="inlineStr">
        <is>
          <t>Registro Mercantil de Madrid nº2024/31553</t>
        </is>
      </c>
      <c r="P618" s="280" t="n">
        <v>46.58</v>
      </c>
      <c r="R618" s="280" t="n"/>
      <c r="T618" s="280" t="n"/>
      <c r="V618" s="280" t="n"/>
      <c r="X618" s="280" t="n"/>
      <c r="Z618" s="280" t="n"/>
      <c r="AA618" s="280" t="n"/>
      <c r="AB618" s="281" t="inlineStr">
        <is>
          <t>ES85 2080 3509 1130 4009 6171</t>
        </is>
      </c>
      <c r="AC618" s="278" t="inlineStr">
        <is>
          <t>pendiente</t>
        </is>
      </c>
      <c r="AD618" s="280">
        <f>L618+N618+P618+R618+T618+V618+X618+Z618</f>
        <v/>
      </c>
      <c r="AE618" s="280">
        <f>IF((LEFT(K618,6))="Contab",L618,0)</f>
        <v/>
      </c>
      <c r="AF618" s="281">
        <f>VLOOKUP(G618,CLIENTES!B:E,4,FALSE)</f>
        <v/>
      </c>
      <c r="AG618" s="280">
        <f>AF618*AE618</f>
        <v/>
      </c>
      <c r="AH618" s="280">
        <f>AD618*1.21</f>
        <v/>
      </c>
      <c r="AI618" s="284">
        <f>IF(AE618&lt;&gt;0,AG618/AD618,"N/A")</f>
        <v/>
      </c>
      <c r="AJ618" s="280">
        <f>IF(AC618="pendiente",AD618,0)</f>
        <v/>
      </c>
      <c r="AK618" s="278">
        <f>VLOOKUP(G618,CLIENTES!B:D,3,FALSE)</f>
        <v/>
      </c>
    </row>
    <row r="619" ht="15" customFormat="1" customHeight="1" s="278">
      <c r="B619" s="279" t="n"/>
      <c r="C619" s="278" t="inlineStr">
        <is>
          <t>c/ Las Cruzadas 3A, local D</t>
        </is>
      </c>
      <c r="D619" s="278" t="inlineStr">
        <is>
          <t>Sevilla 41004</t>
        </is>
      </c>
      <c r="E619" s="278" t="inlineStr">
        <is>
          <t>CIF B91938662</t>
        </is>
      </c>
      <c r="F619" s="278" t="inlineStr">
        <is>
          <t>aBalados@abalados.es</t>
        </is>
      </c>
      <c r="G619" s="278" t="inlineStr">
        <is>
          <t>Línea Covatillas, A.I.E.</t>
        </is>
      </c>
      <c r="H619" s="278">
        <f>VLOOKUP($G619,DATOS!$B:$E,2,FALSE)</f>
        <v/>
      </c>
      <c r="I619" s="278">
        <f>VLOOKUP($G619,DATOS!$B:$E,3,FALSE)</f>
        <v/>
      </c>
      <c r="J619" s="278">
        <f>VLOOKUP($G619,DATOS!$B:$E,4,FALSE)</f>
        <v/>
      </c>
      <c r="K619" s="278" t="inlineStr">
        <is>
          <t>Refacturación gastos y/o servicios prestados a nombre de la sociedad</t>
        </is>
      </c>
      <c r="L619" s="280" t="n"/>
      <c r="M619" s="278" t="inlineStr">
        <is>
          <t>Jofran Mensajeros, S.L - Envio de documentación</t>
        </is>
      </c>
      <c r="N619" s="280" t="n">
        <v>56.11</v>
      </c>
      <c r="P619" s="280" t="n"/>
      <c r="R619" s="280" t="n"/>
      <c r="T619" s="280" t="n"/>
      <c r="V619" s="280" t="n"/>
      <c r="X619" s="280" t="n"/>
      <c r="Z619" s="280" t="n"/>
      <c r="AA619" s="280" t="n"/>
      <c r="AB619" s="281" t="inlineStr">
        <is>
          <t>ES85 2080 3509 1130 4009 6171</t>
        </is>
      </c>
      <c r="AC619" s="278" t="inlineStr">
        <is>
          <t>pendiente</t>
        </is>
      </c>
      <c r="AD619" s="280">
        <f>L619+N619+P619+R619+T619+V619+X619+Z619</f>
        <v/>
      </c>
      <c r="AE619" s="280">
        <f>IF((LEFT(K619,6))="Contab",L619,0)</f>
        <v/>
      </c>
      <c r="AF619" s="281">
        <f>VLOOKUP(G619,CLIENTES!B:E,4,FALSE)</f>
        <v/>
      </c>
      <c r="AG619" s="280">
        <f>AF619*AE619</f>
        <v/>
      </c>
      <c r="AH619" s="280">
        <f>AD619*1.21</f>
        <v/>
      </c>
      <c r="AI619" s="284">
        <f>IF(AE619&lt;&gt;0,AG619/AD619,"N/A")</f>
        <v/>
      </c>
      <c r="AJ619" s="280">
        <f>IF(AC619="pendiente",AD619,0)</f>
        <v/>
      </c>
      <c r="AK619" s="278">
        <f>VLOOKUP(G619,CLIENTES!B:D,3,FALSE)</f>
        <v/>
      </c>
    </row>
    <row r="620" ht="15" customFormat="1" customHeight="1" s="278">
      <c r="B620" s="279" t="n"/>
      <c r="C620" s="278" t="inlineStr">
        <is>
          <t>c/ Las Cruzadas 3A, local D</t>
        </is>
      </c>
      <c r="D620" s="278" t="inlineStr">
        <is>
          <t>Sevilla 41004</t>
        </is>
      </c>
      <c r="E620" s="278" t="inlineStr">
        <is>
          <t>CIF B91938662</t>
        </is>
      </c>
      <c r="F620" s="278" t="inlineStr">
        <is>
          <t>aBalados@abalados.es</t>
        </is>
      </c>
      <c r="G620" s="278" t="inlineStr">
        <is>
          <t>Energías Renovables El Canto, S.L.</t>
        </is>
      </c>
      <c r="H620" s="278">
        <f>VLOOKUP($G620,DATOS!$B:$E,2,FALSE)</f>
        <v/>
      </c>
      <c r="I620" s="278">
        <f>VLOOKUP($G620,DATOS!$B:$E,3,FALSE)</f>
        <v/>
      </c>
      <c r="J620" s="278">
        <f>VLOOKUP($G620,DATOS!$B:$E,4,FALSE)</f>
        <v/>
      </c>
      <c r="K620" s="278" t="inlineStr">
        <is>
          <t>Refacturación gastos y/o servicios prestados a nombre de la sociedad</t>
        </is>
      </c>
      <c r="L620" s="280" t="n"/>
      <c r="M620" s="278" t="inlineStr">
        <is>
          <t>Jofran Mensajeros, S.L - Envio de documentación</t>
        </is>
      </c>
      <c r="N620" s="280" t="n">
        <v>7.39</v>
      </c>
      <c r="P620" s="280" t="n"/>
      <c r="R620" s="280" t="n"/>
      <c r="T620" s="280" t="n"/>
      <c r="V620" s="280" t="n"/>
      <c r="X620" s="280" t="n"/>
      <c r="Z620" s="280" t="n"/>
      <c r="AA620" s="280" t="n"/>
      <c r="AB620" s="281" t="inlineStr">
        <is>
          <t>ES85 2080 3509 1130 4009 6171</t>
        </is>
      </c>
      <c r="AC620" s="278" t="inlineStr">
        <is>
          <t>pendiente</t>
        </is>
      </c>
      <c r="AD620" s="280">
        <f>L620+N620+P620+R620+T620+V620+X620+Z620</f>
        <v/>
      </c>
      <c r="AE620" s="280">
        <f>IF((LEFT(K620,6))="Contab",L620,0)</f>
        <v/>
      </c>
      <c r="AF620" s="281">
        <f>VLOOKUP(G620,CLIENTES!B:E,4,FALSE)</f>
        <v/>
      </c>
      <c r="AG620" s="280">
        <f>AF620*AE620</f>
        <v/>
      </c>
      <c r="AH620" s="280">
        <f>AD620*1.21</f>
        <v/>
      </c>
      <c r="AI620" s="284">
        <f>IF(AE620&lt;&gt;0,AG620/AD620,"N/A")</f>
        <v/>
      </c>
      <c r="AJ620" s="280">
        <f>IF(AC620="pendiente",AD620,0)</f>
        <v/>
      </c>
      <c r="AK620" s="278">
        <f>VLOOKUP(G620,CLIENTES!B:D,3,FALSE)</f>
        <v/>
      </c>
    </row>
    <row r="621" ht="15" customFormat="1" customHeight="1" s="278">
      <c r="B621" s="279" t="n"/>
      <c r="C621" s="278" t="inlineStr">
        <is>
          <t>c/ Las Cruzadas 3A, local D</t>
        </is>
      </c>
      <c r="D621" s="278" t="inlineStr">
        <is>
          <t>Sevilla 41004</t>
        </is>
      </c>
      <c r="E621" s="278" t="inlineStr">
        <is>
          <t>CIF B91938662</t>
        </is>
      </c>
      <c r="F621" s="278" t="inlineStr">
        <is>
          <t>aBalados@abalados.es</t>
        </is>
      </c>
      <c r="G621" s="278" t="inlineStr">
        <is>
          <t>Evacuación Tordesillas 400 kV, S.L.</t>
        </is>
      </c>
      <c r="H621" s="278">
        <f>VLOOKUP($G621,DATOS!$B:$E,2,FALSE)</f>
        <v/>
      </c>
      <c r="I621" s="278">
        <f>VLOOKUP($G621,DATOS!$B:$E,3,FALSE)</f>
        <v/>
      </c>
      <c r="J621" s="278">
        <f>VLOOKUP($G621,DATOS!$B:$E,4,FALSE)</f>
        <v/>
      </c>
      <c r="K621" s="278" t="inlineStr">
        <is>
          <t>Refacturación gastos y/o servicios prestados a nombre de la sociedad</t>
        </is>
      </c>
      <c r="L621" s="280" t="n"/>
      <c r="M621" s="278" t="inlineStr">
        <is>
          <t>Jofran Mensajeros, S.L - Envio de documentación</t>
        </is>
      </c>
      <c r="N621" s="280" t="n">
        <v>43.65</v>
      </c>
      <c r="P621" s="280" t="n"/>
      <c r="R621" s="280" t="n"/>
      <c r="T621" s="280" t="n"/>
      <c r="V621" s="280" t="n"/>
      <c r="X621" s="280" t="n"/>
      <c r="Z621" s="280" t="n"/>
      <c r="AA621" s="280" t="n"/>
      <c r="AB621" s="281" t="inlineStr">
        <is>
          <t>ES85 2080 3509 1130 4009 6171</t>
        </is>
      </c>
      <c r="AC621" s="278" t="inlineStr">
        <is>
          <t>pendiente</t>
        </is>
      </c>
      <c r="AD621" s="280">
        <f>L621+N621+P621+R621+T621+V621+X621+Z621</f>
        <v/>
      </c>
      <c r="AE621" s="280">
        <f>IF((LEFT(K621,6))="Contab",L621,0)</f>
        <v/>
      </c>
      <c r="AF621" s="281">
        <f>VLOOKUP(G621,CLIENTES!B:E,4,FALSE)</f>
        <v/>
      </c>
      <c r="AG621" s="280">
        <f>AF621*AE621</f>
        <v/>
      </c>
      <c r="AH621" s="280">
        <f>AD621*1.21</f>
        <v/>
      </c>
      <c r="AI621" s="284">
        <f>IF(AE621&lt;&gt;0,AG621/AD621,"N/A")</f>
        <v/>
      </c>
      <c r="AJ621" s="280">
        <f>IF(AC621="pendiente",AD621,0)</f>
        <v/>
      </c>
      <c r="AK621" s="278">
        <f>VLOOKUP(G621,CLIENTES!B:D,3,FALSE)</f>
        <v/>
      </c>
    </row>
    <row r="622" ht="15" customFormat="1" customHeight="1" s="278">
      <c r="B622" s="279" t="n"/>
      <c r="C622" s="278" t="inlineStr">
        <is>
          <t>c/ Las Cruzadas 3A, local D</t>
        </is>
      </c>
      <c r="D622" s="278" t="inlineStr">
        <is>
          <t>Sevilla 41004</t>
        </is>
      </c>
      <c r="E622" s="278" t="inlineStr">
        <is>
          <t>CIF B91938662</t>
        </is>
      </c>
      <c r="F622" s="278" t="inlineStr">
        <is>
          <t>aBalados@abalados.es</t>
        </is>
      </c>
      <c r="G622" s="278" t="inlineStr">
        <is>
          <t>Renovables Brovales Segura de León 400 kV, S.L.</t>
        </is>
      </c>
      <c r="H622" s="278">
        <f>VLOOKUP($G622,DATOS!$B:$E,2,FALSE)</f>
        <v/>
      </c>
      <c r="I622" s="278">
        <f>VLOOKUP($G622,DATOS!$B:$E,3,FALSE)</f>
        <v/>
      </c>
      <c r="J622" s="278">
        <f>VLOOKUP($G622,DATOS!$B:$E,4,FALSE)</f>
        <v/>
      </c>
      <c r="K622" s="278" t="inlineStr">
        <is>
          <t>Refacturación gastos y/o servicios prestados a nombre de la sociedad</t>
        </is>
      </c>
      <c r="L622" s="280" t="n"/>
      <c r="M622" s="278" t="inlineStr">
        <is>
          <t>Jofran Mensajeros, S.L - Envio de documentación</t>
        </is>
      </c>
      <c r="N622" s="280" t="n">
        <v>1.59</v>
      </c>
      <c r="P622" s="280" t="n"/>
      <c r="R622" s="280" t="n"/>
      <c r="T622" s="280" t="n"/>
      <c r="V622" s="280" t="n"/>
      <c r="X622" s="280" t="n"/>
      <c r="Z622" s="280" t="n"/>
      <c r="AA622" s="280" t="n"/>
      <c r="AB622" s="281" t="inlineStr">
        <is>
          <t>ES85 2080 3509 1130 4009 6171</t>
        </is>
      </c>
      <c r="AC622" s="278" t="inlineStr">
        <is>
          <t>pendiente</t>
        </is>
      </c>
      <c r="AD622" s="280">
        <f>L622+N622+P622+R622+T622+V622+X622+Z622</f>
        <v/>
      </c>
      <c r="AE622" s="280">
        <f>IF((LEFT(K622,6))="Contab",L622,0)</f>
        <v/>
      </c>
      <c r="AF622" s="281">
        <f>VLOOKUP(G622,CLIENTES!B:E,4,FALSE)</f>
        <v/>
      </c>
      <c r="AG622" s="280">
        <f>AF622*AE622</f>
        <v/>
      </c>
      <c r="AH622" s="280">
        <f>AD622*1.21</f>
        <v/>
      </c>
      <c r="AI622" s="284">
        <f>IF(AE622&lt;&gt;0,AG622/AD622,"N/A")</f>
        <v/>
      </c>
      <c r="AJ622" s="280">
        <f>IF(AC622="pendiente",AD622,0)</f>
        <v/>
      </c>
      <c r="AK622" s="278">
        <f>VLOOKUP(G622,CLIENTES!B:D,3,FALSE)</f>
        <v/>
      </c>
    </row>
    <row r="623" ht="15" customFormat="1" customHeight="1" s="278">
      <c r="B623" s="279" t="n"/>
      <c r="C623" s="278" t="inlineStr">
        <is>
          <t>c/ Las Cruzadas 3A, local D</t>
        </is>
      </c>
      <c r="D623" s="278" t="inlineStr">
        <is>
          <t>Sevilla 41004</t>
        </is>
      </c>
      <c r="E623" s="278" t="inlineStr">
        <is>
          <t>CIF B91938662</t>
        </is>
      </c>
      <c r="F623" s="278" t="inlineStr">
        <is>
          <t>aBalados@abalados.es</t>
        </is>
      </c>
      <c r="G623" s="278" t="inlineStr">
        <is>
          <t>Escatrón Promotores 400 y 220, S.L.</t>
        </is>
      </c>
      <c r="H623" s="278">
        <f>VLOOKUP($G623,DATOS!$B:$E,2,FALSE)</f>
        <v/>
      </c>
      <c r="I623" s="278">
        <f>VLOOKUP($G623,DATOS!$B:$E,3,FALSE)</f>
        <v/>
      </c>
      <c r="J623" s="278">
        <f>VLOOKUP($G623,DATOS!$B:$E,4,FALSE)</f>
        <v/>
      </c>
      <c r="K623" s="278" t="inlineStr">
        <is>
          <t>Refacturación gastos y/o servicios prestados a nombre de la sociedad</t>
        </is>
      </c>
      <c r="L623" s="280" t="n"/>
      <c r="M623" s="278" t="inlineStr">
        <is>
          <t>Jofran Mensajeros, S.L - Envio de documentación</t>
        </is>
      </c>
      <c r="N623" s="280" t="n">
        <v>7.39</v>
      </c>
      <c r="P623" s="280" t="n"/>
      <c r="R623" s="280" t="n"/>
      <c r="T623" s="280" t="n"/>
      <c r="V623" s="280" t="n"/>
      <c r="X623" s="280" t="n"/>
      <c r="Z623" s="280" t="n"/>
      <c r="AA623" s="280" t="n"/>
      <c r="AB623" s="281" t="inlineStr">
        <is>
          <t>ES85 2080 3509 1130 4009 6171</t>
        </is>
      </c>
      <c r="AC623" s="278" t="inlineStr">
        <is>
          <t>pendiente</t>
        </is>
      </c>
      <c r="AD623" s="280">
        <f>L623+N623+P623+R623+T623+V623+X623+Z623</f>
        <v/>
      </c>
      <c r="AE623" s="280">
        <f>IF((LEFT(K623,6))="Contab",L623,0)</f>
        <v/>
      </c>
      <c r="AF623" s="281">
        <f>VLOOKUP(G623,CLIENTES!B:E,4,FALSE)</f>
        <v/>
      </c>
      <c r="AG623" s="280">
        <f>AF623*AE623</f>
        <v/>
      </c>
      <c r="AH623" s="280">
        <f>AD623*1.21</f>
        <v/>
      </c>
      <c r="AI623" s="284">
        <f>IF(AE623&lt;&gt;0,AG623/AD623,"N/A")</f>
        <v/>
      </c>
      <c r="AJ623" s="280">
        <f>IF(AC623="pendiente",AD623,0)</f>
        <v/>
      </c>
      <c r="AK623" s="278">
        <f>VLOOKUP(G623,CLIENTES!B:D,3,FALSE)</f>
        <v/>
      </c>
    </row>
    <row r="624" ht="15" customFormat="1" customHeight="1" s="278">
      <c r="B624" s="279" t="n"/>
      <c r="C624" s="278" t="inlineStr">
        <is>
          <t>c/ Las Cruzadas 3A, local D</t>
        </is>
      </c>
      <c r="D624" s="278" t="inlineStr">
        <is>
          <t>Sevilla 41004</t>
        </is>
      </c>
      <c r="E624" s="278" t="inlineStr">
        <is>
          <t>CIF B91938662</t>
        </is>
      </c>
      <c r="F624" s="278" t="inlineStr">
        <is>
          <t>aBalados@abalados.es</t>
        </is>
      </c>
      <c r="G624" s="278" t="inlineStr">
        <is>
          <t>Renedo Renovables, S.L.</t>
        </is>
      </c>
      <c r="H624" s="278">
        <f>VLOOKUP($G624,DATOS!$B:$E,2,FALSE)</f>
        <v/>
      </c>
      <c r="I624" s="278">
        <f>VLOOKUP($G624,DATOS!$B:$E,3,FALSE)</f>
        <v/>
      </c>
      <c r="J624" s="278">
        <f>VLOOKUP($G624,DATOS!$B:$E,4,FALSE)</f>
        <v/>
      </c>
      <c r="K624" s="278" t="inlineStr">
        <is>
          <t>Refacturación gastos y/o servicios prestados a nombre de la sociedad</t>
        </is>
      </c>
      <c r="L624" s="280" t="n"/>
      <c r="M624" s="278" t="inlineStr">
        <is>
          <t>Jofran Mensajeros, S.L - Envio de documentación</t>
        </is>
      </c>
      <c r="N624" s="280" t="n">
        <v>12.72</v>
      </c>
      <c r="P624" s="280" t="n"/>
      <c r="R624" s="280" t="n"/>
      <c r="T624" s="280" t="n"/>
      <c r="V624" s="280" t="n"/>
      <c r="X624" s="280" t="n"/>
      <c r="Z624" s="280" t="n"/>
      <c r="AA624" s="280" t="n"/>
      <c r="AB624" s="281" t="inlineStr">
        <is>
          <t>ES85 2080 3509 1130 4009 6171</t>
        </is>
      </c>
      <c r="AC624" s="278" t="inlineStr">
        <is>
          <t>pendiente</t>
        </is>
      </c>
      <c r="AD624" s="280">
        <f>L624+N624+P624+R624+T624+V624+X624+Z624</f>
        <v/>
      </c>
      <c r="AE624" s="280">
        <f>IF((LEFT(K624,6))="Contab",L624,0)</f>
        <v/>
      </c>
      <c r="AF624" s="281">
        <f>VLOOKUP(G624,CLIENTES!B:E,4,FALSE)</f>
        <v/>
      </c>
      <c r="AG624" s="280">
        <f>AF624*AE624</f>
        <v/>
      </c>
      <c r="AH624" s="280">
        <f>AD624*1.21</f>
        <v/>
      </c>
      <c r="AI624" s="284">
        <f>IF(AE624&lt;&gt;0,AG624/AD624,"N/A")</f>
        <v/>
      </c>
      <c r="AJ624" s="280">
        <f>IF(AC624="pendiente",AD624,0)</f>
        <v/>
      </c>
      <c r="AK624" s="278">
        <f>VLOOKUP(G624,CLIENTES!B:D,3,FALSE)</f>
        <v/>
      </c>
    </row>
    <row r="625" ht="15" customFormat="1" customHeight="1" s="278">
      <c r="B625" s="279" t="n"/>
      <c r="C625" s="278" t="inlineStr">
        <is>
          <t>c/ Las Cruzadas 3A, local D</t>
        </is>
      </c>
      <c r="D625" s="278" t="inlineStr">
        <is>
          <t>Sevilla 41004</t>
        </is>
      </c>
      <c r="E625" s="278" t="inlineStr">
        <is>
          <t>CIF B91938662</t>
        </is>
      </c>
      <c r="F625" s="278" t="inlineStr">
        <is>
          <t>aBalados@abalados.es</t>
        </is>
      </c>
      <c r="G625" s="278" t="inlineStr">
        <is>
          <t>Evacuación Salteras, S.L.</t>
        </is>
      </c>
      <c r="H625" s="278">
        <f>VLOOKUP($G625,DATOS!$B:$E,2,FALSE)</f>
        <v/>
      </c>
      <c r="I625" s="278">
        <f>VLOOKUP($G625,DATOS!$B:$E,3,FALSE)</f>
        <v/>
      </c>
      <c r="J625" s="278">
        <f>VLOOKUP($G625,DATOS!$B:$E,4,FALSE)</f>
        <v/>
      </c>
      <c r="K625" s="278" t="inlineStr">
        <is>
          <t>Refacturación gastos y/o servicios prestados a nombre de la sociedad</t>
        </is>
      </c>
      <c r="L625" s="280" t="n"/>
      <c r="M625" s="278" t="inlineStr">
        <is>
          <t>Jofran Mensajeros, S.L - Envio de documentación</t>
        </is>
      </c>
      <c r="N625" s="280" t="n">
        <v>24.55</v>
      </c>
      <c r="P625" s="280" t="n"/>
      <c r="R625" s="280" t="n"/>
      <c r="T625" s="280" t="n"/>
      <c r="V625" s="280" t="n"/>
      <c r="X625" s="280" t="n"/>
      <c r="Z625" s="280" t="n"/>
      <c r="AA625" s="280" t="n"/>
      <c r="AB625" s="281" t="inlineStr">
        <is>
          <t>ES85 2080 3509 1130 4009 6171</t>
        </is>
      </c>
      <c r="AC625" s="278" t="inlineStr">
        <is>
          <t>pendiente</t>
        </is>
      </c>
      <c r="AD625" s="280">
        <f>L625+N625+P625+R625+T625+V625+X625+Z625</f>
        <v/>
      </c>
      <c r="AE625" s="280">
        <f>IF((LEFT(K625,6))="Contab",L625,0)</f>
        <v/>
      </c>
      <c r="AF625" s="281">
        <f>VLOOKUP(G625,CLIENTES!B:E,4,FALSE)</f>
        <v/>
      </c>
      <c r="AG625" s="280">
        <f>AF625*AE625</f>
        <v/>
      </c>
      <c r="AH625" s="280">
        <f>AD625*1.21</f>
        <v/>
      </c>
      <c r="AI625" s="284">
        <f>IF(AE625&lt;&gt;0,AG625/AD625,"N/A")</f>
        <v/>
      </c>
      <c r="AJ625" s="280">
        <f>IF(AC625="pendiente",AD625,0)</f>
        <v/>
      </c>
      <c r="AK625" s="278">
        <f>VLOOKUP(G625,CLIENTES!B:D,3,FALSE)</f>
        <v/>
      </c>
    </row>
    <row r="626" ht="15" customFormat="1" customHeight="1" s="278">
      <c r="A626" t="n"/>
      <c r="B626" s="279" t="n"/>
      <c r="C626" s="278" t="inlineStr">
        <is>
          <t>c/ Las Cruzadas 3A, local D</t>
        </is>
      </c>
      <c r="D626" s="278" t="inlineStr">
        <is>
          <t>Sevilla 41004</t>
        </is>
      </c>
      <c r="E626" s="278" t="inlineStr">
        <is>
          <t>CIF B91938662</t>
        </is>
      </c>
      <c r="F626" s="278" t="inlineStr">
        <is>
          <t>aBalados@abalados.es</t>
        </is>
      </c>
      <c r="G626" s="278" t="inlineStr">
        <is>
          <t>San Pedro Pinatar Renovables, S.L.</t>
        </is>
      </c>
      <c r="H626" s="278">
        <f>VLOOKUP($G626,DATOS!$B:$E,2,FALSE)</f>
        <v/>
      </c>
      <c r="I626" s="278">
        <f>VLOOKUP($G626,DATOS!$B:$E,3,FALSE)</f>
        <v/>
      </c>
      <c r="J626" s="278">
        <f>VLOOKUP($G626,DATOS!$B:$E,4,FALSE)</f>
        <v/>
      </c>
      <c r="K626" s="278" t="inlineStr">
        <is>
          <t>Refacturación gastos y/o servicios prestados a nombre de la sociedad</t>
        </is>
      </c>
      <c r="L626" s="280" t="n"/>
      <c r="M626" s="278" t="inlineStr">
        <is>
          <t>Jofran Mensajeros, S.L - Envio de documentación</t>
        </is>
      </c>
      <c r="N626" s="280" t="n">
        <v>12.72</v>
      </c>
      <c r="P626" s="280" t="n"/>
      <c r="R626" s="280" t="n"/>
      <c r="T626" s="280" t="n"/>
      <c r="V626" s="280" t="n"/>
      <c r="X626" s="280" t="n"/>
      <c r="Z626" s="280" t="n"/>
      <c r="AA626" s="280" t="n"/>
      <c r="AB626" s="281" t="inlineStr">
        <is>
          <t>ES85 2080 3509 1130 4009 6171</t>
        </is>
      </c>
      <c r="AC626" s="278" t="inlineStr">
        <is>
          <t>pendiente</t>
        </is>
      </c>
      <c r="AD626" s="280">
        <f>L626+N626+P626+R626+T626+V626+X626+Z626</f>
        <v/>
      </c>
      <c r="AE626" s="280">
        <f>IF((LEFT(K626,6))="Contab",L626,0)</f>
        <v/>
      </c>
      <c r="AF626" s="281">
        <f>VLOOKUP(G626,CLIENTES!B:E,4,FALSE)</f>
        <v/>
      </c>
      <c r="AG626" s="280">
        <f>AF626*AE626</f>
        <v/>
      </c>
      <c r="AH626" s="280">
        <f>AD626*1.21</f>
        <v/>
      </c>
      <c r="AI626" s="284">
        <f>IF(AE626&lt;&gt;0,AG626/AD626,"N/A")</f>
        <v/>
      </c>
      <c r="AJ626" s="280">
        <f>IF(AC626="pendiente",AD626,0)</f>
        <v/>
      </c>
      <c r="AK626" s="278">
        <f>VLOOKUP(G626,CLIENTES!B:D,3,FALSE)</f>
        <v/>
      </c>
    </row>
    <row r="627" ht="15" customFormat="1" customHeight="1" s="278">
      <c r="B627" s="279" t="n"/>
      <c r="C627" s="278" t="inlineStr">
        <is>
          <t>c/ Las Cruzadas 3A, local D</t>
        </is>
      </c>
      <c r="D627" s="278" t="inlineStr">
        <is>
          <t>Sevilla 41004</t>
        </is>
      </c>
      <c r="E627" s="278" t="inlineStr">
        <is>
          <t>CIF B91938662</t>
        </is>
      </c>
      <c r="F627" s="278" t="inlineStr">
        <is>
          <t>aBalados@abalados.es</t>
        </is>
      </c>
      <c r="G627" s="278" t="inlineStr">
        <is>
          <t>ICE Andújar, S.L.</t>
        </is>
      </c>
      <c r="H627" s="278">
        <f>VLOOKUP($G627,DATOS!$B:$E,2,FALSE)</f>
        <v/>
      </c>
      <c r="I627" s="278">
        <f>VLOOKUP($G627,DATOS!$B:$E,3,FALSE)</f>
        <v/>
      </c>
      <c r="J627" s="278">
        <f>VLOOKUP($G627,DATOS!$B:$E,4,FALSE)</f>
        <v/>
      </c>
      <c r="K627" s="278" t="inlineStr">
        <is>
          <t>Refacturación gastos y/o servicios prestados a nombre de la sociedad</t>
        </is>
      </c>
      <c r="L627" s="280" t="n"/>
      <c r="M627" s="278" t="inlineStr">
        <is>
          <t>Jofran Mensajeros, S.L - Envio de documentación</t>
        </is>
      </c>
      <c r="N627" s="280" t="n">
        <v>6.36</v>
      </c>
      <c r="P627" s="280" t="n"/>
      <c r="R627" s="280" t="n"/>
      <c r="T627" s="280" t="n"/>
      <c r="V627" s="280" t="n"/>
      <c r="X627" s="280" t="n"/>
      <c r="Z627" s="280" t="n"/>
      <c r="AA627" s="280" t="n"/>
      <c r="AB627" s="281" t="inlineStr">
        <is>
          <t>ES85 2080 3509 1130 4009 6171</t>
        </is>
      </c>
      <c r="AC627" s="278" t="inlineStr">
        <is>
          <t>pendiente</t>
        </is>
      </c>
      <c r="AD627" s="280">
        <f>L627+N627+P627+R627+T627+V627+X627+Z627</f>
        <v/>
      </c>
      <c r="AE627" s="280">
        <f>IF((LEFT(K627,6))="Contab",L627,0)</f>
        <v/>
      </c>
      <c r="AF627" s="281">
        <f>VLOOKUP(G627,CLIENTES!B:E,4,FALSE)</f>
        <v/>
      </c>
      <c r="AG627" s="280">
        <f>AF627*AE627</f>
        <v/>
      </c>
      <c r="AH627" s="280">
        <f>AD627*1.21</f>
        <v/>
      </c>
      <c r="AI627" s="284">
        <f>IF(AE627&lt;&gt;0,AG627/AD627,"N/A")</f>
        <v/>
      </c>
      <c r="AJ627" s="280">
        <f>IF(AC627="pendiente",AD627,0)</f>
        <v/>
      </c>
      <c r="AK627" s="278">
        <f>VLOOKUP(G627,CLIENTES!B:D,3,FALSE)</f>
        <v/>
      </c>
    </row>
    <row r="628" ht="15" customFormat="1" customHeight="1" s="192">
      <c r="B628" s="199" t="n"/>
      <c r="C628" s="192" t="inlineStr">
        <is>
          <t>c/ Las Cruzadas 3A, local D</t>
        </is>
      </c>
      <c r="D628" s="192" t="inlineStr">
        <is>
          <t>Sevilla 41004</t>
        </is>
      </c>
      <c r="E628" s="192" t="inlineStr">
        <is>
          <t>CIF B91938662</t>
        </is>
      </c>
      <c r="F628" s="192" t="inlineStr">
        <is>
          <t>aBalados@abalados.es</t>
        </is>
      </c>
      <c r="G628" s="192" t="inlineStr">
        <is>
          <t>Herrera Renovables 400, A.I.E.</t>
        </is>
      </c>
      <c r="H628" s="192">
        <f>VLOOKUP($G628,DATOS!$B:$E,2,FALSE)</f>
        <v/>
      </c>
      <c r="I628" s="192">
        <f>VLOOKUP($G628,DATOS!$B:$E,3,FALSE)</f>
        <v/>
      </c>
      <c r="J628" s="192">
        <f>VLOOKUP($G628,DATOS!$B:$E,4,FALSE)</f>
        <v/>
      </c>
      <c r="K628" s="192" t="inlineStr">
        <is>
          <t>Refacturación gastos y/o servicios prestados a nombre de la sociedad</t>
        </is>
      </c>
      <c r="L628" s="200" t="n"/>
      <c r="M628" s="192" t="inlineStr">
        <is>
          <t>Refacturación servicios Docusing referente al periodo 18/09/2024 - 17/09/2025</t>
        </is>
      </c>
      <c r="N628" s="200" t="n">
        <v>456</v>
      </c>
      <c r="O628" s="192" t="inlineStr">
        <is>
          <t>Burofax a Juan Carlos Gallego Corniero</t>
        </is>
      </c>
      <c r="P628" s="200" t="n">
        <v>31.8</v>
      </c>
      <c r="R628" s="200" t="n"/>
      <c r="T628" s="200" t="n"/>
      <c r="V628" s="200" t="n"/>
      <c r="X628" s="200" t="n"/>
      <c r="Z628" s="200" t="n"/>
      <c r="AA628" s="200" t="n"/>
      <c r="AB628" s="201" t="inlineStr">
        <is>
          <t>ES85 2080 3509 1130 4009 6171</t>
        </is>
      </c>
      <c r="AC628" s="192" t="inlineStr">
        <is>
          <t>pendiente</t>
        </is>
      </c>
      <c r="AD628" s="200">
        <f>L628+N628+P628+R628+T628+V628+X628+Z628</f>
        <v/>
      </c>
      <c r="AE628" s="200">
        <f>IF((LEFT(K628,6))="Contab",L628,0)</f>
        <v/>
      </c>
      <c r="AF628" s="201">
        <f>VLOOKUP(G628,CLIENTES!B:E,4,FALSE)</f>
        <v/>
      </c>
      <c r="AG628" s="200">
        <f>AF628*AE628</f>
        <v/>
      </c>
      <c r="AH628" s="200">
        <f>AD628*1.21</f>
        <v/>
      </c>
      <c r="AI628" s="283">
        <f>IF(AE628&lt;&gt;0,AG628/AD628,"N/A")</f>
        <v/>
      </c>
      <c r="AJ628" s="200">
        <f>IF(AC628="pendiente",AD628,0)</f>
        <v/>
      </c>
      <c r="AK628" s="192">
        <f>VLOOKUP(G628,CLIENTES!B:D,3,FALSE)</f>
        <v/>
      </c>
    </row>
    <row r="629" ht="15" customFormat="1" customHeight="1" s="189">
      <c r="B629" s="188" t="n"/>
      <c r="C629" s="189" t="inlineStr">
        <is>
          <t>c/ Las Cruzadas 3A, local D</t>
        </is>
      </c>
      <c r="D629" s="189" t="inlineStr">
        <is>
          <t>Sevilla 41004</t>
        </is>
      </c>
      <c r="E629" s="189" t="inlineStr">
        <is>
          <t>CIF B91938662</t>
        </is>
      </c>
      <c r="F629" s="189" t="inlineStr">
        <is>
          <t>aBalados@abalados.es</t>
        </is>
      </c>
      <c r="G629" s="189" t="inlineStr">
        <is>
          <t>FP LUX REIO PV ZARAGOZA SL.</t>
        </is>
      </c>
      <c r="H629" s="189">
        <f>VLOOKUP($G629,DATOS!$B:$E,2,FALSE)</f>
        <v/>
      </c>
      <c r="I629" s="189">
        <f>VLOOKUP($G629,DATOS!$B:$E,3,FALSE)</f>
        <v/>
      </c>
      <c r="J629" s="189">
        <f>VLOOKUP($G629,DATOS!$B:$E,4,FALSE)</f>
        <v/>
      </c>
      <c r="K629" s="189" t="inlineStr">
        <is>
          <t>Proyecto El Marqués - Zaragoza</t>
        </is>
      </c>
      <c r="L629" s="190" t="n"/>
      <c r="M629" s="189" t="inlineStr">
        <is>
          <t>Corrective maintenance fourth operation year</t>
        </is>
      </c>
      <c r="N629" s="190" t="n">
        <v>5164.48</v>
      </c>
      <c r="P629" s="190" t="n"/>
      <c r="R629" s="190" t="n"/>
      <c r="T629" s="190" t="n"/>
      <c r="V629" s="190" t="n"/>
      <c r="X629" s="190" t="n"/>
      <c r="Z629" s="190" t="n"/>
      <c r="AA629" s="190" t="n"/>
      <c r="AB629" s="191" t="inlineStr">
        <is>
          <t>ES85 2080 3509 1130 4009 6171</t>
        </is>
      </c>
      <c r="AC629" s="189" t="inlineStr">
        <is>
          <t>pendiente</t>
        </is>
      </c>
      <c r="AD629" s="190">
        <f>L629+N629+P629+R629+T629+V629+X629+Z629</f>
        <v/>
      </c>
      <c r="AE629" s="190">
        <f>IF((LEFT(K629,6))="Contab",L629,0)</f>
        <v/>
      </c>
      <c r="AF629" s="191">
        <f>VLOOKUP(G629,CLIENTES!B:E,4,FALSE)</f>
        <v/>
      </c>
      <c r="AG629" s="190">
        <f>AF629*AE629</f>
        <v/>
      </c>
      <c r="AH629" s="190">
        <f>AD629*1.21</f>
        <v/>
      </c>
      <c r="AI629" s="289">
        <f>IF(AE629&lt;&gt;0,AG629/AD629,"N/A")</f>
        <v/>
      </c>
      <c r="AJ629" s="190">
        <f>IF(AC629="pendiente",AD629,0)</f>
        <v/>
      </c>
      <c r="AK629" s="189">
        <f>VLOOKUP(G629,CLIENTES!B:D,3,FALSE)</f>
        <v/>
      </c>
    </row>
    <row r="630" ht="15" customFormat="1" customHeight="1" s="278">
      <c r="B630" s="279" t="n"/>
      <c r="C630" s="278" t="inlineStr">
        <is>
          <t>c/ Las Cruzadas 3A, local D</t>
        </is>
      </c>
      <c r="D630" s="278" t="inlineStr">
        <is>
          <t>Sevilla 41004</t>
        </is>
      </c>
      <c r="E630" s="278" t="inlineStr">
        <is>
          <t>CIF B91938662</t>
        </is>
      </c>
      <c r="F630" s="278" t="inlineStr">
        <is>
          <t>aBalados@abalados.es</t>
        </is>
      </c>
      <c r="G630" s="278" t="inlineStr">
        <is>
          <t>Saja Renovables, S.L.</t>
        </is>
      </c>
      <c r="H630" s="278">
        <f>VLOOKUP($G630,DATOS!$B:$E,2,FALSE)</f>
        <v/>
      </c>
      <c r="I630" s="278">
        <f>VLOOKUP($G630,DATOS!$B:$E,3,FALSE)</f>
        <v/>
      </c>
      <c r="J630" s="278">
        <f>VLOOKUP($G630,DATOS!$B:$E,4,FALSE)</f>
        <v/>
      </c>
      <c r="K630" s="278" t="inlineStr">
        <is>
          <t>Servicios extraordinarios - Operación &amp; Mantenimiento</t>
        </is>
      </c>
      <c r="L630" s="280" t="n"/>
      <c r="M630" s="278" t="inlineStr">
        <is>
          <t>Correctivos extraordinarios tras auditoría inicial</t>
        </is>
      </c>
      <c r="N630" s="280" t="n"/>
      <c r="O630" s="408" t="inlineStr">
        <is>
          <t>Revamping inversores Saja Renovables - Hito 2 (70%)</t>
        </is>
      </c>
      <c r="P630" s="280">
        <f>0.7*38865</f>
        <v/>
      </c>
      <c r="R630" s="280" t="n"/>
      <c r="T630" s="280" t="n"/>
      <c r="U630" s="407" t="inlineStr">
        <is>
          <t>- PSFV Atarfe I</t>
        </is>
      </c>
      <c r="V630" s="280" t="n"/>
      <c r="W630" s="407" t="inlineStr">
        <is>
          <t>- PSFV Atarfe V</t>
        </is>
      </c>
      <c r="X630" s="280" t="n"/>
      <c r="Y630" s="407" t="inlineStr">
        <is>
          <t>- PSFV Moclin I</t>
        </is>
      </c>
      <c r="Z630" s="280" t="n"/>
      <c r="AA630" s="280" t="n"/>
      <c r="AB630" s="402" t="inlineStr">
        <is>
          <t>ES85 2080 3509 1130 4009 6171</t>
        </is>
      </c>
      <c r="AC630" s="278" t="inlineStr">
        <is>
          <t>pendiente</t>
        </is>
      </c>
      <c r="AD630" s="280">
        <f>L630+N630+P630+R630+T630+V630+X630+Z630</f>
        <v/>
      </c>
      <c r="AE630" s="280">
        <f>IF((LEFT(K630,6))="Contab",L630,0)</f>
        <v/>
      </c>
      <c r="AF630" s="281">
        <f>VLOOKUP(G630,CLIENTES!B:E,4,FALSE)</f>
        <v/>
      </c>
      <c r="AG630" s="280">
        <f>AF630*AE630</f>
        <v/>
      </c>
      <c r="AH630" s="280">
        <f>AD630*1.21</f>
        <v/>
      </c>
      <c r="AI630" s="284">
        <f>IF(AE630&lt;&gt;0,AG630/AD630,"N/A")</f>
        <v/>
      </c>
      <c r="AJ630" s="280">
        <f>IF(AC630="pendiente",AD630,0)</f>
        <v/>
      </c>
      <c r="AK630" s="278">
        <f>VLOOKUP(G630,CLIENTES!B:D,3,FALSE)</f>
        <v/>
      </c>
    </row>
    <row r="631" ht="15" customFormat="1" customHeight="1" s="192">
      <c r="B631" s="199" t="n"/>
      <c r="C631" s="192" t="inlineStr">
        <is>
          <t>c/ Las Cruzadas 3A, local D</t>
        </is>
      </c>
      <c r="D631" s="192" t="inlineStr">
        <is>
          <t>Sevilla 41004</t>
        </is>
      </c>
      <c r="E631" s="192" t="inlineStr">
        <is>
          <t>CIF B91938662</t>
        </is>
      </c>
      <c r="F631" s="192" t="inlineStr">
        <is>
          <t>aBalados@abalados.es</t>
        </is>
      </c>
      <c r="G631" s="192" t="inlineStr">
        <is>
          <t>Saja Renovables, S.L.</t>
        </is>
      </c>
      <c r="H631" s="192">
        <f>VLOOKUP($G631,DATOS!$B:$E,2,FALSE)</f>
        <v/>
      </c>
      <c r="I631" s="192">
        <f>VLOOKUP($G631,DATOS!$B:$E,3,FALSE)</f>
        <v/>
      </c>
      <c r="J631" s="192">
        <f>VLOOKUP($G631,DATOS!$B:$E,4,FALSE)</f>
        <v/>
      </c>
      <c r="K631" s="192" t="inlineStr">
        <is>
          <t>Servicios extraordinarios - Operación &amp; Mantenimiento</t>
        </is>
      </c>
      <c r="L631" s="200" t="n"/>
      <c r="M631" s="192" t="inlineStr">
        <is>
          <t>Correctivos extraordinarios tras auditoría inicial</t>
        </is>
      </c>
      <c r="N631" s="200" t="n"/>
      <c r="O631" s="405" t="inlineStr">
        <is>
          <t>Adicional - Revamping inversores Saja Renovables</t>
        </is>
      </c>
      <c r="P631" s="200">
        <f>360.05</f>
        <v/>
      </c>
      <c r="Q631" s="192" t="inlineStr">
        <is>
          <t>Huawei Smartlogger 3000A SIN PLC</t>
        </is>
      </c>
      <c r="R631" s="200" t="n"/>
      <c r="T631" s="200" t="n"/>
      <c r="U631" s="406" t="inlineStr">
        <is>
          <t>- PSFV Moclin I</t>
        </is>
      </c>
      <c r="V631" s="200" t="n"/>
      <c r="W631" s="406" t="n"/>
      <c r="X631" s="200" t="n"/>
      <c r="Y631" s="406" t="n"/>
      <c r="Z631" s="200" t="n"/>
      <c r="AA631" s="200" t="n"/>
      <c r="AB631" s="403" t="inlineStr">
        <is>
          <t>ES85 2080 3509 1130 4009 6171</t>
        </is>
      </c>
      <c r="AC631" s="192" t="inlineStr">
        <is>
          <t>pendiente</t>
        </is>
      </c>
      <c r="AD631" s="200">
        <f>L631+N631+P631+R631+T631+V631+X631+Z631</f>
        <v/>
      </c>
      <c r="AE631" s="200">
        <f>IF((LEFT(K631,6))="Contab",L631,0)</f>
        <v/>
      </c>
      <c r="AF631" s="201">
        <f>VLOOKUP(G631,CLIENTES!B:E,4,FALSE)</f>
        <v/>
      </c>
      <c r="AG631" s="200">
        <f>AF631*AE631</f>
        <v/>
      </c>
      <c r="AH631" s="200">
        <f>AD631*1.21</f>
        <v/>
      </c>
      <c r="AI631" s="283">
        <f>IF(AE631&lt;&gt;0,AG631/AD631,"N/A")</f>
        <v/>
      </c>
      <c r="AJ631" s="200">
        <f>IF(AC631="pendiente",AD631,0)</f>
        <v/>
      </c>
      <c r="AK631" s="192">
        <f>VLOOKUP(G631,CLIENTES!B:D,3,FALSE)</f>
        <v/>
      </c>
    </row>
    <row r="632" ht="15" customFormat="1" customHeight="1" s="278">
      <c r="B632" s="279" t="n"/>
      <c r="C632" s="278" t="inlineStr">
        <is>
          <t>c/ Las Cruzadas 3A, local D</t>
        </is>
      </c>
      <c r="D632" s="278" t="inlineStr">
        <is>
          <t>Sevilla 41004</t>
        </is>
      </c>
      <c r="E632" s="278" t="inlineStr">
        <is>
          <t>CIF B91938662</t>
        </is>
      </c>
      <c r="F632" s="278" t="inlineStr">
        <is>
          <t>aBalados@abalados.es</t>
        </is>
      </c>
      <c r="G632" s="278" t="inlineStr">
        <is>
          <t>ES Garrovers Energía Solar S.L.U.</t>
        </is>
      </c>
      <c r="H632" s="278">
        <f>VLOOKUP($G632,DATOS!$B:$E,2,FALSE)</f>
        <v/>
      </c>
      <c r="I632" s="278">
        <f>VLOOKUP($G632,DATOS!$B:$E,3,FALSE)</f>
        <v/>
      </c>
      <c r="J632" s="278">
        <f>VLOOKUP($G632,DATOS!$B:$E,4,FALSE)</f>
        <v/>
      </c>
      <c r="K632" s="278" t="inlineStr">
        <is>
          <t>Honorarios de administración de créditos y representación inversores</t>
        </is>
      </c>
      <c r="L632" s="280" t="n">
        <v>3955.7</v>
      </c>
      <c r="M632" s="278" t="inlineStr">
        <is>
          <t>Engagement Letter</t>
        </is>
      </c>
      <c r="N632" s="280" t="n"/>
      <c r="P632" s="280" t="n"/>
      <c r="R632" s="280" t="n"/>
      <c r="T632" s="280" t="n"/>
      <c r="V632" s="280" t="n"/>
      <c r="X632" s="280" t="n"/>
      <c r="Z632" s="280" t="n"/>
      <c r="AA632" s="280" t="n"/>
      <c r="AB632" s="281" t="inlineStr">
        <is>
          <t>ES85 2080 3509 1130 4009 6171</t>
        </is>
      </c>
      <c r="AC632" s="278" t="inlineStr">
        <is>
          <t>pendiente</t>
        </is>
      </c>
      <c r="AD632" s="280">
        <f>L632+N632+P632+R632+T632+V632+X632+Z632</f>
        <v/>
      </c>
      <c r="AE632" s="280">
        <f>IF((LEFT(K632,6))="Contab",L632,0)</f>
        <v/>
      </c>
      <c r="AF632" s="281">
        <f>VLOOKUP(G632,CLIENTES!B:E,4,FALSE)</f>
        <v/>
      </c>
      <c r="AG632" s="280">
        <f>AF632*AE632</f>
        <v/>
      </c>
      <c r="AH632" s="280">
        <f>AD632*1.21</f>
        <v/>
      </c>
      <c r="AI632" s="284">
        <f>IF(AE632&lt;&gt;0,AG632/AD632,"N/A")</f>
        <v/>
      </c>
      <c r="AJ632" s="280">
        <f>IF(AC632="pendiente",AD632,0)</f>
        <v/>
      </c>
      <c r="AK632" s="278">
        <f>VLOOKUP(G632,CLIENTES!B:D,3,FALSE)</f>
        <v/>
      </c>
    </row>
    <row r="633" ht="15" customFormat="1" customHeight="1" s="278">
      <c r="B633" s="279" t="n"/>
      <c r="C633" s="278" t="inlineStr">
        <is>
          <t>c/ Las Cruzadas 3A, local D</t>
        </is>
      </c>
      <c r="D633" s="278" t="inlineStr">
        <is>
          <t>Sevilla 41004</t>
        </is>
      </c>
      <c r="E633" s="278" t="inlineStr">
        <is>
          <t>CIF B91938662</t>
        </is>
      </c>
      <c r="F633" s="278" t="inlineStr">
        <is>
          <t>aBalados@abalados.es</t>
        </is>
      </c>
      <c r="G633" s="278" t="inlineStr">
        <is>
          <t>Solar Photo Collect S.L.U.</t>
        </is>
      </c>
      <c r="H633" s="278">
        <f>VLOOKUP($G633,DATOS!$B:$E,2,FALSE)</f>
        <v/>
      </c>
      <c r="I633" s="278">
        <f>VLOOKUP($G633,DATOS!$B:$E,3,FALSE)</f>
        <v/>
      </c>
      <c r="J633" s="278">
        <f>VLOOKUP($G633,DATOS!$B:$E,4,FALSE)</f>
        <v/>
      </c>
      <c r="K633" s="278" t="inlineStr">
        <is>
          <t>Honorarios de administración de créditos y representación inversores</t>
        </is>
      </c>
      <c r="L633" s="280" t="n">
        <v>2392.86</v>
      </c>
      <c r="M633" s="278" t="inlineStr">
        <is>
          <t>Engagement Letter</t>
        </is>
      </c>
      <c r="N633" s="280" t="n"/>
      <c r="P633" s="280" t="n"/>
      <c r="R633" s="280" t="n"/>
      <c r="T633" s="280" t="n"/>
      <c r="V633" s="280" t="n"/>
      <c r="X633" s="280" t="n"/>
      <c r="Z633" s="280" t="n"/>
      <c r="AA633" s="280" t="n"/>
      <c r="AB633" s="281" t="inlineStr">
        <is>
          <t>ES85 2080 3509 1130 4009 6171</t>
        </is>
      </c>
      <c r="AC633" s="278" t="inlineStr">
        <is>
          <t>pendiente</t>
        </is>
      </c>
      <c r="AD633" s="280">
        <f>L633+N633+P633+R633+T633+V633+X633+Z633</f>
        <v/>
      </c>
      <c r="AE633" s="280">
        <f>IF((LEFT(K633,6))="Contab",L633,0)</f>
        <v/>
      </c>
      <c r="AF633" s="281">
        <f>VLOOKUP(G633,CLIENTES!B:E,4,FALSE)</f>
        <v/>
      </c>
      <c r="AG633" s="280">
        <f>AF633*AE633</f>
        <v/>
      </c>
      <c r="AH633" s="280">
        <f>AD633*1.21</f>
        <v/>
      </c>
      <c r="AI633" s="284">
        <f>IF(AE633&lt;&gt;0,AG633/AD633,"N/A")</f>
        <v/>
      </c>
      <c r="AJ633" s="280">
        <f>IF(AC633="pendiente",AD633,0)</f>
        <v/>
      </c>
      <c r="AK633" s="278">
        <f>VLOOKUP(G633,CLIENTES!B:D,3,FALSE)</f>
        <v/>
      </c>
    </row>
    <row r="634" ht="15" customFormat="1" customHeight="1" s="278">
      <c r="B634" s="279" t="n"/>
      <c r="C634" s="278" t="inlineStr">
        <is>
          <t>c/ Las Cruzadas 3A, local D</t>
        </is>
      </c>
      <c r="D634" s="278" t="inlineStr">
        <is>
          <t>Sevilla 41004</t>
        </is>
      </c>
      <c r="E634" s="278" t="inlineStr">
        <is>
          <t>CIF B91938662</t>
        </is>
      </c>
      <c r="F634" s="278" t="inlineStr">
        <is>
          <t>aBalados@abalados.es</t>
        </is>
      </c>
      <c r="G634" s="278" t="inlineStr">
        <is>
          <t>Solar Photo Corp S.L.U.</t>
        </is>
      </c>
      <c r="H634" s="278">
        <f>VLOOKUP($G634,DATOS!$B:$E,2,FALSE)</f>
        <v/>
      </c>
      <c r="I634" s="278">
        <f>VLOOKUP($G634,DATOS!$B:$E,3,FALSE)</f>
        <v/>
      </c>
      <c r="J634" s="278">
        <f>VLOOKUP($G634,DATOS!$B:$E,4,FALSE)</f>
        <v/>
      </c>
      <c r="K634" s="278" t="inlineStr">
        <is>
          <t>Honorarios de administración de créditos y representación inversores</t>
        </is>
      </c>
      <c r="L634" s="280" t="n">
        <v>2192.7</v>
      </c>
      <c r="M634" s="278" t="inlineStr">
        <is>
          <t>Engagement Letter</t>
        </is>
      </c>
      <c r="N634" s="280" t="n"/>
      <c r="P634" s="280" t="n"/>
      <c r="R634" s="280" t="n"/>
      <c r="T634" s="280" t="n"/>
      <c r="V634" s="280" t="n"/>
      <c r="X634" s="280" t="n"/>
      <c r="Z634" s="280" t="n"/>
      <c r="AA634" s="280" t="n"/>
      <c r="AB634" s="281" t="inlineStr">
        <is>
          <t>ES85 2080 3509 1130 4009 6171</t>
        </is>
      </c>
      <c r="AC634" s="278" t="inlineStr">
        <is>
          <t>pendiente</t>
        </is>
      </c>
      <c r="AD634" s="280">
        <f>L634+N634+P634+R634+T634+V634+X634+Z634</f>
        <v/>
      </c>
      <c r="AE634" s="280">
        <f>IF((LEFT(K634,6))="Contab",L634,0)</f>
        <v/>
      </c>
      <c r="AF634" s="281">
        <f>VLOOKUP(G634,CLIENTES!B:E,4,FALSE)</f>
        <v/>
      </c>
      <c r="AG634" s="280">
        <f>AF634*AE634</f>
        <v/>
      </c>
      <c r="AH634" s="280">
        <f>AD634*1.21</f>
        <v/>
      </c>
      <c r="AI634" s="284">
        <f>IF(AE634&lt;&gt;0,AG634/AD634,"N/A")</f>
        <v/>
      </c>
      <c r="AJ634" s="280">
        <f>IF(AC634="pendiente",AD634,0)</f>
        <v/>
      </c>
      <c r="AK634" s="278">
        <f>VLOOKUP(G634,CLIENTES!B:D,3,FALSE)</f>
        <v/>
      </c>
    </row>
    <row r="635" ht="15" customFormat="1" customHeight="1" s="278">
      <c r="B635" s="279" t="n"/>
      <c r="C635" s="278" t="inlineStr">
        <is>
          <t>c/ Las Cruzadas 3A, local D</t>
        </is>
      </c>
      <c r="D635" s="278" t="inlineStr">
        <is>
          <t>Sevilla 41004</t>
        </is>
      </c>
      <c r="E635" s="278" t="inlineStr">
        <is>
          <t>CIF B91938662</t>
        </is>
      </c>
      <c r="F635" s="278" t="inlineStr">
        <is>
          <t>aBalados@abalados.es</t>
        </is>
      </c>
      <c r="G635" s="278" t="inlineStr">
        <is>
          <t xml:space="preserve">Rasteding PV I, S.L.U. </t>
        </is>
      </c>
      <c r="H635" s="278">
        <f>VLOOKUP($G635,DATOS!$B:$E,2,FALSE)</f>
        <v/>
      </c>
      <c r="I635" s="278">
        <f>VLOOKUP($G635,DATOS!$B:$E,3,FALSE)</f>
        <v/>
      </c>
      <c r="J635" s="278">
        <f>VLOOKUP($G635,DATOS!$B:$E,4,FALSE)</f>
        <v/>
      </c>
      <c r="K635" s="278" t="inlineStr">
        <is>
          <t>Honorarios de administración de créditos y representación inversores</t>
        </is>
      </c>
      <c r="L635" s="280" t="n">
        <v>4855.07</v>
      </c>
      <c r="M635" s="278" t="inlineStr">
        <is>
          <t>Engagement Letter</t>
        </is>
      </c>
      <c r="N635" s="280" t="n"/>
      <c r="P635" s="280" t="n"/>
      <c r="R635" s="280" t="n"/>
      <c r="T635" s="280" t="n"/>
      <c r="V635" s="280" t="n"/>
      <c r="X635" s="280" t="n"/>
      <c r="Z635" s="280" t="n"/>
      <c r="AA635" s="280" t="n"/>
      <c r="AB635" s="281" t="inlineStr">
        <is>
          <t>ES85 2080 3509 1130 4009 6171</t>
        </is>
      </c>
      <c r="AC635" s="278" t="inlineStr">
        <is>
          <t>pendiente</t>
        </is>
      </c>
      <c r="AD635" s="280">
        <f>L635+N635+P635+R635+T635+V635+X635+Z635</f>
        <v/>
      </c>
      <c r="AE635" s="280">
        <f>IF((LEFT(K635,6))="Contab",L635,0)</f>
        <v/>
      </c>
      <c r="AF635" s="281">
        <f>VLOOKUP(G635,CLIENTES!B:E,4,FALSE)</f>
        <v/>
      </c>
      <c r="AG635" s="280">
        <f>AF635*AE635</f>
        <v/>
      </c>
      <c r="AH635" s="280">
        <f>AD635*1.21</f>
        <v/>
      </c>
      <c r="AI635" s="284">
        <f>IF(AE635&lt;&gt;0,AG635/AD635,"N/A")</f>
        <v/>
      </c>
      <c r="AJ635" s="280">
        <f>IF(AC635="pendiente",AD635,0)</f>
        <v/>
      </c>
      <c r="AK635" s="278">
        <f>VLOOKUP(G635,CLIENTES!B:D,3,FALSE)</f>
        <v/>
      </c>
    </row>
    <row r="636" ht="15" customFormat="1" customHeight="1" s="278">
      <c r="B636" s="279" t="n"/>
      <c r="C636" s="278" t="inlineStr">
        <is>
          <t>c/ Las Cruzadas 3A, local D</t>
        </is>
      </c>
      <c r="D636" s="278" t="inlineStr">
        <is>
          <t>Sevilla 41004</t>
        </is>
      </c>
      <c r="E636" s="278" t="inlineStr">
        <is>
          <t>CIF B91938662</t>
        </is>
      </c>
      <c r="F636" s="278" t="inlineStr">
        <is>
          <t>aBalados@abalados.es</t>
        </is>
      </c>
      <c r="G636" s="278" t="inlineStr">
        <is>
          <t>Tiksi PV II S.L.U.</t>
        </is>
      </c>
      <c r="H636" s="278">
        <f>VLOOKUP($G636,DATOS!$B:$E,2,FALSE)</f>
        <v/>
      </c>
      <c r="I636" s="278">
        <f>VLOOKUP($G636,DATOS!$B:$E,3,FALSE)</f>
        <v/>
      </c>
      <c r="J636" s="278">
        <f>VLOOKUP($G636,DATOS!$B:$E,4,FALSE)</f>
        <v/>
      </c>
      <c r="K636" s="278" t="inlineStr">
        <is>
          <t>Honorarios de administración de créditos y representación inversores</t>
        </is>
      </c>
      <c r="L636" s="280" t="n">
        <v>4187.5</v>
      </c>
      <c r="M636" s="278" t="inlineStr">
        <is>
          <t>Engagement Letter</t>
        </is>
      </c>
      <c r="N636" s="280" t="n"/>
      <c r="P636" s="280" t="n"/>
      <c r="R636" s="280" t="n"/>
      <c r="T636" s="280" t="n"/>
      <c r="V636" s="280" t="n"/>
      <c r="X636" s="280" t="n"/>
      <c r="Z636" s="280" t="n"/>
      <c r="AA636" s="280" t="n"/>
      <c r="AB636" s="281" t="inlineStr">
        <is>
          <t>ES85 2080 3509 1130 4009 6171</t>
        </is>
      </c>
      <c r="AC636" s="278" t="inlineStr">
        <is>
          <t>pendiente</t>
        </is>
      </c>
      <c r="AD636" s="280">
        <f>L636+N636+P636+R636+T636+V636+X636+Z636</f>
        <v/>
      </c>
      <c r="AE636" s="280">
        <f>IF((LEFT(K636,6))="Contab",L636,0)</f>
        <v/>
      </c>
      <c r="AF636" s="281">
        <f>VLOOKUP(G636,CLIENTES!B:E,4,FALSE)</f>
        <v/>
      </c>
      <c r="AG636" s="280">
        <f>AF636*AE636</f>
        <v/>
      </c>
      <c r="AH636" s="280">
        <f>AD636*1.21</f>
        <v/>
      </c>
      <c r="AI636" s="284">
        <f>IF(AE636&lt;&gt;0,AG636/AD636,"N/A")</f>
        <v/>
      </c>
      <c r="AJ636" s="280">
        <f>IF(AC636="pendiente",AD636,0)</f>
        <v/>
      </c>
      <c r="AK636" s="278">
        <f>VLOOKUP(G636,CLIENTES!B:D,3,FALSE)</f>
        <v/>
      </c>
    </row>
    <row r="637" ht="15" customFormat="1" customHeight="1" s="278">
      <c r="B637" s="279" t="n"/>
      <c r="C637" s="278" t="inlineStr">
        <is>
          <t>c/ Las Cruzadas 3A, local D</t>
        </is>
      </c>
      <c r="D637" s="278" t="inlineStr">
        <is>
          <t>Sevilla 41004</t>
        </is>
      </c>
      <c r="E637" s="278" t="inlineStr">
        <is>
          <t>CIF B91938662</t>
        </is>
      </c>
      <c r="F637" s="278" t="inlineStr">
        <is>
          <t>aBalados@abalados.es</t>
        </is>
      </c>
      <c r="G637" s="278" t="inlineStr">
        <is>
          <t>Amberg V S.L.U.</t>
        </is>
      </c>
      <c r="H637" s="278">
        <f>VLOOKUP($G637,DATOS!$B:$E,2,FALSE)</f>
        <v/>
      </c>
      <c r="I637" s="278">
        <f>VLOOKUP($G637,DATOS!$B:$E,3,FALSE)</f>
        <v/>
      </c>
      <c r="J637" s="278">
        <f>VLOOKUP($G637,DATOS!$B:$E,4,FALSE)</f>
        <v/>
      </c>
      <c r="K637" s="278" t="inlineStr">
        <is>
          <t>Honorarios de administración de créditos y representación inversores</t>
        </is>
      </c>
      <c r="L637" s="280" t="n">
        <v>3350</v>
      </c>
      <c r="M637" s="278" t="inlineStr">
        <is>
          <t>Engagement Letter</t>
        </is>
      </c>
      <c r="N637" s="280" t="n"/>
      <c r="P637" s="280" t="n"/>
      <c r="R637" s="280" t="n"/>
      <c r="T637" s="280" t="n"/>
      <c r="V637" s="280" t="n"/>
      <c r="X637" s="280" t="n"/>
      <c r="Z637" s="280" t="n"/>
      <c r="AA637" s="280" t="n"/>
      <c r="AB637" s="281" t="inlineStr">
        <is>
          <t>ES85 2080 3509 1130 4009 6171</t>
        </is>
      </c>
      <c r="AC637" s="278" t="inlineStr">
        <is>
          <t>pendiente</t>
        </is>
      </c>
      <c r="AD637" s="280">
        <f>L637+N637+P637+R637+T637+V637+X637+Z637</f>
        <v/>
      </c>
      <c r="AE637" s="280">
        <f>IF((LEFT(K637,6))="Contab",L637,0)</f>
        <v/>
      </c>
      <c r="AF637" s="281">
        <f>VLOOKUP(G637,CLIENTES!B:E,4,FALSE)</f>
        <v/>
      </c>
      <c r="AG637" s="280">
        <f>AF637*AE637</f>
        <v/>
      </c>
      <c r="AH637" s="280">
        <f>AD637*1.21</f>
        <v/>
      </c>
      <c r="AI637" s="284">
        <f>IF(AE637&lt;&gt;0,AG637/AD637,"N/A")</f>
        <v/>
      </c>
      <c r="AJ637" s="280">
        <f>IF(AC637="pendiente",AD637,0)</f>
        <v/>
      </c>
      <c r="AK637" s="278">
        <f>VLOOKUP(G637,CLIENTES!B:D,3,FALSE)</f>
        <v/>
      </c>
    </row>
    <row r="638" ht="15" customFormat="1" customHeight="1" s="278">
      <c r="B638" s="279" t="n"/>
      <c r="C638" s="278" t="inlineStr">
        <is>
          <t>c/ Las Cruzadas 3A, local D</t>
        </is>
      </c>
      <c r="D638" s="278" t="inlineStr">
        <is>
          <t>Sevilla 41004</t>
        </is>
      </c>
      <c r="E638" s="278" t="inlineStr">
        <is>
          <t>CIF B91938662</t>
        </is>
      </c>
      <c r="F638" s="278" t="inlineStr">
        <is>
          <t>aBalados@abalados.es</t>
        </is>
      </c>
      <c r="G638" s="278" t="inlineStr">
        <is>
          <t>Amberg II S.L.U.</t>
        </is>
      </c>
      <c r="H638" s="278">
        <f>VLOOKUP($G638,DATOS!$B:$E,2,FALSE)</f>
        <v/>
      </c>
      <c r="I638" s="278">
        <f>VLOOKUP($G638,DATOS!$B:$E,3,FALSE)</f>
        <v/>
      </c>
      <c r="J638" s="278">
        <f>VLOOKUP($G638,DATOS!$B:$E,4,FALSE)</f>
        <v/>
      </c>
      <c r="K638" s="278" t="inlineStr">
        <is>
          <t>Honorarios de administración de créditos y representación inversores</t>
        </is>
      </c>
      <c r="L638" s="280" t="n">
        <v>5877.19</v>
      </c>
      <c r="M638" s="278" t="inlineStr">
        <is>
          <t>Engagement Letter</t>
        </is>
      </c>
      <c r="N638" s="280" t="n"/>
      <c r="P638" s="280" t="n"/>
      <c r="R638" s="280" t="n"/>
      <c r="T638" s="280" t="n"/>
      <c r="V638" s="280" t="n"/>
      <c r="X638" s="280" t="n"/>
      <c r="Z638" s="280" t="n"/>
      <c r="AA638" s="280" t="n"/>
      <c r="AB638" s="281" t="inlineStr">
        <is>
          <t>ES85 2080 3509 1130 4009 6171</t>
        </is>
      </c>
      <c r="AC638" s="278" t="inlineStr">
        <is>
          <t>pendiente</t>
        </is>
      </c>
      <c r="AD638" s="280">
        <f>L638+N638+P638+R638+T638+V638+X638+Z638</f>
        <v/>
      </c>
      <c r="AE638" s="280">
        <f>IF((LEFT(K638,6))="Contab",L638,0)</f>
        <v/>
      </c>
      <c r="AF638" s="281">
        <f>VLOOKUP(G638,CLIENTES!B:E,4,FALSE)</f>
        <v/>
      </c>
      <c r="AG638" s="280">
        <f>AF638*AE638</f>
        <v/>
      </c>
      <c r="AH638" s="280">
        <f>AD638*1.21</f>
        <v/>
      </c>
      <c r="AI638" s="284">
        <f>IF(AE638&lt;&gt;0,AG638/AD638,"N/A")</f>
        <v/>
      </c>
      <c r="AJ638" s="280">
        <f>IF(AC638="pendiente",AD638,0)</f>
        <v/>
      </c>
      <c r="AK638" s="278">
        <f>VLOOKUP(G638,CLIENTES!B:D,3,FALSE)</f>
        <v/>
      </c>
    </row>
    <row r="639" ht="15" customFormat="1" customHeight="1" s="278">
      <c r="B639" s="279" t="n"/>
      <c r="C639" s="278" t="inlineStr">
        <is>
          <t>c/ Las Cruzadas 3A, local D</t>
        </is>
      </c>
      <c r="D639" s="278" t="inlineStr">
        <is>
          <t>Sevilla 41004</t>
        </is>
      </c>
      <c r="E639" s="278" t="inlineStr">
        <is>
          <t>CIF B91938662</t>
        </is>
      </c>
      <c r="F639" s="278" t="inlineStr">
        <is>
          <t>aBalados@abalados.es</t>
        </is>
      </c>
      <c r="G639" s="278" t="inlineStr">
        <is>
          <t>Agrupación Solar el Algarrobo I, S.L.U.</t>
        </is>
      </c>
      <c r="H639" s="278">
        <f>VLOOKUP($G639,DATOS!$B:$E,2,FALSE)</f>
        <v/>
      </c>
      <c r="I639" s="278">
        <f>VLOOKUP($G639,DATOS!$B:$E,3,FALSE)</f>
        <v/>
      </c>
      <c r="J639" s="278">
        <f>VLOOKUP($G639,DATOS!$B:$E,4,FALSE)</f>
        <v/>
      </c>
      <c r="K639" s="278" t="inlineStr">
        <is>
          <t>Honorarios de administración de créditos y representación inversores</t>
        </is>
      </c>
      <c r="L639" s="280" t="n">
        <v>3597.88</v>
      </c>
      <c r="M639" s="278" t="inlineStr">
        <is>
          <t>Engagement Letter</t>
        </is>
      </c>
      <c r="N639" s="280" t="n"/>
      <c r="P639" s="280" t="n"/>
      <c r="R639" s="280" t="n"/>
      <c r="T639" s="280" t="n"/>
      <c r="V639" s="280" t="n"/>
      <c r="X639" s="280" t="n"/>
      <c r="Z639" s="280" t="n"/>
      <c r="AA639" s="280" t="n"/>
      <c r="AB639" s="281" t="inlineStr">
        <is>
          <t>ES85 2080 3509 1130 4009 6171</t>
        </is>
      </c>
      <c r="AC639" s="278" t="inlineStr">
        <is>
          <t>pendiente</t>
        </is>
      </c>
      <c r="AD639" s="280">
        <f>L639+N639+P639+R639+T639+V639+X639+Z639</f>
        <v/>
      </c>
      <c r="AE639" s="280">
        <f>IF((LEFT(K639,6))="Contab",L639,0)</f>
        <v/>
      </c>
      <c r="AF639" s="281">
        <f>VLOOKUP(G639,CLIENTES!B:E,4,FALSE)</f>
        <v/>
      </c>
      <c r="AG639" s="280">
        <f>AF639*AE639</f>
        <v/>
      </c>
      <c r="AH639" s="280">
        <f>AD639*1.21</f>
        <v/>
      </c>
      <c r="AI639" s="284">
        <f>IF(AE639&lt;&gt;0,AG639/AD639,"N/A")</f>
        <v/>
      </c>
      <c r="AJ639" s="280">
        <f>IF(AC639="pendiente",AD639,0)</f>
        <v/>
      </c>
      <c r="AK639" s="278">
        <f>VLOOKUP(G639,CLIENTES!B:D,3,FALSE)</f>
        <v/>
      </c>
    </row>
    <row r="640" ht="15" customFormat="1" customHeight="1" s="278">
      <c r="B640" s="279" t="n"/>
      <c r="C640" s="278" t="inlineStr">
        <is>
          <t>c/ Las Cruzadas 3A, local D</t>
        </is>
      </c>
      <c r="D640" s="278" t="inlineStr">
        <is>
          <t>Sevilla 41004</t>
        </is>
      </c>
      <c r="E640" s="278" t="inlineStr">
        <is>
          <t>CIF B91938662</t>
        </is>
      </c>
      <c r="F640" s="278" t="inlineStr">
        <is>
          <t>aBalados@abalados.es</t>
        </is>
      </c>
      <c r="G640" s="278" t="inlineStr">
        <is>
          <t>Agrupación Solar el Algarrobo II, S.L.U.</t>
        </is>
      </c>
      <c r="H640" s="278">
        <f>VLOOKUP($G640,DATOS!$B:$E,2,FALSE)</f>
        <v/>
      </c>
      <c r="I640" s="278">
        <f>VLOOKUP($G640,DATOS!$B:$E,3,FALSE)</f>
        <v/>
      </c>
      <c r="J640" s="278">
        <f>VLOOKUP($G640,DATOS!$B:$E,4,FALSE)</f>
        <v/>
      </c>
      <c r="K640" s="278" t="inlineStr">
        <is>
          <t>Honorarios de administración de créditos y representación inversores</t>
        </is>
      </c>
      <c r="L640" s="280" t="n">
        <v>3597.88</v>
      </c>
      <c r="M640" s="278" t="inlineStr">
        <is>
          <t>Engagement Letter</t>
        </is>
      </c>
      <c r="N640" s="280" t="n"/>
      <c r="P640" s="280" t="n"/>
      <c r="R640" s="280" t="n"/>
      <c r="T640" s="280" t="n"/>
      <c r="V640" s="280" t="n"/>
      <c r="X640" s="280" t="n"/>
      <c r="Z640" s="280" t="n"/>
      <c r="AA640" s="280" t="n"/>
      <c r="AB640" s="281" t="inlineStr">
        <is>
          <t>ES85 2080 3509 1130 4009 6171</t>
        </is>
      </c>
      <c r="AC640" s="278" t="inlineStr">
        <is>
          <t>pendiente</t>
        </is>
      </c>
      <c r="AD640" s="280">
        <f>L640+N640+P640+R640+T640+V640+X640+Z640</f>
        <v/>
      </c>
      <c r="AE640" s="280">
        <f>IF((LEFT(K640,6))="Contab",L640,0)</f>
        <v/>
      </c>
      <c r="AF640" s="281">
        <f>VLOOKUP(G640,CLIENTES!B:E,4,FALSE)</f>
        <v/>
      </c>
      <c r="AG640" s="280">
        <f>AF640*AE640</f>
        <v/>
      </c>
      <c r="AH640" s="280">
        <f>AD640*1.21</f>
        <v/>
      </c>
      <c r="AI640" s="284">
        <f>IF(AE640&lt;&gt;0,AG640/AD640,"N/A")</f>
        <v/>
      </c>
      <c r="AJ640" s="280">
        <f>IF(AC640="pendiente",AD640,0)</f>
        <v/>
      </c>
      <c r="AK640" s="278">
        <f>VLOOKUP(G640,CLIENTES!B:D,3,FALSE)</f>
        <v/>
      </c>
    </row>
    <row r="641" ht="15" customFormat="1" customHeight="1" s="278">
      <c r="B641" s="279" t="n"/>
      <c r="C641" s="278" t="inlineStr">
        <is>
          <t>c/ Las Cruzadas 3A, local D</t>
        </is>
      </c>
      <c r="D641" s="278" t="inlineStr">
        <is>
          <t>Sevilla 41004</t>
        </is>
      </c>
      <c r="E641" s="278" t="inlineStr">
        <is>
          <t>CIF B91938662</t>
        </is>
      </c>
      <c r="F641" s="278" t="inlineStr">
        <is>
          <t>aBalados@abalados.es</t>
        </is>
      </c>
      <c r="G641" s="278" t="inlineStr">
        <is>
          <t>Agrupación Solar el Algarrobo III, S.L.U.</t>
        </is>
      </c>
      <c r="H641" s="278">
        <f>VLOOKUP($G641,DATOS!$B:$E,2,FALSE)</f>
        <v/>
      </c>
      <c r="I641" s="278">
        <f>VLOOKUP($G641,DATOS!$B:$E,3,FALSE)</f>
        <v/>
      </c>
      <c r="J641" s="278">
        <f>VLOOKUP($G641,DATOS!$B:$E,4,FALSE)</f>
        <v/>
      </c>
      <c r="K641" s="278" t="inlineStr">
        <is>
          <t>Honorarios de administración de créditos y representación inversores</t>
        </is>
      </c>
      <c r="L641" s="280" t="n">
        <v>3976.61</v>
      </c>
      <c r="M641" s="278" t="inlineStr">
        <is>
          <t>Engagement Letter</t>
        </is>
      </c>
      <c r="N641" s="280" t="n"/>
      <c r="P641" s="280" t="n"/>
      <c r="R641" s="280" t="n"/>
      <c r="T641" s="280" t="n"/>
      <c r="V641" s="280" t="n"/>
      <c r="X641" s="280" t="n"/>
      <c r="Z641" s="280" t="n"/>
      <c r="AA641" s="280" t="n"/>
      <c r="AB641" s="281" t="inlineStr">
        <is>
          <t>ES85 2080 3509 1130 4009 6171</t>
        </is>
      </c>
      <c r="AC641" s="278" t="inlineStr">
        <is>
          <t>pendiente</t>
        </is>
      </c>
      <c r="AD641" s="280">
        <f>L641+N641+P641+R641+T641+V641+X641+Z641</f>
        <v/>
      </c>
      <c r="AE641" s="280">
        <f>IF((LEFT(K641,6))="Contab",L641,0)</f>
        <v/>
      </c>
      <c r="AF641" s="281">
        <f>VLOOKUP(G641,CLIENTES!B:E,4,FALSE)</f>
        <v/>
      </c>
      <c r="AG641" s="280">
        <f>AF641*AE641</f>
        <v/>
      </c>
      <c r="AH641" s="280">
        <f>AD641*1.21</f>
        <v/>
      </c>
      <c r="AI641" s="284">
        <f>IF(AE641&lt;&gt;0,AG641/AD641,"N/A")</f>
        <v/>
      </c>
      <c r="AJ641" s="280">
        <f>IF(AC641="pendiente",AD641,0)</f>
        <v/>
      </c>
      <c r="AK641" s="278">
        <f>VLOOKUP(G641,CLIENTES!B:D,3,FALSE)</f>
        <v/>
      </c>
    </row>
    <row r="642" ht="15" customFormat="1" customHeight="1" s="278">
      <c r="B642" s="279" t="n"/>
      <c r="C642" s="278" t="inlineStr">
        <is>
          <t>c/ Las Cruzadas 3A, local D</t>
        </is>
      </c>
      <c r="D642" s="278" t="inlineStr">
        <is>
          <t>Sevilla 41004</t>
        </is>
      </c>
      <c r="E642" s="278" t="inlineStr">
        <is>
          <t>CIF B91938662</t>
        </is>
      </c>
      <c r="F642" s="278" t="inlineStr">
        <is>
          <t>aBalados@abalados.es</t>
        </is>
      </c>
      <c r="G642" s="278" t="inlineStr">
        <is>
          <t>Locaba Solar S.L.U.</t>
        </is>
      </c>
      <c r="H642" s="278">
        <f>VLOOKUP($G642,DATOS!$B:$E,2,FALSE)</f>
        <v/>
      </c>
      <c r="I642" s="278">
        <f>VLOOKUP($G642,DATOS!$B:$E,3,FALSE)</f>
        <v/>
      </c>
      <c r="J642" s="278">
        <f>VLOOKUP($G642,DATOS!$B:$E,4,FALSE)</f>
        <v/>
      </c>
      <c r="K642" s="278" t="inlineStr">
        <is>
          <t>Honorarios de administración de créditos y representación inversores</t>
        </is>
      </c>
      <c r="L642" s="280" t="n">
        <v>4000</v>
      </c>
      <c r="M642" s="278" t="inlineStr">
        <is>
          <t>Engagement Letter</t>
        </is>
      </c>
      <c r="N642" s="280" t="n"/>
      <c r="P642" s="280" t="n"/>
      <c r="R642" s="280" t="n"/>
      <c r="T642" s="280" t="n"/>
      <c r="V642" s="280" t="n"/>
      <c r="X642" s="280" t="n"/>
      <c r="Z642" s="280" t="n"/>
      <c r="AA642" s="280" t="n"/>
      <c r="AB642" s="281" t="inlineStr">
        <is>
          <t>ES85 2080 3509 1130 4009 6171</t>
        </is>
      </c>
      <c r="AC642" s="278" t="inlineStr">
        <is>
          <t>pendiente</t>
        </is>
      </c>
      <c r="AD642" s="280">
        <f>L642+N642+P642+R642+T642+V642+X642+Z642</f>
        <v/>
      </c>
      <c r="AE642" s="280">
        <f>IF((LEFT(K642,6))="Contab",L642,0)</f>
        <v/>
      </c>
      <c r="AF642" s="281">
        <f>VLOOKUP(G642,CLIENTES!B:E,4,FALSE)</f>
        <v/>
      </c>
      <c r="AG642" s="280">
        <f>AF642*AE642</f>
        <v/>
      </c>
      <c r="AH642" s="280">
        <f>AD642*1.21</f>
        <v/>
      </c>
      <c r="AI642" s="284">
        <f>IF(AE642&lt;&gt;0,AG642/AD642,"N/A")</f>
        <v/>
      </c>
      <c r="AJ642" s="280">
        <f>IF(AC642="pendiente",AD642,0)</f>
        <v/>
      </c>
      <c r="AK642" s="278">
        <f>VLOOKUP(G642,CLIENTES!B:D,3,FALSE)</f>
        <v/>
      </c>
    </row>
    <row r="643" ht="15" customFormat="1" customHeight="1" s="278">
      <c r="B643" s="279" t="n"/>
      <c r="C643" s="278" t="inlineStr">
        <is>
          <t>c/ Las Cruzadas 3A, local D</t>
        </is>
      </c>
      <c r="D643" s="278" t="inlineStr">
        <is>
          <t>Sevilla 41004</t>
        </is>
      </c>
      <c r="E643" s="278" t="inlineStr">
        <is>
          <t>CIF B91938662</t>
        </is>
      </c>
      <c r="F643" s="278" t="inlineStr">
        <is>
          <t>aBalados@abalados.es</t>
        </is>
      </c>
      <c r="G643" s="278" t="inlineStr">
        <is>
          <t>Lo Illán  Parque Solar S.L.U.</t>
        </is>
      </c>
      <c r="H643" s="278">
        <f>VLOOKUP($G643,DATOS!$B:$E,2,FALSE)</f>
        <v/>
      </c>
      <c r="I643" s="278">
        <f>VLOOKUP($G643,DATOS!$B:$E,3,FALSE)</f>
        <v/>
      </c>
      <c r="J643" s="278">
        <f>VLOOKUP($G643,DATOS!$B:$E,4,FALSE)</f>
        <v/>
      </c>
      <c r="K643" s="278" t="inlineStr">
        <is>
          <t>Honorarios de administración de créditos y representación inversores</t>
        </is>
      </c>
      <c r="L643" s="280" t="n">
        <v>8000</v>
      </c>
      <c r="M643" s="278" t="inlineStr">
        <is>
          <t>Engagement Letter</t>
        </is>
      </c>
      <c r="N643" s="280" t="n"/>
      <c r="P643" s="280" t="n"/>
      <c r="R643" s="280" t="n"/>
      <c r="T643" s="280" t="n"/>
      <c r="V643" s="280" t="n"/>
      <c r="X643" s="280" t="n"/>
      <c r="Z643" s="280" t="n"/>
      <c r="AA643" s="280" t="n"/>
      <c r="AB643" s="281" t="inlineStr">
        <is>
          <t>ES85 2080 3509 1130 4009 6171</t>
        </is>
      </c>
      <c r="AC643" s="278" t="inlineStr">
        <is>
          <t>pendiente</t>
        </is>
      </c>
      <c r="AD643" s="280">
        <f>L643+N643+P643+R643+T643+V643+X643+Z643</f>
        <v/>
      </c>
      <c r="AE643" s="280">
        <f>IF((LEFT(K643,6))="Contab",L643,0)</f>
        <v/>
      </c>
      <c r="AF643" s="281">
        <f>VLOOKUP(G643,CLIENTES!B:E,4,FALSE)</f>
        <v/>
      </c>
      <c r="AG643" s="280">
        <f>AF643*AE643</f>
        <v/>
      </c>
      <c r="AH643" s="280">
        <f>AD643*1.21</f>
        <v/>
      </c>
      <c r="AI643" s="284">
        <f>IF(AE643&lt;&gt;0,AG643/AD643,"N/A")</f>
        <v/>
      </c>
      <c r="AJ643" s="280">
        <f>IF(AC643="pendiente",AD643,0)</f>
        <v/>
      </c>
      <c r="AK643" s="278">
        <f>VLOOKUP(G643,CLIENTES!B:D,3,FALSE)</f>
        <v/>
      </c>
    </row>
    <row r="644" ht="15" customFormat="1" customHeight="1" s="278">
      <c r="B644" s="279" t="n"/>
      <c r="C644" s="278" t="inlineStr">
        <is>
          <t>c/ Las Cruzadas 3A, local D</t>
        </is>
      </c>
      <c r="D644" s="278" t="inlineStr">
        <is>
          <t>Sevilla 41004</t>
        </is>
      </c>
      <c r="E644" s="278" t="inlineStr">
        <is>
          <t>CIF B91938662</t>
        </is>
      </c>
      <c r="F644" s="278" t="inlineStr">
        <is>
          <t>aBalados@abalados.es</t>
        </is>
      </c>
      <c r="G644" s="278" t="inlineStr">
        <is>
          <t>Contreras Parque Solar S.L.U.</t>
        </is>
      </c>
      <c r="H644" s="278">
        <f>VLOOKUP($G644,DATOS!$B:$E,2,FALSE)</f>
        <v/>
      </c>
      <c r="I644" s="278">
        <f>VLOOKUP($G644,DATOS!$B:$E,3,FALSE)</f>
        <v/>
      </c>
      <c r="J644" s="278">
        <f>VLOOKUP($G644,DATOS!$B:$E,4,FALSE)</f>
        <v/>
      </c>
      <c r="K644" s="278" t="inlineStr">
        <is>
          <t>Honorarios de administración de créditos y representación inversores</t>
        </is>
      </c>
      <c r="L644" s="280" t="n">
        <v>12000</v>
      </c>
      <c r="M644" s="278" t="inlineStr">
        <is>
          <t>Engagement Letter</t>
        </is>
      </c>
      <c r="N644" s="280" t="n"/>
      <c r="P644" s="280" t="n"/>
      <c r="R644" s="280" t="n"/>
      <c r="T644" s="280" t="n"/>
      <c r="V644" s="280" t="n"/>
      <c r="X644" s="280" t="n"/>
      <c r="Z644" s="280" t="n"/>
      <c r="AA644" s="280" t="n"/>
      <c r="AB644" s="281" t="inlineStr">
        <is>
          <t>ES85 2080 3509 1130 4009 6171</t>
        </is>
      </c>
      <c r="AC644" s="278" t="inlineStr">
        <is>
          <t>pendiente</t>
        </is>
      </c>
      <c r="AD644" s="280">
        <f>L644+N644+P644+R644+T644+V644+X644+Z644</f>
        <v/>
      </c>
      <c r="AE644" s="280">
        <f>IF((LEFT(K644,6))="Contab",L644,0)</f>
        <v/>
      </c>
      <c r="AF644" s="281">
        <f>VLOOKUP(G644,CLIENTES!B:E,4,FALSE)</f>
        <v/>
      </c>
      <c r="AG644" s="280">
        <f>AF644*AE644</f>
        <v/>
      </c>
      <c r="AH644" s="280">
        <f>AD644*1.21</f>
        <v/>
      </c>
      <c r="AI644" s="284">
        <f>IF(AE644&lt;&gt;0,AG644/AD644,"N/A")</f>
        <v/>
      </c>
      <c r="AJ644" s="280">
        <f>IF(AC644="pendiente",AD644,0)</f>
        <v/>
      </c>
      <c r="AK644" s="278">
        <f>VLOOKUP(G644,CLIENTES!B:D,3,FALSE)</f>
        <v/>
      </c>
    </row>
    <row r="645" ht="15" customFormat="1" customHeight="1" s="192">
      <c r="B645" s="199" t="n"/>
      <c r="C645" s="192" t="inlineStr">
        <is>
          <t>c/ Las Cruzadas 3A, local D</t>
        </is>
      </c>
      <c r="D645" s="192" t="inlineStr">
        <is>
          <t>Sevilla 41004</t>
        </is>
      </c>
      <c r="E645" s="192" t="inlineStr">
        <is>
          <t>CIF B91938662</t>
        </is>
      </c>
      <c r="F645" s="192" t="inlineStr">
        <is>
          <t>aBalados@abalados.es</t>
        </is>
      </c>
      <c r="G645" s="192" t="inlineStr">
        <is>
          <t>Turbinto Parque Solar S.L.U.</t>
        </is>
      </c>
      <c r="H645" s="192">
        <f>VLOOKUP($G645,DATOS!$B:$E,2,FALSE)</f>
        <v/>
      </c>
      <c r="I645" s="192">
        <f>VLOOKUP($G645,DATOS!$B:$E,3,FALSE)</f>
        <v/>
      </c>
      <c r="J645" s="192">
        <f>VLOOKUP($G645,DATOS!$B:$E,4,FALSE)</f>
        <v/>
      </c>
      <c r="K645" s="192" t="inlineStr">
        <is>
          <t>Honorarios de administración de créditos y representación inversores</t>
        </is>
      </c>
      <c r="L645" s="200" t="n">
        <v>8000</v>
      </c>
      <c r="M645" s="192" t="inlineStr">
        <is>
          <t>Engagement Letter</t>
        </is>
      </c>
      <c r="N645" s="200" t="n"/>
      <c r="P645" s="200" t="n"/>
      <c r="R645" s="200" t="n"/>
      <c r="T645" s="200" t="n"/>
      <c r="V645" s="200" t="n"/>
      <c r="X645" s="200" t="n"/>
      <c r="Z645" s="200" t="n"/>
      <c r="AA645" s="200" t="n"/>
      <c r="AB645" s="201" t="inlineStr">
        <is>
          <t>ES85 2080 3509 1130 4009 6171</t>
        </is>
      </c>
      <c r="AC645" s="192" t="inlineStr">
        <is>
          <t>pendiente</t>
        </is>
      </c>
      <c r="AD645" s="200">
        <f>L645+N645+P645+R645+T645+V645+X645+Z645</f>
        <v/>
      </c>
      <c r="AE645" s="200">
        <f>IF((LEFT(K645,6))="Contab",L645,0)</f>
        <v/>
      </c>
      <c r="AF645" s="201">
        <f>VLOOKUP(G645,CLIENTES!B:E,4,FALSE)</f>
        <v/>
      </c>
      <c r="AG645" s="200">
        <f>AF645*AE645</f>
        <v/>
      </c>
      <c r="AH645" s="200">
        <f>AD645*1.21</f>
        <v/>
      </c>
      <c r="AI645" s="283">
        <f>IF(AE645&lt;&gt;0,AG645/AD645,"N/A")</f>
        <v/>
      </c>
      <c r="AJ645" s="200">
        <f>IF(AC645="pendiente",AD645,0)</f>
        <v/>
      </c>
      <c r="AK645" s="192">
        <f>VLOOKUP(G645,CLIENTES!B:D,3,FALSE)</f>
        <v/>
      </c>
    </row>
    <row r="646" ht="15" customFormat="1" customHeight="1" s="195">
      <c r="B646" s="194" t="n"/>
      <c r="C646" s="195" t="inlineStr">
        <is>
          <t>c/ Las Cruzadas 3A, local D</t>
        </is>
      </c>
      <c r="D646" s="195" t="inlineStr">
        <is>
          <t>Sevilla 41004</t>
        </is>
      </c>
      <c r="E646" s="195" t="inlineStr">
        <is>
          <t>CIF B91938662</t>
        </is>
      </c>
      <c r="F646" s="195" t="inlineStr">
        <is>
          <t>aBalados@abalados.es</t>
        </is>
      </c>
      <c r="G646" s="195" t="inlineStr">
        <is>
          <t>Valcabado Renovables 220 kV, S.L.</t>
        </is>
      </c>
      <c r="H646" s="195">
        <f>VLOOKUP($G646,DATOS!$B:$E,2,FALSE)</f>
        <v/>
      </c>
      <c r="I646" s="195">
        <f>VLOOKUP($G646,DATOS!$B:$E,3,FALSE)</f>
        <v/>
      </c>
      <c r="J646" s="195">
        <f>VLOOKUP($G646,DATOS!$B:$E,4,FALSE)</f>
        <v/>
      </c>
      <c r="K646" s="195" t="inlineStr">
        <is>
          <t>Contrato de Asset Management - Subestación Valcabado</t>
        </is>
      </c>
      <c r="L646" s="196" t="n"/>
      <c r="N646" s="196" t="n"/>
      <c r="O646" s="195" t="inlineStr">
        <is>
          <t>Fee Trimestral - 01Octubre/31Diciembre 2024</t>
        </is>
      </c>
      <c r="P646" s="196">
        <f>3* 2898*1.098*1.033*1.032</f>
        <v/>
      </c>
      <c r="R646" s="196" t="n"/>
      <c r="T646" s="196" t="n"/>
      <c r="V646" s="196" t="n"/>
      <c r="X646" s="196" t="n"/>
      <c r="Z646" s="196" t="n"/>
      <c r="AA646" s="196" t="n"/>
      <c r="AB646" s="401" t="inlineStr">
        <is>
          <t>ES85 2080 3509 1130 4009 6171</t>
        </is>
      </c>
      <c r="AC646" s="195" t="inlineStr">
        <is>
          <t>pendiente</t>
        </is>
      </c>
      <c r="AD646" s="196">
        <f>L646+N646+P646+R646+T646+V646+X646+Z646</f>
        <v/>
      </c>
      <c r="AE646" s="196">
        <f>P646</f>
        <v/>
      </c>
      <c r="AF646" s="197">
        <f>IF(AM646="Explotación",0.05,0.08)</f>
        <v/>
      </c>
      <c r="AG646" s="196">
        <f>AF646*AE646</f>
        <v/>
      </c>
      <c r="AH646" s="196">
        <f>AD646*1.21</f>
        <v/>
      </c>
      <c r="AI646" s="285">
        <f>IF(AE646&lt;&gt;0,AG646/AD646,"N/A")</f>
        <v/>
      </c>
      <c r="AJ646" s="196">
        <f>IF(AC646="pendiente",AD646,0)</f>
        <v/>
      </c>
      <c r="AK646" s="195">
        <f>VLOOKUP(G646,CLIENTES!B:D,3,FALSE)</f>
        <v/>
      </c>
    </row>
    <row r="647" ht="15" customFormat="1" customHeight="1" s="278">
      <c r="B647" s="279" t="n"/>
      <c r="C647" s="278" t="inlineStr">
        <is>
          <t>c/ Las Cruzadas 3A, local D</t>
        </is>
      </c>
      <c r="D647" s="278" t="inlineStr">
        <is>
          <t>Sevilla 41004</t>
        </is>
      </c>
      <c r="E647" s="278" t="inlineStr">
        <is>
          <t>CIF B91938662</t>
        </is>
      </c>
      <c r="F647" s="278" t="inlineStr">
        <is>
          <t>aBalados@abalados.es</t>
        </is>
      </c>
      <c r="G647" s="278" t="inlineStr">
        <is>
          <t>Grijota Renovables, S.L.</t>
        </is>
      </c>
      <c r="H647" s="278">
        <f>VLOOKUP($G647,DATOS!$B:$E,2,FALSE)</f>
        <v/>
      </c>
      <c r="I647" s="278">
        <f>VLOOKUP($G647,DATOS!$B:$E,3,FALSE)</f>
        <v/>
      </c>
      <c r="J647" s="278">
        <f>VLOOKUP($G647,DATOS!$B:$E,4,FALSE)</f>
        <v/>
      </c>
      <c r="K647" s="278" t="inlineStr">
        <is>
          <t>Contrato de Asset Management - Subestación Grijota</t>
        </is>
      </c>
      <c r="L647" s="280" t="n"/>
      <c r="N647" s="280" t="n"/>
      <c r="O647" s="278" t="inlineStr">
        <is>
          <t>Fee Trimestral - 01Octubre/31Diciembre 2024</t>
        </is>
      </c>
      <c r="P647" s="280">
        <f>3* 1035*1.108*1.023*1.028</f>
        <v/>
      </c>
      <c r="R647" s="280" t="n"/>
      <c r="T647" s="280" t="n"/>
      <c r="V647" s="280" t="n"/>
      <c r="X647" s="280" t="n"/>
      <c r="Z647" s="280" t="n"/>
      <c r="AA647" s="280" t="n"/>
      <c r="AB647" s="402" t="inlineStr">
        <is>
          <t>ES85 2080 3509 1130 4009 6171</t>
        </is>
      </c>
      <c r="AC647" s="278" t="inlineStr">
        <is>
          <t>pendiente</t>
        </is>
      </c>
      <c r="AD647" s="280">
        <f>L647+N647+P647+R647+T647+V647+X647+Z647</f>
        <v/>
      </c>
      <c r="AE647" s="280">
        <f>P647</f>
        <v/>
      </c>
      <c r="AF647" s="281">
        <f>IF(AM647="Explotación",0.05,0.08)</f>
        <v/>
      </c>
      <c r="AG647" s="280">
        <f>AF647*AE647</f>
        <v/>
      </c>
      <c r="AH647" s="280">
        <f>AD647*1.21</f>
        <v/>
      </c>
      <c r="AI647" s="284">
        <f>IF(AE647&lt;&gt;0,AG647/AD647,"N/A")</f>
        <v/>
      </c>
      <c r="AJ647" s="280">
        <f>IF(AC647="pendiente",AD647,0)</f>
        <v/>
      </c>
      <c r="AK647" s="278">
        <f>VLOOKUP(G647,CLIENTES!B:D,3,FALSE)</f>
        <v/>
      </c>
    </row>
    <row r="648" ht="15" customFormat="1" customHeight="1" s="278">
      <c r="B648" s="279" t="n"/>
      <c r="C648" s="278" t="inlineStr">
        <is>
          <t>c/ Las Cruzadas 3A, local D</t>
        </is>
      </c>
      <c r="D648" s="278" t="inlineStr">
        <is>
          <t>Sevilla 41004</t>
        </is>
      </c>
      <c r="E648" s="278" t="inlineStr">
        <is>
          <t>CIF B91938662</t>
        </is>
      </c>
      <c r="F648" s="278" t="inlineStr">
        <is>
          <t>aBalados@abalados.es</t>
        </is>
      </c>
      <c r="G648" s="278" t="inlineStr">
        <is>
          <t>Cubillos Renovables, S.L.</t>
        </is>
      </c>
      <c r="H648" s="278">
        <f>VLOOKUP($G648,DATOS!$B:$E,2,FALSE)</f>
        <v/>
      </c>
      <c r="I648" s="278">
        <f>VLOOKUP($G648,DATOS!$B:$E,3,FALSE)</f>
        <v/>
      </c>
      <c r="J648" s="278">
        <f>VLOOKUP($G648,DATOS!$B:$E,4,FALSE)</f>
        <v/>
      </c>
      <c r="K648" s="278" t="inlineStr">
        <is>
          <t>Contrato de Asset Management - Subestación Majuelo</t>
        </is>
      </c>
      <c r="L648" s="280" t="n"/>
      <c r="N648" s="280" t="n"/>
      <c r="O648" s="278" t="inlineStr">
        <is>
          <t>Fee Trimestral - 01Octubre/31Diciembre 2024</t>
        </is>
      </c>
      <c r="P648" s="280">
        <f>3* 2898*1.105*1.026*1.023</f>
        <v/>
      </c>
      <c r="R648" s="280" t="n"/>
      <c r="T648" s="280" t="n"/>
      <c r="V648" s="280" t="n"/>
      <c r="X648" s="280" t="n"/>
      <c r="Z648" s="280" t="n"/>
      <c r="AA648" s="280" t="n"/>
      <c r="AB648" s="402" t="inlineStr">
        <is>
          <t>ES85 2080 3509 1130 4009 6171</t>
        </is>
      </c>
      <c r="AC648" s="278" t="inlineStr">
        <is>
          <t>pendiente</t>
        </is>
      </c>
      <c r="AD648" s="280">
        <f>L648+N648+P648+R648+T648+V648+X648+Z648</f>
        <v/>
      </c>
      <c r="AE648" s="280">
        <f>P648</f>
        <v/>
      </c>
      <c r="AF648" s="281">
        <f>IF(AM648="Explotación",0.05,0.08)</f>
        <v/>
      </c>
      <c r="AG648" s="280">
        <f>AF648*AE648</f>
        <v/>
      </c>
      <c r="AH648" s="280">
        <f>AD648*1.21</f>
        <v/>
      </c>
      <c r="AI648" s="284">
        <f>IF(AE648&lt;&gt;0,AG648/AD648,"N/A")</f>
        <v/>
      </c>
      <c r="AJ648" s="280">
        <f>IF(AC648="pendiente",AD648,0)</f>
        <v/>
      </c>
      <c r="AK648" s="278">
        <f>VLOOKUP(G648,CLIENTES!B:D,3,FALSE)</f>
        <v/>
      </c>
    </row>
    <row r="649" ht="15" customFormat="1" customHeight="1" s="278">
      <c r="B649" s="279" t="n"/>
      <c r="C649" s="278" t="inlineStr">
        <is>
          <t>c/ Las Cruzadas 3A, local D</t>
        </is>
      </c>
      <c r="D649" s="278" t="inlineStr">
        <is>
          <t>Sevilla 41004</t>
        </is>
      </c>
      <c r="E649" s="278" t="inlineStr">
        <is>
          <t>CIF B91938662</t>
        </is>
      </c>
      <c r="F649" s="278" t="inlineStr">
        <is>
          <t>aBalados@abalados.es</t>
        </is>
      </c>
      <c r="G649" s="278" t="inlineStr">
        <is>
          <t>Tordesillas Renovables, S.L.</t>
        </is>
      </c>
      <c r="H649" s="278">
        <f>VLOOKUP($G649,DATOS!$B:$E,2,FALSE)</f>
        <v/>
      </c>
      <c r="I649" s="278">
        <f>VLOOKUP($G649,DATOS!$B:$E,3,FALSE)</f>
        <v/>
      </c>
      <c r="J649" s="278">
        <f>VLOOKUP($G649,DATOS!$B:$E,4,FALSE)</f>
        <v/>
      </c>
      <c r="K649" s="278" t="inlineStr">
        <is>
          <t>Contrato de Asset Management - Subestación Tordesillas</t>
        </is>
      </c>
      <c r="L649" s="280" t="n"/>
      <c r="N649" s="280" t="n"/>
      <c r="O649" s="278" t="inlineStr">
        <is>
          <t>Fee Trimestral - 01Octubre/31Diciembre 2024</t>
        </is>
      </c>
      <c r="P649" s="280">
        <f>1200*1.073*1.035*(7/31)+1200*1.073*1.035*1.018*(24/31)  +  2* 1200*1.073*1.035*1.018</f>
        <v/>
      </c>
      <c r="Q649" s="278" t="inlineStr">
        <is>
          <t>Tasa actualización IPC General (Octubre 2023 - Octubre 2024): 1,8%</t>
        </is>
      </c>
      <c r="R649" s="280" t="n"/>
      <c r="S649" s="278" t="inlineStr">
        <is>
          <t>Fecha actualización: 08 Octubre</t>
        </is>
      </c>
      <c r="T649" s="280" t="n"/>
      <c r="V649" s="280" t="n"/>
      <c r="X649" s="280" t="n"/>
      <c r="Z649" s="280" t="n"/>
      <c r="AA649" s="280" t="n"/>
      <c r="AB649" s="402" t="inlineStr">
        <is>
          <t>ES85 2080 3509 1130 4009 6171</t>
        </is>
      </c>
      <c r="AC649" s="278" t="inlineStr">
        <is>
          <t>pendiente</t>
        </is>
      </c>
      <c r="AD649" s="280">
        <f>L649+N649+P649+R649+T649+V649+X649+Z649</f>
        <v/>
      </c>
      <c r="AE649" s="280">
        <f>P649</f>
        <v/>
      </c>
      <c r="AF649" s="281">
        <f>IF(AM649="Explotación",0.05,0.08)</f>
        <v/>
      </c>
      <c r="AG649" s="280">
        <f>AF649*AE649</f>
        <v/>
      </c>
      <c r="AH649" s="280">
        <f>AD649*1.21</f>
        <v/>
      </c>
      <c r="AI649" s="284">
        <f>IF(AE649&lt;&gt;0,AG649/AD649,"N/A")</f>
        <v/>
      </c>
      <c r="AJ649" s="280">
        <f>IF(AC649="pendiente",AD649,0)</f>
        <v/>
      </c>
      <c r="AK649" s="278">
        <f>VLOOKUP(G649,CLIENTES!B:D,3,FALSE)</f>
        <v/>
      </c>
    </row>
    <row r="650" ht="15" customFormat="1" customHeight="1" s="278">
      <c r="B650" s="279" t="n"/>
      <c r="C650" s="278" t="inlineStr">
        <is>
          <t>c/ Las Cruzadas 3A, local D</t>
        </is>
      </c>
      <c r="D650" s="278" t="inlineStr">
        <is>
          <t>Sevilla 41004</t>
        </is>
      </c>
      <c r="E650" s="278" t="inlineStr">
        <is>
          <t>CIF B91938662</t>
        </is>
      </c>
      <c r="F650" s="278" t="inlineStr">
        <is>
          <t>aBalados@abalados.es</t>
        </is>
      </c>
      <c r="G650" s="278" t="inlineStr">
        <is>
          <t>Monte Reina Renovables, S.L.</t>
        </is>
      </c>
      <c r="H650" s="278">
        <f>VLOOKUP($G650,DATOS!$B:$E,2,FALSE)</f>
        <v/>
      </c>
      <c r="I650" s="278">
        <f>VLOOKUP($G650,DATOS!$B:$E,3,FALSE)</f>
        <v/>
      </c>
      <c r="J650" s="278">
        <f>VLOOKUP($G650,DATOS!$B:$E,4,FALSE)</f>
        <v/>
      </c>
      <c r="K650" s="278" t="inlineStr">
        <is>
          <t>Contrato de Asset Management - Subestación Valdecarretas</t>
        </is>
      </c>
      <c r="L650" s="280" t="n"/>
      <c r="N650" s="280" t="n"/>
      <c r="O650" s="278" t="inlineStr">
        <is>
          <t>Fee Trimestral - 01Octubre/31Diciembre 2024</t>
        </is>
      </c>
      <c r="P650" s="280">
        <f>1380*1.073*1.035*(9/31)+1380*1.073*1.035*1.018*(22/31)  +  2* 1380*1.073*1.035*1.018</f>
        <v/>
      </c>
      <c r="Q650" s="278" t="inlineStr">
        <is>
          <t>Tasa actualización IPC General (Octubre 2023 - Octubre 2024): 1,8%</t>
        </is>
      </c>
      <c r="R650" s="280" t="n"/>
      <c r="S650" s="278" t="inlineStr">
        <is>
          <t>Fecha actualización: 10 Octubre</t>
        </is>
      </c>
      <c r="T650" s="280" t="n"/>
      <c r="V650" s="280" t="n"/>
      <c r="X650" s="280" t="n"/>
      <c r="Z650" s="280" t="n"/>
      <c r="AA650" s="280" t="n"/>
      <c r="AB650" s="402" t="inlineStr">
        <is>
          <t>ES85 2080 3509 1130 4009 6171</t>
        </is>
      </c>
      <c r="AC650" s="278" t="inlineStr">
        <is>
          <t>pendiente</t>
        </is>
      </c>
      <c r="AD650" s="280">
        <f>L650+N650+P650+R650+T650+V650+X650+Z650</f>
        <v/>
      </c>
      <c r="AE650" s="280">
        <f>P650</f>
        <v/>
      </c>
      <c r="AF650" s="281">
        <f>IF(AM650="Explotación",0.05,0.08)</f>
        <v/>
      </c>
      <c r="AG650" s="280">
        <f>AF650*AE650</f>
        <v/>
      </c>
      <c r="AH650" s="280">
        <f>AD650*1.21</f>
        <v/>
      </c>
      <c r="AI650" s="284">
        <f>IF(AE650&lt;&gt;0,AG650/AD650,"N/A")</f>
        <v/>
      </c>
      <c r="AJ650" s="280">
        <f>IF(AC650="pendiente",AD650,0)</f>
        <v/>
      </c>
      <c r="AK650" s="278">
        <f>VLOOKUP(G650,CLIENTES!B:D,3,FALSE)</f>
        <v/>
      </c>
    </row>
    <row r="651" ht="15" customFormat="1" customHeight="1" s="278">
      <c r="B651" s="279" t="n"/>
      <c r="C651" s="278" t="inlineStr">
        <is>
          <t>c/ Las Cruzadas 3A, local D</t>
        </is>
      </c>
      <c r="D651" s="278" t="inlineStr">
        <is>
          <t>Sevilla 41004</t>
        </is>
      </c>
      <c r="E651" s="278" t="inlineStr">
        <is>
          <t>CIF B91938662</t>
        </is>
      </c>
      <c r="F651" s="278" t="inlineStr">
        <is>
          <t>aBalados@abalados.es</t>
        </is>
      </c>
      <c r="G651" s="278" t="inlineStr">
        <is>
          <t>Herrera Renovables 400, A.I.E.</t>
        </is>
      </c>
      <c r="H651" s="278">
        <f>VLOOKUP($G651,DATOS!$B:$E,2,FALSE)</f>
        <v/>
      </c>
      <c r="I651" s="278">
        <f>VLOOKUP($G651,DATOS!$B:$E,3,FALSE)</f>
        <v/>
      </c>
      <c r="J651" s="278">
        <f>VLOOKUP($G651,DATOS!$B:$E,4,FALSE)</f>
        <v/>
      </c>
      <c r="K651" s="278" t="inlineStr">
        <is>
          <t>Contrato de Asset Management - Subestación Herrera</t>
        </is>
      </c>
      <c r="L651" s="280" t="n"/>
      <c r="N651" s="280" t="n"/>
      <c r="O651" s="278" t="inlineStr">
        <is>
          <t>Fee Trimestral - 01Octubre/31Diciembre 2024</t>
        </is>
      </c>
      <c r="P651" s="280">
        <f>1250*1.068*1.032 + 1250*1.068*1.032*(23/30)+1250*1.068*1.032*1.024*(7/30)  +  1* 1250*1.068*1.032*1.024</f>
        <v/>
      </c>
      <c r="Q651" s="278" t="inlineStr">
        <is>
          <t>Tasa actualización IPC General (Noviembre 2023 - Noviembre 2024): 2,4%</t>
        </is>
      </c>
      <c r="R651" s="280" t="n"/>
      <c r="S651" s="278" t="inlineStr">
        <is>
          <t>Fecha actualización: 24 Noviembre</t>
        </is>
      </c>
      <c r="T651" s="280" t="n"/>
      <c r="V651" s="280" t="n"/>
      <c r="X651" s="280" t="n"/>
      <c r="Z651" s="280" t="n"/>
      <c r="AA651" s="280" t="n"/>
      <c r="AB651" s="402" t="inlineStr">
        <is>
          <t>ES85 2080 3509 1130 4009 6171</t>
        </is>
      </c>
      <c r="AC651" s="278" t="inlineStr">
        <is>
          <t>pendiente</t>
        </is>
      </c>
      <c r="AD651" s="280">
        <f>L651+N651+P651+R651+T651+V651+X651+Z651</f>
        <v/>
      </c>
      <c r="AE651" s="280">
        <f>P651</f>
        <v/>
      </c>
      <c r="AF651" s="281">
        <f>IF(AM651="Explotación",0.05,0.08)</f>
        <v/>
      </c>
      <c r="AG651" s="280">
        <f>AF651*AE651</f>
        <v/>
      </c>
      <c r="AH651" s="280">
        <f>AD651*1.21</f>
        <v/>
      </c>
      <c r="AI651" s="284">
        <f>IF(AE651&lt;&gt;0,AG651/AD651,"N/A")</f>
        <v/>
      </c>
      <c r="AJ651" s="280">
        <f>IF(AC651="pendiente",AD651,0)</f>
        <v/>
      </c>
      <c r="AK651" s="278">
        <f>VLOOKUP(G651,CLIENTES!B:D,3,FALSE)</f>
        <v/>
      </c>
    </row>
    <row r="652" ht="15" customFormat="1" customHeight="1" s="278">
      <c r="B652" s="279" t="n"/>
      <c r="C652" s="278" t="inlineStr">
        <is>
          <t>c/ Las Cruzadas 3A, local D</t>
        </is>
      </c>
      <c r="D652" s="278" t="inlineStr">
        <is>
          <t>Sevilla 41004</t>
        </is>
      </c>
      <c r="E652" s="278" t="inlineStr">
        <is>
          <t>CIF B91938662</t>
        </is>
      </c>
      <c r="F652" s="278" t="inlineStr">
        <is>
          <t>aBalados@abalados.es</t>
        </is>
      </c>
      <c r="G652" s="278" t="inlineStr">
        <is>
          <t>Gazules Renovables, S.L.</t>
        </is>
      </c>
      <c r="H652" s="278">
        <f>VLOOKUP($G652,DATOS!$B:$E,2,FALSE)</f>
        <v/>
      </c>
      <c r="I652" s="278">
        <f>VLOOKUP($G652,DATOS!$B:$E,3,FALSE)</f>
        <v/>
      </c>
      <c r="J652" s="278">
        <f>VLOOKUP($G652,DATOS!$B:$E,4,FALSE)</f>
        <v/>
      </c>
      <c r="K652" s="278" t="inlineStr">
        <is>
          <t>Contrato de Asset Management - Subestación Gazules</t>
        </is>
      </c>
      <c r="L652" s="280" t="n"/>
      <c r="N652" s="280" t="n"/>
      <c r="O652" s="278" t="inlineStr">
        <is>
          <t>Fee Trimestral - 01Octubre/31Diciembre 2024</t>
        </is>
      </c>
      <c r="P652" s="280">
        <f>2900*1.068*1.032 + 2900*1.068*1.032*(17/30)+2900*1.068*1.032*1.024*(13/30)  +  1* 2900*1.068*1.032*1.024</f>
        <v/>
      </c>
      <c r="Q652" s="278" t="inlineStr">
        <is>
          <t>Tasa actualización IPC General (Noviembre 2023 - Noviembre 2024): 2,4%</t>
        </is>
      </c>
      <c r="R652" s="280" t="n"/>
      <c r="S652" s="278" t="inlineStr">
        <is>
          <t>Fecha actualización: 18 Noviembre</t>
        </is>
      </c>
      <c r="T652" s="280" t="n"/>
      <c r="V652" s="280" t="n"/>
      <c r="X652" s="280" t="n"/>
      <c r="Z652" s="280" t="n"/>
      <c r="AA652" s="280" t="n"/>
      <c r="AB652" s="402" t="inlineStr">
        <is>
          <t>ES85 2080 3509 1130 4009 6171</t>
        </is>
      </c>
      <c r="AC652" s="278" t="inlineStr">
        <is>
          <t>pendiente</t>
        </is>
      </c>
      <c r="AD652" s="280">
        <f>L652+N652+P652+R652+T652+V652+X652+Z652</f>
        <v/>
      </c>
      <c r="AE652" s="280">
        <f>P652</f>
        <v/>
      </c>
      <c r="AF652" s="281">
        <f>IF(AM652="Explotación",0.05,0.08)</f>
        <v/>
      </c>
      <c r="AG652" s="280">
        <f>AF652*AE652</f>
        <v/>
      </c>
      <c r="AH652" s="280">
        <f>AD652*1.21</f>
        <v/>
      </c>
      <c r="AI652" s="284">
        <f>IF(AE652&lt;&gt;0,AG652/AD652,"N/A")</f>
        <v/>
      </c>
      <c r="AJ652" s="280">
        <f>IF(AC652="pendiente",AD652,0)</f>
        <v/>
      </c>
      <c r="AK652" s="278">
        <f>VLOOKUP(G652,CLIENTES!B:D,3,FALSE)</f>
        <v/>
      </c>
    </row>
    <row r="653" ht="15" customFormat="1" customHeight="1" s="278">
      <c r="B653" s="279" t="n"/>
      <c r="C653" s="278" t="inlineStr">
        <is>
          <t>c/ Las Cruzadas 3A, local D</t>
        </is>
      </c>
      <c r="D653" s="278" t="inlineStr">
        <is>
          <t>Sevilla 41004</t>
        </is>
      </c>
      <c r="E653" s="278" t="inlineStr">
        <is>
          <t>CIF B91938662</t>
        </is>
      </c>
      <c r="F653" s="278" t="inlineStr">
        <is>
          <t>aBalados@abalados.es</t>
        </is>
      </c>
      <c r="G653" s="278" t="inlineStr">
        <is>
          <t>Evacuación Tordesillas 400 kV, S.L.</t>
        </is>
      </c>
      <c r="H653" s="278">
        <f>VLOOKUP($G653,DATOS!$B:$E,2,FALSE)</f>
        <v/>
      </c>
      <c r="I653" s="278">
        <f>VLOOKUP($G653,DATOS!$B:$E,3,FALSE)</f>
        <v/>
      </c>
      <c r="J653" s="278">
        <f>VLOOKUP($G653,DATOS!$B:$E,4,FALSE)</f>
        <v/>
      </c>
      <c r="K653" s="278" t="inlineStr">
        <is>
          <t>Contrato de Asset Management - LAAT T2 (Tordesillas)</t>
        </is>
      </c>
      <c r="L653" s="280" t="n"/>
      <c r="N653" s="280" t="n"/>
      <c r="O653" s="278" t="inlineStr">
        <is>
          <t>Fee Trimestral - 01Octubre/31Diciembre 2024</t>
        </is>
      </c>
      <c r="P653" s="280">
        <f>3* 1200*1.059*1.034</f>
        <v/>
      </c>
      <c r="R653" s="280" t="n"/>
      <c r="S653" s="280" t="n"/>
      <c r="T653" s="280" t="n"/>
      <c r="V653" s="280" t="n"/>
      <c r="X653" s="280" t="n"/>
      <c r="Z653" s="280" t="n"/>
      <c r="AA653" s="280" t="n"/>
      <c r="AB653" s="402" t="inlineStr">
        <is>
          <t>ES85 2080 3509 1130 4009 6171</t>
        </is>
      </c>
      <c r="AC653" s="278" t="inlineStr">
        <is>
          <t>pendiente</t>
        </is>
      </c>
      <c r="AD653" s="280">
        <f>L653+N653+P653+R653+T653+V653+X653+Z653</f>
        <v/>
      </c>
      <c r="AE653" s="280">
        <f>P653</f>
        <v/>
      </c>
      <c r="AF653" s="281">
        <f>IF(AM653="Explotación",0.05,0.08)</f>
        <v/>
      </c>
      <c r="AG653" s="280">
        <f>AF653*AE653</f>
        <v/>
      </c>
      <c r="AH653" s="280">
        <f>AD653*1.21</f>
        <v/>
      </c>
      <c r="AI653" s="284">
        <f>IF(AE653&lt;&gt;0,AG653/AD653,"N/A")</f>
        <v/>
      </c>
      <c r="AJ653" s="280">
        <f>IF(AC653="pendiente",AD653,0)</f>
        <v/>
      </c>
      <c r="AK653" s="278">
        <f>VLOOKUP(G653,CLIENTES!B:D,3,FALSE)</f>
        <v/>
      </c>
    </row>
    <row r="654" ht="15" customFormat="1" customHeight="1" s="278">
      <c r="B654" s="279" t="n"/>
      <c r="C654" s="278" t="inlineStr">
        <is>
          <t>c/ Las Cruzadas 3A, local D</t>
        </is>
      </c>
      <c r="D654" s="278" t="inlineStr">
        <is>
          <t>Sevilla 41004</t>
        </is>
      </c>
      <c r="E654" s="278" t="inlineStr">
        <is>
          <t>CIF B91938662</t>
        </is>
      </c>
      <c r="F654" s="278" t="inlineStr">
        <is>
          <t>aBalados@abalados.es</t>
        </is>
      </c>
      <c r="G654" s="278" t="inlineStr">
        <is>
          <t>Energías Limpias de Carmona, S.L.</t>
        </is>
      </c>
      <c r="H654" s="278">
        <f>VLOOKUP($G654,DATOS!$B:$E,2,FALSE)</f>
        <v/>
      </c>
      <c r="I654" s="278">
        <f>VLOOKUP($G654,DATOS!$B:$E,3,FALSE)</f>
        <v/>
      </c>
      <c r="J654" s="278">
        <f>VLOOKUP($G654,DATOS!$B:$E,4,FALSE)</f>
        <v/>
      </c>
      <c r="K654" s="278" t="inlineStr">
        <is>
          <t>Contrato de Asset Management - Subestación Carmona220</t>
        </is>
      </c>
      <c r="L654" s="280" t="n"/>
      <c r="N654" s="280" t="n"/>
      <c r="O654" s="278" t="inlineStr">
        <is>
          <t>Fee Trimestral - 01Octubre/31Diciembre 2024</t>
        </is>
      </c>
      <c r="P654" s="280">
        <f>3* 1250*1.06*1.028</f>
        <v/>
      </c>
      <c r="R654" s="280" t="n"/>
      <c r="S654" s="280" t="n"/>
      <c r="T654" s="280" t="n"/>
      <c r="V654" s="280" t="n"/>
      <c r="X654" s="280" t="n"/>
      <c r="Z654" s="280" t="n"/>
      <c r="AA654" s="280" t="n"/>
      <c r="AB654" s="402" t="inlineStr">
        <is>
          <t>ES85 2080 3509 1130 4009 6171</t>
        </is>
      </c>
      <c r="AC654" s="278" t="inlineStr">
        <is>
          <t>pendiente</t>
        </is>
      </c>
      <c r="AD654" s="280">
        <f>L654+N654+P654+R654+T654+V654+X654+Z654</f>
        <v/>
      </c>
      <c r="AE654" s="280">
        <f>P654</f>
        <v/>
      </c>
      <c r="AF654" s="281">
        <f>IF(AM654="Explotación",0.05,0.08)</f>
        <v/>
      </c>
      <c r="AG654" s="280">
        <f>AF654*AE654</f>
        <v/>
      </c>
      <c r="AH654" s="280">
        <f>AD654*1.21</f>
        <v/>
      </c>
      <c r="AI654" s="284">
        <f>IF(AE654&lt;&gt;0,AG654/AD654,"N/A")</f>
        <v/>
      </c>
      <c r="AJ654" s="280">
        <f>IF(AC654="pendiente",AD654,0)</f>
        <v/>
      </c>
      <c r="AK654" s="278">
        <f>VLOOKUP(G654,CLIENTES!B:D,3,FALSE)</f>
        <v/>
      </c>
    </row>
    <row r="655" ht="15" customFormat="1" customHeight="1" s="278">
      <c r="B655" s="279" t="n"/>
      <c r="C655" s="278" t="inlineStr">
        <is>
          <t>c/ Las Cruzadas 3A, local D</t>
        </is>
      </c>
      <c r="D655" s="278" t="inlineStr">
        <is>
          <t>Sevilla 41004</t>
        </is>
      </c>
      <c r="E655" s="278" t="inlineStr">
        <is>
          <t>CIF B91938662</t>
        </is>
      </c>
      <c r="F655" s="278" t="inlineStr">
        <is>
          <t>aBalados@abalados.es</t>
        </is>
      </c>
      <c r="G655" s="278" t="inlineStr">
        <is>
          <t>Martinez Montes Tordesillas, S.L.</t>
        </is>
      </c>
      <c r="H655" s="278">
        <f>VLOOKUP($G655,DATOS!$B:$E,2,FALSE)</f>
        <v/>
      </c>
      <c r="I655" s="278">
        <f>VLOOKUP($G655,DATOS!$B:$E,3,FALSE)</f>
        <v/>
      </c>
      <c r="J655" s="278">
        <f>VLOOKUP($G655,DATOS!$B:$E,4,FALSE)</f>
        <v/>
      </c>
      <c r="K655" s="278" t="inlineStr">
        <is>
          <t>Contrato de Asset Management - Subestación Martínez Montes (Tordesillas)</t>
        </is>
      </c>
      <c r="L655" s="280" t="n"/>
      <c r="N655" s="280" t="n"/>
      <c r="O655" s="278" t="inlineStr">
        <is>
          <t>Fee Trimestral - 01Octubre/31Diciembre 2024</t>
        </is>
      </c>
      <c r="P655" s="280">
        <f>3* 1200*1.06*1.028</f>
        <v/>
      </c>
      <c r="R655" s="280" t="n"/>
      <c r="S655" s="280" t="n"/>
      <c r="T655" s="280" t="n"/>
      <c r="V655" s="280" t="n"/>
      <c r="X655" s="280" t="n"/>
      <c r="Z655" s="280" t="n"/>
      <c r="AA655" s="280" t="n"/>
      <c r="AB655" s="402" t="inlineStr">
        <is>
          <t>ES85 2080 3509 1130 4009 6171</t>
        </is>
      </c>
      <c r="AC655" s="278" t="inlineStr">
        <is>
          <t>pendiente</t>
        </is>
      </c>
      <c r="AD655" s="280">
        <f>L655+N655+P655+R655+T655+V655+X655+Z655</f>
        <v/>
      </c>
      <c r="AE655" s="280">
        <f>P655</f>
        <v/>
      </c>
      <c r="AF655" s="281">
        <f>IF(AM655="Explotación",0.05,0.08)</f>
        <v/>
      </c>
      <c r="AG655" s="280">
        <f>AF655*AE655</f>
        <v/>
      </c>
      <c r="AH655" s="280">
        <f>AD655*1.21</f>
        <v/>
      </c>
      <c r="AI655" s="284">
        <f>IF(AE655&lt;&gt;0,AG655/AD655,"N/A")</f>
        <v/>
      </c>
      <c r="AJ655" s="280">
        <f>IF(AC655="pendiente",AD655,0)</f>
        <v/>
      </c>
      <c r="AK655" s="278">
        <f>VLOOKUP(G655,CLIENTES!B:D,3,FALSE)</f>
        <v/>
      </c>
    </row>
    <row r="656" ht="15" customFormat="1" customHeight="1" s="278">
      <c r="B656" s="279" t="n"/>
      <c r="C656" s="278" t="inlineStr">
        <is>
          <t>c/ Las Cruzadas 3A, local D</t>
        </is>
      </c>
      <c r="D656" s="278" t="inlineStr">
        <is>
          <t>Sevilla 41004</t>
        </is>
      </c>
      <c r="E656" s="278" t="inlineStr">
        <is>
          <t>CIF B91938662</t>
        </is>
      </c>
      <c r="F656" s="278" t="inlineStr">
        <is>
          <t>aBalados@abalados.es</t>
        </is>
      </c>
      <c r="G656" s="278" t="inlineStr">
        <is>
          <t>SET Carmona 400 kV Renovables, S.L.</t>
        </is>
      </c>
      <c r="H656" s="278">
        <f>VLOOKUP($G656,DATOS!$B:$E,2,FALSE)</f>
        <v/>
      </c>
      <c r="I656" s="278">
        <f>VLOOKUP($G656,DATOS!$B:$E,3,FALSE)</f>
        <v/>
      </c>
      <c r="J656" s="278">
        <f>VLOOKUP($G656,DATOS!$B:$E,4,FALSE)</f>
        <v/>
      </c>
      <c r="K656" s="278" t="inlineStr">
        <is>
          <t>Contrato de Asset Management - Subestación Carmona400</t>
        </is>
      </c>
      <c r="L656" s="280" t="n"/>
      <c r="N656" s="280" t="n"/>
      <c r="O656" s="278" t="inlineStr">
        <is>
          <t>Fee Trimestral - 01Octubre/31Diciembre 2024</t>
        </is>
      </c>
      <c r="P656" s="280">
        <f>3*  2950*1.06*1.028</f>
        <v/>
      </c>
      <c r="R656" s="280" t="n"/>
      <c r="T656" s="280" t="n"/>
      <c r="V656" s="280" t="n"/>
      <c r="X656" s="280" t="n"/>
      <c r="Z656" s="280" t="n"/>
      <c r="AA656" s="280" t="n"/>
      <c r="AB656" s="402" t="inlineStr">
        <is>
          <t>ES85 2080 3509 1130 4009 6171</t>
        </is>
      </c>
      <c r="AC656" s="278" t="inlineStr">
        <is>
          <t>pendiente</t>
        </is>
      </c>
      <c r="AD656" s="280">
        <f>L656+N656+P656+R656+T656+V656+X656+Z656</f>
        <v/>
      </c>
      <c r="AE656" s="280">
        <f>P656</f>
        <v/>
      </c>
      <c r="AF656" s="281">
        <f>IF(AM656="Explotación",0.05,0.08)</f>
        <v/>
      </c>
      <c r="AG656" s="280">
        <f>AF656*AE656</f>
        <v/>
      </c>
      <c r="AH656" s="280">
        <f>AD656*1.21</f>
        <v/>
      </c>
      <c r="AI656" s="284">
        <f>IF(AE656&lt;&gt;0,AG656/AD656,"N/A")</f>
        <v/>
      </c>
      <c r="AJ656" s="280">
        <f>IF(AC656="pendiente",AD656,0)</f>
        <v/>
      </c>
      <c r="AK656" s="278">
        <f>VLOOKUP(G656,CLIENTES!B:D,3,FALSE)</f>
        <v/>
      </c>
    </row>
    <row r="657" ht="15" customFormat="1" customHeight="1" s="278">
      <c r="B657" s="279" t="n"/>
      <c r="C657" s="278" t="inlineStr">
        <is>
          <t>c/ Las Cruzadas 3A, local D</t>
        </is>
      </c>
      <c r="D657" s="278" t="inlineStr">
        <is>
          <t>Sevilla 41004</t>
        </is>
      </c>
      <c r="E657" s="278" t="inlineStr">
        <is>
          <t>CIF B91938662</t>
        </is>
      </c>
      <c r="F657" s="278" t="inlineStr">
        <is>
          <t>aBalados@abalados.es</t>
        </is>
      </c>
      <c r="G657" s="278" t="inlineStr">
        <is>
          <t>Evacuación Carmona 400-220 kV Renovables, S.L.</t>
        </is>
      </c>
      <c r="H657" s="278">
        <f>VLOOKUP($G657,DATOS!$B:$E,2,FALSE)</f>
        <v/>
      </c>
      <c r="I657" s="278">
        <f>VLOOKUP($G657,DATOS!$B:$E,3,FALSE)</f>
        <v/>
      </c>
      <c r="J657" s="278">
        <f>VLOOKUP($G657,DATOS!$B:$E,4,FALSE)</f>
        <v/>
      </c>
      <c r="K657" s="278" t="inlineStr">
        <is>
          <t>Contrato de Asset Management - LAAT 220/400kV</t>
        </is>
      </c>
      <c r="L657" s="280" t="n"/>
      <c r="N657" s="280" t="n"/>
      <c r="O657" s="278" t="inlineStr">
        <is>
          <t>Fee Trimestral - 01Octubre/31Diciembre 2024</t>
        </is>
      </c>
      <c r="P657" s="280">
        <f>3* 1200*1.059*1.034</f>
        <v/>
      </c>
      <c r="Q657" s="280" t="n"/>
      <c r="R657" s="280" t="n"/>
      <c r="S657" s="280" t="n"/>
      <c r="T657" s="280" t="n"/>
      <c r="V657" s="280" t="n"/>
      <c r="X657" s="280" t="n"/>
      <c r="Z657" s="280" t="n"/>
      <c r="AA657" s="280" t="n"/>
      <c r="AB657" s="402" t="inlineStr">
        <is>
          <t>ES85 2080 3509 1130 4009 6171</t>
        </is>
      </c>
      <c r="AC657" s="278" t="inlineStr">
        <is>
          <t>pendiente</t>
        </is>
      </c>
      <c r="AD657" s="280">
        <f>L657+N657+P657+R657+T657+V657+X657+Z657</f>
        <v/>
      </c>
      <c r="AE657" s="280">
        <f>P657</f>
        <v/>
      </c>
      <c r="AF657" s="281">
        <f>IF(AM657="Explotación",0.05,0.08)</f>
        <v/>
      </c>
      <c r="AG657" s="280">
        <f>AF657*AE657</f>
        <v/>
      </c>
      <c r="AH657" s="280">
        <f>AD657*1.21</f>
        <v/>
      </c>
      <c r="AI657" s="284">
        <f>IF(AE657&lt;&gt;0,AG657/AD657,"N/A")</f>
        <v/>
      </c>
      <c r="AJ657" s="280">
        <f>IF(AC657="pendiente",AD657,0)</f>
        <v/>
      </c>
      <c r="AK657" s="278">
        <f>VLOOKUP(G657,CLIENTES!B:D,3,FALSE)</f>
        <v/>
      </c>
    </row>
    <row r="658" ht="15" customFormat="1" customHeight="1" s="278">
      <c r="B658" s="279" t="n"/>
      <c r="C658" s="278" t="inlineStr">
        <is>
          <t>c/ Las Cruzadas 3A, local D</t>
        </is>
      </c>
      <c r="D658" s="278" t="inlineStr">
        <is>
          <t>Sevilla 41004</t>
        </is>
      </c>
      <c r="E658" s="278" t="inlineStr">
        <is>
          <t>CIF B91938662</t>
        </is>
      </c>
      <c r="F658" s="278" t="inlineStr">
        <is>
          <t>aBalados@abalados.es</t>
        </is>
      </c>
      <c r="G658" s="278" t="inlineStr">
        <is>
          <t>La Serranilla Renovables 132 kV, A.I.E.</t>
        </is>
      </c>
      <c r="H658" s="278">
        <f>VLOOKUP($G658,DATOS!$B:$E,2,FALSE)</f>
        <v/>
      </c>
      <c r="I658" s="278">
        <f>VLOOKUP($G658,DATOS!$B:$E,3,FALSE)</f>
        <v/>
      </c>
      <c r="J658" s="278">
        <f>VLOOKUP($G658,DATOS!$B:$E,4,FALSE)</f>
        <v/>
      </c>
      <c r="K658" s="278" t="inlineStr">
        <is>
          <t>Contrato de Asset Management - Subestación María Castro</t>
        </is>
      </c>
      <c r="L658" s="280" t="n"/>
      <c r="N658" s="280" t="n"/>
      <c r="O658" s="278" t="inlineStr">
        <is>
          <t>Fee Trimestral - 01Octubre/31Diciembre 2024</t>
        </is>
      </c>
      <c r="P658" s="280">
        <f>3* 1275*1.041*1.033</f>
        <v/>
      </c>
      <c r="R658" s="280" t="n"/>
      <c r="T658" s="280" t="n"/>
      <c r="V658" s="280" t="n"/>
      <c r="X658" s="280" t="n"/>
      <c r="Z658" s="280" t="n"/>
      <c r="AA658" s="280" t="n"/>
      <c r="AB658" s="402" t="inlineStr">
        <is>
          <t>ES85 2080 3509 1130 4009 6171</t>
        </is>
      </c>
      <c r="AC658" s="278" t="inlineStr">
        <is>
          <t>pendiente</t>
        </is>
      </c>
      <c r="AD658" s="280">
        <f>L658+N658+P658+R658+T658+V658+X658+Z658</f>
        <v/>
      </c>
      <c r="AE658" s="280">
        <f>P658</f>
        <v/>
      </c>
      <c r="AF658" s="281">
        <f>IF(AM658="Explotación",0.05,0.08)</f>
        <v/>
      </c>
      <c r="AG658" s="280">
        <f>AF658*AE658</f>
        <v/>
      </c>
      <c r="AH658" s="280">
        <f>AD658*1.21</f>
        <v/>
      </c>
      <c r="AI658" s="284">
        <f>IF(AE658&lt;&gt;0,AG658/AD658,"N/A")</f>
        <v/>
      </c>
      <c r="AJ658" s="280">
        <f>IF(AC658="pendiente",AD658,0)</f>
        <v/>
      </c>
      <c r="AK658" s="278">
        <f>VLOOKUP(G658,CLIENTES!B:D,3,FALSE)</f>
        <v/>
      </c>
    </row>
    <row r="659" ht="15" customFormat="1" customHeight="1" s="278">
      <c r="B659" s="279" t="n"/>
      <c r="C659" s="278" t="inlineStr">
        <is>
          <t>c/ Las Cruzadas 3A, local D</t>
        </is>
      </c>
      <c r="D659" s="278" t="inlineStr">
        <is>
          <t>Sevilla 41004</t>
        </is>
      </c>
      <c r="E659" s="278" t="inlineStr">
        <is>
          <t>CIF B91938662</t>
        </is>
      </c>
      <c r="F659" s="278" t="inlineStr">
        <is>
          <t>aBalados@abalados.es</t>
        </is>
      </c>
      <c r="G659" s="278" t="inlineStr">
        <is>
          <t>Línea Covatillas, A.I.E.</t>
        </is>
      </c>
      <c r="H659" s="278">
        <f>VLOOKUP($G659,DATOS!$B:$E,2,FALSE)</f>
        <v/>
      </c>
      <c r="I659" s="278">
        <f>VLOOKUP($G659,DATOS!$B:$E,3,FALSE)</f>
        <v/>
      </c>
      <c r="J659" s="278">
        <f>VLOOKUP($G659,DATOS!$B:$E,4,FALSE)</f>
        <v/>
      </c>
      <c r="K659" s="278" t="inlineStr">
        <is>
          <t>Contrato de Asset Management - LAAT 132kV</t>
        </is>
      </c>
      <c r="L659" s="280" t="n"/>
      <c r="N659" s="280" t="n"/>
      <c r="O659" s="278" t="inlineStr">
        <is>
          <t>Fee Trimestral - 01Octubre/31Diciembre 2024</t>
        </is>
      </c>
      <c r="P659" s="280">
        <f>3* 2545*1.032*1.036</f>
        <v/>
      </c>
      <c r="R659" s="280" t="n"/>
      <c r="S659" s="280" t="n"/>
      <c r="T659" s="280" t="n"/>
      <c r="V659" s="280" t="n"/>
      <c r="X659" s="280" t="n"/>
      <c r="Z659" s="280" t="n"/>
      <c r="AA659" s="280" t="n"/>
      <c r="AB659" s="402" t="inlineStr">
        <is>
          <t>ES85 2080 3509 1130 4009 6171</t>
        </is>
      </c>
      <c r="AC659" s="278" t="inlineStr">
        <is>
          <t>pendiente</t>
        </is>
      </c>
      <c r="AD659" s="280">
        <f>L659+N659+P659+R659+T659+V659+X659+Z659</f>
        <v/>
      </c>
      <c r="AE659" s="280">
        <f>P659</f>
        <v/>
      </c>
      <c r="AF659" s="281">
        <f>IF(AM659="Explotación",0.05,0.08)</f>
        <v/>
      </c>
      <c r="AG659" s="280">
        <f>AF659*AE659</f>
        <v/>
      </c>
      <c r="AH659" s="280">
        <f>AD659*1.21</f>
        <v/>
      </c>
      <c r="AI659" s="284">
        <f>IF(AE659&lt;&gt;0,AG659/AD659,"N/A")</f>
        <v/>
      </c>
      <c r="AJ659" s="280">
        <f>IF(AC659="pendiente",AD659,0)</f>
        <v/>
      </c>
      <c r="AK659" s="278">
        <f>VLOOKUP(G659,CLIENTES!B:D,3,FALSE)</f>
        <v/>
      </c>
    </row>
    <row r="660" ht="15" customFormat="1" customHeight="1" s="278">
      <c r="B660" s="279" t="n"/>
      <c r="C660" s="278" t="inlineStr">
        <is>
          <t>c/ Las Cruzadas 3A, local D</t>
        </is>
      </c>
      <c r="D660" s="278" t="inlineStr">
        <is>
          <t>Sevilla 41004</t>
        </is>
      </c>
      <c r="E660" s="278" t="inlineStr">
        <is>
          <t>CIF B91938662</t>
        </is>
      </c>
      <c r="F660" s="278" t="inlineStr">
        <is>
          <t>aBalados@abalados.es</t>
        </is>
      </c>
      <c r="G660" s="278" t="inlineStr">
        <is>
          <t>Herrera Sotillo Renovables, A.I.E.</t>
        </is>
      </c>
      <c r="H660" s="278">
        <f>VLOOKUP($G660,DATOS!$B:$E,2,FALSE)</f>
        <v/>
      </c>
      <c r="I660" s="278">
        <f>VLOOKUP($G660,DATOS!$B:$E,3,FALSE)</f>
        <v/>
      </c>
      <c r="J660" s="278">
        <f>VLOOKUP($G660,DATOS!$B:$E,4,FALSE)</f>
        <v/>
      </c>
      <c r="K660" s="278" t="inlineStr">
        <is>
          <t>Contrato de Asset Management - Subestación Sotillo</t>
        </is>
      </c>
      <c r="L660" s="280" t="n"/>
      <c r="N660" s="280" t="n"/>
      <c r="O660" s="278" t="inlineStr">
        <is>
          <t>Fee Trimestral - 01Octubre/31Diciembre 2024</t>
        </is>
      </c>
      <c r="P660" s="280">
        <f>3* 1250*1.019*1.034</f>
        <v/>
      </c>
      <c r="R660" s="280" t="n"/>
      <c r="T660" s="280" t="n"/>
      <c r="V660" s="280" t="n"/>
      <c r="X660" s="280" t="n"/>
      <c r="Z660" s="280" t="n"/>
      <c r="AA660" s="280" t="n"/>
      <c r="AB660" s="402" t="inlineStr">
        <is>
          <t>ES85 2080 3509 1130 4009 6171</t>
        </is>
      </c>
      <c r="AC660" s="278" t="inlineStr">
        <is>
          <t>pendiente</t>
        </is>
      </c>
      <c r="AD660" s="280">
        <f>L660+N660+P660+R660+T660+V660+X660+Z660</f>
        <v/>
      </c>
      <c r="AE660" s="280">
        <f>P660</f>
        <v/>
      </c>
      <c r="AF660" s="281">
        <f>IF(AM660="Explotación",0.05,0.08)</f>
        <v/>
      </c>
      <c r="AG660" s="280">
        <f>AF660*AE660</f>
        <v/>
      </c>
      <c r="AH660" s="280">
        <f>AD660*1.21</f>
        <v/>
      </c>
      <c r="AI660" s="284">
        <f>IF(AE660&lt;&gt;0,AG660/AD660,"N/A")</f>
        <v/>
      </c>
      <c r="AJ660" s="280">
        <f>IF(AC660="pendiente",AD660,0)</f>
        <v/>
      </c>
      <c r="AK660" s="278">
        <f>VLOOKUP(G660,CLIENTES!B:D,3,FALSE)</f>
        <v/>
      </c>
    </row>
    <row r="661" ht="15" customFormat="1" customHeight="1" s="278">
      <c r="B661" s="279" t="n"/>
      <c r="C661" s="278" t="inlineStr">
        <is>
          <t>c/ Las Cruzadas 3A, local D</t>
        </is>
      </c>
      <c r="D661" s="278" t="inlineStr">
        <is>
          <t>Sevilla 41004</t>
        </is>
      </c>
      <c r="E661" s="278" t="inlineStr">
        <is>
          <t>CIF B91938662</t>
        </is>
      </c>
      <c r="F661" s="278" t="inlineStr">
        <is>
          <t>aBalados@abalados.es</t>
        </is>
      </c>
      <c r="G661" s="278" t="inlineStr">
        <is>
          <t>Cuádruple Belinchón, S.L.</t>
        </is>
      </c>
      <c r="H661" s="278">
        <f>VLOOKUP($G661,DATOS!$B:$E,2,FALSE)</f>
        <v/>
      </c>
      <c r="I661" s="278">
        <f>VLOOKUP($G661,DATOS!$B:$E,3,FALSE)</f>
        <v/>
      </c>
      <c r="J661" s="278">
        <f>VLOOKUP($G661,DATOS!$B:$E,4,FALSE)</f>
        <v/>
      </c>
      <c r="K661" s="278" t="inlineStr">
        <is>
          <t>Contrato de Asset Management - LAAT 132kV</t>
        </is>
      </c>
      <c r="L661" s="280" t="n"/>
      <c r="N661" s="280" t="n"/>
      <c r="O661" s="278" t="inlineStr">
        <is>
          <t>Fee Trimestral - 01Octubre/31Diciembre 2024</t>
        </is>
      </c>
      <c r="P661" s="280">
        <f>2675*1.032 + 2675*1.032*(21/30)+2675*1.032*1.024*(9/30)  +  1* 2675*1.032*1.024</f>
        <v/>
      </c>
      <c r="Q661" s="278" t="inlineStr">
        <is>
          <t>Tasa actualización IPC General (Noviembre 2023 - Noviembre 2024): 2,4%</t>
        </is>
      </c>
      <c r="R661" s="280" t="n"/>
      <c r="S661" s="278" t="inlineStr">
        <is>
          <t>Fecha actualización: 22 Noviembre</t>
        </is>
      </c>
      <c r="T661" s="280" t="n"/>
      <c r="V661" s="280" t="n"/>
      <c r="X661" s="280" t="n"/>
      <c r="Z661" s="280" t="n"/>
      <c r="AA661" s="280" t="n"/>
      <c r="AB661" s="402" t="inlineStr">
        <is>
          <t>ES85 2080 3509 1130 4009 6171</t>
        </is>
      </c>
      <c r="AC661" s="278" t="inlineStr">
        <is>
          <t>pendiente</t>
        </is>
      </c>
      <c r="AD661" s="280">
        <f>L661+N661+P661+R661+T661+V661+X661+Z661</f>
        <v/>
      </c>
      <c r="AE661" s="280">
        <f>P661</f>
        <v/>
      </c>
      <c r="AF661" s="281">
        <f>IF(AM661="Explotación",0.05,0.08)</f>
        <v/>
      </c>
      <c r="AG661" s="280">
        <f>AF661*AE661</f>
        <v/>
      </c>
      <c r="AH661" s="280">
        <f>AD661*1.21</f>
        <v/>
      </c>
      <c r="AI661" s="284">
        <f>IF(AE661&lt;&gt;0,AG661/AD661,"N/A")</f>
        <v/>
      </c>
      <c r="AJ661" s="280">
        <f>IF(AC661="pendiente",AD661,0)</f>
        <v/>
      </c>
      <c r="AK661" s="278">
        <f>VLOOKUP(G661,CLIENTES!B:D,3,FALSE)</f>
        <v/>
      </c>
    </row>
    <row r="662" ht="15" customFormat="1" customHeight="1" s="278">
      <c r="B662" s="279" t="n"/>
      <c r="C662" s="278" t="inlineStr">
        <is>
          <t>c/ Las Cruzadas 3A, local D</t>
        </is>
      </c>
      <c r="D662" s="278" t="inlineStr">
        <is>
          <t>Sevilla 41004</t>
        </is>
      </c>
      <c r="E662" s="278" t="inlineStr">
        <is>
          <t>CIF B91938662</t>
        </is>
      </c>
      <c r="F662" s="278" t="inlineStr">
        <is>
          <t>aBalados@abalados.es</t>
        </is>
      </c>
      <c r="G662" s="278" t="inlineStr">
        <is>
          <t>Renovables Brovales 400 kV, S.L.</t>
        </is>
      </c>
      <c r="H662" s="278">
        <f>VLOOKUP($G662,DATOS!$B:$E,2,FALSE)</f>
        <v/>
      </c>
      <c r="I662" s="278">
        <f>VLOOKUP($G662,DATOS!$B:$E,3,FALSE)</f>
        <v/>
      </c>
      <c r="J662" s="278">
        <f>VLOOKUP($G662,DATOS!$B:$E,4,FALSE)</f>
        <v/>
      </c>
      <c r="K662" s="278" t="inlineStr">
        <is>
          <t>Contrato de Asset Management - Subestación BrovalesF1</t>
        </is>
      </c>
      <c r="L662" s="280" t="n"/>
      <c r="N662" s="280" t="n"/>
      <c r="O662" s="278" t="inlineStr">
        <is>
          <t>Fee Trimestral - 01Octubre/31Diciembre 2024</t>
        </is>
      </c>
      <c r="P662" s="280">
        <f>3* 3025*1.035*1.015</f>
        <v/>
      </c>
      <c r="Q662" s="278" t="inlineStr">
        <is>
          <t>Tasa actualización IPC General (Septiembre 2023 - Septiembre 2024): 1,5%</t>
        </is>
      </c>
      <c r="R662" s="280" t="n"/>
      <c r="S662" s="280" t="n"/>
      <c r="T662" s="280" t="n"/>
      <c r="U662" s="278" t="inlineStr">
        <is>
          <t>Regularización IPC trimestre anterior (19Septiembre-30Septiembre 2024)</t>
        </is>
      </c>
      <c r="V662" s="280">
        <f>3025*1.035*(12/30) *0.015</f>
        <v/>
      </c>
      <c r="X662" s="280" t="n"/>
      <c r="Z662" s="280" t="n"/>
      <c r="AA662" s="280" t="n"/>
      <c r="AB662" s="402" t="inlineStr">
        <is>
          <t>ES85 2080 3509 1130 4009 6171</t>
        </is>
      </c>
      <c r="AC662" s="278" t="inlineStr">
        <is>
          <t>pendiente</t>
        </is>
      </c>
      <c r="AD662" s="280">
        <f>L662+N662+P662+R662+T662+V662+X662+Z662</f>
        <v/>
      </c>
      <c r="AE662" s="280">
        <f>P662</f>
        <v/>
      </c>
      <c r="AF662" s="281">
        <f>IF(AM662="Explotación",0.05,0.08)</f>
        <v/>
      </c>
      <c r="AG662" s="280">
        <f>AF662*AE662</f>
        <v/>
      </c>
      <c r="AH662" s="280">
        <f>AD662*1.21</f>
        <v/>
      </c>
      <c r="AI662" s="284">
        <f>IF(AE662&lt;&gt;0,AG662/AD662,"N/A")</f>
        <v/>
      </c>
      <c r="AJ662" s="280">
        <f>IF(AC662="pendiente",AD662,0)</f>
        <v/>
      </c>
      <c r="AK662" s="278">
        <f>VLOOKUP(G662,CLIENTES!B:D,3,FALSE)</f>
        <v/>
      </c>
    </row>
    <row r="663" ht="15" customFormat="1" customHeight="1" s="278">
      <c r="B663" s="279" t="n"/>
      <c r="C663" s="278" t="inlineStr">
        <is>
          <t>c/ Las Cruzadas 3A, local D</t>
        </is>
      </c>
      <c r="D663" s="278" t="inlineStr">
        <is>
          <t>Sevilla 41004</t>
        </is>
      </c>
      <c r="E663" s="278" t="inlineStr">
        <is>
          <t>CIF B91938662</t>
        </is>
      </c>
      <c r="F663" s="278" t="inlineStr">
        <is>
          <t>aBalados@abalados.es</t>
        </is>
      </c>
      <c r="G663" s="278" t="inlineStr">
        <is>
          <t>Huerta Sevilla Renovables, S.L.</t>
        </is>
      </c>
      <c r="H663" s="278">
        <f>VLOOKUP($G663,DATOS!$B:$E,2,FALSE)</f>
        <v/>
      </c>
      <c r="I663" s="278">
        <f>VLOOKUP($G663,DATOS!$B:$E,3,FALSE)</f>
        <v/>
      </c>
      <c r="J663" s="278">
        <f>VLOOKUP($G663,DATOS!$B:$E,4,FALSE)</f>
        <v/>
      </c>
      <c r="K663" s="278" t="inlineStr">
        <is>
          <t>Contrato de Asset Management - Subestación BrovalesF3</t>
        </is>
      </c>
      <c r="L663" s="280" t="n"/>
      <c r="N663" s="280" t="n"/>
      <c r="O663" s="278" t="inlineStr">
        <is>
          <t>Fee Trimestral - 01Octubre/31Diciembre 2024</t>
        </is>
      </c>
      <c r="P663" s="280">
        <f>2960*1.032 + 2960*1.032*(7/30)+2960*1.032*1.024*(23/30)  +  1* 2960*1.032*1.024</f>
        <v/>
      </c>
      <c r="Q663" s="278" t="inlineStr">
        <is>
          <t>Tasa actualización IPC General (Noviembre 2023 - Noviembre 2024): 2,4%</t>
        </is>
      </c>
      <c r="R663" s="280" t="n"/>
      <c r="S663" s="278" t="inlineStr">
        <is>
          <t>Fecha actualización: 08 Noviembre</t>
        </is>
      </c>
      <c r="T663" s="280" t="n"/>
      <c r="V663" s="280" t="n"/>
      <c r="X663" s="280" t="n"/>
      <c r="Y663" s="280" t="n"/>
      <c r="Z663" s="280" t="n"/>
      <c r="AA663" s="280" t="n"/>
      <c r="AB663" s="402" t="inlineStr">
        <is>
          <t>ES85 2080 3509 1130 4009 6171</t>
        </is>
      </c>
      <c r="AC663" s="278" t="inlineStr">
        <is>
          <t>pendiente</t>
        </is>
      </c>
      <c r="AD663" s="280">
        <f>L663+N663+P663+R663+T663+V663+X663+Z663</f>
        <v/>
      </c>
      <c r="AE663" s="280">
        <f>P663</f>
        <v/>
      </c>
      <c r="AF663" s="281">
        <f>IF(AM663="Explotación",0.05,0.08)</f>
        <v/>
      </c>
      <c r="AG663" s="280">
        <f>AF663*AE663</f>
        <v/>
      </c>
      <c r="AH663" s="280">
        <f>AD663*1.21</f>
        <v/>
      </c>
      <c r="AI663" s="284">
        <f>IF(AE663&lt;&gt;0,AG663/AD663,"N/A")</f>
        <v/>
      </c>
      <c r="AJ663" s="280">
        <f>IF(AC663="pendiente",AD663,0)</f>
        <v/>
      </c>
      <c r="AK663" s="278">
        <f>VLOOKUP(G663,CLIENTES!B:D,3,FALSE)</f>
        <v/>
      </c>
    </row>
    <row r="664" ht="15" customFormat="1" customHeight="1" s="278">
      <c r="B664" s="279" t="n"/>
      <c r="C664" s="278" t="inlineStr">
        <is>
          <t>c/ Las Cruzadas 3A, local D</t>
        </is>
      </c>
      <c r="D664" s="278" t="inlineStr">
        <is>
          <t>Sevilla 41004</t>
        </is>
      </c>
      <c r="E664" s="278" t="inlineStr">
        <is>
          <t>CIF B91938662</t>
        </is>
      </c>
      <c r="F664" s="278" t="inlineStr">
        <is>
          <t>aBalados@abalados.es</t>
        </is>
      </c>
      <c r="G664" s="278" t="inlineStr">
        <is>
          <t>Belisol 132 kV, S.L.</t>
        </is>
      </c>
      <c r="H664" s="278">
        <f>VLOOKUP($G664,DATOS!$B:$E,2,FALSE)</f>
        <v/>
      </c>
      <c r="I664" s="278">
        <f>VLOOKUP($G664,DATOS!$B:$E,3,FALSE)</f>
        <v/>
      </c>
      <c r="J664" s="278">
        <f>VLOOKUP($G664,DATOS!$B:$E,4,FALSE)</f>
        <v/>
      </c>
      <c r="K664" s="278" t="inlineStr">
        <is>
          <t>Contrato de Asset Management - Subestación Belisol</t>
        </is>
      </c>
      <c r="L664" s="280" t="n"/>
      <c r="N664" s="280" t="n"/>
      <c r="O664" s="278" t="inlineStr">
        <is>
          <t>Fee Trimestral - 01Octubre/31Diciembre 2024</t>
        </is>
      </c>
      <c r="P664" s="280">
        <f>3* 3045*1.028</f>
        <v/>
      </c>
      <c r="Q664" s="280" t="n"/>
      <c r="R664" s="280" t="n"/>
      <c r="S664" s="280" t="n"/>
      <c r="T664" s="280" t="n"/>
      <c r="V664" s="280" t="n"/>
      <c r="X664" s="280" t="n"/>
      <c r="Z664" s="280" t="n"/>
      <c r="AA664" s="280" t="n"/>
      <c r="AB664" s="402" t="inlineStr">
        <is>
          <t>ES85 2080 3509 1130 4009 6171</t>
        </is>
      </c>
      <c r="AC664" s="278" t="inlineStr">
        <is>
          <t>pendiente</t>
        </is>
      </c>
      <c r="AD664" s="280">
        <f>L664+N664+P664+R664+T664+V664+X664+Z664</f>
        <v/>
      </c>
      <c r="AE664" s="280">
        <f>P664</f>
        <v/>
      </c>
      <c r="AF664" s="281">
        <f>IF(AM664="Explotación",0.05,0.08)</f>
        <v/>
      </c>
      <c r="AG664" s="280">
        <f>AF664*AE664</f>
        <v/>
      </c>
      <c r="AH664" s="280">
        <f>AD664*1.21</f>
        <v/>
      </c>
      <c r="AI664" s="284">
        <f>IF(AE664&lt;&gt;0,AG664/AD664,"N/A")</f>
        <v/>
      </c>
      <c r="AJ664" s="280">
        <f>IF(AC664="pendiente",AD664,0)</f>
        <v/>
      </c>
      <c r="AK664" s="278">
        <f>VLOOKUP(G664,CLIENTES!B:D,3,FALSE)</f>
        <v/>
      </c>
    </row>
    <row r="665" ht="15" customFormat="1" customHeight="1" s="278">
      <c r="B665" s="279" t="n"/>
      <c r="C665" s="278" t="inlineStr">
        <is>
          <t>c/ Las Cruzadas 3A, local D</t>
        </is>
      </c>
      <c r="D665" s="278" t="inlineStr">
        <is>
          <t>Sevilla 41004</t>
        </is>
      </c>
      <c r="E665" s="278" t="inlineStr">
        <is>
          <t>CIF B91938662</t>
        </is>
      </c>
      <c r="F665" s="278" t="inlineStr">
        <is>
          <t>aBalados@abalados.es</t>
        </is>
      </c>
      <c r="G665" s="278" t="inlineStr">
        <is>
          <t>Brazatortas 220 Renovables, S.L.</t>
        </is>
      </c>
      <c r="H665" s="278">
        <f>VLOOKUP($G665,DATOS!$B:$E,2,FALSE)</f>
        <v/>
      </c>
      <c r="I665" s="278">
        <f>VLOOKUP($G665,DATOS!$B:$E,3,FALSE)</f>
        <v/>
      </c>
      <c r="J665" s="278">
        <f>VLOOKUP($G665,DATOS!$B:$E,4,FALSE)</f>
        <v/>
      </c>
      <c r="K665" s="278" t="inlineStr">
        <is>
          <t>Contrato de Asset Management - Subestación Brazatortas220</t>
        </is>
      </c>
      <c r="L665" s="280" t="n"/>
      <c r="N665" s="280" t="n"/>
      <c r="O665" s="278" t="inlineStr">
        <is>
          <t>Fee Trimestral - 01Octubre/31Diciembre 2024</t>
        </is>
      </c>
      <c r="P665" s="280">
        <f>3* 3015*1.031</f>
        <v/>
      </c>
      <c r="Q665" s="278" t="inlineStr">
        <is>
          <t>Tasa actualización IPC General (Diciembre 2023 - Diciembre 2024) no disponible</t>
        </is>
      </c>
      <c r="R665" s="280" t="n"/>
      <c r="T665" s="280" t="n"/>
      <c r="V665" s="280" t="n"/>
      <c r="X665" s="280" t="n"/>
      <c r="Z665" s="280" t="n"/>
      <c r="AA665" s="280" t="n"/>
      <c r="AB665" s="402" t="inlineStr">
        <is>
          <t>ES85 2080 3509 1130 4009 6171</t>
        </is>
      </c>
      <c r="AC665" s="278" t="inlineStr">
        <is>
          <t>pendiente</t>
        </is>
      </c>
      <c r="AD665" s="280">
        <f>L665+N665+P665+R665+T665+V665+X665+Z665</f>
        <v/>
      </c>
      <c r="AE665" s="280">
        <f>P665</f>
        <v/>
      </c>
      <c r="AF665" s="281">
        <f>IF(AM665="Explotación",0.05,0.08)</f>
        <v/>
      </c>
      <c r="AG665" s="280">
        <f>AF665*AE665</f>
        <v/>
      </c>
      <c r="AH665" s="280">
        <f>AD665*1.21</f>
        <v/>
      </c>
      <c r="AI665" s="284">
        <f>IF(AE665&lt;&gt;0,AG665/AD665,"N/A")</f>
        <v/>
      </c>
      <c r="AJ665" s="280">
        <f>IF(AC665="pendiente",AD665,0)</f>
        <v/>
      </c>
      <c r="AK665" s="278">
        <f>VLOOKUP(G665,CLIENTES!B:D,3,FALSE)</f>
        <v/>
      </c>
    </row>
    <row r="666" ht="15" customFormat="1" customHeight="1" s="278">
      <c r="B666" s="279" t="n"/>
      <c r="C666" s="278" t="inlineStr">
        <is>
          <t>c/ Las Cruzadas 3A, local D</t>
        </is>
      </c>
      <c r="D666" s="278" t="inlineStr">
        <is>
          <t>Sevilla 41004</t>
        </is>
      </c>
      <c r="E666" s="278" t="inlineStr">
        <is>
          <t>CIF B91938662</t>
        </is>
      </c>
      <c r="F666" s="278" t="inlineStr">
        <is>
          <t>aBalados@abalados.es</t>
        </is>
      </c>
      <c r="G666" s="278" t="inlineStr">
        <is>
          <t>Evacuación Liquesun, S.L.</t>
        </is>
      </c>
      <c r="H666" s="278">
        <f>VLOOKUP($G666,DATOS!$B:$E,2,FALSE)</f>
        <v/>
      </c>
      <c r="I666" s="278">
        <f>VLOOKUP($G666,DATOS!$B:$E,3,FALSE)</f>
        <v/>
      </c>
      <c r="J666" s="278">
        <f>VLOOKUP($G666,DATOS!$B:$E,4,FALSE)</f>
        <v/>
      </c>
      <c r="K666" s="278" t="inlineStr">
        <is>
          <t>Contrato de Asset Management - LSAT 30kV</t>
        </is>
      </c>
      <c r="L666" s="280" t="n"/>
      <c r="N666" s="280" t="n"/>
      <c r="O666" s="278" t="inlineStr">
        <is>
          <t>Fee Trimestral - 01Octubre/31Diciembre 2024</t>
        </is>
      </c>
      <c r="P666" s="280">
        <f>3* 750*1.032</f>
        <v/>
      </c>
      <c r="R666" s="280" t="n"/>
      <c r="T666" s="280" t="n"/>
      <c r="V666" s="280" t="n"/>
      <c r="X666" s="280" t="n"/>
      <c r="Z666" s="280" t="n"/>
      <c r="AA666" s="280" t="n"/>
      <c r="AB666" s="402" t="inlineStr">
        <is>
          <t>ES85 2080 3509 1130 4009 6171</t>
        </is>
      </c>
      <c r="AC666" s="278" t="inlineStr">
        <is>
          <t>pendiente</t>
        </is>
      </c>
      <c r="AD666" s="280">
        <f>L666+N666+P666+R666+T666+V666+X666+Z666</f>
        <v/>
      </c>
      <c r="AE666" s="280">
        <f>P666</f>
        <v/>
      </c>
      <c r="AF666" s="281">
        <f>IF(AM666="Explotación",0.05,0.08)</f>
        <v/>
      </c>
      <c r="AG666" s="280">
        <f>AF666*AE666</f>
        <v/>
      </c>
      <c r="AH666" s="280">
        <f>AD666*1.21</f>
        <v/>
      </c>
      <c r="AI666" s="284">
        <f>IF(AE666&lt;&gt;0,AG666/AD666,"N/A")</f>
        <v/>
      </c>
      <c r="AJ666" s="280">
        <f>IF(AC666="pendiente",AD666,0)</f>
        <v/>
      </c>
      <c r="AK666" s="278">
        <f>VLOOKUP(G666,CLIENTES!B:D,3,FALSE)</f>
        <v/>
      </c>
    </row>
    <row r="667" ht="15" customFormat="1" customHeight="1" s="278">
      <c r="B667" s="279" t="n"/>
      <c r="C667" s="278" t="inlineStr">
        <is>
          <t>c/ Las Cruzadas 3A, local D</t>
        </is>
      </c>
      <c r="D667" s="278" t="inlineStr">
        <is>
          <t>Sevilla 41004</t>
        </is>
      </c>
      <c r="E667" s="278" t="inlineStr">
        <is>
          <t>CIF B91938662</t>
        </is>
      </c>
      <c r="F667" s="278" t="inlineStr">
        <is>
          <t>aBalados@abalados.es</t>
        </is>
      </c>
      <c r="G667" s="278" t="inlineStr">
        <is>
          <t>Colectora Carmona, S.L.</t>
        </is>
      </c>
      <c r="H667" s="278">
        <f>VLOOKUP($G667,DATOS!$B:$E,2,FALSE)</f>
        <v/>
      </c>
      <c r="I667" s="278">
        <f>VLOOKUP($G667,DATOS!$B:$E,3,FALSE)</f>
        <v/>
      </c>
      <c r="J667" s="278">
        <f>VLOOKUP($G667,DATOS!$B:$E,4,FALSE)</f>
        <v/>
      </c>
      <c r="K667" s="278" t="inlineStr">
        <is>
          <t>Contrato de Asset Management - Subestación Colectora Carmona</t>
        </is>
      </c>
      <c r="L667" s="280" t="n"/>
      <c r="N667" s="280" t="n"/>
      <c r="O667" s="278" t="inlineStr">
        <is>
          <t>Fee Trimestral - 01Octubre/31Diciembre 2024</t>
        </is>
      </c>
      <c r="P667" s="280">
        <f>1250*1.032 + 1250*1.032*(23/30)+1250*1.032*1.024*(7/30)  +  1* 1250*1.032*1.024</f>
        <v/>
      </c>
      <c r="Q667" s="278" t="inlineStr">
        <is>
          <t>Tasa actualización IPC General (Noviembre 2023 - Noviembre 2024): 2,4%</t>
        </is>
      </c>
      <c r="R667" s="280" t="n"/>
      <c r="S667" s="278" t="inlineStr">
        <is>
          <t>Fecha actualización: 24 Noviembre</t>
        </is>
      </c>
      <c r="T667" s="280" t="n"/>
      <c r="V667" s="280" t="n"/>
      <c r="X667" s="280" t="n"/>
      <c r="Z667" s="280" t="n"/>
      <c r="AA667" s="280" t="n"/>
      <c r="AB667" s="402" t="inlineStr">
        <is>
          <t>ES85 2080 3509 1130 4009 6171</t>
        </is>
      </c>
      <c r="AC667" s="278" t="inlineStr">
        <is>
          <t>pendiente</t>
        </is>
      </c>
      <c r="AD667" s="280">
        <f>L667+N667+P667+R667+T667+V667+X667+Z667</f>
        <v/>
      </c>
      <c r="AE667" s="280">
        <f>P667</f>
        <v/>
      </c>
      <c r="AF667" s="281">
        <f>IF(AM667="Explotación",0.05,0.08)</f>
        <v/>
      </c>
      <c r="AG667" s="280">
        <f>AF667*AE667</f>
        <v/>
      </c>
      <c r="AH667" s="280">
        <f>AD667*1.21</f>
        <v/>
      </c>
      <c r="AI667" s="284">
        <f>IF(AE667&lt;&gt;0,AG667/AD667,"N/A")</f>
        <v/>
      </c>
      <c r="AJ667" s="280">
        <f>IF(AC667="pendiente",AD667,0)</f>
        <v/>
      </c>
      <c r="AK667" s="278">
        <f>VLOOKUP(G667,CLIENTES!B:D,3,FALSE)</f>
        <v/>
      </c>
    </row>
    <row r="668" ht="15" customFormat="1" customHeight="1" s="278">
      <c r="B668" s="279" t="n"/>
      <c r="C668" s="278" t="inlineStr">
        <is>
          <t>c/ Las Cruzadas 3A, local D</t>
        </is>
      </c>
      <c r="D668" s="278" t="inlineStr">
        <is>
          <t>Sevilla 41004</t>
        </is>
      </c>
      <c r="E668" s="278" t="inlineStr">
        <is>
          <t>CIF B91938662</t>
        </is>
      </c>
      <c r="F668" s="278" t="inlineStr">
        <is>
          <t>aBalados@abalados.es</t>
        </is>
      </c>
      <c r="G668" s="278" t="inlineStr">
        <is>
          <t>Toro Renovables, S.L.</t>
        </is>
      </c>
      <c r="H668" s="278">
        <f>VLOOKUP($G668,DATOS!$B:$E,2,FALSE)</f>
        <v/>
      </c>
      <c r="I668" s="278">
        <f>VLOOKUP($G668,DATOS!$B:$E,3,FALSE)</f>
        <v/>
      </c>
      <c r="J668" s="278">
        <f>VLOOKUP($G668,DATOS!$B:$E,4,FALSE)</f>
        <v/>
      </c>
      <c r="K668" s="278" t="inlineStr">
        <is>
          <t>Contrato de Asset Management - Subestación Toro400</t>
        </is>
      </c>
      <c r="L668" s="280" t="n"/>
      <c r="N668" s="280" t="n"/>
      <c r="O668" s="278" t="inlineStr">
        <is>
          <t>Fee Trimestral - 01Octubre/31Diciembre 2024</t>
        </is>
      </c>
      <c r="P668" s="280">
        <f>3*2800*1.036</f>
        <v/>
      </c>
      <c r="R668" s="280" t="n"/>
      <c r="T668" s="280" t="n"/>
      <c r="V668" s="280" t="n"/>
      <c r="X668" s="280" t="n"/>
      <c r="Z668" s="280" t="n"/>
      <c r="AA668" s="280" t="n"/>
      <c r="AB668" s="402" t="inlineStr">
        <is>
          <t>ES85 2080 3509 1130 4009 6171</t>
        </is>
      </c>
      <c r="AC668" s="278" t="inlineStr">
        <is>
          <t>pendiente</t>
        </is>
      </c>
      <c r="AD668" s="280">
        <f>L668+N668+P668+R668+T668+V668+X668+Z668</f>
        <v/>
      </c>
      <c r="AE668" s="280">
        <f>P668</f>
        <v/>
      </c>
      <c r="AF668" s="281">
        <f>IF(AM668="Explotación",0.05,0.08)</f>
        <v/>
      </c>
      <c r="AG668" s="280">
        <f>AF668*AE668</f>
        <v/>
      </c>
      <c r="AH668" s="280">
        <f>AD668*1.21</f>
        <v/>
      </c>
      <c r="AI668" s="284">
        <f>IF(AE668&lt;&gt;0,AG668/AD668,"N/A")</f>
        <v/>
      </c>
      <c r="AJ668" s="280">
        <f>IF(AC668="pendiente",AD668,0)</f>
        <v/>
      </c>
      <c r="AK668" s="278">
        <f>VLOOKUP(G668,CLIENTES!B:D,3,FALSE)</f>
        <v/>
      </c>
    </row>
    <row r="669" ht="15" customFormat="1" customHeight="1" s="278">
      <c r="B669" s="279" t="n"/>
      <c r="C669" s="278" t="inlineStr">
        <is>
          <t>c/ Las Cruzadas 3A, local D</t>
        </is>
      </c>
      <c r="D669" s="278" t="inlineStr">
        <is>
          <t>Sevilla 41004</t>
        </is>
      </c>
      <c r="E669" s="278" t="inlineStr">
        <is>
          <t>CIF B91938662</t>
        </is>
      </c>
      <c r="F669" s="278" t="inlineStr">
        <is>
          <t>aBalados@abalados.es</t>
        </is>
      </c>
      <c r="G669" s="278" t="inlineStr">
        <is>
          <t>Renovables Brovales Segura de León 400 kV, S.L.</t>
        </is>
      </c>
      <c r="H669" s="278">
        <f>VLOOKUP($G669,DATOS!$B:$E,2,FALSE)</f>
        <v/>
      </c>
      <c r="I669" s="278">
        <f>VLOOKUP($G669,DATOS!$B:$E,3,FALSE)</f>
        <v/>
      </c>
      <c r="J669" s="278">
        <f>VLOOKUP($G669,DATOS!$B:$E,4,FALSE)</f>
        <v/>
      </c>
      <c r="K669" s="278" t="inlineStr">
        <is>
          <t>Contrato de Asset Management - Subestación BrovalesF2</t>
        </is>
      </c>
      <c r="L669" s="280" t="n"/>
      <c r="N669" s="280" t="n"/>
      <c r="O669" s="278" t="inlineStr">
        <is>
          <t>Fee Trimestral - 01Octubre/31Diciembre 2024</t>
        </is>
      </c>
      <c r="P669" s="280">
        <f>3025*1.032 + 3025*1.032*(6/30)+3025*1.032*1.024*(24/30)  +  1* 3025*1.032*1.024</f>
        <v/>
      </c>
      <c r="Q669" s="278" t="inlineStr">
        <is>
          <t>Tasa actualización IPC General (Noviembre 2023 - Noviembre 2024): 2,4%</t>
        </is>
      </c>
      <c r="R669" s="280" t="n"/>
      <c r="S669" s="278" t="inlineStr">
        <is>
          <t>Fecha actualización: 7 Noviembre</t>
        </is>
      </c>
      <c r="T669" s="280" t="n"/>
      <c r="V669" s="280" t="n"/>
      <c r="X669" s="280" t="n"/>
      <c r="Z669" s="280" t="n"/>
      <c r="AA669" s="280" t="n"/>
      <c r="AB669" s="402" t="inlineStr">
        <is>
          <t>ES85 2080 3509 1130 4009 6171</t>
        </is>
      </c>
      <c r="AC669" s="278" t="inlineStr">
        <is>
          <t>pendiente</t>
        </is>
      </c>
      <c r="AD669" s="280">
        <f>L669+N669+P669+R669+T669+V669+X669+Z669</f>
        <v/>
      </c>
      <c r="AE669" s="280">
        <f>P669</f>
        <v/>
      </c>
      <c r="AF669" s="281">
        <f>IF(AM669="Explotación",0.05,0.08)</f>
        <v/>
      </c>
      <c r="AG669" s="280">
        <f>AF669*AE669</f>
        <v/>
      </c>
      <c r="AH669" s="280">
        <f>AD669*1.21</f>
        <v/>
      </c>
      <c r="AI669" s="284">
        <f>IF(AE669&lt;&gt;0,AG669/AD669,"N/A")</f>
        <v/>
      </c>
      <c r="AJ669" s="280">
        <f>IF(AC669="pendiente",AD669,0)</f>
        <v/>
      </c>
      <c r="AK669" s="278">
        <f>VLOOKUP(G669,CLIENTES!B:D,3,FALSE)</f>
        <v/>
      </c>
    </row>
    <row r="670" ht="15" customFormat="1" customHeight="1" s="278">
      <c r="B670" s="279" t="n"/>
      <c r="C670" s="278" t="inlineStr">
        <is>
          <t>c/ Las Cruzadas 3A, local D</t>
        </is>
      </c>
      <c r="D670" s="278" t="inlineStr">
        <is>
          <t>Sevilla 41004</t>
        </is>
      </c>
      <c r="E670" s="278" t="inlineStr">
        <is>
          <t>CIF B91938662</t>
        </is>
      </c>
      <c r="F670" s="278" t="inlineStr">
        <is>
          <t>aBalados@abalados.es</t>
        </is>
      </c>
      <c r="G670" s="278" t="inlineStr">
        <is>
          <t>Promotores Benejama Generación, S.L.</t>
        </is>
      </c>
      <c r="H670" s="278">
        <f>VLOOKUP($G670,DATOS!$B:$E,2,FALSE)</f>
        <v/>
      </c>
      <c r="I670" s="278">
        <f>VLOOKUP($G670,DATOS!$B:$E,3,FALSE)</f>
        <v/>
      </c>
      <c r="J670" s="278">
        <f>VLOOKUP($G670,DATOS!$B:$E,4,FALSE)</f>
        <v/>
      </c>
      <c r="K670" s="278" t="inlineStr">
        <is>
          <t>Contrato de Asset Management - Subestación Benejama Generación</t>
        </is>
      </c>
      <c r="L670" s="280" t="n"/>
      <c r="N670" s="280" t="n"/>
      <c r="O670" s="278" t="inlineStr">
        <is>
          <t>Fee Trimestral - 01Octubre/31Diciembre 2024</t>
        </is>
      </c>
      <c r="P670" s="280">
        <f>3* 1350*1.032</f>
        <v/>
      </c>
      <c r="R670" s="280" t="n"/>
      <c r="T670" s="280" t="n"/>
      <c r="V670" s="280" t="n"/>
      <c r="X670" s="280" t="n"/>
      <c r="Z670" s="280" t="n"/>
      <c r="AA670" s="280" t="n"/>
      <c r="AB670" s="402" t="inlineStr">
        <is>
          <t>ES85 2080 3509 1130 4009 6171</t>
        </is>
      </c>
      <c r="AC670" s="278" t="inlineStr">
        <is>
          <t>pendiente</t>
        </is>
      </c>
      <c r="AD670" s="280">
        <f>L670+N670+P670+R670+T670+V670+X670+Z670</f>
        <v/>
      </c>
      <c r="AE670" s="280">
        <f>P670</f>
        <v/>
      </c>
      <c r="AF670" s="281">
        <f>IF(AM670="Explotación",0.05,0.08)</f>
        <v/>
      </c>
      <c r="AG670" s="280">
        <f>AF670*AE670</f>
        <v/>
      </c>
      <c r="AH670" s="280">
        <f>AD670*1.21</f>
        <v/>
      </c>
      <c r="AI670" s="284">
        <f>IF(AE670&lt;&gt;0,AG670/AD670,"N/A")</f>
        <v/>
      </c>
      <c r="AJ670" s="280">
        <f>IF(AC670="pendiente",AD670,0)</f>
        <v/>
      </c>
      <c r="AK670" s="278">
        <f>VLOOKUP(G670,CLIENTES!B:D,3,FALSE)</f>
        <v/>
      </c>
    </row>
    <row r="671" ht="15" customFormat="1" customHeight="1" s="278">
      <c r="B671" s="279" t="n"/>
      <c r="C671" s="278" t="inlineStr">
        <is>
          <t>c/ Las Cruzadas 3A, local D</t>
        </is>
      </c>
      <c r="D671" s="278" t="inlineStr">
        <is>
          <t>Sevilla 41004</t>
        </is>
      </c>
      <c r="E671" s="278" t="inlineStr">
        <is>
          <t>CIF B91938662</t>
        </is>
      </c>
      <c r="F671" s="278" t="inlineStr">
        <is>
          <t>aBalados@abalados.es</t>
        </is>
      </c>
      <c r="G671" s="278" t="inlineStr">
        <is>
          <t>ICE Santa Engracia, S.L.</t>
        </is>
      </c>
      <c r="H671" s="278">
        <f>VLOOKUP($G671,DATOS!$B:$E,2,FALSE)</f>
        <v/>
      </c>
      <c r="I671" s="278">
        <f>VLOOKUP($G671,DATOS!$B:$E,3,FALSE)</f>
        <v/>
      </c>
      <c r="J671" s="278">
        <f>VLOOKUP($G671,DATOS!$B:$E,4,FALSE)</f>
        <v/>
      </c>
      <c r="K671" s="278" t="inlineStr">
        <is>
          <t>Contrato de Asset Management - Subestación Santa Engracia</t>
        </is>
      </c>
      <c r="L671" s="280" t="n"/>
      <c r="N671" s="280" t="n"/>
      <c r="O671" s="278" t="inlineStr">
        <is>
          <t>Fee Trimestral - 01Octubre/31Diciembre 2024</t>
        </is>
      </c>
      <c r="P671" s="280">
        <f>3* 1350*1.033</f>
        <v/>
      </c>
      <c r="R671" s="280" t="n"/>
      <c r="T671" s="280" t="n"/>
      <c r="V671" s="280" t="n"/>
      <c r="X671" s="280" t="n"/>
      <c r="Z671" s="280" t="n"/>
      <c r="AA671" s="280" t="n"/>
      <c r="AB671" s="402" t="inlineStr">
        <is>
          <t>ES85 2080 3509 1130 4009 6171</t>
        </is>
      </c>
      <c r="AC671" s="278" t="inlineStr">
        <is>
          <t>pendiente</t>
        </is>
      </c>
      <c r="AD671" s="280">
        <f>L671+N671+P671+R671+T671+V671+X671+Z671</f>
        <v/>
      </c>
      <c r="AE671" s="280">
        <f>P671</f>
        <v/>
      </c>
      <c r="AF671" s="281">
        <f>IF(AM671="Explotación",0.05,0.08)</f>
        <v/>
      </c>
      <c r="AG671" s="280">
        <f>AF671*AE671</f>
        <v/>
      </c>
      <c r="AH671" s="280">
        <f>AD671*1.21</f>
        <v/>
      </c>
      <c r="AI671" s="284">
        <f>IF(AE671&lt;&gt;0,AG671/AD671,"N/A")</f>
        <v/>
      </c>
      <c r="AJ671" s="280">
        <f>IF(AC671="pendiente",AD671,0)</f>
        <v/>
      </c>
      <c r="AK671" s="278">
        <f>VLOOKUP(G671,CLIENTES!B:D,3,FALSE)</f>
        <v/>
      </c>
    </row>
    <row r="672" ht="15" customFormat="1" customHeight="1" s="278">
      <c r="B672" s="279" t="n"/>
      <c r="C672" s="278" t="inlineStr">
        <is>
          <t>c/ Las Cruzadas 3A, local D</t>
        </is>
      </c>
      <c r="D672" s="278" t="inlineStr">
        <is>
          <t>Sevilla 41004</t>
        </is>
      </c>
      <c r="E672" s="278" t="inlineStr">
        <is>
          <t>CIF B91938662</t>
        </is>
      </c>
      <c r="F672" s="278" t="inlineStr">
        <is>
          <t>aBalados@abalados.es</t>
        </is>
      </c>
      <c r="G672" s="278" t="inlineStr">
        <is>
          <t>Becerril Renovables, S.L.</t>
        </is>
      </c>
      <c r="H672" s="278">
        <f>VLOOKUP($G672,DATOS!$B:$E,2,FALSE)</f>
        <v/>
      </c>
      <c r="I672" s="278">
        <f>VLOOKUP($G672,DATOS!$B:$E,3,FALSE)</f>
        <v/>
      </c>
      <c r="J672" s="278">
        <f>VLOOKUP($G672,DATOS!$B:$E,4,FALSE)</f>
        <v/>
      </c>
      <c r="K672" s="278" t="inlineStr">
        <is>
          <t>Contrato de Asset Management - Subestación Becerril</t>
        </is>
      </c>
      <c r="L672" s="280" t="n"/>
      <c r="N672" s="280" t="n"/>
      <c r="O672" s="278" t="inlineStr">
        <is>
          <t>Fee Trimestral - 01Octubre/31Diciembre 2024</t>
        </is>
      </c>
      <c r="P672" s="280">
        <f>3* 1350*1.028</f>
        <v/>
      </c>
      <c r="R672" s="280" t="n"/>
      <c r="T672" s="280" t="n"/>
      <c r="V672" s="280" t="n"/>
      <c r="X672" s="280" t="n"/>
      <c r="Z672" s="280" t="n"/>
      <c r="AA672" s="280" t="n"/>
      <c r="AB672" s="402" t="inlineStr">
        <is>
          <t>ES85 2080 3509 1130 4009 6171</t>
        </is>
      </c>
      <c r="AC672" s="278" t="inlineStr">
        <is>
          <t>pendiente</t>
        </is>
      </c>
      <c r="AD672" s="280">
        <f>L672+N672+P672+R672+T672+V672+X672+Z672</f>
        <v/>
      </c>
      <c r="AE672" s="280">
        <f>P672</f>
        <v/>
      </c>
      <c r="AF672" s="281">
        <f>IF(AM672="Explotación",0.05,0.08)</f>
        <v/>
      </c>
      <c r="AG672" s="280">
        <f>AF672*AE672</f>
        <v/>
      </c>
      <c r="AH672" s="280">
        <f>AD672*1.21</f>
        <v/>
      </c>
      <c r="AI672" s="284">
        <f>IF(AE672&lt;&gt;0,AG672/AD672,"N/A")</f>
        <v/>
      </c>
      <c r="AJ672" s="280">
        <f>IF(AC672="pendiente",AD672,0)</f>
        <v/>
      </c>
      <c r="AK672" s="278">
        <f>VLOOKUP(G672,CLIENTES!B:D,3,FALSE)</f>
        <v/>
      </c>
    </row>
    <row r="673" ht="15" customFormat="1" customHeight="1" s="278">
      <c r="B673" s="279" t="n"/>
      <c r="C673" s="278" t="inlineStr">
        <is>
          <t>c/ Las Cruzadas 3A, local D</t>
        </is>
      </c>
      <c r="D673" s="278" t="inlineStr">
        <is>
          <t>Sevilla 41004</t>
        </is>
      </c>
      <c r="E673" s="278" t="inlineStr">
        <is>
          <t>CIF B91938662</t>
        </is>
      </c>
      <c r="F673" s="278" t="inlineStr">
        <is>
          <t>aBalados@abalados.es</t>
        </is>
      </c>
      <c r="G673" s="278" t="inlineStr">
        <is>
          <t>Transformadora Almodóvar Renovables, S.L.</t>
        </is>
      </c>
      <c r="H673" s="278">
        <f>VLOOKUP($G673,DATOS!$B:$E,2,FALSE)</f>
        <v/>
      </c>
      <c r="I673" s="278">
        <f>VLOOKUP($G673,DATOS!$B:$E,3,FALSE)</f>
        <v/>
      </c>
      <c r="J673" s="278">
        <f>VLOOKUP($G673,DATOS!$B:$E,4,FALSE)</f>
        <v/>
      </c>
      <c r="K673" s="278" t="inlineStr">
        <is>
          <t>Contrato de Asset Management - Subestación Almodóvar</t>
        </is>
      </c>
      <c r="L673" s="280" t="n"/>
      <c r="N673" s="280" t="n"/>
      <c r="O673" s="278" t="inlineStr">
        <is>
          <t>Fee Trimestral - 01Octubre/31Diciembre 2024</t>
        </is>
      </c>
      <c r="P673" s="280">
        <f>1350*1.032 + 1350*1.032*(16/30)+1350*1.032*1.024*(14/30)  +  1* 1350*1.032*1.024</f>
        <v/>
      </c>
      <c r="Q673" s="278" t="inlineStr">
        <is>
          <t>Tasa actualización IPC General (Noviembre 2023 - Noviembre 2024): 2,4%</t>
        </is>
      </c>
      <c r="R673" s="280" t="n"/>
      <c r="S673" s="278" t="inlineStr">
        <is>
          <t>Fecha actualización: 17 Noviembre</t>
        </is>
      </c>
      <c r="T673" s="280" t="n"/>
      <c r="V673" s="280" t="n"/>
      <c r="X673" s="280" t="n"/>
      <c r="Z673" s="280" t="n"/>
      <c r="AA673" s="280" t="n"/>
      <c r="AB673" s="402" t="inlineStr">
        <is>
          <t>ES85 2080 3509 1130 4009 6171</t>
        </is>
      </c>
      <c r="AC673" s="278" t="inlineStr">
        <is>
          <t>pendiente</t>
        </is>
      </c>
      <c r="AD673" s="280">
        <f>L673+N673+P673+R673+T673+V673+X673+Z673</f>
        <v/>
      </c>
      <c r="AE673" s="280">
        <f>P673</f>
        <v/>
      </c>
      <c r="AF673" s="281">
        <f>IF(AM673="Explotación",0.05,0.08)</f>
        <v/>
      </c>
      <c r="AG673" s="280">
        <f>AF673*AE673</f>
        <v/>
      </c>
      <c r="AH673" s="280">
        <f>AD673*1.21</f>
        <v/>
      </c>
      <c r="AI673" s="284">
        <f>IF(AE673&lt;&gt;0,AG673/AD673,"N/A")</f>
        <v/>
      </c>
      <c r="AJ673" s="280">
        <f>IF(AC673="pendiente",AD673,0)</f>
        <v/>
      </c>
      <c r="AK673" s="278">
        <f>VLOOKUP(G673,CLIENTES!B:D,3,FALSE)</f>
        <v/>
      </c>
    </row>
    <row r="674" ht="15" customFormat="1" customHeight="1" s="278">
      <c r="B674" s="279" t="n"/>
      <c r="C674" s="278" t="inlineStr">
        <is>
          <t>c/ Las Cruzadas 3A, local D</t>
        </is>
      </c>
      <c r="D674" s="278" t="inlineStr">
        <is>
          <t>Sevilla 41004</t>
        </is>
      </c>
      <c r="E674" s="278" t="inlineStr">
        <is>
          <t>CIF B91938662</t>
        </is>
      </c>
      <c r="F674" s="278" t="inlineStr">
        <is>
          <t>aBalados@abalados.es</t>
        </is>
      </c>
      <c r="G674" s="278" t="inlineStr">
        <is>
          <t>Teodomiro Renovables, S.L.</t>
        </is>
      </c>
      <c r="H674" s="278">
        <f>VLOOKUP($G674,DATOS!$B:$E,2,FALSE)</f>
        <v/>
      </c>
      <c r="I674" s="278">
        <f>VLOOKUP($G674,DATOS!$B:$E,3,FALSE)</f>
        <v/>
      </c>
      <c r="J674" s="278">
        <f>VLOOKUP($G674,DATOS!$B:$E,4,FALSE)</f>
        <v/>
      </c>
      <c r="K674" s="278" t="inlineStr">
        <is>
          <t>Contrato de Asset Management - Subestación Teodomiro</t>
        </is>
      </c>
      <c r="L674" s="280" t="n"/>
      <c r="N674" s="280" t="n"/>
      <c r="O674" s="278" t="inlineStr">
        <is>
          <t>Fee Trimestral - 01Octubre/31Diciembre 2024</t>
        </is>
      </c>
      <c r="P674" s="280">
        <f>3* 1350*1.032</f>
        <v/>
      </c>
      <c r="R674" s="280" t="n"/>
      <c r="T674" s="280" t="n"/>
      <c r="V674" s="280" t="n"/>
      <c r="X674" s="280" t="n"/>
      <c r="Z674" s="280" t="n"/>
      <c r="AA674" s="280" t="n"/>
      <c r="AB674" s="402" t="inlineStr">
        <is>
          <t>ES85 2080 3509 1130 4009 6171</t>
        </is>
      </c>
      <c r="AC674" s="278" t="inlineStr">
        <is>
          <t>pendiente</t>
        </is>
      </c>
      <c r="AD674" s="280">
        <f>L674+N674+P674+R674+T674+V674+X674+Z674</f>
        <v/>
      </c>
      <c r="AE674" s="280">
        <f>P674</f>
        <v/>
      </c>
      <c r="AF674" s="281">
        <f>IF(AM674="Explotación",0.05,0.08)</f>
        <v/>
      </c>
      <c r="AG674" s="280">
        <f>AF674*AE674</f>
        <v/>
      </c>
      <c r="AH674" s="280">
        <f>AD674*1.21</f>
        <v/>
      </c>
      <c r="AI674" s="284">
        <f>IF(AE674&lt;&gt;0,AG674/AD674,"N/A")</f>
        <v/>
      </c>
      <c r="AJ674" s="280">
        <f>IF(AC674="pendiente",AD674,0)</f>
        <v/>
      </c>
      <c r="AK674" s="278">
        <f>VLOOKUP(G674,CLIENTES!B:D,3,FALSE)</f>
        <v/>
      </c>
    </row>
    <row r="675" ht="15" customFormat="1" customHeight="1" s="278">
      <c r="B675" s="279" t="n"/>
      <c r="C675" s="278" t="inlineStr">
        <is>
          <t>c/ Las Cruzadas 3A, local D</t>
        </is>
      </c>
      <c r="D675" s="278" t="inlineStr">
        <is>
          <t>Sevilla 41004</t>
        </is>
      </c>
      <c r="E675" s="278" t="inlineStr">
        <is>
          <t>CIF B91938662</t>
        </is>
      </c>
      <c r="F675" s="278" t="inlineStr">
        <is>
          <t>aBalados@abalados.es</t>
        </is>
      </c>
      <c r="G675" s="278" t="inlineStr">
        <is>
          <t>Nudo SE Zaratan 220 kV, S.L.</t>
        </is>
      </c>
      <c r="H675" s="278">
        <f>VLOOKUP($G675,DATOS!$B:$E,2,FALSE)</f>
        <v/>
      </c>
      <c r="I675" s="278">
        <f>VLOOKUP($G675,DATOS!$B:$E,3,FALSE)</f>
        <v/>
      </c>
      <c r="J675" s="278">
        <f>VLOOKUP($G675,DATOS!$B:$E,4,FALSE)</f>
        <v/>
      </c>
      <c r="K675" s="278" t="inlineStr">
        <is>
          <t>Contrato de Asset Management - Subestación Ciguñuela</t>
        </is>
      </c>
      <c r="L675" s="280" t="n"/>
      <c r="N675" s="280" t="n"/>
      <c r="O675" s="278" t="inlineStr">
        <is>
          <t>Fee Trimestral - 01Octubre/31Diciembre 2024</t>
        </is>
      </c>
      <c r="P675" s="280">
        <f>3* 1350*1.034</f>
        <v/>
      </c>
      <c r="R675" s="280" t="n"/>
      <c r="S675" s="280" t="n"/>
      <c r="T675" s="280" t="n"/>
      <c r="V675" s="280" t="n"/>
      <c r="X675" s="280" t="n"/>
      <c r="Z675" s="280" t="n"/>
      <c r="AA675" s="280" t="n"/>
      <c r="AB675" s="402" t="inlineStr">
        <is>
          <t>ES85 2080 3509 1130 4009 6171</t>
        </is>
      </c>
      <c r="AC675" s="278" t="inlineStr">
        <is>
          <t>pendiente</t>
        </is>
      </c>
      <c r="AD675" s="280">
        <f>L675+N675+P675+R675+T675+V675+X675+Z675</f>
        <v/>
      </c>
      <c r="AE675" s="280">
        <f>P675</f>
        <v/>
      </c>
      <c r="AF675" s="281">
        <f>IF(AM675="Explotación",0.05,0.08)</f>
        <v/>
      </c>
      <c r="AG675" s="280">
        <f>AF675*AE675</f>
        <v/>
      </c>
      <c r="AH675" s="280">
        <f>AD675*1.21</f>
        <v/>
      </c>
      <c r="AI675" s="284">
        <f>IF(AE675&lt;&gt;0,AG675/AD675,"N/A")</f>
        <v/>
      </c>
      <c r="AJ675" s="280">
        <f>IF(AC675="pendiente",AD675,0)</f>
        <v/>
      </c>
      <c r="AK675" s="278">
        <f>VLOOKUP(G675,CLIENTES!B:D,3,FALSE)</f>
        <v/>
      </c>
    </row>
    <row r="676" ht="15" customFormat="1" customHeight="1" s="278">
      <c r="B676" s="279" t="n"/>
      <c r="C676" s="278" t="inlineStr">
        <is>
          <t>c/ Las Cruzadas 3A, local D</t>
        </is>
      </c>
      <c r="D676" s="278" t="inlineStr">
        <is>
          <t>Sevilla 41004</t>
        </is>
      </c>
      <c r="E676" s="278" t="inlineStr">
        <is>
          <t>CIF B91938662</t>
        </is>
      </c>
      <c r="F676" s="278" t="inlineStr">
        <is>
          <t>aBalados@abalados.es</t>
        </is>
      </c>
      <c r="G676" s="278" t="inlineStr">
        <is>
          <t>Promotores Benejama Colectora, S.L.</t>
        </is>
      </c>
      <c r="H676" s="278">
        <f>VLOOKUP($G676,DATOS!$B:$E,2,FALSE)</f>
        <v/>
      </c>
      <c r="I676" s="278">
        <f>VLOOKUP($G676,DATOS!$B:$E,3,FALSE)</f>
        <v/>
      </c>
      <c r="J676" s="278">
        <f>VLOOKUP($G676,DATOS!$B:$E,4,FALSE)</f>
        <v/>
      </c>
      <c r="K676" s="278" t="inlineStr">
        <is>
          <t>Contrato de Asset Management - Subestación Benejama Colectora</t>
        </is>
      </c>
      <c r="L676" s="280" t="n"/>
      <c r="N676" s="280" t="n"/>
      <c r="O676" s="278" t="inlineStr">
        <is>
          <t>Fee Trimestral - 01Octubre/31Diciembre 2024</t>
        </is>
      </c>
      <c r="P676" s="280">
        <f>3* 1350*1.033</f>
        <v/>
      </c>
      <c r="R676" s="280" t="n"/>
      <c r="T676" s="280" t="n"/>
      <c r="V676" s="280" t="n"/>
      <c r="X676" s="280" t="n"/>
      <c r="Z676" s="280" t="n"/>
      <c r="AA676" s="280" t="n"/>
      <c r="AB676" s="402" t="inlineStr">
        <is>
          <t>ES85 2080 3509 1130 4009 6171</t>
        </is>
      </c>
      <c r="AC676" s="278" t="inlineStr">
        <is>
          <t>pendiente</t>
        </is>
      </c>
      <c r="AD676" s="280">
        <f>L676+N676+P676+R676+T676+V676+X676+Z676</f>
        <v/>
      </c>
      <c r="AE676" s="280">
        <f>P676</f>
        <v/>
      </c>
      <c r="AF676" s="281">
        <f>IF(AM676="Explotación",0.05,0.08)</f>
        <v/>
      </c>
      <c r="AG676" s="280">
        <f>AF676*AE676</f>
        <v/>
      </c>
      <c r="AH676" s="280">
        <f>AD676*1.21</f>
        <v/>
      </c>
      <c r="AI676" s="284">
        <f>IF(AE676&lt;&gt;0,AG676/AD676,"N/A")</f>
        <v/>
      </c>
      <c r="AJ676" s="280">
        <f>IF(AC676="pendiente",AD676,0)</f>
        <v/>
      </c>
      <c r="AK676" s="278">
        <f>VLOOKUP(G676,CLIENTES!B:D,3,FALSE)</f>
        <v/>
      </c>
    </row>
    <row r="677" ht="15" customFormat="1" customHeight="1" s="278">
      <c r="B677" s="279" t="n"/>
      <c r="C677" s="278" t="inlineStr">
        <is>
          <t>c/ Las Cruzadas 3A, local D</t>
        </is>
      </c>
      <c r="D677" s="278" t="inlineStr">
        <is>
          <t>Sevilla 41004</t>
        </is>
      </c>
      <c r="E677" s="278" t="inlineStr">
        <is>
          <t>CIF B91938662</t>
        </is>
      </c>
      <c r="F677" s="278" t="inlineStr">
        <is>
          <t>aBalados@abalados.es</t>
        </is>
      </c>
      <c r="G677" s="278" t="inlineStr">
        <is>
          <t>Las Monas Gallego, A.I.E.</t>
        </is>
      </c>
      <c r="H677" s="278">
        <f>VLOOKUP($G677,DATOS!$B:$E,2,FALSE)</f>
        <v/>
      </c>
      <c r="I677" s="278">
        <f>VLOOKUP($G677,DATOS!$B:$E,3,FALSE)</f>
        <v/>
      </c>
      <c r="J677" s="278">
        <f>VLOOKUP($G677,DATOS!$B:$E,4,FALSE)</f>
        <v/>
      </c>
      <c r="K677" s="278" t="inlineStr">
        <is>
          <t>Contrato de Asset Management - Subestación Las Monas</t>
        </is>
      </c>
      <c r="L677" s="280" t="n"/>
      <c r="N677" s="280" t="n"/>
      <c r="O677" s="278" t="inlineStr">
        <is>
          <t>Fee Trimestral - 01Octubre/31Diciembre 2024</t>
        </is>
      </c>
      <c r="P677" s="280">
        <f>3* 1350*1.015</f>
        <v/>
      </c>
      <c r="Q677" s="278" t="inlineStr">
        <is>
          <t>Tasa actualización IPC General (Septiembre 2023 - Septiembre 2024): 1,5%</t>
        </is>
      </c>
      <c r="R677" s="280" t="n"/>
      <c r="S677" s="280" t="n"/>
      <c r="T677" s="280" t="n"/>
      <c r="U677" s="278" t="inlineStr">
        <is>
          <t>Regularización IPC trimestre anterior (11Septiembre-30Septiembre 2024)</t>
        </is>
      </c>
      <c r="V677" s="280">
        <f>1350*(20/30) *0.015</f>
        <v/>
      </c>
      <c r="X677" s="280" t="n"/>
      <c r="Z677" s="280" t="n"/>
      <c r="AA677" s="280" t="n"/>
      <c r="AB677" s="402" t="inlineStr">
        <is>
          <t>ES85 2080 3509 1130 4009 6171</t>
        </is>
      </c>
      <c r="AC677" s="278" t="inlineStr">
        <is>
          <t>pendiente</t>
        </is>
      </c>
      <c r="AD677" s="280">
        <f>L677+N677+P677+R677+T677+V677+X677+Z677</f>
        <v/>
      </c>
      <c r="AE677" s="280">
        <f>P677</f>
        <v/>
      </c>
      <c r="AF677" s="281">
        <f>IF(AM677="Explotación",0.05,0.08)</f>
        <v/>
      </c>
      <c r="AG677" s="280">
        <f>AF677*AE677</f>
        <v/>
      </c>
      <c r="AH677" s="280">
        <f>AD677*1.21</f>
        <v/>
      </c>
      <c r="AI677" s="284">
        <f>IF(AE677&lt;&gt;0,AG677/AD677,"N/A")</f>
        <v/>
      </c>
      <c r="AJ677" s="280">
        <f>IF(AC677="pendiente",AD677,0)</f>
        <v/>
      </c>
      <c r="AK677" s="278">
        <f>VLOOKUP(G677,CLIENTES!B:D,3,FALSE)</f>
        <v/>
      </c>
    </row>
    <row r="678" ht="15" customFormat="1" customHeight="1" s="278">
      <c r="B678" s="279" t="n"/>
      <c r="C678" s="278" t="inlineStr">
        <is>
          <t>c/ Las Cruzadas 3A, local D</t>
        </is>
      </c>
      <c r="D678" s="278" t="inlineStr">
        <is>
          <t>Sevilla 41004</t>
        </is>
      </c>
      <c r="E678" s="278" t="inlineStr">
        <is>
          <t>CIF B91938662</t>
        </is>
      </c>
      <c r="F678" s="278" t="inlineStr">
        <is>
          <t>aBalados@abalados.es</t>
        </is>
      </c>
      <c r="G678" s="278" t="inlineStr">
        <is>
          <t>Maria Renovables, S.L.</t>
        </is>
      </c>
      <c r="H678" s="278">
        <f>VLOOKUP($G678,DATOS!$B:$E,2,FALSE)</f>
        <v/>
      </c>
      <c r="I678" s="278">
        <f>VLOOKUP($G678,DATOS!$B:$E,3,FALSE)</f>
        <v/>
      </c>
      <c r="J678" s="278">
        <f>VLOOKUP($G678,DATOS!$B:$E,4,FALSE)</f>
        <v/>
      </c>
      <c r="K678" s="278" t="inlineStr">
        <is>
          <t>Contrato de Asset Management - Subestación María</t>
        </is>
      </c>
      <c r="L678" s="280" t="n"/>
      <c r="N678" s="280" t="n"/>
      <c r="O678" s="278" t="inlineStr">
        <is>
          <t>Fee Trimestral - 01Octubre/31Diciembre 2024</t>
        </is>
      </c>
      <c r="P678" s="280">
        <f>3* 1350*1.034</f>
        <v/>
      </c>
      <c r="R678" s="280" t="n"/>
      <c r="S678" s="280" t="n"/>
      <c r="T678" s="280" t="n"/>
      <c r="V678" s="280" t="n"/>
      <c r="X678" s="280" t="n"/>
      <c r="Z678" s="280" t="n"/>
      <c r="AA678" s="280" t="n"/>
      <c r="AB678" s="402" t="inlineStr">
        <is>
          <t>ES85 2080 3509 1130 4009 6171</t>
        </is>
      </c>
      <c r="AC678" s="278" t="inlineStr">
        <is>
          <t>pendiente</t>
        </is>
      </c>
      <c r="AD678" s="280">
        <f>L678+N678+P678+R678+T678+V678+X678+Z678</f>
        <v/>
      </c>
      <c r="AE678" s="280">
        <f>P678</f>
        <v/>
      </c>
      <c r="AF678" s="281">
        <f>IF(AM678="Explotación",0.05,0.08)</f>
        <v/>
      </c>
      <c r="AG678" s="280">
        <f>AF678*AE678</f>
        <v/>
      </c>
      <c r="AH678" s="280">
        <f>AD678*1.21</f>
        <v/>
      </c>
      <c r="AI678" s="284">
        <f>IF(AE678&lt;&gt;0,AG678/AD678,"N/A")</f>
        <v/>
      </c>
      <c r="AJ678" s="280">
        <f>IF(AC678="pendiente",AD678,0)</f>
        <v/>
      </c>
      <c r="AK678" s="278">
        <f>VLOOKUP(G678,CLIENTES!B:D,3,FALSE)</f>
        <v/>
      </c>
    </row>
    <row r="679" ht="15" customFormat="1" customHeight="1" s="278">
      <c r="B679" s="279" t="n"/>
      <c r="C679" s="278" t="inlineStr">
        <is>
          <t>c/ Las Cruzadas 3A, local D</t>
        </is>
      </c>
      <c r="D679" s="278" t="inlineStr">
        <is>
          <t>Sevilla 41004</t>
        </is>
      </c>
      <c r="E679" s="278" t="inlineStr">
        <is>
          <t>CIF B91938662</t>
        </is>
      </c>
      <c r="F679" s="278" t="inlineStr">
        <is>
          <t>aBalados@abalados.es</t>
        </is>
      </c>
      <c r="G679" s="278" t="inlineStr">
        <is>
          <t>Escatrón Promotores 400 y 220, S.L.</t>
        </is>
      </c>
      <c r="H679" s="278">
        <f>VLOOKUP($G679,DATOS!$B:$E,2,FALSE)</f>
        <v/>
      </c>
      <c r="I679" s="278">
        <f>VLOOKUP($G679,DATOS!$B:$E,3,FALSE)</f>
        <v/>
      </c>
      <c r="J679" s="278">
        <f>VLOOKUP($G679,DATOS!$B:$E,4,FALSE)</f>
        <v/>
      </c>
      <c r="K679" s="278" t="inlineStr">
        <is>
          <t>Contrato de Asset Management - Subestación Escatrón</t>
        </is>
      </c>
      <c r="L679" s="280" t="n"/>
      <c r="N679" s="280" t="n"/>
      <c r="O679" s="278" t="inlineStr">
        <is>
          <t>Fee Trimestral - 01Octubre/31Diciembre 2024</t>
        </is>
      </c>
      <c r="P679" s="280">
        <f>3* 1350*1.032</f>
        <v/>
      </c>
      <c r="R679" s="280" t="n"/>
      <c r="T679" s="280" t="n"/>
      <c r="V679" s="280" t="n"/>
      <c r="X679" s="280" t="n"/>
      <c r="Z679" s="280" t="n"/>
      <c r="AA679" s="280" t="n"/>
      <c r="AB679" s="402" t="inlineStr">
        <is>
          <t>ES85 2080 3509 1130 4009 6171</t>
        </is>
      </c>
      <c r="AC679" s="278" t="inlineStr">
        <is>
          <t>pendiente</t>
        </is>
      </c>
      <c r="AD679" s="280">
        <f>L679+N679+P679+R679+T679+V679+X679+Z679</f>
        <v/>
      </c>
      <c r="AE679" s="280">
        <f>P679</f>
        <v/>
      </c>
      <c r="AF679" s="281">
        <f>IF(AM679="Explotación",0.05,0.08)</f>
        <v/>
      </c>
      <c r="AG679" s="280">
        <f>AF679*AE679</f>
        <v/>
      </c>
      <c r="AH679" s="280">
        <f>AD679*1.21</f>
        <v/>
      </c>
      <c r="AI679" s="284">
        <f>IF(AE679&lt;&gt;0,AG679/AD679,"N/A")</f>
        <v/>
      </c>
      <c r="AJ679" s="280">
        <f>IF(AC679="pendiente",AD679,0)</f>
        <v/>
      </c>
      <c r="AK679" s="278">
        <f>VLOOKUP(G679,CLIENTES!B:D,3,FALSE)</f>
        <v/>
      </c>
    </row>
    <row r="680" ht="15" customFormat="1" customHeight="1" s="278">
      <c r="B680" s="279" t="n"/>
      <c r="C680" s="278" t="inlineStr">
        <is>
          <t>c/ Las Cruzadas 3A, local D</t>
        </is>
      </c>
      <c r="D680" s="278" t="inlineStr">
        <is>
          <t>Sevilla 41004</t>
        </is>
      </c>
      <c r="E680" s="278" t="inlineStr">
        <is>
          <t>CIF B91938662</t>
        </is>
      </c>
      <c r="F680" s="278" t="inlineStr">
        <is>
          <t>aBalados@abalados.es</t>
        </is>
      </c>
      <c r="G680" s="278" t="inlineStr">
        <is>
          <t>Comunidad de Bienes Grupotec Rotonda</t>
        </is>
      </c>
      <c r="H680" s="278">
        <f>VLOOKUP($G680,DATOS!$B:$E,2,FALSE)</f>
        <v/>
      </c>
      <c r="I680" s="278">
        <f>VLOOKUP($G680,DATOS!$B:$E,3,FALSE)</f>
        <v/>
      </c>
      <c r="J680" s="278">
        <f>VLOOKUP($G680,DATOS!$B:$E,4,FALSE)</f>
        <v/>
      </c>
      <c r="K680" s="278" t="inlineStr">
        <is>
          <t>Contrato de Asset Management - Subestación Almansol</t>
        </is>
      </c>
      <c r="L680" s="280" t="n"/>
      <c r="N680" s="280" t="n"/>
      <c r="O680" s="278" t="inlineStr">
        <is>
          <t>Fee Trimestral - 01Octubre/31Diciembre 2024</t>
        </is>
      </c>
      <c r="P680" s="280">
        <f>2960 + 2960*(13/30)+2960*1.024*(17/30)  +  1* 2960*1.024</f>
        <v/>
      </c>
      <c r="Q680" s="278" t="inlineStr">
        <is>
          <t>Tasa actualización IPC General (Noviembre 2023 - Noviembre 2024): 2,4%</t>
        </is>
      </c>
      <c r="R680" s="280" t="n"/>
      <c r="S680" s="278" t="inlineStr">
        <is>
          <t>Fecha actualización: 14 Noviembre</t>
        </is>
      </c>
      <c r="T680" s="280" t="n"/>
      <c r="V680" s="280" t="n"/>
      <c r="X680" s="280" t="n"/>
      <c r="Z680" s="280" t="n"/>
      <c r="AA680" s="280" t="n"/>
      <c r="AB680" s="402" t="inlineStr">
        <is>
          <t>ES85 2080 3509 1130 4009 6171</t>
        </is>
      </c>
      <c r="AC680" s="278" t="inlineStr">
        <is>
          <t>pendiente</t>
        </is>
      </c>
      <c r="AD680" s="280">
        <f>L680+N680+P680+R680+T680+V680+X680+Z680</f>
        <v/>
      </c>
      <c r="AE680" s="280">
        <f>P680</f>
        <v/>
      </c>
      <c r="AF680" s="281">
        <f>IF(AM680="Explotación",0.05,0.08)</f>
        <v/>
      </c>
      <c r="AG680" s="280">
        <f>AF680*AE680</f>
        <v/>
      </c>
      <c r="AH680" s="280">
        <f>AD680*1.21</f>
        <v/>
      </c>
      <c r="AI680" s="284">
        <f>IF(AE680&lt;&gt;0,AG680/AD680,"N/A")</f>
        <v/>
      </c>
      <c r="AJ680" s="280">
        <f>IF(AC680="pendiente",AD680,0)</f>
        <v/>
      </c>
      <c r="AK680" s="278">
        <f>VLOOKUP(G680,CLIENTES!B:D,3,FALSE)</f>
        <v/>
      </c>
    </row>
    <row r="681" ht="15" customFormat="1" customHeight="1" s="278">
      <c r="B681" s="279" t="n"/>
      <c r="C681" s="278" t="inlineStr">
        <is>
          <t>c/ Las Cruzadas 3A, local D</t>
        </is>
      </c>
      <c r="D681" s="278" t="inlineStr">
        <is>
          <t>Sevilla 41004</t>
        </is>
      </c>
      <c r="E681" s="278" t="inlineStr">
        <is>
          <t>CIF B91938662</t>
        </is>
      </c>
      <c r="F681" s="278" t="inlineStr">
        <is>
          <t>aBalados@abalados.es</t>
        </is>
      </c>
      <c r="G681" s="278" t="inlineStr">
        <is>
          <t>ICE Sequero, S.L.</t>
        </is>
      </c>
      <c r="H681" s="278">
        <f>VLOOKUP($G681,DATOS!$B:$E,2,FALSE)</f>
        <v/>
      </c>
      <c r="I681" s="278">
        <f>VLOOKUP($G681,DATOS!$B:$E,3,FALSE)</f>
        <v/>
      </c>
      <c r="J681" s="278">
        <f>VLOOKUP($G681,DATOS!$B:$E,4,FALSE)</f>
        <v/>
      </c>
      <c r="K681" s="278" t="inlineStr">
        <is>
          <t>Contrato de Asset Management - Subestación Colectora Sequero</t>
        </is>
      </c>
      <c r="L681" s="280" t="n"/>
      <c r="N681" s="280" t="n"/>
      <c r="O681" s="278" t="inlineStr">
        <is>
          <t>Fee Trimestral - 01Octubre/31Diciembre 2024</t>
        </is>
      </c>
      <c r="P681" s="280">
        <f>3* 1350*1.015</f>
        <v/>
      </c>
      <c r="Q681" s="278" t="inlineStr">
        <is>
          <t>Tasa actualización IPC General (Septiembre 2023 - Septiembre 2024): 1,5%</t>
        </is>
      </c>
      <c r="R681" s="280" t="n"/>
      <c r="S681" s="280" t="n"/>
      <c r="T681" s="280" t="n"/>
      <c r="U681" s="278" t="inlineStr">
        <is>
          <t>Regularización IPC trimestre anterior (13Septiembre-30Septiembre 2024)</t>
        </is>
      </c>
      <c r="V681" s="280">
        <f>1350*(18/30) *0.015</f>
        <v/>
      </c>
      <c r="X681" s="280" t="n"/>
      <c r="Z681" s="280" t="n"/>
      <c r="AA681" s="280" t="n"/>
      <c r="AB681" s="402" t="inlineStr">
        <is>
          <t>ES85 2080 3509 1130 4009 6171</t>
        </is>
      </c>
      <c r="AC681" s="278" t="inlineStr">
        <is>
          <t>pendiente</t>
        </is>
      </c>
      <c r="AD681" s="280">
        <f>L681+N681+P681+R681+T681+V681+X681+Z681</f>
        <v/>
      </c>
      <c r="AE681" s="280">
        <f>P681</f>
        <v/>
      </c>
      <c r="AF681" s="281">
        <f>IF(AM681="Explotación",0.05,0.08)</f>
        <v/>
      </c>
      <c r="AG681" s="280">
        <f>AF681*AE681</f>
        <v/>
      </c>
      <c r="AH681" s="280">
        <f>AD681*1.21</f>
        <v/>
      </c>
      <c r="AI681" s="284">
        <f>IF(AE681&lt;&gt;0,AG681/AD681,"N/A")</f>
        <v/>
      </c>
      <c r="AJ681" s="280">
        <f>IF(AC681="pendiente",AD681,0)</f>
        <v/>
      </c>
      <c r="AK681" s="278">
        <f>VLOOKUP(G681,CLIENTES!B:D,3,FALSE)</f>
        <v/>
      </c>
    </row>
    <row r="682" ht="15" customFormat="1" customHeight="1" s="278">
      <c r="B682" s="279" t="n"/>
      <c r="C682" s="278" t="inlineStr">
        <is>
          <t>c/ Las Cruzadas 3A, local D</t>
        </is>
      </c>
      <c r="D682" s="278" t="inlineStr">
        <is>
          <t>Sevilla 41004</t>
        </is>
      </c>
      <c r="E682" s="278" t="inlineStr">
        <is>
          <t>CIF B91938662</t>
        </is>
      </c>
      <c r="F682" s="278" t="inlineStr">
        <is>
          <t>aBalados@abalados.es</t>
        </is>
      </c>
      <c r="G682" s="278" t="inlineStr">
        <is>
          <t>Renedo Renovables, S.L.</t>
        </is>
      </c>
      <c r="H682" s="278">
        <f>VLOOKUP($G682,DATOS!$B:$E,2,FALSE)</f>
        <v/>
      </c>
      <c r="I682" s="278">
        <f>VLOOKUP($G682,DATOS!$B:$E,3,FALSE)</f>
        <v/>
      </c>
      <c r="J682" s="278">
        <f>VLOOKUP($G682,DATOS!$B:$E,4,FALSE)</f>
        <v/>
      </c>
      <c r="K682" s="278" t="inlineStr">
        <is>
          <t>Contrato de Asset Management - Nudo Renedo</t>
        </is>
      </c>
      <c r="L682" s="280" t="n"/>
      <c r="N682" s="280" t="n"/>
      <c r="O682" s="278" t="inlineStr">
        <is>
          <t>Fee Trimestral - 01Octubre/31Diciembre 2024</t>
        </is>
      </c>
      <c r="P682" s="280">
        <f>2295*(10/31)+2295*1.018*(21/31)  +  2* 2295*1.018</f>
        <v/>
      </c>
      <c r="Q682" s="278" t="inlineStr">
        <is>
          <t>Tasa actualización IPC General (Octubre 2023 - Octubre 2024): 1,8%</t>
        </is>
      </c>
      <c r="R682" s="280" t="n"/>
      <c r="S682" s="278" t="inlineStr">
        <is>
          <t>Fecha actualización: 11 Octubre</t>
        </is>
      </c>
      <c r="T682" s="280" t="n"/>
      <c r="V682" s="280" t="n"/>
      <c r="X682" s="280" t="n"/>
      <c r="Z682" s="280" t="n"/>
      <c r="AA682" s="280" t="n"/>
      <c r="AB682" s="402" t="inlineStr">
        <is>
          <t>ES85 2080 3509 1130 4009 6171</t>
        </is>
      </c>
      <c r="AC682" s="278" t="inlineStr">
        <is>
          <t>pendiente</t>
        </is>
      </c>
      <c r="AD682" s="280">
        <f>L682+N682+P682+R682+T682+V682+X682+Z682</f>
        <v/>
      </c>
      <c r="AE682" s="280">
        <f>P682</f>
        <v/>
      </c>
      <c r="AF682" s="281">
        <f>IF(AM682="Explotación",0.05,0.08)</f>
        <v/>
      </c>
      <c r="AG682" s="280">
        <f>AF682*AE682</f>
        <v/>
      </c>
      <c r="AH682" s="280">
        <f>AD682*1.21</f>
        <v/>
      </c>
      <c r="AI682" s="284">
        <f>IF(AE682&lt;&gt;0,AG682/AD682,"N/A")</f>
        <v/>
      </c>
      <c r="AJ682" s="280">
        <f>IF(AC682="pendiente",AD682,0)</f>
        <v/>
      </c>
      <c r="AK682" s="278">
        <f>VLOOKUP(G682,CLIENTES!B:D,3,FALSE)</f>
        <v/>
      </c>
    </row>
    <row r="683" ht="15" customFormat="1" customHeight="1" s="278">
      <c r="B683" s="279" t="n"/>
      <c r="C683" s="278" t="inlineStr">
        <is>
          <t>c/ Las Cruzadas 3A, local D</t>
        </is>
      </c>
      <c r="D683" s="278" t="inlineStr">
        <is>
          <t>Sevilla 41004</t>
        </is>
      </c>
      <c r="E683" s="278" t="inlineStr">
        <is>
          <t>CIF B91938662</t>
        </is>
      </c>
      <c r="F683" s="278" t="inlineStr">
        <is>
          <t>aBalados@abalados.es</t>
        </is>
      </c>
      <c r="G683" s="278" t="inlineStr">
        <is>
          <t>Irina Generación 220, A.I.E.</t>
        </is>
      </c>
      <c r="H683" s="278">
        <f>VLOOKUP($G683,DATOS!$B:$E,2,FALSE)</f>
        <v/>
      </c>
      <c r="I683" s="278">
        <f>VLOOKUP($G683,DATOS!$B:$E,3,FALSE)</f>
        <v/>
      </c>
      <c r="J683" s="278">
        <f>VLOOKUP($G683,DATOS!$B:$E,4,FALSE)</f>
        <v/>
      </c>
      <c r="K683" s="278" t="inlineStr">
        <is>
          <t>Contrato de Asset Management - Subestación Irina</t>
        </is>
      </c>
      <c r="L683" s="280" t="n"/>
      <c r="N683" s="280" t="n"/>
      <c r="O683" s="278" t="inlineStr">
        <is>
          <t>Fee Trimestral - 01Octubre/31Diciembre 2024</t>
        </is>
      </c>
      <c r="P683" s="280">
        <f>2985*(22/31)+2985*1.018*(9/31)  +  2* 2985*1.018</f>
        <v/>
      </c>
      <c r="Q683" s="278" t="inlineStr">
        <is>
          <t>Tasa actualización IPC General (Octubre 2023 - Octubre 2024): 1,8%</t>
        </is>
      </c>
      <c r="R683" s="280" t="n"/>
      <c r="S683" s="278" t="inlineStr">
        <is>
          <t>Fecha actualización: 23 Octubre</t>
        </is>
      </c>
      <c r="T683" s="280" t="n"/>
      <c r="V683" s="280" t="n"/>
      <c r="X683" s="280" t="n"/>
      <c r="Z683" s="280" t="n"/>
      <c r="AA683" s="280" t="n"/>
      <c r="AB683" s="402" t="inlineStr">
        <is>
          <t>ES85 2080 3509 1130 4009 6171</t>
        </is>
      </c>
      <c r="AC683" s="278" t="inlineStr">
        <is>
          <t>pendiente</t>
        </is>
      </c>
      <c r="AD683" s="280">
        <f>L683+N683+P683+R683+T683+V683+X683+Z683</f>
        <v/>
      </c>
      <c r="AE683" s="280">
        <f>P683</f>
        <v/>
      </c>
      <c r="AF683" s="281">
        <f>IF(AM683="Explotación",0.05,0.08)</f>
        <v/>
      </c>
      <c r="AG683" s="280">
        <f>AF683*AE683</f>
        <v/>
      </c>
      <c r="AH683" s="280">
        <f>AD683*1.21</f>
        <v/>
      </c>
      <c r="AI683" s="284">
        <f>IF(AE683&lt;&gt;0,AG683/AD683,"N/A")</f>
        <v/>
      </c>
      <c r="AJ683" s="280">
        <f>IF(AC683="pendiente",AD683,0)</f>
        <v/>
      </c>
      <c r="AK683" s="278">
        <f>VLOOKUP(G683,CLIENTES!B:D,3,FALSE)</f>
        <v/>
      </c>
    </row>
    <row r="684" ht="15" customFormat="1" customHeight="1" s="278">
      <c r="B684" s="279" t="n"/>
      <c r="C684" s="278" t="inlineStr">
        <is>
          <t>c/ Las Cruzadas 3A, local D</t>
        </is>
      </c>
      <c r="D684" s="278" t="inlineStr">
        <is>
          <t>Sevilla 41004</t>
        </is>
      </c>
      <c r="E684" s="278" t="inlineStr">
        <is>
          <t>CIF B91938662</t>
        </is>
      </c>
      <c r="F684" s="278" t="inlineStr">
        <is>
          <t>aBalados@abalados.es</t>
        </is>
      </c>
      <c r="G684" s="278" t="inlineStr">
        <is>
          <t>Manzasol 132 kV, S.L.</t>
        </is>
      </c>
      <c r="H684" s="278">
        <f>VLOOKUP($G684,DATOS!$B:$E,2,FALSE)</f>
        <v/>
      </c>
      <c r="I684" s="278">
        <f>VLOOKUP($G684,DATOS!$B:$E,3,FALSE)</f>
        <v/>
      </c>
      <c r="J684" s="278">
        <f>VLOOKUP($G684,DATOS!$B:$E,4,FALSE)</f>
        <v/>
      </c>
      <c r="K684" s="278" t="inlineStr">
        <is>
          <t>Contrato de Asset Management - Subestación Manzasol</t>
        </is>
      </c>
      <c r="L684" s="280" t="n"/>
      <c r="N684" s="280" t="n"/>
      <c r="O684" s="278" t="inlineStr">
        <is>
          <t>Fee Trimestral - 01Octubre/31Diciembre 2024</t>
        </is>
      </c>
      <c r="P684" s="280">
        <f>3* 3015</f>
        <v/>
      </c>
      <c r="Q684" s="278" t="inlineStr">
        <is>
          <t>Tasa actualización IPC General (Diciembre 2023 - Diciembre 2024) no disponible</t>
        </is>
      </c>
      <c r="R684" s="280" t="n"/>
      <c r="T684" s="280" t="n"/>
      <c r="V684" s="280" t="n"/>
      <c r="X684" s="280" t="n"/>
      <c r="Z684" s="280" t="n"/>
      <c r="AA684" s="280" t="n"/>
      <c r="AB684" s="402" t="inlineStr">
        <is>
          <t>ES85 2080 3509 1130 4009 6171</t>
        </is>
      </c>
      <c r="AC684" s="278" t="inlineStr">
        <is>
          <t>pendiente</t>
        </is>
      </c>
      <c r="AD684" s="280">
        <f>L684+N684+P684+R684+T684+V684+X684+Z684</f>
        <v/>
      </c>
      <c r="AE684" s="280">
        <f>P684</f>
        <v/>
      </c>
      <c r="AF684" s="281">
        <f>IF(AM684="Explotación",0.05,0.08)</f>
        <v/>
      </c>
      <c r="AG684" s="280">
        <f>AF684*AE684</f>
        <v/>
      </c>
      <c r="AH684" s="280">
        <f>AD684*1.21</f>
        <v/>
      </c>
      <c r="AI684" s="284">
        <f>IF(AE684&lt;&gt;0,AG684/AD684,"N/A")</f>
        <v/>
      </c>
      <c r="AJ684" s="280">
        <f>IF(AC684="pendiente",AD684,0)</f>
        <v/>
      </c>
      <c r="AK684" s="278">
        <f>VLOOKUP(G684,CLIENTES!B:D,3,FALSE)</f>
        <v/>
      </c>
    </row>
    <row r="685" ht="15" customFormat="1" customHeight="1" s="278">
      <c r="B685" s="279" t="n"/>
      <c r="C685" s="278" t="inlineStr">
        <is>
          <t>c/ Las Cruzadas 3A, local D</t>
        </is>
      </c>
      <c r="D685" s="278" t="inlineStr">
        <is>
          <t>Sevilla 41004</t>
        </is>
      </c>
      <c r="E685" s="278" t="inlineStr">
        <is>
          <t>CIF B91938662</t>
        </is>
      </c>
      <c r="F685" s="278" t="inlineStr">
        <is>
          <t>aBalados@abalados.es</t>
        </is>
      </c>
      <c r="G685" s="278" t="inlineStr">
        <is>
          <t>SE Colectora Ayora Renovables, A.I.E.</t>
        </is>
      </c>
      <c r="H685" s="278">
        <f>VLOOKUP($G685,DATOS!$B:$E,2,FALSE)</f>
        <v/>
      </c>
      <c r="I685" s="278">
        <f>VLOOKUP($G685,DATOS!$B:$E,3,FALSE)</f>
        <v/>
      </c>
      <c r="J685" s="278">
        <f>VLOOKUP($G685,DATOS!$B:$E,4,FALSE)</f>
        <v/>
      </c>
      <c r="K685" s="278" t="inlineStr">
        <is>
          <t>Contrato de Asset Management - Subestación Ayora</t>
        </is>
      </c>
      <c r="L685" s="280" t="n"/>
      <c r="N685" s="280" t="n"/>
      <c r="O685" s="278" t="inlineStr">
        <is>
          <t>Fee Trimestral - 01Octubre/31Diciembre 2024</t>
        </is>
      </c>
      <c r="P685" s="280">
        <f>1350*(30/31)+1350*1.018*(1/31)  +  2* 1350*1.018</f>
        <v/>
      </c>
      <c r="Q685" s="278" t="inlineStr">
        <is>
          <t>Tasa actualización IPC General (Octubre 2023 - Octubre 2024): 1,8%</t>
        </is>
      </c>
      <c r="R685" s="280" t="n"/>
      <c r="S685" s="278" t="inlineStr">
        <is>
          <t>Fecha actualización: 31 Octubre</t>
        </is>
      </c>
      <c r="T685" s="280" t="n"/>
      <c r="V685" s="280" t="n"/>
      <c r="X685" s="280" t="n"/>
      <c r="Z685" s="280" t="n"/>
      <c r="AA685" s="280" t="n"/>
      <c r="AB685" s="402" t="inlineStr">
        <is>
          <t>ES85 2080 3509 1130 4009 6171</t>
        </is>
      </c>
      <c r="AC685" s="278" t="inlineStr">
        <is>
          <t>pendiente</t>
        </is>
      </c>
      <c r="AD685" s="280">
        <f>L685+N685+P685+R685+T685+V685+X685+Z685</f>
        <v/>
      </c>
      <c r="AE685" s="280">
        <f>P685</f>
        <v/>
      </c>
      <c r="AF685" s="281">
        <f>IF(AM685="Explotación",0.05,0.08)</f>
        <v/>
      </c>
      <c r="AG685" s="280">
        <f>AF685*AE685</f>
        <v/>
      </c>
      <c r="AH685" s="280">
        <f>AD685*1.21</f>
        <v/>
      </c>
      <c r="AI685" s="284">
        <f>IF(AE685&lt;&gt;0,AG685/AD685,"N/A")</f>
        <v/>
      </c>
      <c r="AJ685" s="280">
        <f>IF(AC685="pendiente",AD685,0)</f>
        <v/>
      </c>
      <c r="AK685" s="278">
        <f>VLOOKUP(G685,CLIENTES!B:D,3,FALSE)</f>
        <v/>
      </c>
    </row>
    <row r="686" ht="15" customFormat="1" customHeight="1" s="278">
      <c r="B686" s="279" t="n"/>
      <c r="C686" s="278" t="inlineStr">
        <is>
          <t>c/ Las Cruzadas 3A, local D</t>
        </is>
      </c>
      <c r="D686" s="278" t="inlineStr">
        <is>
          <t>Sevilla 41004</t>
        </is>
      </c>
      <c r="E686" s="278" t="inlineStr">
        <is>
          <t>CIF B91938662</t>
        </is>
      </c>
      <c r="F686" s="278" t="inlineStr">
        <is>
          <t>aBalados@abalados.es</t>
        </is>
      </c>
      <c r="G686" s="278" t="inlineStr">
        <is>
          <t>Renovables Valle Solar Fotovoltaica, A.I.E.</t>
        </is>
      </c>
      <c r="H686" s="278">
        <f>VLOOKUP($G686,DATOS!$B:$E,2,FALSE)</f>
        <v/>
      </c>
      <c r="I686" s="278">
        <f>VLOOKUP($G686,DATOS!$B:$E,3,FALSE)</f>
        <v/>
      </c>
      <c r="J686" s="278">
        <f>VLOOKUP($G686,DATOS!$B:$E,4,FALSE)</f>
        <v/>
      </c>
      <c r="K686" s="278" t="inlineStr">
        <is>
          <t>Contrato de Asset Management - Subestación Valle Solar</t>
        </is>
      </c>
      <c r="L686" s="280" t="n"/>
      <c r="N686" s="280" t="n"/>
      <c r="O686" s="278" t="inlineStr">
        <is>
          <t>Fee Trimestral - 01Octubre/31Diciembre 2024</t>
        </is>
      </c>
      <c r="P686" s="280">
        <f>1350*(30/31)+1350*1.018*(1/31)  +  2* 1350*1.018</f>
        <v/>
      </c>
      <c r="Q686" s="278" t="inlineStr">
        <is>
          <t>Tasa actualización IPC General (Octubre 2023 - Octubre 2024): 1,8%</t>
        </is>
      </c>
      <c r="R686" s="280" t="n"/>
      <c r="S686" s="278" t="inlineStr">
        <is>
          <t>Fecha actualización: 31 Octubre</t>
        </is>
      </c>
      <c r="T686" s="280" t="n"/>
      <c r="V686" s="280" t="n"/>
      <c r="X686" s="280" t="n"/>
      <c r="Z686" s="280" t="n"/>
      <c r="AA686" s="280" t="n"/>
      <c r="AB686" s="402" t="inlineStr">
        <is>
          <t>ES85 2080 3509 1130 4009 6171</t>
        </is>
      </c>
      <c r="AC686" s="278" t="inlineStr">
        <is>
          <t>pendiente</t>
        </is>
      </c>
      <c r="AD686" s="280">
        <f>L686+N686+P686+R686+T686+V686+X686+Z686</f>
        <v/>
      </c>
      <c r="AE686" s="280">
        <f>P686</f>
        <v/>
      </c>
      <c r="AF686" s="281">
        <f>IF(AM686="Explotación",0.05,0.08)</f>
        <v/>
      </c>
      <c r="AG686" s="280">
        <f>AF686*AE686</f>
        <v/>
      </c>
      <c r="AH686" s="280">
        <f>AD686*1.21</f>
        <v/>
      </c>
      <c r="AI686" s="284">
        <f>IF(AE686&lt;&gt;0,AG686/AD686,"N/A")</f>
        <v/>
      </c>
      <c r="AJ686" s="280">
        <f>IF(AC686="pendiente",AD686,0)</f>
        <v/>
      </c>
      <c r="AK686" s="278">
        <f>VLOOKUP(G686,CLIENTES!B:D,3,FALSE)</f>
        <v/>
      </c>
    </row>
    <row r="687" ht="15" customFormat="1" customHeight="1" s="278">
      <c r="B687" s="279" t="n"/>
      <c r="C687" s="278" t="inlineStr">
        <is>
          <t>c/ Las Cruzadas 3A, local D</t>
        </is>
      </c>
      <c r="D687" s="278" t="inlineStr">
        <is>
          <t>Sevilla 41004</t>
        </is>
      </c>
      <c r="E687" s="278" t="inlineStr">
        <is>
          <t>CIF B91938662</t>
        </is>
      </c>
      <c r="F687" s="278" t="inlineStr">
        <is>
          <t>aBalados@abalados.es</t>
        </is>
      </c>
      <c r="G687" s="278" t="inlineStr">
        <is>
          <t>San Pedro Pinatar Renovables, S.L.</t>
        </is>
      </c>
      <c r="H687" s="278">
        <f>VLOOKUP($G687,DATOS!$B:$E,2,FALSE)</f>
        <v/>
      </c>
      <c r="I687" s="278">
        <f>VLOOKUP($G687,DATOS!$B:$E,3,FALSE)</f>
        <v/>
      </c>
      <c r="J687" s="278">
        <f>VLOOKUP($G687,DATOS!$B:$E,4,FALSE)</f>
        <v/>
      </c>
      <c r="K687" s="278" t="inlineStr">
        <is>
          <t>Contrato de Asset Management - Subestación San Pedro</t>
        </is>
      </c>
      <c r="L687" s="280" t="n"/>
      <c r="N687" s="280" t="n"/>
      <c r="O687" s="278" t="inlineStr">
        <is>
          <t>Fee Trimestral - 01Octubre/31Diciembre 2024</t>
        </is>
      </c>
      <c r="P687" s="280">
        <f>3* 1350</f>
        <v/>
      </c>
      <c r="R687" s="280" t="n"/>
      <c r="T687" s="280" t="n"/>
      <c r="V687" s="280" t="n"/>
      <c r="X687" s="280" t="n"/>
      <c r="Z687" s="280" t="n"/>
      <c r="AA687" s="280" t="n"/>
      <c r="AB687" s="402" t="inlineStr">
        <is>
          <t>ES85 2080 3509 1130 4009 6171</t>
        </is>
      </c>
      <c r="AC687" s="278" t="inlineStr">
        <is>
          <t>pendiente</t>
        </is>
      </c>
      <c r="AD687" s="280">
        <f>L687+N687+P687+R687+T687+V687+X687+Z687</f>
        <v/>
      </c>
      <c r="AE687" s="280">
        <f>P687</f>
        <v/>
      </c>
      <c r="AF687" s="281">
        <f>IF(AM687="Explotación",0.05,0.08)</f>
        <v/>
      </c>
      <c r="AG687" s="280">
        <f>AF687*AE687</f>
        <v/>
      </c>
      <c r="AH687" s="280">
        <f>AD687*1.21</f>
        <v/>
      </c>
      <c r="AI687" s="284">
        <f>IF(AE687&lt;&gt;0,AG687/AD687,"N/A")</f>
        <v/>
      </c>
      <c r="AJ687" s="280">
        <f>IF(AC687="pendiente",AD687,0)</f>
        <v/>
      </c>
      <c r="AK687" s="278">
        <f>VLOOKUP(G687,CLIENTES!B:D,3,FALSE)</f>
        <v/>
      </c>
    </row>
    <row r="688" ht="15" customFormat="1" customHeight="1" s="278">
      <c r="B688" s="279" t="n"/>
      <c r="C688" s="278" t="inlineStr">
        <is>
          <t>c/ Las Cruzadas 3A, local D</t>
        </is>
      </c>
      <c r="D688" s="278" t="inlineStr">
        <is>
          <t>Sevilla 41004</t>
        </is>
      </c>
      <c r="E688" s="278" t="inlineStr">
        <is>
          <t>CIF B91938662</t>
        </is>
      </c>
      <c r="F688" s="278" t="inlineStr">
        <is>
          <t>aBalados@abalados.es</t>
        </is>
      </c>
      <c r="G688" s="278" t="inlineStr">
        <is>
          <t>Evacuación Salteras, S.L.</t>
        </is>
      </c>
      <c r="H688" s="278">
        <f>VLOOKUP($G688,DATOS!$B:$E,2,FALSE)</f>
        <v/>
      </c>
      <c r="I688" s="278">
        <f>VLOOKUP($G688,DATOS!$B:$E,3,FALSE)</f>
        <v/>
      </c>
      <c r="J688" s="278">
        <f>VLOOKUP($G688,DATOS!$B:$E,4,FALSE)</f>
        <v/>
      </c>
      <c r="K688" s="278" t="inlineStr">
        <is>
          <t>Contrato de Asset Management - Subestación Campofrío</t>
        </is>
      </c>
      <c r="L688" s="280" t="n"/>
      <c r="N688" s="280" t="n"/>
      <c r="O688" s="278" t="inlineStr">
        <is>
          <t>Fee Trimestral - 01Octubre/31Diciembre 2024</t>
        </is>
      </c>
      <c r="P688" s="280">
        <f>2* 1350  +  1350*(11/31)+2825*(20/31)</f>
        <v/>
      </c>
      <c r="Q688" s="278" t="inlineStr">
        <is>
          <t>Fee aplicable PreCod (1.350€/mes): 1 Octubre - 11 Diciembre 2024</t>
        </is>
      </c>
      <c r="S688" s="278" t="inlineStr">
        <is>
          <t>Fee aplicable Explotación (2.825€/mes): 12 Diciembre - 31 Diciembre 2024</t>
        </is>
      </c>
      <c r="Z688" s="280" t="n"/>
      <c r="AA688" s="280" t="n"/>
      <c r="AB688" s="402" t="inlineStr">
        <is>
          <t>ES85 2080 3509 1130 4009 6171</t>
        </is>
      </c>
      <c r="AC688" s="278" t="inlineStr">
        <is>
          <t>pendiente</t>
        </is>
      </c>
      <c r="AD688" s="280">
        <f>L688+N688+P688+R688+T688+V688+X688+Z688</f>
        <v/>
      </c>
      <c r="AE688" s="280">
        <f>P688</f>
        <v/>
      </c>
      <c r="AF688" s="281">
        <f>IF(AM688="Explotación",0.05,0.08)</f>
        <v/>
      </c>
      <c r="AG688" s="280">
        <f>AF688*AE688</f>
        <v/>
      </c>
      <c r="AH688" s="280">
        <f>AD688*1.21</f>
        <v/>
      </c>
      <c r="AI688" s="284">
        <f>IF(AE688&lt;&gt;0,AG688/AD688,"N/A")</f>
        <v/>
      </c>
      <c r="AJ688" s="280">
        <f>IF(AC688="pendiente",AD688,0)</f>
        <v/>
      </c>
      <c r="AK688" s="278">
        <f>VLOOKUP(G688,CLIENTES!B:D,3,FALSE)</f>
        <v/>
      </c>
    </row>
    <row r="689" ht="15" customFormat="1" customHeight="1" s="278">
      <c r="B689" s="279" t="n"/>
      <c r="C689" s="278" t="inlineStr">
        <is>
          <t>c/ Las Cruzadas 3A, local D</t>
        </is>
      </c>
      <c r="D689" s="278" t="inlineStr">
        <is>
          <t>Sevilla 41004</t>
        </is>
      </c>
      <c r="E689" s="278" t="inlineStr">
        <is>
          <t>CIF B91938662</t>
        </is>
      </c>
      <c r="F689" s="278" t="inlineStr">
        <is>
          <t>aBalados@abalados.es</t>
        </is>
      </c>
      <c r="G689" s="278" t="inlineStr">
        <is>
          <t>Tordesillas T2Prima 132kV, S.L.</t>
        </is>
      </c>
      <c r="H689" s="278">
        <f>VLOOKUP($G689,DATOS!$B:$E,2,FALSE)</f>
        <v/>
      </c>
      <c r="I689" s="278">
        <f>VLOOKUP($G689,DATOS!$B:$E,3,FALSE)</f>
        <v/>
      </c>
      <c r="J689" s="278">
        <f>VLOOKUP($G689,DATOS!$B:$E,4,FALSE)</f>
        <v/>
      </c>
      <c r="K689" s="278" t="inlineStr">
        <is>
          <t>Contrato de Asset Management - Subestación T2Prima</t>
        </is>
      </c>
      <c r="L689" s="280" t="n"/>
      <c r="N689" s="280" t="n"/>
      <c r="O689" s="278" t="inlineStr">
        <is>
          <t>Fee Trimestral - 01Octubre/31Diciembre 2024</t>
        </is>
      </c>
      <c r="P689" s="280">
        <f>3* 1350</f>
        <v/>
      </c>
      <c r="R689" s="280" t="n"/>
      <c r="T689" s="280" t="n"/>
      <c r="V689" s="280" t="n"/>
      <c r="X689" s="280" t="n"/>
      <c r="Z689" s="280" t="n"/>
      <c r="AA689" s="280" t="n"/>
      <c r="AB689" s="402" t="inlineStr">
        <is>
          <t>ES85 2080 3509 1130 4009 6171</t>
        </is>
      </c>
      <c r="AC689" s="278" t="inlineStr">
        <is>
          <t>pendiente</t>
        </is>
      </c>
      <c r="AD689" s="280">
        <f>L689+N689+P689+R689+T689+V689+X689+Z689</f>
        <v/>
      </c>
      <c r="AE689" s="280">
        <f>P689</f>
        <v/>
      </c>
      <c r="AF689" s="281">
        <f>IF(AM689="Explotación",0.05,0.08)</f>
        <v/>
      </c>
      <c r="AG689" s="280">
        <f>AF689*AE689</f>
        <v/>
      </c>
      <c r="AH689" s="280">
        <f>AD689*1.21</f>
        <v/>
      </c>
      <c r="AI689" s="284">
        <f>IF(AE689&lt;&gt;0,AG689/AD689,"N/A")</f>
        <v/>
      </c>
      <c r="AJ689" s="280">
        <f>IF(AC689="pendiente",AD689,0)</f>
        <v/>
      </c>
      <c r="AK689" s="278">
        <f>VLOOKUP(G689,CLIENTES!B:D,3,FALSE)</f>
        <v/>
      </c>
    </row>
    <row r="690" ht="15" customFormat="1" customHeight="1" s="278">
      <c r="B690" s="279" t="n"/>
      <c r="C690" s="278" t="inlineStr">
        <is>
          <t>c/ Las Cruzadas 3A, local D</t>
        </is>
      </c>
      <c r="D690" s="278" t="inlineStr">
        <is>
          <t>Sevilla 41004</t>
        </is>
      </c>
      <c r="E690" s="278" t="inlineStr">
        <is>
          <t>CIF B91938662</t>
        </is>
      </c>
      <c r="F690" s="278" t="inlineStr">
        <is>
          <t>aBalados@abalados.es</t>
        </is>
      </c>
      <c r="G690" s="278" t="inlineStr">
        <is>
          <t>Energías Renovables El Canto, S.L.</t>
        </is>
      </c>
      <c r="H690" s="278">
        <f>VLOOKUP($G690,DATOS!$B:$E,2,FALSE)</f>
        <v/>
      </c>
      <c r="I690" s="278">
        <f>VLOOKUP($G690,DATOS!$B:$E,3,FALSE)</f>
        <v/>
      </c>
      <c r="J690" s="278">
        <f>VLOOKUP($G690,DATOS!$B:$E,4,FALSE)</f>
        <v/>
      </c>
      <c r="K690" s="278" t="inlineStr">
        <is>
          <t>Contrato de Asset Management - Subestación El Canto</t>
        </is>
      </c>
      <c r="L690" s="280" t="n"/>
      <c r="N690" s="280" t="n"/>
      <c r="O690" s="278" t="inlineStr">
        <is>
          <t>Fee Trimestral - 01Octubre/31Diciembre 2024</t>
        </is>
      </c>
      <c r="P690" s="280">
        <f>3* 1350</f>
        <v/>
      </c>
      <c r="R690" s="280" t="n"/>
      <c r="T690" s="280" t="n"/>
      <c r="V690" s="280" t="n"/>
      <c r="X690" s="280" t="n"/>
      <c r="Z690" s="280" t="n"/>
      <c r="AA690" s="280" t="n"/>
      <c r="AB690" s="402" t="inlineStr">
        <is>
          <t>ES85 2080 3509 1130 4009 6171</t>
        </is>
      </c>
      <c r="AC690" s="278" t="inlineStr">
        <is>
          <t>pendiente</t>
        </is>
      </c>
      <c r="AD690" s="280">
        <f>L690+N690+P690+R690+T690+V690+X690+Z690</f>
        <v/>
      </c>
      <c r="AE690" s="280">
        <f>P690</f>
        <v/>
      </c>
      <c r="AF690" s="281">
        <f>IF(AM690="Explotación",0.05,0.08)</f>
        <v/>
      </c>
      <c r="AG690" s="280">
        <f>AF690*AE690</f>
        <v/>
      </c>
      <c r="AH690" s="280">
        <f>AD690*1.21</f>
        <v/>
      </c>
      <c r="AI690" s="284">
        <f>IF(AE690&lt;&gt;0,AG690/AD690,"N/A")</f>
        <v/>
      </c>
      <c r="AJ690" s="280">
        <f>IF(AC690="pendiente",AD690,0)</f>
        <v/>
      </c>
      <c r="AK690" s="278">
        <f>VLOOKUP(G690,CLIENTES!B:D,3,FALSE)</f>
        <v/>
      </c>
    </row>
    <row r="691" ht="15" customFormat="1" customHeight="1" s="278">
      <c r="B691" s="279" t="n"/>
      <c r="C691" s="278" t="inlineStr">
        <is>
          <t>c/ Las Cruzadas 3A, local D</t>
        </is>
      </c>
      <c r="D691" s="278" t="inlineStr">
        <is>
          <t>Sevilla 41004</t>
        </is>
      </c>
      <c r="E691" s="278" t="inlineStr">
        <is>
          <t>CIF B91938662</t>
        </is>
      </c>
      <c r="F691" s="278" t="inlineStr">
        <is>
          <t>aBalados@abalados.es</t>
        </is>
      </c>
      <c r="G691" s="278" t="inlineStr">
        <is>
          <t>ICE Andújar, S.L.</t>
        </is>
      </c>
      <c r="H691" s="278">
        <f>VLOOKUP($G691,DATOS!$B:$E,2,FALSE)</f>
        <v/>
      </c>
      <c r="I691" s="278">
        <f>VLOOKUP($G691,DATOS!$B:$E,3,FALSE)</f>
        <v/>
      </c>
      <c r="J691" s="278">
        <f>VLOOKUP($G691,DATOS!$B:$E,4,FALSE)</f>
        <v/>
      </c>
      <c r="K691" s="278" t="inlineStr">
        <is>
          <t>Contrato de Asset Management - Subestación Andújar</t>
        </is>
      </c>
      <c r="L691" s="280" t="n"/>
      <c r="N691" s="280" t="n"/>
      <c r="O691" s="278" t="inlineStr">
        <is>
          <t>Fee Trimestral - Inicio contrato (11Julio 2024) / 31Diciembre 2024</t>
        </is>
      </c>
      <c r="P691" s="280">
        <f>1350*(21/31) + 5* 1350</f>
        <v/>
      </c>
      <c r="R691" s="280" t="n"/>
      <c r="T691" s="280" t="n"/>
      <c r="V691" s="280" t="n"/>
      <c r="X691" s="280" t="n"/>
      <c r="Z691" s="280" t="n"/>
      <c r="AA691" s="280" t="n"/>
      <c r="AB691" s="402" t="inlineStr">
        <is>
          <t>ES85 2080 3509 1130 4009 6171</t>
        </is>
      </c>
      <c r="AC691" s="278" t="inlineStr">
        <is>
          <t>pendiente</t>
        </is>
      </c>
      <c r="AD691" s="280">
        <f>L691+N691+P691+R691+T691+V691+X691+Z691</f>
        <v/>
      </c>
      <c r="AE691" s="280">
        <f>P691</f>
        <v/>
      </c>
      <c r="AF691" s="281">
        <f>IF(AM691="Explotación",0.05,0.08)</f>
        <v/>
      </c>
      <c r="AG691" s="280">
        <f>AF691*AE691</f>
        <v/>
      </c>
      <c r="AH691" s="280">
        <f>AD691*1.21</f>
        <v/>
      </c>
      <c r="AI691" s="284">
        <f>IF(AE691&lt;&gt;0,AG691/AD691,"N/A")</f>
        <v/>
      </c>
      <c r="AJ691" s="280">
        <f>IF(AC691="pendiente",AD691,0)</f>
        <v/>
      </c>
      <c r="AK691" s="278">
        <f>VLOOKUP(G691,CLIENTES!B:D,3,FALSE)</f>
        <v/>
      </c>
    </row>
    <row r="692" ht="15" customFormat="1" customHeight="1" s="278" thickBot="1">
      <c r="B692" s="279" t="n"/>
      <c r="C692" s="278" t="inlineStr">
        <is>
          <t>c/ Las Cruzadas 3A, local D</t>
        </is>
      </c>
      <c r="D692" s="278" t="inlineStr">
        <is>
          <t>Sevilla 41004</t>
        </is>
      </c>
      <c r="E692" s="278" t="inlineStr">
        <is>
          <t>CIF B91938662</t>
        </is>
      </c>
      <c r="F692" s="278" t="inlineStr">
        <is>
          <t>aBalados@abalados.es</t>
        </is>
      </c>
      <c r="G692" s="278" t="inlineStr">
        <is>
          <t>Promotores Albatarrec 220 kV, S.L.</t>
        </is>
      </c>
      <c r="H692" s="278">
        <f>VLOOKUP($G692,DATOS!$B:$E,2,FALSE)</f>
        <v/>
      </c>
      <c r="I692" s="278">
        <f>VLOOKUP($G692,DATOS!$B:$E,3,FALSE)</f>
        <v/>
      </c>
      <c r="J692" s="278">
        <f>VLOOKUP($G692,DATOS!$B:$E,4,FALSE)</f>
        <v/>
      </c>
      <c r="K692" s="278" t="inlineStr">
        <is>
          <t>Contrato de Asset Management - Subestación Seros</t>
        </is>
      </c>
      <c r="L692" s="280" t="n"/>
      <c r="N692" s="280" t="n"/>
      <c r="O692" s="278" t="inlineStr">
        <is>
          <t>Fee Trimestral - Inicio contrato (17Septiembre 2024) / 31Diciembre 2024</t>
        </is>
      </c>
      <c r="P692" s="280">
        <f>1350*(14/30) + 3* 1350</f>
        <v/>
      </c>
      <c r="R692" s="280" t="n"/>
      <c r="T692" s="280" t="n"/>
      <c r="V692" s="280" t="n"/>
      <c r="X692" s="280" t="n"/>
      <c r="Z692" s="280" t="n"/>
      <c r="AA692" s="280" t="n"/>
      <c r="AB692" s="402" t="inlineStr">
        <is>
          <t>ES85 2080 3509 1130 4009 6171</t>
        </is>
      </c>
      <c r="AC692" s="278" t="inlineStr">
        <is>
          <t>pendiente</t>
        </is>
      </c>
      <c r="AD692" s="280">
        <f>L692+N692+P692+R692+T692+V692+X692+Z692</f>
        <v/>
      </c>
      <c r="AE692" s="280">
        <f>P692</f>
        <v/>
      </c>
      <c r="AF692" s="281">
        <f>IF(AM692="Explotación",0.05,0.08)</f>
        <v/>
      </c>
      <c r="AG692" s="280">
        <f>AF692*AE692</f>
        <v/>
      </c>
      <c r="AH692" s="280">
        <f>AD692*1.21</f>
        <v/>
      </c>
      <c r="AI692" s="284">
        <f>IF(AE692&lt;&gt;0,AG692/AD692,"N/A")</f>
        <v/>
      </c>
      <c r="AJ692" s="280">
        <f>IF(AC692="pendiente",AD692,0)</f>
        <v/>
      </c>
      <c r="AK692" s="278">
        <f>VLOOKUP(G692,CLIENTES!B:D,3,FALSE)</f>
        <v/>
      </c>
    </row>
    <row r="693" ht="15" customFormat="1" customHeight="1" s="409">
      <c r="B693" s="410" t="n"/>
      <c r="C693" s="409" t="inlineStr">
        <is>
          <t>c/ Las Cruzadas 3A, local D</t>
        </is>
      </c>
      <c r="D693" s="409" t="inlineStr">
        <is>
          <t>Sevilla 41004</t>
        </is>
      </c>
      <c r="E693" s="409" t="inlineStr">
        <is>
          <t>CIF B91938662</t>
        </is>
      </c>
      <c r="F693" s="409" t="inlineStr">
        <is>
          <t>aBalados@abalados.es</t>
        </is>
      </c>
      <c r="G693" s="409" t="inlineStr">
        <is>
          <t>Sun Tol I, S.L.U.</t>
        </is>
      </c>
      <c r="H693" s="409">
        <f>VLOOKUP($G693,DATOS!$B:$E,2,FALSE)</f>
        <v/>
      </c>
      <c r="I693" s="409">
        <f>VLOOKUP($G693,DATOS!$B:$E,3,FALSE)</f>
        <v/>
      </c>
      <c r="J693" s="409">
        <f>VLOOKUP($G693,DATOS!$B:$E,4,FALSE)</f>
        <v/>
      </c>
      <c r="K693" s="409" t="inlineStr">
        <is>
          <t>Legal Services</t>
        </is>
      </c>
      <c r="L693" s="411" t="n"/>
      <c r="M693" s="409" t="inlineStr">
        <is>
          <t>II addendum to PV solar plant development services agreement</t>
        </is>
      </c>
      <c r="N693" s="411" t="n"/>
      <c r="P693" s="411" t="n"/>
      <c r="Q693" s="409" t="inlineStr">
        <is>
          <t>Quarterly fee - July 22nd 2024 (Start of Services) / December 22nd 2024</t>
        </is>
      </c>
      <c r="R693" s="411">
        <f>3040*5</f>
        <v/>
      </c>
      <c r="T693" s="411" t="n"/>
      <c r="V693" s="411" t="n"/>
      <c r="X693" s="411" t="n"/>
      <c r="Z693" s="411" t="n"/>
      <c r="AA693" s="411" t="n"/>
      <c r="AB693" s="412" t="inlineStr">
        <is>
          <t>ES85 2080 3509 1130 4009 6171</t>
        </is>
      </c>
      <c r="AC693" s="409" t="inlineStr">
        <is>
          <t>pendiente</t>
        </is>
      </c>
      <c r="AD693" s="411">
        <f>L693+N693+P693+R693+T693+V693+X693+Z693</f>
        <v/>
      </c>
      <c r="AE693" s="411">
        <f>IF((LEFT(K693,6))="Contab",L693,0)</f>
        <v/>
      </c>
      <c r="AF693" s="413">
        <f>VLOOKUP(G693,CLIENTES!B:E,4,FALSE)</f>
        <v/>
      </c>
      <c r="AG693" s="411">
        <f>AF693*AE693</f>
        <v/>
      </c>
      <c r="AH693" s="411">
        <f>AD693*1.21</f>
        <v/>
      </c>
      <c r="AI693" s="414">
        <f>IF(AE693&lt;&gt;0,AG693/AD693,"N/A")</f>
        <v/>
      </c>
      <c r="AJ693" s="411">
        <f>IF(AC693="pendiente",AD693,0)</f>
        <v/>
      </c>
      <c r="AK693" s="409">
        <f>VLOOKUP(G693,CLIENTES!B:D,3,FALSE)</f>
        <v/>
      </c>
    </row>
    <row r="694" ht="15" customFormat="1" customHeight="1" s="278">
      <c r="B694" s="279" t="n"/>
      <c r="C694" s="278" t="inlineStr">
        <is>
          <t>c/ Las Cruzadas 3A, local D</t>
        </is>
      </c>
      <c r="D694" s="278" t="inlineStr">
        <is>
          <t>Sevilla 41004</t>
        </is>
      </c>
      <c r="E694" s="278" t="inlineStr">
        <is>
          <t>CIF B91938662</t>
        </is>
      </c>
      <c r="F694" s="278" t="inlineStr">
        <is>
          <t>aBalados@abalados.es</t>
        </is>
      </c>
      <c r="G694" s="278" t="inlineStr">
        <is>
          <t>VALCASADO SOLAR, S.L.U.</t>
        </is>
      </c>
      <c r="H694" s="278">
        <f>VLOOKUP($G694,DATOS!$B:$E,2,FALSE)</f>
        <v/>
      </c>
      <c r="I694" s="278">
        <f>VLOOKUP($G694,DATOS!$B:$E,3,FALSE)</f>
        <v/>
      </c>
      <c r="J694" s="278">
        <f>VLOOKUP($G694,DATOS!$B:$E,4,FALSE)</f>
        <v/>
      </c>
      <c r="K694" s="278" t="inlineStr">
        <is>
          <t>Contrato de Asset Management - PSFV Valcasado</t>
        </is>
      </c>
      <c r="L694" s="280" t="n"/>
      <c r="N694" s="280" t="n"/>
      <c r="O694" s="278" t="inlineStr">
        <is>
          <t>Fee Trimestral - Inicio contrato (01Diciembre 2024) / 31Diciembre 2024</t>
        </is>
      </c>
      <c r="P694" s="280">
        <f>28320/12</f>
        <v/>
      </c>
      <c r="R694" s="280" t="n"/>
      <c r="T694" s="280" t="n"/>
      <c r="V694" s="280" t="n"/>
      <c r="X694" s="280" t="n"/>
      <c r="Z694" s="280" t="n"/>
      <c r="AA694" s="280" t="n"/>
      <c r="AB694" s="402" t="inlineStr">
        <is>
          <t>ES85 2080 3509 1130 4009 6171</t>
        </is>
      </c>
      <c r="AC694" s="278" t="inlineStr">
        <is>
          <t>pendiente</t>
        </is>
      </c>
      <c r="AD694" s="280">
        <f>L694+N694+P694+R694+T694+V694+X694+Z694</f>
        <v/>
      </c>
      <c r="AE694" s="280">
        <f>P694</f>
        <v/>
      </c>
      <c r="AF694" s="281">
        <f>IF(AM694="Explotación",0.05,0.08)</f>
        <v/>
      </c>
      <c r="AG694" s="280">
        <f>AF694*AE694</f>
        <v/>
      </c>
      <c r="AH694" s="280">
        <f>AD694*1.21</f>
        <v/>
      </c>
      <c r="AI694" s="284">
        <f>IF(AE694&lt;&gt;0,AG694/AD694,"N/A")</f>
        <v/>
      </c>
      <c r="AJ694" s="280">
        <f>IF(AC694="pendiente",AD694,0)</f>
        <v/>
      </c>
      <c r="AK694" s="278">
        <f>VLOOKUP(G694,CLIENTES!B:D,3,FALSE)</f>
        <v/>
      </c>
    </row>
    <row r="695" ht="15" customFormat="1" customHeight="1" s="415" thickBot="1">
      <c r="B695" s="416" t="n"/>
      <c r="C695" s="415" t="inlineStr">
        <is>
          <t>c/ Las Cruzadas 3A, local D</t>
        </is>
      </c>
      <c r="D695" s="415" t="inlineStr">
        <is>
          <t>Sevilla 41004</t>
        </is>
      </c>
      <c r="E695" s="415" t="inlineStr">
        <is>
          <t>CIF B91938662</t>
        </is>
      </c>
      <c r="F695" s="415" t="inlineStr">
        <is>
          <t>aBalados@abalados.es</t>
        </is>
      </c>
      <c r="G695" s="415" t="inlineStr">
        <is>
          <t>Asociación Molinos de Guadaíra</t>
        </is>
      </c>
      <c r="H695" s="415">
        <f>VLOOKUP($G695,DATOS!$B:$E,2,FALSE)</f>
        <v/>
      </c>
      <c r="I695" s="415">
        <f>VLOOKUP($G695,DATOS!$B:$E,3,FALSE)</f>
        <v/>
      </c>
      <c r="J695" s="415">
        <f>VLOOKUP($G695,DATOS!$B:$E,4,FALSE)</f>
        <v/>
      </c>
      <c r="K695" s="415" t="inlineStr">
        <is>
          <t>Servicios Contabilidad 4T2024</t>
        </is>
      </c>
      <c r="L695" s="417">
        <f>200 + 2* 200*1.024</f>
        <v/>
      </c>
      <c r="M695" s="415" t="inlineStr">
        <is>
          <t>Tasa actualización IPC General (Noviembre 2023 - Noviembre 2024): 2,4%</t>
        </is>
      </c>
      <c r="N695" s="417" t="n"/>
      <c r="O695" s="415" t="inlineStr">
        <is>
          <t>Fecha actualización: 01 Noviembre</t>
        </is>
      </c>
      <c r="P695" s="417" t="n"/>
      <c r="R695" s="417" t="n"/>
      <c r="T695" s="417" t="n"/>
      <c r="V695" s="417" t="n"/>
      <c r="X695" s="417" t="n"/>
      <c r="Z695" s="417" t="n"/>
      <c r="AA695" s="417" t="n"/>
      <c r="AB695" s="418" t="inlineStr">
        <is>
          <t>ES85 2080 3509 1130 4009 6171</t>
        </is>
      </c>
      <c r="AC695" s="415" t="inlineStr">
        <is>
          <t>pendiente</t>
        </is>
      </c>
      <c r="AD695" s="417">
        <f>L695+N695+P695+R695+T695+V695+X695+Z695</f>
        <v/>
      </c>
      <c r="AE695" s="417">
        <f>IF((LEFT(K695,6))="Contab",L695,0)</f>
        <v/>
      </c>
      <c r="AF695" s="419">
        <f>VLOOKUP(G695,CLIENTES!B:E,4,FALSE)</f>
        <v/>
      </c>
      <c r="AG695" s="417">
        <f>AF695*AE695</f>
        <v/>
      </c>
      <c r="AH695" s="417">
        <f>AD695*1.21</f>
        <v/>
      </c>
      <c r="AI695" s="420">
        <f>IF(AE695&lt;&gt;0,AG695/AD695,"N/A")</f>
        <v/>
      </c>
      <c r="AJ695" s="417">
        <f>IF(AC695="pendiente",AD695,0)</f>
        <v/>
      </c>
      <c r="AK695" s="415">
        <f>VLOOKUP(G695,CLIENTES!B:D,3,FALSE)</f>
        <v/>
      </c>
    </row>
    <row r="696" ht="15" customFormat="1" customHeight="1" s="409">
      <c r="B696" s="410" t="n"/>
      <c r="C696" s="409" t="inlineStr">
        <is>
          <t>c/ Las Cruzadas 3A, local D</t>
        </is>
      </c>
      <c r="D696" s="409" t="inlineStr">
        <is>
          <t>Sevilla 41004</t>
        </is>
      </c>
      <c r="E696" s="409" t="inlineStr">
        <is>
          <t>CIF B91938662</t>
        </is>
      </c>
      <c r="F696" s="409" t="inlineStr">
        <is>
          <t>aBalados@abalados.es</t>
        </is>
      </c>
      <c r="G696" s="409" t="inlineStr">
        <is>
          <t>Saja Renovables, S.L.</t>
        </is>
      </c>
      <c r="H696" s="409">
        <f>VLOOKUP($G696,DATOS!$B:$E,2,FALSE)</f>
        <v/>
      </c>
      <c r="I696" s="409">
        <f>VLOOKUP($G696,DATOS!$B:$E,3,FALSE)</f>
        <v/>
      </c>
      <c r="J696" s="409">
        <f>VLOOKUP($G696,DATOS!$B:$E,4,FALSE)</f>
        <v/>
      </c>
      <c r="K696" s="409" t="inlineStr">
        <is>
          <t>Honorarios - Contrato Operación &amp; Mantenimiento</t>
        </is>
      </c>
      <c r="L696" s="411" t="n"/>
      <c r="M696" s="409" t="inlineStr">
        <is>
          <t>Fee Trimestral - 01Octubre/31Diciembre 2024</t>
        </is>
      </c>
      <c r="N696" s="411">
        <f>3*(46575/12)</f>
        <v/>
      </c>
      <c r="P696" s="411" t="n"/>
      <c r="Q696" s="409" t="inlineStr">
        <is>
          <t xml:space="preserve">   · PSFV Atarfe I</t>
        </is>
      </c>
      <c r="R696" s="411" t="n"/>
      <c r="S696" s="409" t="inlineStr">
        <is>
          <t xml:space="preserve">   · PSFV Atarfe V</t>
        </is>
      </c>
      <c r="T696" s="411" t="n"/>
      <c r="U696" s="409" t="inlineStr">
        <is>
          <t xml:space="preserve">   · PSFV Moclin I</t>
        </is>
      </c>
      <c r="V696" s="411" t="n"/>
      <c r="X696" s="411" t="n"/>
      <c r="Z696" s="411" t="n"/>
      <c r="AA696" s="411" t="n"/>
      <c r="AB696" s="412" t="inlineStr">
        <is>
          <t>ES85 2080 3509 1130 4009 6171</t>
        </is>
      </c>
      <c r="AC696" s="409" t="inlineStr">
        <is>
          <t>pendiente</t>
        </is>
      </c>
      <c r="AD696" s="411">
        <f>L696+N696+P696+R696+T696+V696+X696+Z696</f>
        <v/>
      </c>
      <c r="AE696" s="411">
        <f>IF((LEFT(K696,6))="Contab",L696,0)</f>
        <v/>
      </c>
      <c r="AF696" s="413">
        <f>VLOOKUP(G696,CLIENTES!B:E,4,FALSE)</f>
        <v/>
      </c>
      <c r="AG696" s="411">
        <f>AF696*AE696</f>
        <v/>
      </c>
      <c r="AH696" s="411">
        <f>AD696*1.21</f>
        <v/>
      </c>
      <c r="AI696" s="414">
        <f>IF(AE696&lt;&gt;0,AG696/AD696,"N/A")</f>
        <v/>
      </c>
      <c r="AJ696" s="411">
        <f>IF(AC696="pendiente",AD696,0)</f>
        <v/>
      </c>
      <c r="AK696" s="409">
        <f>VLOOKUP(G696,CLIENTES!B:D,3,FALSE)</f>
        <v/>
      </c>
    </row>
    <row r="697" ht="15" customFormat="1" customHeight="1" s="278">
      <c r="B697" s="279" t="n"/>
      <c r="C697" s="278" t="inlineStr">
        <is>
          <t>c/ Las Cruzadas 3A, local D</t>
        </is>
      </c>
      <c r="D697" s="278" t="inlineStr">
        <is>
          <t>Sevilla 41004</t>
        </is>
      </c>
      <c r="E697" s="278" t="inlineStr">
        <is>
          <t>CIF B91938662</t>
        </is>
      </c>
      <c r="F697" s="278" t="inlineStr">
        <is>
          <t>aBalados@abalados.es</t>
        </is>
      </c>
      <c r="G697" s="278" t="inlineStr">
        <is>
          <t>C2C Inver Park, S.L.</t>
        </is>
      </c>
      <c r="H697" s="278">
        <f>VLOOKUP($G697,DATOS!$B:$E,2,FALSE)</f>
        <v/>
      </c>
      <c r="I697" s="278">
        <f>VLOOKUP($G697,DATOS!$B:$E,3,FALSE)</f>
        <v/>
      </c>
      <c r="J697" s="278">
        <f>VLOOKUP($G697,DATOS!$B:$E,4,FALSE)</f>
        <v/>
      </c>
      <c r="K697" s="278" t="inlineStr">
        <is>
          <t>Honorarios - Contrato Operación &amp; Mantenimiento</t>
        </is>
      </c>
      <c r="L697" s="280" t="n"/>
      <c r="M697" s="278" t="inlineStr">
        <is>
          <t>Fee Trimestral - 01Octubre/31Diciembre 2024</t>
        </is>
      </c>
      <c r="N697" s="280">
        <f>3*(25470/12)</f>
        <v/>
      </c>
      <c r="P697" s="280" t="n"/>
      <c r="Q697" s="278" t="inlineStr">
        <is>
          <t xml:space="preserve">   · PSFV C2C Inver Park</t>
        </is>
      </c>
      <c r="R697" s="280" t="n"/>
      <c r="T697" s="280" t="n"/>
      <c r="V697" s="280" t="n"/>
      <c r="X697" s="280" t="n"/>
      <c r="Z697" s="280" t="n"/>
      <c r="AA697" s="280" t="n"/>
      <c r="AB697" s="402" t="inlineStr">
        <is>
          <t>ES85 2080 3509 1130 4009 6171</t>
        </is>
      </c>
      <c r="AC697" s="278" t="inlineStr">
        <is>
          <t>pendiente</t>
        </is>
      </c>
      <c r="AD697" s="280">
        <f>L697+N697+P697+R697+T697+V697+X697+Z697</f>
        <v/>
      </c>
      <c r="AE697" s="280">
        <f>IF((LEFT(K697,6))="Contab",L697,0)</f>
        <v/>
      </c>
      <c r="AF697" s="281">
        <f>VLOOKUP(G697,CLIENTES!B:E,4,FALSE)</f>
        <v/>
      </c>
      <c r="AG697" s="280">
        <f>AF697*AE697</f>
        <v/>
      </c>
      <c r="AH697" s="280">
        <f>AD697*1.21</f>
        <v/>
      </c>
      <c r="AI697" s="284">
        <f>IF(AE697&lt;&gt;0,AG697/AD697,"N/A")</f>
        <v/>
      </c>
      <c r="AJ697" s="280">
        <f>IF(AC697="pendiente",AD697,0)</f>
        <v/>
      </c>
      <c r="AK697" s="278">
        <f>VLOOKUP(G697,CLIENTES!B:D,3,FALSE)</f>
        <v/>
      </c>
    </row>
    <row r="698" ht="15" customFormat="1" customHeight="1" s="415" thickBot="1">
      <c r="B698" s="416" t="n"/>
      <c r="C698" s="415" t="inlineStr">
        <is>
          <t>c/ Las Cruzadas 3A, local D</t>
        </is>
      </c>
      <c r="D698" s="415" t="inlineStr">
        <is>
          <t>Sevilla 41004</t>
        </is>
      </c>
      <c r="E698" s="415" t="inlineStr">
        <is>
          <t>CIF B91938662</t>
        </is>
      </c>
      <c r="F698" s="415" t="inlineStr">
        <is>
          <t>aBalados@abalados.es</t>
        </is>
      </c>
      <c r="G698" s="415" t="inlineStr">
        <is>
          <t>Desarrollos Fotovoltaicos Mas del Bou, S.L.</t>
        </is>
      </c>
      <c r="H698" s="415">
        <f>VLOOKUP($G698,DATOS!$B:$E,2,FALSE)</f>
        <v/>
      </c>
      <c r="I698" s="415">
        <f>VLOOKUP($G698,DATOS!$B:$E,3,FALSE)</f>
        <v/>
      </c>
      <c r="J698" s="415">
        <f>VLOOKUP($G698,DATOS!$B:$E,4,FALSE)</f>
        <v/>
      </c>
      <c r="K698" s="415" t="inlineStr">
        <is>
          <t>Honorarios - Contrato Operación &amp; Mantenimiento</t>
        </is>
      </c>
      <c r="L698" s="417" t="n"/>
      <c r="M698" s="415" t="inlineStr">
        <is>
          <t>Fee Trimestral - 01Octubre/31Diciembre 2024</t>
        </is>
      </c>
      <c r="N698" s="417">
        <f>3*(5186/12)</f>
        <v/>
      </c>
      <c r="P698" s="417" t="n"/>
      <c r="Q698" s="415" t="inlineStr">
        <is>
          <t xml:space="preserve">   · PSFV Cubierta Mas del Bou</t>
        </is>
      </c>
      <c r="R698" s="417" t="n"/>
      <c r="T698" s="417" t="n"/>
      <c r="V698" s="417" t="n"/>
      <c r="X698" s="417" t="n"/>
      <c r="Z698" s="417" t="n"/>
      <c r="AA698" s="417" t="n"/>
      <c r="AB698" s="418" t="inlineStr">
        <is>
          <t>ES85 2080 3509 1130 4009 6171</t>
        </is>
      </c>
      <c r="AC698" s="415" t="inlineStr">
        <is>
          <t>pendiente</t>
        </is>
      </c>
      <c r="AD698" s="417">
        <f>L698+N698+P698+R698+T698+V698+X698+Z698</f>
        <v/>
      </c>
      <c r="AE698" s="417">
        <f>IF((LEFT(K698,6))="Contab",L698,0)</f>
        <v/>
      </c>
      <c r="AF698" s="419">
        <f>VLOOKUP(G698,CLIENTES!B:E,4,FALSE)</f>
        <v/>
      </c>
      <c r="AG698" s="417">
        <f>AF698*AE698</f>
        <v/>
      </c>
      <c r="AH698" s="417">
        <f>AD698*1.21</f>
        <v/>
      </c>
      <c r="AI698" s="420">
        <f>IF(AE698&lt;&gt;0,AG698/AD698,"N/A")</f>
        <v/>
      </c>
      <c r="AJ698" s="417">
        <f>IF(AC698="pendiente",AD698,0)</f>
        <v/>
      </c>
      <c r="AK698" s="415">
        <f>VLOOKUP(G698,CLIENTES!B:D,3,FALSE)</f>
        <v/>
      </c>
    </row>
    <row r="699" ht="15" customFormat="1" customHeight="1" s="278">
      <c r="B699" s="279" t="n"/>
      <c r="C699" s="278" t="inlineStr">
        <is>
          <t>c/ Las Cruzadas 3A, local D</t>
        </is>
      </c>
      <c r="D699" s="278" t="inlineStr">
        <is>
          <t>Sevilla 41004</t>
        </is>
      </c>
      <c r="E699" s="278" t="inlineStr">
        <is>
          <t>CIF B91938662</t>
        </is>
      </c>
      <c r="F699" s="278" t="inlineStr">
        <is>
          <t>aBalados@abalados.es</t>
        </is>
      </c>
      <c r="G699" s="278" t="inlineStr">
        <is>
          <t>Cubillos Renovables, S.L.</t>
        </is>
      </c>
      <c r="H699" s="278">
        <f>VLOOKUP($G699,DATOS!$B:$E,2,FALSE)</f>
        <v/>
      </c>
      <c r="I699" s="278">
        <f>VLOOKUP($G699,DATOS!$B:$E,3,FALSE)</f>
        <v/>
      </c>
      <c r="J699" s="278">
        <f>VLOOKUP($G699,DATOS!$B:$E,4,FALSE)</f>
        <v/>
      </c>
      <c r="K699" s="278" t="inlineStr">
        <is>
          <t>Servicios extraordinarios - Asset Management (subestación Majuelo)</t>
        </is>
      </c>
      <c r="L699" s="280" t="n"/>
      <c r="N699" s="280" t="n"/>
      <c r="O699" s="278" t="inlineStr">
        <is>
          <t>Servicios Jurídicos</t>
        </is>
      </c>
      <c r="P699" s="280" t="n"/>
      <c r="Q699" s="278" t="inlineStr">
        <is>
          <t>Asistencia con el cierre del contrato de Cesión de Uso</t>
        </is>
      </c>
      <c r="R699" s="280" t="n">
        <v>2600</v>
      </c>
      <c r="S699" s="278" t="inlineStr">
        <is>
          <t>Asistencia con el cierre del Reglamento de Explotación</t>
        </is>
      </c>
      <c r="T699" s="280" t="n">
        <v>350</v>
      </c>
      <c r="V699" s="280" t="n"/>
      <c r="X699" s="280" t="n"/>
      <c r="Z699" s="280" t="n"/>
      <c r="AA699" s="280" t="n"/>
      <c r="AB699" s="402" t="inlineStr">
        <is>
          <t>ES85 2080 3509 1130 4009 6171</t>
        </is>
      </c>
      <c r="AC699" s="278" t="inlineStr">
        <is>
          <t>pendiente</t>
        </is>
      </c>
      <c r="AD699" s="280">
        <f>L699+N699+P699+R699+T699+V699+X699+Z699</f>
        <v/>
      </c>
      <c r="AE699" s="280">
        <f>IF((LEFT(K699,6))="Contab",L699,0)</f>
        <v/>
      </c>
      <c r="AF699" s="281">
        <f>IF(AM699="Explotación",0.05,0.08)</f>
        <v/>
      </c>
      <c r="AG699" s="280">
        <f>AF699*AE699</f>
        <v/>
      </c>
      <c r="AH699" s="280">
        <f>AD699*1.21</f>
        <v/>
      </c>
      <c r="AI699" s="284">
        <f>IF(AE699&lt;&gt;0,AG699/AD699,"N/A")</f>
        <v/>
      </c>
      <c r="AJ699" s="280">
        <f>IF(AC699="pendiente",AD699,0)</f>
        <v/>
      </c>
      <c r="AK699" s="278">
        <f>VLOOKUP(G699,CLIENTES!B:D,3,FALSE)</f>
        <v/>
      </c>
    </row>
    <row r="700" ht="15" customFormat="1" customHeight="1" s="278">
      <c r="B700" s="279" t="n"/>
      <c r="C700" s="278" t="inlineStr">
        <is>
          <t>c/ Las Cruzadas 3A, local D</t>
        </is>
      </c>
      <c r="D700" s="278" t="inlineStr">
        <is>
          <t>Sevilla 41004</t>
        </is>
      </c>
      <c r="E700" s="278" t="inlineStr">
        <is>
          <t>CIF B91938662</t>
        </is>
      </c>
      <c r="F700" s="278" t="inlineStr">
        <is>
          <t>aBalados@abalados.es</t>
        </is>
      </c>
      <c r="G700" s="278" t="inlineStr">
        <is>
          <t>Gazules Renovables, S.L.</t>
        </is>
      </c>
      <c r="H700" s="278">
        <f>VLOOKUP($G700,DATOS!$B:$E,2,FALSE)</f>
        <v/>
      </c>
      <c r="I700" s="278">
        <f>VLOOKUP($G700,DATOS!$B:$E,3,FALSE)</f>
        <v/>
      </c>
      <c r="J700" s="278">
        <f>VLOOKUP($G700,DATOS!$B:$E,4,FALSE)</f>
        <v/>
      </c>
      <c r="K700" s="278" t="inlineStr">
        <is>
          <t>Servicios extraordinarios - Asset Management (subestación Gazules)</t>
        </is>
      </c>
      <c r="L700" s="280" t="n"/>
      <c r="N700" s="280" t="n"/>
      <c r="O700" s="278" t="inlineStr">
        <is>
          <t>Servicios Jurídicos</t>
        </is>
      </c>
      <c r="P700" s="280" t="n"/>
      <c r="Q700" s="278" t="inlineStr">
        <is>
          <t>Asistencia con la redacción y cierre del Reglamento de Explotación de las ICE's</t>
        </is>
      </c>
      <c r="R700" s="280" t="n">
        <v>4000</v>
      </c>
      <c r="T700" s="280" t="n"/>
      <c r="V700" s="280" t="n"/>
      <c r="X700" s="280" t="n"/>
      <c r="Z700" s="280" t="n"/>
      <c r="AA700" s="280" t="n"/>
      <c r="AB700" s="402" t="inlineStr">
        <is>
          <t>ES85 2080 3509 1130 4009 6171</t>
        </is>
      </c>
      <c r="AC700" s="278" t="inlineStr">
        <is>
          <t>pendiente</t>
        </is>
      </c>
      <c r="AD700" s="280">
        <f>L700+N700+P700+R700+T700+V700+X700+Z700</f>
        <v/>
      </c>
      <c r="AE700" s="280">
        <f>IF((LEFT(K700,6))="Contab",L700,0)</f>
        <v/>
      </c>
      <c r="AF700" s="281">
        <f>IF(AM700="Explotación",0.05,0.08)</f>
        <v/>
      </c>
      <c r="AG700" s="280">
        <f>AF700*AE700</f>
        <v/>
      </c>
      <c r="AH700" s="280">
        <f>AD700*1.21</f>
        <v/>
      </c>
      <c r="AI700" s="284">
        <f>IF(AE700&lt;&gt;0,AG700/AD700,"N/A")</f>
        <v/>
      </c>
      <c r="AJ700" s="280">
        <f>IF(AC700="pendiente",AD700,0)</f>
        <v/>
      </c>
      <c r="AK700" s="278">
        <f>VLOOKUP(G700,CLIENTES!B:D,3,FALSE)</f>
        <v/>
      </c>
    </row>
    <row r="701" ht="15" customFormat="1" customHeight="1" s="278">
      <c r="B701" s="279" t="n"/>
      <c r="C701" s="278" t="inlineStr">
        <is>
          <t>c/ Las Cruzadas 3A, local D</t>
        </is>
      </c>
      <c r="D701" s="278" t="inlineStr">
        <is>
          <t>Sevilla 41004</t>
        </is>
      </c>
      <c r="E701" s="278" t="inlineStr">
        <is>
          <t>CIF B91938662</t>
        </is>
      </c>
      <c r="F701" s="278" t="inlineStr">
        <is>
          <t>aBalados@abalados.es</t>
        </is>
      </c>
      <c r="G701" s="278" t="inlineStr">
        <is>
          <t>Energías Renovables El Canto, S.L.</t>
        </is>
      </c>
      <c r="H701" s="278">
        <f>VLOOKUP($G701,DATOS!$B:$E,2,FALSE)</f>
        <v/>
      </c>
      <c r="I701" s="278">
        <f>VLOOKUP($G701,DATOS!$B:$E,3,FALSE)</f>
        <v/>
      </c>
      <c r="J701" s="278">
        <f>VLOOKUP($G701,DATOS!$B:$E,4,FALSE)</f>
        <v/>
      </c>
      <c r="K701" s="278" t="inlineStr">
        <is>
          <t>Servicios extraordinarios - Asset Management (subestación El Canto)</t>
        </is>
      </c>
      <c r="L701" s="280" t="n"/>
      <c r="N701" s="280" t="n"/>
      <c r="O701" s="278" t="inlineStr">
        <is>
          <t>Servicios Jurídicos</t>
        </is>
      </c>
      <c r="P701" s="280" t="n"/>
      <c r="Q701" s="278" t="inlineStr">
        <is>
          <t>Asistencia con la constitución de la mercantil hasta inscripción en el RM correspondiente</t>
        </is>
      </c>
      <c r="R701" s="280" t="n">
        <v>925</v>
      </c>
      <c r="T701" s="280" t="n"/>
      <c r="V701" s="280" t="n"/>
      <c r="X701" s="280" t="n"/>
      <c r="Z701" s="280" t="n"/>
      <c r="AA701" s="280" t="n"/>
      <c r="AB701" s="402" t="inlineStr">
        <is>
          <t>ES85 2080 3509 1130 4009 6171</t>
        </is>
      </c>
      <c r="AC701" s="278" t="inlineStr">
        <is>
          <t>pendiente</t>
        </is>
      </c>
      <c r="AD701" s="280">
        <f>L701+N701+P701+R701+T701+V701+X701+Z701</f>
        <v/>
      </c>
      <c r="AE701" s="280">
        <f>IF((LEFT(K701,6))="Contab",L701,0)</f>
        <v/>
      </c>
      <c r="AF701" s="281">
        <f>IF(AM701="Explotación",0.05,0.08)</f>
        <v/>
      </c>
      <c r="AG701" s="280">
        <f>AF701*AE701</f>
        <v/>
      </c>
      <c r="AH701" s="280">
        <f>AD701*1.21</f>
        <v/>
      </c>
      <c r="AI701" s="284">
        <f>IF(AE701&lt;&gt;0,AG701/AD701,"N/A")</f>
        <v/>
      </c>
      <c r="AJ701" s="280">
        <f>IF(AC701="pendiente",AD701,0)</f>
        <v/>
      </c>
      <c r="AK701" s="278">
        <f>VLOOKUP(G701,CLIENTES!B:D,3,FALSE)</f>
        <v/>
      </c>
    </row>
    <row r="702" ht="15" customFormat="1" customHeight="1" s="278">
      <c r="B702" s="279" t="n"/>
      <c r="C702" s="278" t="inlineStr">
        <is>
          <t>c/ Las Cruzadas 3A, local D</t>
        </is>
      </c>
      <c r="D702" s="278" t="inlineStr">
        <is>
          <t>Sevilla 41004</t>
        </is>
      </c>
      <c r="E702" s="278" t="inlineStr">
        <is>
          <t>CIF B91938662</t>
        </is>
      </c>
      <c r="F702" s="278" t="inlineStr">
        <is>
          <t>aBalados@abalados.es</t>
        </is>
      </c>
      <c r="G702" s="399" t="inlineStr">
        <is>
          <t>ENEL GREEN POWER ESPAÑA, S.L.</t>
        </is>
      </c>
      <c r="H702" s="278">
        <f>VLOOKUP($G702,DATOS!$B:$E,2,FALSE)</f>
        <v/>
      </c>
      <c r="I702" s="278">
        <f>VLOOKUP($G702,DATOS!$B:$E,3,FALSE)</f>
        <v/>
      </c>
      <c r="J702" s="278">
        <f>VLOOKUP($G702,DATOS!$B:$E,4,FALSE)</f>
        <v/>
      </c>
      <c r="K702" s="278" t="inlineStr">
        <is>
          <t>Servicios extraordinarios - Asistencia Legal</t>
        </is>
      </c>
      <c r="L702" s="280" t="n"/>
      <c r="N702" s="280" t="n"/>
      <c r="O702" s="278" t="inlineStr">
        <is>
          <t>Asistencia con la adecuación y cierre de los contratos de Cesión de Uso</t>
        </is>
      </c>
      <c r="P702" s="280" t="n">
        <v>1360</v>
      </c>
      <c r="Q702" s="278" t="inlineStr">
        <is>
          <t>Entre los "Socios ENEL" y Renovables Brovales 400 kV, S.L.</t>
        </is>
      </c>
      <c r="R702" s="280" t="n"/>
      <c r="T702" s="280" t="n"/>
      <c r="V702" s="280" t="n"/>
      <c r="X702" s="280" t="n"/>
      <c r="Z702" s="280" t="n"/>
      <c r="AA702" s="280" t="n"/>
      <c r="AB702" s="402" t="inlineStr">
        <is>
          <t>ES85 2080 3509 1130 4009 6171</t>
        </is>
      </c>
      <c r="AC702" s="278" t="inlineStr">
        <is>
          <t>pendiente</t>
        </is>
      </c>
      <c r="AD702" s="280">
        <f>L702+N702+P702+R702+T702+V702+X702+Z702</f>
        <v/>
      </c>
      <c r="AE702" s="280">
        <f>IF((LEFT(K702,6))="Contab",L702,0)</f>
        <v/>
      </c>
      <c r="AF702" s="281">
        <f>IF(AM702="Explotación",0.05,0.08)</f>
        <v/>
      </c>
      <c r="AG702" s="280">
        <f>AF702*AE702</f>
        <v/>
      </c>
      <c r="AH702" s="280">
        <f>AD702*1.21</f>
        <v/>
      </c>
      <c r="AI702" s="284">
        <f>IF(AE702&lt;&gt;0,AG702/AD702,"N/A")</f>
        <v/>
      </c>
      <c r="AJ702" s="280">
        <f>IF(AC702="pendiente",AD702,0)</f>
        <v/>
      </c>
      <c r="AK702" s="278">
        <f>VLOOKUP(G702,CLIENTES!B:D,3,FALSE)</f>
        <v/>
      </c>
    </row>
    <row r="703" ht="15" customFormat="1" customHeight="1" s="278">
      <c r="B703" s="279" t="n"/>
      <c r="C703" s="278" t="inlineStr">
        <is>
          <t>c/ Las Cruzadas 3A, local D</t>
        </is>
      </c>
      <c r="D703" s="278" t="inlineStr">
        <is>
          <t>Sevilla 41004</t>
        </is>
      </c>
      <c r="E703" s="278" t="inlineStr">
        <is>
          <t>CIF B91938662</t>
        </is>
      </c>
      <c r="F703" s="278" t="inlineStr">
        <is>
          <t>aBalados@abalados.es</t>
        </is>
      </c>
      <c r="G703" s="278" t="inlineStr">
        <is>
          <t>SET Carmona 400 kV Renovables, S.L.</t>
        </is>
      </c>
      <c r="H703" s="278">
        <f>VLOOKUP($G703,DATOS!$B:$E,2,FALSE)</f>
        <v/>
      </c>
      <c r="I703" s="278">
        <f>VLOOKUP($G703,DATOS!$B:$E,3,FALSE)</f>
        <v/>
      </c>
      <c r="J703" s="278">
        <f>VLOOKUP($G703,DATOS!$B:$E,4,FALSE)</f>
        <v/>
      </c>
      <c r="K703" s="278" t="inlineStr">
        <is>
          <t>Servicios extraordinarios - Asset Management (subestación Carmona400)</t>
        </is>
      </c>
      <c r="L703" s="280" t="n"/>
      <c r="N703" s="280" t="n"/>
      <c r="O703" s="278" t="inlineStr">
        <is>
          <t>Asistencia presencial para facilitar acceso a SET ante ausencia de O&amp;M - 18/12/24</t>
        </is>
      </c>
      <c r="P703" s="280" t="n">
        <v>810</v>
      </c>
      <c r="R703" s="280" t="n"/>
      <c r="T703" s="280" t="n"/>
      <c r="V703" s="280" t="n"/>
      <c r="X703" s="280" t="n"/>
      <c r="Z703" s="280" t="n"/>
      <c r="AA703" s="280" t="n"/>
      <c r="AB703" s="402" t="inlineStr">
        <is>
          <t>ES85 2080 3509 1130 4009 6171</t>
        </is>
      </c>
      <c r="AC703" s="278" t="inlineStr">
        <is>
          <t>pendiente</t>
        </is>
      </c>
      <c r="AD703" s="280">
        <f>L703+N703+P703+R703+T703+V703+X703+Z703</f>
        <v/>
      </c>
      <c r="AE703" s="280">
        <f>IF((LEFT(K703,6))="Contab",L703,0)</f>
        <v/>
      </c>
      <c r="AF703" s="281">
        <f>IF(AM703="Explotación",0.05,0.08)</f>
        <v/>
      </c>
      <c r="AG703" s="280">
        <f>AF703*AE703</f>
        <v/>
      </c>
      <c r="AH703" s="280">
        <f>AD703*1.21</f>
        <v/>
      </c>
      <c r="AI703" s="284">
        <f>IF(AE703&lt;&gt;0,AG703/AD703,"N/A")</f>
        <v/>
      </c>
      <c r="AJ703" s="280">
        <f>IF(AC703="pendiente",AD703,0)</f>
        <v/>
      </c>
      <c r="AK703" s="278">
        <f>VLOOKUP(G703,CLIENTES!B:D,3,FALSE)</f>
        <v/>
      </c>
    </row>
    <row r="704" ht="15" customFormat="1" customHeight="1" s="278">
      <c r="B704" s="279" t="n"/>
      <c r="C704" s="278" t="inlineStr">
        <is>
          <t>c/ Las Cruzadas 3A, local D</t>
        </is>
      </c>
      <c r="D704" s="278" t="inlineStr">
        <is>
          <t>Sevilla 41004</t>
        </is>
      </c>
      <c r="E704" s="278" t="inlineStr">
        <is>
          <t>CIF B91938662</t>
        </is>
      </c>
      <c r="F704" s="278" t="inlineStr">
        <is>
          <t>aBalados@abalados.es</t>
        </is>
      </c>
      <c r="G704" s="278" t="inlineStr">
        <is>
          <t>Escatrón Promotores 400 y 220, S.L.</t>
        </is>
      </c>
      <c r="H704" s="278">
        <f>VLOOKUP($G704,DATOS!$B:$E,2,FALSE)</f>
        <v/>
      </c>
      <c r="I704" s="278">
        <f>VLOOKUP($G704,DATOS!$B:$E,3,FALSE)</f>
        <v/>
      </c>
      <c r="J704" s="278">
        <f>VLOOKUP($G704,DATOS!$B:$E,4,FALSE)</f>
        <v/>
      </c>
      <c r="K704" s="278" t="inlineStr">
        <is>
          <t>Servicios extraordinarios - Asset Management (subestación Escatrón)</t>
        </is>
      </c>
      <c r="L704" s="280" t="n"/>
      <c r="N704" s="280" t="n"/>
      <c r="O704" s="278" t="inlineStr">
        <is>
          <t>Contract Manager - Asesoramiento sobre Contrato EPC</t>
        </is>
      </c>
      <c r="P704" s="280" t="n"/>
      <c r="Q704" s="278" t="inlineStr">
        <is>
          <t>Fee Trimestral - 01Octubre/31Diciembre 2024</t>
        </is>
      </c>
      <c r="R704" s="280" t="n">
        <v>1330</v>
      </c>
      <c r="T704" s="280" t="n"/>
      <c r="V704" s="280" t="n"/>
      <c r="X704" s="280" t="n"/>
      <c r="Z704" s="280" t="n"/>
      <c r="AA704" s="280" t="n"/>
      <c r="AB704" s="402" t="inlineStr">
        <is>
          <t>ES85 2080 3509 1130 4009 6171</t>
        </is>
      </c>
      <c r="AC704" s="278" t="inlineStr">
        <is>
          <t>pendiente</t>
        </is>
      </c>
      <c r="AD704" s="280">
        <f>L704+N704+P704+R704+T704+V704+X704+Z704</f>
        <v/>
      </c>
      <c r="AE704" s="280">
        <f>IF((LEFT(K704,6))="Contab",L704,0)</f>
        <v/>
      </c>
      <c r="AF704" s="281">
        <f>VLOOKUP(G704,CLIENTES!B:E,4,FALSE)</f>
        <v/>
      </c>
      <c r="AG704" s="280">
        <f>AF704*AE704</f>
        <v/>
      </c>
      <c r="AH704" s="280">
        <f>AD704*1.21</f>
        <v/>
      </c>
      <c r="AI704" s="284">
        <f>IF(AE704&lt;&gt;0,AG704/AD704,"N/A")</f>
        <v/>
      </c>
      <c r="AJ704" s="280">
        <f>IF(AC704="pendiente",AD704,0)</f>
        <v/>
      </c>
      <c r="AK704" s="278">
        <f>VLOOKUP(G704,CLIENTES!B:D,3,FALSE)</f>
        <v/>
      </c>
    </row>
    <row r="705" ht="15" customFormat="1" customHeight="1" s="278" thickBot="1">
      <c r="B705" s="279" t="n"/>
      <c r="C705" s="278" t="inlineStr">
        <is>
          <t>c/ Las Cruzadas 3A, local D</t>
        </is>
      </c>
      <c r="D705" s="278" t="inlineStr">
        <is>
          <t>Sevilla 41004</t>
        </is>
      </c>
      <c r="E705" s="278" t="inlineStr">
        <is>
          <t>CIF B91938662</t>
        </is>
      </c>
      <c r="F705" s="278" t="inlineStr">
        <is>
          <t>aBalados@abalados.es</t>
        </is>
      </c>
      <c r="G705" s="278" t="inlineStr">
        <is>
          <t>Grijota Renovables, S.L.</t>
        </is>
      </c>
      <c r="H705" s="278">
        <f>VLOOKUP($G705,DATOS!$B:$E,2,FALSE)</f>
        <v/>
      </c>
      <c r="I705" s="278">
        <f>VLOOKUP($G705,DATOS!$B:$E,3,FALSE)</f>
        <v/>
      </c>
      <c r="J705" s="278">
        <f>VLOOKUP($G705,DATOS!$B:$E,4,FALSE)</f>
        <v/>
      </c>
      <c r="K705" s="278" t="inlineStr">
        <is>
          <t>Servicios extraordinarios - Asset Management (subestación Grijota)</t>
        </is>
      </c>
      <c r="L705" s="280" t="n"/>
      <c r="N705" s="280" t="n"/>
      <c r="O705" s="278" t="inlineStr">
        <is>
          <t>Contract Manager - Asesoramiento sobre Contrato EPC/Trafo</t>
        </is>
      </c>
      <c r="P705" s="280" t="n"/>
      <c r="Q705" s="278" t="inlineStr">
        <is>
          <t>Fee Trimestral - 01Octubre/31Diciembre 2024</t>
        </is>
      </c>
      <c r="R705" s="280" t="n">
        <v>1267</v>
      </c>
      <c r="T705" s="280" t="n"/>
      <c r="V705" s="280" t="n"/>
      <c r="X705" s="280" t="n"/>
      <c r="Z705" s="280" t="n"/>
      <c r="AA705" s="280" t="n"/>
      <c r="AB705" s="402" t="inlineStr">
        <is>
          <t>ES85 2080 3509 1130 4009 6171</t>
        </is>
      </c>
      <c r="AC705" s="278" t="inlineStr">
        <is>
          <t>pendiente</t>
        </is>
      </c>
      <c r="AD705" s="280">
        <f>L705+N705+P705+R705+T705+V705+X705+Z705</f>
        <v/>
      </c>
      <c r="AE705" s="280">
        <f>IF((LEFT(K705,6))="Contab",L705,0)</f>
        <v/>
      </c>
      <c r="AF705" s="281">
        <f>VLOOKUP(G705,CLIENTES!B:E,4,FALSE)</f>
        <v/>
      </c>
      <c r="AG705" s="280">
        <f>AF705*AE705</f>
        <v/>
      </c>
      <c r="AH705" s="280">
        <f>AD705*1.21</f>
        <v/>
      </c>
      <c r="AI705" s="284">
        <f>IF(AE705&lt;&gt;0,AG705/AD705,"N/A")</f>
        <v/>
      </c>
      <c r="AJ705" s="280">
        <f>IF(AC705="pendiente",AD705,0)</f>
        <v/>
      </c>
      <c r="AK705" s="278">
        <f>VLOOKUP(G705,CLIENTES!B:D,3,FALSE)</f>
        <v/>
      </c>
    </row>
    <row r="706" ht="15" customFormat="1" customHeight="1" s="409">
      <c r="B706" s="410" t="n"/>
      <c r="C706" s="409" t="inlineStr">
        <is>
          <t>c/ Las Cruzadas 3A, local D</t>
        </is>
      </c>
      <c r="D706" s="409" t="inlineStr">
        <is>
          <t>Sevilla 41004</t>
        </is>
      </c>
      <c r="E706" s="409" t="inlineStr">
        <is>
          <t>CIF B91938662</t>
        </is>
      </c>
      <c r="F706" s="409" t="inlineStr">
        <is>
          <t>aBalados@abalados.es</t>
        </is>
      </c>
      <c r="G706" s="409" t="inlineStr">
        <is>
          <t>FP LUX REIO PV ZARAGOZA SL.</t>
        </is>
      </c>
      <c r="H706" s="409">
        <f>VLOOKUP($G706,DATOS!$B:$E,2,FALSE)</f>
        <v/>
      </c>
      <c r="I706" s="409">
        <f>VLOOKUP($G706,DATOS!$B:$E,3,FALSE)</f>
        <v/>
      </c>
      <c r="J706" s="409">
        <f>VLOOKUP($G706,DATOS!$B:$E,4,FALSE)</f>
        <v/>
      </c>
      <c r="K706" s="409" t="inlineStr">
        <is>
          <t>Refacturación gastos y/o servicios prestados a nombre de la sociedad</t>
        </is>
      </c>
      <c r="L706" s="411" t="n"/>
      <c r="M706" s="409" t="inlineStr">
        <is>
          <t>Revisión sistema antiincendio</t>
        </is>
      </c>
      <c r="N706" s="411" t="n">
        <v>54.3</v>
      </c>
      <c r="O706" s="409" t="inlineStr">
        <is>
          <t>Adecuación a normativa ambiental - Reparación talud suroeste</t>
        </is>
      </c>
      <c r="P706" s="411" t="n">
        <v>1737</v>
      </c>
      <c r="Q706" s="409" t="inlineStr">
        <is>
          <t>Alquiler maquinaria - Descarga 144 módulos</t>
        </is>
      </c>
      <c r="R706" s="411" t="n">
        <v>250.1</v>
      </c>
      <c r="T706" s="411" t="n"/>
      <c r="V706" s="411" t="n"/>
      <c r="X706" s="411" t="n"/>
      <c r="Z706" s="411" t="n"/>
      <c r="AA706" s="411" t="n"/>
      <c r="AB706" s="412" t="inlineStr">
        <is>
          <t>ES85 2080 3509 1130 4009 6171</t>
        </is>
      </c>
      <c r="AC706" s="409" t="inlineStr">
        <is>
          <t>pendiente</t>
        </is>
      </c>
      <c r="AD706" s="411">
        <f>L706+N706+P706+R706+T706+V706+X706+Z706</f>
        <v/>
      </c>
      <c r="AE706" s="411">
        <f>IF((LEFT(K706,6))="Contab",L706,0)</f>
        <v/>
      </c>
      <c r="AF706" s="413">
        <f>VLOOKUP(G706,CLIENTES!B:E,4,FALSE)</f>
        <v/>
      </c>
      <c r="AG706" s="411">
        <f>AF706*AE706</f>
        <v/>
      </c>
      <c r="AH706" s="411">
        <f>AD706*1.21</f>
        <v/>
      </c>
      <c r="AI706" s="414">
        <f>IF(AE706&lt;&gt;0,AG706/AD706,"N/A")</f>
        <v/>
      </c>
      <c r="AJ706" s="411">
        <f>IF(AC706="pendiente",AD706,0)</f>
        <v/>
      </c>
      <c r="AK706" s="409">
        <f>VLOOKUP(G706,CLIENTES!B:D,3,FALSE)</f>
        <v/>
      </c>
    </row>
    <row r="707" ht="15" customFormat="1" customHeight="1" s="278">
      <c r="B707" s="279" t="n"/>
      <c r="C707" s="278" t="inlineStr">
        <is>
          <t>c/ Las Cruzadas 3A, local D</t>
        </is>
      </c>
      <c r="D707" s="278" t="inlineStr">
        <is>
          <t>Sevilla 41004</t>
        </is>
      </c>
      <c r="E707" s="278" t="inlineStr">
        <is>
          <t>CIF B91938662</t>
        </is>
      </c>
      <c r="F707" s="278" t="inlineStr">
        <is>
          <t>aBalados@abalados.es</t>
        </is>
      </c>
      <c r="G707" s="278" t="inlineStr">
        <is>
          <t>FP LUX REIO PV VALLADOLID, S.L.U.</t>
        </is>
      </c>
      <c r="H707" s="278">
        <f>VLOOKUP($G707,DATOS!$B:$E,2,FALSE)</f>
        <v/>
      </c>
      <c r="I707" s="278">
        <f>VLOOKUP($G707,DATOS!$B:$E,3,FALSE)</f>
        <v/>
      </c>
      <c r="J707" s="278">
        <f>VLOOKUP($G707,DATOS!$B:$E,4,FALSE)</f>
        <v/>
      </c>
      <c r="K707" s="278" t="inlineStr">
        <is>
          <t>Refacturación gastos y/o servicios prestados a nombre de la sociedad</t>
        </is>
      </c>
      <c r="L707" s="280" t="n"/>
      <c r="M707" s="278" t="inlineStr">
        <is>
          <t>Registro Mercantil - Certificación de vigencia y cargos</t>
        </is>
      </c>
      <c r="N707" s="280" t="n">
        <v>27.95</v>
      </c>
      <c r="O707" s="278" t="inlineStr">
        <is>
          <t>Burofax - Holaluz (finalización contrato)</t>
        </is>
      </c>
      <c r="P707" s="280" t="n">
        <v>26.27</v>
      </c>
      <c r="Q707" s="278" t="inlineStr">
        <is>
          <t>Envío Poder (Cambio Representante Mercado)</t>
        </is>
      </c>
      <c r="R707" s="280" t="n">
        <v>7.39</v>
      </c>
      <c r="T707" s="280" t="n"/>
      <c r="V707" s="280" t="n"/>
      <c r="X707" s="280" t="n"/>
      <c r="Z707" s="280" t="n"/>
      <c r="AA707" s="280" t="n"/>
      <c r="AB707" s="402" t="inlineStr">
        <is>
          <t>ES85 2080 3509 1130 4009 6171</t>
        </is>
      </c>
      <c r="AC707" s="278" t="inlineStr">
        <is>
          <t>pendiente</t>
        </is>
      </c>
      <c r="AD707" s="280">
        <f>L707+N707+P707+R707+T707+V707+X707+Z707</f>
        <v/>
      </c>
      <c r="AE707" s="280">
        <f>IF((LEFT(K707,6))="Contab",L707,0)</f>
        <v/>
      </c>
      <c r="AF707" s="281">
        <f>VLOOKUP(G707,CLIENTES!B:E,4,FALSE)</f>
        <v/>
      </c>
      <c r="AG707" s="280">
        <f>AF707*AE707</f>
        <v/>
      </c>
      <c r="AH707" s="280">
        <f>AD707*1.21</f>
        <v/>
      </c>
      <c r="AI707" s="284">
        <f>IF(AE707&lt;&gt;0,AG707/AD707,"N/A")</f>
        <v/>
      </c>
      <c r="AJ707" s="280">
        <f>IF(AC707="pendiente",AD707,0)</f>
        <v/>
      </c>
      <c r="AK707" s="278">
        <f>VLOOKUP(G707,CLIENTES!B:D,3,FALSE)</f>
        <v/>
      </c>
    </row>
    <row r="708" ht="15" customFormat="1" customHeight="1" s="278">
      <c r="B708" s="279" t="n"/>
      <c r="C708" s="278" t="inlineStr">
        <is>
          <t>c/ Las Cruzadas 3A, local D</t>
        </is>
      </c>
      <c r="D708" s="278" t="inlineStr">
        <is>
          <t>Sevilla 41004</t>
        </is>
      </c>
      <c r="E708" s="278" t="inlineStr">
        <is>
          <t>CIF B91938662</t>
        </is>
      </c>
      <c r="F708" s="278" t="inlineStr">
        <is>
          <t>aBalados@abalados.es</t>
        </is>
      </c>
      <c r="G708" s="278" t="inlineStr">
        <is>
          <t>Asomadilla Solar 2007 S.L.U.</t>
        </is>
      </c>
      <c r="H708" s="278">
        <f>VLOOKUP($G708,DATOS!$B:$E,2,FALSE)</f>
        <v/>
      </c>
      <c r="I708" s="278">
        <f>VLOOKUP($G708,DATOS!$B:$E,3,FALSE)</f>
        <v/>
      </c>
      <c r="J708" s="278">
        <f>VLOOKUP($G708,DATOS!$B:$E,4,FALSE)</f>
        <v/>
      </c>
      <c r="K708" s="278" t="inlineStr">
        <is>
          <t>Refacturación gastos y/o servicios prestados a nombre de la sociedad</t>
        </is>
      </c>
      <c r="L708" s="280" t="n"/>
      <c r="M708" s="278" t="inlineStr">
        <is>
          <t>Tratamiento del terreno (herbicidas)</t>
        </is>
      </c>
      <c r="N708" s="280" t="n">
        <v>1306.25</v>
      </c>
      <c r="O708" s="278" t="inlineStr">
        <is>
          <t>Sustitución inversores (SMA 7000HV)</t>
        </is>
      </c>
      <c r="P708" s="280">
        <f>4*119.5</f>
        <v/>
      </c>
      <c r="Q708" s="278" t="inlineStr">
        <is>
          <t>Gestión stock SMA 7000HV (2H2024)</t>
        </is>
      </c>
      <c r="R708" s="280" t="n">
        <v>250</v>
      </c>
      <c r="S708" s="278" t="inlineStr">
        <is>
          <t xml:space="preserve">Correctivos comunicaciones </t>
        </is>
      </c>
      <c r="T708" s="280" t="n">
        <v>198</v>
      </c>
      <c r="U708" s="278" t="inlineStr">
        <is>
          <t>Gastos derivados de Gestión (3,5%)</t>
        </is>
      </c>
      <c r="V708" s="280">
        <f>(N708+P708+R708+T708)*0.035</f>
        <v/>
      </c>
      <c r="X708" s="280" t="n"/>
      <c r="Z708" s="280" t="n"/>
      <c r="AA708" s="280" t="n"/>
      <c r="AB708" s="402" t="inlineStr">
        <is>
          <t>ES85 2080 3509 1130 4009 6171</t>
        </is>
      </c>
      <c r="AC708" s="278" t="inlineStr">
        <is>
          <t>pendiente</t>
        </is>
      </c>
      <c r="AD708" s="280">
        <f>L708+N708+P708+R708+T708+V708+X708+Z708</f>
        <v/>
      </c>
      <c r="AE708" s="280">
        <f>IF((LEFT(K708,6))="Contab",L708,0)</f>
        <v/>
      </c>
      <c r="AF708" s="281">
        <f>VLOOKUP(G708,CLIENTES!B:E,4,FALSE)</f>
        <v/>
      </c>
      <c r="AG708" s="280">
        <f>AF708*AE708</f>
        <v/>
      </c>
      <c r="AH708" s="280">
        <f>AD708*1.21</f>
        <v/>
      </c>
      <c r="AI708" s="284">
        <f>IF(AE708&lt;&gt;0,AG708/AD708,"N/A")</f>
        <v/>
      </c>
      <c r="AJ708" s="280">
        <f>IF(AC708="pendiente",AD708,0)</f>
        <v/>
      </c>
      <c r="AK708" s="278">
        <f>VLOOKUP(G708,CLIENTES!B:D,3,FALSE)</f>
        <v/>
      </c>
    </row>
    <row r="709" ht="15" customFormat="1" customHeight="1" s="278">
      <c r="B709" s="279" t="n"/>
      <c r="C709" s="278" t="inlineStr">
        <is>
          <t>c/ Las Cruzadas 3A, local D</t>
        </is>
      </c>
      <c r="D709" s="278" t="inlineStr">
        <is>
          <t>Sevilla 41004</t>
        </is>
      </c>
      <c r="E709" s="278" t="inlineStr">
        <is>
          <t>CIF B91938662</t>
        </is>
      </c>
      <c r="F709" s="278" t="inlineStr">
        <is>
          <t>aBalados@abalados.es</t>
        </is>
      </c>
      <c r="G709" s="278" t="inlineStr">
        <is>
          <t>Dehesa Asomadilla Inversiones S.L.U.</t>
        </is>
      </c>
      <c r="H709" s="278">
        <f>VLOOKUP($G709,DATOS!$B:$E,2,FALSE)</f>
        <v/>
      </c>
      <c r="I709" s="278">
        <f>VLOOKUP($G709,DATOS!$B:$E,3,FALSE)</f>
        <v/>
      </c>
      <c r="J709" s="278">
        <f>VLOOKUP($G709,DATOS!$B:$E,4,FALSE)</f>
        <v/>
      </c>
      <c r="K709" s="278" t="inlineStr">
        <is>
          <t>Refacturación gastos y/o servicios prestados a nombre de la sociedad</t>
        </is>
      </c>
      <c r="L709" s="280" t="n"/>
      <c r="M709" s="278" t="inlineStr">
        <is>
          <t>Inspección huecos de tensión (50% importe total)</t>
        </is>
      </c>
      <c r="N709" s="280" t="n">
        <v>1062.5</v>
      </c>
      <c r="O709" s="278" t="inlineStr">
        <is>
          <t>Sustitución inversores (SMA 7000HV)</t>
        </is>
      </c>
      <c r="P709" s="280">
        <f>2*119.5</f>
        <v/>
      </c>
      <c r="Q709" s="278" t="inlineStr">
        <is>
          <t>Gestión stock SMA 7000HV (2H2024)</t>
        </is>
      </c>
      <c r="R709" s="280" t="n">
        <v>250</v>
      </c>
      <c r="S709" s="278" t="inlineStr">
        <is>
          <t>Intervenciones extraordinarias 2H2024 - Restricciones REE</t>
        </is>
      </c>
      <c r="T709" s="280">
        <f>62*0.25*90</f>
        <v/>
      </c>
      <c r="U709" s="278" t="inlineStr">
        <is>
          <t>Gastos derivados de Gestión (3,5%)</t>
        </is>
      </c>
      <c r="V709" s="280">
        <f>(N709+P709+R709+T709)*0.035</f>
        <v/>
      </c>
      <c r="X709" s="280" t="n"/>
      <c r="Z709" s="280" t="n"/>
      <c r="AA709" s="280" t="n"/>
      <c r="AB709" s="402" t="inlineStr">
        <is>
          <t>ES85 2080 3509 1130 4009 6171</t>
        </is>
      </c>
      <c r="AC709" s="278" t="inlineStr">
        <is>
          <t>pendiente</t>
        </is>
      </c>
      <c r="AD709" s="280">
        <f>L709+N709+P709+R709+T709+V709+X709+Z709</f>
        <v/>
      </c>
      <c r="AE709" s="280">
        <f>IF((LEFT(K709,6))="Contab",L709,0)</f>
        <v/>
      </c>
      <c r="AF709" s="281">
        <f>VLOOKUP(G709,CLIENTES!B:E,4,FALSE)</f>
        <v/>
      </c>
      <c r="AG709" s="280">
        <f>AF709*AE709</f>
        <v/>
      </c>
      <c r="AH709" s="280">
        <f>AD709*1.21</f>
        <v/>
      </c>
      <c r="AI709" s="284">
        <f>IF(AE709&lt;&gt;0,AG709/AD709,"N/A")</f>
        <v/>
      </c>
      <c r="AJ709" s="280">
        <f>IF(AC709="pendiente",AD709,0)</f>
        <v/>
      </c>
      <c r="AK709" s="278">
        <f>VLOOKUP(G709,CLIENTES!B:D,3,FALSE)</f>
        <v/>
      </c>
    </row>
    <row r="710" ht="15" customFormat="1" customHeight="1" s="278">
      <c r="B710" s="279" t="n"/>
      <c r="C710" s="278" t="inlineStr">
        <is>
          <t>c/ Las Cruzadas 3A, local D</t>
        </is>
      </c>
      <c r="D710" s="278" t="inlineStr">
        <is>
          <t>Sevilla 41004</t>
        </is>
      </c>
      <c r="E710" s="278" t="inlineStr">
        <is>
          <t>CIF B91938662</t>
        </is>
      </c>
      <c r="F710" s="278" t="inlineStr">
        <is>
          <t>aBalados@abalados.es</t>
        </is>
      </c>
      <c r="G710" s="278" t="inlineStr">
        <is>
          <t>Contreras Parque Solar S.L.U.</t>
        </is>
      </c>
      <c r="H710" s="278">
        <f>VLOOKUP($G710,DATOS!$B:$E,2,FALSE)</f>
        <v/>
      </c>
      <c r="I710" s="278">
        <f>VLOOKUP($G710,DATOS!$B:$E,3,FALSE)</f>
        <v/>
      </c>
      <c r="J710" s="278">
        <f>VLOOKUP($G710,DATOS!$B:$E,4,FALSE)</f>
        <v/>
      </c>
      <c r="K710" s="278" t="inlineStr">
        <is>
          <t>Refacturación gastos y/o servicios prestados a nombre de la sociedad</t>
        </is>
      </c>
      <c r="L710" s="280" t="n"/>
      <c r="M710" s="278" t="inlineStr">
        <is>
          <t>Inspección huecos de tensión (50% importe total)</t>
        </is>
      </c>
      <c r="N710" s="280" t="n">
        <v>1062.5</v>
      </c>
      <c r="O710" s="278" t="inlineStr">
        <is>
          <t>Gastos derivados de Gestión (3,5%)</t>
        </is>
      </c>
      <c r="P710" s="280">
        <f>N710*0.035</f>
        <v/>
      </c>
      <c r="R710" s="280" t="n"/>
      <c r="T710" s="280" t="n"/>
      <c r="V710" s="280" t="n"/>
      <c r="X710" s="280" t="n"/>
      <c r="Z710" s="280" t="n"/>
      <c r="AA710" s="280" t="n"/>
      <c r="AB710" s="402" t="inlineStr">
        <is>
          <t>ES85 2080 3509 1130 4009 6171</t>
        </is>
      </c>
      <c r="AC710" s="278" t="inlineStr">
        <is>
          <t>pendiente</t>
        </is>
      </c>
      <c r="AD710" s="280">
        <f>L710+N710+P710+R710+T710+V710+X710+Z710</f>
        <v/>
      </c>
      <c r="AE710" s="280">
        <f>IF((LEFT(K710,6))="Contab",L710,0)</f>
        <v/>
      </c>
      <c r="AF710" s="281">
        <f>VLOOKUP(G710,CLIENTES!B:E,4,FALSE)</f>
        <v/>
      </c>
      <c r="AG710" s="280">
        <f>AF710*AE710</f>
        <v/>
      </c>
      <c r="AH710" s="280">
        <f>AD710*1.21</f>
        <v/>
      </c>
      <c r="AI710" s="284">
        <f>IF(AE710&lt;&gt;0,AG710/AD710,"N/A")</f>
        <v/>
      </c>
      <c r="AJ710" s="280">
        <f>IF(AC710="pendiente",AD710,0)</f>
        <v/>
      </c>
      <c r="AK710" s="278">
        <f>VLOOKUP(G710,CLIENTES!B:D,3,FALSE)</f>
        <v/>
      </c>
    </row>
    <row r="711" ht="15" customFormat="1" customHeight="1" s="278">
      <c r="B711" s="279" t="n"/>
      <c r="C711" s="278" t="inlineStr">
        <is>
          <t>c/ Las Cruzadas 3A, local D</t>
        </is>
      </c>
      <c r="D711" s="278" t="inlineStr">
        <is>
          <t>Sevilla 41004</t>
        </is>
      </c>
      <c r="E711" s="278" t="inlineStr">
        <is>
          <t>CIF B91938662</t>
        </is>
      </c>
      <c r="F711" s="278" t="inlineStr">
        <is>
          <t>aBalados@abalados.es</t>
        </is>
      </c>
      <c r="G711" s="278" t="inlineStr">
        <is>
          <t>Tiksi PV II S.L.U.</t>
        </is>
      </c>
      <c r="H711" s="278">
        <f>VLOOKUP($G711,DATOS!$B:$E,2,FALSE)</f>
        <v/>
      </c>
      <c r="I711" s="278">
        <f>VLOOKUP($G711,DATOS!$B:$E,3,FALSE)</f>
        <v/>
      </c>
      <c r="J711" s="278">
        <f>VLOOKUP($G711,DATOS!$B:$E,4,FALSE)</f>
        <v/>
      </c>
      <c r="K711" s="278" t="inlineStr">
        <is>
          <t>Refacturación gastos y/o servicios prestados a nombre de la sociedad</t>
        </is>
      </c>
      <c r="L711" s="280" t="n"/>
      <c r="M711" s="278" t="inlineStr">
        <is>
          <t>Piranómetro Clase C Delta</t>
        </is>
      </c>
      <c r="N711" s="280" t="n">
        <v>917.8</v>
      </c>
      <c r="O711" s="278" t="inlineStr">
        <is>
          <t>Gastos derivados de Gestión (3,5%)</t>
        </is>
      </c>
      <c r="P711" s="280">
        <f>N711*0.035</f>
        <v/>
      </c>
      <c r="R711" s="280" t="n"/>
      <c r="T711" s="280" t="n"/>
      <c r="V711" s="280" t="n"/>
      <c r="X711" s="280" t="n"/>
      <c r="Z711" s="280" t="n"/>
      <c r="AA711" s="280" t="n"/>
      <c r="AB711" s="402" t="inlineStr">
        <is>
          <t>ES85 2080 3509 1130 4009 6171</t>
        </is>
      </c>
      <c r="AC711" s="278" t="inlineStr">
        <is>
          <t>pendiente</t>
        </is>
      </c>
      <c r="AD711" s="280">
        <f>L711+N711+P711+R711+T711+V711+X711+Z711</f>
        <v/>
      </c>
      <c r="AE711" s="280">
        <f>IF((LEFT(K711,6))="Contab",L711,0)</f>
        <v/>
      </c>
      <c r="AF711" s="281">
        <f>VLOOKUP(G711,CLIENTES!B:E,4,FALSE)</f>
        <v/>
      </c>
      <c r="AG711" s="280">
        <f>AF711*AE711</f>
        <v/>
      </c>
      <c r="AH711" s="280">
        <f>AD711*1.21</f>
        <v/>
      </c>
      <c r="AI711" s="284">
        <f>IF(AE711&lt;&gt;0,AG711/AD711,"N/A")</f>
        <v/>
      </c>
      <c r="AJ711" s="280">
        <f>IF(AC711="pendiente",AD711,0)</f>
        <v/>
      </c>
      <c r="AK711" s="278">
        <f>VLOOKUP(G711,CLIENTES!B:D,3,FALSE)</f>
        <v/>
      </c>
    </row>
    <row r="712" ht="15" customFormat="1" customHeight="1" s="278">
      <c r="B712" s="279" t="n"/>
      <c r="C712" s="278" t="inlineStr">
        <is>
          <t>c/ Las Cruzadas 3A, local D</t>
        </is>
      </c>
      <c r="D712" s="278" t="inlineStr">
        <is>
          <t>Sevilla 41004</t>
        </is>
      </c>
      <c r="E712" s="278" t="inlineStr">
        <is>
          <t>CIF B91938662</t>
        </is>
      </c>
      <c r="F712" s="278" t="inlineStr">
        <is>
          <t>aBalados@abalados.es</t>
        </is>
      </c>
      <c r="G712" s="278" t="inlineStr">
        <is>
          <t>ES Garrovers Energía Solar S.L.U.</t>
        </is>
      </c>
      <c r="H712" s="278">
        <f>VLOOKUP($G712,DATOS!$B:$E,2,FALSE)</f>
        <v/>
      </c>
      <c r="I712" s="278">
        <f>VLOOKUP($G712,DATOS!$B:$E,3,FALSE)</f>
        <v/>
      </c>
      <c r="J712" s="278">
        <f>VLOOKUP($G712,DATOS!$B:$E,4,FALSE)</f>
        <v/>
      </c>
      <c r="K712" s="278" t="inlineStr">
        <is>
          <t>Refacturación gastos y/o servicios prestados a nombre de la sociedad</t>
        </is>
      </c>
      <c r="L712" s="280" t="n"/>
      <c r="M712" s="278" t="inlineStr">
        <is>
          <t>Inspección huecos de tensión (50% importe total)</t>
        </is>
      </c>
      <c r="N712" s="280" t="n">
        <v>1062.5</v>
      </c>
      <c r="O712" s="278" t="inlineStr">
        <is>
          <t>Reparación tarjeta electrónica (Inversor 3.1)</t>
        </is>
      </c>
      <c r="P712" s="280" t="n">
        <v>1405</v>
      </c>
      <c r="Q712" s="278" t="inlineStr">
        <is>
          <t>Gastos derivados de Gestión (3,5%)</t>
        </is>
      </c>
      <c r="R712" s="280">
        <f>(N712+P712)*0.035</f>
        <v/>
      </c>
      <c r="T712" s="280" t="n"/>
      <c r="V712" s="280" t="n"/>
      <c r="X712" s="280" t="n"/>
      <c r="Z712" s="280" t="n"/>
      <c r="AA712" s="280" t="n"/>
      <c r="AB712" s="402" t="inlineStr">
        <is>
          <t>ES85 2080 3509 1130 4009 6171</t>
        </is>
      </c>
      <c r="AC712" s="278" t="inlineStr">
        <is>
          <t>pendiente</t>
        </is>
      </c>
      <c r="AD712" s="280">
        <f>L712+N712+P712+R712+T712+V712+X712+Z712</f>
        <v/>
      </c>
      <c r="AE712" s="280">
        <f>IF((LEFT(K712,6))="Contab",L712,0)</f>
        <v/>
      </c>
      <c r="AF712" s="281">
        <f>VLOOKUP(G712,CLIENTES!B:E,4,FALSE)</f>
        <v/>
      </c>
      <c r="AG712" s="280">
        <f>AF712*AE712</f>
        <v/>
      </c>
      <c r="AH712" s="280">
        <f>AD712*1.21</f>
        <v/>
      </c>
      <c r="AI712" s="284">
        <f>IF(AE712&lt;&gt;0,AG712/AD712,"N/A")</f>
        <v/>
      </c>
      <c r="AJ712" s="280">
        <f>IF(AC712="pendiente",AD712,0)</f>
        <v/>
      </c>
      <c r="AK712" s="278">
        <f>VLOOKUP(G712,CLIENTES!B:D,3,FALSE)</f>
        <v/>
      </c>
    </row>
    <row r="713" ht="15" customFormat="1" customHeight="1" s="278">
      <c r="B713" s="279" t="n"/>
      <c r="C713" s="278" t="inlineStr">
        <is>
          <t>c/ Las Cruzadas 3A, local D</t>
        </is>
      </c>
      <c r="D713" s="278" t="inlineStr">
        <is>
          <t>Sevilla 41004</t>
        </is>
      </c>
      <c r="E713" s="278" t="inlineStr">
        <is>
          <t>CIF B91938662</t>
        </is>
      </c>
      <c r="F713" s="278" t="inlineStr">
        <is>
          <t>aBalados@abalados.es</t>
        </is>
      </c>
      <c r="G713" s="278" t="inlineStr">
        <is>
          <t>Locaba Solar S.L.U.</t>
        </is>
      </c>
      <c r="H713" s="278">
        <f>VLOOKUP($G713,DATOS!$B:$E,2,FALSE)</f>
        <v/>
      </c>
      <c r="I713" s="278">
        <f>VLOOKUP($G713,DATOS!$B:$E,3,FALSE)</f>
        <v/>
      </c>
      <c r="J713" s="278">
        <f>VLOOKUP($G713,DATOS!$B:$E,4,FALSE)</f>
        <v/>
      </c>
      <c r="K713" s="278" t="inlineStr">
        <is>
          <t>Refacturación gastos y/o servicios prestados a nombre de la sociedad</t>
        </is>
      </c>
      <c r="L713" s="280" t="n"/>
      <c r="M713" s="278" t="inlineStr">
        <is>
          <t>Inspección huecos de tensión (50% importe total)</t>
        </is>
      </c>
      <c r="N713" s="280" t="n">
        <v>1062.5</v>
      </c>
      <c r="O713" s="278" t="inlineStr">
        <is>
          <t>Gastos derivados de Gestión (3,5%)</t>
        </is>
      </c>
      <c r="P713" s="280">
        <f>N713*0.035</f>
        <v/>
      </c>
      <c r="R713" s="280" t="n"/>
      <c r="T713" s="280" t="n"/>
      <c r="V713" s="280" t="n"/>
      <c r="X713" s="280" t="n"/>
      <c r="Z713" s="280" t="n"/>
      <c r="AA713" s="280" t="n"/>
      <c r="AB713" s="402" t="inlineStr">
        <is>
          <t>ES85 2080 3509 1130 4009 6171</t>
        </is>
      </c>
      <c r="AC713" s="278" t="inlineStr">
        <is>
          <t>pendiente</t>
        </is>
      </c>
      <c r="AD713" s="280">
        <f>L713+N713+P713+R713+T713+V713+X713+Z713</f>
        <v/>
      </c>
      <c r="AE713" s="280">
        <f>IF((LEFT(K713,6))="Contab",L713,0)</f>
        <v/>
      </c>
      <c r="AF713" s="281">
        <f>VLOOKUP(G713,CLIENTES!B:E,4,FALSE)</f>
        <v/>
      </c>
      <c r="AG713" s="280">
        <f>AF713*AE713</f>
        <v/>
      </c>
      <c r="AH713" s="280">
        <f>AD713*1.21</f>
        <v/>
      </c>
      <c r="AI713" s="284">
        <f>IF(AE713&lt;&gt;0,AG713/AD713,"N/A")</f>
        <v/>
      </c>
      <c r="AJ713" s="280">
        <f>IF(AC713="pendiente",AD713,0)</f>
        <v/>
      </c>
      <c r="AK713" s="278">
        <f>VLOOKUP(G713,CLIENTES!B:D,3,FALSE)</f>
        <v/>
      </c>
    </row>
    <row r="714" ht="15" customFormat="1" customHeight="1" s="278">
      <c r="B714" s="279" t="n"/>
      <c r="C714" s="278" t="inlineStr">
        <is>
          <t>c/ Las Cruzadas 3A, local D</t>
        </is>
      </c>
      <c r="D714" s="278" t="inlineStr">
        <is>
          <t>Sevilla 41004</t>
        </is>
      </c>
      <c r="E714" s="278" t="inlineStr">
        <is>
          <t>CIF B91938662</t>
        </is>
      </c>
      <c r="F714" s="278" t="inlineStr">
        <is>
          <t>aBalados@abalados.es</t>
        </is>
      </c>
      <c r="G714" s="278" t="inlineStr">
        <is>
          <t>WOC Fotovoltaica España Proyecto Sollana S.L.U.</t>
        </is>
      </c>
      <c r="H714" s="278">
        <f>VLOOKUP($G714,DATOS!$B:$E,2,FALSE)</f>
        <v/>
      </c>
      <c r="I714" s="278">
        <f>VLOOKUP($G714,DATOS!$B:$E,3,FALSE)</f>
        <v/>
      </c>
      <c r="J714" s="278">
        <f>VLOOKUP($G714,DATOS!$B:$E,4,FALSE)</f>
        <v/>
      </c>
      <c r="K714" s="278" t="inlineStr">
        <is>
          <t>Refacturación gastos y/o servicios prestados a nombre de la sociedad</t>
        </is>
      </c>
      <c r="L714" s="280" t="n"/>
      <c r="M714" s="278" t="inlineStr">
        <is>
          <t>Siniestro - Revamping Inversor 1</t>
        </is>
      </c>
      <c r="N714" s="280" t="n">
        <v>38867.77743801652</v>
      </c>
      <c r="O714" s="280" t="inlineStr">
        <is>
          <t>Correctivo - Reparación Inversor 2</t>
        </is>
      </c>
      <c r="P714" s="280" t="n">
        <v>2398.96</v>
      </c>
      <c r="Q714" s="278" t="inlineStr">
        <is>
          <t>Nota simple RM - Certificación vigencia y cargos</t>
        </is>
      </c>
      <c r="R714" s="280" t="n">
        <v>27.95</v>
      </c>
      <c r="S714" s="278" t="inlineStr">
        <is>
          <t>Burofax - Reclamación CASER</t>
        </is>
      </c>
      <c r="T714" s="280" t="n">
        <v>25.32</v>
      </c>
      <c r="U714" s="278" t="inlineStr">
        <is>
          <t>Burofax - Reclamación MERLIN</t>
        </is>
      </c>
      <c r="V714" s="280" t="n">
        <v>26.27</v>
      </c>
      <c r="W714" s="278" t="inlineStr">
        <is>
          <t>Gastos derivados de Gestión (3,5%)</t>
        </is>
      </c>
      <c r="X714" s="280">
        <f>(N714+P714+R714+T714+V714)*0.035</f>
        <v/>
      </c>
      <c r="Z714" s="280" t="n"/>
      <c r="AA714" s="280" t="n"/>
      <c r="AB714" s="402" t="inlineStr">
        <is>
          <t>ES85 2080 3509 1130 4009 6171</t>
        </is>
      </c>
      <c r="AC714" s="278" t="inlineStr">
        <is>
          <t>pendiente</t>
        </is>
      </c>
      <c r="AD714" s="280">
        <f>L714+N714+P714+R714+T714+V714+X714+Z714</f>
        <v/>
      </c>
      <c r="AE714" s="280">
        <f>IF((LEFT(K714,6))="Contab",L714,0)</f>
        <v/>
      </c>
      <c r="AF714" s="281">
        <f>VLOOKUP(G714,CLIENTES!B:E,4,FALSE)</f>
        <v/>
      </c>
      <c r="AG714" s="280">
        <f>AF714*AE714</f>
        <v/>
      </c>
      <c r="AH714" s="280">
        <f>AD714*1.21</f>
        <v/>
      </c>
      <c r="AI714" s="284">
        <f>IF(AE714&lt;&gt;0,AG714/AD714,"N/A")</f>
        <v/>
      </c>
      <c r="AJ714" s="280">
        <f>IF(AC714="pendiente",AD714,0)</f>
        <v/>
      </c>
      <c r="AK714" s="278">
        <f>VLOOKUP(G714,CLIENTES!B:D,3,FALSE)</f>
        <v/>
      </c>
    </row>
    <row r="715" ht="15" customFormat="1" customHeight="1" s="278">
      <c r="B715" s="279" t="n"/>
      <c r="C715" s="278" t="inlineStr">
        <is>
          <t>c/ Las Cruzadas 3A, local D</t>
        </is>
      </c>
      <c r="D715" s="278" t="inlineStr">
        <is>
          <t>Sevilla 41004</t>
        </is>
      </c>
      <c r="E715" s="278" t="inlineStr">
        <is>
          <t>CIF B91938662</t>
        </is>
      </c>
      <c r="F715" s="278" t="inlineStr">
        <is>
          <t>aBalados@abalados.es</t>
        </is>
      </c>
      <c r="G715" s="278" t="inlineStr">
        <is>
          <t>Inversión Cubiertas Solares S.L.U.</t>
        </is>
      </c>
      <c r="H715" s="278">
        <f>VLOOKUP($G715,DATOS!$B:$E,2,FALSE)</f>
        <v/>
      </c>
      <c r="I715" s="278">
        <f>VLOOKUP($G715,DATOS!$B:$E,3,FALSE)</f>
        <v/>
      </c>
      <c r="J715" s="278">
        <f>VLOOKUP($G715,DATOS!$B:$E,4,FALSE)</f>
        <v/>
      </c>
      <c r="K715" s="278" t="inlineStr">
        <is>
          <t>Refacturación gastos y/o servicios prestados a nombre de la sociedad</t>
        </is>
      </c>
      <c r="L715" s="280" t="n"/>
      <c r="M715" s="278" t="inlineStr">
        <is>
          <t>Nota simple RM - Apertura cuenta Abanca</t>
        </is>
      </c>
      <c r="N715" s="280" t="n">
        <v>5.38</v>
      </c>
      <c r="O715" s="278" t="inlineStr">
        <is>
          <t>Gastos derivados de Gestión (3,5%)</t>
        </is>
      </c>
      <c r="P715" s="280">
        <f>N715*0.035</f>
        <v/>
      </c>
      <c r="R715" s="280" t="n"/>
      <c r="T715" s="280" t="n"/>
      <c r="V715" s="280" t="n"/>
      <c r="X715" s="280" t="n"/>
      <c r="Z715" s="280" t="n"/>
      <c r="AA715" s="280" t="n"/>
      <c r="AB715" s="402" t="inlineStr">
        <is>
          <t>ES85 2080 3509 1130 4009 6171</t>
        </is>
      </c>
      <c r="AC715" s="278" t="inlineStr">
        <is>
          <t>pendiente</t>
        </is>
      </c>
      <c r="AD715" s="280">
        <f>L715+N715+P715+R715+T715+V715+X715+Z715</f>
        <v/>
      </c>
      <c r="AE715" s="280">
        <f>IF((LEFT(K715,6))="Contab",L715,0)</f>
        <v/>
      </c>
      <c r="AF715" s="281">
        <f>VLOOKUP(G715,CLIENTES!B:E,4,FALSE)</f>
        <v/>
      </c>
      <c r="AG715" s="280">
        <f>AF715*AE715</f>
        <v/>
      </c>
      <c r="AH715" s="280">
        <f>AD715*1.21</f>
        <v/>
      </c>
      <c r="AI715" s="284">
        <f>IF(AE715&lt;&gt;0,AG715/AD715,"N/A")</f>
        <v/>
      </c>
      <c r="AJ715" s="280">
        <f>IF(AC715="pendiente",AD715,0)</f>
        <v/>
      </c>
      <c r="AK715" s="278">
        <f>VLOOKUP(G715,CLIENTES!B:D,3,FALSE)</f>
        <v/>
      </c>
    </row>
    <row r="716" ht="15" customFormat="1" customHeight="1" s="278">
      <c r="B716" s="279" t="n"/>
      <c r="C716" s="278" t="inlineStr">
        <is>
          <t>c/ Las Cruzadas 3A, local D</t>
        </is>
      </c>
      <c r="D716" s="278" t="inlineStr">
        <is>
          <t>Sevilla 41004</t>
        </is>
      </c>
      <c r="E716" s="278" t="inlineStr">
        <is>
          <t>CIF B91938662</t>
        </is>
      </c>
      <c r="F716" s="278" t="inlineStr">
        <is>
          <t>aBalados@abalados.es</t>
        </is>
      </c>
      <c r="G716" s="278" t="inlineStr">
        <is>
          <t>Lugec Inversión Solar S.L.U.</t>
        </is>
      </c>
      <c r="H716" s="278">
        <f>VLOOKUP($G716,DATOS!$B:$E,2,FALSE)</f>
        <v/>
      </c>
      <c r="I716" s="278">
        <f>VLOOKUP($G716,DATOS!$B:$E,3,FALSE)</f>
        <v/>
      </c>
      <c r="J716" s="278">
        <f>VLOOKUP($G716,DATOS!$B:$E,4,FALSE)</f>
        <v/>
      </c>
      <c r="K716" s="278" t="inlineStr">
        <is>
          <t>Refacturación gastos y/o servicios prestados a nombre de la sociedad</t>
        </is>
      </c>
      <c r="L716" s="280" t="n"/>
      <c r="M716" s="278" t="inlineStr">
        <is>
          <t>Nota simple RM - Apertura cuenta Abanca</t>
        </is>
      </c>
      <c r="N716" s="280" t="n">
        <v>5.98</v>
      </c>
      <c r="O716" s="278" t="inlineStr">
        <is>
          <t>Nuevo Inversor - Huawei SUN2000-40KTL-M3-H4</t>
        </is>
      </c>
      <c r="P716" s="280" t="n">
        <v>2281.86</v>
      </c>
      <c r="Q716" s="278" t="inlineStr">
        <is>
          <t>Gastos derivados de Gestión (3,5%)</t>
        </is>
      </c>
      <c r="R716" s="280">
        <f>(N716+P716)*0.035</f>
        <v/>
      </c>
      <c r="T716" s="280" t="n"/>
      <c r="V716" s="280" t="n"/>
      <c r="X716" s="280" t="n"/>
      <c r="Z716" s="280" t="n"/>
      <c r="AA716" s="280" t="n"/>
      <c r="AB716" s="402" t="inlineStr">
        <is>
          <t>ES85 2080 3509 1130 4009 6171</t>
        </is>
      </c>
      <c r="AC716" s="278" t="inlineStr">
        <is>
          <t>pendiente</t>
        </is>
      </c>
      <c r="AD716" s="280">
        <f>L716+N716+P716+R716+T716+V716+X716+Z716</f>
        <v/>
      </c>
      <c r="AE716" s="280">
        <f>IF((LEFT(K716,6))="Contab",L716,0)</f>
        <v/>
      </c>
      <c r="AF716" s="281">
        <f>VLOOKUP(G716,CLIENTES!B:E,4,FALSE)</f>
        <v/>
      </c>
      <c r="AG716" s="280">
        <f>AF716*AE716</f>
        <v/>
      </c>
      <c r="AH716" s="280">
        <f>AD716*1.21</f>
        <v/>
      </c>
      <c r="AI716" s="284">
        <f>IF(AE716&lt;&gt;0,AG716/AD716,"N/A")</f>
        <v/>
      </c>
      <c r="AJ716" s="280">
        <f>IF(AC716="pendiente",AD716,0)</f>
        <v/>
      </c>
      <c r="AK716" s="278">
        <f>VLOOKUP(G716,CLIENTES!B:D,3,FALSE)</f>
        <v/>
      </c>
    </row>
    <row r="717" ht="15" customFormat="1" customHeight="1" s="278">
      <c r="B717" s="279" t="n"/>
      <c r="C717" s="278" t="inlineStr">
        <is>
          <t>c/ Las Cruzadas 3A, local D</t>
        </is>
      </c>
      <c r="D717" s="278" t="inlineStr">
        <is>
          <t>Sevilla 41004</t>
        </is>
      </c>
      <c r="E717" s="278" t="inlineStr">
        <is>
          <t>CIF B91938662</t>
        </is>
      </c>
      <c r="F717" s="278" t="inlineStr">
        <is>
          <t>aBalados@abalados.es</t>
        </is>
      </c>
      <c r="G717" s="278" t="inlineStr">
        <is>
          <t>Lo Illán  Parque Solar S.L.U.</t>
        </is>
      </c>
      <c r="H717" s="278">
        <f>VLOOKUP($G717,DATOS!$B:$E,2,FALSE)</f>
        <v/>
      </c>
      <c r="I717" s="278">
        <f>VLOOKUP($G717,DATOS!$B:$E,3,FALSE)</f>
        <v/>
      </c>
      <c r="J717" s="278">
        <f>VLOOKUP($G717,DATOS!$B:$E,4,FALSE)</f>
        <v/>
      </c>
      <c r="K717" s="278" t="inlineStr">
        <is>
          <t>Refacturación gastos y/o servicios prestados a nombre de la sociedad</t>
        </is>
      </c>
      <c r="L717" s="280" t="n"/>
      <c r="M717" s="278" t="inlineStr">
        <is>
          <t>Nota simple RM - Certificación vigencia y cargos</t>
        </is>
      </c>
      <c r="N717" s="280" t="n">
        <v>27.95</v>
      </c>
      <c r="O717" s="278" t="inlineStr">
        <is>
          <t>Gastos derivados de Gestión (3,5%)</t>
        </is>
      </c>
      <c r="P717" s="280">
        <f>N717*0.035</f>
        <v/>
      </c>
      <c r="R717" s="280" t="n"/>
      <c r="T717" s="280" t="n"/>
      <c r="V717" s="280" t="n"/>
      <c r="X717" s="280" t="n"/>
      <c r="Z717" s="280" t="n"/>
      <c r="AA717" s="280" t="n"/>
      <c r="AB717" s="402" t="inlineStr">
        <is>
          <t>ES85 2080 3509 1130 4009 6171</t>
        </is>
      </c>
      <c r="AC717" s="278" t="inlineStr">
        <is>
          <t>pendiente</t>
        </is>
      </c>
      <c r="AD717" s="280">
        <f>L717+N717+P717+R717+T717+V717+X717+Z717</f>
        <v/>
      </c>
      <c r="AE717" s="280">
        <f>IF((LEFT(K717,6))="Contab",L717,0)</f>
        <v/>
      </c>
      <c r="AF717" s="281">
        <f>VLOOKUP(G717,CLIENTES!B:E,4,FALSE)</f>
        <v/>
      </c>
      <c r="AG717" s="280">
        <f>AF717*AE717</f>
        <v/>
      </c>
      <c r="AH717" s="280">
        <f>AD717*1.21</f>
        <v/>
      </c>
      <c r="AI717" s="284">
        <f>IF(AE717&lt;&gt;0,AG717/AD717,"N/A")</f>
        <v/>
      </c>
      <c r="AJ717" s="280">
        <f>IF(AC717="pendiente",AD717,0)</f>
        <v/>
      </c>
      <c r="AK717" s="278">
        <f>VLOOKUP(G717,CLIENTES!B:D,3,FALSE)</f>
        <v/>
      </c>
    </row>
    <row r="718" ht="15" customFormat="1" customHeight="1" s="278">
      <c r="B718" s="279" t="n"/>
      <c r="C718" s="278" t="inlineStr">
        <is>
          <t>c/ Las Cruzadas 3A, local D</t>
        </is>
      </c>
      <c r="D718" s="278" t="inlineStr">
        <is>
          <t>Sevilla 41004</t>
        </is>
      </c>
      <c r="E718" s="278" t="inlineStr">
        <is>
          <t>CIF B91938662</t>
        </is>
      </c>
      <c r="F718" s="278" t="inlineStr">
        <is>
          <t>aBalados@abalados.es</t>
        </is>
      </c>
      <c r="G718" s="278" t="inlineStr">
        <is>
          <t>Turbinto Parque Solar S.L.U.</t>
        </is>
      </c>
      <c r="H718" s="278">
        <f>VLOOKUP($G718,DATOS!$B:$E,2,FALSE)</f>
        <v/>
      </c>
      <c r="I718" s="278">
        <f>VLOOKUP($G718,DATOS!$B:$E,3,FALSE)</f>
        <v/>
      </c>
      <c r="J718" s="278">
        <f>VLOOKUP($G718,DATOS!$B:$E,4,FALSE)</f>
        <v/>
      </c>
      <c r="K718" s="278" t="inlineStr">
        <is>
          <t>Refacturación gastos y/o servicios prestados a nombre de la sociedad</t>
        </is>
      </c>
      <c r="L718" s="280" t="n"/>
      <c r="M718" s="278" t="inlineStr">
        <is>
          <t>Nota simple RM - Certificación vigencia y cargos</t>
        </is>
      </c>
      <c r="N718" s="280" t="n">
        <v>27.95</v>
      </c>
      <c r="O718" s="278" t="inlineStr">
        <is>
          <t>Gastos derivados de Gestión (3,5%)</t>
        </is>
      </c>
      <c r="P718" s="280">
        <f>N718*0.035</f>
        <v/>
      </c>
      <c r="R718" s="280" t="n"/>
      <c r="T718" s="280" t="n"/>
      <c r="V718" s="280" t="n"/>
      <c r="X718" s="280" t="n"/>
      <c r="Z718" s="280" t="n"/>
      <c r="AA718" s="280" t="n"/>
      <c r="AB718" s="402" t="inlineStr">
        <is>
          <t>ES85 2080 3509 1130 4009 6171</t>
        </is>
      </c>
      <c r="AC718" s="278" t="inlineStr">
        <is>
          <t>pendiente</t>
        </is>
      </c>
      <c r="AD718" s="280">
        <f>L718+N718+P718+R718+T718+V718+X718+Z718</f>
        <v/>
      </c>
      <c r="AE718" s="280">
        <f>IF((LEFT(K718,6))="Contab",L718,0)</f>
        <v/>
      </c>
      <c r="AF718" s="281">
        <f>VLOOKUP(G718,CLIENTES!B:E,4,FALSE)</f>
        <v/>
      </c>
      <c r="AG718" s="280">
        <f>AF718*AE718</f>
        <v/>
      </c>
      <c r="AH718" s="280">
        <f>AD718*1.21</f>
        <v/>
      </c>
      <c r="AI718" s="284">
        <f>IF(AE718&lt;&gt;0,AG718/AD718,"N/A")</f>
        <v/>
      </c>
      <c r="AJ718" s="280">
        <f>IF(AC718="pendiente",AD718,0)</f>
        <v/>
      </c>
      <c r="AK718" s="278">
        <f>VLOOKUP(G718,CLIENTES!B:D,3,FALSE)</f>
        <v/>
      </c>
    </row>
    <row r="719" ht="15" customFormat="1" customHeight="1" s="278">
      <c r="B719" s="279" t="n"/>
      <c r="C719" s="278" t="inlineStr">
        <is>
          <t>c/ Las Cruzadas 3A, local D</t>
        </is>
      </c>
      <c r="D719" s="278" t="inlineStr">
        <is>
          <t>Sevilla 41004</t>
        </is>
      </c>
      <c r="E719" s="278" t="inlineStr">
        <is>
          <t>CIF B91938662</t>
        </is>
      </c>
      <c r="F719" s="278" t="inlineStr">
        <is>
          <t>aBalados@abalados.es</t>
        </is>
      </c>
      <c r="G719" s="278" t="inlineStr">
        <is>
          <t>WOC Fotovoltaica España 2.3 S.L. S. Com.</t>
        </is>
      </c>
      <c r="H719" s="278">
        <f>VLOOKUP($G719,DATOS!$B:$E,2,FALSE)</f>
        <v/>
      </c>
      <c r="I719" s="278">
        <f>VLOOKUP($G719,DATOS!$B:$E,3,FALSE)</f>
        <v/>
      </c>
      <c r="J719" s="278">
        <f>VLOOKUP($G719,DATOS!$B:$E,4,FALSE)</f>
        <v/>
      </c>
      <c r="K719" s="278" t="inlineStr">
        <is>
          <t>Refacturación gastos y/o servicios prestados a nombre de la sociedad</t>
        </is>
      </c>
      <c r="L719" s="280" t="n"/>
      <c r="M719" s="278" t="inlineStr">
        <is>
          <t>Nota simple RM - Certificación vigencia y cargos</t>
        </is>
      </c>
      <c r="N719" s="280" t="n">
        <v>27.95</v>
      </c>
      <c r="O719" s="278" t="inlineStr">
        <is>
          <t>Gastos derivados de Gestión (3,5%)</t>
        </is>
      </c>
      <c r="P719" s="280">
        <f>N719*0.035</f>
        <v/>
      </c>
      <c r="R719" s="280" t="n"/>
      <c r="T719" s="280" t="n"/>
      <c r="V719" s="280" t="n"/>
      <c r="X719" s="280" t="n"/>
      <c r="Z719" s="280" t="n"/>
      <c r="AA719" s="280" t="n"/>
      <c r="AB719" s="402" t="inlineStr">
        <is>
          <t>ES85 2080 3509 1130 4009 6171</t>
        </is>
      </c>
      <c r="AC719" s="278" t="inlineStr">
        <is>
          <t>pendiente</t>
        </is>
      </c>
      <c r="AD719" s="280">
        <f>L719+N719+P719+R719+T719+V719+X719+Z719</f>
        <v/>
      </c>
      <c r="AE719" s="280">
        <f>IF((LEFT(K719,6))="Contab",L719,0)</f>
        <v/>
      </c>
      <c r="AF719" s="281">
        <f>VLOOKUP(G719,CLIENTES!B:E,4,FALSE)</f>
        <v/>
      </c>
      <c r="AG719" s="280">
        <f>AF719*AE719</f>
        <v/>
      </c>
      <c r="AH719" s="280">
        <f>AD719*1.21</f>
        <v/>
      </c>
      <c r="AI719" s="284">
        <f>IF(AE719&lt;&gt;0,AG719/AD719,"N/A")</f>
        <v/>
      </c>
      <c r="AJ719" s="280">
        <f>IF(AC719="pendiente",AD719,0)</f>
        <v/>
      </c>
      <c r="AK719" s="278">
        <f>VLOOKUP(G719,CLIENTES!B:D,3,FALSE)</f>
        <v/>
      </c>
    </row>
    <row r="720" ht="15" customFormat="1" customHeight="1" s="278">
      <c r="B720" s="279" t="n"/>
      <c r="C720" s="278" t="inlineStr">
        <is>
          <t>c/ Las Cruzadas 3A, local D</t>
        </is>
      </c>
      <c r="D720" s="278" t="inlineStr">
        <is>
          <t>Sevilla 41004</t>
        </is>
      </c>
      <c r="E720" s="278" t="inlineStr">
        <is>
          <t>CIF B91938662</t>
        </is>
      </c>
      <c r="F720" s="278" t="inlineStr">
        <is>
          <t>aBalados@abalados.es</t>
        </is>
      </c>
      <c r="G720" s="278" t="inlineStr">
        <is>
          <t>WOC Fotovoltaica España 2.5 S.L. S. Com.</t>
        </is>
      </c>
      <c r="H720" s="278">
        <f>VLOOKUP($G720,DATOS!$B:$E,2,FALSE)</f>
        <v/>
      </c>
      <c r="I720" s="278">
        <f>VLOOKUP($G720,DATOS!$B:$E,3,FALSE)</f>
        <v/>
      </c>
      <c r="J720" s="278">
        <f>VLOOKUP($G720,DATOS!$B:$E,4,FALSE)</f>
        <v/>
      </c>
      <c r="K720" s="278" t="inlineStr">
        <is>
          <t>Refacturación gastos y/o servicios prestados a nombre de la sociedad</t>
        </is>
      </c>
      <c r="L720" s="280" t="n"/>
      <c r="M720" s="278" t="inlineStr">
        <is>
          <t>Nota simple RM - Certificación vigencia y cargos</t>
        </is>
      </c>
      <c r="N720" s="280" t="n">
        <v>27.95</v>
      </c>
      <c r="O720" s="278" t="inlineStr">
        <is>
          <t>Gastos derivados de Gestión (3,5%)</t>
        </is>
      </c>
      <c r="P720" s="280">
        <f>N720*0.035</f>
        <v/>
      </c>
      <c r="R720" s="280" t="n"/>
      <c r="T720" s="280" t="n"/>
      <c r="V720" s="280" t="n"/>
      <c r="X720" s="280" t="n"/>
      <c r="Z720" s="280" t="n"/>
      <c r="AA720" s="280" t="n"/>
      <c r="AB720" s="402" t="inlineStr">
        <is>
          <t>ES85 2080 3509 1130 4009 6171</t>
        </is>
      </c>
      <c r="AC720" s="278" t="inlineStr">
        <is>
          <t>pendiente</t>
        </is>
      </c>
      <c r="AD720" s="280">
        <f>L720+N720+P720+R720+T720+V720+X720+Z720</f>
        <v/>
      </c>
      <c r="AE720" s="280">
        <f>IF((LEFT(K720,6))="Contab",L720,0)</f>
        <v/>
      </c>
      <c r="AF720" s="281">
        <f>VLOOKUP(G720,CLIENTES!B:E,4,FALSE)</f>
        <v/>
      </c>
      <c r="AG720" s="280">
        <f>AF720*AE720</f>
        <v/>
      </c>
      <c r="AH720" s="280">
        <f>AD720*1.21</f>
        <v/>
      </c>
      <c r="AI720" s="284">
        <f>IF(AE720&lt;&gt;0,AG720/AD720,"N/A")</f>
        <v/>
      </c>
      <c r="AJ720" s="280">
        <f>IF(AC720="pendiente",AD720,0)</f>
        <v/>
      </c>
      <c r="AK720" s="278">
        <f>VLOOKUP(G720,CLIENTES!B:D,3,FALSE)</f>
        <v/>
      </c>
    </row>
    <row r="721" ht="15" customFormat="1" customHeight="1" s="278">
      <c r="B721" s="279" t="n"/>
      <c r="C721" s="278" t="inlineStr">
        <is>
          <t>c/ Las Cruzadas 3A, local D</t>
        </is>
      </c>
      <c r="D721" s="278" t="inlineStr">
        <is>
          <t>Sevilla 41004</t>
        </is>
      </c>
      <c r="E721" s="278" t="inlineStr">
        <is>
          <t>CIF B91938662</t>
        </is>
      </c>
      <c r="F721" s="278" t="inlineStr">
        <is>
          <t>aBalados@abalados.es</t>
        </is>
      </c>
      <c r="G721" s="278" t="inlineStr">
        <is>
          <t>WOC Fotovoltaica España, 2.7, S.L, S.Com</t>
        </is>
      </c>
      <c r="H721" s="278">
        <f>VLOOKUP($G721,DATOS!$B:$E,2,FALSE)</f>
        <v/>
      </c>
      <c r="I721" s="278">
        <f>VLOOKUP($G721,DATOS!$B:$E,3,FALSE)</f>
        <v/>
      </c>
      <c r="J721" s="278">
        <f>VLOOKUP($G721,DATOS!$B:$E,4,FALSE)</f>
        <v/>
      </c>
      <c r="K721" s="278" t="inlineStr">
        <is>
          <t>Refacturación gastos y/o servicios prestados a nombre de la sociedad</t>
        </is>
      </c>
      <c r="L721" s="280" t="n"/>
      <c r="M721" s="278" t="inlineStr">
        <is>
          <t>Nota simple RM - Certificación vigencia y cargos</t>
        </is>
      </c>
      <c r="N721" s="280" t="n">
        <v>27.95</v>
      </c>
      <c r="O721" s="278" t="inlineStr">
        <is>
          <t>Gastos derivados de Gestión (3,5%)</t>
        </is>
      </c>
      <c r="P721" s="280">
        <f>N721*0.035</f>
        <v/>
      </c>
      <c r="R721" s="280" t="n"/>
      <c r="T721" s="280" t="n"/>
      <c r="V721" s="280" t="n"/>
      <c r="X721" s="280" t="n"/>
      <c r="Z721" s="280" t="n"/>
      <c r="AA721" s="280" t="n"/>
      <c r="AB721" s="402" t="inlineStr">
        <is>
          <t>ES85 2080 3509 1130 4009 6171</t>
        </is>
      </c>
      <c r="AC721" s="278" t="inlineStr">
        <is>
          <t>pendiente</t>
        </is>
      </c>
      <c r="AD721" s="280">
        <f>L721+N721+P721+R721+T721+V721+X721+Z721</f>
        <v/>
      </c>
      <c r="AE721" s="280">
        <f>IF((LEFT(K721,6))="Contab",L721,0)</f>
        <v/>
      </c>
      <c r="AF721" s="281">
        <f>VLOOKUP(G721,CLIENTES!B:E,4,FALSE)</f>
        <v/>
      </c>
      <c r="AG721" s="280">
        <f>AF721*AE721</f>
        <v/>
      </c>
      <c r="AH721" s="280">
        <f>AD721*1.21</f>
        <v/>
      </c>
      <c r="AI721" s="284">
        <f>IF(AE721&lt;&gt;0,AG721/AD721,"N/A")</f>
        <v/>
      </c>
      <c r="AJ721" s="280">
        <f>IF(AC721="pendiente",AD721,0)</f>
        <v/>
      </c>
      <c r="AK721" s="278">
        <f>VLOOKUP(G721,CLIENTES!B:D,3,FALSE)</f>
        <v/>
      </c>
    </row>
    <row r="722" ht="15" customFormat="1" customHeight="1" s="278">
      <c r="B722" s="279" t="n"/>
      <c r="C722" s="278" t="inlineStr">
        <is>
          <t>c/ Las Cruzadas 3A, local D</t>
        </is>
      </c>
      <c r="D722" s="278" t="inlineStr">
        <is>
          <t>Sevilla 41004</t>
        </is>
      </c>
      <c r="E722" s="278" t="inlineStr">
        <is>
          <t>CIF B91938662</t>
        </is>
      </c>
      <c r="F722" s="278" t="inlineStr">
        <is>
          <t>aBalados@abalados.es</t>
        </is>
      </c>
      <c r="G722" s="278" t="inlineStr">
        <is>
          <t>WOC Fotovoltaica España Proyecto Villamartín S.L. S. Com.</t>
        </is>
      </c>
      <c r="H722" s="278">
        <f>VLOOKUP($G722,DATOS!$B:$E,2,FALSE)</f>
        <v/>
      </c>
      <c r="I722" s="278">
        <f>VLOOKUP($G722,DATOS!$B:$E,3,FALSE)</f>
        <v/>
      </c>
      <c r="J722" s="278">
        <f>VLOOKUP($G722,DATOS!$B:$E,4,FALSE)</f>
        <v/>
      </c>
      <c r="K722" s="278" t="inlineStr">
        <is>
          <t>Refacturación gastos y/o servicios prestados a nombre de la sociedad</t>
        </is>
      </c>
      <c r="L722" s="280" t="n"/>
      <c r="M722" s="278" t="inlineStr">
        <is>
          <t>Nota simple RM - Certificación vigencia y cargos</t>
        </is>
      </c>
      <c r="N722" s="280" t="n">
        <v>27.95</v>
      </c>
      <c r="O722" s="278" t="inlineStr">
        <is>
          <t>Gastos derivados de Gestión (3,5%)</t>
        </is>
      </c>
      <c r="P722" s="280">
        <f>N722*0.035</f>
        <v/>
      </c>
      <c r="R722" s="280" t="n"/>
      <c r="T722" s="280" t="n"/>
      <c r="V722" s="280" t="n"/>
      <c r="X722" s="280" t="n"/>
      <c r="Z722" s="280" t="n"/>
      <c r="AA722" s="280" t="n"/>
      <c r="AB722" s="402" t="inlineStr">
        <is>
          <t>ES85 2080 3509 1130 4009 6171</t>
        </is>
      </c>
      <c r="AC722" s="278" t="inlineStr">
        <is>
          <t>pendiente</t>
        </is>
      </c>
      <c r="AD722" s="280">
        <f>L722+N722+P722+R722+T722+V722+X722+Z722</f>
        <v/>
      </c>
      <c r="AE722" s="280">
        <f>IF((LEFT(K722,6))="Contab",L722,0)</f>
        <v/>
      </c>
      <c r="AF722" s="281">
        <f>VLOOKUP(G722,CLIENTES!B:E,4,FALSE)</f>
        <v/>
      </c>
      <c r="AG722" s="280">
        <f>AF722*AE722</f>
        <v/>
      </c>
      <c r="AH722" s="280">
        <f>AD722*1.21</f>
        <v/>
      </c>
      <c r="AI722" s="284">
        <f>IF(AE722&lt;&gt;0,AG722/AD722,"N/A")</f>
        <v/>
      </c>
      <c r="AJ722" s="280">
        <f>IF(AC722="pendiente",AD722,0)</f>
        <v/>
      </c>
      <c r="AK722" s="278">
        <f>VLOOKUP(G722,CLIENTES!B:D,3,FALSE)</f>
        <v/>
      </c>
    </row>
    <row r="723" ht="15" customFormat="1" customHeight="1" s="278">
      <c r="B723" s="279" t="n"/>
      <c r="C723" s="278" t="inlineStr">
        <is>
          <t>c/ Las Cruzadas 3A, local D</t>
        </is>
      </c>
      <c r="D723" s="278" t="inlineStr">
        <is>
          <t>Sevilla 41004</t>
        </is>
      </c>
      <c r="E723" s="278" t="inlineStr">
        <is>
          <t>CIF B91938662</t>
        </is>
      </c>
      <c r="F723" s="278" t="inlineStr">
        <is>
          <t>aBalados@abalados.es</t>
        </is>
      </c>
      <c r="G723" s="278" t="inlineStr">
        <is>
          <t>Agrupación Solar el Algarrobo II, S.L.U.</t>
        </is>
      </c>
      <c r="H723" s="278">
        <f>VLOOKUP($G723,DATOS!$B:$E,2,FALSE)</f>
        <v/>
      </c>
      <c r="I723" s="278">
        <f>VLOOKUP($G723,DATOS!$B:$E,3,FALSE)</f>
        <v/>
      </c>
      <c r="J723" s="278">
        <f>VLOOKUP($G723,DATOS!$B:$E,4,FALSE)</f>
        <v/>
      </c>
      <c r="K723" s="278" t="inlineStr">
        <is>
          <t>Refacturación gastos y/o servicios prestados a nombre de la sociedad</t>
        </is>
      </c>
      <c r="L723" s="280" t="n"/>
      <c r="M723" s="278" t="inlineStr">
        <is>
          <t>Adecuación caminos</t>
        </is>
      </c>
      <c r="N723" s="280" t="n">
        <v>5200</v>
      </c>
      <c r="O723" s="278" t="inlineStr">
        <is>
          <t>Gastos derivados de Gestión (3,5%)</t>
        </is>
      </c>
      <c r="P723" s="280">
        <f>N723*0.035</f>
        <v/>
      </c>
      <c r="R723" s="280" t="n"/>
      <c r="T723" s="280" t="n"/>
      <c r="V723" s="280" t="n"/>
      <c r="X723" s="280" t="n"/>
      <c r="Z723" s="280" t="n"/>
      <c r="AA723" s="280" t="n"/>
      <c r="AB723" s="402" t="inlineStr">
        <is>
          <t>ES85 2080 3509 1130 4009 6171</t>
        </is>
      </c>
      <c r="AC723" s="278" t="inlineStr">
        <is>
          <t>pendiente</t>
        </is>
      </c>
      <c r="AD723" s="280">
        <f>L723+N723+P723+R723+T723+V723+X723+Z723</f>
        <v/>
      </c>
      <c r="AE723" s="280">
        <f>IF((LEFT(K723,6))="Contab",L723,0)</f>
        <v/>
      </c>
      <c r="AF723" s="281">
        <f>VLOOKUP(G723,CLIENTES!B:E,4,FALSE)</f>
        <v/>
      </c>
      <c r="AG723" s="280">
        <f>AF723*AE723</f>
        <v/>
      </c>
      <c r="AH723" s="280">
        <f>AD723*1.21</f>
        <v/>
      </c>
      <c r="AI723" s="284">
        <f>IF(AE723&lt;&gt;0,AG723/AD723,"N/A")</f>
        <v/>
      </c>
      <c r="AJ723" s="280">
        <f>IF(AC723="pendiente",AD723,0)</f>
        <v/>
      </c>
      <c r="AK723" s="278">
        <f>VLOOKUP(G723,CLIENTES!B:D,3,FALSE)</f>
        <v/>
      </c>
    </row>
    <row r="724" ht="15" customFormat="1" customHeight="1" s="278">
      <c r="B724" s="279" t="n"/>
      <c r="C724" s="278" t="inlineStr">
        <is>
          <t>c/ Las Cruzadas 3A, local D</t>
        </is>
      </c>
      <c r="D724" s="278" t="inlineStr">
        <is>
          <t>Sevilla 41004</t>
        </is>
      </c>
      <c r="E724" s="278" t="inlineStr">
        <is>
          <t>CIF B91938662</t>
        </is>
      </c>
      <c r="F724" s="278" t="inlineStr">
        <is>
          <t>aBalados@abalados.es</t>
        </is>
      </c>
      <c r="G724" s="278" t="inlineStr">
        <is>
          <t>WFE 02 S.L., S.COM</t>
        </is>
      </c>
      <c r="H724" s="278">
        <f>VLOOKUP($G724,DATOS!$B:$E,2,FALSE)</f>
        <v/>
      </c>
      <c r="I724" s="278">
        <f>VLOOKUP($G724,DATOS!$B:$E,3,FALSE)</f>
        <v/>
      </c>
      <c r="J724" s="278">
        <f>VLOOKUP($G724,DATOS!$B:$E,4,FALSE)</f>
        <v/>
      </c>
      <c r="K724" s="278" t="inlineStr">
        <is>
          <t>Refacturación gastos y/o servicios prestados a nombre de la sociedad</t>
        </is>
      </c>
      <c r="L724" s="280" t="n"/>
      <c r="M724" s="278" t="inlineStr">
        <is>
          <t>Nota simple RM - Certificación vigencia y cargos</t>
        </is>
      </c>
      <c r="N724" s="280" t="n">
        <v>27.95</v>
      </c>
      <c r="O724" s="278" t="inlineStr">
        <is>
          <t>Gastos derivados de Gestión (3,5%)</t>
        </is>
      </c>
      <c r="P724" s="280">
        <f>N724*0.035</f>
        <v/>
      </c>
      <c r="R724" s="280" t="n"/>
      <c r="T724" s="280" t="n"/>
      <c r="V724" s="280" t="n"/>
      <c r="X724" s="280" t="n"/>
      <c r="Z724" s="280" t="n"/>
      <c r="AA724" s="280" t="n"/>
      <c r="AB724" s="402" t="inlineStr">
        <is>
          <t>ES85 2080 3509 1130 4009 6171</t>
        </is>
      </c>
      <c r="AC724" s="278" t="inlineStr">
        <is>
          <t>pendiente</t>
        </is>
      </c>
      <c r="AD724" s="280">
        <f>L724+N724+P724+R724+T724+V724+X724+Z724</f>
        <v/>
      </c>
      <c r="AE724" s="280">
        <f>IF((LEFT(K724,6))="Contab",L724,0)</f>
        <v/>
      </c>
      <c r="AF724" s="281">
        <f>VLOOKUP(G724,CLIENTES!B:E,4,FALSE)</f>
        <v/>
      </c>
      <c r="AG724" s="280">
        <f>AF724*AE724</f>
        <v/>
      </c>
      <c r="AH724" s="280">
        <f>AD724*1.21</f>
        <v/>
      </c>
      <c r="AI724" s="284">
        <f>IF(AE724&lt;&gt;0,AG724/AD724,"N/A")</f>
        <v/>
      </c>
      <c r="AJ724" s="280">
        <f>IF(AC724="pendiente",AD724,0)</f>
        <v/>
      </c>
      <c r="AK724" s="278">
        <f>VLOOKUP(G724,CLIENTES!B:D,3,FALSE)</f>
        <v/>
      </c>
    </row>
    <row r="725" ht="15" customFormat="1" customHeight="1" s="278">
      <c r="B725" s="279" t="n"/>
      <c r="C725" s="278" t="inlineStr">
        <is>
          <t>c/ Las Cruzadas 3A, local D</t>
        </is>
      </c>
      <c r="D725" s="278" t="inlineStr">
        <is>
          <t>Sevilla 41004</t>
        </is>
      </c>
      <c r="E725" s="278" t="inlineStr">
        <is>
          <t>CIF B91938662</t>
        </is>
      </c>
      <c r="F725" s="278" t="inlineStr">
        <is>
          <t>aBalados@abalados.es</t>
        </is>
      </c>
      <c r="G725" s="278" t="inlineStr">
        <is>
          <t>WOC Fotovoltaica España Proyecto Coreses S.L. S. Com.</t>
        </is>
      </c>
      <c r="H725" s="278">
        <f>VLOOKUP($G725,DATOS!$B:$E,2,FALSE)</f>
        <v/>
      </c>
      <c r="I725" s="278">
        <f>VLOOKUP($G725,DATOS!$B:$E,3,FALSE)</f>
        <v/>
      </c>
      <c r="J725" s="278">
        <f>VLOOKUP($G725,DATOS!$B:$E,4,FALSE)</f>
        <v/>
      </c>
      <c r="K725" s="278" t="inlineStr">
        <is>
          <t>Refacturación gastos y/o servicios prestados a nombre de la sociedad</t>
        </is>
      </c>
      <c r="L725" s="280" t="n"/>
      <c r="M725" s="278" t="inlineStr">
        <is>
          <t>Nota simple RM - Certificación vigencia y cargos</t>
        </is>
      </c>
      <c r="N725" s="280" t="n">
        <v>27.95</v>
      </c>
      <c r="O725" s="278" t="inlineStr">
        <is>
          <t>Gastos derivados de Gestión (3,5%)</t>
        </is>
      </c>
      <c r="P725" s="280">
        <f>N725*0.035</f>
        <v/>
      </c>
      <c r="R725" s="280" t="n"/>
      <c r="T725" s="280" t="n"/>
      <c r="V725" s="280" t="n"/>
      <c r="X725" s="280" t="n"/>
      <c r="Z725" s="280" t="n"/>
      <c r="AA725" s="280" t="n"/>
      <c r="AB725" s="402" t="inlineStr">
        <is>
          <t>ES85 2080 3509 1130 4009 6171</t>
        </is>
      </c>
      <c r="AC725" s="278" t="inlineStr">
        <is>
          <t>pendiente</t>
        </is>
      </c>
      <c r="AD725" s="280">
        <f>L725+N725+P725+R725+T725+V725+X725+Z725</f>
        <v/>
      </c>
      <c r="AE725" s="280">
        <f>IF((LEFT(K725,6))="Contab",L725,0)</f>
        <v/>
      </c>
      <c r="AF725" s="281">
        <f>VLOOKUP(G725,CLIENTES!B:E,4,FALSE)</f>
        <v/>
      </c>
      <c r="AG725" s="280">
        <f>AF725*AE725</f>
        <v/>
      </c>
      <c r="AH725" s="280">
        <f>AD725*1.21</f>
        <v/>
      </c>
      <c r="AI725" s="284">
        <f>IF(AE725&lt;&gt;0,AG725/AD725,"N/A")</f>
        <v/>
      </c>
      <c r="AJ725" s="280">
        <f>IF(AC725="pendiente",AD725,0)</f>
        <v/>
      </c>
      <c r="AK725" s="278">
        <f>VLOOKUP(G725,CLIENTES!B:D,3,FALSE)</f>
        <v/>
      </c>
    </row>
    <row r="726" ht="15" customFormat="1" customHeight="1" s="278">
      <c r="B726" s="279" t="n"/>
      <c r="C726" s="278" t="inlineStr">
        <is>
          <t>c/ Las Cruzadas 3A, local D</t>
        </is>
      </c>
      <c r="D726" s="278" t="inlineStr">
        <is>
          <t>Sevilla 41004</t>
        </is>
      </c>
      <c r="E726" s="278" t="inlineStr">
        <is>
          <t>CIF B91938662</t>
        </is>
      </c>
      <c r="F726" s="278" t="inlineStr">
        <is>
          <t>aBalados@abalados.es</t>
        </is>
      </c>
      <c r="G726" s="278" t="inlineStr">
        <is>
          <t>ES Garrovers Energía Solar S.L.U.</t>
        </is>
      </c>
      <c r="H726" s="278">
        <f>VLOOKUP($G726,DATOS!$B:$E,2,FALSE)</f>
        <v/>
      </c>
      <c r="I726" s="278">
        <f>VLOOKUP($G726,DATOS!$B:$E,3,FALSE)</f>
        <v/>
      </c>
      <c r="J726" s="278">
        <f>VLOOKUP($G726,DATOS!$B:$E,4,FALSE)</f>
        <v/>
      </c>
      <c r="K726" s="278" t="inlineStr">
        <is>
          <t>Honorarios de administración de créditos y representación inversores</t>
        </is>
      </c>
      <c r="L726" s="280" t="n">
        <v>8544.299999999999</v>
      </c>
      <c r="M726" s="278" t="inlineStr">
        <is>
          <t>Engagement Letter</t>
        </is>
      </c>
      <c r="N726" s="280" t="n"/>
      <c r="P726" s="280" t="n"/>
      <c r="R726" s="280" t="n"/>
      <c r="T726" s="280" t="n"/>
      <c r="V726" s="280" t="n"/>
      <c r="X726" s="280" t="n"/>
      <c r="Z726" s="280" t="n"/>
      <c r="AA726" s="280" t="n"/>
      <c r="AB726" s="281" t="inlineStr">
        <is>
          <t>ES85 2080 3509 1130 4009 6171</t>
        </is>
      </c>
      <c r="AC726" s="278" t="inlineStr">
        <is>
          <t>pendiente</t>
        </is>
      </c>
      <c r="AD726" s="280">
        <f>L726+N726+P726+R726+T726+V726+X726+Z726</f>
        <v/>
      </c>
      <c r="AE726" s="280">
        <f>IF((LEFT(K726,6))="Contab",L726,0)</f>
        <v/>
      </c>
      <c r="AF726" s="281">
        <f>VLOOKUP(G726,CLIENTES!B:E,4,FALSE)</f>
        <v/>
      </c>
      <c r="AG726" s="280">
        <f>AF726*AE726</f>
        <v/>
      </c>
      <c r="AH726" s="280">
        <f>AD726*1.21</f>
        <v/>
      </c>
      <c r="AI726" s="284">
        <f>IF(AE726&lt;&gt;0,AG726/AD726,"N/A")</f>
        <v/>
      </c>
      <c r="AJ726" s="280">
        <f>IF(AC726="pendiente",AD726,0)</f>
        <v/>
      </c>
      <c r="AK726" s="278">
        <f>VLOOKUP(G726,CLIENTES!B:D,3,FALSE)</f>
        <v/>
      </c>
    </row>
    <row r="727" ht="15" customFormat="1" customHeight="1" s="278">
      <c r="B727" s="279" t="n"/>
      <c r="C727" s="278" t="inlineStr">
        <is>
          <t>c/ Las Cruzadas 3A, local D</t>
        </is>
      </c>
      <c r="D727" s="278" t="inlineStr">
        <is>
          <t>Sevilla 41004</t>
        </is>
      </c>
      <c r="E727" s="278" t="inlineStr">
        <is>
          <t>CIF B91938662</t>
        </is>
      </c>
      <c r="F727" s="278" t="inlineStr">
        <is>
          <t>aBalados@abalados.es</t>
        </is>
      </c>
      <c r="G727" s="278" t="inlineStr">
        <is>
          <t>Agrupación Solar el Algarrobo I, S.L.U.</t>
        </is>
      </c>
      <c r="H727" s="278">
        <f>VLOOKUP($G727,DATOS!$B:$E,2,FALSE)</f>
        <v/>
      </c>
      <c r="I727" s="278">
        <f>VLOOKUP($G727,DATOS!$B:$E,3,FALSE)</f>
        <v/>
      </c>
      <c r="J727" s="278">
        <f>VLOOKUP($G727,DATOS!$B:$E,4,FALSE)</f>
        <v/>
      </c>
      <c r="K727" s="278" t="inlineStr">
        <is>
          <t>Honorarios de administración de créditos y representación inversores</t>
        </is>
      </c>
      <c r="L727" s="280" t="n">
        <v>3202.12</v>
      </c>
      <c r="M727" s="278" t="inlineStr">
        <is>
          <t>Engagement Letter</t>
        </is>
      </c>
      <c r="N727" s="280" t="n"/>
      <c r="P727" s="280" t="n"/>
      <c r="R727" s="280" t="n"/>
      <c r="T727" s="280" t="n"/>
      <c r="V727" s="280" t="n"/>
      <c r="X727" s="280" t="n"/>
      <c r="Z727" s="280" t="n"/>
      <c r="AA727" s="280" t="n"/>
      <c r="AB727" s="281" t="inlineStr">
        <is>
          <t>ES85 2080 3509 1130 4009 6171</t>
        </is>
      </c>
      <c r="AC727" s="278" t="inlineStr">
        <is>
          <t>pendiente</t>
        </is>
      </c>
      <c r="AD727" s="280">
        <f>L727+N727+P727+R727+T727+V727+X727+Z727</f>
        <v/>
      </c>
      <c r="AE727" s="280">
        <f>IF((LEFT(K727,6))="Contab",L727,0)</f>
        <v/>
      </c>
      <c r="AF727" s="281">
        <f>VLOOKUP(G727,CLIENTES!B:E,4,FALSE)</f>
        <v/>
      </c>
      <c r="AG727" s="280">
        <f>AF727*AE727</f>
        <v/>
      </c>
      <c r="AH727" s="280">
        <f>AD727*1.21</f>
        <v/>
      </c>
      <c r="AI727" s="284">
        <f>IF(AE727&lt;&gt;0,AG727/AD727,"N/A")</f>
        <v/>
      </c>
      <c r="AJ727" s="280">
        <f>IF(AC727="pendiente",AD727,0)</f>
        <v/>
      </c>
      <c r="AK727" s="278">
        <f>VLOOKUP(G727,CLIENTES!B:D,3,FALSE)</f>
        <v/>
      </c>
    </row>
    <row r="728" ht="15" customFormat="1" customHeight="1" s="278">
      <c r="B728" s="279" t="n"/>
      <c r="C728" s="278" t="inlineStr">
        <is>
          <t>c/ Las Cruzadas 3A, local D</t>
        </is>
      </c>
      <c r="D728" s="278" t="inlineStr">
        <is>
          <t>Sevilla 41004</t>
        </is>
      </c>
      <c r="E728" s="278" t="inlineStr">
        <is>
          <t>CIF B91938662</t>
        </is>
      </c>
      <c r="F728" s="278" t="inlineStr">
        <is>
          <t>aBalados@abalados.es</t>
        </is>
      </c>
      <c r="G728" s="278" t="inlineStr">
        <is>
          <t>Agrupación Solar el Algarrobo II, S.L.U.</t>
        </is>
      </c>
      <c r="H728" s="278">
        <f>VLOOKUP($G728,DATOS!$B:$E,2,FALSE)</f>
        <v/>
      </c>
      <c r="I728" s="278">
        <f>VLOOKUP($G728,DATOS!$B:$E,3,FALSE)</f>
        <v/>
      </c>
      <c r="J728" s="278">
        <f>VLOOKUP($G728,DATOS!$B:$E,4,FALSE)</f>
        <v/>
      </c>
      <c r="K728" s="278" t="inlineStr">
        <is>
          <t>Honorarios de administración de créditos y representación inversores</t>
        </is>
      </c>
      <c r="L728" s="280" t="n">
        <v>3202.12</v>
      </c>
      <c r="M728" s="278" t="inlineStr">
        <is>
          <t>Engagement Letter</t>
        </is>
      </c>
      <c r="N728" s="280" t="n"/>
      <c r="P728" s="280" t="n"/>
      <c r="R728" s="280" t="n"/>
      <c r="T728" s="280" t="n"/>
      <c r="V728" s="280" t="n"/>
      <c r="X728" s="280" t="n"/>
      <c r="Z728" s="280" t="n"/>
      <c r="AA728" s="280" t="n"/>
      <c r="AB728" s="281" t="inlineStr">
        <is>
          <t>ES85 2080 3509 1130 4009 6171</t>
        </is>
      </c>
      <c r="AC728" s="278" t="inlineStr">
        <is>
          <t>pendiente</t>
        </is>
      </c>
      <c r="AD728" s="280">
        <f>L728+N728+P728+R728+T728+V728+X728+Z728</f>
        <v/>
      </c>
      <c r="AE728" s="280">
        <f>IF((LEFT(K728,6))="Contab",L728,0)</f>
        <v/>
      </c>
      <c r="AF728" s="281">
        <f>VLOOKUP(G728,CLIENTES!B:E,4,FALSE)</f>
        <v/>
      </c>
      <c r="AG728" s="280">
        <f>AF728*AE728</f>
        <v/>
      </c>
      <c r="AH728" s="280">
        <f>AD728*1.21</f>
        <v/>
      </c>
      <c r="AI728" s="284">
        <f>IF(AE728&lt;&gt;0,AG728/AD728,"N/A")</f>
        <v/>
      </c>
      <c r="AJ728" s="280">
        <f>IF(AC728="pendiente",AD728,0)</f>
        <v/>
      </c>
      <c r="AK728" s="278">
        <f>VLOOKUP(G728,CLIENTES!B:D,3,FALSE)</f>
        <v/>
      </c>
    </row>
    <row r="729" ht="15" customFormat="1" customHeight="1" s="278">
      <c r="B729" s="279" t="n"/>
      <c r="C729" s="278" t="inlineStr">
        <is>
          <t>c/ Las Cruzadas 3A, local D</t>
        </is>
      </c>
      <c r="D729" s="278" t="inlineStr">
        <is>
          <t>Sevilla 41004</t>
        </is>
      </c>
      <c r="E729" s="278" t="inlineStr">
        <is>
          <t>CIF B91938662</t>
        </is>
      </c>
      <c r="F729" s="278" t="inlineStr">
        <is>
          <t>aBalados@abalados.es</t>
        </is>
      </c>
      <c r="G729" s="278" t="inlineStr">
        <is>
          <t>Agrupación Solar el Algarrobo III, S.L.U.</t>
        </is>
      </c>
      <c r="H729" s="278">
        <f>VLOOKUP($G729,DATOS!$B:$E,2,FALSE)</f>
        <v/>
      </c>
      <c r="I729" s="278">
        <f>VLOOKUP($G729,DATOS!$B:$E,3,FALSE)</f>
        <v/>
      </c>
      <c r="J729" s="278">
        <f>VLOOKUP($G729,DATOS!$B:$E,4,FALSE)</f>
        <v/>
      </c>
      <c r="K729" s="278" t="inlineStr">
        <is>
          <t>Honorarios de administración de créditos y representación inversores</t>
        </is>
      </c>
      <c r="L729" s="280" t="n">
        <v>2823.39</v>
      </c>
      <c r="M729" s="278" t="inlineStr">
        <is>
          <t>Engagement Letter</t>
        </is>
      </c>
      <c r="N729" s="280" t="n"/>
      <c r="P729" s="280" t="n"/>
      <c r="R729" s="280" t="n"/>
      <c r="T729" s="280" t="n"/>
      <c r="V729" s="280" t="n"/>
      <c r="X729" s="280" t="n"/>
      <c r="Z729" s="280" t="n"/>
      <c r="AA729" s="280" t="n"/>
      <c r="AB729" s="281" t="inlineStr">
        <is>
          <t>ES85 2080 3509 1130 4009 6171</t>
        </is>
      </c>
      <c r="AC729" s="278" t="inlineStr">
        <is>
          <t>pendiente</t>
        </is>
      </c>
      <c r="AD729" s="280">
        <f>L729+N729+P729+R729+T729+V729+X729+Z729</f>
        <v/>
      </c>
      <c r="AE729" s="280">
        <f>IF((LEFT(K729,6))="Contab",L729,0)</f>
        <v/>
      </c>
      <c r="AF729" s="281">
        <f>VLOOKUP(G729,CLIENTES!B:E,4,FALSE)</f>
        <v/>
      </c>
      <c r="AG729" s="280">
        <f>AF729*AE729</f>
        <v/>
      </c>
      <c r="AH729" s="280">
        <f>AD729*1.21</f>
        <v/>
      </c>
      <c r="AI729" s="284">
        <f>IF(AE729&lt;&gt;0,AG729/AD729,"N/A")</f>
        <v/>
      </c>
      <c r="AJ729" s="280">
        <f>IF(AC729="pendiente",AD729,0)</f>
        <v/>
      </c>
      <c r="AK729" s="278">
        <f>VLOOKUP(G729,CLIENTES!B:D,3,FALSE)</f>
        <v/>
      </c>
    </row>
    <row r="730" ht="15" customFormat="1" customHeight="1" s="278">
      <c r="B730" s="279" t="n"/>
      <c r="C730" s="278" t="inlineStr">
        <is>
          <t>c/ Las Cruzadas 3A, local D</t>
        </is>
      </c>
      <c r="D730" s="278" t="inlineStr">
        <is>
          <t>Sevilla 41004</t>
        </is>
      </c>
      <c r="E730" s="278" t="inlineStr">
        <is>
          <t>CIF B91938662</t>
        </is>
      </c>
      <c r="F730" s="278" t="inlineStr">
        <is>
          <t>aBalados@abalados.es</t>
        </is>
      </c>
      <c r="G730" s="278" t="inlineStr">
        <is>
          <t>Locaba Solar S.L.U.</t>
        </is>
      </c>
      <c r="H730" s="278">
        <f>VLOOKUP($G730,DATOS!$B:$E,2,FALSE)</f>
        <v/>
      </c>
      <c r="I730" s="278">
        <f>VLOOKUP($G730,DATOS!$B:$E,3,FALSE)</f>
        <v/>
      </c>
      <c r="J730" s="278">
        <f>VLOOKUP($G730,DATOS!$B:$E,4,FALSE)</f>
        <v/>
      </c>
      <c r="K730" s="278" t="inlineStr">
        <is>
          <t>Honorarios de administración de créditos y representación inversores</t>
        </is>
      </c>
      <c r="L730" s="280" t="n">
        <v>12000</v>
      </c>
      <c r="M730" s="278" t="inlineStr">
        <is>
          <t>Engagement Letter</t>
        </is>
      </c>
      <c r="N730" s="280" t="n"/>
      <c r="O730" s="278" t="inlineStr">
        <is>
          <t xml:space="preserve">Subsanación de error en importe </t>
        </is>
      </c>
      <c r="P730" s="280" t="n"/>
      <c r="R730" s="280" t="n"/>
      <c r="T730" s="280" t="n"/>
      <c r="V730" s="280" t="n"/>
      <c r="X730" s="280" t="n"/>
      <c r="Z730" s="280" t="n"/>
      <c r="AA730" s="280" t="n"/>
      <c r="AB730" s="281" t="inlineStr">
        <is>
          <t>ES85 2080 3509 1130 4009 6171</t>
        </is>
      </c>
      <c r="AC730" s="278" t="inlineStr">
        <is>
          <t>pendiente</t>
        </is>
      </c>
      <c r="AD730" s="280">
        <f>L730+N730+P730+R730+T730+V730+X730+Z730</f>
        <v/>
      </c>
      <c r="AE730" s="280">
        <f>IF((LEFT(K730,6))="Contab",L730,0)</f>
        <v/>
      </c>
      <c r="AF730" s="281">
        <f>VLOOKUP(G730,CLIENTES!B:E,4,FALSE)</f>
        <v/>
      </c>
      <c r="AG730" s="280">
        <f>AF730*AE730</f>
        <v/>
      </c>
      <c r="AH730" s="280">
        <f>AD730*1.21</f>
        <v/>
      </c>
      <c r="AI730" s="284">
        <f>IF(AE730&lt;&gt;0,AG730/AD730,"N/A")</f>
        <v/>
      </c>
      <c r="AJ730" s="280">
        <f>IF(AC730="pendiente",AD730,0)</f>
        <v/>
      </c>
      <c r="AK730" s="278">
        <f>VLOOKUP(G730,CLIENTES!B:D,3,FALSE)</f>
        <v/>
      </c>
    </row>
    <row r="731" ht="15" customHeight="1" s="700">
      <c r="B731" s="26" t="n"/>
      <c r="J731" s="1" t="n"/>
      <c r="AC731" s="1" t="n"/>
      <c r="AD731" s="5" t="n"/>
      <c r="AE731" s="5" t="n"/>
      <c r="AG731" s="5" t="n"/>
      <c r="AH731" s="5" t="n"/>
      <c r="AI731" s="261" t="n"/>
      <c r="AJ731" s="5" t="n"/>
      <c r="AL731" s="1" t="n"/>
    </row>
    <row r="732" ht="15" customFormat="1" customHeight="1" s="421">
      <c r="B732" s="422" t="n"/>
      <c r="L732" s="423" t="n"/>
      <c r="N732" s="423" t="n"/>
      <c r="P732" s="423" t="n"/>
      <c r="R732" s="423" t="n"/>
      <c r="T732" s="423" t="n"/>
      <c r="V732" s="423" t="n"/>
      <c r="X732" s="423" t="n"/>
      <c r="Z732" s="423" t="n"/>
      <c r="AA732" s="423" t="n"/>
      <c r="AB732" s="424" t="n"/>
      <c r="AD732" s="423" t="n"/>
      <c r="AE732" s="423" t="n"/>
      <c r="AF732" s="424" t="n"/>
      <c r="AG732" s="423" t="n"/>
      <c r="AH732" s="423" t="n"/>
      <c r="AI732" s="425" t="n"/>
      <c r="AJ732" s="423" t="n"/>
    </row>
    <row r="733" ht="15" customHeight="1" s="700">
      <c r="Z733" s="86" t="n"/>
    </row>
    <row r="734" ht="15" customFormat="1" customHeight="1" s="278">
      <c r="B734" s="279" t="n"/>
      <c r="C734" s="278" t="inlineStr">
        <is>
          <t>c/ Las Cruzadas 3A, local D</t>
        </is>
      </c>
      <c r="D734" s="278" t="inlineStr">
        <is>
          <t>Sevilla 41004</t>
        </is>
      </c>
      <c r="E734" s="278" t="inlineStr">
        <is>
          <t>CIF B91938662</t>
        </is>
      </c>
      <c r="F734" s="278" t="inlineStr">
        <is>
          <t>aBalados@abalados.es</t>
        </is>
      </c>
      <c r="G734" s="278" t="inlineStr">
        <is>
          <t>China Triumph International Engineering Co., LTD EP EN SPAIN</t>
        </is>
      </c>
      <c r="H734" s="278">
        <f>VLOOKUP($G734,DATOS!$B:$E,2,FALSE)</f>
        <v/>
      </c>
      <c r="I734" s="278">
        <f>VLOOKUP($G734,DATOS!$B:$E,3,FALSE)</f>
        <v/>
      </c>
      <c r="J734" s="278">
        <f>VLOOKUP($G734,DATOS!$B:$E,4,FALSE)</f>
        <v/>
      </c>
      <c r="K734" s="278" t="inlineStr">
        <is>
          <t>O&amp;M Supervision and Management</t>
        </is>
      </c>
      <c r="L734" s="280" t="n"/>
      <c r="N734" s="280" t="n"/>
      <c r="O734" s="278" t="inlineStr">
        <is>
          <t>Puerto Real 1 PV - Cádiz | Spain</t>
        </is>
      </c>
      <c r="P734" s="280" t="n">
        <v>16803.27</v>
      </c>
      <c r="Q734" s="278" t="inlineStr">
        <is>
          <t>O&amp;M Management services provided on January 2023</t>
        </is>
      </c>
      <c r="R734" s="280" t="n"/>
      <c r="T734" s="280" t="n"/>
      <c r="V734" s="280" t="n"/>
      <c r="X734" s="280" t="n"/>
      <c r="Z734" s="280" t="n"/>
      <c r="AA734" s="280" t="n"/>
      <c r="AB734" s="281" t="inlineStr">
        <is>
          <t>ES11 0081 7069 2700 0122 7724</t>
        </is>
      </c>
      <c r="AC734" s="278" t="inlineStr">
        <is>
          <t>pendiente</t>
        </is>
      </c>
      <c r="AD734" s="280">
        <f>L734+N734+P734+R734+T734+V734+X734+Z734</f>
        <v/>
      </c>
      <c r="AE734" s="280">
        <f>IF((LEFT(K734,6))="Contab",L734,0)</f>
        <v/>
      </c>
      <c r="AF734" s="297">
        <f>VLOOKUP(G734,CLIENTES!B:E,4,FALSE)</f>
        <v/>
      </c>
      <c r="AG734" s="280">
        <f>AF734*AE734</f>
        <v/>
      </c>
      <c r="AH734" s="280">
        <f>AD734*1.21</f>
        <v/>
      </c>
      <c r="AI734" s="284">
        <f>IF(AE734&lt;&gt;0,AG734/AD734,"N/A")</f>
        <v/>
      </c>
      <c r="AJ734" s="280">
        <f>IF(AC734="pendiente",AD734,0)</f>
        <v/>
      </c>
      <c r="AK734" s="278">
        <f>VLOOKUP(G734,CLIENTES!B:D,3,FALSE)</f>
        <v/>
      </c>
    </row>
    <row r="735" ht="15" customFormat="1" customHeight="1" s="192">
      <c r="B735" s="199" t="n"/>
      <c r="C735" s="192" t="inlineStr">
        <is>
          <t>c/ Las Cruzadas 3A, local D</t>
        </is>
      </c>
      <c r="D735" s="192" t="inlineStr">
        <is>
          <t>Sevilla 41004</t>
        </is>
      </c>
      <c r="E735" s="192" t="inlineStr">
        <is>
          <t>CIF B91938662</t>
        </is>
      </c>
      <c r="F735" s="192" t="inlineStr">
        <is>
          <t>aBalados@abalados.es</t>
        </is>
      </c>
      <c r="G735" s="192" t="inlineStr">
        <is>
          <t>China Triumph International Engineering Co., LTD EP EN SPAIN</t>
        </is>
      </c>
      <c r="H735" s="192">
        <f>VLOOKUP($G735,DATOS!$B:$E,2,FALSE)</f>
        <v/>
      </c>
      <c r="I735" s="192">
        <f>VLOOKUP($G735,DATOS!$B:$E,3,FALSE)</f>
        <v/>
      </c>
      <c r="J735" s="192">
        <f>VLOOKUP($G735,DATOS!$B:$E,4,FALSE)</f>
        <v/>
      </c>
      <c r="K735" s="192" t="inlineStr">
        <is>
          <t>Technical Advisory - Support with Commissioning and EPC Closing</t>
        </is>
      </c>
      <c r="L735" s="200" t="n"/>
      <c r="N735" s="200" t="n"/>
      <c r="O735" s="192" t="inlineStr">
        <is>
          <t>Puerto Real 2 PV - Cádiz | Spain</t>
        </is>
      </c>
      <c r="P735" s="200" t="n">
        <v>25680</v>
      </c>
      <c r="Q735" s="192" t="inlineStr">
        <is>
          <t>TA Services provided on January 2023</t>
        </is>
      </c>
      <c r="R735" s="200" t="n"/>
      <c r="T735" s="200" t="n"/>
      <c r="V735" s="200" t="n"/>
      <c r="X735" s="200" t="n"/>
      <c r="Z735" s="200" t="n"/>
      <c r="AA735" s="200" t="n"/>
      <c r="AB735" s="201" t="inlineStr">
        <is>
          <t>ES11 0081 7069 2700 0122 7724</t>
        </is>
      </c>
      <c r="AC735" s="192" t="inlineStr">
        <is>
          <t>pendiente</t>
        </is>
      </c>
      <c r="AD735" s="200">
        <f>L735+N735+P735+R735+T735+V735+X735+Z735</f>
        <v/>
      </c>
      <c r="AE735" s="200">
        <f>IF((LEFT(K735,6))="Contab",L735,0)</f>
        <v/>
      </c>
      <c r="AF735" s="298">
        <f>VLOOKUP(G735,CLIENTES!B:E,4,FALSE)</f>
        <v/>
      </c>
      <c r="AG735" s="200">
        <f>AF735*AE735</f>
        <v/>
      </c>
      <c r="AH735" s="200">
        <f>AD735*1.21</f>
        <v/>
      </c>
      <c r="AI735" s="283">
        <f>IF(AE735&lt;&gt;0,AG735/AD735,"N/A")</f>
        <v/>
      </c>
      <c r="AJ735" s="200">
        <f>IF(AC735="pendiente",AD735,0)</f>
        <v/>
      </c>
      <c r="AK735" s="192">
        <f>VLOOKUP(G735,CLIENTES!B:D,3,FALSE)</f>
        <v/>
      </c>
    </row>
    <row r="736" ht="15" customFormat="1" customHeight="1" s="195">
      <c r="B736" s="194" t="n"/>
      <c r="C736" s="195" t="inlineStr">
        <is>
          <t>c/ Las Cruzadas 3A, local D</t>
        </is>
      </c>
      <c r="D736" s="195" t="inlineStr">
        <is>
          <t>Sevilla 41004</t>
        </is>
      </c>
      <c r="E736" s="195" t="inlineStr">
        <is>
          <t>CIF B91938662</t>
        </is>
      </c>
      <c r="F736" s="195" t="inlineStr">
        <is>
          <t>aBalados@abalados.es</t>
        </is>
      </c>
      <c r="G736" s="195" t="inlineStr">
        <is>
          <t>Sun Tol I, S.L.U.</t>
        </is>
      </c>
      <c r="H736" s="195">
        <f>VLOOKUP($G736,DATOS!$B:$E,2,FALSE)</f>
        <v/>
      </c>
      <c r="I736" s="195">
        <f>VLOOKUP($G736,DATOS!$B:$E,3,FALSE)</f>
        <v/>
      </c>
      <c r="J736" s="195">
        <f>VLOOKUP($G736,DATOS!$B:$E,4,FALSE)</f>
        <v/>
      </c>
      <c r="K736" s="195" t="inlineStr">
        <is>
          <t>Extraordinary Legal Services for "Entidad 2"</t>
        </is>
      </c>
      <c r="L736" s="196" t="n"/>
      <c r="M736" s="195" t="inlineStr">
        <is>
          <t>(EVACUACIÓN LIQUESUN, S.L.)</t>
        </is>
      </c>
      <c r="N736" s="196" t="n"/>
      <c r="P736" s="196" t="n"/>
      <c r="Q736" s="195" t="inlineStr">
        <is>
          <t>i) Elaboration and agreement of private legal documents</t>
        </is>
      </c>
      <c r="R736" s="196" t="n">
        <v>2000</v>
      </c>
      <c r="S736" s="195" t="inlineStr">
        <is>
          <t xml:space="preserve">    a. Elaboration of Partner Agreement</t>
        </is>
      </c>
      <c r="T736" s="196" t="n"/>
      <c r="U736" s="195" t="inlineStr">
        <is>
          <t xml:space="preserve">    b. Bylaws for the new company</t>
        </is>
      </c>
      <c r="V736" s="196" t="n"/>
      <c r="W736" s="195" t="inlineStr">
        <is>
          <t xml:space="preserve">    c. Discussion and agreement with the associated Promotor</t>
        </is>
      </c>
      <c r="X736" s="196" t="n"/>
      <c r="Z736" s="196" t="n"/>
      <c r="AA736" s="196" t="n"/>
      <c r="AB736" s="197" t="inlineStr">
        <is>
          <t>ES11 0081 7069 2700 0122 7724</t>
        </is>
      </c>
      <c r="AC736" s="195" t="inlineStr">
        <is>
          <t>pendiente</t>
        </is>
      </c>
      <c r="AD736" s="280">
        <f>L736+N736+P736+R736+T736+V736+X736+Z736</f>
        <v/>
      </c>
      <c r="AE736" s="280">
        <f>IF((LEFT(K736,4))="Cont",N736,0)</f>
        <v/>
      </c>
      <c r="AF736" s="281">
        <f>VLOOKUP(G736,CLIENTES!B:E,4,FALSE)</f>
        <v/>
      </c>
      <c r="AG736" s="280">
        <f>AF736*AE736</f>
        <v/>
      </c>
      <c r="AH736" s="280">
        <f>AD736*1.21</f>
        <v/>
      </c>
      <c r="AI736" s="284">
        <f>IF(AE736&lt;&gt;0,AG736/AD736,"N/A")</f>
        <v/>
      </c>
      <c r="AJ736" s="280">
        <f>IF(AC736="pendiente",AD736,0)</f>
        <v/>
      </c>
      <c r="AK736" s="278">
        <f>VLOOKUP(G736,CLIENTES!B:D,3,FALSE)</f>
        <v/>
      </c>
    </row>
    <row r="737" ht="15" customFormat="1" customHeight="1" s="278">
      <c r="B737" s="279" t="n"/>
      <c r="C737" s="278" t="inlineStr">
        <is>
          <t>c/ Las Cruzadas 3A, local D</t>
        </is>
      </c>
      <c r="D737" s="278" t="inlineStr">
        <is>
          <t>Sevilla 41004</t>
        </is>
      </c>
      <c r="E737" s="278" t="inlineStr">
        <is>
          <t>CIF B91938662</t>
        </is>
      </c>
      <c r="F737" s="278" t="inlineStr">
        <is>
          <t>aBalados@abalados.es</t>
        </is>
      </c>
      <c r="G737" s="278" t="inlineStr">
        <is>
          <t>Huerta Sevilla Renovables, S.L.</t>
        </is>
      </c>
      <c r="H737" s="278">
        <f>VLOOKUP($G737,DATOS!$B:$E,2,FALSE)</f>
        <v/>
      </c>
      <c r="I737" s="278">
        <f>VLOOKUP($G737,DATOS!$B:$E,3,FALSE)</f>
        <v/>
      </c>
      <c r="J737" s="278">
        <f>VLOOKUP($G737,DATOS!$B:$E,4,FALSE)</f>
        <v/>
      </c>
      <c r="K737" s="278" t="inlineStr">
        <is>
          <t>Servicios extraordinarios - Asset Management (subestación Brovales III)</t>
        </is>
      </c>
      <c r="L737" s="280" t="n"/>
      <c r="M737" s="278" t="inlineStr">
        <is>
          <t xml:space="preserve">Elaboración de Acta de Junta General Extraordinaria y Universal </t>
        </is>
      </c>
      <c r="N737" s="280" t="n">
        <v>250</v>
      </c>
      <c r="P737" s="280" t="n"/>
      <c r="R737" s="280" t="n"/>
      <c r="T737" s="280" t="n"/>
      <c r="V737" s="280" t="n"/>
      <c r="X737" s="280" t="n"/>
      <c r="Z737" s="280" t="n"/>
      <c r="AA737" s="280" t="n"/>
      <c r="AB737" s="281" t="inlineStr">
        <is>
          <t>ES11 0081 7069 2700 0122 7724</t>
        </is>
      </c>
      <c r="AC737" s="278" t="inlineStr">
        <is>
          <t>pendiente</t>
        </is>
      </c>
      <c r="AD737" s="280">
        <f>L737+N737+P737+R737+T737+V737+X737+Z737</f>
        <v/>
      </c>
      <c r="AE737" s="280">
        <f>IF((LEFT(K737,6))="Contab",L737,0)</f>
        <v/>
      </c>
      <c r="AF737" s="281">
        <f>VLOOKUP(G737,CLIENTES!B:E,4,FALSE)</f>
        <v/>
      </c>
      <c r="AG737" s="280">
        <f>AF737*AE737</f>
        <v/>
      </c>
      <c r="AH737" s="280">
        <f>AD737*1.21</f>
        <v/>
      </c>
      <c r="AI737" s="284">
        <f>IF(AE737&lt;&gt;0,AG737/AD737,"N/A")</f>
        <v/>
      </c>
      <c r="AJ737" s="280">
        <f>IF(AC737="pendiente",AD737,0)</f>
        <v/>
      </c>
      <c r="AK737" s="278">
        <f>VLOOKUP(G737,CLIENTES!B:D,3,FALSE)</f>
        <v/>
      </c>
    </row>
    <row r="738" ht="15" customFormat="1" customHeight="1" s="292">
      <c r="A738" s="351" t="n"/>
      <c r="B738" s="293" t="n"/>
      <c r="C738" s="278" t="inlineStr">
        <is>
          <t>c/ Las Cruzadas 3A, local D</t>
        </is>
      </c>
      <c r="D738" s="278" t="inlineStr">
        <is>
          <t>Sevilla 41004</t>
        </is>
      </c>
      <c r="E738" s="278" t="inlineStr">
        <is>
          <t>CIF B91938662</t>
        </is>
      </c>
      <c r="F738" s="278" t="inlineStr">
        <is>
          <t>aBalados@abalados.es</t>
        </is>
      </c>
      <c r="G738" s="292" t="inlineStr">
        <is>
          <t>Sonnedix España Management S.L.</t>
        </is>
      </c>
      <c r="H738" s="292">
        <f>VLOOKUP($G738,DATOS!$B:$E,2,FALSE)</f>
        <v/>
      </c>
      <c r="I738" s="292">
        <f>VLOOKUP($G738,DATOS!$B:$E,3,FALSE)</f>
        <v/>
      </c>
      <c r="J738" s="292">
        <f>VLOOKUP($G738,DATOS!$B:$E,4,FALSE)</f>
        <v/>
      </c>
      <c r="K738" s="292" t="inlineStr">
        <is>
          <t xml:space="preserve">Operation &amp; Maintenance - PSFV Las Cabezas de San Juan </t>
        </is>
      </c>
      <c r="L738" s="294" t="n"/>
      <c r="M738" s="292" t="inlineStr">
        <is>
          <t>Diagnosis y subsanación de defectos en Stringbox MIII-P14-CS2</t>
        </is>
      </c>
      <c r="N738" s="294" t="n">
        <v>2600</v>
      </c>
      <c r="O738" s="292" t="inlineStr">
        <is>
          <t xml:space="preserve">   · 6 horas de ingeniero</t>
        </is>
      </c>
      <c r="P738" s="294" t="n"/>
      <c r="Q738" s="292" t="inlineStr">
        <is>
          <t xml:space="preserve">   · 12 horas de técnico de campo</t>
        </is>
      </c>
      <c r="R738" s="294" t="n"/>
      <c r="T738" s="294" t="n"/>
      <c r="V738" s="294" t="n"/>
      <c r="X738" s="294" t="n"/>
      <c r="Z738" s="294" t="n"/>
      <c r="AA738" s="294" t="n"/>
      <c r="AB738" s="295" t="inlineStr">
        <is>
          <t>ES11 0081 7069 2700 0122 7724</t>
        </is>
      </c>
      <c r="AC738" s="278" t="inlineStr">
        <is>
          <t>pendiente</t>
        </is>
      </c>
      <c r="AD738" s="294">
        <f>L738+N738+P738+R738+T738+V738+X738+Z738</f>
        <v/>
      </c>
      <c r="AE738" s="294">
        <f>IF((LEFT(K738,6))="Contab",L738,0)</f>
        <v/>
      </c>
      <c r="AF738" s="295">
        <f>VLOOKUP(G738,CLIENTES!B:E,4,FALSE)</f>
        <v/>
      </c>
      <c r="AG738" s="294">
        <f>AF738*AE738</f>
        <v/>
      </c>
      <c r="AH738" s="294">
        <f>AD738*1.21</f>
        <v/>
      </c>
      <c r="AI738" s="296">
        <f>IF(AE738&lt;&gt;0,AG738/AD738,"N/A")</f>
        <v/>
      </c>
      <c r="AJ738" s="294">
        <f>IF(AC738="pendiente",AD738,0)</f>
        <v/>
      </c>
      <c r="AK738" s="292">
        <f>VLOOKUP(G738,CLIENTES!B:D,3,FALSE)</f>
        <v/>
      </c>
    </row>
    <row r="739" ht="15" customFormat="1" customHeight="1" s="192">
      <c r="B739" s="199" t="n"/>
      <c r="C739" s="192" t="inlineStr">
        <is>
          <t>c/ Las Cruzadas 3A, local D</t>
        </is>
      </c>
      <c r="D739" s="192" t="inlineStr">
        <is>
          <t>Sevilla 41004</t>
        </is>
      </c>
      <c r="E739" s="192" t="inlineStr">
        <is>
          <t>CIF B91938662</t>
        </is>
      </c>
      <c r="F739" s="192" t="inlineStr">
        <is>
          <t>aBalados@abalados.es</t>
        </is>
      </c>
      <c r="G739" s="192" t="inlineStr">
        <is>
          <t>FP LUX REIO PV ZARAGOZA SL.</t>
        </is>
      </c>
      <c r="H739" s="192">
        <f>VLOOKUP($G739,DATOS!$B:$E,2,FALSE)</f>
        <v/>
      </c>
      <c r="I739" s="192">
        <f>VLOOKUP($G739,DATOS!$B:$E,3,FALSE)</f>
        <v/>
      </c>
      <c r="J739" s="192">
        <f>VLOOKUP($G739,DATOS!$B:$E,4,FALSE)</f>
        <v/>
      </c>
      <c r="K739" s="192" t="inlineStr">
        <is>
          <t>Proyecto El Marqués - Zaragoza</t>
        </is>
      </c>
      <c r="L739" s="200" t="n"/>
      <c r="M739" s="192" t="inlineStr">
        <is>
          <t>Additional Service - Extraordinary corrective maintenance</t>
        </is>
      </c>
      <c r="N739" s="200" t="n">
        <v>10380</v>
      </c>
      <c r="O739" s="192" t="inlineStr">
        <is>
          <t>Wind episode (accident claimable to Insurance)</t>
        </is>
      </c>
      <c r="P739" s="200" t="n"/>
      <c r="R739" s="200" t="n"/>
      <c r="T739" s="200" t="n"/>
      <c r="V739" s="200" t="n"/>
      <c r="X739" s="200" t="n"/>
      <c r="Z739" s="200" t="n"/>
      <c r="AA739" s="200" t="n"/>
      <c r="AB739" s="201" t="inlineStr">
        <is>
          <t>ES11 0081 7069 2700 0122 7724</t>
        </is>
      </c>
      <c r="AC739" s="192" t="inlineStr">
        <is>
          <t>pendiente</t>
        </is>
      </c>
      <c r="AD739" s="200">
        <f>L739+N739+P739+R739+T739+V739+X739+Z739</f>
        <v/>
      </c>
      <c r="AE739" s="200">
        <f>IF((LEFT(K739,6))="Contab",L739,0)</f>
        <v/>
      </c>
      <c r="AF739" s="201">
        <f>VLOOKUP(G739,CLIENTES!B:E,4,FALSE)</f>
        <v/>
      </c>
      <c r="AG739" s="200">
        <f>AF739*AE739</f>
        <v/>
      </c>
      <c r="AH739" s="200">
        <f>AD739*1.21</f>
        <v/>
      </c>
      <c r="AI739" s="283">
        <f>IF(AE739&lt;&gt;0,AG739/AD739,"N/A")</f>
        <v/>
      </c>
      <c r="AJ739" s="200">
        <f>IF(AC739="pendiente",AD739,0)</f>
        <v/>
      </c>
      <c r="AK739" s="192">
        <f>VLOOKUP(G739,CLIENTES!B:D,3,FALSE)</f>
        <v/>
      </c>
    </row>
    <row r="740" ht="15" customFormat="1" customHeight="1" s="192">
      <c r="B740" s="199" t="n"/>
      <c r="C740" s="192" t="inlineStr">
        <is>
          <t>c/ Las Cruzadas 3A, local D</t>
        </is>
      </c>
      <c r="D740" s="192" t="inlineStr">
        <is>
          <t>Sevilla 41004</t>
        </is>
      </c>
      <c r="E740" s="192" t="inlineStr">
        <is>
          <t>CIF B91938662</t>
        </is>
      </c>
      <c r="F740" s="192" t="inlineStr">
        <is>
          <t>aBalados@abalados.es</t>
        </is>
      </c>
      <c r="G740" s="192" t="inlineStr">
        <is>
          <t>China Triumph International Engineering Co., LTD EP EN SPAIN</t>
        </is>
      </c>
      <c r="H740" s="192">
        <f>VLOOKUP($G740,DATOS!$B:$E,2,FALSE)</f>
        <v/>
      </c>
      <c r="I740" s="192">
        <f>VLOOKUP($G740,DATOS!$B:$E,3,FALSE)</f>
        <v/>
      </c>
      <c r="J740" s="192">
        <f>VLOOKUP($G740,DATOS!$B:$E,4,FALSE)</f>
        <v/>
      </c>
      <c r="K740" s="192" t="inlineStr">
        <is>
          <t>Project Management for EPC Closing</t>
        </is>
      </c>
      <c r="L740" s="200" t="n"/>
      <c r="N740" s="200" t="n"/>
      <c r="O740" s="192" t="inlineStr">
        <is>
          <t>Puerto Real 2 PV - Cádiz | Spain</t>
        </is>
      </c>
      <c r="P740" s="200" t="n">
        <v>69801</v>
      </c>
      <c r="Q740" s="192" t="inlineStr">
        <is>
          <t>Milestone 0 - Contract Signature</t>
        </is>
      </c>
      <c r="R740" s="200" t="n"/>
      <c r="T740" s="200" t="n"/>
      <c r="U740" s="192" t="inlineStr">
        <is>
          <t>Contractual compensation, as stated in the agreed Extintive Novation of February 1st 2023</t>
        </is>
      </c>
      <c r="V740" s="200" t="n">
        <v>-14000</v>
      </c>
      <c r="W740" s="192" t="inlineStr">
        <is>
          <t>(Invoices 22260 and 22279)</t>
        </is>
      </c>
      <c r="X740" s="200" t="n"/>
      <c r="Z740" s="200" t="n"/>
      <c r="AA740" s="200" t="n"/>
      <c r="AB740" s="201" t="inlineStr">
        <is>
          <t>ES11 0081 7069 2700 0122 7724</t>
        </is>
      </c>
      <c r="AC740" s="192" t="inlineStr">
        <is>
          <t>pendiente</t>
        </is>
      </c>
      <c r="AD740" s="200">
        <f>L740+N740+P740+R740+T740+V740+X740+Z740</f>
        <v/>
      </c>
      <c r="AE740" s="200">
        <f>IF((LEFT(K740,6))="Contab",L740,0)</f>
        <v/>
      </c>
      <c r="AF740" s="201">
        <f>VLOOKUP(G740,CLIENTES!B:E,4,FALSE)</f>
        <v/>
      </c>
      <c r="AG740" s="200">
        <f>AF740*AE740</f>
        <v/>
      </c>
      <c r="AH740" s="200">
        <f>AD740*1.21</f>
        <v/>
      </c>
      <c r="AI740" s="283">
        <f>IF(AE740&lt;&gt;0,AG740/AD740,"N/A")</f>
        <v/>
      </c>
      <c r="AJ740" s="200">
        <f>IF(AC740="pendiente",AD740,0)</f>
        <v/>
      </c>
      <c r="AK740" s="192">
        <f>VLOOKUP(G740,CLIENTES!B:D,3,FALSE)</f>
        <v/>
      </c>
    </row>
    <row r="741" ht="15" customFormat="1" customHeight="1" s="195">
      <c r="B741" s="194" t="n"/>
      <c r="C741" s="195" t="inlineStr">
        <is>
          <t>c/ Las Cruzadas 3A, local D</t>
        </is>
      </c>
      <c r="D741" s="195" t="inlineStr">
        <is>
          <t>Sevilla 41004</t>
        </is>
      </c>
      <c r="E741" s="195" t="inlineStr">
        <is>
          <t>CIF B91938662</t>
        </is>
      </c>
      <c r="F741" s="195" t="inlineStr">
        <is>
          <t>aBalados@abalados.es</t>
        </is>
      </c>
      <c r="G741" s="195" t="inlineStr">
        <is>
          <t>China Triumph International Engineering Co., LTD EP EN SPAIN</t>
        </is>
      </c>
      <c r="H741" s="195">
        <f>VLOOKUP($G741,DATOS!$B:$E,2,FALSE)</f>
        <v/>
      </c>
      <c r="I741" s="195">
        <f>VLOOKUP($G741,DATOS!$B:$E,3,FALSE)</f>
        <v/>
      </c>
      <c r="J741" s="195">
        <f>VLOOKUP($G741,DATOS!$B:$E,4,FALSE)</f>
        <v/>
      </c>
      <c r="K741" s="278" t="inlineStr">
        <is>
          <t>O&amp;M Supervision and Management</t>
        </is>
      </c>
      <c r="L741" s="280" t="n"/>
      <c r="M741" s="278" t="n"/>
      <c r="N741" s="280" t="n"/>
      <c r="O741" s="278" t="inlineStr">
        <is>
          <t>Puerto Real 1 PV - Cádiz | Spain</t>
        </is>
      </c>
      <c r="P741" s="280" t="n">
        <v>16803.27</v>
      </c>
      <c r="Q741" s="278" t="inlineStr">
        <is>
          <t>O&amp;M Management services provided on February 2023</t>
        </is>
      </c>
      <c r="R741" s="280" t="n"/>
      <c r="S741" s="278" t="n"/>
      <c r="T741" s="280" t="n"/>
      <c r="U741" s="278" t="n"/>
      <c r="V741" s="280" t="n"/>
      <c r="X741" s="196" t="n"/>
      <c r="Z741" s="196" t="n"/>
      <c r="AA741" s="196" t="n"/>
      <c r="AB741" s="197" t="inlineStr">
        <is>
          <t>ES11 0081 7069 2700 0122 7724</t>
        </is>
      </c>
      <c r="AC741" s="195" t="inlineStr">
        <is>
          <t>pendiente</t>
        </is>
      </c>
      <c r="AD741" s="196">
        <f>L741+N741+P741+R741+T741+V741+X741+Z741</f>
        <v/>
      </c>
      <c r="AE741" s="196">
        <f>IF((LEFT(K741,6))="Contab",L741,0)</f>
        <v/>
      </c>
      <c r="AF741" s="197">
        <f>VLOOKUP(G741,CLIENTES!B:E,4,FALSE)</f>
        <v/>
      </c>
      <c r="AG741" s="196">
        <f>AF741*AE741</f>
        <v/>
      </c>
      <c r="AH741" s="196">
        <f>AD741*1.21</f>
        <v/>
      </c>
      <c r="AI741" s="285">
        <f>IF(AE741&lt;&gt;0,AG741/AD741,"N/A")</f>
        <v/>
      </c>
      <c r="AJ741" s="196">
        <f>IF(AC741="pendiente",AD741,0)</f>
        <v/>
      </c>
      <c r="AK741" s="195">
        <f>VLOOKUP(G741,CLIENTES!B:D,3,FALSE)</f>
        <v/>
      </c>
      <c r="AL741" s="278" t="n"/>
    </row>
    <row r="742" ht="15" customFormat="1" customHeight="1" s="192">
      <c r="A742" s="350" t="n"/>
      <c r="B742" s="199" t="n"/>
      <c r="C742" s="192" t="inlineStr">
        <is>
          <t>c/ Las Cruzadas 3A, local D</t>
        </is>
      </c>
      <c r="D742" s="192" t="inlineStr">
        <is>
          <t>Sevilla 41004</t>
        </is>
      </c>
      <c r="E742" s="192" t="inlineStr">
        <is>
          <t>CIF B91938662</t>
        </is>
      </c>
      <c r="F742" s="192" t="inlineStr">
        <is>
          <t>aBalados@abalados.es</t>
        </is>
      </c>
      <c r="G742" s="192" t="inlineStr">
        <is>
          <t>Arcadia Renovables 1, S.L.</t>
        </is>
      </c>
      <c r="H742" s="192">
        <f>VLOOKUP($G742,DATOS!$B:$E,2,FALSE)</f>
        <v/>
      </c>
      <c r="I742" s="192">
        <f>VLOOKUP($G742,DATOS!$B:$E,3,FALSE)</f>
        <v/>
      </c>
      <c r="J742" s="192">
        <f>VLOOKUP($G742,DATOS!$B:$E,4,FALSE)</f>
        <v/>
      </c>
      <c r="K742" s="192" t="inlineStr">
        <is>
          <t>Servicios Legales</t>
        </is>
      </c>
      <c r="L742" s="200" t="n"/>
      <c r="M742" s="192" t="inlineStr">
        <is>
          <t xml:space="preserve">Tres (3) informes del estado legal y contable de AR1, AR2 y AR3 en cada uno de los Nudos: </t>
        </is>
      </c>
      <c r="N742" s="200" t="n">
        <v>2100</v>
      </c>
      <c r="O742" s="192" t="inlineStr">
        <is>
          <t xml:space="preserve">  · “SET CARMONA 400 kV RENOVABLES, S.L.”</t>
        </is>
      </c>
      <c r="P742" s="200" t="n"/>
      <c r="Q742" s="192" t="inlineStr">
        <is>
          <t xml:space="preserve">  · “EVACUACIÓN CARMONA 400-220 kV RENOVABLES, S.L.”</t>
        </is>
      </c>
      <c r="R742" s="200" t="n"/>
      <c r="S742" s="192" t="inlineStr">
        <is>
          <t xml:space="preserve">  · “ENERGÍAS LIMPIAS DE CARMONA, S.L.” </t>
        </is>
      </c>
      <c r="T742" s="200" t="n"/>
      <c r="V742" s="200" t="n"/>
      <c r="X742" s="200" t="n"/>
      <c r="Z742" s="200" t="n"/>
      <c r="AA742" s="200" t="n"/>
      <c r="AB742" s="352" t="inlineStr">
        <is>
          <t>ES11 0081 7069 2700 0122 7724</t>
        </is>
      </c>
      <c r="AC742" s="192" t="inlineStr">
        <is>
          <t>pendiente</t>
        </is>
      </c>
      <c r="AD742" s="353">
        <f>L742+N742+P742+R742+T742+V742+X742+Z742</f>
        <v/>
      </c>
      <c r="AE742" s="353">
        <f>IF((LEFT(K742,6))="Contab",L742,0)</f>
        <v/>
      </c>
      <c r="AF742" s="352">
        <f>VLOOKUP(G742,CLIENTES!B:E,4,FALSE)</f>
        <v/>
      </c>
      <c r="AG742" s="353">
        <f>AF742*AE742</f>
        <v/>
      </c>
      <c r="AH742" s="353">
        <f>AD742*1.21</f>
        <v/>
      </c>
      <c r="AI742" s="354">
        <f>IF(AE742&lt;&gt;0,AG742/AD742,"N/A")</f>
        <v/>
      </c>
      <c r="AJ742" s="353">
        <f>IF(AC742="pendiente",AD742,0)</f>
        <v/>
      </c>
      <c r="AK742" s="355">
        <f>VLOOKUP(G742,CLIENTES!B:D,3,FALSE)</f>
        <v/>
      </c>
    </row>
    <row r="743" ht="15" customFormat="1" customHeight="1" s="278">
      <c r="B743" s="279" t="n"/>
      <c r="C743" s="278" t="inlineStr">
        <is>
          <t>c/ Las Cruzadas 3A, local D</t>
        </is>
      </c>
      <c r="D743" s="278" t="inlineStr">
        <is>
          <t>Sevilla 41004</t>
        </is>
      </c>
      <c r="E743" s="278" t="inlineStr">
        <is>
          <t>CIF B91938662</t>
        </is>
      </c>
      <c r="F743" s="278" t="inlineStr">
        <is>
          <t>aBalados@abalados.es</t>
        </is>
      </c>
      <c r="G743" s="278" t="inlineStr">
        <is>
          <t>Dehesa Asomadilla Inversiones S.L.U.</t>
        </is>
      </c>
      <c r="H743" s="278">
        <f>VLOOKUP($G743,DATOS!$B:$E,2,FALSE)</f>
        <v/>
      </c>
      <c r="I743" s="278">
        <f>VLOOKUP($G743,DATOS!$B:$E,3,FALSE)</f>
        <v/>
      </c>
      <c r="J743" s="278">
        <f>VLOOKUP($G743,DATOS!$B:$E,4,FALSE)</f>
        <v/>
      </c>
      <c r="K743" s="278" t="inlineStr">
        <is>
          <t>Honorarios - Contrato O&amp;M</t>
        </is>
      </c>
      <c r="L743" s="280" t="n"/>
      <c r="M743" s="278" t="inlineStr">
        <is>
          <t>Corrección actualización IPC 2T, 3T, 4T ejercicio 2022</t>
        </is>
      </c>
      <c r="N743" s="280" t="n">
        <v>5602.421690330259</v>
      </c>
      <c r="P743" s="280" t="n"/>
      <c r="R743" s="280" t="n"/>
      <c r="T743" s="280" t="n"/>
      <c r="V743" s="280" t="n"/>
      <c r="X743" s="280" t="n"/>
      <c r="Z743" s="280" t="n"/>
      <c r="AA743" s="280" t="n"/>
      <c r="AB743" s="281" t="inlineStr">
        <is>
          <t>ES11 0081 7069 2700 0122 7724</t>
        </is>
      </c>
      <c r="AC743" s="278" t="inlineStr">
        <is>
          <t>pendiente</t>
        </is>
      </c>
      <c r="AD743" s="280">
        <f>L743+N743+P743+R743+T743+V743+X743+Z743</f>
        <v/>
      </c>
      <c r="AE743" s="280">
        <f>IF((LEFT(K743,6))="Contab",L743,0)</f>
        <v/>
      </c>
      <c r="AF743" s="281">
        <f>VLOOKUP(G743,CLIENTES!B:E,4,FALSE)</f>
        <v/>
      </c>
      <c r="AG743" s="280">
        <f>AF743*AE743</f>
        <v/>
      </c>
      <c r="AH743" s="280">
        <f>AD743*1.21</f>
        <v/>
      </c>
      <c r="AI743" s="284">
        <f>IF(AE743&lt;&gt;0,AG743/AD743,"N/A")</f>
        <v/>
      </c>
      <c r="AJ743" s="280">
        <f>IF(AC743="pendiente",AD743,0)</f>
        <v/>
      </c>
      <c r="AK743" s="278">
        <f>VLOOKUP(G743,CLIENTES!B:D,3,FALSE)</f>
        <v/>
      </c>
    </row>
    <row r="744" ht="15" customFormat="1" customHeight="1" s="278">
      <c r="B744" s="279" t="n"/>
      <c r="C744" s="278" t="inlineStr">
        <is>
          <t>c/ Las Cruzadas 3A, local D</t>
        </is>
      </c>
      <c r="D744" s="278" t="inlineStr">
        <is>
          <t>Sevilla 41004</t>
        </is>
      </c>
      <c r="E744" s="278" t="inlineStr">
        <is>
          <t>CIF B91938662</t>
        </is>
      </c>
      <c r="F744" s="278" t="inlineStr">
        <is>
          <t>aBalados@abalados.es</t>
        </is>
      </c>
      <c r="G744" s="278" t="inlineStr">
        <is>
          <t>Asomadilla Solar 2007 S.L.U.</t>
        </is>
      </c>
      <c r="H744" s="278">
        <f>VLOOKUP($G744,DATOS!$B:$E,2,FALSE)</f>
        <v/>
      </c>
      <c r="I744" s="278">
        <f>VLOOKUP($G744,DATOS!$B:$E,3,FALSE)</f>
        <v/>
      </c>
      <c r="J744" s="278">
        <f>VLOOKUP($G744,DATOS!$B:$E,4,FALSE)</f>
        <v/>
      </c>
      <c r="K744" s="278" t="inlineStr">
        <is>
          <t>Honorarios - Contrato O&amp;M</t>
        </is>
      </c>
      <c r="L744" s="280" t="n"/>
      <c r="M744" s="278" t="inlineStr">
        <is>
          <t>Corrección actualización IPC 2T, 3T, 4T ejercicio 2022</t>
        </is>
      </c>
      <c r="N744" s="280" t="n">
        <v>3585.54988181137</v>
      </c>
      <c r="P744" s="280" t="n"/>
      <c r="R744" s="280" t="n"/>
      <c r="T744" s="280" t="n"/>
      <c r="V744" s="280" t="n"/>
      <c r="X744" s="280" t="n"/>
      <c r="Z744" s="280" t="n"/>
      <c r="AA744" s="280" t="n"/>
      <c r="AB744" s="281" t="inlineStr">
        <is>
          <t>ES11 0081 7069 2700 0122 7724</t>
        </is>
      </c>
      <c r="AC744" s="278" t="inlineStr">
        <is>
          <t>pendiente</t>
        </is>
      </c>
      <c r="AD744" s="280">
        <f>L744+N744+P744+R744+T744+V744+X744+Z744</f>
        <v/>
      </c>
      <c r="AE744" s="280">
        <f>IF((LEFT(K744,6))="Contab",L744,0)</f>
        <v/>
      </c>
      <c r="AF744" s="281">
        <f>VLOOKUP(G744,CLIENTES!B:E,4,FALSE)</f>
        <v/>
      </c>
      <c r="AG744" s="280">
        <f>AF744*AE744</f>
        <v/>
      </c>
      <c r="AH744" s="280">
        <f>AD744*1.21</f>
        <v/>
      </c>
      <c r="AI744" s="284">
        <f>IF(AE744&lt;&gt;0,AG744/AD744,"N/A")</f>
        <v/>
      </c>
      <c r="AJ744" s="280">
        <f>IF(AC744="pendiente",AD744,0)</f>
        <v/>
      </c>
      <c r="AK744" s="278">
        <f>VLOOKUP(G744,CLIENTES!B:D,3,FALSE)</f>
        <v/>
      </c>
    </row>
    <row r="745" ht="15" customFormat="1" customHeight="1" s="278">
      <c r="B745" s="279" t="n"/>
      <c r="C745" s="278" t="inlineStr">
        <is>
          <t>c/ Las Cruzadas 3A, local D</t>
        </is>
      </c>
      <c r="D745" s="278" t="inlineStr">
        <is>
          <t>Sevilla 41004</t>
        </is>
      </c>
      <c r="E745" s="278" t="inlineStr">
        <is>
          <t>CIF B91938662</t>
        </is>
      </c>
      <c r="F745" s="278" t="inlineStr">
        <is>
          <t>aBalados@abalados.es</t>
        </is>
      </c>
      <c r="G745" s="278" t="inlineStr">
        <is>
          <t>ES Garrovers Energía Solar S.L.U.</t>
        </is>
      </c>
      <c r="H745" s="278">
        <f>VLOOKUP($G745,DATOS!$B:$E,2,FALSE)</f>
        <v/>
      </c>
      <c r="I745" s="278">
        <f>VLOOKUP($G745,DATOS!$B:$E,3,FALSE)</f>
        <v/>
      </c>
      <c r="J745" s="278">
        <f>VLOOKUP($G745,DATOS!$B:$E,4,FALSE)</f>
        <v/>
      </c>
      <c r="K745" s="278" t="inlineStr">
        <is>
          <t>Honorarios - Contrato O&amp;M</t>
        </is>
      </c>
      <c r="L745" s="280" t="n"/>
      <c r="M745" s="278" t="inlineStr">
        <is>
          <t>Corrección actualización IPC 2T, 3T, 4T ejercicio 2022</t>
        </is>
      </c>
      <c r="N745" s="280" t="n">
        <v>4223.338543078396</v>
      </c>
      <c r="P745" s="280" t="n"/>
      <c r="R745" s="280" t="n"/>
      <c r="T745" s="280" t="n"/>
      <c r="V745" s="280" t="n"/>
      <c r="X745" s="280" t="n"/>
      <c r="Z745" s="280" t="n"/>
      <c r="AA745" s="280" t="n"/>
      <c r="AB745" s="281" t="inlineStr">
        <is>
          <t>ES11 0081 7069 2700 0122 7724</t>
        </is>
      </c>
      <c r="AC745" s="278" t="inlineStr">
        <is>
          <t>pendiente</t>
        </is>
      </c>
      <c r="AD745" s="280">
        <f>L745+N745+P745+R745+T745+V745+X745+Z745</f>
        <v/>
      </c>
      <c r="AE745" s="280">
        <f>IF((LEFT(K745,6))="Contab",L745,0)</f>
        <v/>
      </c>
      <c r="AF745" s="281">
        <f>VLOOKUP(G745,CLIENTES!B:E,4,FALSE)</f>
        <v/>
      </c>
      <c r="AG745" s="280">
        <f>AF745*AE745</f>
        <v/>
      </c>
      <c r="AH745" s="280">
        <f>AD745*1.21</f>
        <v/>
      </c>
      <c r="AI745" s="284">
        <f>IF(AE745&lt;&gt;0,AG745/AD745,"N/A")</f>
        <v/>
      </c>
      <c r="AJ745" s="280">
        <f>IF(AC745="pendiente",AD745,0)</f>
        <v/>
      </c>
      <c r="AK745" s="278">
        <f>VLOOKUP(G745,CLIENTES!B:D,3,FALSE)</f>
        <v/>
      </c>
    </row>
    <row r="746" ht="15" customFormat="1" customHeight="1" s="278">
      <c r="B746" s="279" t="n"/>
      <c r="C746" s="278" t="inlineStr">
        <is>
          <t>c/ Las Cruzadas 3A, local D</t>
        </is>
      </c>
      <c r="D746" s="278" t="inlineStr">
        <is>
          <t>Sevilla 41004</t>
        </is>
      </c>
      <c r="E746" s="278" t="inlineStr">
        <is>
          <t>CIF B91938662</t>
        </is>
      </c>
      <c r="F746" s="278" t="inlineStr">
        <is>
          <t>aBalados@abalados.es</t>
        </is>
      </c>
      <c r="G746" s="278" t="inlineStr">
        <is>
          <t>WOC Fotovoltaica España Proyecto Sollana S.L.U.</t>
        </is>
      </c>
      <c r="H746" s="278">
        <f>VLOOKUP($G746,DATOS!$B:$E,2,FALSE)</f>
        <v/>
      </c>
      <c r="I746" s="278">
        <f>VLOOKUP($G746,DATOS!$B:$E,3,FALSE)</f>
        <v/>
      </c>
      <c r="J746" s="278">
        <f>VLOOKUP($G746,DATOS!$B:$E,4,FALSE)</f>
        <v/>
      </c>
      <c r="K746" s="278" t="inlineStr">
        <is>
          <t>Honorarios - Contrato O&amp;M</t>
        </is>
      </c>
      <c r="L746" s="280" t="n"/>
      <c r="M746" s="278" t="inlineStr">
        <is>
          <t>Corrección actualización IPC 2T, 3T, 4T ejercicio 2022</t>
        </is>
      </c>
      <c r="N746" s="280" t="n">
        <v>2324.365571521863</v>
      </c>
      <c r="P746" s="280" t="n"/>
      <c r="R746" s="280" t="n"/>
      <c r="T746" s="280" t="n"/>
      <c r="V746" s="280" t="n"/>
      <c r="X746" s="280" t="n"/>
      <c r="Z746" s="280" t="n"/>
      <c r="AA746" s="280" t="n"/>
      <c r="AB746" s="281" t="inlineStr">
        <is>
          <t>ES11 0081 7069 2700 0122 7724</t>
        </is>
      </c>
      <c r="AC746" s="278" t="inlineStr">
        <is>
          <t>pendiente</t>
        </is>
      </c>
      <c r="AD746" s="280">
        <f>L746+N746+P746+R746+T746+V746+X746+Z746</f>
        <v/>
      </c>
      <c r="AE746" s="280">
        <f>IF((LEFT(K746,6))="Contab",L746,0)</f>
        <v/>
      </c>
      <c r="AF746" s="281">
        <f>VLOOKUP(G746,CLIENTES!B:E,4,FALSE)</f>
        <v/>
      </c>
      <c r="AG746" s="280">
        <f>AF746*AE746</f>
        <v/>
      </c>
      <c r="AH746" s="280">
        <f>AD746*1.21</f>
        <v/>
      </c>
      <c r="AI746" s="284">
        <f>IF(AE746&lt;&gt;0,AG746/AD746,"N/A")</f>
        <v/>
      </c>
      <c r="AJ746" s="280">
        <f>IF(AC746="pendiente",AD746,0)</f>
        <v/>
      </c>
      <c r="AK746" s="278">
        <f>VLOOKUP(G746,CLIENTES!B:D,3,FALSE)</f>
        <v/>
      </c>
    </row>
    <row r="747" ht="15" customFormat="1" customHeight="1" s="278">
      <c r="B747" s="279" t="n"/>
      <c r="C747" s="278" t="inlineStr">
        <is>
          <t>c/ Las Cruzadas 3A, local D</t>
        </is>
      </c>
      <c r="D747" s="278" t="inlineStr">
        <is>
          <t>Sevilla 41004</t>
        </is>
      </c>
      <c r="E747" s="278" t="inlineStr">
        <is>
          <t>CIF B91938662</t>
        </is>
      </c>
      <c r="F747" s="278" t="inlineStr">
        <is>
          <t>aBalados@abalados.es</t>
        </is>
      </c>
      <c r="G747" s="278" t="inlineStr">
        <is>
          <t>Inversión Cubiertas Solares S.L.U.</t>
        </is>
      </c>
      <c r="H747" s="278">
        <f>VLOOKUP($G747,DATOS!$B:$E,2,FALSE)</f>
        <v/>
      </c>
      <c r="I747" s="278">
        <f>VLOOKUP($G747,DATOS!$B:$E,3,FALSE)</f>
        <v/>
      </c>
      <c r="J747" s="278">
        <f>VLOOKUP($G747,DATOS!$B:$E,4,FALSE)</f>
        <v/>
      </c>
      <c r="K747" s="278" t="inlineStr">
        <is>
          <t>Honorarios - Contrato O&amp;M</t>
        </is>
      </c>
      <c r="L747" s="280" t="n"/>
      <c r="M747" s="278" t="inlineStr">
        <is>
          <t>Corrección actualización IPC 2T, 3T, 4T ejercicio 2022</t>
        </is>
      </c>
      <c r="N747" s="280" t="n">
        <v>248.009157914913</v>
      </c>
      <c r="P747" s="280" t="n"/>
      <c r="R747" s="280" t="n"/>
      <c r="T747" s="280" t="n"/>
      <c r="V747" s="280" t="n"/>
      <c r="X747" s="280" t="n"/>
      <c r="Z747" s="280" t="n"/>
      <c r="AA747" s="280" t="n"/>
      <c r="AB747" s="281" t="inlineStr">
        <is>
          <t>ES11 0081 7069 2700 0122 7724</t>
        </is>
      </c>
      <c r="AC747" s="278" t="inlineStr">
        <is>
          <t>pendiente</t>
        </is>
      </c>
      <c r="AD747" s="280">
        <f>L747+N747+P747+R747+T747+V747+X747+Z747</f>
        <v/>
      </c>
      <c r="AE747" s="280">
        <f>IF((LEFT(K747,6))="Contab",L747,0)</f>
        <v/>
      </c>
      <c r="AF747" s="281">
        <f>VLOOKUP(G747,CLIENTES!B:E,4,FALSE)</f>
        <v/>
      </c>
      <c r="AG747" s="280">
        <f>AF747*AE747</f>
        <v/>
      </c>
      <c r="AH747" s="280">
        <f>AD747*1.21</f>
        <v/>
      </c>
      <c r="AI747" s="284">
        <f>IF(AE747&lt;&gt;0,AG747/AD747,"N/A")</f>
        <v/>
      </c>
      <c r="AJ747" s="280">
        <f>IF(AC747="pendiente",AD747,0)</f>
        <v/>
      </c>
      <c r="AK747" s="278">
        <f>VLOOKUP(G747,CLIENTES!B:D,3,FALSE)</f>
        <v/>
      </c>
    </row>
    <row r="748" ht="15" customFormat="1" customHeight="1" s="278">
      <c r="B748" s="279" t="n"/>
      <c r="C748" s="278" t="inlineStr">
        <is>
          <t>c/ Las Cruzadas 3A, local D</t>
        </is>
      </c>
      <c r="D748" s="278" t="inlineStr">
        <is>
          <t>Sevilla 41004</t>
        </is>
      </c>
      <c r="E748" s="278" t="inlineStr">
        <is>
          <t>CIF B91938662</t>
        </is>
      </c>
      <c r="F748" s="278" t="inlineStr">
        <is>
          <t>aBalados@abalados.es</t>
        </is>
      </c>
      <c r="G748" s="278" t="inlineStr">
        <is>
          <t>Lugec Inversión Solar S.L.U.</t>
        </is>
      </c>
      <c r="H748" s="278">
        <f>VLOOKUP($G748,DATOS!$B:$E,2,FALSE)</f>
        <v/>
      </c>
      <c r="I748" s="278">
        <f>VLOOKUP($G748,DATOS!$B:$E,3,FALSE)</f>
        <v/>
      </c>
      <c r="J748" s="278">
        <f>VLOOKUP($G748,DATOS!$B:$E,4,FALSE)</f>
        <v/>
      </c>
      <c r="K748" s="278" t="inlineStr">
        <is>
          <t>Honorarios - Contrato O&amp;M</t>
        </is>
      </c>
      <c r="L748" s="280" t="n"/>
      <c r="M748" s="278" t="inlineStr">
        <is>
          <t>Corrección actualización IPC 2T, 3T, 4T ejercicio 2022</t>
        </is>
      </c>
      <c r="N748" s="280" t="n">
        <v>669.8875338697235</v>
      </c>
      <c r="P748" s="280" t="n"/>
      <c r="R748" s="280" t="n"/>
      <c r="T748" s="280" t="n"/>
      <c r="V748" s="280" t="n"/>
      <c r="X748" s="280" t="n"/>
      <c r="Z748" s="280" t="n"/>
      <c r="AA748" s="280" t="n"/>
      <c r="AB748" s="281" t="inlineStr">
        <is>
          <t>ES11 0081 7069 2700 0122 7724</t>
        </is>
      </c>
      <c r="AC748" s="278" t="inlineStr">
        <is>
          <t>pendiente</t>
        </is>
      </c>
      <c r="AD748" s="280">
        <f>L748+N748+P748+R748+T748+V748+X748+Z748</f>
        <v/>
      </c>
      <c r="AE748" s="280">
        <f>IF((LEFT(K748,6))="Contab",L748,0)</f>
        <v/>
      </c>
      <c r="AF748" s="281">
        <f>VLOOKUP(G748,CLIENTES!B:E,4,FALSE)</f>
        <v/>
      </c>
      <c r="AG748" s="280">
        <f>AF748*AE748</f>
        <v/>
      </c>
      <c r="AH748" s="280">
        <f>AD748*1.21</f>
        <v/>
      </c>
      <c r="AI748" s="284">
        <f>IF(AE748&lt;&gt;0,AG748/AD748,"N/A")</f>
        <v/>
      </c>
      <c r="AJ748" s="280">
        <f>IF(AC748="pendiente",AD748,0)</f>
        <v/>
      </c>
      <c r="AK748" s="278">
        <f>VLOOKUP(G748,CLIENTES!B:D,3,FALSE)</f>
        <v/>
      </c>
    </row>
    <row r="749" ht="15" customFormat="1" customHeight="1" s="278">
      <c r="B749" s="279" t="n"/>
      <c r="C749" s="278" t="inlineStr">
        <is>
          <t>c/ Las Cruzadas 3A, local D</t>
        </is>
      </c>
      <c r="D749" s="278" t="inlineStr">
        <is>
          <t>Sevilla 41004</t>
        </is>
      </c>
      <c r="E749" s="278" t="inlineStr">
        <is>
          <t>CIF B91938662</t>
        </is>
      </c>
      <c r="F749" s="278" t="inlineStr">
        <is>
          <t>aBalados@abalados.es</t>
        </is>
      </c>
      <c r="G749" s="278" t="inlineStr">
        <is>
          <t>Solar Photo Collect S.L.U.</t>
        </is>
      </c>
      <c r="H749" s="278">
        <f>VLOOKUP($G749,DATOS!$B:$E,2,FALSE)</f>
        <v/>
      </c>
      <c r="I749" s="278">
        <f>VLOOKUP($G749,DATOS!$B:$E,3,FALSE)</f>
        <v/>
      </c>
      <c r="J749" s="278">
        <f>VLOOKUP($G749,DATOS!$B:$E,4,FALSE)</f>
        <v/>
      </c>
      <c r="K749" s="278" t="inlineStr">
        <is>
          <t>Honorarios - Contrato O&amp;M</t>
        </is>
      </c>
      <c r="L749" s="280" t="n"/>
      <c r="M749" s="278" t="inlineStr">
        <is>
          <t>Corrección actualización IPC 2T, 3T, 4T ejercicio 2022</t>
        </is>
      </c>
      <c r="N749" s="280" t="n">
        <v>2726.504777171169</v>
      </c>
      <c r="P749" s="280" t="n"/>
      <c r="R749" s="280" t="n"/>
      <c r="T749" s="280" t="n"/>
      <c r="V749" s="280" t="n"/>
      <c r="X749" s="280" t="n"/>
      <c r="Z749" s="280" t="n"/>
      <c r="AA749" s="280" t="n"/>
      <c r="AB749" s="281" t="inlineStr">
        <is>
          <t>ES11 0081 7069 2700 0122 7724</t>
        </is>
      </c>
      <c r="AC749" s="278" t="inlineStr">
        <is>
          <t>pendiente</t>
        </is>
      </c>
      <c r="AD749" s="280">
        <f>L749+N749+P749+R749+T749+V749+X749+Z749</f>
        <v/>
      </c>
      <c r="AE749" s="280">
        <f>IF((LEFT(K749,6))="Contab",L749,0)</f>
        <v/>
      </c>
      <c r="AF749" s="281">
        <f>VLOOKUP(G749,CLIENTES!B:E,4,FALSE)</f>
        <v/>
      </c>
      <c r="AG749" s="280">
        <f>AF749*AE749</f>
        <v/>
      </c>
      <c r="AH749" s="280">
        <f>AD749*1.21</f>
        <v/>
      </c>
      <c r="AI749" s="284">
        <f>IF(AE749&lt;&gt;0,AG749/AD749,"N/A")</f>
        <v/>
      </c>
      <c r="AJ749" s="280">
        <f>IF(AC749="pendiente",AD749,0)</f>
        <v/>
      </c>
      <c r="AK749" s="278">
        <f>VLOOKUP(G749,CLIENTES!B:D,3,FALSE)</f>
        <v/>
      </c>
    </row>
    <row r="750" ht="15" customFormat="1" customHeight="1" s="278">
      <c r="B750" s="279" t="n"/>
      <c r="C750" s="278" t="inlineStr">
        <is>
          <t>c/ Las Cruzadas 3A, local D</t>
        </is>
      </c>
      <c r="D750" s="278" t="inlineStr">
        <is>
          <t>Sevilla 41004</t>
        </is>
      </c>
      <c r="E750" s="278" t="inlineStr">
        <is>
          <t>CIF B91938662</t>
        </is>
      </c>
      <c r="F750" s="278" t="inlineStr">
        <is>
          <t>aBalados@abalados.es</t>
        </is>
      </c>
      <c r="G750" s="278" t="inlineStr">
        <is>
          <t>Solar Photo Corp S.L.U.</t>
        </is>
      </c>
      <c r="H750" s="278">
        <f>VLOOKUP($G750,DATOS!$B:$E,2,FALSE)</f>
        <v/>
      </c>
      <c r="I750" s="278">
        <f>VLOOKUP($G750,DATOS!$B:$E,3,FALSE)</f>
        <v/>
      </c>
      <c r="J750" s="278">
        <f>VLOOKUP($G750,DATOS!$B:$E,4,FALSE)</f>
        <v/>
      </c>
      <c r="K750" s="278" t="inlineStr">
        <is>
          <t>Honorarios - Contrato O&amp;M</t>
        </is>
      </c>
      <c r="L750" s="280" t="n"/>
      <c r="M750" s="278" t="inlineStr">
        <is>
          <t>Corrección actualización IPC 2T, 3T, 4T ejercicio 2022</t>
        </is>
      </c>
      <c r="N750" s="280" t="n">
        <v>1211.774264359909</v>
      </c>
      <c r="P750" s="280" t="n"/>
      <c r="R750" s="280" t="n"/>
      <c r="T750" s="280" t="n"/>
      <c r="V750" s="280" t="n"/>
      <c r="X750" s="280" t="n"/>
      <c r="Z750" s="280" t="n"/>
      <c r="AA750" s="280" t="n"/>
      <c r="AB750" s="281" t="inlineStr">
        <is>
          <t>ES11 0081 7069 2700 0122 7724</t>
        </is>
      </c>
      <c r="AC750" s="278" t="inlineStr">
        <is>
          <t>pendiente</t>
        </is>
      </c>
      <c r="AD750" s="280">
        <f>L750+N750+P750+R750+T750+V750+X750+Z750</f>
        <v/>
      </c>
      <c r="AE750" s="280">
        <f>IF((LEFT(K750,6))="Contab",L750,0)</f>
        <v/>
      </c>
      <c r="AF750" s="281">
        <f>VLOOKUP(G750,CLIENTES!B:E,4,FALSE)</f>
        <v/>
      </c>
      <c r="AG750" s="280">
        <f>AF750*AE750</f>
        <v/>
      </c>
      <c r="AH750" s="280">
        <f>AD750*1.21</f>
        <v/>
      </c>
      <c r="AI750" s="284">
        <f>IF(AE750&lt;&gt;0,AG750/AD750,"N/A")</f>
        <v/>
      </c>
      <c r="AJ750" s="280">
        <f>IF(AC750="pendiente",AD750,0)</f>
        <v/>
      </c>
      <c r="AK750" s="278">
        <f>VLOOKUP(G750,CLIENTES!B:D,3,FALSE)</f>
        <v/>
      </c>
    </row>
    <row r="751" ht="15" customFormat="1" customHeight="1" s="278">
      <c r="B751" s="279" t="n"/>
      <c r="C751" s="278" t="inlineStr">
        <is>
          <t>c/ Las Cruzadas 3A, local D</t>
        </is>
      </c>
      <c r="D751" s="278" t="inlineStr">
        <is>
          <t>Sevilla 41004</t>
        </is>
      </c>
      <c r="E751" s="278" t="inlineStr">
        <is>
          <t>CIF B91938662</t>
        </is>
      </c>
      <c r="F751" s="278" t="inlineStr">
        <is>
          <t>aBalados@abalados.es</t>
        </is>
      </c>
      <c r="G751" s="278" t="inlineStr">
        <is>
          <t xml:space="preserve">Rasteding PV I, S.L.U. </t>
        </is>
      </c>
      <c r="H751" s="278">
        <f>VLOOKUP($G751,DATOS!$B:$E,2,FALSE)</f>
        <v/>
      </c>
      <c r="I751" s="278">
        <f>VLOOKUP($G751,DATOS!$B:$E,3,FALSE)</f>
        <v/>
      </c>
      <c r="J751" s="278">
        <f>VLOOKUP($G751,DATOS!$B:$E,4,FALSE)</f>
        <v/>
      </c>
      <c r="K751" s="278" t="inlineStr">
        <is>
          <t>Honorarios - Contrato O&amp;M</t>
        </is>
      </c>
      <c r="L751" s="280" t="n"/>
      <c r="M751" s="278" t="inlineStr">
        <is>
          <t>Corrección actualización IPC 2T, 3T, 4T ejercicio 2022</t>
        </is>
      </c>
      <c r="N751" s="280" t="n">
        <v>625.5615330233722</v>
      </c>
      <c r="P751" s="280" t="n"/>
      <c r="R751" s="280" t="n"/>
      <c r="T751" s="280" t="n"/>
      <c r="V751" s="280" t="n"/>
      <c r="X751" s="280" t="n"/>
      <c r="Z751" s="280" t="n"/>
      <c r="AA751" s="280" t="n"/>
      <c r="AB751" s="281" t="inlineStr">
        <is>
          <t>ES11 0081 7069 2700 0122 7724</t>
        </is>
      </c>
      <c r="AC751" s="278" t="inlineStr">
        <is>
          <t>pendiente</t>
        </is>
      </c>
      <c r="AD751" s="280">
        <f>L751+N751+P751+R751+T751+V751+X751+Z751</f>
        <v/>
      </c>
      <c r="AE751" s="280">
        <f>IF((LEFT(K751,6))="Contab",L751,0)</f>
        <v/>
      </c>
      <c r="AF751" s="281">
        <f>VLOOKUP(G751,CLIENTES!B:E,4,FALSE)</f>
        <v/>
      </c>
      <c r="AG751" s="280">
        <f>AF751*AE751</f>
        <v/>
      </c>
      <c r="AH751" s="280">
        <f>AD751*1.21</f>
        <v/>
      </c>
      <c r="AI751" s="284">
        <f>IF(AE751&lt;&gt;0,AG751/AD751,"N/A")</f>
        <v/>
      </c>
      <c r="AJ751" s="280">
        <f>IF(AC751="pendiente",AD751,0)</f>
        <v/>
      </c>
      <c r="AK751" s="278">
        <f>VLOOKUP(G751,CLIENTES!B:D,3,FALSE)</f>
        <v/>
      </c>
    </row>
    <row r="752" ht="15" customFormat="1" customHeight="1" s="278">
      <c r="B752" s="279" t="n"/>
      <c r="C752" s="278" t="inlineStr">
        <is>
          <t>c/ Las Cruzadas 3A, local D</t>
        </is>
      </c>
      <c r="D752" s="278" t="inlineStr">
        <is>
          <t>Sevilla 41004</t>
        </is>
      </c>
      <c r="E752" s="278" t="inlineStr">
        <is>
          <t>CIF B91938662</t>
        </is>
      </c>
      <c r="F752" s="278" t="inlineStr">
        <is>
          <t>aBalados@abalados.es</t>
        </is>
      </c>
      <c r="G752" s="278" t="inlineStr">
        <is>
          <t>Tiksi PV II S.L.U.</t>
        </is>
      </c>
      <c r="H752" s="278">
        <f>VLOOKUP($G752,DATOS!$B:$E,2,FALSE)</f>
        <v/>
      </c>
      <c r="I752" s="278">
        <f>VLOOKUP($G752,DATOS!$B:$E,3,FALSE)</f>
        <v/>
      </c>
      <c r="J752" s="278">
        <f>VLOOKUP($G752,DATOS!$B:$E,4,FALSE)</f>
        <v/>
      </c>
      <c r="K752" s="278" t="inlineStr">
        <is>
          <t>Honorarios - Contrato O&amp;M</t>
        </is>
      </c>
      <c r="L752" s="280" t="n"/>
      <c r="M752" s="278" t="inlineStr">
        <is>
          <t>Corrección actualización IPC 2T, 3T, 4T ejercicio 2022</t>
        </is>
      </c>
      <c r="N752" s="280" t="n">
        <v>849.2109174607467</v>
      </c>
      <c r="P752" s="280" t="n"/>
      <c r="R752" s="280" t="n"/>
      <c r="T752" s="280" t="n"/>
      <c r="V752" s="280" t="n"/>
      <c r="X752" s="280" t="n"/>
      <c r="Z752" s="280" t="n"/>
      <c r="AA752" s="280" t="n"/>
      <c r="AB752" s="281" t="inlineStr">
        <is>
          <t>ES11 0081 7069 2700 0122 7724</t>
        </is>
      </c>
      <c r="AC752" s="278" t="inlineStr">
        <is>
          <t>pendiente</t>
        </is>
      </c>
      <c r="AD752" s="280">
        <f>L752+N752+P752+R752+T752+V752+X752+Z752</f>
        <v/>
      </c>
      <c r="AE752" s="280">
        <f>IF((LEFT(K752,6))="Contab",L752,0)</f>
        <v/>
      </c>
      <c r="AF752" s="281">
        <f>VLOOKUP(G752,CLIENTES!B:E,4,FALSE)</f>
        <v/>
      </c>
      <c r="AG752" s="280">
        <f>AF752*AE752</f>
        <v/>
      </c>
      <c r="AH752" s="280">
        <f>AD752*1.21</f>
        <v/>
      </c>
      <c r="AI752" s="284">
        <f>IF(AE752&lt;&gt;0,AG752/AD752,"N/A")</f>
        <v/>
      </c>
      <c r="AJ752" s="280">
        <f>IF(AC752="pendiente",AD752,0)</f>
        <v/>
      </c>
      <c r="AK752" s="278">
        <f>VLOOKUP(G752,CLIENTES!B:D,3,FALSE)</f>
        <v/>
      </c>
    </row>
    <row r="753" ht="15" customFormat="1" customHeight="1" s="278">
      <c r="B753" s="279" t="n"/>
      <c r="C753" s="278" t="inlineStr">
        <is>
          <t>c/ Las Cruzadas 3A, local D</t>
        </is>
      </c>
      <c r="D753" s="278" t="inlineStr">
        <is>
          <t>Sevilla 41004</t>
        </is>
      </c>
      <c r="E753" s="278" t="inlineStr">
        <is>
          <t>CIF B91938662</t>
        </is>
      </c>
      <c r="F753" s="278" t="inlineStr">
        <is>
          <t>aBalados@abalados.es</t>
        </is>
      </c>
      <c r="G753" s="278" t="inlineStr">
        <is>
          <t>Amberg V S.L.U.</t>
        </is>
      </c>
      <c r="H753" s="278">
        <f>VLOOKUP($G753,DATOS!$B:$E,2,FALSE)</f>
        <v/>
      </c>
      <c r="I753" s="278">
        <f>VLOOKUP($G753,DATOS!$B:$E,3,FALSE)</f>
        <v/>
      </c>
      <c r="J753" s="278">
        <f>VLOOKUP($G753,DATOS!$B:$E,4,FALSE)</f>
        <v/>
      </c>
      <c r="K753" s="278" t="inlineStr">
        <is>
          <t>Honorarios - Contrato O&amp;M</t>
        </is>
      </c>
      <c r="L753" s="280" t="n"/>
      <c r="M753" s="278" t="inlineStr">
        <is>
          <t>Corrección actualización IPC 2T, 3T, 4T ejercicio 2022</t>
        </is>
      </c>
      <c r="N753" s="280" t="n">
        <v>1198.757088647821</v>
      </c>
      <c r="P753" s="280" t="n"/>
      <c r="R753" s="280" t="n"/>
      <c r="T753" s="280" t="n"/>
      <c r="V753" s="280" t="n"/>
      <c r="X753" s="280" t="n"/>
      <c r="Z753" s="280" t="n"/>
      <c r="AA753" s="280" t="n"/>
      <c r="AB753" s="281" t="inlineStr">
        <is>
          <t>ES11 0081 7069 2700 0122 7724</t>
        </is>
      </c>
      <c r="AC753" s="278" t="inlineStr">
        <is>
          <t>pendiente</t>
        </is>
      </c>
      <c r="AD753" s="280">
        <f>L753+N753+P753+R753+T753+V753+X753+Z753</f>
        <v/>
      </c>
      <c r="AE753" s="280">
        <f>IF((LEFT(K753,6))="Contab",L753,0)</f>
        <v/>
      </c>
      <c r="AF753" s="281">
        <f>VLOOKUP(G753,CLIENTES!B:E,4,FALSE)</f>
        <v/>
      </c>
      <c r="AG753" s="280">
        <f>AF753*AE753</f>
        <v/>
      </c>
      <c r="AH753" s="280">
        <f>AD753*1.21</f>
        <v/>
      </c>
      <c r="AI753" s="284">
        <f>IF(AE753&lt;&gt;0,AG753/AD753,"N/A")</f>
        <v/>
      </c>
      <c r="AJ753" s="280">
        <f>IF(AC753="pendiente",AD753,0)</f>
        <v/>
      </c>
      <c r="AK753" s="278">
        <f>VLOOKUP(G753,CLIENTES!B:D,3,FALSE)</f>
        <v/>
      </c>
    </row>
    <row r="754" ht="15" customFormat="1" customHeight="1" s="278">
      <c r="B754" s="279" t="n"/>
      <c r="C754" s="278" t="inlineStr">
        <is>
          <t>c/ Las Cruzadas 3A, local D</t>
        </is>
      </c>
      <c r="D754" s="278" t="inlineStr">
        <is>
          <t>Sevilla 41004</t>
        </is>
      </c>
      <c r="E754" s="278" t="inlineStr">
        <is>
          <t>CIF B91938662</t>
        </is>
      </c>
      <c r="F754" s="278" t="inlineStr">
        <is>
          <t>aBalados@abalados.es</t>
        </is>
      </c>
      <c r="G754" s="278" t="inlineStr">
        <is>
          <t>Amberg II S.L.U.</t>
        </is>
      </c>
      <c r="H754" s="278">
        <f>VLOOKUP($G754,DATOS!$B:$E,2,FALSE)</f>
        <v/>
      </c>
      <c r="I754" s="278">
        <f>VLOOKUP($G754,DATOS!$B:$E,3,FALSE)</f>
        <v/>
      </c>
      <c r="J754" s="278">
        <f>VLOOKUP($G754,DATOS!$B:$E,4,FALSE)</f>
        <v/>
      </c>
      <c r="K754" s="278" t="inlineStr">
        <is>
          <t>Honorarios - Contrato O&amp;M</t>
        </is>
      </c>
      <c r="L754" s="280" t="n"/>
      <c r="M754" s="278" t="inlineStr">
        <is>
          <t>Corrección actualización IPC 2T, 3T, 4T ejercicio 2022</t>
        </is>
      </c>
      <c r="N754" s="280" t="n">
        <v>645.5829232739252</v>
      </c>
      <c r="P754" s="280" t="n"/>
      <c r="R754" s="280" t="n"/>
      <c r="T754" s="280" t="n"/>
      <c r="V754" s="280" t="n"/>
      <c r="X754" s="280" t="n"/>
      <c r="Z754" s="280" t="n"/>
      <c r="AA754" s="280" t="n"/>
      <c r="AB754" s="281" t="inlineStr">
        <is>
          <t>ES11 0081 7069 2700 0122 7724</t>
        </is>
      </c>
      <c r="AC754" s="278" t="inlineStr">
        <is>
          <t>pendiente</t>
        </is>
      </c>
      <c r="AD754" s="280">
        <f>L754+N754+P754+R754+T754+V754+X754+Z754</f>
        <v/>
      </c>
      <c r="AE754" s="280">
        <f>IF((LEFT(K754,6))="Contab",L754,0)</f>
        <v/>
      </c>
      <c r="AF754" s="281">
        <f>VLOOKUP(G754,CLIENTES!B:E,4,FALSE)</f>
        <v/>
      </c>
      <c r="AG754" s="280">
        <f>AF754*AE754</f>
        <v/>
      </c>
      <c r="AH754" s="280">
        <f>AD754*1.21</f>
        <v/>
      </c>
      <c r="AI754" s="284">
        <f>IF(AE754&lt;&gt;0,AG754/AD754,"N/A")</f>
        <v/>
      </c>
      <c r="AJ754" s="280">
        <f>IF(AC754="pendiente",AD754,0)</f>
        <v/>
      </c>
      <c r="AK754" s="278">
        <f>VLOOKUP(G754,CLIENTES!B:D,3,FALSE)</f>
        <v/>
      </c>
    </row>
    <row r="755" ht="15" customFormat="1" customHeight="1" s="278">
      <c r="B755" s="279" t="n"/>
      <c r="C755" s="278" t="inlineStr">
        <is>
          <t>c/ Las Cruzadas 3A, local D</t>
        </is>
      </c>
      <c r="D755" s="278" t="inlineStr">
        <is>
          <t>Sevilla 41004</t>
        </is>
      </c>
      <c r="E755" s="278" t="inlineStr">
        <is>
          <t>CIF B91938662</t>
        </is>
      </c>
      <c r="F755" s="278" t="inlineStr">
        <is>
          <t>aBalados@abalados.es</t>
        </is>
      </c>
      <c r="G755" s="278" t="inlineStr">
        <is>
          <t>Agrupación Solar el Algarrobo I, S.L.U.</t>
        </is>
      </c>
      <c r="H755" s="278">
        <f>VLOOKUP($G755,DATOS!$B:$E,2,FALSE)</f>
        <v/>
      </c>
      <c r="I755" s="278">
        <f>VLOOKUP($G755,DATOS!$B:$E,3,FALSE)</f>
        <v/>
      </c>
      <c r="J755" s="278">
        <f>VLOOKUP($G755,DATOS!$B:$E,4,FALSE)</f>
        <v/>
      </c>
      <c r="K755" s="278" t="inlineStr">
        <is>
          <t>Honorarios - Contrato O&amp;M</t>
        </is>
      </c>
      <c r="L755" s="280" t="n"/>
      <c r="M755" s="278" t="inlineStr">
        <is>
          <t>Corrección actualización IPC 2T, 3T, 4T ejercicio 2022</t>
        </is>
      </c>
      <c r="N755" s="280" t="n">
        <v>1908.942737479083</v>
      </c>
      <c r="P755" s="280" t="n"/>
      <c r="R755" s="280" t="n"/>
      <c r="T755" s="280" t="n"/>
      <c r="V755" s="280" t="n"/>
      <c r="X755" s="280" t="n"/>
      <c r="Z755" s="280" t="n"/>
      <c r="AA755" s="280" t="n"/>
      <c r="AB755" s="281" t="inlineStr">
        <is>
          <t>ES11 0081 7069 2700 0122 7724</t>
        </is>
      </c>
      <c r="AC755" s="278" t="inlineStr">
        <is>
          <t>pendiente</t>
        </is>
      </c>
      <c r="AD755" s="280">
        <f>L755+N755+P755+R755+T755+V755+X755+Z755</f>
        <v/>
      </c>
      <c r="AE755" s="280">
        <f>IF((LEFT(K755,6))="Contab",L755,0)</f>
        <v/>
      </c>
      <c r="AF755" s="281">
        <f>VLOOKUP(G755,CLIENTES!B:E,4,FALSE)</f>
        <v/>
      </c>
      <c r="AG755" s="280">
        <f>AF755*AE755</f>
        <v/>
      </c>
      <c r="AH755" s="280">
        <f>AD755*1.21</f>
        <v/>
      </c>
      <c r="AI755" s="284">
        <f>IF(AE755&lt;&gt;0,AG755/AD755,"N/A")</f>
        <v/>
      </c>
      <c r="AJ755" s="280">
        <f>IF(AC755="pendiente",AD755,0)</f>
        <v/>
      </c>
      <c r="AK755" s="278">
        <f>VLOOKUP(G755,CLIENTES!B:D,3,FALSE)</f>
        <v/>
      </c>
    </row>
    <row r="756" ht="15" customFormat="1" customHeight="1" s="278">
      <c r="B756" s="279" t="n"/>
      <c r="C756" s="278" t="inlineStr">
        <is>
          <t>c/ Las Cruzadas 3A, local D</t>
        </is>
      </c>
      <c r="D756" s="278" t="inlineStr">
        <is>
          <t>Sevilla 41004</t>
        </is>
      </c>
      <c r="E756" s="278" t="inlineStr">
        <is>
          <t>CIF B91938662</t>
        </is>
      </c>
      <c r="F756" s="278" t="inlineStr">
        <is>
          <t>aBalados@abalados.es</t>
        </is>
      </c>
      <c r="G756" s="278" t="inlineStr">
        <is>
          <t>Agrupación Solar el Algarrobo II, S.L.U.</t>
        </is>
      </c>
      <c r="H756" s="278">
        <f>VLOOKUP($G756,DATOS!$B:$E,2,FALSE)</f>
        <v/>
      </c>
      <c r="I756" s="278">
        <f>VLOOKUP($G756,DATOS!$B:$E,3,FALSE)</f>
        <v/>
      </c>
      <c r="J756" s="278">
        <f>VLOOKUP($G756,DATOS!$B:$E,4,FALSE)</f>
        <v/>
      </c>
      <c r="K756" s="278" t="inlineStr">
        <is>
          <t>Honorarios - Contrato O&amp;M</t>
        </is>
      </c>
      <c r="L756" s="280" t="n"/>
      <c r="M756" s="278" t="inlineStr">
        <is>
          <t>Corrección actualización IPC 2T, 3T, 4T ejercicio 2022</t>
        </is>
      </c>
      <c r="N756" s="280" t="n">
        <v>1908.942737479083</v>
      </c>
      <c r="P756" s="280" t="n"/>
      <c r="R756" s="280" t="n"/>
      <c r="T756" s="280" t="n"/>
      <c r="V756" s="280" t="n"/>
      <c r="X756" s="280" t="n"/>
      <c r="Z756" s="280" t="n"/>
      <c r="AA756" s="280" t="n"/>
      <c r="AB756" s="281" t="inlineStr">
        <is>
          <t>ES11 0081 7069 2700 0122 7724</t>
        </is>
      </c>
      <c r="AC756" s="278" t="inlineStr">
        <is>
          <t>pendiente</t>
        </is>
      </c>
      <c r="AD756" s="280">
        <f>L756+N756+P756+R756+T756+V756+X756+Z756</f>
        <v/>
      </c>
      <c r="AE756" s="280">
        <f>IF((LEFT(K756,6))="Contab",L756,0)</f>
        <v/>
      </c>
      <c r="AF756" s="281">
        <f>VLOOKUP(G756,CLIENTES!B:E,4,FALSE)</f>
        <v/>
      </c>
      <c r="AG756" s="280">
        <f>AF756*AE756</f>
        <v/>
      </c>
      <c r="AH756" s="280">
        <f>AD756*1.21</f>
        <v/>
      </c>
      <c r="AI756" s="284">
        <f>IF(AE756&lt;&gt;0,AG756/AD756,"N/A")</f>
        <v/>
      </c>
      <c r="AJ756" s="280">
        <f>IF(AC756="pendiente",AD756,0)</f>
        <v/>
      </c>
      <c r="AK756" s="278">
        <f>VLOOKUP(G756,CLIENTES!B:D,3,FALSE)</f>
        <v/>
      </c>
    </row>
    <row r="757" ht="15" customFormat="1" customHeight="1" s="278">
      <c r="B757" s="279" t="n"/>
      <c r="C757" s="278" t="inlineStr">
        <is>
          <t>c/ Las Cruzadas 3A, local D</t>
        </is>
      </c>
      <c r="D757" s="278" t="inlineStr">
        <is>
          <t>Sevilla 41004</t>
        </is>
      </c>
      <c r="E757" s="278" t="inlineStr">
        <is>
          <t>CIF B91938662</t>
        </is>
      </c>
      <c r="F757" s="278" t="inlineStr">
        <is>
          <t>aBalados@abalados.es</t>
        </is>
      </c>
      <c r="G757" s="278" t="inlineStr">
        <is>
          <t>Agrupación Solar el Algarrobo III, S.L.U.</t>
        </is>
      </c>
      <c r="H757" s="278">
        <f>VLOOKUP($G757,DATOS!$B:$E,2,FALSE)</f>
        <v/>
      </c>
      <c r="I757" s="278">
        <f>VLOOKUP($G757,DATOS!$B:$E,3,FALSE)</f>
        <v/>
      </c>
      <c r="J757" s="278">
        <f>VLOOKUP($G757,DATOS!$B:$E,4,FALSE)</f>
        <v/>
      </c>
      <c r="K757" s="278" t="inlineStr">
        <is>
          <t>Honorarios - Contrato O&amp;M</t>
        </is>
      </c>
      <c r="L757" s="280" t="n"/>
      <c r="M757" s="278" t="inlineStr">
        <is>
          <t>Corrección actualización IPC 2T, 3T, 4T ejercicio 2022</t>
        </is>
      </c>
      <c r="N757" s="280" t="n">
        <v>1727.138667242973</v>
      </c>
      <c r="P757" s="280" t="n"/>
      <c r="R757" s="280" t="n"/>
      <c r="T757" s="280" t="n"/>
      <c r="V757" s="280" t="n"/>
      <c r="X757" s="280" t="n"/>
      <c r="Z757" s="280" t="n"/>
      <c r="AA757" s="280" t="n"/>
      <c r="AB757" s="281" t="inlineStr">
        <is>
          <t>ES11 0081 7069 2700 0122 7724</t>
        </is>
      </c>
      <c r="AC757" s="278" t="inlineStr">
        <is>
          <t>pendiente</t>
        </is>
      </c>
      <c r="AD757" s="280">
        <f>L757+N757+P757+R757+T757+V757+X757+Z757</f>
        <v/>
      </c>
      <c r="AE757" s="280">
        <f>IF((LEFT(K757,6))="Contab",L757,0)</f>
        <v/>
      </c>
      <c r="AF757" s="281">
        <f>VLOOKUP(G757,CLIENTES!B:E,4,FALSE)</f>
        <v/>
      </c>
      <c r="AG757" s="280">
        <f>AF757*AE757</f>
        <v/>
      </c>
      <c r="AH757" s="280">
        <f>AD757*1.21</f>
        <v/>
      </c>
      <c r="AI757" s="284">
        <f>IF(AE757&lt;&gt;0,AG757/AD757,"N/A")</f>
        <v/>
      </c>
      <c r="AJ757" s="280">
        <f>IF(AC757="pendiente",AD757,0)</f>
        <v/>
      </c>
      <c r="AK757" s="278">
        <f>VLOOKUP(G757,CLIENTES!B:D,3,FALSE)</f>
        <v/>
      </c>
    </row>
    <row r="758" ht="15" customFormat="1" customHeight="1" s="278">
      <c r="B758" s="279" t="n"/>
      <c r="C758" s="278" t="inlineStr">
        <is>
          <t>c/ Las Cruzadas 3A, local D</t>
        </is>
      </c>
      <c r="D758" s="278" t="inlineStr">
        <is>
          <t>Sevilla 41004</t>
        </is>
      </c>
      <c r="E758" s="278" t="inlineStr">
        <is>
          <t>CIF B91938662</t>
        </is>
      </c>
      <c r="F758" s="278" t="inlineStr">
        <is>
          <t>aBalados@abalados.es</t>
        </is>
      </c>
      <c r="G758" s="278" t="inlineStr">
        <is>
          <t>Locaba Solar S.L.U.</t>
        </is>
      </c>
      <c r="H758" s="278">
        <f>VLOOKUP($G758,DATOS!$B:$E,2,FALSE)</f>
        <v/>
      </c>
      <c r="I758" s="278">
        <f>VLOOKUP($G758,DATOS!$B:$E,3,FALSE)</f>
        <v/>
      </c>
      <c r="J758" s="278">
        <f>VLOOKUP($G758,DATOS!$B:$E,4,FALSE)</f>
        <v/>
      </c>
      <c r="K758" s="278" t="inlineStr">
        <is>
          <t>Honorarios - Contrato O&amp;M</t>
        </is>
      </c>
      <c r="L758" s="280" t="n"/>
      <c r="M758" s="278" t="inlineStr">
        <is>
          <t>Corrección actualización IPC 2T, 3T, 4T ejercicio 2022</t>
        </is>
      </c>
      <c r="N758" s="280" t="n">
        <v>3796.635648566938</v>
      </c>
      <c r="P758" s="280" t="n"/>
      <c r="R758" s="280" t="n"/>
      <c r="T758" s="280" t="n"/>
      <c r="V758" s="280" t="n"/>
      <c r="X758" s="280" t="n"/>
      <c r="Z758" s="280" t="n"/>
      <c r="AA758" s="280" t="n"/>
      <c r="AB758" s="281" t="inlineStr">
        <is>
          <t>ES11 0081 7069 2700 0122 7724</t>
        </is>
      </c>
      <c r="AC758" s="278" t="inlineStr">
        <is>
          <t>pendiente</t>
        </is>
      </c>
      <c r="AD758" s="280">
        <f>L758+N758+P758+R758+T758+V758+X758+Z758</f>
        <v/>
      </c>
      <c r="AE758" s="280">
        <f>IF((LEFT(K758,6))="Contab",L758,0)</f>
        <v/>
      </c>
      <c r="AF758" s="281">
        <f>VLOOKUP(G758,CLIENTES!B:E,4,FALSE)</f>
        <v/>
      </c>
      <c r="AG758" s="280">
        <f>AF758*AE758</f>
        <v/>
      </c>
      <c r="AH758" s="280">
        <f>AD758*1.21</f>
        <v/>
      </c>
      <c r="AI758" s="284">
        <f>IF(AE758&lt;&gt;0,AG758/AD758,"N/A")</f>
        <v/>
      </c>
      <c r="AJ758" s="280">
        <f>IF(AC758="pendiente",AD758,0)</f>
        <v/>
      </c>
      <c r="AK758" s="278">
        <f>VLOOKUP(G758,CLIENTES!B:D,3,FALSE)</f>
        <v/>
      </c>
    </row>
    <row r="759" ht="15" customFormat="1" customHeight="1" s="278">
      <c r="B759" s="279" t="n"/>
      <c r="C759" s="278" t="inlineStr">
        <is>
          <t>c/ Las Cruzadas 3A, local D</t>
        </is>
      </c>
      <c r="D759" s="278" t="inlineStr">
        <is>
          <t>Sevilla 41004</t>
        </is>
      </c>
      <c r="E759" s="278" t="inlineStr">
        <is>
          <t>CIF B91938662</t>
        </is>
      </c>
      <c r="F759" s="278" t="inlineStr">
        <is>
          <t>aBalados@abalados.es</t>
        </is>
      </c>
      <c r="G759" s="278" t="inlineStr">
        <is>
          <t>Lo Illán  Parque Solar S.L.U.</t>
        </is>
      </c>
      <c r="H759" s="278">
        <f>VLOOKUP($G759,DATOS!$B:$E,2,FALSE)</f>
        <v/>
      </c>
      <c r="I759" s="278">
        <f>VLOOKUP($G759,DATOS!$B:$E,3,FALSE)</f>
        <v/>
      </c>
      <c r="J759" s="278">
        <f>VLOOKUP($G759,DATOS!$B:$E,4,FALSE)</f>
        <v/>
      </c>
      <c r="K759" s="278" t="inlineStr">
        <is>
          <t>Honorarios - Contrato O&amp;M</t>
        </is>
      </c>
      <c r="L759" s="280" t="n"/>
      <c r="M759" s="278" t="inlineStr">
        <is>
          <t>Corrección actualización IPC 2T, 3T, 4T ejercicio 2022</t>
        </is>
      </c>
      <c r="N759" s="280" t="n">
        <v>1880.586486713903</v>
      </c>
      <c r="P759" s="280" t="n"/>
      <c r="R759" s="280" t="n"/>
      <c r="T759" s="280" t="n"/>
      <c r="V759" s="280" t="n"/>
      <c r="X759" s="280" t="n"/>
      <c r="Z759" s="280" t="n"/>
      <c r="AA759" s="280" t="n"/>
      <c r="AB759" s="281" t="inlineStr">
        <is>
          <t>ES11 0081 7069 2700 0122 7724</t>
        </is>
      </c>
      <c r="AC759" s="278" t="inlineStr">
        <is>
          <t>pendiente</t>
        </is>
      </c>
      <c r="AD759" s="280">
        <f>L759+N759+P759+R759+T759+V759+X759+Z759</f>
        <v/>
      </c>
      <c r="AE759" s="280">
        <f>IF((LEFT(K759,6))="Contab",L759,0)</f>
        <v/>
      </c>
      <c r="AF759" s="281">
        <f>VLOOKUP(G759,CLIENTES!B:E,4,FALSE)</f>
        <v/>
      </c>
      <c r="AG759" s="280">
        <f>AF759*AE759</f>
        <v/>
      </c>
      <c r="AH759" s="280">
        <f>AD759*1.21</f>
        <v/>
      </c>
      <c r="AI759" s="284">
        <f>IF(AE759&lt;&gt;0,AG759/AD759,"N/A")</f>
        <v/>
      </c>
      <c r="AJ759" s="280">
        <f>IF(AC759="pendiente",AD759,0)</f>
        <v/>
      </c>
      <c r="AK759" s="278">
        <f>VLOOKUP(G759,CLIENTES!B:D,3,FALSE)</f>
        <v/>
      </c>
    </row>
    <row r="760" ht="15" customFormat="1" customHeight="1" s="278">
      <c r="B760" s="279" t="n"/>
      <c r="C760" s="278" t="inlineStr">
        <is>
          <t>c/ Las Cruzadas 3A, local D</t>
        </is>
      </c>
      <c r="D760" s="278" t="inlineStr">
        <is>
          <t>Sevilla 41004</t>
        </is>
      </c>
      <c r="E760" s="278" t="inlineStr">
        <is>
          <t>CIF B91938662</t>
        </is>
      </c>
      <c r="F760" s="278" t="inlineStr">
        <is>
          <t>aBalados@abalados.es</t>
        </is>
      </c>
      <c r="G760" s="278" t="inlineStr">
        <is>
          <t>Contreras Parque Solar S.L.U.</t>
        </is>
      </c>
      <c r="H760" s="278">
        <f>VLOOKUP($G760,DATOS!$B:$E,2,FALSE)</f>
        <v/>
      </c>
      <c r="I760" s="278">
        <f>VLOOKUP($G760,DATOS!$B:$E,3,FALSE)</f>
        <v/>
      </c>
      <c r="J760" s="278">
        <f>VLOOKUP($G760,DATOS!$B:$E,4,FALSE)</f>
        <v/>
      </c>
      <c r="K760" s="278" t="inlineStr">
        <is>
          <t>Honorarios - Contrato O&amp;M</t>
        </is>
      </c>
      <c r="L760" s="280" t="n"/>
      <c r="M760" s="278" t="inlineStr">
        <is>
          <t>Corrección actualización IPC 2T, 3T, 4T ejercicio 2022</t>
        </is>
      </c>
      <c r="N760" s="280" t="n">
        <v>2865.468252071048</v>
      </c>
      <c r="P760" s="280" t="n"/>
      <c r="R760" s="280" t="n"/>
      <c r="T760" s="280" t="n"/>
      <c r="V760" s="280" t="n"/>
      <c r="X760" s="280" t="n"/>
      <c r="Z760" s="280" t="n"/>
      <c r="AA760" s="280" t="n"/>
      <c r="AB760" s="281" t="inlineStr">
        <is>
          <t>ES11 0081 7069 2700 0122 7724</t>
        </is>
      </c>
      <c r="AC760" s="278" t="inlineStr">
        <is>
          <t>pendiente</t>
        </is>
      </c>
      <c r="AD760" s="280">
        <f>L760+N760+P760+R760+T760+V760+X760+Z760</f>
        <v/>
      </c>
      <c r="AE760" s="280">
        <f>IF((LEFT(K760,6))="Contab",L760,0)</f>
        <v/>
      </c>
      <c r="AF760" s="281">
        <f>VLOOKUP(G760,CLIENTES!B:E,4,FALSE)</f>
        <v/>
      </c>
      <c r="AG760" s="280">
        <f>AF760*AE760</f>
        <v/>
      </c>
      <c r="AH760" s="280">
        <f>AD760*1.21</f>
        <v/>
      </c>
      <c r="AI760" s="284">
        <f>IF(AE760&lt;&gt;0,AG760/AD760,"N/A")</f>
        <v/>
      </c>
      <c r="AJ760" s="280">
        <f>IF(AC760="pendiente",AD760,0)</f>
        <v/>
      </c>
      <c r="AK760" s="278">
        <f>VLOOKUP(G760,CLIENTES!B:D,3,FALSE)</f>
        <v/>
      </c>
    </row>
    <row r="761" ht="15" customFormat="1" customHeight="1" s="192">
      <c r="B761" s="199" t="n"/>
      <c r="C761" s="192" t="inlineStr">
        <is>
          <t>c/ Las Cruzadas 3A, local D</t>
        </is>
      </c>
      <c r="D761" s="192" t="inlineStr">
        <is>
          <t>Sevilla 41004</t>
        </is>
      </c>
      <c r="E761" s="192" t="inlineStr">
        <is>
          <t>CIF B91938662</t>
        </is>
      </c>
      <c r="F761" s="192" t="inlineStr">
        <is>
          <t>aBalados@abalados.es</t>
        </is>
      </c>
      <c r="G761" s="192" t="inlineStr">
        <is>
          <t>Turbinto Parque Solar S.L.U.</t>
        </is>
      </c>
      <c r="H761" s="192">
        <f>VLOOKUP($G761,DATOS!$B:$E,2,FALSE)</f>
        <v/>
      </c>
      <c r="I761" s="192">
        <f>VLOOKUP($G761,DATOS!$B:$E,3,FALSE)</f>
        <v/>
      </c>
      <c r="J761" s="192">
        <f>VLOOKUP($G761,DATOS!$B:$E,4,FALSE)</f>
        <v/>
      </c>
      <c r="K761" s="192" t="inlineStr">
        <is>
          <t>Honorarios - Contrato O&amp;M</t>
        </is>
      </c>
      <c r="L761" s="200" t="n"/>
      <c r="M761" s="192" t="inlineStr">
        <is>
          <t>Corrección actualización IPC 2T, 3T, 4T ejercicio 2022</t>
        </is>
      </c>
      <c r="N761" s="200" t="n">
        <v>2041.728093795471</v>
      </c>
      <c r="P761" s="200" t="n"/>
      <c r="R761" s="200" t="n"/>
      <c r="T761" s="200" t="n"/>
      <c r="V761" s="200" t="n"/>
      <c r="X761" s="200" t="n"/>
      <c r="Z761" s="200" t="n"/>
      <c r="AA761" s="200" t="n"/>
      <c r="AB761" s="201" t="inlineStr">
        <is>
          <t>ES11 0081 7069 2700 0122 7724</t>
        </is>
      </c>
      <c r="AC761" s="192" t="inlineStr">
        <is>
          <t>pendiente</t>
        </is>
      </c>
      <c r="AD761" s="200">
        <f>L761+N761+P761+R761+T761+V761+X761+Z761</f>
        <v/>
      </c>
      <c r="AE761" s="200">
        <f>IF((LEFT(K761,6))="Contab",L761,0)</f>
        <v/>
      </c>
      <c r="AF761" s="201">
        <f>VLOOKUP(G761,CLIENTES!B:E,4,FALSE)</f>
        <v/>
      </c>
      <c r="AG761" s="200">
        <f>AF761*AE761</f>
        <v/>
      </c>
      <c r="AH761" s="200">
        <f>AD761*1.21</f>
        <v/>
      </c>
      <c r="AI761" s="283">
        <f>IF(AE761&lt;&gt;0,AG761/AD761,"N/A")</f>
        <v/>
      </c>
      <c r="AJ761" s="200">
        <f>IF(AC761="pendiente",AD761,0)</f>
        <v/>
      </c>
      <c r="AK761" s="192">
        <f>VLOOKUP(G761,CLIENTES!B:D,3,FALSE)</f>
        <v/>
      </c>
    </row>
    <row r="762" ht="15" customFormat="1" customHeight="1" s="189">
      <c r="B762" s="188" t="n"/>
      <c r="C762" s="192" t="inlineStr">
        <is>
          <t>c/ Las Cruzadas 3A, local D</t>
        </is>
      </c>
      <c r="D762" s="189" t="inlineStr">
        <is>
          <t>Sevilla 41004</t>
        </is>
      </c>
      <c r="E762" s="189" t="inlineStr">
        <is>
          <t>CIF B91938662</t>
        </is>
      </c>
      <c r="F762" s="189" t="inlineStr">
        <is>
          <t>aBalados@abalados.es</t>
        </is>
      </c>
      <c r="G762" s="189" t="inlineStr">
        <is>
          <t>China Triumph International Engineering Co., LTD EP EN SPAIN</t>
        </is>
      </c>
      <c r="H762" s="189">
        <f>VLOOKUP($G762,DATOS!$B:$E,2,FALSE)</f>
        <v/>
      </c>
      <c r="I762" s="189">
        <f>VLOOKUP($G762,DATOS!$B:$E,3,FALSE)</f>
        <v/>
      </c>
      <c r="J762" s="189">
        <f>VLOOKUP($G762,DATOS!$B:$E,4,FALSE)</f>
        <v/>
      </c>
      <c r="K762" s="189" t="inlineStr">
        <is>
          <t>O&amp;M Supervision and Management  -  Additional Service</t>
        </is>
      </c>
      <c r="L762" s="190" t="n"/>
      <c r="N762" s="190" t="n"/>
      <c r="O762" s="189" t="inlineStr">
        <is>
          <t>Puerto Real 1 PV - Cádiz | Spain</t>
        </is>
      </c>
      <c r="P762" s="190">
        <f>0.5*37592</f>
        <v/>
      </c>
      <c r="Q762" s="189" t="inlineStr">
        <is>
          <t>Module Replacement Management (50% at completion)</t>
        </is>
      </c>
      <c r="R762" s="190" t="n"/>
      <c r="T762" s="190" t="n"/>
      <c r="V762" s="190" t="n"/>
      <c r="X762" s="190" t="n"/>
      <c r="Z762" s="190" t="n"/>
      <c r="AA762" s="190" t="n"/>
      <c r="AB762" s="191" t="inlineStr">
        <is>
          <t>ES11 0081 7069 2700 0122 7724</t>
        </is>
      </c>
      <c r="AC762" s="189" t="inlineStr">
        <is>
          <t>pendiente</t>
        </is>
      </c>
      <c r="AD762" s="190">
        <f>L762+N762+P762+R762+T762+V762+X762+Z762</f>
        <v/>
      </c>
      <c r="AE762" s="190">
        <f>IF((LEFT(K762,6))="Contab",L762,0)</f>
        <v/>
      </c>
      <c r="AF762" s="191">
        <f>VLOOKUP(G762,CLIENTES!B:E,4,FALSE)</f>
        <v/>
      </c>
      <c r="AG762" s="190">
        <f>AF762*AE762</f>
        <v/>
      </c>
      <c r="AH762" s="190">
        <f>AD762*1.21</f>
        <v/>
      </c>
      <c r="AI762" s="289">
        <f>IF(AE762&lt;&gt;0,AG762/AD762,"N/A")</f>
        <v/>
      </c>
      <c r="AJ762" s="190">
        <f>IF(AC762="pendiente",AD762,0)</f>
        <v/>
      </c>
      <c r="AK762" s="189">
        <f>VLOOKUP(G762,CLIENTES!B:D,3,FALSE)</f>
        <v/>
      </c>
    </row>
    <row r="763" ht="15" customFormat="1" customHeight="1" s="189">
      <c r="B763" s="188" t="n"/>
      <c r="C763" s="192" t="inlineStr">
        <is>
          <t>c/ Las Cruzadas 3A, local D</t>
        </is>
      </c>
      <c r="D763" s="189" t="inlineStr">
        <is>
          <t>Sevilla 41004</t>
        </is>
      </c>
      <c r="E763" s="189" t="inlineStr">
        <is>
          <t>CIF B91938662</t>
        </is>
      </c>
      <c r="F763" s="189" t="inlineStr">
        <is>
          <t>aBalados@abalados.es</t>
        </is>
      </c>
      <c r="G763" s="189" t="inlineStr">
        <is>
          <t>China Triumph International Engineering Co., LTD EP EN SPAIN</t>
        </is>
      </c>
      <c r="H763" s="189">
        <f>VLOOKUP($G763,DATOS!$B:$E,2,FALSE)</f>
        <v/>
      </c>
      <c r="I763" s="189">
        <f>VLOOKUP($G763,DATOS!$B:$E,3,FALSE)</f>
        <v/>
      </c>
      <c r="J763" s="189">
        <f>VLOOKUP($G763,DATOS!$B:$E,4,FALSE)</f>
        <v/>
      </c>
      <c r="K763" s="189" t="inlineStr">
        <is>
          <t>O&amp;M Supervision and Management  -  Additional Service</t>
        </is>
      </c>
      <c r="L763" s="190" t="n"/>
      <c r="N763" s="190" t="n"/>
      <c r="O763" s="189" t="inlineStr">
        <is>
          <t>Puerto Real 1 PV - Cádiz | Spain</t>
        </is>
      </c>
      <c r="P763" s="190" t="n">
        <v>5150</v>
      </c>
      <c r="Q763" s="189" t="inlineStr">
        <is>
          <t>Support in the achievement of the FON</t>
        </is>
      </c>
      <c r="R763" s="190" t="n"/>
      <c r="T763" s="190" t="n"/>
      <c r="V763" s="190" t="n"/>
      <c r="X763" s="190" t="n"/>
      <c r="Z763" s="190" t="n"/>
      <c r="AA763" s="190" t="n"/>
      <c r="AB763" s="191" t="inlineStr">
        <is>
          <t>ES11 0081 7069 2700 0122 7724</t>
        </is>
      </c>
      <c r="AC763" s="189" t="inlineStr">
        <is>
          <t>pendiente</t>
        </is>
      </c>
      <c r="AD763" s="190">
        <f>L763+N763+P763+R763+T763+V763+X763+Z763</f>
        <v/>
      </c>
      <c r="AE763" s="190">
        <f>IF((LEFT(K763,6))="Contab",L763,0)</f>
        <v/>
      </c>
      <c r="AF763" s="191">
        <f>VLOOKUP(G763,CLIENTES!B:E,4,FALSE)</f>
        <v/>
      </c>
      <c r="AG763" s="190">
        <f>AF763*AE763</f>
        <v/>
      </c>
      <c r="AH763" s="190">
        <f>AD763*1.21</f>
        <v/>
      </c>
      <c r="AI763" s="289">
        <f>IF(AE763&lt;&gt;0,AG763/AD763,"N/A")</f>
        <v/>
      </c>
      <c r="AJ763" s="190">
        <f>IF(AC763="pendiente",AD763,0)</f>
        <v/>
      </c>
      <c r="AK763" s="189">
        <f>VLOOKUP(G763,CLIENTES!B:D,3,FALSE)</f>
        <v/>
      </c>
    </row>
    <row r="764" ht="15" customFormat="1" customHeight="1" s="189">
      <c r="B764" s="188" t="n"/>
      <c r="C764" s="192" t="inlineStr">
        <is>
          <t>c/ Las Cruzadas 3A, local D</t>
        </is>
      </c>
      <c r="D764" s="189" t="inlineStr">
        <is>
          <t>Sevilla 41004</t>
        </is>
      </c>
      <c r="E764" s="189" t="inlineStr">
        <is>
          <t>CIF B91938662</t>
        </is>
      </c>
      <c r="F764" s="189" t="inlineStr">
        <is>
          <t>aBalados@abalados.es</t>
        </is>
      </c>
      <c r="G764" s="189" t="inlineStr">
        <is>
          <t>FP LUX REIO PV ZARAGOZA SL.</t>
        </is>
      </c>
      <c r="H764" s="189">
        <f>VLOOKUP($G764,DATOS!$B:$E,2,FALSE)</f>
        <v/>
      </c>
      <c r="I764" s="189">
        <f>VLOOKUP($G764,DATOS!$B:$E,3,FALSE)</f>
        <v/>
      </c>
      <c r="J764" s="189">
        <f>VLOOKUP($G764,DATOS!$B:$E,4,FALSE)</f>
        <v/>
      </c>
      <c r="K764" s="189" t="inlineStr">
        <is>
          <t>Proyecto El Marqués - Zaragoza</t>
        </is>
      </c>
      <c r="L764" s="190" t="n"/>
      <c r="M764" s="189" t="inlineStr">
        <is>
          <t>Honorarios - Contrato O&amp;M 1º Trimestre 2023</t>
        </is>
      </c>
      <c r="N764" s="190" t="n">
        <v>22242.6607178916</v>
      </c>
      <c r="O764" s="189" t="inlineStr">
        <is>
          <t>PCI (01/22 - 01/23)</t>
        </is>
      </c>
      <c r="P764" s="190" t="n"/>
      <c r="Q764" s="189" t="inlineStr">
        <is>
          <t>O&amp;M Fee - 1Q2023</t>
        </is>
      </c>
      <c r="R764" s="190" t="n"/>
      <c r="S764" s="189" t="inlineStr">
        <is>
          <t>IPC (01/22 - 01/23)</t>
        </is>
      </c>
      <c r="T764" s="190" t="n"/>
      <c r="V764" s="190" t="n"/>
      <c r="X764" s="190" t="n"/>
      <c r="Z764" s="190" t="n"/>
      <c r="AA764" s="190" t="n"/>
      <c r="AB764" s="191" t="inlineStr">
        <is>
          <t>ES11 0081 7069 2700 0122 7724</t>
        </is>
      </c>
      <c r="AC764" s="189" t="inlineStr">
        <is>
          <t>pendiente</t>
        </is>
      </c>
      <c r="AD764" s="190">
        <f>L764+N764+P764+R764+T764+V764+X764+Z764</f>
        <v/>
      </c>
      <c r="AE764" s="190">
        <f>IF((LEFT(K764,6))="Contab",L764,0)</f>
        <v/>
      </c>
      <c r="AF764" s="191">
        <f>VLOOKUP(G764,CLIENTES!B:E,4,FALSE)</f>
        <v/>
      </c>
      <c r="AG764" s="190">
        <f>AF764*AE764</f>
        <v/>
      </c>
      <c r="AH764" s="190">
        <f>AD764*1.21</f>
        <v/>
      </c>
      <c r="AI764" s="289">
        <f>IF(AE764&lt;&gt;0,AG764/AD764,"N/A")</f>
        <v/>
      </c>
      <c r="AJ764" s="190">
        <f>IF(AC764="pendiente",AD764,0)</f>
        <v/>
      </c>
      <c r="AK764" s="189">
        <f>VLOOKUP(G764,CLIENTES!B:D,3,FALSE)</f>
        <v/>
      </c>
    </row>
    <row r="765" ht="15" customFormat="1" customHeight="1" s="189">
      <c r="B765" s="188" t="n"/>
      <c r="C765" s="192" t="inlineStr">
        <is>
          <t>c/ Las Cruzadas 3A, local D</t>
        </is>
      </c>
      <c r="D765" s="189" t="inlineStr">
        <is>
          <t>Sevilla 41004</t>
        </is>
      </c>
      <c r="E765" s="189" t="inlineStr">
        <is>
          <t>CIF B91938662</t>
        </is>
      </c>
      <c r="F765" s="189" t="inlineStr">
        <is>
          <t>aBalados@abalados.es</t>
        </is>
      </c>
      <c r="G765" s="189" t="inlineStr">
        <is>
          <t>China Triumph International Engineering Co., LTD EP EN SPAIN</t>
        </is>
      </c>
      <c r="H765" s="189">
        <f>VLOOKUP($G765,DATOS!$B:$E,2,FALSE)</f>
        <v/>
      </c>
      <c r="I765" s="189">
        <f>VLOOKUP($G765,DATOS!$B:$E,3,FALSE)</f>
        <v/>
      </c>
      <c r="J765" s="189">
        <f>VLOOKUP($G765,DATOS!$B:$E,4,FALSE)</f>
        <v/>
      </c>
      <c r="K765" s="189" t="inlineStr">
        <is>
          <t>O&amp;M Supervision and Management  -  Additional Service (DoA No.2303_01)</t>
        </is>
      </c>
      <c r="L765" s="190" t="n"/>
      <c r="N765" s="190" t="n"/>
      <c r="O765" s="189" t="inlineStr">
        <is>
          <t>Puerto Real 1 PV - Cádiz | Spain</t>
        </is>
      </c>
      <c r="P765" s="190" t="n">
        <v>35000</v>
      </c>
      <c r="R765" s="190" t="n"/>
      <c r="T765" s="190" t="n"/>
      <c r="U765" s="189" t="inlineStr">
        <is>
          <t>Support with the arrangement of ATA's assistance</t>
        </is>
      </c>
      <c r="V765" s="190" t="n"/>
      <c r="W765" s="189" t="inlineStr">
        <is>
          <t>Proposal for Independent Expert Technical Report for an Arbitration Process Related</t>
        </is>
      </c>
      <c r="X765" s="190" t="n"/>
      <c r="Y765" s="189" t="inlineStr">
        <is>
          <t>to a Photovoltaic Solar Plant, located in Spain</t>
        </is>
      </c>
      <c r="Z765" s="190" t="n"/>
      <c r="AA765" s="190" t="n"/>
      <c r="AB765" s="191" t="inlineStr">
        <is>
          <t>ES11 0081 7069 2700 0122 7724</t>
        </is>
      </c>
      <c r="AC765" s="189" t="inlineStr">
        <is>
          <t>pendiente</t>
        </is>
      </c>
      <c r="AD765" s="190">
        <f>L765+N765+P765+R765+T765+V765+X765+Z765</f>
        <v/>
      </c>
      <c r="AE765" s="190">
        <f>IF((LEFT(K765,6))="Contab",L765,0)</f>
        <v/>
      </c>
      <c r="AF765" s="191">
        <f>VLOOKUP(G765,CLIENTES!B:E,4,FALSE)</f>
        <v/>
      </c>
      <c r="AG765" s="190">
        <f>AF765*AE765</f>
        <v/>
      </c>
      <c r="AH765" s="190">
        <f>AD765*1.21</f>
        <v/>
      </c>
      <c r="AI765" s="289">
        <f>IF(AE765&lt;&gt;0,AG765/AD765,"N/A")</f>
        <v/>
      </c>
      <c r="AJ765" s="190">
        <f>IF(AC765="pendiente",AD765,0)</f>
        <v/>
      </c>
      <c r="AK765" s="189">
        <f>VLOOKUP(G765,CLIENTES!B:D,3,FALSE)</f>
        <v/>
      </c>
    </row>
    <row r="766" ht="15" customFormat="1" customHeight="1" s="278">
      <c r="B766" s="279" t="n"/>
      <c r="C766" s="278" t="inlineStr">
        <is>
          <t>c/ Las Cruzadas 3A, local D</t>
        </is>
      </c>
      <c r="D766" s="278" t="inlineStr">
        <is>
          <t>Sevilla 41004</t>
        </is>
      </c>
      <c r="E766" s="278" t="inlineStr">
        <is>
          <t>CIF B91938662</t>
        </is>
      </c>
      <c r="F766" s="278" t="inlineStr">
        <is>
          <t>aBalados@abalados.es</t>
        </is>
      </c>
      <c r="G766" s="278" t="inlineStr">
        <is>
          <t>Valcabado Renovables 220 kV, S.L.</t>
        </is>
      </c>
      <c r="H766" s="278">
        <f>VLOOKUP($G766,DATOS!$B:$E,2,FALSE)</f>
        <v/>
      </c>
      <c r="I766" s="278">
        <f>VLOOKUP($G766,DATOS!$B:$E,3,FALSE)</f>
        <v/>
      </c>
      <c r="J766" s="278">
        <f>VLOOKUP($G766,DATOS!$B:$E,4,FALSE)</f>
        <v/>
      </c>
      <c r="K766" s="278" t="inlineStr">
        <is>
          <t>Contrato de Asset Management - Subestación Valcabado</t>
        </is>
      </c>
      <c r="L766" s="280" t="n"/>
      <c r="N766" s="280" t="n"/>
      <c r="O766" s="278" t="inlineStr">
        <is>
          <t>Fee Trimestral - 01Enero/31Marzo 2023</t>
        </is>
      </c>
      <c r="P766" s="280">
        <f>1173*3*1.098</f>
        <v/>
      </c>
      <c r="Q766" s="278" t="inlineStr">
        <is>
          <t>Tasa actualización IPC General (Marzo 2022 - Marzo 2023) no disponible</t>
        </is>
      </c>
      <c r="R766" s="280" t="n"/>
      <c r="T766" s="280" t="n"/>
      <c r="V766" s="280" t="n"/>
      <c r="X766" s="280" t="n"/>
      <c r="Z766" s="280" t="n"/>
      <c r="AA766" s="280" t="n"/>
      <c r="AB766" s="281" t="inlineStr">
        <is>
          <t>ES11 0081 7069 2700 0122 7724</t>
        </is>
      </c>
      <c r="AC766" s="278" t="inlineStr">
        <is>
          <t>pendiente</t>
        </is>
      </c>
      <c r="AD766" s="280">
        <f>L766+N766+P766+R766+T766+V766+X766+Z766</f>
        <v/>
      </c>
      <c r="AE766" s="280">
        <f>IF((LEFT(K766,6))="Contab",L766,0)</f>
        <v/>
      </c>
      <c r="AF766" s="281">
        <f>VLOOKUP(G766,CLIENTES!B:E,4,FALSE)</f>
        <v/>
      </c>
      <c r="AG766" s="280">
        <f>AF766*AE766</f>
        <v/>
      </c>
      <c r="AH766" s="280">
        <f>AD766*1.21</f>
        <v/>
      </c>
      <c r="AI766" s="284">
        <f>IF(AE766&lt;&gt;0,AG766/AD766,"N/A")</f>
        <v/>
      </c>
      <c r="AJ766" s="280">
        <f>IF(AC766="pendiente",AD766,0)</f>
        <v/>
      </c>
      <c r="AK766" s="278">
        <f>VLOOKUP(G766,CLIENTES!B:D,3,FALSE)</f>
        <v/>
      </c>
    </row>
    <row r="767" ht="15" customFormat="1" customHeight="1" s="278">
      <c r="B767" s="279" t="n"/>
      <c r="C767" s="278" t="inlineStr">
        <is>
          <t>c/ Las Cruzadas 3A, local D</t>
        </is>
      </c>
      <c r="D767" s="278" t="inlineStr">
        <is>
          <t>Sevilla 41004</t>
        </is>
      </c>
      <c r="E767" s="278" t="inlineStr">
        <is>
          <t>CIF B91938662</t>
        </is>
      </c>
      <c r="F767" s="278" t="inlineStr">
        <is>
          <t>aBalados@abalados.es</t>
        </is>
      </c>
      <c r="G767" s="278" t="inlineStr">
        <is>
          <t>Grijota Renovables, S.L.</t>
        </is>
      </c>
      <c r="H767" s="278">
        <f>VLOOKUP($G767,DATOS!$B:$E,2,FALSE)</f>
        <v/>
      </c>
      <c r="I767" s="278">
        <f>VLOOKUP($G767,DATOS!$B:$E,3,FALSE)</f>
        <v/>
      </c>
      <c r="J767" s="278">
        <f>VLOOKUP($G767,DATOS!$B:$E,4,FALSE)</f>
        <v/>
      </c>
      <c r="K767" s="278" t="inlineStr">
        <is>
          <t>Contrato de Asset Management - Subestación Grijota</t>
        </is>
      </c>
      <c r="L767" s="280" t="n"/>
      <c r="N767" s="280" t="n"/>
      <c r="O767" s="278" t="inlineStr">
        <is>
          <t>Fee Trimestral - 01Enero/31Marzo 2023</t>
        </is>
      </c>
      <c r="P767" s="280">
        <f>1035*3*1.108</f>
        <v/>
      </c>
      <c r="R767" s="280" t="n"/>
      <c r="S767" s="280" t="n"/>
      <c r="T767" s="280" t="n"/>
      <c r="V767" s="280" t="n"/>
      <c r="X767" s="280" t="n"/>
      <c r="Z767" s="280" t="n"/>
      <c r="AA767" s="280" t="n"/>
      <c r="AB767" s="281" t="inlineStr">
        <is>
          <t>ES11 0081 7069 2700 0122 7724</t>
        </is>
      </c>
      <c r="AC767" s="278" t="inlineStr">
        <is>
          <t>pendiente</t>
        </is>
      </c>
      <c r="AD767" s="280">
        <f>L767+N767+P767+R767+T767+V767+X767+Z767</f>
        <v/>
      </c>
      <c r="AE767" s="280">
        <f>IF((LEFT(K767,6))="Contab",L767,0)</f>
        <v/>
      </c>
      <c r="AF767" s="281">
        <f>VLOOKUP(G767,CLIENTES!B:E,4,FALSE)</f>
        <v/>
      </c>
      <c r="AG767" s="280">
        <f>AF767*AE767</f>
        <v/>
      </c>
      <c r="AH767" s="280">
        <f>AD767*1.21</f>
        <v/>
      </c>
      <c r="AI767" s="284">
        <f>IF(AE767&lt;&gt;0,AG767/AD767,"N/A")</f>
        <v/>
      </c>
      <c r="AJ767" s="280">
        <f>IF(AC767="pendiente",AD767,0)</f>
        <v/>
      </c>
      <c r="AK767" s="278">
        <f>VLOOKUP(G767,CLIENTES!B:D,3,FALSE)</f>
        <v/>
      </c>
    </row>
    <row r="768" ht="15" customFormat="1" customHeight="1" s="278">
      <c r="B768" s="279" t="n"/>
      <c r="C768" s="278" t="inlineStr">
        <is>
          <t>c/ Las Cruzadas 3A, local D</t>
        </is>
      </c>
      <c r="D768" s="278" t="inlineStr">
        <is>
          <t>Sevilla 41004</t>
        </is>
      </c>
      <c r="E768" s="278" t="inlineStr">
        <is>
          <t>CIF B91938662</t>
        </is>
      </c>
      <c r="F768" s="278" t="inlineStr">
        <is>
          <t>aBalados@abalados.es</t>
        </is>
      </c>
      <c r="G768" s="278" t="inlineStr">
        <is>
          <t>Cubillos Renovables, S.L.</t>
        </is>
      </c>
      <c r="H768" s="278">
        <f>VLOOKUP($G768,DATOS!$B:$E,2,FALSE)</f>
        <v/>
      </c>
      <c r="I768" s="278">
        <f>VLOOKUP($G768,DATOS!$B:$E,3,FALSE)</f>
        <v/>
      </c>
      <c r="J768" s="278">
        <f>VLOOKUP($G768,DATOS!$B:$E,4,FALSE)</f>
        <v/>
      </c>
      <c r="K768" s="278" t="inlineStr">
        <is>
          <t>Contrato de Asset Management - Subestación Majuelo</t>
        </is>
      </c>
      <c r="L768" s="280" t="n"/>
      <c r="N768" s="280" t="n"/>
      <c r="O768" s="278" t="inlineStr">
        <is>
          <t>Fee Trimestral - 01Enero/31Marzo 2023</t>
        </is>
      </c>
      <c r="P768" s="280">
        <f>1173*3*1.105</f>
        <v/>
      </c>
      <c r="R768" s="280" t="n"/>
      <c r="S768" s="280" t="n"/>
      <c r="T768" s="280" t="n"/>
      <c r="V768" s="280" t="n"/>
      <c r="X768" s="280" t="n"/>
      <c r="Z768" s="280" t="n"/>
      <c r="AA768" s="280" t="n"/>
      <c r="AB768" s="281" t="inlineStr">
        <is>
          <t>ES11 0081 7069 2700 0122 7724</t>
        </is>
      </c>
      <c r="AC768" s="278" t="inlineStr">
        <is>
          <t>pendiente</t>
        </is>
      </c>
      <c r="AD768" s="280">
        <f>L768+N768+P768+R768+T768+V768+X768+Z768</f>
        <v/>
      </c>
      <c r="AE768" s="280">
        <f>IF((LEFT(K768,6))="Contab",L768,0)</f>
        <v/>
      </c>
      <c r="AF768" s="281">
        <f>VLOOKUP(G768,CLIENTES!B:E,4,FALSE)</f>
        <v/>
      </c>
      <c r="AG768" s="280">
        <f>AF768*AE768</f>
        <v/>
      </c>
      <c r="AH768" s="280">
        <f>AD768*1.21</f>
        <v/>
      </c>
      <c r="AI768" s="284">
        <f>IF(AE768&lt;&gt;0,AG768/AD768,"N/A")</f>
        <v/>
      </c>
      <c r="AJ768" s="280">
        <f>IF(AC768="pendiente",AD768,0)</f>
        <v/>
      </c>
      <c r="AK768" s="278">
        <f>VLOOKUP(G768,CLIENTES!B:D,3,FALSE)</f>
        <v/>
      </c>
    </row>
    <row r="769" ht="15" customFormat="1" customHeight="1" s="278">
      <c r="B769" s="279" t="n"/>
      <c r="C769" s="278" t="inlineStr">
        <is>
          <t>c/ Las Cruzadas 3A, local D</t>
        </is>
      </c>
      <c r="D769" s="278" t="inlineStr">
        <is>
          <t>Sevilla 41004</t>
        </is>
      </c>
      <c r="E769" s="278" t="inlineStr">
        <is>
          <t>CIF B91938662</t>
        </is>
      </c>
      <c r="F769" s="278" t="inlineStr">
        <is>
          <t>aBalados@abalados.es</t>
        </is>
      </c>
      <c r="G769" s="278" t="inlineStr">
        <is>
          <t>Tordesillas Renovables, S.L.</t>
        </is>
      </c>
      <c r="H769" s="278">
        <f>VLOOKUP($G769,DATOS!$B:$E,2,FALSE)</f>
        <v/>
      </c>
      <c r="I769" s="278">
        <f>VLOOKUP($G769,DATOS!$B:$E,3,FALSE)</f>
        <v/>
      </c>
      <c r="J769" s="278">
        <f>VLOOKUP($G769,DATOS!$B:$E,4,FALSE)</f>
        <v/>
      </c>
      <c r="K769" s="278" t="inlineStr">
        <is>
          <t>Contrato de Asset Management - Subestación Tordesillas</t>
        </is>
      </c>
      <c r="L769" s="280" t="n"/>
      <c r="N769" s="280" t="n"/>
      <c r="O769" s="278" t="inlineStr">
        <is>
          <t>Fee Trimestral - 01Enero/31Marzo 2023</t>
        </is>
      </c>
      <c r="P769" s="280">
        <f>1200*3*1.073</f>
        <v/>
      </c>
      <c r="R769" s="280" t="n"/>
      <c r="S769" s="280" t="n"/>
      <c r="T769" s="280" t="n"/>
      <c r="V769" s="280" t="n"/>
      <c r="X769" s="280" t="n"/>
      <c r="Z769" s="280" t="n"/>
      <c r="AA769" s="280" t="n"/>
      <c r="AB769" s="281" t="inlineStr">
        <is>
          <t>ES11 0081 7069 2700 0122 7724</t>
        </is>
      </c>
      <c r="AC769" s="278" t="inlineStr">
        <is>
          <t>pendiente</t>
        </is>
      </c>
      <c r="AD769" s="280">
        <f>L769+N769+P769+R769+T769+V769+X769+Z769</f>
        <v/>
      </c>
      <c r="AE769" s="280">
        <f>IF((LEFT(K769,6))="Contab",L769,0)</f>
        <v/>
      </c>
      <c r="AF769" s="281">
        <f>VLOOKUP(G769,CLIENTES!B:E,4,FALSE)</f>
        <v/>
      </c>
      <c r="AG769" s="280">
        <f>AF769*AE769</f>
        <v/>
      </c>
      <c r="AH769" s="280">
        <f>AD769*1.21</f>
        <v/>
      </c>
      <c r="AI769" s="284">
        <f>IF(AE769&lt;&gt;0,AG769/AD769,"N/A")</f>
        <v/>
      </c>
      <c r="AJ769" s="280">
        <f>IF(AC769="pendiente",AD769,0)</f>
        <v/>
      </c>
      <c r="AK769" s="278">
        <f>VLOOKUP(G769,CLIENTES!B:D,3,FALSE)</f>
        <v/>
      </c>
    </row>
    <row r="770" ht="15" customFormat="1" customHeight="1" s="278">
      <c r="B770" s="279" t="n"/>
      <c r="C770" s="278" t="inlineStr">
        <is>
          <t>c/ Las Cruzadas 3A, local D</t>
        </is>
      </c>
      <c r="D770" s="278" t="inlineStr">
        <is>
          <t>Sevilla 41004</t>
        </is>
      </c>
      <c r="E770" s="278" t="inlineStr">
        <is>
          <t>CIF B91938662</t>
        </is>
      </c>
      <c r="F770" s="278" t="inlineStr">
        <is>
          <t>aBalados@abalados.es</t>
        </is>
      </c>
      <c r="G770" s="278" t="inlineStr">
        <is>
          <t>Monte Reina Renovables, S.L.</t>
        </is>
      </c>
      <c r="H770" s="278">
        <f>VLOOKUP($G770,DATOS!$B:$E,2,FALSE)</f>
        <v/>
      </c>
      <c r="I770" s="278">
        <f>VLOOKUP($G770,DATOS!$B:$E,3,FALSE)</f>
        <v/>
      </c>
      <c r="J770" s="278">
        <f>VLOOKUP($G770,DATOS!$B:$E,4,FALSE)</f>
        <v/>
      </c>
      <c r="K770" s="278" t="inlineStr">
        <is>
          <t>Contrato de Asset Management - Subestación Valdecarretas</t>
        </is>
      </c>
      <c r="L770" s="280" t="n"/>
      <c r="N770" s="280" t="n"/>
      <c r="O770" s="278" t="inlineStr">
        <is>
          <t>Fee Trimestral - 01Enero/31Marzo 2023</t>
        </is>
      </c>
      <c r="P770" s="280">
        <f>1380*3*1.073</f>
        <v/>
      </c>
      <c r="R770" s="280" t="n"/>
      <c r="S770" s="280" t="n"/>
      <c r="T770" s="280" t="n"/>
      <c r="V770" s="280" t="n"/>
      <c r="X770" s="280" t="n"/>
      <c r="Z770" s="280" t="n"/>
      <c r="AA770" s="280" t="n"/>
      <c r="AB770" s="281" t="inlineStr">
        <is>
          <t>ES11 0081 7069 2700 0122 7724</t>
        </is>
      </c>
      <c r="AC770" s="278" t="inlineStr">
        <is>
          <t>pendiente</t>
        </is>
      </c>
      <c r="AD770" s="280">
        <f>L770+N770+P770+R770+T770+V770+X770+Z770</f>
        <v/>
      </c>
      <c r="AE770" s="280">
        <f>IF((LEFT(K770,6))="Contab",L770,0)</f>
        <v/>
      </c>
      <c r="AF770" s="281">
        <f>VLOOKUP(G770,CLIENTES!B:E,4,FALSE)</f>
        <v/>
      </c>
      <c r="AG770" s="280">
        <f>AF770*AE770</f>
        <v/>
      </c>
      <c r="AH770" s="280">
        <f>AD770*1.21</f>
        <v/>
      </c>
      <c r="AI770" s="284">
        <f>IF(AE770&lt;&gt;0,AG770/AD770,"N/A")</f>
        <v/>
      </c>
      <c r="AJ770" s="280">
        <f>IF(AC770="pendiente",AD770,0)</f>
        <v/>
      </c>
      <c r="AK770" s="278">
        <f>VLOOKUP(G770,CLIENTES!B:D,3,FALSE)</f>
        <v/>
      </c>
    </row>
    <row r="771" ht="15" customFormat="1" customHeight="1" s="278">
      <c r="B771" s="279" t="n"/>
      <c r="C771" s="278" t="inlineStr">
        <is>
          <t>c/ Las Cruzadas 3A, local D</t>
        </is>
      </c>
      <c r="D771" s="278" t="inlineStr">
        <is>
          <t>Sevilla 41004</t>
        </is>
      </c>
      <c r="E771" s="278" t="inlineStr">
        <is>
          <t>CIF B91938662</t>
        </is>
      </c>
      <c r="F771" s="278" t="inlineStr">
        <is>
          <t>aBalados@abalados.es</t>
        </is>
      </c>
      <c r="G771" s="278" t="inlineStr">
        <is>
          <t>Herrera Renovables 400, A.I.E.</t>
        </is>
      </c>
      <c r="H771" s="278">
        <f>VLOOKUP($G771,DATOS!$B:$E,2,FALSE)</f>
        <v/>
      </c>
      <c r="I771" s="278">
        <f>VLOOKUP($G771,DATOS!$B:$E,3,FALSE)</f>
        <v/>
      </c>
      <c r="J771" s="278">
        <f>VLOOKUP($G771,DATOS!$B:$E,4,FALSE)</f>
        <v/>
      </c>
      <c r="K771" s="278" t="inlineStr">
        <is>
          <t>Contrato de Asset Management - Subestación Herrera</t>
        </is>
      </c>
      <c r="L771" s="280" t="n"/>
      <c r="N771" s="280" t="n"/>
      <c r="O771" s="278" t="inlineStr">
        <is>
          <t>Fee Trimestral - 01Enero/31Marzo 2023</t>
        </is>
      </c>
      <c r="P771" s="280">
        <f>1250*3*1.068</f>
        <v/>
      </c>
      <c r="R771" s="280" t="n"/>
      <c r="S771" s="280" t="n"/>
      <c r="T771" s="280" t="n"/>
      <c r="V771" s="280" t="n"/>
      <c r="X771" s="280" t="n"/>
      <c r="Z771" s="280" t="n"/>
      <c r="AA771" s="280" t="n"/>
      <c r="AB771" s="281" t="inlineStr">
        <is>
          <t>ES11 0081 7069 2700 0122 7724</t>
        </is>
      </c>
      <c r="AC771" s="278" t="inlineStr">
        <is>
          <t>pendiente</t>
        </is>
      </c>
      <c r="AD771" s="280">
        <f>L771+N771+P771+R771+T771+V771+X771+Z771</f>
        <v/>
      </c>
      <c r="AE771" s="280">
        <f>IF((LEFT(K771,6))="Contab",L771,0)</f>
        <v/>
      </c>
      <c r="AF771" s="281">
        <f>VLOOKUP(G771,CLIENTES!B:E,4,FALSE)</f>
        <v/>
      </c>
      <c r="AG771" s="280">
        <f>AF771*AE771</f>
        <v/>
      </c>
      <c r="AH771" s="280">
        <f>AD771*1.21</f>
        <v/>
      </c>
      <c r="AI771" s="284">
        <f>IF(AE771&lt;&gt;0,AG771/AD771,"N/A")</f>
        <v/>
      </c>
      <c r="AJ771" s="280">
        <f>IF(AC771="pendiente",AD771,0)</f>
        <v/>
      </c>
      <c r="AK771" s="278">
        <f>VLOOKUP(G771,CLIENTES!B:D,3,FALSE)</f>
        <v/>
      </c>
    </row>
    <row r="772" ht="15" customFormat="1" customHeight="1" s="278">
      <c r="B772" s="279" t="n"/>
      <c r="C772" s="278" t="inlineStr">
        <is>
          <t>c/ Las Cruzadas 3A, local D</t>
        </is>
      </c>
      <c r="D772" s="278" t="inlineStr">
        <is>
          <t>Sevilla 41004</t>
        </is>
      </c>
      <c r="E772" s="278" t="inlineStr">
        <is>
          <t>CIF B91938662</t>
        </is>
      </c>
      <c r="F772" s="278" t="inlineStr">
        <is>
          <t>aBalados@abalados.es</t>
        </is>
      </c>
      <c r="G772" s="278" t="inlineStr">
        <is>
          <t>Gazules Renovables, S.L.</t>
        </is>
      </c>
      <c r="H772" s="278">
        <f>VLOOKUP($G772,DATOS!$B:$E,2,FALSE)</f>
        <v/>
      </c>
      <c r="I772" s="278">
        <f>VLOOKUP($G772,DATOS!$B:$E,3,FALSE)</f>
        <v/>
      </c>
      <c r="J772" s="278">
        <f>VLOOKUP($G772,DATOS!$B:$E,4,FALSE)</f>
        <v/>
      </c>
      <c r="K772" s="278" t="inlineStr">
        <is>
          <t>Contrato de Asset Management - Subestación Gazules</t>
        </is>
      </c>
      <c r="L772" s="280" t="n"/>
      <c r="N772" s="280" t="n"/>
      <c r="O772" s="278" t="inlineStr">
        <is>
          <t>Fee Trimestral - 01Enero/31Marzo 2023</t>
        </is>
      </c>
      <c r="P772" s="280">
        <f>1200*3*1.068</f>
        <v/>
      </c>
      <c r="R772" s="280" t="n"/>
      <c r="S772" s="280" t="n"/>
      <c r="T772" s="280" t="n"/>
      <c r="V772" s="280" t="n"/>
      <c r="X772" s="280" t="n"/>
      <c r="Z772" s="280" t="n"/>
      <c r="AA772" s="280" t="n"/>
      <c r="AB772" s="281" t="inlineStr">
        <is>
          <t>ES11 0081 7069 2700 0122 7724</t>
        </is>
      </c>
      <c r="AC772" s="278" t="inlineStr">
        <is>
          <t>pendiente</t>
        </is>
      </c>
      <c r="AD772" s="280">
        <f>L772+N772+P772+R772+T772+V772+X772+Z772</f>
        <v/>
      </c>
      <c r="AE772" s="280">
        <f>IF((LEFT(K772,6))="Contab",L772,0)</f>
        <v/>
      </c>
      <c r="AF772" s="281">
        <f>VLOOKUP(G772,CLIENTES!B:E,4,FALSE)</f>
        <v/>
      </c>
      <c r="AG772" s="280">
        <f>AF772*AE772</f>
        <v/>
      </c>
      <c r="AH772" s="280">
        <f>AD772*1.21</f>
        <v/>
      </c>
      <c r="AI772" s="284">
        <f>IF(AE772&lt;&gt;0,AG772/AD772,"N/A")</f>
        <v/>
      </c>
      <c r="AJ772" s="280">
        <f>IF(AC772="pendiente",AD772,0)</f>
        <v/>
      </c>
      <c r="AK772" s="278">
        <f>VLOOKUP(G772,CLIENTES!B:D,3,FALSE)</f>
        <v/>
      </c>
    </row>
    <row r="773" ht="15" customFormat="1" customHeight="1" s="278">
      <c r="B773" s="279" t="n"/>
      <c r="C773" s="278" t="inlineStr">
        <is>
          <t>c/ Las Cruzadas 3A, local D</t>
        </is>
      </c>
      <c r="D773" s="278" t="inlineStr">
        <is>
          <t>Sevilla 41004</t>
        </is>
      </c>
      <c r="E773" s="278" t="inlineStr">
        <is>
          <t>CIF B91938662</t>
        </is>
      </c>
      <c r="F773" s="278" t="inlineStr">
        <is>
          <t>aBalados@abalados.es</t>
        </is>
      </c>
      <c r="G773" s="278" t="inlineStr">
        <is>
          <t>Gazules Renovables, S.L.</t>
        </is>
      </c>
      <c r="H773" s="278">
        <f>VLOOKUP($G773,DATOS!$B:$E,2,FALSE)</f>
        <v/>
      </c>
      <c r="I773" s="278">
        <f>VLOOKUP($G773,DATOS!$B:$E,3,FALSE)</f>
        <v/>
      </c>
      <c r="J773" s="278">
        <f>VLOOKUP($G773,DATOS!$B:$E,4,FALSE)</f>
        <v/>
      </c>
      <c r="K773" s="278" t="inlineStr">
        <is>
          <t>Servicios extraordinarios - Asset Management (subestación Álamo)</t>
        </is>
      </c>
      <c r="L773" s="280" t="n"/>
      <c r="M773" s="278" t="inlineStr">
        <is>
          <t>Asistencia técnica para la interlocución con REE en nombre de la Sociedad</t>
        </is>
      </c>
      <c r="N773" s="280" t="n"/>
      <c r="O773" s="278" t="inlineStr">
        <is>
          <t>Fee Trimestral - 01Enero/31Marzo 2023</t>
        </is>
      </c>
      <c r="P773" s="280">
        <f>285*3</f>
        <v/>
      </c>
      <c r="R773" s="280" t="n"/>
      <c r="T773" s="280" t="n"/>
      <c r="V773" s="280" t="n"/>
      <c r="X773" s="280" t="n"/>
      <c r="Z773" s="280" t="n"/>
      <c r="AA773" s="280" t="n"/>
      <c r="AB773" s="281" t="inlineStr">
        <is>
          <t>ES11 0081 7069 2700 0122 7724</t>
        </is>
      </c>
      <c r="AC773" s="278" t="inlineStr">
        <is>
          <t>pendiente</t>
        </is>
      </c>
      <c r="AD773" s="280">
        <f>L773+N773+P773+R773+T773+V773+X773+Z773</f>
        <v/>
      </c>
      <c r="AE773" s="280">
        <f>IF((LEFT(K773,6))="Contab",L773,0)</f>
        <v/>
      </c>
      <c r="AF773" s="281">
        <f>VLOOKUP(G773,CLIENTES!B:E,4,FALSE)</f>
        <v/>
      </c>
      <c r="AG773" s="280">
        <f>AF773*AE773</f>
        <v/>
      </c>
      <c r="AH773" s="280">
        <f>AD773*1.21</f>
        <v/>
      </c>
      <c r="AI773" s="284">
        <f>IF(AE773&lt;&gt;0,AG773/AD773,"N/A")</f>
        <v/>
      </c>
      <c r="AJ773" s="280">
        <f>IF(AC773="pendiente",AD773,0)</f>
        <v/>
      </c>
      <c r="AK773" s="278">
        <f>VLOOKUP(G773,CLIENTES!B:D,3,FALSE)</f>
        <v/>
      </c>
    </row>
    <row r="774" ht="15" customFormat="1" customHeight="1" s="278">
      <c r="B774" s="279" t="n"/>
      <c r="C774" s="278" t="inlineStr">
        <is>
          <t>c/ Las Cruzadas 3A, local D</t>
        </is>
      </c>
      <c r="D774" s="278" t="inlineStr">
        <is>
          <t>Sevilla 41004</t>
        </is>
      </c>
      <c r="E774" s="278" t="inlineStr">
        <is>
          <t>CIF B91938662</t>
        </is>
      </c>
      <c r="F774" s="278" t="inlineStr">
        <is>
          <t>aBalados@abalados.es</t>
        </is>
      </c>
      <c r="G774" s="278" t="inlineStr">
        <is>
          <t>Evacuación Tordesillas 400 kV, S.L.</t>
        </is>
      </c>
      <c r="H774" s="278">
        <f>VLOOKUP($G774,DATOS!$B:$E,2,FALSE)</f>
        <v/>
      </c>
      <c r="I774" s="278">
        <f>VLOOKUP($G774,DATOS!$B:$E,3,FALSE)</f>
        <v/>
      </c>
      <c r="J774" s="278">
        <f>VLOOKUP($G774,DATOS!$B:$E,4,FALSE)</f>
        <v/>
      </c>
      <c r="K774" s="278" t="inlineStr">
        <is>
          <t>Contrato de Asset Management - LAAT T2 (Tordesillas)</t>
        </is>
      </c>
      <c r="L774" s="280" t="n"/>
      <c r="N774" s="280" t="n"/>
      <c r="O774" s="278" t="inlineStr">
        <is>
          <t>Fee Trimestral - 01Enero/31Marzo 2023</t>
        </is>
      </c>
      <c r="P774" s="280">
        <f>1200*19/31+1200*(12/31)*1.059  +  1200*2*1.059</f>
        <v/>
      </c>
      <c r="Q774" s="278" t="inlineStr">
        <is>
          <t>Tasa actualización IPC General (Enero 2022 - Enero 2023): 5,9%</t>
        </is>
      </c>
      <c r="R774" s="280" t="n"/>
      <c r="S774" s="280" t="inlineStr">
        <is>
          <t>Fecha actualización: 20 Enero</t>
        </is>
      </c>
      <c r="T774" s="280" t="n"/>
      <c r="V774" s="280" t="n"/>
      <c r="X774" s="280" t="n"/>
      <c r="Z774" s="280" t="n"/>
      <c r="AA774" s="280" t="n"/>
      <c r="AB774" s="281" t="inlineStr">
        <is>
          <t>ES11 0081 7069 2700 0122 7724</t>
        </is>
      </c>
      <c r="AC774" s="278" t="inlineStr">
        <is>
          <t>pendiente</t>
        </is>
      </c>
      <c r="AD774" s="280">
        <f>L774+N774+P774+R774+T774+V774+X774+Z774</f>
        <v/>
      </c>
      <c r="AE774" s="280">
        <f>IF((LEFT(K774,6))="Contab",L774,0)</f>
        <v/>
      </c>
      <c r="AF774" s="281">
        <f>VLOOKUP(G774,CLIENTES!B:E,4,FALSE)</f>
        <v/>
      </c>
      <c r="AG774" s="280">
        <f>AF774*AE774</f>
        <v/>
      </c>
      <c r="AH774" s="280">
        <f>AD774*1.21</f>
        <v/>
      </c>
      <c r="AI774" s="284">
        <f>IF(AE774&lt;&gt;0,AG774/AD774,"N/A")</f>
        <v/>
      </c>
      <c r="AJ774" s="280">
        <f>IF(AC774="pendiente",AD774,0)</f>
        <v/>
      </c>
      <c r="AK774" s="278">
        <f>VLOOKUP(G774,CLIENTES!B:D,3,FALSE)</f>
        <v/>
      </c>
    </row>
    <row r="775" ht="15" customFormat="1" customHeight="1" s="278">
      <c r="B775" s="279" t="n"/>
      <c r="C775" s="278" t="inlineStr">
        <is>
          <t>c/ Las Cruzadas 3A, local D</t>
        </is>
      </c>
      <c r="D775" s="278" t="inlineStr">
        <is>
          <t>Sevilla 41004</t>
        </is>
      </c>
      <c r="E775" s="278" t="inlineStr">
        <is>
          <t>CIF B91938662</t>
        </is>
      </c>
      <c r="F775" s="278" t="inlineStr">
        <is>
          <t>aBalados@abalados.es</t>
        </is>
      </c>
      <c r="G775" s="278" t="inlineStr">
        <is>
          <t>Energías Limpias de Carmona, S.L.</t>
        </is>
      </c>
      <c r="H775" s="278">
        <f>VLOOKUP($G775,DATOS!$B:$E,2,FALSE)</f>
        <v/>
      </c>
      <c r="I775" s="278">
        <f>VLOOKUP($G775,DATOS!$B:$E,3,FALSE)</f>
        <v/>
      </c>
      <c r="J775" s="278">
        <f>VLOOKUP($G775,DATOS!$B:$E,4,FALSE)</f>
        <v/>
      </c>
      <c r="K775" s="278" t="inlineStr">
        <is>
          <t>Contrato de Asset Management - Subestación Carmona220</t>
        </is>
      </c>
      <c r="L775" s="280" t="n"/>
      <c r="N775" s="280" t="n"/>
      <c r="O775" s="278" t="inlineStr">
        <is>
          <t>Fee Trimestral - 01Enero/31Marzo 2023</t>
        </is>
      </c>
      <c r="P775" s="280">
        <f>1250*1  +  1250*1/28+1250*(27/28)*1.06  +  1250*1*1.06</f>
        <v/>
      </c>
      <c r="Q775" s="278" t="inlineStr">
        <is>
          <t>Tasa actualización IPC General (Febrero 2022 - Febrero 2023): 6,0%</t>
        </is>
      </c>
      <c r="R775" s="280" t="n"/>
      <c r="S775" s="280" t="inlineStr">
        <is>
          <t>Fecha actualización: 02 Febrero</t>
        </is>
      </c>
      <c r="T775" s="280" t="n"/>
      <c r="V775" s="280" t="n"/>
      <c r="X775" s="280" t="n"/>
      <c r="Z775" s="280" t="n"/>
      <c r="AA775" s="280" t="n"/>
      <c r="AB775" s="281" t="inlineStr">
        <is>
          <t>ES11 0081 7069 2700 0122 7724</t>
        </is>
      </c>
      <c r="AC775" s="278" t="inlineStr">
        <is>
          <t>pendiente</t>
        </is>
      </c>
      <c r="AD775" s="280">
        <f>L775+N775+P775+R775+T775+V775+X775+Z775</f>
        <v/>
      </c>
      <c r="AE775" s="280">
        <f>IF((LEFT(K775,6))="Contab",L775,0)</f>
        <v/>
      </c>
      <c r="AF775" s="281">
        <f>VLOOKUP(G775,CLIENTES!B:E,4,FALSE)</f>
        <v/>
      </c>
      <c r="AG775" s="280">
        <f>AF775*AE775</f>
        <v/>
      </c>
      <c r="AH775" s="280">
        <f>AD775*1.21</f>
        <v/>
      </c>
      <c r="AI775" s="284">
        <f>IF(AE775&lt;&gt;0,AG775/AD775,"N/A")</f>
        <v/>
      </c>
      <c r="AJ775" s="280">
        <f>IF(AC775="pendiente",AD775,0)</f>
        <v/>
      </c>
      <c r="AK775" s="278">
        <f>VLOOKUP(G775,CLIENTES!B:D,3,FALSE)</f>
        <v/>
      </c>
    </row>
    <row r="776" ht="15" customFormat="1" customHeight="1" s="278">
      <c r="B776" s="279" t="n"/>
      <c r="C776" s="278" t="inlineStr">
        <is>
          <t>c/ Las Cruzadas 3A, local D</t>
        </is>
      </c>
      <c r="D776" s="278" t="inlineStr">
        <is>
          <t>Sevilla 41004</t>
        </is>
      </c>
      <c r="E776" s="278" t="inlineStr">
        <is>
          <t>CIF B91938662</t>
        </is>
      </c>
      <c r="F776" s="278" t="inlineStr">
        <is>
          <t>aBalados@abalados.es</t>
        </is>
      </c>
      <c r="G776" s="278" t="inlineStr">
        <is>
          <t>LAAT 132 kV Doble Circuito-Tordesillas 400 kV, S.L.</t>
        </is>
      </c>
      <c r="H776" s="278">
        <f>VLOOKUP($G776,DATOS!$B:$E,2,FALSE)</f>
        <v/>
      </c>
      <c r="I776" s="278">
        <f>VLOOKUP($G776,DATOS!$B:$E,3,FALSE)</f>
        <v/>
      </c>
      <c r="J776" s="278">
        <f>VLOOKUP($G776,DATOS!$B:$E,4,FALSE)</f>
        <v/>
      </c>
      <c r="K776" s="278" t="inlineStr">
        <is>
          <t>Contrato de Asset Management - LAAT T3 (Tordesillas)</t>
        </is>
      </c>
      <c r="L776" s="280" t="n"/>
      <c r="N776" s="280" t="n"/>
      <c r="O776" s="278" t="inlineStr">
        <is>
          <t>Fee Trimestral - 01Enero/31Marzo 2023</t>
        </is>
      </c>
      <c r="P776" s="280">
        <f>1200*1  +  1200*7/28+1200*(21/28)*1.06  +  1200*1*1.06</f>
        <v/>
      </c>
      <c r="Q776" s="278" t="inlineStr">
        <is>
          <t>Tasa actualización IPC General (Febrero 2022 - Febrero 2023): 6,0%</t>
        </is>
      </c>
      <c r="R776" s="280" t="n"/>
      <c r="S776" s="280" t="inlineStr">
        <is>
          <t>Fecha actualización: 08 Febrero</t>
        </is>
      </c>
      <c r="T776" s="280" t="n"/>
      <c r="V776" s="280" t="n"/>
      <c r="X776" s="280" t="n"/>
      <c r="Z776" s="280" t="n"/>
      <c r="AA776" s="280" t="n"/>
      <c r="AB776" s="281" t="inlineStr">
        <is>
          <t>ES11 0081 7069 2700 0122 7724</t>
        </is>
      </c>
      <c r="AC776" s="278" t="inlineStr">
        <is>
          <t>pendiente</t>
        </is>
      </c>
      <c r="AD776" s="280">
        <f>L776+N776+P776+R776+T776+V776+X776+Z776</f>
        <v/>
      </c>
      <c r="AE776" s="280">
        <f>IF((LEFT(K776,6))="Contab",L776,0)</f>
        <v/>
      </c>
      <c r="AF776" s="281">
        <f>VLOOKUP(G776,CLIENTES!B:E,4,FALSE)</f>
        <v/>
      </c>
      <c r="AG776" s="280">
        <f>AF776*AE776</f>
        <v/>
      </c>
      <c r="AH776" s="280">
        <f>AD776*1.21</f>
        <v/>
      </c>
      <c r="AI776" s="284">
        <f>IF(AE776&lt;&gt;0,AG776/AD776,"N/A")</f>
        <v/>
      </c>
      <c r="AJ776" s="280">
        <f>IF(AC776="pendiente",AD776,0)</f>
        <v/>
      </c>
      <c r="AK776" s="278">
        <f>VLOOKUP(G776,CLIENTES!B:D,3,FALSE)</f>
        <v/>
      </c>
    </row>
    <row r="777" ht="15" customFormat="1" customHeight="1" s="278">
      <c r="B777" s="279" t="n"/>
      <c r="C777" s="278" t="inlineStr">
        <is>
          <t>c/ Las Cruzadas 3A, local D</t>
        </is>
      </c>
      <c r="D777" s="278" t="inlineStr">
        <is>
          <t>Sevilla 41004</t>
        </is>
      </c>
      <c r="E777" s="278" t="inlineStr">
        <is>
          <t>CIF B91938662</t>
        </is>
      </c>
      <c r="G777" s="278" t="inlineStr">
        <is>
          <t>SET Carmona 400 kV Renovables, S.L.</t>
        </is>
      </c>
      <c r="H777" s="278">
        <f>VLOOKUP($G777,DATOS!$B:$E,2,FALSE)</f>
        <v/>
      </c>
      <c r="I777" s="278">
        <f>VLOOKUP($G777,DATOS!$B:$E,3,FALSE)</f>
        <v/>
      </c>
      <c r="J777" s="278">
        <f>VLOOKUP($G777,DATOS!$B:$E,4,FALSE)</f>
        <v/>
      </c>
      <c r="K777" s="278" t="inlineStr">
        <is>
          <t>Contrato de Asset Management - Subestación Carmona400</t>
        </is>
      </c>
      <c r="L777" s="280" t="n"/>
      <c r="N777" s="280" t="n"/>
      <c r="O777" s="278" t="inlineStr">
        <is>
          <t>Fee Trimestral - 01Enero/31Marzo 2023</t>
        </is>
      </c>
      <c r="P777" s="280">
        <f>1250*1  +  1250*7/28+1250*(21/28)*1.06  +  1250*1*1.06</f>
        <v/>
      </c>
      <c r="Q777" s="278" t="inlineStr">
        <is>
          <t>Tasa actualización IPC General (Febrero 2022 - Febrero 2023): 6,0%</t>
        </is>
      </c>
      <c r="R777" s="280" t="n"/>
      <c r="S777" s="280" t="inlineStr">
        <is>
          <t>Fecha actualización: 08 Febrero</t>
        </is>
      </c>
      <c r="T777" s="280" t="n"/>
      <c r="V777" s="280" t="n"/>
      <c r="X777" s="280" t="n"/>
      <c r="Z777" s="280" t="n"/>
      <c r="AA777" s="280" t="n"/>
      <c r="AB777" s="281" t="inlineStr">
        <is>
          <t>ES11 0081 7069 2700 0122 7724</t>
        </is>
      </c>
      <c r="AC777" s="278" t="inlineStr">
        <is>
          <t>pendiente</t>
        </is>
      </c>
      <c r="AD777" s="280">
        <f>L777+N777+P777+R777+T777+V777+X777+Z777</f>
        <v/>
      </c>
      <c r="AE777" s="280">
        <f>IF((LEFT(K777,6))="Contab",L777,0)</f>
        <v/>
      </c>
      <c r="AF777" s="281">
        <f>VLOOKUP(G777,CLIENTES!B:E,4,FALSE)</f>
        <v/>
      </c>
      <c r="AG777" s="280">
        <f>AF777*AE777</f>
        <v/>
      </c>
      <c r="AH777" s="280">
        <f>AD777*1.21</f>
        <v/>
      </c>
      <c r="AI777" s="284">
        <f>IF(AE777&lt;&gt;0,AG777/AD777,"N/A")</f>
        <v/>
      </c>
      <c r="AJ777" s="280">
        <f>IF(AC777="pendiente",AD777,0)</f>
        <v/>
      </c>
      <c r="AK777" s="278">
        <f>VLOOKUP(G777,CLIENTES!B:D,3,FALSE)</f>
        <v/>
      </c>
    </row>
    <row r="778" ht="15" customFormat="1" customHeight="1" s="278">
      <c r="B778" s="279" t="n"/>
      <c r="C778" s="278" t="inlineStr">
        <is>
          <t>c/ Las Cruzadas 3A, local D</t>
        </is>
      </c>
      <c r="D778" s="278" t="inlineStr">
        <is>
          <t>Sevilla 41004</t>
        </is>
      </c>
      <c r="E778" s="278" t="inlineStr">
        <is>
          <t>CIF B91938662</t>
        </is>
      </c>
      <c r="G778" s="278" t="inlineStr">
        <is>
          <t>Evacuación Carmona 400-220 kV Renovables, S.L.</t>
        </is>
      </c>
      <c r="H778" s="278">
        <f>VLOOKUP($G778,DATOS!$B:$E,2,FALSE)</f>
        <v/>
      </c>
      <c r="I778" s="278">
        <f>VLOOKUP($G778,DATOS!$B:$E,3,FALSE)</f>
        <v/>
      </c>
      <c r="J778" s="278">
        <f>VLOOKUP($G778,DATOS!$B:$E,4,FALSE)</f>
        <v/>
      </c>
      <c r="K778" s="278" t="inlineStr">
        <is>
          <t>Contrato de Asset Management - LAAT 220/400kV</t>
        </is>
      </c>
      <c r="L778" s="280" t="n"/>
      <c r="N778" s="280" t="n"/>
      <c r="O778" s="278" t="inlineStr">
        <is>
          <t>Fee Trimestral - 01Enero/31Marzo 2023</t>
        </is>
      </c>
      <c r="P778" s="280">
        <f>1200*24/31+1200*(7/31)*1.059  +  1200*2*1.059</f>
        <v/>
      </c>
      <c r="Q778" s="278" t="inlineStr">
        <is>
          <t>Tasa actualización IPC General (Enero 2022 - Enero 2023): 5,9%</t>
        </is>
      </c>
      <c r="R778" s="280" t="n"/>
      <c r="S778" s="280" t="inlineStr">
        <is>
          <t>Fecha actualización: 25 Enero</t>
        </is>
      </c>
      <c r="T778" s="280" t="n"/>
      <c r="V778" s="280" t="n"/>
      <c r="X778" s="280" t="n"/>
      <c r="Z778" s="280" t="n"/>
      <c r="AA778" s="280" t="n"/>
      <c r="AB778" s="281" t="inlineStr">
        <is>
          <t>ES11 0081 7069 2700 0122 7724</t>
        </is>
      </c>
      <c r="AC778" s="278" t="inlineStr">
        <is>
          <t>pendiente</t>
        </is>
      </c>
      <c r="AD778" s="280">
        <f>L778+N778+P778+R778+T778+V778+X778+Z778</f>
        <v/>
      </c>
      <c r="AE778" s="280">
        <f>IF((LEFT(K778,6))="Contab",L778,0)</f>
        <v/>
      </c>
      <c r="AF778" s="281">
        <f>VLOOKUP(G778,CLIENTES!B:E,4,FALSE)</f>
        <v/>
      </c>
      <c r="AG778" s="280">
        <f>AF778*AE778</f>
        <v/>
      </c>
      <c r="AH778" s="280">
        <f>AD778*1.21</f>
        <v/>
      </c>
      <c r="AI778" s="284">
        <f>IF(AE778&lt;&gt;0,AG778/AD778,"N/A")</f>
        <v/>
      </c>
      <c r="AJ778" s="280">
        <f>IF(AC778="pendiente",AD778,0)</f>
        <v/>
      </c>
      <c r="AK778" s="278">
        <f>VLOOKUP(G778,CLIENTES!B:D,3,FALSE)</f>
        <v/>
      </c>
    </row>
    <row r="779" ht="15" customFormat="1" customHeight="1" s="278">
      <c r="B779" s="279" t="n"/>
      <c r="C779" s="278" t="inlineStr">
        <is>
          <t>c/ Las Cruzadas 3A, local D</t>
        </is>
      </c>
      <c r="D779" s="278" t="inlineStr">
        <is>
          <t>Sevilla 41004</t>
        </is>
      </c>
      <c r="E779" s="278" t="inlineStr">
        <is>
          <t>CIF B91938662</t>
        </is>
      </c>
      <c r="G779" s="278" t="inlineStr">
        <is>
          <t>La Serranilla Renovables 132 kV, A.I.E.</t>
        </is>
      </c>
      <c r="H779" s="278">
        <f>VLOOKUP($G779,DATOS!$B:$E,2,FALSE)</f>
        <v/>
      </c>
      <c r="I779" s="278">
        <f>VLOOKUP($G779,DATOS!$B:$E,3,FALSE)</f>
        <v/>
      </c>
      <c r="J779" s="278">
        <f>VLOOKUP($G779,DATOS!$B:$E,4,FALSE)</f>
        <v/>
      </c>
      <c r="K779" s="278" t="inlineStr">
        <is>
          <t>Contrato de Asset Management - Subestación María Castro</t>
        </is>
      </c>
      <c r="L779" s="280" t="n"/>
      <c r="N779" s="280" t="n"/>
      <c r="O779" s="278" t="inlineStr">
        <is>
          <t>Fee Trimestral - 01Enero/31Marzo 2023</t>
        </is>
      </c>
      <c r="P779" s="280">
        <f>1275*3</f>
        <v/>
      </c>
      <c r="R779" s="280" t="n"/>
      <c r="T779" s="280" t="n"/>
      <c r="V779" s="280" t="n"/>
      <c r="X779" s="280" t="n"/>
      <c r="Z779" s="280" t="n"/>
      <c r="AA779" s="280" t="n"/>
      <c r="AB779" s="281" t="inlineStr">
        <is>
          <t>ES11 0081 7069 2700 0122 7724</t>
        </is>
      </c>
      <c r="AC779" s="278" t="inlineStr">
        <is>
          <t>pendiente</t>
        </is>
      </c>
      <c r="AD779" s="280">
        <f>L779+N779+P779+R779+T779+V779+X779+Z779</f>
        <v/>
      </c>
      <c r="AE779" s="280">
        <f>IF((LEFT(K779,6))="Contab",L779,0)</f>
        <v/>
      </c>
      <c r="AF779" s="281">
        <f>VLOOKUP(G779,CLIENTES!B:E,4,FALSE)</f>
        <v/>
      </c>
      <c r="AG779" s="280">
        <f>AF779*AE779</f>
        <v/>
      </c>
      <c r="AH779" s="280">
        <f>AD779*1.21</f>
        <v/>
      </c>
      <c r="AI779" s="284">
        <f>IF(AE779&lt;&gt;0,AG779/AD779,"N/A")</f>
        <v/>
      </c>
      <c r="AJ779" s="280">
        <f>IF(AC779="pendiente",AD779,0)</f>
        <v/>
      </c>
      <c r="AK779" s="278">
        <f>VLOOKUP(G779,CLIENTES!B:D,3,FALSE)</f>
        <v/>
      </c>
    </row>
    <row r="780" ht="15" customFormat="1" customHeight="1" s="278">
      <c r="B780" s="279" t="n"/>
      <c r="C780" s="278" t="inlineStr">
        <is>
          <t>c/ Las Cruzadas 3A, local D</t>
        </is>
      </c>
      <c r="D780" s="278" t="inlineStr">
        <is>
          <t>Sevilla 41004</t>
        </is>
      </c>
      <c r="E780" s="278" t="inlineStr">
        <is>
          <t>CIF B91938662</t>
        </is>
      </c>
      <c r="G780" s="278" t="inlineStr">
        <is>
          <t>Línea Covatillas, A.I.E.</t>
        </is>
      </c>
      <c r="H780" s="278">
        <f>VLOOKUP($G780,DATOS!$B:$E,2,FALSE)</f>
        <v/>
      </c>
      <c r="I780" s="278">
        <f>VLOOKUP($G780,DATOS!$B:$E,3,FALSE)</f>
        <v/>
      </c>
      <c r="J780" s="278">
        <f>VLOOKUP($G780,DATOS!$B:$E,4,FALSE)</f>
        <v/>
      </c>
      <c r="K780" s="278" t="inlineStr">
        <is>
          <t>Contrato de Asset Management - LAAT 132kV</t>
        </is>
      </c>
      <c r="L780" s="280" t="n"/>
      <c r="N780" s="280" t="n"/>
      <c r="O780" s="278" t="inlineStr">
        <is>
          <t>Fee Trimestral - 01Enero/31Marzo 2023</t>
        </is>
      </c>
      <c r="P780" s="280">
        <f>1275*3</f>
        <v/>
      </c>
      <c r="R780" s="280" t="n"/>
      <c r="T780" s="280" t="n"/>
      <c r="V780" s="280" t="n"/>
      <c r="X780" s="280" t="n"/>
      <c r="Z780" s="280" t="n"/>
      <c r="AA780" s="280" t="n"/>
      <c r="AB780" s="281" t="inlineStr">
        <is>
          <t>ES11 0081 7069 2700 0122 7724</t>
        </is>
      </c>
      <c r="AC780" s="278" t="inlineStr">
        <is>
          <t>pendiente</t>
        </is>
      </c>
      <c r="AD780" s="280">
        <f>L780+N780+P780+R780+T780+V780+X780+Z780</f>
        <v/>
      </c>
      <c r="AE780" s="280">
        <f>IF((LEFT(K780,6))="Contab",L780,0)</f>
        <v/>
      </c>
      <c r="AF780" s="281">
        <f>VLOOKUP(G780,CLIENTES!B:E,4,FALSE)</f>
        <v/>
      </c>
      <c r="AG780" s="280">
        <f>AF780*AE780</f>
        <v/>
      </c>
      <c r="AH780" s="280">
        <f>AD780*1.21</f>
        <v/>
      </c>
      <c r="AI780" s="284">
        <f>IF(AE780&lt;&gt;0,AG780/AD780,"N/A")</f>
        <v/>
      </c>
      <c r="AJ780" s="280">
        <f>IF(AC780="pendiente",AD780,0)</f>
        <v/>
      </c>
      <c r="AK780" s="278">
        <f>VLOOKUP(G780,CLIENTES!B:D,3,FALSE)</f>
        <v/>
      </c>
    </row>
    <row r="781" ht="15" customFormat="1" customHeight="1" s="278">
      <c r="B781" s="279" t="n"/>
      <c r="C781" s="278" t="inlineStr">
        <is>
          <t>c/ Las Cruzadas 3A, local D</t>
        </is>
      </c>
      <c r="D781" s="278" t="inlineStr">
        <is>
          <t>Sevilla 41004</t>
        </is>
      </c>
      <c r="E781" s="278" t="inlineStr">
        <is>
          <t>CIF B91938662</t>
        </is>
      </c>
      <c r="G781" s="278" t="inlineStr">
        <is>
          <t>Herrera Sotillo Renovables, A.I.E.</t>
        </is>
      </c>
      <c r="H781" s="278">
        <f>VLOOKUP($G781,DATOS!$B:$E,2,FALSE)</f>
        <v/>
      </c>
      <c r="I781" s="278">
        <f>VLOOKUP($G781,DATOS!$B:$E,3,FALSE)</f>
        <v/>
      </c>
      <c r="J781" s="278">
        <f>VLOOKUP($G781,DATOS!$B:$E,4,FALSE)</f>
        <v/>
      </c>
      <c r="K781" s="278" t="inlineStr">
        <is>
          <t>Contrato de Asset Management - Subestación Sotillo</t>
        </is>
      </c>
      <c r="L781" s="280" t="n"/>
      <c r="N781" s="280" t="n"/>
      <c r="O781" s="278" t="inlineStr">
        <is>
          <t>Fee Trimestral - 01Enero/31Marzo 2023</t>
        </is>
      </c>
      <c r="P781" s="280">
        <f>1250*3</f>
        <v/>
      </c>
      <c r="R781" s="280" t="n"/>
      <c r="T781" s="280" t="n"/>
      <c r="V781" s="280" t="n"/>
      <c r="X781" s="280" t="n"/>
      <c r="Z781" s="280" t="n"/>
      <c r="AA781" s="280" t="n"/>
      <c r="AB781" s="281" t="inlineStr">
        <is>
          <t>ES11 0081 7069 2700 0122 7724</t>
        </is>
      </c>
      <c r="AC781" s="278" t="inlineStr">
        <is>
          <t>pendiente</t>
        </is>
      </c>
      <c r="AD781" s="280">
        <f>L781+N781+P781+R781+T781+V781+X781+Z781</f>
        <v/>
      </c>
      <c r="AE781" s="280">
        <f>IF((LEFT(K781,6))="Contab",L781,0)</f>
        <v/>
      </c>
      <c r="AF781" s="281">
        <f>VLOOKUP(G781,CLIENTES!B:E,4,FALSE)</f>
        <v/>
      </c>
      <c r="AG781" s="280">
        <f>AF781*AE781</f>
        <v/>
      </c>
      <c r="AH781" s="280">
        <f>AD781*1.21</f>
        <v/>
      </c>
      <c r="AI781" s="284">
        <f>IF(AE781&lt;&gt;0,AG781/AD781,"N/A")</f>
        <v/>
      </c>
      <c r="AJ781" s="280">
        <f>IF(AC781="pendiente",AD781,0)</f>
        <v/>
      </c>
      <c r="AK781" s="278">
        <f>VLOOKUP(G781,CLIENTES!B:D,3,FALSE)</f>
        <v/>
      </c>
    </row>
    <row r="782" ht="15" customFormat="1" customHeight="1" s="278">
      <c r="B782" s="279" t="n"/>
      <c r="C782" s="278" t="inlineStr">
        <is>
          <t>c/ Las Cruzadas 3A, local D</t>
        </is>
      </c>
      <c r="D782" s="278" t="inlineStr">
        <is>
          <t>Sevilla 41004</t>
        </is>
      </c>
      <c r="E782" s="278" t="inlineStr">
        <is>
          <t>CIF B91938662</t>
        </is>
      </c>
      <c r="G782" s="278" t="inlineStr">
        <is>
          <t>Cuádruple Belinchón, S.L.</t>
        </is>
      </c>
      <c r="H782" s="278">
        <f>VLOOKUP($G782,DATOS!$B:$E,2,FALSE)</f>
        <v/>
      </c>
      <c r="I782" s="278">
        <f>VLOOKUP($G782,DATOS!$B:$E,3,FALSE)</f>
        <v/>
      </c>
      <c r="J782" s="278">
        <f>VLOOKUP($G782,DATOS!$B:$E,4,FALSE)</f>
        <v/>
      </c>
      <c r="K782" s="278" t="inlineStr">
        <is>
          <t>Contrato de Asset Management - LAAT 132kV</t>
        </is>
      </c>
      <c r="L782" s="280" t="n"/>
      <c r="N782" s="280" t="n"/>
      <c r="O782" s="278" t="inlineStr">
        <is>
          <t>Fee Trimestral - Inicio contrato (22 Noviembre 2022) / 31Marzo 2023</t>
        </is>
      </c>
      <c r="P782" s="280">
        <f>1350*(9/30)+1350*1  +  1350*3</f>
        <v/>
      </c>
      <c r="R782" s="280" t="n"/>
      <c r="T782" s="280" t="n"/>
      <c r="V782" s="280" t="n"/>
      <c r="X782" s="280" t="n"/>
      <c r="Z782" s="280" t="n"/>
      <c r="AA782" s="280" t="n"/>
      <c r="AB782" s="281" t="inlineStr">
        <is>
          <t>ES11 0081 7069 2700 0122 7724</t>
        </is>
      </c>
      <c r="AC782" s="278" t="inlineStr">
        <is>
          <t>pendiente</t>
        </is>
      </c>
      <c r="AD782" s="280">
        <f>L782+N782+P782+R782+T782+V782+X782+Z782</f>
        <v/>
      </c>
      <c r="AE782" s="280">
        <f>IF((LEFT(K782,6))="Contab",L782,0)</f>
        <v/>
      </c>
      <c r="AF782" s="281">
        <f>VLOOKUP(G782,CLIENTES!B:E,4,FALSE)</f>
        <v/>
      </c>
      <c r="AG782" s="280">
        <f>AF782*AE782</f>
        <v/>
      </c>
      <c r="AH782" s="280">
        <f>AD782*1.21</f>
        <v/>
      </c>
      <c r="AI782" s="284">
        <f>IF(AE782&lt;&gt;0,AG782/AD782,"N/A")</f>
        <v/>
      </c>
      <c r="AJ782" s="280">
        <f>IF(AC782="pendiente",AD782,0)</f>
        <v/>
      </c>
      <c r="AK782" s="278">
        <f>VLOOKUP(G782,CLIENTES!B:D,3,FALSE)</f>
        <v/>
      </c>
    </row>
    <row r="783" ht="15" customFormat="1" customHeight="1" s="278">
      <c r="B783" s="279" t="n"/>
      <c r="C783" s="278" t="inlineStr">
        <is>
          <t>c/ Las Cruzadas 3A, local D</t>
        </is>
      </c>
      <c r="D783" s="278" t="inlineStr">
        <is>
          <t>Sevilla 41004</t>
        </is>
      </c>
      <c r="E783" s="278" t="inlineStr">
        <is>
          <t>CIF B91938662</t>
        </is>
      </c>
      <c r="G783" s="278" t="inlineStr">
        <is>
          <t>Renovables Brovales 400 kV, S.L.</t>
        </is>
      </c>
      <c r="H783" s="278">
        <f>VLOOKUP($G783,DATOS!$B:$E,2,FALSE)</f>
        <v/>
      </c>
      <c r="I783" s="278">
        <f>VLOOKUP($G783,DATOS!$B:$E,3,FALSE)</f>
        <v/>
      </c>
      <c r="J783" s="278">
        <f>VLOOKUP($G783,DATOS!$B:$E,4,FALSE)</f>
        <v/>
      </c>
      <c r="K783" s="278" t="inlineStr">
        <is>
          <t>Contrato de Asset Management - Subestación BrovalesF1</t>
        </is>
      </c>
      <c r="L783" s="280" t="n"/>
      <c r="N783" s="280" t="n"/>
      <c r="O783" s="278" t="inlineStr">
        <is>
          <t>Fee Trimestral - Inicio contrato (19 Septiembre 2022) / 31Marzo 2023</t>
        </is>
      </c>
      <c r="P783" s="280">
        <f>1665*(12/30)+1665*3  +  1665*3</f>
        <v/>
      </c>
      <c r="R783" s="280" t="n"/>
      <c r="T783" s="280" t="n"/>
      <c r="V783" s="280" t="n"/>
      <c r="X783" s="280" t="n"/>
      <c r="Z783" s="280" t="n"/>
      <c r="AA783" s="280" t="n"/>
      <c r="AB783" s="281" t="inlineStr">
        <is>
          <t>ES11 0081 7069 2700 0122 7724</t>
        </is>
      </c>
      <c r="AC783" s="278" t="inlineStr">
        <is>
          <t>pendiente</t>
        </is>
      </c>
      <c r="AD783" s="280">
        <f>L783+N783+P783+R783+T783+V783+X783+Z783</f>
        <v/>
      </c>
      <c r="AE783" s="280">
        <f>IF((LEFT(K783,6))="Contab",L783,0)</f>
        <v/>
      </c>
      <c r="AF783" s="281">
        <f>VLOOKUP(G783,CLIENTES!B:E,4,FALSE)</f>
        <v/>
      </c>
      <c r="AG783" s="280">
        <f>AF783*AE783</f>
        <v/>
      </c>
      <c r="AH783" s="280">
        <f>AD783*1.21</f>
        <v/>
      </c>
      <c r="AI783" s="284">
        <f>IF(AE783&lt;&gt;0,AG783/AD783,"N/A")</f>
        <v/>
      </c>
      <c r="AJ783" s="280">
        <f>IF(AC783="pendiente",AD783,0)</f>
        <v/>
      </c>
      <c r="AK783" s="278">
        <f>VLOOKUP(G783,CLIENTES!B:D,3,FALSE)</f>
        <v/>
      </c>
    </row>
    <row r="784" ht="15" customFormat="1" customHeight="1" s="278">
      <c r="B784" s="279" t="n"/>
      <c r="C784" s="278" t="inlineStr">
        <is>
          <t>c/ Las Cruzadas 3A, local D</t>
        </is>
      </c>
      <c r="D784" s="278" t="inlineStr">
        <is>
          <t>Sevilla 41004</t>
        </is>
      </c>
      <c r="E784" s="278" t="inlineStr">
        <is>
          <t>CIF B91938662</t>
        </is>
      </c>
      <c r="G784" s="278" t="inlineStr">
        <is>
          <t>Huerta Sevilla Renovables, S.L.</t>
        </is>
      </c>
      <c r="H784" s="278">
        <f>VLOOKUP($G784,DATOS!$B:$E,2,FALSE)</f>
        <v/>
      </c>
      <c r="I784" s="278">
        <f>VLOOKUP($G784,DATOS!$B:$E,3,FALSE)</f>
        <v/>
      </c>
      <c r="J784" s="278">
        <f>VLOOKUP($G784,DATOS!$B:$E,4,FALSE)</f>
        <v/>
      </c>
      <c r="K784" s="278" t="inlineStr">
        <is>
          <t>Contrato de Asset Management - Subestación BrovalesF3</t>
        </is>
      </c>
      <c r="L784" s="280" t="n"/>
      <c r="N784" s="280" t="n"/>
      <c r="O784" s="278" t="inlineStr">
        <is>
          <t>Fee Trimestral - Inicio contrato (08 Noviembre 2022) / 31Marzo 2023</t>
        </is>
      </c>
      <c r="P784" s="280">
        <f>1665*(23/30)+1665*1  +  1665*3</f>
        <v/>
      </c>
      <c r="R784" s="280" t="n"/>
      <c r="T784" s="280" t="n"/>
      <c r="V784" s="280" t="n"/>
      <c r="X784" s="280" t="n"/>
      <c r="Z784" s="280" t="n"/>
      <c r="AA784" s="280" t="n"/>
      <c r="AB784" s="281" t="inlineStr">
        <is>
          <t>ES11 0081 7069 2700 0122 7724</t>
        </is>
      </c>
      <c r="AC784" s="278" t="inlineStr">
        <is>
          <t>pendiente</t>
        </is>
      </c>
      <c r="AD784" s="280">
        <f>L784+N784+P784+R784+T784+V784+X784+Z784</f>
        <v/>
      </c>
      <c r="AE784" s="280">
        <f>IF((LEFT(K784,6))="Contab",L784,0)</f>
        <v/>
      </c>
      <c r="AF784" s="281">
        <f>VLOOKUP(G784,CLIENTES!B:E,4,FALSE)</f>
        <v/>
      </c>
      <c r="AG784" s="280">
        <f>AF784*AE784</f>
        <v/>
      </c>
      <c r="AH784" s="280">
        <f>AD784*1.21</f>
        <v/>
      </c>
      <c r="AI784" s="284">
        <f>IF(AE784&lt;&gt;0,AG784/AD784,"N/A")</f>
        <v/>
      </c>
      <c r="AJ784" s="280">
        <f>IF(AC784="pendiente",AD784,0)</f>
        <v/>
      </c>
      <c r="AK784" s="278">
        <f>VLOOKUP(G784,CLIENTES!B:D,3,FALSE)</f>
        <v/>
      </c>
    </row>
    <row r="785" ht="15" customFormat="1" customHeight="1" s="278">
      <c r="B785" s="279" t="n"/>
      <c r="C785" s="278" t="inlineStr">
        <is>
          <t>c/ Las Cruzadas 3A, local D</t>
        </is>
      </c>
      <c r="D785" s="278" t="inlineStr">
        <is>
          <t>Sevilla 41004</t>
        </is>
      </c>
      <c r="E785" s="278" t="inlineStr">
        <is>
          <t>CIF B91938662</t>
        </is>
      </c>
      <c r="G785" s="278" t="inlineStr">
        <is>
          <t>Belisol 132 kV, S.L.</t>
        </is>
      </c>
      <c r="H785" s="278">
        <f>VLOOKUP($G785,DATOS!$B:$E,2,FALSE)</f>
        <v/>
      </c>
      <c r="I785" s="278">
        <f>VLOOKUP($G785,DATOS!$B:$E,3,FALSE)</f>
        <v/>
      </c>
      <c r="J785" s="278">
        <f>VLOOKUP($G785,DATOS!$B:$E,4,FALSE)</f>
        <v/>
      </c>
      <c r="K785" s="278" t="inlineStr">
        <is>
          <t>Contrato de Asset Management - Subestación Belisol</t>
        </is>
      </c>
      <c r="L785" s="280" t="n"/>
      <c r="N785" s="280" t="n"/>
      <c r="O785" s="278" t="inlineStr">
        <is>
          <t>Fee Trimestral - Inicio contrato (10 Febrero 2023) / 31Marzo 2023</t>
        </is>
      </c>
      <c r="P785" s="280">
        <f>1350*(19/28) + 1350*1</f>
        <v/>
      </c>
      <c r="R785" s="280" t="n"/>
      <c r="T785" s="280" t="n"/>
      <c r="V785" s="280" t="n"/>
      <c r="X785" s="280" t="n"/>
      <c r="Z785" s="280" t="n"/>
      <c r="AA785" s="280" t="n"/>
      <c r="AB785" s="281" t="inlineStr">
        <is>
          <t>ES11 0081 7069 2700 0122 7724</t>
        </is>
      </c>
      <c r="AC785" s="278" t="inlineStr">
        <is>
          <t>pendiente</t>
        </is>
      </c>
      <c r="AD785" s="280">
        <f>L785+N785+P785+R785+T785+V785+X785+Z785</f>
        <v/>
      </c>
      <c r="AE785" s="280">
        <f>IF((LEFT(K785,6))="Contab",L785,0)</f>
        <v/>
      </c>
      <c r="AF785" s="281">
        <f>VLOOKUP(G785,CLIENTES!B:E,4,FALSE)</f>
        <v/>
      </c>
      <c r="AG785" s="280">
        <f>AF785*AE785</f>
        <v/>
      </c>
      <c r="AH785" s="280">
        <f>AD785*1.21</f>
        <v/>
      </c>
      <c r="AI785" s="284">
        <f>IF(AE785&lt;&gt;0,AG785/AD785,"N/A")</f>
        <v/>
      </c>
      <c r="AJ785" s="280">
        <f>IF(AC785="pendiente",AD785,0)</f>
        <v/>
      </c>
      <c r="AK785" s="278">
        <f>VLOOKUP(G785,CLIENTES!B:D,3,FALSE)</f>
        <v/>
      </c>
    </row>
    <row r="786" ht="15" customFormat="1" customHeight="1" s="278">
      <c r="B786" s="279" t="n"/>
      <c r="C786" s="278" t="inlineStr">
        <is>
          <t>c/ Las Cruzadas 3A, local D</t>
        </is>
      </c>
      <c r="D786" s="278" t="inlineStr">
        <is>
          <t>Sevilla 41004</t>
        </is>
      </c>
      <c r="E786" s="278" t="inlineStr">
        <is>
          <t>CIF B91938662</t>
        </is>
      </c>
      <c r="G786" s="278" t="inlineStr">
        <is>
          <t>OTRAS PRODUCCIONES DE ENERGÍA FOTOVOLTAICA, S.A.</t>
        </is>
      </c>
      <c r="H786" s="278">
        <f>VLOOKUP($G786,DATOS!$B:$E,2,FALSE)</f>
        <v/>
      </c>
      <c r="I786" s="278">
        <f>VLOOKUP($G786,DATOS!$B:$E,3,FALSE)</f>
        <v/>
      </c>
      <c r="J786" s="278">
        <f>VLOOKUP($G786,DATOS!$B:$E,4,FALSE)</f>
        <v/>
      </c>
      <c r="K786" s="278" t="inlineStr">
        <is>
          <t>Servicios de gestión - (11)SPVs en desarrollo</t>
        </is>
      </c>
      <c r="L786" s="280" t="n"/>
      <c r="N786" s="280" t="n"/>
      <c r="O786" s="278" t="inlineStr">
        <is>
          <t>Fee Trimestral - 01Enero/31Marzo 2023</t>
        </is>
      </c>
      <c r="P786" s="280">
        <f>11*(6835/12) * 3</f>
        <v/>
      </c>
      <c r="R786" s="280" t="n"/>
      <c r="S786" s="278" t="inlineStr">
        <is>
          <t>SPVs de instalaciones de generación de Cliente:</t>
        </is>
      </c>
      <c r="T786" s="280" t="n"/>
      <c r="U786" s="278" t="inlineStr">
        <is>
          <t>Ormode46, Ormonde47, OPDE33, Ormonde34, Ormonde37</t>
        </is>
      </c>
      <c r="V786" s="280" t="n"/>
      <c r="W786" s="278" t="inlineStr">
        <is>
          <t>OPDE44, OPDE45, OPDE46, OPDE38, OPDE18, OPDE22</t>
        </is>
      </c>
      <c r="X786" s="280" t="n"/>
      <c r="Z786" s="280" t="n"/>
      <c r="AA786" s="280" t="n"/>
      <c r="AB786" s="281" t="inlineStr">
        <is>
          <t>ES11 0081 7069 2700 0122 7724</t>
        </is>
      </c>
      <c r="AC786" s="278" t="inlineStr">
        <is>
          <t>pendiente</t>
        </is>
      </c>
      <c r="AD786" s="280">
        <f>L786+N786+P786+R786+T786+V786+X786+Z786</f>
        <v/>
      </c>
      <c r="AE786" s="280">
        <f>IF((LEFT(K786,6))="Contab",L786,0)</f>
        <v/>
      </c>
      <c r="AF786" s="281">
        <f>VLOOKUP(G786,CLIENTES!B:E,4,FALSE)</f>
        <v/>
      </c>
      <c r="AG786" s="280">
        <f>AF786*AE786</f>
        <v/>
      </c>
      <c r="AH786" s="280">
        <f>AD786*1.21</f>
        <v/>
      </c>
      <c r="AI786" s="284">
        <f>IF(AE786&lt;&gt;0,AG786/AD786,"N/A")</f>
        <v/>
      </c>
      <c r="AJ786" s="280">
        <f>IF(AC786="pendiente",AD786,0)</f>
        <v/>
      </c>
      <c r="AK786" s="278">
        <f>VLOOKUP(G786,CLIENTES!B:D,3,FALSE)</f>
        <v/>
      </c>
    </row>
    <row r="787" ht="15" customFormat="1" customHeight="1" s="278">
      <c r="B787" s="279" t="n"/>
      <c r="C787" s="278" t="inlineStr">
        <is>
          <t>c/ Las Cruzadas 3A, local D</t>
        </is>
      </c>
      <c r="D787" s="278" t="inlineStr">
        <is>
          <t>Sevilla 41004</t>
        </is>
      </c>
      <c r="E787" s="278" t="inlineStr">
        <is>
          <t>CIF B91938662</t>
        </is>
      </c>
      <c r="G787" s="278" t="inlineStr">
        <is>
          <t>Grijota Renovables, S.L.</t>
        </is>
      </c>
      <c r="H787" s="278">
        <f>VLOOKUP($G787,DATOS!$B:$E,2,FALSE)</f>
        <v/>
      </c>
      <c r="I787" s="278">
        <f>VLOOKUP($G787,DATOS!$B:$E,3,FALSE)</f>
        <v/>
      </c>
      <c r="J787" s="278">
        <f>VLOOKUP($G787,DATOS!$B:$E,4,FALSE)</f>
        <v/>
      </c>
      <c r="K787" s="278" t="inlineStr">
        <is>
          <t>Refacturación gastos y/o servicios prestados a nombre de la sociedad</t>
        </is>
      </c>
      <c r="L787" s="280" t="n"/>
      <c r="M787" s="278" t="inlineStr">
        <is>
          <t>Jofran Mensajeros S.L. - Envíos de documentación</t>
        </is>
      </c>
      <c r="N787" s="280" t="n">
        <v>11.49</v>
      </c>
      <c r="P787" s="280" t="n"/>
      <c r="R787" s="280" t="n"/>
      <c r="T787" s="280" t="n"/>
      <c r="V787" s="280" t="n"/>
      <c r="X787" s="280" t="n"/>
      <c r="Z787" s="280" t="n"/>
      <c r="AA787" s="280" t="n"/>
      <c r="AB787" s="281" t="inlineStr">
        <is>
          <t>ES11 0081 7069 2700 0122 7724</t>
        </is>
      </c>
      <c r="AC787" s="278" t="inlineStr">
        <is>
          <t>pendiente</t>
        </is>
      </c>
      <c r="AD787" s="280" t="n"/>
      <c r="AE787" s="280">
        <f>IF((LEFT(K787,6))="Contab",L787,0)</f>
        <v/>
      </c>
      <c r="AF787" s="281">
        <f>VLOOKUP(G787,CLIENTES!B:E,4,FALSE)</f>
        <v/>
      </c>
      <c r="AG787" s="280">
        <f>AF787*AE787</f>
        <v/>
      </c>
      <c r="AH787" s="280">
        <f>AD787*1.21</f>
        <v/>
      </c>
      <c r="AI787" s="284">
        <f>IF(AE787&lt;&gt;0,AG787/AD787,"N/A")</f>
        <v/>
      </c>
      <c r="AJ787" s="280">
        <f>IF(AC787="pendiente",AD787,0)</f>
        <v/>
      </c>
      <c r="AK787" s="278">
        <f>VLOOKUP(G787,CLIENTES!B:D,3,FALSE)</f>
        <v/>
      </c>
    </row>
    <row r="788" ht="15" customFormat="1" customHeight="1" s="278">
      <c r="B788" s="279" t="n"/>
      <c r="C788" s="278" t="inlineStr">
        <is>
          <t>c/ Las Cruzadas 3A, local D</t>
        </is>
      </c>
      <c r="D788" s="278" t="inlineStr">
        <is>
          <t>Sevilla 41004</t>
        </is>
      </c>
      <c r="E788" s="278" t="inlineStr">
        <is>
          <t>CIF B91938662</t>
        </is>
      </c>
      <c r="G788" s="278" t="inlineStr">
        <is>
          <t>Cubillos Renovables, S.L.</t>
        </is>
      </c>
      <c r="H788" s="278">
        <f>VLOOKUP($G788,DATOS!$B:$E,2,FALSE)</f>
        <v/>
      </c>
      <c r="I788" s="278">
        <f>VLOOKUP($G788,DATOS!$B:$E,3,FALSE)</f>
        <v/>
      </c>
      <c r="J788" s="278">
        <f>VLOOKUP($G788,DATOS!$B:$E,4,FALSE)</f>
        <v/>
      </c>
      <c r="K788" s="278" t="inlineStr">
        <is>
          <t>Refacturación gastos y/o servicios prestados a nombre de la sociedad</t>
        </is>
      </c>
      <c r="L788" s="280" t="n"/>
      <c r="M788" s="278" t="inlineStr">
        <is>
          <t>Jofran Mensajeros S.L. - Envíos de documentación</t>
        </is>
      </c>
      <c r="N788" s="280" t="n">
        <v>8.6</v>
      </c>
      <c r="P788" s="280" t="n"/>
      <c r="R788" s="280" t="n"/>
      <c r="T788" s="280" t="n"/>
      <c r="V788" s="280" t="n"/>
      <c r="X788" s="280" t="n"/>
      <c r="Z788" s="280" t="n"/>
      <c r="AA788" s="280" t="n"/>
      <c r="AB788" s="281" t="inlineStr">
        <is>
          <t>ES11 0081 7069 2700 0122 7724</t>
        </is>
      </c>
      <c r="AC788" s="278" t="inlineStr">
        <is>
          <t>pendiente</t>
        </is>
      </c>
      <c r="AD788" s="280" t="n"/>
      <c r="AE788" s="280">
        <f>IF((LEFT(K788,6))="Contab",L788,0)</f>
        <v/>
      </c>
      <c r="AF788" s="281">
        <f>VLOOKUP(G788,CLIENTES!B:E,4,FALSE)</f>
        <v/>
      </c>
      <c r="AG788" s="280">
        <f>AF788*AE788</f>
        <v/>
      </c>
      <c r="AH788" s="280">
        <f>AD788*1.21</f>
        <v/>
      </c>
      <c r="AI788" s="284">
        <f>IF(AE788&lt;&gt;0,AG788/AD788,"N/A")</f>
        <v/>
      </c>
      <c r="AJ788" s="280">
        <f>IF(AC788="pendiente",AD788,0)</f>
        <v/>
      </c>
      <c r="AK788" s="278">
        <f>VLOOKUP(G788,CLIENTES!B:D,3,FALSE)</f>
        <v/>
      </c>
    </row>
    <row r="789" ht="15" customFormat="1" customHeight="1" s="278">
      <c r="B789" s="279" t="n"/>
      <c r="C789" s="278" t="inlineStr">
        <is>
          <t>c/ Las Cruzadas 3A, local D</t>
        </is>
      </c>
      <c r="D789" s="278" t="inlineStr">
        <is>
          <t>Sevilla 41004</t>
        </is>
      </c>
      <c r="E789" s="278" t="inlineStr">
        <is>
          <t>CIF B91938662</t>
        </is>
      </c>
      <c r="G789" s="278" t="inlineStr">
        <is>
          <t>Tordesillas Renovables, S.L.</t>
        </is>
      </c>
      <c r="H789" s="278">
        <f>VLOOKUP($G789,DATOS!$B:$E,2,FALSE)</f>
        <v/>
      </c>
      <c r="I789" s="278">
        <f>VLOOKUP($G789,DATOS!$B:$E,3,FALSE)</f>
        <v/>
      </c>
      <c r="J789" s="278">
        <f>VLOOKUP($G789,DATOS!$B:$E,4,FALSE)</f>
        <v/>
      </c>
      <c r="K789" s="278" t="inlineStr">
        <is>
          <t>Refacturación gastos y/o servicios prestados a nombre de la sociedad</t>
        </is>
      </c>
      <c r="L789" s="280" t="n"/>
      <c r="M789" s="278" t="inlineStr">
        <is>
          <t>Jofran Mensajeros S.L. - Envíos de documentación</t>
        </is>
      </c>
      <c r="N789" s="280" t="n">
        <v>40.62</v>
      </c>
      <c r="P789" s="280" t="n"/>
      <c r="R789" s="280" t="n"/>
      <c r="T789" s="280" t="n"/>
      <c r="V789" s="280" t="n"/>
      <c r="X789" s="280" t="n"/>
      <c r="Z789" s="280" t="n"/>
      <c r="AA789" s="280" t="n"/>
      <c r="AB789" s="281" t="inlineStr">
        <is>
          <t>ES11 0081 7069 2700 0122 7724</t>
        </is>
      </c>
      <c r="AC789" s="278" t="inlineStr">
        <is>
          <t>pendiente</t>
        </is>
      </c>
      <c r="AD789" s="280" t="n"/>
      <c r="AE789" s="280">
        <f>IF((LEFT(K789,6))="Contab",L789,0)</f>
        <v/>
      </c>
      <c r="AF789" s="281">
        <f>VLOOKUP(G789,CLIENTES!B:E,4,FALSE)</f>
        <v/>
      </c>
      <c r="AG789" s="280">
        <f>AF789*AE789</f>
        <v/>
      </c>
      <c r="AH789" s="280">
        <f>AD789*1.21</f>
        <v/>
      </c>
      <c r="AI789" s="284">
        <f>IF(AE789&lt;&gt;0,AG789/AD789,"N/A")</f>
        <v/>
      </c>
      <c r="AJ789" s="280">
        <f>IF(AC789="pendiente",AD789,0)</f>
        <v/>
      </c>
      <c r="AK789" s="278">
        <f>VLOOKUP(G789,CLIENTES!B:D,3,FALSE)</f>
        <v/>
      </c>
    </row>
    <row r="790" ht="15" customFormat="1" customHeight="1" s="278">
      <c r="B790" s="279" t="n"/>
      <c r="C790" s="278" t="inlineStr">
        <is>
          <t>c/ Las Cruzadas 3A, local D</t>
        </is>
      </c>
      <c r="D790" s="278" t="inlineStr">
        <is>
          <t>Sevilla 41004</t>
        </is>
      </c>
      <c r="E790" s="278" t="inlineStr">
        <is>
          <t>CIF B91938662</t>
        </is>
      </c>
      <c r="G790" s="278" t="inlineStr">
        <is>
          <t>Herrera Renovables 400, A.I.E.</t>
        </is>
      </c>
      <c r="H790" s="278">
        <f>VLOOKUP($G790,DATOS!$B:$E,2,FALSE)</f>
        <v/>
      </c>
      <c r="I790" s="278">
        <f>VLOOKUP($G790,DATOS!$B:$E,3,FALSE)</f>
        <v/>
      </c>
      <c r="J790" s="278">
        <f>VLOOKUP($G790,DATOS!$B:$E,4,FALSE)</f>
        <v/>
      </c>
      <c r="K790" s="278" t="inlineStr">
        <is>
          <t>Refacturación gastos y/o servicios prestados a nombre de la sociedad</t>
        </is>
      </c>
      <c r="L790" s="280" t="n"/>
      <c r="M790" s="278" t="inlineStr">
        <is>
          <t>Jofran Mensajeros S.L. - Envíos de documentación</t>
        </is>
      </c>
      <c r="N790" s="280" t="n">
        <v>11.22</v>
      </c>
      <c r="O790" s="278" t="inlineStr">
        <is>
          <t>Sociedad Estatal Correos y Telegrafos S.A - Envio Burofax</t>
        </is>
      </c>
      <c r="P790" s="280" t="n">
        <v>24.24</v>
      </c>
      <c r="Q790" s="278" t="inlineStr">
        <is>
          <t>Sociedad Estatal Correos y Telegrafos S.A - Envio Burofax</t>
        </is>
      </c>
      <c r="R790" s="280" t="n">
        <v>24.24</v>
      </c>
      <c r="S790" s="278" t="inlineStr">
        <is>
          <t>Sociedad Estatal Correos y Telegrafos S.A - Envio Burofax</t>
        </is>
      </c>
      <c r="T790" s="280" t="n">
        <v>25.19</v>
      </c>
      <c r="U790" s="278" t="inlineStr">
        <is>
          <t>Sociedad Estatal Correos y Telegrafos S.A - Envio Burofax</t>
        </is>
      </c>
      <c r="V790" s="280" t="n">
        <v>25.19</v>
      </c>
      <c r="W790" s="278" t="inlineStr">
        <is>
          <t>Carburantes San Justa, S.L - Traslado a Valladolid</t>
        </is>
      </c>
      <c r="X790" s="280" t="n">
        <v>24.8</v>
      </c>
      <c r="Y790" s="278" t="inlineStr">
        <is>
          <t>Carburantes San Justa, S.L - Traslado a Valladolid</t>
        </is>
      </c>
      <c r="Z790" s="280" t="n">
        <v>53.67</v>
      </c>
      <c r="AA790" s="280" t="n"/>
      <c r="AB790" s="281" t="inlineStr">
        <is>
          <t>ES11 0081 7069 2700 0122 7724</t>
        </is>
      </c>
      <c r="AC790" s="278" t="inlineStr">
        <is>
          <t>pendiente</t>
        </is>
      </c>
      <c r="AD790" s="280" t="n"/>
      <c r="AE790" s="280">
        <f>IF((LEFT(K790,6))="Contab",L790,0)</f>
        <v/>
      </c>
      <c r="AF790" s="281">
        <f>VLOOKUP(G790,CLIENTES!B:E,4,FALSE)</f>
        <v/>
      </c>
      <c r="AG790" s="280">
        <f>AF790*AE790</f>
        <v/>
      </c>
      <c r="AH790" s="280">
        <f>AD790*1.21</f>
        <v/>
      </c>
      <c r="AI790" s="284">
        <f>IF(AE790&lt;&gt;0,AG790/AD790,"N/A")</f>
        <v/>
      </c>
      <c r="AJ790" s="280">
        <f>IF(AC790="pendiente",AD790,0)</f>
        <v/>
      </c>
      <c r="AK790" s="278">
        <f>VLOOKUP(G790,CLIENTES!B:D,3,FALSE)</f>
        <v/>
      </c>
    </row>
    <row r="791" ht="15" customFormat="1" customHeight="1" s="278">
      <c r="B791" s="279" t="n"/>
      <c r="C791" s="278" t="inlineStr">
        <is>
          <t>c/ Las Cruzadas 3A, local D</t>
        </is>
      </c>
      <c r="D791" s="278" t="inlineStr">
        <is>
          <t>Sevilla 41004</t>
        </is>
      </c>
      <c r="E791" s="278" t="inlineStr">
        <is>
          <t>CIF B91938662</t>
        </is>
      </c>
      <c r="G791" s="278" t="inlineStr">
        <is>
          <t>Herrera Renovables 400, A.I.E.</t>
        </is>
      </c>
      <c r="H791" s="278">
        <f>VLOOKUP($G791,DATOS!$B:$E,2,FALSE)</f>
        <v/>
      </c>
      <c r="I791" s="278">
        <f>VLOOKUP($G791,DATOS!$B:$E,3,FALSE)</f>
        <v/>
      </c>
      <c r="J791" s="278">
        <f>VLOOKUP($G791,DATOS!$B:$E,4,FALSE)</f>
        <v/>
      </c>
      <c r="K791" s="278" t="inlineStr">
        <is>
          <t>Refacturación gastos y/o servicios prestados a nombre de la sociedad</t>
        </is>
      </c>
      <c r="L791" s="280" t="n"/>
      <c r="M791" s="278" t="inlineStr">
        <is>
          <t>Hotel Parque Valladolid - Viaje notaria terrenos</t>
        </is>
      </c>
      <c r="N791" s="280" t="n">
        <v>58</v>
      </c>
      <c r="P791" s="280" t="n"/>
      <c r="R791" s="280" t="n"/>
      <c r="T791" s="280" t="n"/>
      <c r="V791" s="280" t="n"/>
      <c r="X791" s="280" t="n"/>
      <c r="Z791" s="280" t="n"/>
      <c r="AA791" s="280" t="n"/>
      <c r="AB791" s="281" t="inlineStr">
        <is>
          <t>ES11 0081 7069 2700 0122 7724</t>
        </is>
      </c>
      <c r="AC791" s="278" t="inlineStr">
        <is>
          <t>pendiente</t>
        </is>
      </c>
      <c r="AD791" s="280" t="n"/>
      <c r="AE791" s="280">
        <f>IF((LEFT(K791,6))="Contab",L791,0)</f>
        <v/>
      </c>
      <c r="AF791" s="281">
        <f>VLOOKUP(G791,CLIENTES!B:E,4,FALSE)</f>
        <v/>
      </c>
      <c r="AG791" s="280">
        <f>AF791*AE791</f>
        <v/>
      </c>
      <c r="AH791" s="280">
        <f>AD791*1.21</f>
        <v/>
      </c>
      <c r="AI791" s="284">
        <f>IF(AE791&lt;&gt;0,AG791/AD791,"N/A")</f>
        <v/>
      </c>
      <c r="AJ791" s="280">
        <f>IF(AC791="pendiente",AD791,0)</f>
        <v/>
      </c>
      <c r="AK791" s="278">
        <f>VLOOKUP(G791,CLIENTES!B:D,3,FALSE)</f>
        <v/>
      </c>
    </row>
    <row r="792" ht="15" customFormat="1" customHeight="1" s="278">
      <c r="B792" s="279" t="n"/>
      <c r="C792" s="278" t="inlineStr">
        <is>
          <t>c/ Las Cruzadas 3A, local D</t>
        </is>
      </c>
      <c r="D792" s="278" t="inlineStr">
        <is>
          <t>Sevilla 41004</t>
        </is>
      </c>
      <c r="E792" s="278" t="inlineStr">
        <is>
          <t>CIF B91938662</t>
        </is>
      </c>
      <c r="G792" s="278" t="inlineStr">
        <is>
          <t>Evacuación Tordesillas 400 kV, S.L.</t>
        </is>
      </c>
      <c r="H792" s="278">
        <f>VLOOKUP($G792,DATOS!$B:$E,2,FALSE)</f>
        <v/>
      </c>
      <c r="I792" s="278">
        <f>VLOOKUP($G792,DATOS!$B:$E,3,FALSE)</f>
        <v/>
      </c>
      <c r="J792" s="278">
        <f>VLOOKUP($G792,DATOS!$B:$E,4,FALSE)</f>
        <v/>
      </c>
      <c r="K792" s="278" t="inlineStr">
        <is>
          <t>Refacturación gastos y/o servicios prestados a nombre de la sociedad</t>
        </is>
      </c>
      <c r="L792" s="280" t="n"/>
      <c r="M792" s="278" t="inlineStr">
        <is>
          <t>Jofran Mensajeros S.L. - Envíos de documentación</t>
        </is>
      </c>
      <c r="N792" s="280" t="n">
        <v>5.06</v>
      </c>
      <c r="P792" s="280" t="n"/>
      <c r="R792" s="280" t="n"/>
      <c r="T792" s="280" t="n"/>
      <c r="V792" s="280" t="n"/>
      <c r="X792" s="280" t="n"/>
      <c r="Z792" s="280" t="n"/>
      <c r="AA792" s="280" t="n"/>
      <c r="AB792" s="281" t="inlineStr">
        <is>
          <t>ES11 0081 7069 2700 0122 7724</t>
        </is>
      </c>
      <c r="AC792" s="278" t="inlineStr">
        <is>
          <t>pendiente</t>
        </is>
      </c>
      <c r="AD792" s="280" t="n"/>
      <c r="AE792" s="280">
        <f>IF((LEFT(K792,6))="Contab",L792,0)</f>
        <v/>
      </c>
      <c r="AF792" s="281">
        <f>VLOOKUP(G792,CLIENTES!B:E,4,FALSE)</f>
        <v/>
      </c>
      <c r="AG792" s="280">
        <f>AF792*AE792</f>
        <v/>
      </c>
      <c r="AH792" s="280">
        <f>AD792*1.21</f>
        <v/>
      </c>
      <c r="AI792" s="284">
        <f>IF(AE792&lt;&gt;0,AG792/AD792,"N/A")</f>
        <v/>
      </c>
      <c r="AJ792" s="280">
        <f>IF(AC792="pendiente",AD792,0)</f>
        <v/>
      </c>
      <c r="AK792" s="278">
        <f>VLOOKUP(G792,CLIENTES!B:D,3,FALSE)</f>
        <v/>
      </c>
    </row>
    <row r="793" ht="15" customFormat="1" customHeight="1" s="278">
      <c r="B793" s="279" t="n"/>
      <c r="C793" s="278" t="inlineStr">
        <is>
          <t>c/ Las Cruzadas 3A, local D</t>
        </is>
      </c>
      <c r="D793" s="278" t="inlineStr">
        <is>
          <t>Sevilla 41004</t>
        </is>
      </c>
      <c r="E793" s="278" t="inlineStr">
        <is>
          <t>CIF B91938662</t>
        </is>
      </c>
      <c r="G793" s="278" t="inlineStr">
        <is>
          <t>SET Carmona 400 kV Renovables, S.L.</t>
        </is>
      </c>
      <c r="H793" s="278">
        <f>VLOOKUP($G793,DATOS!$B:$E,2,FALSE)</f>
        <v/>
      </c>
      <c r="I793" s="278">
        <f>VLOOKUP($G793,DATOS!$B:$E,3,FALSE)</f>
        <v/>
      </c>
      <c r="J793" s="278">
        <f>VLOOKUP($G793,DATOS!$B:$E,4,FALSE)</f>
        <v/>
      </c>
      <c r="K793" s="278" t="inlineStr">
        <is>
          <t>Refacturación gastos y/o servicios prestados a nombre de la sociedad</t>
        </is>
      </c>
      <c r="L793" s="280" t="n"/>
      <c r="M793" s="278" t="inlineStr">
        <is>
          <t>Sociedad Estatal Correos y Telegrafos S.A - Envio Burofax</t>
        </is>
      </c>
      <c r="N793" s="280" t="n">
        <v>24.24</v>
      </c>
      <c r="P793" s="280" t="n"/>
      <c r="R793" s="280" t="n"/>
      <c r="T793" s="280" t="n"/>
      <c r="V793" s="280" t="n"/>
      <c r="X793" s="280" t="n"/>
      <c r="Z793" s="280" t="n"/>
      <c r="AA793" s="280" t="n"/>
      <c r="AB793" s="281" t="inlineStr">
        <is>
          <t>ES11 0081 7069 2700 0122 7724</t>
        </is>
      </c>
      <c r="AC793" s="278" t="inlineStr">
        <is>
          <t>pendiente</t>
        </is>
      </c>
      <c r="AD793" s="280" t="n"/>
      <c r="AE793" s="280">
        <f>IF((LEFT(K793,6))="Contab",L793,0)</f>
        <v/>
      </c>
      <c r="AF793" s="281">
        <f>VLOOKUP(G793,CLIENTES!B:E,4,FALSE)</f>
        <v/>
      </c>
      <c r="AG793" s="280">
        <f>AF793*AE793</f>
        <v/>
      </c>
      <c r="AH793" s="280">
        <f>AD793*1.21</f>
        <v/>
      </c>
      <c r="AI793" s="284">
        <f>IF(AE793&lt;&gt;0,AG793/AD793,"N/A")</f>
        <v/>
      </c>
      <c r="AJ793" s="280">
        <f>IF(AC793="pendiente",AD793,0)</f>
        <v/>
      </c>
      <c r="AK793" s="278">
        <f>VLOOKUP(G793,CLIENTES!B:D,3,FALSE)</f>
        <v/>
      </c>
    </row>
    <row r="794" ht="15" customFormat="1" customHeight="1" s="278">
      <c r="B794" s="279" t="n"/>
      <c r="C794" s="278" t="inlineStr">
        <is>
          <t>c/ Las Cruzadas 3A, local D</t>
        </is>
      </c>
      <c r="D794" s="278" t="inlineStr">
        <is>
          <t>Sevilla 41004</t>
        </is>
      </c>
      <c r="E794" s="278" t="inlineStr">
        <is>
          <t>CIF B91938662</t>
        </is>
      </c>
      <c r="G794" s="278" t="inlineStr">
        <is>
          <t>Línea Covatillas, A.I.E.</t>
        </is>
      </c>
      <c r="H794" s="278">
        <f>VLOOKUP($G794,DATOS!$B:$E,2,FALSE)</f>
        <v/>
      </c>
      <c r="I794" s="278">
        <f>VLOOKUP($G794,DATOS!$B:$E,3,FALSE)</f>
        <v/>
      </c>
      <c r="J794" s="278">
        <f>VLOOKUP($G794,DATOS!$B:$E,4,FALSE)</f>
        <v/>
      </c>
      <c r="K794" s="278" t="inlineStr">
        <is>
          <t>Refacturación gastos y/o servicios prestados a nombre de la sociedad</t>
        </is>
      </c>
      <c r="L794" s="280" t="n"/>
      <c r="M794" s="278" t="inlineStr">
        <is>
          <t>Jofran Mensajeros S.L. - Envíos de documentación</t>
        </is>
      </c>
      <c r="N794" s="280" t="n">
        <v>30.27</v>
      </c>
      <c r="O794" s="278" t="inlineStr">
        <is>
          <t>Registro Mercantil - Certificación para la emisión de certificado</t>
        </is>
      </c>
      <c r="P794" s="280" t="n">
        <v>26.75</v>
      </c>
      <c r="R794" s="280" t="n"/>
      <c r="T794" s="280" t="n"/>
      <c r="V794" s="280" t="n"/>
      <c r="X794" s="280" t="n"/>
      <c r="Z794" s="280" t="n"/>
      <c r="AA794" s="280" t="n"/>
      <c r="AB794" s="281" t="inlineStr">
        <is>
          <t>ES11 0081 7069 2700 0122 7724</t>
        </is>
      </c>
      <c r="AC794" s="278" t="inlineStr">
        <is>
          <t>pendiente</t>
        </is>
      </c>
      <c r="AD794" s="280" t="n"/>
      <c r="AE794" s="280">
        <f>IF((LEFT(K794,6))="Contab",L794,0)</f>
        <v/>
      </c>
      <c r="AF794" s="281">
        <f>VLOOKUP(G794,CLIENTES!B:E,4,FALSE)</f>
        <v/>
      </c>
      <c r="AG794" s="280">
        <f>AF794*AE794</f>
        <v/>
      </c>
      <c r="AH794" s="280">
        <f>AD794*1.21</f>
        <v/>
      </c>
      <c r="AI794" s="284">
        <f>IF(AE794&lt;&gt;0,AG794/AD794,"N/A")</f>
        <v/>
      </c>
      <c r="AJ794" s="280">
        <f>IF(AC794="pendiente",AD794,0)</f>
        <v/>
      </c>
      <c r="AK794" s="278">
        <f>VLOOKUP(G794,CLIENTES!B:D,3,FALSE)</f>
        <v/>
      </c>
    </row>
    <row r="795" ht="15" customFormat="1" customHeight="1" s="278">
      <c r="B795" s="279" t="n"/>
      <c r="C795" s="278" t="inlineStr">
        <is>
          <t>c/ Las Cruzadas 3A, local D</t>
        </is>
      </c>
      <c r="D795" s="278" t="inlineStr">
        <is>
          <t>Sevilla 41004</t>
        </is>
      </c>
      <c r="E795" s="278" t="inlineStr">
        <is>
          <t>CIF B91938662</t>
        </is>
      </c>
      <c r="G795" s="278" t="inlineStr">
        <is>
          <t>Herrera Sotillo Renovables, A.I.E.</t>
        </is>
      </c>
      <c r="H795" s="278">
        <f>VLOOKUP($G795,DATOS!$B:$E,2,FALSE)</f>
        <v/>
      </c>
      <c r="I795" s="278">
        <f>VLOOKUP($G795,DATOS!$B:$E,3,FALSE)</f>
        <v/>
      </c>
      <c r="J795" s="278">
        <f>VLOOKUP($G795,DATOS!$B:$E,4,FALSE)</f>
        <v/>
      </c>
      <c r="K795" s="278" t="inlineStr">
        <is>
          <t>Refacturación gastos y/o servicios prestados a nombre de la sociedad</t>
        </is>
      </c>
      <c r="L795" s="280" t="n"/>
      <c r="M795" s="278" t="inlineStr">
        <is>
          <t>Jofran Mensajeros S.L. - Envíos de documentación</t>
        </is>
      </c>
      <c r="N795" s="280" t="n">
        <v>61.2</v>
      </c>
      <c r="O795" s="278" t="inlineStr">
        <is>
          <t>Registro Mercantil - Certificación para la emisión de certificado</t>
        </is>
      </c>
      <c r="P795" s="280" t="n">
        <v>26.75</v>
      </c>
      <c r="R795" s="280" t="n"/>
      <c r="T795" s="280" t="n"/>
      <c r="V795" s="280" t="n"/>
      <c r="X795" s="280" t="n"/>
      <c r="Z795" s="280" t="n"/>
      <c r="AA795" s="280" t="n"/>
      <c r="AB795" s="281" t="inlineStr">
        <is>
          <t>ES11 0081 7069 2700 0122 7724</t>
        </is>
      </c>
      <c r="AC795" s="278" t="inlineStr">
        <is>
          <t>pendiente</t>
        </is>
      </c>
      <c r="AD795" s="280" t="n"/>
      <c r="AE795" s="280">
        <f>IF((LEFT(K795,6))="Contab",L795,0)</f>
        <v/>
      </c>
      <c r="AF795" s="281">
        <f>VLOOKUP(G795,CLIENTES!B:E,4,FALSE)</f>
        <v/>
      </c>
      <c r="AG795" s="280">
        <f>AF795*AE795</f>
        <v/>
      </c>
      <c r="AH795" s="280">
        <f>AD795*1.21</f>
        <v/>
      </c>
      <c r="AI795" s="284">
        <f>IF(AE795&lt;&gt;0,AG795/AD795,"N/A")</f>
        <v/>
      </c>
      <c r="AJ795" s="280">
        <f>IF(AC795="pendiente",AD795,0)</f>
        <v/>
      </c>
      <c r="AK795" s="278">
        <f>VLOOKUP(G795,CLIENTES!B:D,3,FALSE)</f>
        <v/>
      </c>
    </row>
    <row r="796" ht="15" customFormat="1" customHeight="1" s="278">
      <c r="B796" s="279" t="n"/>
      <c r="C796" s="278" t="inlineStr">
        <is>
          <t>c/ Las Cruzadas 3A, local D</t>
        </is>
      </c>
      <c r="D796" s="278" t="inlineStr">
        <is>
          <t>Sevilla 41004</t>
        </is>
      </c>
      <c r="E796" s="278" t="inlineStr">
        <is>
          <t>CIF B91938662</t>
        </is>
      </c>
      <c r="G796" s="278" t="inlineStr">
        <is>
          <t>Cuádruple Belinchón, S.L.</t>
        </is>
      </c>
      <c r="H796" s="278">
        <f>VLOOKUP($G796,DATOS!$B:$E,2,FALSE)</f>
        <v/>
      </c>
      <c r="I796" s="278">
        <f>VLOOKUP($G796,DATOS!$B:$E,3,FALSE)</f>
        <v/>
      </c>
      <c r="J796" s="278">
        <f>VLOOKUP($G796,DATOS!$B:$E,4,FALSE)</f>
        <v/>
      </c>
      <c r="K796" s="278" t="inlineStr">
        <is>
          <t>Refacturación gastos y/o servicios prestados a nombre de la sociedad</t>
        </is>
      </c>
      <c r="L796" s="280" t="n"/>
      <c r="M796" s="278" t="inlineStr">
        <is>
          <t>Jofran Mensajeros S.L. - Envíos de documentación</t>
        </is>
      </c>
      <c r="N796" s="280" t="n">
        <v>40.29</v>
      </c>
      <c r="O796" s="278" t="inlineStr">
        <is>
          <t>Sociedad Estatal Correos y Telegrafos S.A - Envio Burofax</t>
        </is>
      </c>
      <c r="P796" s="280" t="n">
        <v>26.27</v>
      </c>
      <c r="Q796" s="278" t="inlineStr">
        <is>
          <t>Registro Mercantil de Madrid - Certicación de vigencias y cargos</t>
        </is>
      </c>
      <c r="R796" s="280" t="n">
        <v>46.88</v>
      </c>
      <c r="S796" s="278" t="inlineStr">
        <is>
          <t>Registro Mercantil de Madrid - Inscripción de poderes Abalados</t>
        </is>
      </c>
      <c r="T796" s="280" t="n">
        <v>123.26</v>
      </c>
      <c r="V796" s="280" t="n"/>
      <c r="X796" s="280" t="n"/>
      <c r="Z796" s="280" t="n"/>
      <c r="AA796" s="280" t="n"/>
      <c r="AB796" s="281" t="inlineStr">
        <is>
          <t>ES11 0081 7069 2700 0122 7724</t>
        </is>
      </c>
      <c r="AC796" s="278" t="inlineStr">
        <is>
          <t>pendiente</t>
        </is>
      </c>
      <c r="AD796" s="280" t="n"/>
      <c r="AE796" s="280">
        <f>IF((LEFT(K796,6))="Contab",L796,0)</f>
        <v/>
      </c>
      <c r="AF796" s="281">
        <f>VLOOKUP(G796,CLIENTES!B:E,4,FALSE)</f>
        <v/>
      </c>
      <c r="AG796" s="280">
        <f>AF796*AE796</f>
        <v/>
      </c>
      <c r="AH796" s="280">
        <f>AD796*1.21</f>
        <v/>
      </c>
      <c r="AI796" s="284">
        <f>IF(AE796&lt;&gt;0,AG796/AD796,"N/A")</f>
        <v/>
      </c>
      <c r="AJ796" s="280">
        <f>IF(AC796="pendiente",AD796,0)</f>
        <v/>
      </c>
      <c r="AK796" s="278">
        <f>VLOOKUP(G796,CLIENTES!B:D,3,FALSE)</f>
        <v/>
      </c>
    </row>
    <row r="797" ht="15" customFormat="1" customHeight="1" s="278">
      <c r="B797" s="279" t="n"/>
      <c r="C797" s="278" t="inlineStr">
        <is>
          <t>c/ Las Cruzadas 3A, local D</t>
        </is>
      </c>
      <c r="D797" s="278" t="inlineStr">
        <is>
          <t>Sevilla 41004</t>
        </is>
      </c>
      <c r="E797" s="278" t="inlineStr">
        <is>
          <t>CIF B91938662</t>
        </is>
      </c>
      <c r="G797" s="278" t="inlineStr">
        <is>
          <t>Renovables Brovales 400 kV, S.L.</t>
        </is>
      </c>
      <c r="H797" s="278">
        <f>VLOOKUP($G797,DATOS!$B:$E,2,FALSE)</f>
        <v/>
      </c>
      <c r="I797" s="278">
        <f>VLOOKUP($G797,DATOS!$B:$E,3,FALSE)</f>
        <v/>
      </c>
      <c r="J797" s="278">
        <f>VLOOKUP($G797,DATOS!$B:$E,4,FALSE)</f>
        <v/>
      </c>
      <c r="K797" s="278" t="inlineStr">
        <is>
          <t>Refacturación gastos y/o servicios prestados a nombre de la sociedad</t>
        </is>
      </c>
      <c r="L797" s="280" t="n"/>
      <c r="M797" s="278" t="inlineStr">
        <is>
          <t>Jofran Mensajeros S.L. - Envíos de documentación</t>
        </is>
      </c>
      <c r="N797" s="280" t="n">
        <v>20.56</v>
      </c>
      <c r="O797" s="278" t="inlineStr">
        <is>
          <t>Registro Mercantil - Certificación para la emisión de certificado</t>
        </is>
      </c>
      <c r="P797" s="280" t="n">
        <v>27.95</v>
      </c>
      <c r="R797" s="280" t="n"/>
      <c r="T797" s="280" t="n"/>
      <c r="V797" s="280" t="n"/>
      <c r="X797" s="280" t="n"/>
      <c r="Z797" s="280" t="n"/>
      <c r="AA797" s="280" t="n"/>
      <c r="AB797" s="281" t="inlineStr">
        <is>
          <t>ES11 0081 7069 2700 0122 7724</t>
        </is>
      </c>
      <c r="AC797" s="278" t="inlineStr">
        <is>
          <t>pendiente</t>
        </is>
      </c>
      <c r="AD797" s="280" t="n"/>
      <c r="AE797" s="280">
        <f>IF((LEFT(K797,6))="Contab",L797,0)</f>
        <v/>
      </c>
      <c r="AF797" s="281">
        <f>VLOOKUP(G797,CLIENTES!B:E,4,FALSE)</f>
        <v/>
      </c>
      <c r="AG797" s="280">
        <f>AF797*AE797</f>
        <v/>
      </c>
      <c r="AH797" s="280">
        <f>AD797*1.21</f>
        <v/>
      </c>
      <c r="AI797" s="284">
        <f>IF(AE797&lt;&gt;0,AG797/AD797,"N/A")</f>
        <v/>
      </c>
      <c r="AJ797" s="280">
        <f>IF(AC797="pendiente",AD797,0)</f>
        <v/>
      </c>
      <c r="AK797" s="278">
        <f>VLOOKUP(G797,CLIENTES!B:D,3,FALSE)</f>
        <v/>
      </c>
    </row>
    <row r="798" ht="15" customFormat="1" customHeight="1" s="278">
      <c r="B798" s="279" t="n"/>
      <c r="C798" s="278" t="inlineStr">
        <is>
          <t>c/ Las Cruzadas 3A, local D</t>
        </is>
      </c>
      <c r="D798" s="278" t="inlineStr">
        <is>
          <t>Sevilla 41004</t>
        </is>
      </c>
      <c r="E798" s="278" t="inlineStr">
        <is>
          <t>CIF B91938662</t>
        </is>
      </c>
      <c r="G798" s="278" t="inlineStr">
        <is>
          <t>Huerta Sevilla Renovables, S.L.</t>
        </is>
      </c>
      <c r="H798" s="278">
        <f>VLOOKUP($G798,DATOS!$B:$E,2,FALSE)</f>
        <v/>
      </c>
      <c r="I798" s="278">
        <f>VLOOKUP($G798,DATOS!$B:$E,3,FALSE)</f>
        <v/>
      </c>
      <c r="J798" s="278">
        <f>VLOOKUP($G798,DATOS!$B:$E,4,FALSE)</f>
        <v/>
      </c>
      <c r="K798" s="278" t="inlineStr">
        <is>
          <t>Refacturación gastos y/o servicios prestados a nombre de la sociedad</t>
        </is>
      </c>
      <c r="L798" s="280" t="n"/>
      <c r="M798" s="278" t="inlineStr">
        <is>
          <t>Jofran Mensajeros S.L. - Envíos de documentación</t>
        </is>
      </c>
      <c r="N798" s="280" t="n">
        <v>65.23999999999999</v>
      </c>
      <c r="O798" s="278" t="inlineStr">
        <is>
          <t>Registro Mercantil - Certificación para la emisión de certificado</t>
        </is>
      </c>
      <c r="P798" s="280" t="n">
        <v>52.29</v>
      </c>
      <c r="R798" s="280" t="n"/>
      <c r="T798" s="280" t="n"/>
      <c r="V798" s="280" t="n"/>
      <c r="X798" s="280" t="n"/>
      <c r="Z798" s="280" t="n"/>
      <c r="AA798" s="280" t="n"/>
      <c r="AB798" s="281" t="inlineStr">
        <is>
          <t>ES11 0081 7069 2700 0122 7724</t>
        </is>
      </c>
      <c r="AC798" s="278" t="inlineStr">
        <is>
          <t>pendiente</t>
        </is>
      </c>
      <c r="AD798" s="280" t="n"/>
      <c r="AE798" s="280">
        <f>IF((LEFT(K798,6))="Contab",L798,0)</f>
        <v/>
      </c>
      <c r="AF798" s="281">
        <f>VLOOKUP(G798,CLIENTES!B:E,4,FALSE)</f>
        <v/>
      </c>
      <c r="AG798" s="280">
        <f>AF798*AE798</f>
        <v/>
      </c>
      <c r="AH798" s="280">
        <f>AD798*1.21</f>
        <v/>
      </c>
      <c r="AI798" s="284">
        <f>IF(AE798&lt;&gt;0,AG798/AD798,"N/A")</f>
        <v/>
      </c>
      <c r="AJ798" s="280">
        <f>IF(AC798="pendiente",AD798,0)</f>
        <v/>
      </c>
      <c r="AK798" s="278">
        <f>VLOOKUP(G798,CLIENTES!B:D,3,FALSE)</f>
        <v/>
      </c>
    </row>
    <row r="799" ht="15" customFormat="1" customHeight="1" s="278">
      <c r="B799" s="279" t="n"/>
      <c r="C799" s="278" t="inlineStr">
        <is>
          <t>c/ Las Cruzadas 3A, local D</t>
        </is>
      </c>
      <c r="D799" s="278" t="inlineStr">
        <is>
          <t>Sevilla 41004</t>
        </is>
      </c>
      <c r="E799" s="278" t="inlineStr">
        <is>
          <t>CIF B91938662</t>
        </is>
      </c>
      <c r="G799" s="278" t="inlineStr">
        <is>
          <t>FP LUX REIO PV VALLADOLID, S.L.U.</t>
        </is>
      </c>
      <c r="H799" s="278">
        <f>VLOOKUP($G799,DATOS!$B:$E,2,FALSE)</f>
        <v/>
      </c>
      <c r="I799" s="278">
        <f>VLOOKUP($G799,DATOS!$B:$E,3,FALSE)</f>
        <v/>
      </c>
      <c r="J799" s="278">
        <f>VLOOKUP($G799,DATOS!$B:$E,4,FALSE)</f>
        <v/>
      </c>
      <c r="K799" s="278" t="inlineStr">
        <is>
          <t>Refacturación gastos y/o servicios prestados a nombre de la sociedad</t>
        </is>
      </c>
      <c r="L799" s="280" t="n"/>
      <c r="M799" s="278" t="inlineStr">
        <is>
          <t>Sociedad Estatal Correos y Telegrafos S.A - Envio Burofax</t>
        </is>
      </c>
      <c r="N799" s="280" t="n">
        <v>25.32</v>
      </c>
      <c r="O799" s="278" t="inlineStr">
        <is>
          <t>Sociedad Estatal Correos y Telegrafos S.A - Envio Burofax</t>
        </is>
      </c>
      <c r="P799" s="280" t="n">
        <v>25.32</v>
      </c>
      <c r="R799" s="280" t="n"/>
      <c r="T799" s="280" t="n"/>
      <c r="V799" s="280" t="n"/>
      <c r="X799" s="280" t="n"/>
      <c r="Z799" s="280" t="n"/>
      <c r="AA799" s="280" t="n"/>
      <c r="AB799" s="281" t="inlineStr">
        <is>
          <t>ES11 0081 7069 2700 0122 7724</t>
        </is>
      </c>
      <c r="AC799" s="278" t="inlineStr">
        <is>
          <t>pendiente</t>
        </is>
      </c>
      <c r="AD799" s="280" t="n"/>
      <c r="AE799" s="280">
        <f>IF((LEFT(K799,6))="Contab",L799,0)</f>
        <v/>
      </c>
      <c r="AF799" s="281">
        <f>VLOOKUP(G799,CLIENTES!B:E,4,FALSE)</f>
        <v/>
      </c>
      <c r="AG799" s="280">
        <f>AF799*AE799</f>
        <v/>
      </c>
      <c r="AH799" s="280">
        <f>AD799*1.21</f>
        <v/>
      </c>
      <c r="AI799" s="284">
        <f>IF(AE799&lt;&gt;0,AG799/AD799,"N/A")</f>
        <v/>
      </c>
      <c r="AJ799" s="280">
        <f>IF(AC799="pendiente",AD799,0)</f>
        <v/>
      </c>
      <c r="AK799" s="278">
        <f>VLOOKUP(G799,CLIENTES!B:D,3,FALSE)</f>
        <v/>
      </c>
    </row>
    <row r="800" ht="15" customFormat="1" customHeight="1" s="278">
      <c r="B800" s="279" t="n"/>
      <c r="C800" s="278" t="inlineStr">
        <is>
          <t>c/ Las Cruzadas 3A, local D</t>
        </is>
      </c>
      <c r="D800" s="278" t="inlineStr">
        <is>
          <t>Sevilla 41004</t>
        </is>
      </c>
      <c r="E800" s="278" t="inlineStr">
        <is>
          <t>CIF B91938662</t>
        </is>
      </c>
      <c r="G800" s="278" t="inlineStr">
        <is>
          <t>FP LUX REIO PV VALLADOLID, S.L.U.</t>
        </is>
      </c>
      <c r="H800" s="278">
        <f>VLOOKUP($G800,DATOS!$B:$E,2,FALSE)</f>
        <v/>
      </c>
      <c r="I800" s="278">
        <f>VLOOKUP($G800,DATOS!$B:$E,3,FALSE)</f>
        <v/>
      </c>
      <c r="J800" s="278">
        <f>VLOOKUP($G800,DATOS!$B:$E,4,FALSE)</f>
        <v/>
      </c>
      <c r="K800" s="278" t="inlineStr">
        <is>
          <t>Servicios extraordinarios - Asset Management (LAAT 220/400kV)</t>
        </is>
      </c>
      <c r="L800" s="280" t="n"/>
      <c r="M800" s="278" t="inlineStr">
        <is>
          <t>Asistencia presencial (D.Jesús Valladares)</t>
        </is>
      </c>
      <c r="N800" s="280" t="n">
        <v>810</v>
      </c>
      <c r="O800" s="278" t="inlineStr">
        <is>
          <t>Notaría 13/03/23 - Opción de compra de terrenos</t>
        </is>
      </c>
      <c r="P800" s="280" t="n"/>
      <c r="R800" s="280" t="n"/>
      <c r="S800" s="280" t="n"/>
      <c r="T800" s="280" t="n"/>
      <c r="V800" s="280" t="n"/>
      <c r="X800" s="280" t="n"/>
      <c r="Z800" s="280" t="n"/>
      <c r="AA800" s="280" t="n"/>
      <c r="AB800" s="281" t="inlineStr">
        <is>
          <t>ES11 0081 7069 2700 0122 7724</t>
        </is>
      </c>
      <c r="AC800" s="278" t="inlineStr">
        <is>
          <t>pendiente</t>
        </is>
      </c>
      <c r="AD800" s="280">
        <f>L800+N800+P800+R800+T800+V800+X800+Z800</f>
        <v/>
      </c>
      <c r="AE800" s="280">
        <f>IF((LEFT(K800,6))="Contab",L800,0)</f>
        <v/>
      </c>
      <c r="AF800" s="281">
        <f>VLOOKUP(G800,CLIENTES!B:E,4,FALSE)</f>
        <v/>
      </c>
      <c r="AG800" s="280">
        <f>AF800*AE800</f>
        <v/>
      </c>
      <c r="AH800" s="280">
        <f>AD800*1.21</f>
        <v/>
      </c>
      <c r="AI800" s="284">
        <f>IF(AE800&lt;&gt;0,AG800/AD800,"N/A")</f>
        <v/>
      </c>
      <c r="AJ800" s="280">
        <f>IF(AC800="pendiente",AD800,0)</f>
        <v/>
      </c>
      <c r="AK800" s="278">
        <f>VLOOKUP(G800,CLIENTES!B:D,3,FALSE)</f>
        <v/>
      </c>
    </row>
    <row r="801" ht="15" customFormat="1" customHeight="1" s="278">
      <c r="B801" s="279" t="n"/>
      <c r="C801" s="278" t="inlineStr">
        <is>
          <t>c/ Las Cruzadas 3A, local D</t>
        </is>
      </c>
      <c r="D801" s="278" t="inlineStr">
        <is>
          <t>Sevilla 41004</t>
        </is>
      </c>
      <c r="E801" s="278" t="inlineStr">
        <is>
          <t>CIF B91938662</t>
        </is>
      </c>
      <c r="G801" s="278" t="inlineStr">
        <is>
          <t>FP LUX REIO PV VALLADOLID, S.L.U.</t>
        </is>
      </c>
      <c r="H801" s="278">
        <f>VLOOKUP($G801,DATOS!$B:$E,2,FALSE)</f>
        <v/>
      </c>
      <c r="I801" s="278">
        <f>VLOOKUP($G801,DATOS!$B:$E,3,FALSE)</f>
        <v/>
      </c>
      <c r="J801" s="278">
        <f>VLOOKUP($G801,DATOS!$B:$E,4,FALSE)</f>
        <v/>
      </c>
      <c r="K801" s="278" t="inlineStr">
        <is>
          <t>Servicios extraordinarios - Asset Management (LAAT 220/400kV)</t>
        </is>
      </c>
      <c r="L801" s="280" t="n"/>
      <c r="M801" s="278" t="inlineStr">
        <is>
          <t>Asistencia presencial (D.Jesús Valladares)</t>
        </is>
      </c>
      <c r="N801" s="280" t="n">
        <v>810</v>
      </c>
      <c r="O801" s="278" t="inlineStr">
        <is>
          <t>Notaría 23/03/23 - Elevación a público contrato de terrenos</t>
        </is>
      </c>
      <c r="P801" s="280" t="n"/>
      <c r="R801" s="280" t="n"/>
      <c r="S801" s="280" t="n"/>
      <c r="T801" s="280" t="n"/>
      <c r="V801" s="280" t="n"/>
      <c r="X801" s="280" t="n"/>
      <c r="Z801" s="280" t="n"/>
      <c r="AA801" s="280" t="n"/>
      <c r="AB801" s="281" t="inlineStr">
        <is>
          <t>ES11 0081 7069 2700 0122 7724</t>
        </is>
      </c>
      <c r="AC801" s="278" t="inlineStr">
        <is>
          <t>pendiente</t>
        </is>
      </c>
      <c r="AD801" s="280">
        <f>L801+N801+P801+R801+T801+V801+X801+Z801</f>
        <v/>
      </c>
      <c r="AE801" s="280">
        <f>IF((LEFT(K801,6))="Contab",L801,0)</f>
        <v/>
      </c>
      <c r="AF801" s="281">
        <f>VLOOKUP(G801,CLIENTES!B:E,4,FALSE)</f>
        <v/>
      </c>
      <c r="AG801" s="280">
        <f>AF801*AE801</f>
        <v/>
      </c>
      <c r="AH801" s="280">
        <f>AD801*1.21</f>
        <v/>
      </c>
      <c r="AI801" s="284">
        <f>IF(AE801&lt;&gt;0,AG801/AD801,"N/A")</f>
        <v/>
      </c>
      <c r="AJ801" s="280">
        <f>IF(AC801="pendiente",AD801,0)</f>
        <v/>
      </c>
      <c r="AK801" s="278">
        <f>VLOOKUP(G801,CLIENTES!B:D,3,FALSE)</f>
        <v/>
      </c>
    </row>
    <row r="802" ht="15" customFormat="1" customHeight="1" s="195">
      <c r="B802" s="194" t="n"/>
      <c r="C802" s="195" t="inlineStr">
        <is>
          <t>c/ Las Cruzadas 3A, local D</t>
        </is>
      </c>
      <c r="D802" s="195" t="inlineStr">
        <is>
          <t>Sevilla 41004</t>
        </is>
      </c>
      <c r="E802" s="195" t="inlineStr">
        <is>
          <t>CIF B91938662</t>
        </is>
      </c>
      <c r="F802" s="195" t="inlineStr">
        <is>
          <t>aBalados@abalados.es</t>
        </is>
      </c>
      <c r="G802" s="195" t="inlineStr">
        <is>
          <t>FP LUX REIO PV VALLADOLID, S.L.U.</t>
        </is>
      </c>
      <c r="H802" s="195">
        <f>VLOOKUP($G802,DATOS!$B:$E,2,FALSE)</f>
        <v/>
      </c>
      <c r="I802" s="195">
        <f>VLOOKUP($G802,DATOS!$B:$E,3,FALSE)</f>
        <v/>
      </c>
      <c r="J802" s="195">
        <f>VLOOKUP($G802,DATOS!$B:$E,4,FALSE)</f>
        <v/>
      </c>
      <c r="K802" s="195" t="inlineStr">
        <is>
          <t>O&amp;M Supervision and Management  -  Additional Service (DoA No.2303_02)</t>
        </is>
      </c>
      <c r="L802" s="196" t="n"/>
      <c r="N802" s="196" t="n"/>
      <c r="O802" s="195" t="inlineStr">
        <is>
          <t>Puerto Real 1 PV - Cádiz | Spain</t>
        </is>
      </c>
      <c r="P802" s="196" t="n">
        <v>52877.76</v>
      </c>
      <c r="R802" s="196" t="n"/>
      <c r="T802" s="196" t="n"/>
      <c r="U802" s="195" t="inlineStr">
        <is>
          <t>Support with the arrangement of Elecnor's assistance</t>
        </is>
      </c>
      <c r="V802" s="196" t="n"/>
      <c r="W802" s="195" t="inlineStr">
        <is>
          <t>SUMINISTRO Y SUSTITUCIÓN DEL CABLEADO EN LA PLANTA FOVOLTAICA PUERTO REAL 1</t>
        </is>
      </c>
      <c r="X802" s="196" t="n"/>
      <c r="Z802" s="196" t="n"/>
      <c r="AA802" s="196" t="n"/>
      <c r="AB802" s="197" t="inlineStr">
        <is>
          <t>ES11 0081 7069 2700 0122 7724</t>
        </is>
      </c>
      <c r="AC802" s="195" t="inlineStr">
        <is>
          <t>pendiente</t>
        </is>
      </c>
      <c r="AD802" s="196">
        <f>L802+N802+P802+R802+T802+V802+X802+Z802</f>
        <v/>
      </c>
      <c r="AE802" s="196">
        <f>IF((LEFT(K802,6))="Contab",L802,0)</f>
        <v/>
      </c>
      <c r="AF802" s="197">
        <f>VLOOKUP(G802,CLIENTES!B:E,4,FALSE)</f>
        <v/>
      </c>
      <c r="AG802" s="196">
        <f>AF802*AE802</f>
        <v/>
      </c>
      <c r="AH802" s="196">
        <f>AD802*1.21</f>
        <v/>
      </c>
      <c r="AI802" s="285">
        <f>IF(AE802&lt;&gt;0,AG802/AD802,"N/A")</f>
        <v/>
      </c>
      <c r="AJ802" s="196">
        <f>IF(AC802="pendiente",AD802,0)</f>
        <v/>
      </c>
      <c r="AK802" s="195">
        <f>VLOOKUP(G802,CLIENTES!B:D,3,FALSE)</f>
        <v/>
      </c>
    </row>
    <row r="803" ht="15" customFormat="1" customHeight="1" s="278">
      <c r="B803" s="279" t="n"/>
      <c r="C803" s="278" t="inlineStr">
        <is>
          <t>c/ Puente y Pellón 14 - 2G</t>
        </is>
      </c>
      <c r="D803" s="278" t="inlineStr">
        <is>
          <t>Sevilla 41004</t>
        </is>
      </c>
      <c r="E803" s="278" t="inlineStr">
        <is>
          <t>CIF B91938662</t>
        </is>
      </c>
      <c r="F803" s="278" t="inlineStr">
        <is>
          <t>aBalados@abalados.es</t>
        </is>
      </c>
      <c r="G803" s="278" t="inlineStr">
        <is>
          <t>FP LUX REIO PV VALLADOLID, S.L.U.</t>
        </is>
      </c>
      <c r="H803" s="278">
        <f>VLOOKUP($G803,DATOS!$B:$E,2,FALSE)</f>
        <v/>
      </c>
      <c r="I803" s="278">
        <f>VLOOKUP($G803,DATOS!$B:$E,3,FALSE)</f>
        <v/>
      </c>
      <c r="J803" s="278">
        <f>VLOOKUP($G803,DATOS!$B:$E,4,FALSE)</f>
        <v/>
      </c>
      <c r="K803" s="278" t="inlineStr">
        <is>
          <t>O&amp;M Supervision and Management</t>
        </is>
      </c>
      <c r="L803" s="280" t="n"/>
      <c r="N803" s="280" t="n"/>
      <c r="O803" s="278" t="inlineStr">
        <is>
          <t>Puerto Real 1 PV - Cádiz | Spain</t>
        </is>
      </c>
      <c r="P803" s="280" t="n">
        <v>16803.27</v>
      </c>
      <c r="Q803" s="278" t="inlineStr">
        <is>
          <t>O&amp;M Management services provided on March 2023</t>
        </is>
      </c>
      <c r="R803" s="280" t="n"/>
      <c r="T803" s="280" t="n"/>
      <c r="V803" s="280" t="n"/>
      <c r="X803" s="280" t="n"/>
      <c r="Z803" s="280" t="n"/>
      <c r="AA803" s="280" t="n"/>
      <c r="AB803" s="281" t="inlineStr">
        <is>
          <t>ES11 0081 7069 2700 0122 7724</t>
        </is>
      </c>
      <c r="AC803" s="278" t="inlineStr">
        <is>
          <t>pendiente</t>
        </is>
      </c>
      <c r="AD803" s="280">
        <f>L803+N803+P803+R803+T803+V803+X803+Z803</f>
        <v/>
      </c>
      <c r="AE803" s="280">
        <f>IF((LEFT(K803,6))="Contab",L803,0)</f>
        <v/>
      </c>
      <c r="AF803" s="281">
        <f>VLOOKUP(G803,CLIENTES!B:E,4,FALSE)</f>
        <v/>
      </c>
      <c r="AG803" s="280">
        <f>AF803*AE803</f>
        <v/>
      </c>
      <c r="AH803" s="280">
        <f>AD803*1.21</f>
        <v/>
      </c>
      <c r="AI803" s="284">
        <f>IF(AE803&lt;&gt;0,AG803/AD803,"N/A")</f>
        <v/>
      </c>
      <c r="AJ803" s="280">
        <f>IF(AC803="pendiente",AD803,0)</f>
        <v/>
      </c>
      <c r="AK803" s="278">
        <f>VLOOKUP(G803,CLIENTES!B:D,3,FALSE)</f>
        <v/>
      </c>
    </row>
    <row r="804" ht="15" customFormat="1" customHeight="1" s="278">
      <c r="B804" s="279" t="n"/>
      <c r="C804" s="278" t="inlineStr">
        <is>
          <t>c/ Puente y Pellón 14 - 2G</t>
        </is>
      </c>
      <c r="D804" s="278" t="inlineStr">
        <is>
          <t>Sevilla 41004</t>
        </is>
      </c>
      <c r="E804" s="278" t="inlineStr">
        <is>
          <t>CIF B91938662</t>
        </is>
      </c>
      <c r="F804" s="278" t="inlineStr">
        <is>
          <t>aBalados@abalados.es</t>
        </is>
      </c>
      <c r="G804" s="278" t="inlineStr">
        <is>
          <t>FP LUX REIO PV VALLADOLID, S.L.U.</t>
        </is>
      </c>
      <c r="H804" s="278">
        <f>VLOOKUP($G804,DATOS!$B:$E,2,FALSE)</f>
        <v/>
      </c>
      <c r="I804" s="278">
        <f>VLOOKUP($G804,DATOS!$B:$E,3,FALSE)</f>
        <v/>
      </c>
      <c r="J804" s="278">
        <f>VLOOKUP($G804,DATOS!$B:$E,4,FALSE)</f>
        <v/>
      </c>
      <c r="K804" s="278" t="inlineStr">
        <is>
          <t>O&amp;M Supervision and Management - Additional Service</t>
        </is>
      </c>
      <c r="L804" s="280" t="n"/>
      <c r="N804" s="280" t="n"/>
      <c r="O804" s="278" t="inlineStr">
        <is>
          <t>Puerto Real 1 PV - Cádiz | Spain</t>
        </is>
      </c>
      <c r="P804" s="280" t="n"/>
      <c r="Q804" s="278" t="inlineStr">
        <is>
          <t>Punch List Management</t>
        </is>
      </c>
      <c r="R804" s="280" t="n">
        <v>9025</v>
      </c>
      <c r="S804" s="280" t="inlineStr">
        <is>
          <t>50% at resolution of easy items</t>
        </is>
      </c>
      <c r="T804" s="280" t="n"/>
      <c r="U804" s="280" t="inlineStr">
        <is>
          <t>50% at completion</t>
        </is>
      </c>
      <c r="V804" s="280" t="n"/>
      <c r="X804" s="280" t="n"/>
      <c r="Z804" s="280" t="n"/>
      <c r="AA804" s="280" t="n"/>
      <c r="AB804" s="281" t="inlineStr">
        <is>
          <t>ES11 0081 7069 2700 0122 7724</t>
        </is>
      </c>
      <c r="AC804" s="278" t="inlineStr">
        <is>
          <t>pendiente</t>
        </is>
      </c>
      <c r="AD804" s="280">
        <f>L804+N804+P804+R804+T804+V804+X804+Z804</f>
        <v/>
      </c>
      <c r="AE804" s="280">
        <f>IF((LEFT(K804,6))="Contab",L804,0)</f>
        <v/>
      </c>
      <c r="AF804" s="281">
        <f>VLOOKUP(G804,CLIENTES!B:E,4,FALSE)</f>
        <v/>
      </c>
      <c r="AG804" s="280">
        <f>AF804*AE804</f>
        <v/>
      </c>
      <c r="AH804" s="280">
        <f>AD804*1.21</f>
        <v/>
      </c>
      <c r="AI804" s="284">
        <f>IF(AE804&lt;&gt;0,AG804/AD804,"N/A")</f>
        <v/>
      </c>
      <c r="AJ804" s="280">
        <f>IF(AC804="pendiente",AD804,0)</f>
        <v/>
      </c>
      <c r="AK804" s="278">
        <f>VLOOKUP(G804,CLIENTES!B:D,3,FALSE)</f>
        <v/>
      </c>
    </row>
    <row r="805" ht="15" customFormat="1" customHeight="1" s="278">
      <c r="B805" s="279" t="n"/>
      <c r="C805" s="278" t="inlineStr">
        <is>
          <t>c/ Las Cruzadas 3A, local D</t>
        </is>
      </c>
      <c r="D805" s="278" t="inlineStr">
        <is>
          <t>Sevilla 41004</t>
        </is>
      </c>
      <c r="E805" s="278" t="inlineStr">
        <is>
          <t>CIF B91938662</t>
        </is>
      </c>
      <c r="G805" s="278" t="inlineStr">
        <is>
          <t>FP LUX REIO PV VALLADOLID, S.L.U.</t>
        </is>
      </c>
      <c r="H805" s="278">
        <f>VLOOKUP($G805,DATOS!$B:$E,2,FALSE)</f>
        <v/>
      </c>
      <c r="I805" s="278">
        <f>VLOOKUP($G805,DATOS!$B:$E,3,FALSE)</f>
        <v/>
      </c>
      <c r="J805" s="278">
        <f>VLOOKUP($G805,DATOS!$B:$E,4,FALSE)</f>
        <v/>
      </c>
      <c r="K805" s="278" t="inlineStr">
        <is>
          <t>Refacturación gastos y/o servicios prestados a nombre de la sociedad</t>
        </is>
      </c>
      <c r="L805" s="280" t="n"/>
      <c r="M805" s="278" t="inlineStr">
        <is>
          <t>Jofran Mensajeros S.L. - Envíos de documentación</t>
        </is>
      </c>
      <c r="N805" s="280" t="n">
        <v>6.17</v>
      </c>
      <c r="P805" s="280" t="n"/>
      <c r="R805" s="280" t="n"/>
      <c r="T805" s="280" t="n"/>
      <c r="V805" s="280" t="n"/>
      <c r="X805" s="280" t="n"/>
      <c r="Z805" s="280" t="n"/>
      <c r="AA805" s="280" t="n"/>
      <c r="AB805" s="281" t="inlineStr">
        <is>
          <t>ES11 0081 7069 2700 0122 7724</t>
        </is>
      </c>
      <c r="AC805" s="278" t="inlineStr">
        <is>
          <t>pendiente</t>
        </is>
      </c>
      <c r="AD805" s="280">
        <f>L805+N805+P805+R805+T805+V805+X805+Z805</f>
        <v/>
      </c>
      <c r="AE805" s="280">
        <f>IF((LEFT(K805,6))="Contab",L805,0)</f>
        <v/>
      </c>
      <c r="AF805" s="281">
        <f>VLOOKUP(G805,CLIENTES!B:E,4,FALSE)</f>
        <v/>
      </c>
      <c r="AG805" s="280">
        <f>AF805*AE805</f>
        <v/>
      </c>
      <c r="AH805" s="280">
        <f>AD805*1.21</f>
        <v/>
      </c>
      <c r="AI805" s="284">
        <f>IF(AE805&lt;&gt;0,AG805/AD805,"N/A")</f>
        <v/>
      </c>
      <c r="AJ805" s="280">
        <f>IF(AC805="pendiente",AD805,0)</f>
        <v/>
      </c>
      <c r="AK805" s="278">
        <f>VLOOKUP(G805,CLIENTES!B:D,3,FALSE)</f>
        <v/>
      </c>
    </row>
    <row r="806" ht="15" customFormat="1" customHeight="1" s="192">
      <c r="B806" s="199" t="n"/>
      <c r="C806" s="192" t="inlineStr">
        <is>
          <t>c/ Las Cruzadas 3A, local D</t>
        </is>
      </c>
      <c r="D806" s="192" t="inlineStr">
        <is>
          <t>Sevilla 41004</t>
        </is>
      </c>
      <c r="E806" s="192" t="inlineStr">
        <is>
          <t>CIF B91938662</t>
        </is>
      </c>
      <c r="F806" s="192" t="inlineStr">
        <is>
          <t>aBalados@abalados.es</t>
        </is>
      </c>
      <c r="G806" s="192" t="inlineStr">
        <is>
          <t>FP LUX REIO PV VALLADOLID, S.L.U.</t>
        </is>
      </c>
      <c r="H806" s="192">
        <f>VLOOKUP($G806,DATOS!$B:$E,2,FALSE)</f>
        <v/>
      </c>
      <c r="I806" s="192">
        <f>VLOOKUP($G806,DATOS!$B:$E,3,FALSE)</f>
        <v/>
      </c>
      <c r="J806" s="192">
        <f>VLOOKUP($G806,DATOS!$B:$E,4,FALSE)</f>
        <v/>
      </c>
      <c r="K806" s="192" t="inlineStr">
        <is>
          <t>Extraordinary Legal Services for "Entidad 2"</t>
        </is>
      </c>
      <c r="L806" s="200" t="n"/>
      <c r="M806" s="192" t="inlineStr">
        <is>
          <t>(EVACUACIÓN LIQUESUN, S.L.)</t>
        </is>
      </c>
      <c r="N806" s="200" t="n"/>
      <c r="P806" s="200" t="n"/>
      <c r="Q806" s="192" t="inlineStr">
        <is>
          <t>ii) Public registration</t>
        </is>
      </c>
      <c r="R806" s="200" t="n">
        <v>500</v>
      </c>
      <c r="S806" s="192" t="inlineStr">
        <is>
          <t xml:space="preserve">    a. Notarization of Partnership Agreement &amp; Bylaws</t>
        </is>
      </c>
      <c r="T806" s="200" t="n"/>
      <c r="U806" s="192" t="inlineStr">
        <is>
          <t xml:space="preserve">    b. Registering the Deed of Constitution and Bylaws</t>
        </is>
      </c>
      <c r="V806" s="200" t="n"/>
      <c r="X806" s="200" t="n"/>
      <c r="Z806" s="200" t="n"/>
      <c r="AA806" s="200" t="n"/>
      <c r="AB806" s="201" t="inlineStr">
        <is>
          <t>ES11 0081 7069 2700 0122 7724</t>
        </is>
      </c>
      <c r="AC806" s="192" t="inlineStr">
        <is>
          <t>pendiente</t>
        </is>
      </c>
      <c r="AD806" s="200">
        <f>L806+N806+P806+R806+T806+V806+X806+Z806</f>
        <v/>
      </c>
      <c r="AE806" s="200">
        <f>IF((LEFT(K806,4))="Cont",N806,0)</f>
        <v/>
      </c>
      <c r="AF806" s="201">
        <f>VLOOKUP(G806,CLIENTES!B:E,4,FALSE)</f>
        <v/>
      </c>
      <c r="AG806" s="200">
        <f>AF806*AE806</f>
        <v/>
      </c>
      <c r="AH806" s="200">
        <f>AD806*1.21</f>
        <v/>
      </c>
      <c r="AI806" s="283">
        <f>IF(AE806&lt;&gt;0,AG806/AD806,"N/A")</f>
        <v/>
      </c>
      <c r="AJ806" s="200">
        <f>IF(AC806="pendiente",AD806,0)</f>
        <v/>
      </c>
      <c r="AK806" s="192">
        <f>VLOOKUP(G806,CLIENTES!B:D,3,FALSE)</f>
        <v/>
      </c>
    </row>
    <row r="807" ht="15" customFormat="1" customHeight="1" s="278">
      <c r="A807" s="195" t="n"/>
      <c r="B807" s="279" t="n"/>
      <c r="C807" s="278" t="inlineStr">
        <is>
          <t>c/ Las Cruzadas 3A, local D</t>
        </is>
      </c>
      <c r="D807" s="278" t="inlineStr">
        <is>
          <t>Sevilla 41004</t>
        </is>
      </c>
      <c r="E807" s="278" t="inlineStr">
        <is>
          <t>CIF B91938662</t>
        </is>
      </c>
      <c r="F807" s="278" t="inlineStr">
        <is>
          <t>aBalados@abalados.es</t>
        </is>
      </c>
      <c r="G807" s="278" t="inlineStr">
        <is>
          <t>FP LUX REIO PV VALLADOLID, S.L.U.</t>
        </is>
      </c>
      <c r="H807" s="278">
        <f>VLOOKUP($G807,DATOS!$B:$E,2,FALSE)</f>
        <v/>
      </c>
      <c r="I807" s="278">
        <f>VLOOKUP($G807,DATOS!$B:$E,3,FALSE)</f>
        <v/>
      </c>
      <c r="J807" s="278">
        <f>VLOOKUP($G807,DATOS!$B:$E,4,FALSE)</f>
        <v/>
      </c>
      <c r="K807" s="278" t="inlineStr">
        <is>
          <t xml:space="preserve">Technical Advisory - PSFV Las Cabezas de San Juan </t>
        </is>
      </c>
      <c r="L807" s="280" t="n"/>
      <c r="M807" s="278" t="inlineStr">
        <is>
          <t>Inspección y análisis de Strings  (Pedido Ref. 4500002080)</t>
        </is>
      </c>
      <c r="N807" s="280" t="n">
        <v>4500</v>
      </c>
      <c r="P807" s="280" t="n"/>
      <c r="R807" s="280" t="n"/>
      <c r="S807" s="278" t="inlineStr">
        <is>
          <t>Según propuesta del 11 de octubre de 2022</t>
        </is>
      </c>
      <c r="T807" s="280" t="n"/>
      <c r="V807" s="280" t="n"/>
      <c r="X807" s="280" t="n"/>
      <c r="Z807" s="280" t="n"/>
      <c r="AA807" s="280" t="n"/>
      <c r="AB807" s="281" t="inlineStr">
        <is>
          <t>ES11 0081 7069 2700 0122 7724</t>
        </is>
      </c>
      <c r="AC807" s="278" t="inlineStr">
        <is>
          <t>pendiente</t>
        </is>
      </c>
      <c r="AD807" s="280">
        <f>L807+N807+P807+R807+T807+V807+X807+Z807</f>
        <v/>
      </c>
      <c r="AE807" s="280">
        <f>IF((LEFT(K807,6))="Contab",L807,0)</f>
        <v/>
      </c>
      <c r="AF807" s="281" t="n">
        <v>0</v>
      </c>
      <c r="AG807" s="280">
        <f>AF807*AE807</f>
        <v/>
      </c>
      <c r="AH807" s="280">
        <f>AD807*1.21</f>
        <v/>
      </c>
      <c r="AI807" s="284">
        <f>IF(AE807&lt;&gt;0,AG807/AD807,"N/A")</f>
        <v/>
      </c>
      <c r="AJ807" s="280">
        <f>IF(AC807="pendiente",AD807,0)</f>
        <v/>
      </c>
      <c r="AK807" s="278">
        <f>VLOOKUP(G807,CLIENTES!B:D,3,FALSE)</f>
        <v/>
      </c>
    </row>
    <row r="808" ht="15" customFormat="1" customHeight="1" s="278">
      <c r="B808" s="279" t="n"/>
      <c r="C808" s="278" t="inlineStr">
        <is>
          <t>c/ Puente y Pellón 14 - 2G</t>
        </is>
      </c>
      <c r="D808" s="278" t="inlineStr">
        <is>
          <t>Sevilla 41004</t>
        </is>
      </c>
      <c r="E808" s="278" t="inlineStr">
        <is>
          <t>CIF B91938662</t>
        </is>
      </c>
      <c r="F808" s="278" t="inlineStr">
        <is>
          <t>aBalados@abalados.es</t>
        </is>
      </c>
      <c r="G808" s="278" t="inlineStr">
        <is>
          <t>FP LUX REIO PV VALLADOLID, S.L.U.</t>
        </is>
      </c>
      <c r="H808" s="278">
        <f>VLOOKUP($G808,DATOS!$B:$E,2,FALSE)</f>
        <v/>
      </c>
      <c r="I808" s="278">
        <f>VLOOKUP($G808,DATOS!$B:$E,3,FALSE)</f>
        <v/>
      </c>
      <c r="J808" s="278">
        <f>VLOOKUP($G808,DATOS!$B:$E,4,FALSE)</f>
        <v/>
      </c>
      <c r="K808" s="278" t="inlineStr">
        <is>
          <t xml:space="preserve">Operation &amp; Maintenance - PSFV Las Cabezas de San Juan </t>
        </is>
      </c>
      <c r="L808" s="280" t="n"/>
      <c r="M808" s="278" t="inlineStr">
        <is>
          <t>Diagnosis y subsanación de defectos en Stringbox MIII-P14-CS2</t>
        </is>
      </c>
      <c r="N808" s="280" t="n">
        <v>2600</v>
      </c>
      <c r="O808" s="278" t="inlineStr">
        <is>
          <t>(Pedido Ref. 4500002602)</t>
        </is>
      </c>
      <c r="P808" s="280" t="n"/>
      <c r="Q808" s="278" t="inlineStr">
        <is>
          <t xml:space="preserve">   · 6 horas de ingeniero</t>
        </is>
      </c>
      <c r="R808" s="280" t="n"/>
      <c r="S808" s="278" t="inlineStr">
        <is>
          <t xml:space="preserve">   · 12 horas de técnico de campo</t>
        </is>
      </c>
      <c r="T808" s="280" t="n"/>
      <c r="V808" s="280" t="n"/>
      <c r="X808" s="280" t="n"/>
      <c r="Z808" s="280" t="n"/>
      <c r="AA808" s="280" t="n"/>
      <c r="AB808" s="281" t="inlineStr">
        <is>
          <t>ES11 0081 7069 2700 0122 7724</t>
        </is>
      </c>
      <c r="AC808" s="278" t="inlineStr">
        <is>
          <t>pendiente</t>
        </is>
      </c>
      <c r="AD808" s="280">
        <f>L808+N808+P808+R808+T808+V808+X808+Z808</f>
        <v/>
      </c>
      <c r="AE808" s="280">
        <f>IF((LEFT(K808,6))="Contab",L808,0)</f>
        <v/>
      </c>
      <c r="AF808" s="281">
        <f>VLOOKUP(G808,CLIENTES!B:E,4,FALSE)</f>
        <v/>
      </c>
      <c r="AG808" s="280">
        <f>AF808*AE808</f>
        <v/>
      </c>
      <c r="AH808" s="280">
        <f>AD808*1.21</f>
        <v/>
      </c>
      <c r="AI808" s="284">
        <f>IF(AE808&lt;&gt;0,AG808/AD808,"N/A")</f>
        <v/>
      </c>
      <c r="AJ808" s="280">
        <f>IF(AC808="pendiente",AD808,0)</f>
        <v/>
      </c>
      <c r="AK808" s="278">
        <f>VLOOKUP(G808,CLIENTES!B:D,3,FALSE)</f>
        <v/>
      </c>
    </row>
    <row r="809" ht="15" customFormat="1" customHeight="1" s="192">
      <c r="B809" s="199" t="n"/>
      <c r="C809" s="192" t="inlineStr">
        <is>
          <t>c/ Las Cruzadas 3A, local D</t>
        </is>
      </c>
      <c r="D809" s="192" t="inlineStr">
        <is>
          <t>Sevilla 41004</t>
        </is>
      </c>
      <c r="E809" s="192" t="inlineStr">
        <is>
          <t>CIF B91938662</t>
        </is>
      </c>
      <c r="F809" s="192" t="inlineStr">
        <is>
          <t>aBalados@abalados.es</t>
        </is>
      </c>
      <c r="G809" s="192" t="inlineStr">
        <is>
          <t>FP LUX REIO PV VALLADOLID, S.L.U.</t>
        </is>
      </c>
      <c r="H809" s="192">
        <f>VLOOKUP($G809,DATOS!$B:$E,2,FALSE)</f>
        <v/>
      </c>
      <c r="I809" s="192">
        <f>VLOOKUP($G809,DATOS!$B:$E,3,FALSE)</f>
        <v/>
      </c>
      <c r="J809" s="192">
        <f>VLOOKUP($G809,DATOS!$B:$E,4,FALSE)</f>
        <v/>
      </c>
      <c r="K809" s="192" t="inlineStr">
        <is>
          <t xml:space="preserve">Operation &amp; Maintenance - PSFV Las Cabezas de San Juan </t>
        </is>
      </c>
      <c r="L809" s="200" t="n"/>
      <c r="M809" s="192" t="inlineStr">
        <is>
          <t>Diagnosis y subsanación de strings y stringboxes - Oferta 0802 (08/02/2023)</t>
        </is>
      </c>
      <c r="N809" s="200" t="n"/>
      <c r="O809" s="192" t="inlineStr">
        <is>
          <t>(Pedido Ref. 4500002603)</t>
        </is>
      </c>
      <c r="P809" s="200" t="n"/>
      <c r="R809" s="200" t="n"/>
      <c r="S809" s="192" t="inlineStr">
        <is>
          <t xml:space="preserve">   · MILESTONE1: Completion of Method of Statements and preliminary works.</t>
        </is>
      </c>
      <c r="T809" s="200" t="n">
        <v>10400</v>
      </c>
      <c r="U809" s="192" t="inlineStr">
        <is>
          <t xml:space="preserve">   · MILESTONE2: Completion of 50% of repaired strings.</t>
        </is>
      </c>
      <c r="V809" s="200" t="n">
        <v>20800</v>
      </c>
      <c r="W809" s="192" t="inlineStr">
        <is>
          <t xml:space="preserve">   · MILESTONE3: Completion of 100% of repaired strings.</t>
        </is>
      </c>
      <c r="X809" s="200" t="n">
        <v>20800</v>
      </c>
      <c r="Z809" s="200" t="n"/>
      <c r="AA809" s="200" t="n"/>
      <c r="AB809" s="201" t="inlineStr">
        <is>
          <t>ES11 0081 7069 2700 0122 7724</t>
        </is>
      </c>
      <c r="AC809" s="192" t="inlineStr">
        <is>
          <t>pendiente</t>
        </is>
      </c>
      <c r="AD809" s="200">
        <f>L809+N809+P809+R809+T809+V809+X809+Z809</f>
        <v/>
      </c>
      <c r="AE809" s="200">
        <f>IF((LEFT(K809,6))="Contab",L809,0)</f>
        <v/>
      </c>
      <c r="AF809" s="201">
        <f>VLOOKUP(G809,CLIENTES!B:E,4,FALSE)</f>
        <v/>
      </c>
      <c r="AG809" s="200">
        <f>AF809*AE809</f>
        <v/>
      </c>
      <c r="AH809" s="200">
        <f>AD809*1.21</f>
        <v/>
      </c>
      <c r="AI809" s="283">
        <f>IF(AE809&lt;&gt;0,AG809/AD809,"N/A")</f>
        <v/>
      </c>
      <c r="AJ809" s="200">
        <f>IF(AC809="pendiente",AD809,0)</f>
        <v/>
      </c>
      <c r="AK809" s="192">
        <f>VLOOKUP(G809,CLIENTES!B:D,3,FALSE)</f>
        <v/>
      </c>
    </row>
    <row r="810" ht="15" customFormat="1" customHeight="1" s="189">
      <c r="B810" s="188" t="n"/>
      <c r="C810" s="192" t="inlineStr">
        <is>
          <t>c/ Las Cruzadas 3A, local D</t>
        </is>
      </c>
      <c r="D810" s="189" t="inlineStr">
        <is>
          <t>Sevilla 41004</t>
        </is>
      </c>
      <c r="E810" s="189" t="inlineStr">
        <is>
          <t>CIF B91938662</t>
        </is>
      </c>
      <c r="F810" s="189" t="inlineStr">
        <is>
          <t>aBalados@abalados.es</t>
        </is>
      </c>
      <c r="G810" s="189" t="inlineStr">
        <is>
          <t>FP LUX REIO PV VALLADOLID, S.L.U.</t>
        </is>
      </c>
      <c r="H810" s="189">
        <f>VLOOKUP($G810,DATOS!$B:$E,2,FALSE)</f>
        <v/>
      </c>
      <c r="I810" s="189">
        <f>VLOOKUP($G810,DATOS!$B:$E,3,FALSE)</f>
        <v/>
      </c>
      <c r="J810" s="189">
        <f>VLOOKUP($G810,DATOS!$B:$E,4,FALSE)</f>
        <v/>
      </c>
      <c r="K810" s="189" t="inlineStr">
        <is>
          <t>Technical Advisory - Bargas PV</t>
        </is>
      </c>
      <c r="L810" s="190" t="n"/>
      <c r="M810" s="189" t="inlineStr">
        <is>
          <t>Consultancy services for FAC</t>
        </is>
      </c>
      <c r="N810" s="190" t="n"/>
      <c r="P810" s="190" t="n"/>
      <c r="Q810" s="189" t="inlineStr">
        <is>
          <t>Technical Audit</t>
        </is>
      </c>
      <c r="R810" s="190" t="n">
        <v>4500</v>
      </c>
      <c r="S810" s="189" t="inlineStr">
        <is>
          <t>Additional site visit (December 14th)</t>
        </is>
      </c>
      <c r="T810" s="190" t="n">
        <v>850</v>
      </c>
      <c r="U810" s="189" t="inlineStr">
        <is>
          <t>Additional site visit (March 28th)</t>
        </is>
      </c>
      <c r="V810" s="190" t="n">
        <v>950</v>
      </c>
      <c r="W810" s="189" t="inlineStr">
        <is>
          <t>Additional analysis on historical data</t>
        </is>
      </c>
      <c r="X810" s="190" t="n">
        <v>1800</v>
      </c>
      <c r="Z810" s="190" t="n"/>
      <c r="AA810" s="190" t="n"/>
      <c r="AB810" s="191" t="inlineStr">
        <is>
          <t>ES11 0081 7069 2700 0122 7724</t>
        </is>
      </c>
      <c r="AC810" s="189" t="inlineStr">
        <is>
          <t>pendiente</t>
        </is>
      </c>
      <c r="AD810" s="190">
        <f>L810+N810+P810+R810+T810+V810+X810+Z810</f>
        <v/>
      </c>
      <c r="AE810" s="190">
        <f>IF((LEFT(K810,6))="Contab",L810,0)</f>
        <v/>
      </c>
      <c r="AF810" s="191">
        <f>VLOOKUP(G810,CLIENTES!B:E,4,FALSE)</f>
        <v/>
      </c>
      <c r="AG810" s="190">
        <f>AF810*AE810</f>
        <v/>
      </c>
      <c r="AH810" s="190">
        <f>AD810*1.21</f>
        <v/>
      </c>
      <c r="AI810" s="289">
        <f>IF(AE810&lt;&gt;0,AG810/AD810,"N/A")</f>
        <v/>
      </c>
      <c r="AJ810" s="190">
        <f>IF(AC810="pendiente",AD810,0)</f>
        <v/>
      </c>
      <c r="AK810" s="189">
        <f>VLOOKUP(G810,CLIENTES!B:D,3,FALSE)</f>
        <v/>
      </c>
    </row>
    <row r="811" ht="15" customFormat="1" customHeight="1" s="192">
      <c r="B811" s="199" t="n"/>
      <c r="C811" s="192" t="inlineStr">
        <is>
          <t>c/ Las Cruzadas 3A, local D</t>
        </is>
      </c>
      <c r="D811" s="192" t="inlineStr">
        <is>
          <t>Sevilla 41004</t>
        </is>
      </c>
      <c r="E811" s="192" t="inlineStr">
        <is>
          <t>CIF B91938662</t>
        </is>
      </c>
      <c r="F811" s="192" t="inlineStr">
        <is>
          <t>aBalados@abalados.es</t>
        </is>
      </c>
      <c r="G811" s="192" t="inlineStr">
        <is>
          <t>FP LUX REIO PV VALLADOLID, S.L.U.</t>
        </is>
      </c>
      <c r="H811" s="192">
        <f>VLOOKUP($G811,DATOS!$B:$E,2,FALSE)</f>
        <v/>
      </c>
      <c r="I811" s="192">
        <f>VLOOKUP($G811,DATOS!$B:$E,3,FALSE)</f>
        <v/>
      </c>
      <c r="J811" s="192">
        <f>VLOOKUP($G811,DATOS!$B:$E,4,FALSE)</f>
        <v/>
      </c>
      <c r="K811" s="192" t="inlineStr">
        <is>
          <t>Operation &amp; Maintenance - PSFV Aguadulce</t>
        </is>
      </c>
      <c r="L811" s="200" t="n"/>
      <c r="M811" s="192" t="inlineStr">
        <is>
          <t>Revamping 100kW - Oferta 2302 (05/04/2023)</t>
        </is>
      </c>
      <c r="N811" s="200" t="n">
        <v>7705</v>
      </c>
      <c r="O811" s="192" t="inlineStr">
        <is>
          <t>(Pedido Ref. 4500002604)</t>
        </is>
      </c>
      <c r="P811" s="200" t="n"/>
      <c r="R811" s="200" t="n"/>
      <c r="S811" s="192" t="inlineStr">
        <is>
          <t xml:space="preserve">   · Mano de obra para la ejecución.</t>
        </is>
      </c>
      <c r="T811" s="200" t="n"/>
      <c r="U811" s="192" t="inlineStr">
        <is>
          <t xml:space="preserve">   · Suministro estructura soporte.</t>
        </is>
      </c>
      <c r="V811" s="200" t="n"/>
      <c r="W811" s="192" t="inlineStr">
        <is>
          <t xml:space="preserve">   · Suministro pequeño material.</t>
        </is>
      </c>
      <c r="X811" s="200" t="n"/>
      <c r="Z811" s="200" t="n"/>
      <c r="AA811" s="200" t="n"/>
      <c r="AB811" s="201" t="inlineStr">
        <is>
          <t>ES11 0081 7069 2700 0122 7724</t>
        </is>
      </c>
      <c r="AC811" s="192" t="inlineStr">
        <is>
          <t>pendiente</t>
        </is>
      </c>
      <c r="AD811" s="200">
        <f>L811+N811+P811+R811+T811+V811+X811+Z811</f>
        <v/>
      </c>
      <c r="AE811" s="200">
        <f>IF((LEFT(K811,6))="Contab",L811,0)</f>
        <v/>
      </c>
      <c r="AF811" s="201">
        <f>VLOOKUP(G811,CLIENTES!B:E,4,FALSE)</f>
        <v/>
      </c>
      <c r="AG811" s="200">
        <f>AF811*AE811</f>
        <v/>
      </c>
      <c r="AH811" s="200">
        <f>AD811*1.21</f>
        <v/>
      </c>
      <c r="AI811" s="283">
        <f>IF(AE811&lt;&gt;0,AG811/AD811,"N/A")</f>
        <v/>
      </c>
      <c r="AJ811" s="200">
        <f>IF(AC811="pendiente",AD811,0)</f>
        <v/>
      </c>
      <c r="AK811" s="192">
        <f>VLOOKUP(G811,CLIENTES!B:D,3,FALSE)</f>
        <v/>
      </c>
    </row>
    <row r="812" ht="15" customFormat="1" customHeight="1" s="278">
      <c r="B812" s="279" t="n"/>
      <c r="C812" s="278" t="inlineStr">
        <is>
          <t>c/ Las Cruzadas 3A, local D</t>
        </is>
      </c>
      <c r="D812" s="278" t="inlineStr">
        <is>
          <t>Sevilla 41004</t>
        </is>
      </c>
      <c r="E812" s="278" t="inlineStr">
        <is>
          <t>CIF B91938662</t>
        </is>
      </c>
      <c r="F812" s="278" t="inlineStr">
        <is>
          <t>aBalados@abalados.es</t>
        </is>
      </c>
      <c r="G812" s="278" t="inlineStr">
        <is>
          <t>FP LUX REIO PV VALLADOLID, S.L.U.</t>
        </is>
      </c>
      <c r="H812" s="278">
        <f>VLOOKUP($G812,DATOS!$B:$E,2,FALSE)</f>
        <v/>
      </c>
      <c r="I812" s="278">
        <f>VLOOKUP($G812,DATOS!$B:$E,3,FALSE)</f>
        <v/>
      </c>
      <c r="J812" s="278">
        <f>VLOOKUP($G812,DATOS!$B:$E,4,FALSE)</f>
        <v/>
      </c>
      <c r="K812" s="278" t="inlineStr">
        <is>
          <t>Contabilidad y Fiscalidad de proyecto Valverde - 2º Trimestre</t>
        </is>
      </c>
      <c r="L812" s="280">
        <f>'Tarifa 2025'!$D$5/4</f>
        <v/>
      </c>
      <c r="M812" s="278" t="inlineStr">
        <is>
          <t>SPV Management  Proyecto Valverde - 2º Trimestre</t>
        </is>
      </c>
      <c r="N812" s="280">
        <f>'Tarifa 2025'!$F$5/4</f>
        <v/>
      </c>
      <c r="O812" s="278" t="inlineStr">
        <is>
          <t>O&amp;M Management Proyecto Valverde - 2º Trimestre</t>
        </is>
      </c>
      <c r="P812" s="280">
        <f>'Tarifa 2025'!$H$5/4</f>
        <v/>
      </c>
      <c r="Q812" s="278" t="inlineStr">
        <is>
          <t>Consultoría - 2º Trimestre</t>
        </is>
      </c>
      <c r="R812" s="280" t="n">
        <v>248.8890120829644</v>
      </c>
      <c r="T812" s="280" t="n"/>
      <c r="V812" s="280" t="n"/>
      <c r="X812" s="280" t="n"/>
      <c r="Y812" s="278" t="inlineStr">
        <is>
          <t>Gastos derivados de contrato (3,5%)</t>
        </is>
      </c>
      <c r="Z812" s="280">
        <f>(L812+N812+P812+R812+T812+V812+X812)*0.035</f>
        <v/>
      </c>
      <c r="AA812" s="280" t="n"/>
      <c r="AB812" s="281" t="inlineStr">
        <is>
          <t>ES11 0081 7069 2700 0122 7724</t>
        </is>
      </c>
      <c r="AC812" s="278" t="inlineStr">
        <is>
          <t>pendiente</t>
        </is>
      </c>
      <c r="AD812" s="280">
        <f>L812+N812+P812+R812+T812+V812+X812+Z812</f>
        <v/>
      </c>
      <c r="AE812" s="280">
        <f>IF((LEFT(K812,6))="Contab",L812,0)</f>
        <v/>
      </c>
      <c r="AF812" s="281">
        <f>VLOOKUP(G812,CLIENTES!B:E,4,FALSE)</f>
        <v/>
      </c>
      <c r="AG812" s="280">
        <f>AF812*AE812</f>
        <v/>
      </c>
      <c r="AH812" s="280">
        <f>AD812*1.21</f>
        <v/>
      </c>
      <c r="AI812" s="282">
        <f>IF(AE812&lt;&gt;0,AG812/AD812,"N/A")</f>
        <v/>
      </c>
      <c r="AJ812" s="280">
        <f>IF(AC812="pendiente",AD812,0)</f>
        <v/>
      </c>
      <c r="AK812" s="278">
        <f>VLOOKUP(G812,CLIENTES!B:D,3,FALSE)</f>
        <v/>
      </c>
    </row>
    <row r="813" ht="15" customFormat="1" customHeight="1" s="278">
      <c r="B813" s="279" t="n"/>
      <c r="C813" s="278" t="inlineStr">
        <is>
          <t>c/ Las Cruzadas 3A, local D</t>
        </is>
      </c>
      <c r="D813" s="278" t="inlineStr">
        <is>
          <t>Sevilla 41004</t>
        </is>
      </c>
      <c r="E813" s="278" t="inlineStr">
        <is>
          <t>CIF B91938662</t>
        </is>
      </c>
      <c r="F813" s="278" t="inlineStr">
        <is>
          <t>aBalados@abalados.es</t>
        </is>
      </c>
      <c r="G813" s="278" t="inlineStr">
        <is>
          <t>FP LUX REIO PV VALLADOLID, S.L.U.</t>
        </is>
      </c>
      <c r="H813" s="278">
        <f>VLOOKUP($G813,DATOS!$B:$E,2,FALSE)</f>
        <v/>
      </c>
      <c r="I813" s="278">
        <f>VLOOKUP($G813,DATOS!$B:$E,3,FALSE)</f>
        <v/>
      </c>
      <c r="J813" s="278">
        <f>VLOOKUP($G813,DATOS!$B:$E,4,FALSE)</f>
        <v/>
      </c>
      <c r="K813" s="278" t="inlineStr">
        <is>
          <t>Contabilidad y Fiscalidad de proyecto Castuera - 2º Trimestre</t>
        </is>
      </c>
      <c r="L813" s="280">
        <f>'Tarifa 2025'!$D$6/4</f>
        <v/>
      </c>
      <c r="M813" s="278" t="inlineStr">
        <is>
          <t>SPV Management  Proyecto Castuera - 2º Trimestre</t>
        </is>
      </c>
      <c r="N813" s="280">
        <f>'Tarifa 2025'!$F$6/4</f>
        <v/>
      </c>
      <c r="O813" s="278" t="inlineStr">
        <is>
          <t>O&amp;M Management Proyecto Castuera - 2º Trimestre</t>
        </is>
      </c>
      <c r="P813" s="280">
        <f>'Tarifa 2025'!$H$6/4</f>
        <v/>
      </c>
      <c r="Q813" s="278" t="inlineStr">
        <is>
          <t>Consultoría - 2º Trimestre</t>
        </is>
      </c>
      <c r="R813" s="280" t="n">
        <v>159.2906320256815</v>
      </c>
      <c r="T813" s="280" t="n"/>
      <c r="V813" s="280" t="n"/>
      <c r="X813" s="280" t="n"/>
      <c r="Y813" s="278" t="inlineStr">
        <is>
          <t>Gastos derivados de contrato (3,5%)</t>
        </is>
      </c>
      <c r="Z813" s="280">
        <f>(L813+N813+P813+R813+T813+V813+X813)*0.035</f>
        <v/>
      </c>
      <c r="AA813" s="280" t="n"/>
      <c r="AB813" s="281" t="inlineStr">
        <is>
          <t>ES11 0081 7069 2700 0122 7724</t>
        </is>
      </c>
      <c r="AC813" s="278" t="inlineStr">
        <is>
          <t>pendiente</t>
        </is>
      </c>
      <c r="AD813" s="280">
        <f>L813+N813+P813+R813+T813+V813+X813+Z813</f>
        <v/>
      </c>
      <c r="AE813" s="280">
        <f>IF((LEFT(K813,6))="Contab",L813,0)</f>
        <v/>
      </c>
      <c r="AF813" s="281">
        <f>VLOOKUP(G813,CLIENTES!B:E,4,FALSE)</f>
        <v/>
      </c>
      <c r="AG813" s="280">
        <f>AF813*AE813</f>
        <v/>
      </c>
      <c r="AH813" s="280">
        <f>AD813*1.21</f>
        <v/>
      </c>
      <c r="AI813" s="282">
        <f>IF(AE813&lt;&gt;0,AG813/AD813,"N/A")</f>
        <v/>
      </c>
      <c r="AJ813" s="280">
        <f>IF(AC813="pendiente",AD813,0)</f>
        <v/>
      </c>
      <c r="AK813" s="278">
        <f>VLOOKUP(G813,CLIENTES!B:D,3,FALSE)</f>
        <v/>
      </c>
    </row>
    <row r="814" ht="15" customFormat="1" customHeight="1" s="278">
      <c r="B814" s="279" t="n"/>
      <c r="C814" s="278" t="inlineStr">
        <is>
          <t>c/ Las Cruzadas 3A, local D</t>
        </is>
      </c>
      <c r="D814" s="278" t="inlineStr">
        <is>
          <t>Sevilla 41004</t>
        </is>
      </c>
      <c r="E814" s="278" t="inlineStr">
        <is>
          <t>CIF B91938662</t>
        </is>
      </c>
      <c r="F814" s="278" t="inlineStr">
        <is>
          <t>aBalados@abalados.es</t>
        </is>
      </c>
      <c r="G814" s="278" t="inlineStr">
        <is>
          <t>FP LUX REIO PV VALLADOLID, S.L.U.</t>
        </is>
      </c>
      <c r="H814" s="278">
        <f>VLOOKUP($G814,DATOS!$B:$E,2,FALSE)</f>
        <v/>
      </c>
      <c r="I814" s="278">
        <f>VLOOKUP($G814,DATOS!$B:$E,3,FALSE)</f>
        <v/>
      </c>
      <c r="J814" s="278">
        <f>VLOOKUP($G814,DATOS!$B:$E,4,FALSE)</f>
        <v/>
      </c>
      <c r="K814" s="278" t="inlineStr">
        <is>
          <t>Contabilidad y Fiscalidad de proyecto Paiporta - 2º Trimestre</t>
        </is>
      </c>
      <c r="L814" s="280">
        <f>'Tarifa 2025'!$D$7/4</f>
        <v/>
      </c>
      <c r="M814" s="278" t="inlineStr">
        <is>
          <t>SPV Management  Proyecto Paiporta - 2º Trimestre</t>
        </is>
      </c>
      <c r="N814" s="280">
        <f>'Tarifa 2025'!$F$7/4</f>
        <v/>
      </c>
      <c r="O814" s="278" t="inlineStr">
        <is>
          <t>O&amp;M Management Proyecto Paiporta - 2º Trimestre</t>
        </is>
      </c>
      <c r="P814" s="280">
        <f>'Tarifa 2025'!$H$7/4</f>
        <v/>
      </c>
      <c r="Q814" s="278" t="inlineStr">
        <is>
          <t>Consultoría - 2º Trimestre</t>
        </is>
      </c>
      <c r="R814" s="280" t="n">
        <v>9.956035995485523</v>
      </c>
      <c r="T814" s="280" t="n"/>
      <c r="V814" s="280" t="n"/>
      <c r="X814" s="280" t="n"/>
      <c r="Y814" s="278" t="inlineStr">
        <is>
          <t>Gastos derivados de contrato (3,5%)</t>
        </is>
      </c>
      <c r="Z814" s="280">
        <f>(L814+N814+P814+R814+T814+V814+X814)*0.035</f>
        <v/>
      </c>
      <c r="AA814" s="280" t="n"/>
      <c r="AB814" s="281" t="inlineStr">
        <is>
          <t>ES11 0081 7069 2700 0122 7724</t>
        </is>
      </c>
      <c r="AC814" s="278" t="inlineStr">
        <is>
          <t>pendiente</t>
        </is>
      </c>
      <c r="AD814" s="280">
        <f>L814+N814+P814+R814+T814+V814+X814+Z814</f>
        <v/>
      </c>
      <c r="AE814" s="280">
        <f>IF((LEFT(K814,6))="Contab",L814,0)</f>
        <v/>
      </c>
      <c r="AF814" s="281">
        <f>VLOOKUP(G814,CLIENTES!B:E,4,FALSE)</f>
        <v/>
      </c>
      <c r="AG814" s="280">
        <f>AF814*AE814</f>
        <v/>
      </c>
      <c r="AH814" s="280">
        <f>AD814*1.21</f>
        <v/>
      </c>
      <c r="AI814" s="282">
        <f>IF(AE814&lt;&gt;0,AG814/AD814,"N/A")</f>
        <v/>
      </c>
      <c r="AJ814" s="280">
        <f>IF(AC814="pendiente",AD814,0)</f>
        <v/>
      </c>
      <c r="AK814" s="278">
        <f>VLOOKUP(G814,CLIENTES!B:D,3,FALSE)</f>
        <v/>
      </c>
    </row>
    <row r="815" ht="15" customFormat="1" customHeight="1" s="278">
      <c r="B815" s="279" t="n"/>
      <c r="C815" s="278" t="inlineStr">
        <is>
          <t>c/ Las Cruzadas 3A, local D</t>
        </is>
      </c>
      <c r="D815" s="278" t="inlineStr">
        <is>
          <t>Sevilla 41004</t>
        </is>
      </c>
      <c r="E815" s="278" t="inlineStr">
        <is>
          <t>CIF B91938662</t>
        </is>
      </c>
      <c r="F815" s="278" t="inlineStr">
        <is>
          <t>aBalados@abalados.es</t>
        </is>
      </c>
      <c r="G815" s="278" t="inlineStr">
        <is>
          <t>FP LUX REIO PV VALLADOLID, S.L.U.</t>
        </is>
      </c>
      <c r="H815" s="278">
        <f>VLOOKUP($G815,DATOS!$B:$E,2,FALSE)</f>
        <v/>
      </c>
      <c r="I815" s="278">
        <f>VLOOKUP($G815,DATOS!$B:$E,3,FALSE)</f>
        <v/>
      </c>
      <c r="J815" s="278">
        <f>VLOOKUP($G815,DATOS!$B:$E,4,FALSE)</f>
        <v/>
      </c>
      <c r="K815" s="278" t="inlineStr">
        <is>
          <t>Contabilidad y Fiscalidad de proyecto Bonaire - 2º Trimestre</t>
        </is>
      </c>
      <c r="L815" s="280">
        <f>'Tarifa 2025'!$D$8/4</f>
        <v/>
      </c>
      <c r="M815" s="278" t="inlineStr">
        <is>
          <t>SPV Management  Proyecto Bonaire - 2º Trimestre</t>
        </is>
      </c>
      <c r="N815" s="280">
        <f>'Tarifa 2025'!$F$8/4</f>
        <v/>
      </c>
      <c r="O815" s="278" t="inlineStr">
        <is>
          <t>O&amp;M Management Proyecto Bonaire - 2º Trimestre</t>
        </is>
      </c>
      <c r="P815" s="280">
        <f>'Tarifa 2025'!$H$8/4</f>
        <v/>
      </c>
      <c r="Q815" s="278" t="inlineStr">
        <is>
          <t>Consultoría - 2º Trimestre</t>
        </is>
      </c>
      <c r="R815" s="280" t="n">
        <v>29.86810798645657</v>
      </c>
      <c r="T815" s="280" t="n"/>
      <c r="V815" s="280" t="n"/>
      <c r="X815" s="280" t="n"/>
      <c r="Y815" s="278" t="inlineStr">
        <is>
          <t>Gastos derivados de contrato (3,5%)</t>
        </is>
      </c>
      <c r="Z815" s="280">
        <f>(L815+N815+P815+R815+T815+V815+X815)*0.035</f>
        <v/>
      </c>
      <c r="AA815" s="280" t="n"/>
      <c r="AB815" s="281" t="inlineStr">
        <is>
          <t>ES11 0081 7069 2700 0122 7724</t>
        </is>
      </c>
      <c r="AC815" s="278" t="inlineStr">
        <is>
          <t>pendiente</t>
        </is>
      </c>
      <c r="AD815" s="280">
        <f>L815+N815+P815+R815+T815+V815+X815+Z815</f>
        <v/>
      </c>
      <c r="AE815" s="280">
        <f>IF((LEFT(K815,6))="Contab",L815,0)</f>
        <v/>
      </c>
      <c r="AF815" s="281">
        <f>VLOOKUP(G815,CLIENTES!B:E,4,FALSE)</f>
        <v/>
      </c>
      <c r="AG815" s="280">
        <f>AF815*AE815</f>
        <v/>
      </c>
      <c r="AH815" s="280">
        <f>AD815*1.21</f>
        <v/>
      </c>
      <c r="AI815" s="282">
        <f>IF(AE815&lt;&gt;0,AG815/AD815,"N/A")</f>
        <v/>
      </c>
      <c r="AJ815" s="280">
        <f>IF(AC815="pendiente",AD815,0)</f>
        <v/>
      </c>
      <c r="AK815" s="278">
        <f>VLOOKUP(G815,CLIENTES!B:D,3,FALSE)</f>
        <v/>
      </c>
    </row>
    <row r="816" ht="15" customFormat="1" customHeight="1" s="278">
      <c r="B816" s="279" t="n"/>
      <c r="C816" s="278" t="inlineStr">
        <is>
          <t>c/ Las Cruzadas 3A, local D</t>
        </is>
      </c>
      <c r="D816" s="278" t="inlineStr">
        <is>
          <t>Sevilla 41004</t>
        </is>
      </c>
      <c r="E816" s="278" t="inlineStr">
        <is>
          <t>CIF B91938662</t>
        </is>
      </c>
      <c r="F816" s="278" t="inlineStr">
        <is>
          <t>aBalados@abalados.es</t>
        </is>
      </c>
      <c r="G816" s="278" t="inlineStr">
        <is>
          <t>FP LUX REIO PV VALLADOLID, S.L.U.</t>
        </is>
      </c>
      <c r="H816" s="278">
        <f>VLOOKUP($G816,DATOS!$B:$E,2,FALSE)</f>
        <v/>
      </c>
      <c r="I816" s="278">
        <f>VLOOKUP($G816,DATOS!$B:$E,3,FALSE)</f>
        <v/>
      </c>
      <c r="J816" s="278">
        <f>VLOOKUP($G816,DATOS!$B:$E,4,FALSE)</f>
        <v/>
      </c>
      <c r="K816" s="278" t="inlineStr">
        <is>
          <t>Contabilidad y Fiscalidad de proyecto Coreses - 2º Trimestre</t>
        </is>
      </c>
      <c r="L816" s="280">
        <f>'Tarifa 2025'!$D$9/4</f>
        <v/>
      </c>
      <c r="M816" s="278" t="inlineStr">
        <is>
          <t>SPV Management  Proyecto Coreses - 2º Trimestre</t>
        </is>
      </c>
      <c r="N816" s="280">
        <f>'Tarifa 2025'!$F$9/4</f>
        <v/>
      </c>
      <c r="O816" s="278" t="inlineStr">
        <is>
          <t>O&amp;M Management Proyecto Coreses - 2º Trimestre</t>
        </is>
      </c>
      <c r="P816" s="280">
        <f>'Tarifa 2025'!$H$9/4</f>
        <v/>
      </c>
      <c r="Q816" s="278" t="inlineStr">
        <is>
          <t>Consultoría - 2º Trimestre</t>
        </is>
      </c>
      <c r="R816" s="280">
        <f>'Tarifa 2025'!$J$9/4</f>
        <v/>
      </c>
      <c r="T816" s="280" t="n"/>
      <c r="V816" s="280" t="n"/>
      <c r="X816" s="280" t="n"/>
      <c r="Y816" s="278" t="inlineStr">
        <is>
          <t>Gastos derivados de contrato (3,5%)</t>
        </is>
      </c>
      <c r="Z816" s="280">
        <f>(L816+N816+P816+R816+T816+V816+X816)*0.035</f>
        <v/>
      </c>
      <c r="AA816" s="280" t="n"/>
      <c r="AB816" s="281" t="inlineStr">
        <is>
          <t>ES11 0081 7069 2700 0122 7724</t>
        </is>
      </c>
      <c r="AC816" s="278" t="inlineStr">
        <is>
          <t>pendiente</t>
        </is>
      </c>
      <c r="AD816" s="280">
        <f>L816+N816+P816+R816+T816+V816+X816+Z816</f>
        <v/>
      </c>
      <c r="AE816" s="280">
        <f>IF((LEFT(K816,6))="Contab",L816,0)</f>
        <v/>
      </c>
      <c r="AF816" s="281">
        <f>VLOOKUP(G816,CLIENTES!B:E,4,FALSE)</f>
        <v/>
      </c>
      <c r="AG816" s="280">
        <f>AF816*AE816</f>
        <v/>
      </c>
      <c r="AH816" s="280">
        <f>AD816*1.21</f>
        <v/>
      </c>
      <c r="AI816" s="282">
        <f>IF(AE816&lt;&gt;0,AG816/AD816,"N/A")</f>
        <v/>
      </c>
      <c r="AJ816" s="280">
        <f>IF(AC816="pendiente",AD816,0)</f>
        <v/>
      </c>
      <c r="AK816" s="278">
        <f>VLOOKUP(G816,CLIENTES!B:D,3,FALSE)</f>
        <v/>
      </c>
    </row>
    <row r="817" ht="15" customFormat="1" customHeight="1" s="278">
      <c r="B817" s="279" t="n"/>
      <c r="C817" s="278" t="inlineStr">
        <is>
          <t>c/ Las Cruzadas 3A, local D</t>
        </is>
      </c>
      <c r="D817" s="278" t="inlineStr">
        <is>
          <t>Sevilla 41004</t>
        </is>
      </c>
      <c r="E817" s="278" t="inlineStr">
        <is>
          <t>CIF B91938662</t>
        </is>
      </c>
      <c r="F817" s="278" t="inlineStr">
        <is>
          <t>aBalados@abalados.es</t>
        </is>
      </c>
      <c r="G817" s="278" t="inlineStr">
        <is>
          <t>FP LUX REIO PV VALLADOLID, S.L.U.</t>
        </is>
      </c>
      <c r="H817" s="278">
        <f>VLOOKUP($G817,DATOS!$B:$E,2,FALSE)</f>
        <v/>
      </c>
      <c r="I817" s="278">
        <f>VLOOKUP($G817,DATOS!$B:$E,3,FALSE)</f>
        <v/>
      </c>
      <c r="J817" s="278">
        <f>VLOOKUP($G817,DATOS!$B:$E,4,FALSE)</f>
        <v/>
      </c>
      <c r="K817" s="278" t="inlineStr">
        <is>
          <t>Contabilidad y Fiscalidad de proyecto Algarrobo I - 2º Trimestre</t>
        </is>
      </c>
      <c r="L817" s="280">
        <f>'Tarifa 2025'!$D$12*1.89/5.49/4</f>
        <v/>
      </c>
      <c r="M817" s="278" t="inlineStr">
        <is>
          <t>SPV Management  Proyecto Algarrobo I -  2º Trimestre</t>
        </is>
      </c>
      <c r="N817" s="280">
        <f>'Tarifa 2025'!$F$12*1.89/5.49/4</f>
        <v/>
      </c>
      <c r="O817" s="278" t="inlineStr">
        <is>
          <t>O&amp;M Management Proyecto Algarrobo I - 2º Trimestre</t>
        </is>
      </c>
      <c r="P817" s="280">
        <f>'Tarifa 2025'!$H$12*1.89/5.49/4</f>
        <v/>
      </c>
      <c r="Q817" s="278" t="inlineStr">
        <is>
          <t>Consultoría - 2º Trimestre</t>
        </is>
      </c>
      <c r="R817" s="280">
        <f>'Tarifas 2016'!$K$12*3*(1.89/(1.89+1.89+1.71))</f>
        <v/>
      </c>
      <c r="T817" s="280" t="n"/>
      <c r="V817" s="280" t="n"/>
      <c r="X817" s="280" t="n"/>
      <c r="Y817" s="278" t="inlineStr">
        <is>
          <t>Gastos derivados de contrato (3,5%)</t>
        </is>
      </c>
      <c r="Z817" s="280">
        <f>(L817+N817+P817+R817+T817+V817+X817)*0.035</f>
        <v/>
      </c>
      <c r="AA817" s="280" t="n"/>
      <c r="AB817" s="281" t="inlineStr">
        <is>
          <t>ES11 0081 7069 2700 0122 7724</t>
        </is>
      </c>
      <c r="AC817" s="278" t="inlineStr">
        <is>
          <t>pendiente</t>
        </is>
      </c>
      <c r="AD817" s="280">
        <f>L817+N817+P817+R817+T817+V817+X817+Z817</f>
        <v/>
      </c>
      <c r="AE817" s="280">
        <f>IF((LEFT(K817,6))="Contab",L817,0)</f>
        <v/>
      </c>
      <c r="AF817" s="281">
        <f>VLOOKUP(G817,CLIENTES!B:E,4,FALSE)</f>
        <v/>
      </c>
      <c r="AG817" s="280">
        <f>AF817*AE817</f>
        <v/>
      </c>
      <c r="AH817" s="280">
        <f>AD817*1.21</f>
        <v/>
      </c>
      <c r="AI817" s="282">
        <f>IF(AE817&lt;&gt;0,AG817/AD817,"N/A")</f>
        <v/>
      </c>
      <c r="AJ817" s="280">
        <f>IF(AC817="pendiente",AD817,0)</f>
        <v/>
      </c>
      <c r="AK817" s="278">
        <f>VLOOKUP(G817,CLIENTES!B:D,3,FALSE)</f>
        <v/>
      </c>
    </row>
    <row r="818" ht="15" customFormat="1" customHeight="1" s="278">
      <c r="B818" s="279" t="n"/>
      <c r="C818" s="278" t="inlineStr">
        <is>
          <t>c/ Las Cruzadas 3A, local D</t>
        </is>
      </c>
      <c r="D818" s="278" t="inlineStr">
        <is>
          <t>Sevilla 41004</t>
        </is>
      </c>
      <c r="E818" s="278" t="inlineStr">
        <is>
          <t>CIF B91938662</t>
        </is>
      </c>
      <c r="F818" s="278" t="inlineStr">
        <is>
          <t>aBalados@abalados.es</t>
        </is>
      </c>
      <c r="G818" s="278" t="inlineStr">
        <is>
          <t>FP LUX REIO PV VALLADOLID, S.L.U.</t>
        </is>
      </c>
      <c r="H818" s="278">
        <f>VLOOKUP($G818,DATOS!$B:$E,2,FALSE)</f>
        <v/>
      </c>
      <c r="I818" s="278">
        <f>VLOOKUP($G818,DATOS!$B:$E,3,FALSE)</f>
        <v/>
      </c>
      <c r="J818" s="278">
        <f>VLOOKUP($G818,DATOS!$B:$E,4,FALSE)</f>
        <v/>
      </c>
      <c r="K818" s="278" t="inlineStr">
        <is>
          <t>Contabilidad y Fiscalidad de proyecto Algarrobo II - 2º Trimestre</t>
        </is>
      </c>
      <c r="L818" s="280">
        <f>'Tarifa 2025'!$D$12*1.89/5.49/4</f>
        <v/>
      </c>
      <c r="M818" s="278" t="inlineStr">
        <is>
          <t>SPV Management  Proyecto Algarrobo II -  2º Trimestre</t>
        </is>
      </c>
      <c r="N818" s="280">
        <f>'Tarifa 2025'!$F$12*1.89/5.49/4</f>
        <v/>
      </c>
      <c r="O818" s="278" t="inlineStr">
        <is>
          <t>O&amp;M Management Proyecto Algarrobo II - 2º Trimestre</t>
        </is>
      </c>
      <c r="P818" s="280">
        <f>'Tarifa 2025'!$H$12*1.89/5.49/4</f>
        <v/>
      </c>
      <c r="Q818" s="278" t="inlineStr">
        <is>
          <t>Consultoría - 2º Trimestre</t>
        </is>
      </c>
      <c r="R818" s="280">
        <f>'Tarifas 2016'!$K$12*3*(1.89/(1.89+1.89+1.71))</f>
        <v/>
      </c>
      <c r="T818" s="280" t="n"/>
      <c r="V818" s="280" t="n"/>
      <c r="X818" s="280" t="n"/>
      <c r="Y818" s="278" t="inlineStr">
        <is>
          <t>Gastos derivados de contrato (3,5%)</t>
        </is>
      </c>
      <c r="Z818" s="280">
        <f>(L818+N818+P818+R818+T818+V818+X818)*0.035</f>
        <v/>
      </c>
      <c r="AA818" s="280" t="n"/>
      <c r="AB818" s="281" t="inlineStr">
        <is>
          <t>ES11 0081 7069 2700 0122 7724</t>
        </is>
      </c>
      <c r="AC818" s="278" t="inlineStr">
        <is>
          <t>pendiente</t>
        </is>
      </c>
      <c r="AD818" s="280">
        <f>L818+N818+P818+R818+T818+V818+X818+Z818</f>
        <v/>
      </c>
      <c r="AE818" s="280">
        <f>IF((LEFT(K818,6))="Contab",L818,0)</f>
        <v/>
      </c>
      <c r="AF818" s="281">
        <f>VLOOKUP(G818,CLIENTES!B:E,4,FALSE)</f>
        <v/>
      </c>
      <c r="AG818" s="280">
        <f>AF818*AE818</f>
        <v/>
      </c>
      <c r="AH818" s="280">
        <f>AD818*1.21</f>
        <v/>
      </c>
      <c r="AI818" s="282">
        <f>IF(AE818&lt;&gt;0,AG818/AD818,"N/A")</f>
        <v/>
      </c>
      <c r="AJ818" s="280">
        <f>IF(AC818="pendiente",AD818,0)</f>
        <v/>
      </c>
      <c r="AK818" s="278">
        <f>VLOOKUP(G818,CLIENTES!B:D,3,FALSE)</f>
        <v/>
      </c>
    </row>
    <row r="819" ht="15" customFormat="1" customHeight="1" s="278">
      <c r="B819" s="279" t="n"/>
      <c r="C819" s="278" t="inlineStr">
        <is>
          <t>c/ Las Cruzadas 3A, local D</t>
        </is>
      </c>
      <c r="D819" s="278" t="inlineStr">
        <is>
          <t>Sevilla 41004</t>
        </is>
      </c>
      <c r="E819" s="278" t="inlineStr">
        <is>
          <t>CIF B91938662</t>
        </is>
      </c>
      <c r="F819" s="278" t="inlineStr">
        <is>
          <t>aBalados@abalados.es</t>
        </is>
      </c>
      <c r="G819" s="278" t="inlineStr">
        <is>
          <t>FP LUX REIO PV VALLADOLID, S.L.U.</t>
        </is>
      </c>
      <c r="H819" s="278">
        <f>VLOOKUP($G819,DATOS!$B:$E,2,FALSE)</f>
        <v/>
      </c>
      <c r="I819" s="278">
        <f>VLOOKUP($G819,DATOS!$B:$E,3,FALSE)</f>
        <v/>
      </c>
      <c r="J819" s="278">
        <f>VLOOKUP($G819,DATOS!$B:$E,4,FALSE)</f>
        <v/>
      </c>
      <c r="K819" s="278" t="inlineStr">
        <is>
          <t>Contabilidad y Fiscalidad de proyecto Algarrobo III - 2º Trimestre</t>
        </is>
      </c>
      <c r="L819" s="280">
        <f>'Tarifa 2025'!$D$12*1.71/5.49/4</f>
        <v/>
      </c>
      <c r="M819" s="278" t="inlineStr">
        <is>
          <t>SPV Management  Proyecto Algarrobo III -  2º Trimestre</t>
        </is>
      </c>
      <c r="N819" s="280">
        <f>'Tarifa 2025'!$F$12*1.71/5.49/4</f>
        <v/>
      </c>
      <c r="O819" s="278" t="inlineStr">
        <is>
          <t>O&amp;M Management Proyecto Algarrobo III - 2º Trimestre</t>
        </is>
      </c>
      <c r="P819" s="280">
        <f>'Tarifa 2025'!$H$12*1.71/5.49/4</f>
        <v/>
      </c>
      <c r="Q819" s="278" t="inlineStr">
        <is>
          <t>Consultoría - 2º Trimestre</t>
        </is>
      </c>
      <c r="R819" s="280">
        <f>'Tarifas 2016'!$K$12*3*(1.71/(1.89+1.89+1.71))</f>
        <v/>
      </c>
      <c r="T819" s="280" t="n"/>
      <c r="V819" s="280" t="n"/>
      <c r="X819" s="280" t="n"/>
      <c r="Y819" s="278" t="inlineStr">
        <is>
          <t>Gastos derivados de contrato (3,5%)</t>
        </is>
      </c>
      <c r="Z819" s="280">
        <f>(L819+N819+P819+R819+T819+V819+X819)*0.035</f>
        <v/>
      </c>
      <c r="AA819" s="280" t="n"/>
      <c r="AB819" s="281" t="inlineStr">
        <is>
          <t>ES11 0081 7069 2700 0122 7724</t>
        </is>
      </c>
      <c r="AC819" s="278" t="inlineStr">
        <is>
          <t>pendiente</t>
        </is>
      </c>
      <c r="AD819" s="280">
        <f>L819+N819+P819+R819+T819+V819+X819+Z819</f>
        <v/>
      </c>
      <c r="AE819" s="280">
        <f>IF((LEFT(K819,6))="Contab",L819,0)</f>
        <v/>
      </c>
      <c r="AF819" s="281">
        <f>VLOOKUP(G819,CLIENTES!B:E,4,FALSE)</f>
        <v/>
      </c>
      <c r="AG819" s="280">
        <f>AF819*AE819</f>
        <v/>
      </c>
      <c r="AH819" s="280">
        <f>AD819*1.21</f>
        <v/>
      </c>
      <c r="AI819" s="282">
        <f>IF(AE819&lt;&gt;0,AG819/AD819,"N/A")</f>
        <v/>
      </c>
      <c r="AJ819" s="280">
        <f>IF(AC819="pendiente",AD819,0)</f>
        <v/>
      </c>
      <c r="AK819" s="278">
        <f>VLOOKUP(G819,CLIENTES!B:D,3,FALSE)</f>
        <v/>
      </c>
    </row>
    <row r="820" ht="15" customFormat="1" customHeight="1" s="278">
      <c r="B820" s="279" t="n"/>
      <c r="C820" s="278" t="inlineStr">
        <is>
          <t>c/ Las Cruzadas 3A, local D</t>
        </is>
      </c>
      <c r="D820" s="278" t="inlineStr">
        <is>
          <t>Sevilla 41004</t>
        </is>
      </c>
      <c r="E820" s="278" t="inlineStr">
        <is>
          <t>CIF B91938662</t>
        </is>
      </c>
      <c r="F820" s="278" t="inlineStr">
        <is>
          <t>aBalados@abalados.es</t>
        </is>
      </c>
      <c r="G820" s="278" t="inlineStr">
        <is>
          <t>FP LUX REIO PV VALLADOLID, S.L.U.</t>
        </is>
      </c>
      <c r="H820" s="278">
        <f>VLOOKUP($G820,DATOS!$B:$E,2,FALSE)</f>
        <v/>
      </c>
      <c r="I820" s="278">
        <f>VLOOKUP($G820,DATOS!$B:$E,3,FALSE)</f>
        <v/>
      </c>
      <c r="J820" s="278">
        <f>VLOOKUP($G820,DATOS!$B:$E,4,FALSE)</f>
        <v/>
      </c>
      <c r="K820" s="278" t="inlineStr">
        <is>
          <t>Contabilidad y Fiscalidad de proyecto Sollana - 2º Trimestre</t>
        </is>
      </c>
      <c r="L820" s="280">
        <f>'Tarifa 2025'!$D$13/4</f>
        <v/>
      </c>
      <c r="M820" s="278" t="inlineStr">
        <is>
          <t>SPV Management  Proyecto Sollana - 2º Trimestre</t>
        </is>
      </c>
      <c r="N820" s="280">
        <f>'Tarifa 2025'!$F$13/4</f>
        <v/>
      </c>
      <c r="O820" s="278" t="inlineStr">
        <is>
          <t>O&amp;M Management Proyecto Sollana - 2º Trimestre</t>
        </is>
      </c>
      <c r="P820" s="280">
        <f>'Tarifa 2025'!$H$13/4</f>
        <v/>
      </c>
      <c r="Q820" s="278" t="inlineStr">
        <is>
          <t>Consultoría - 2º Trimestre</t>
        </is>
      </c>
      <c r="R820" s="280">
        <f>'Tarifa 2025'!$J$13/4</f>
        <v/>
      </c>
      <c r="T820" s="280" t="n"/>
      <c r="V820" s="280" t="n"/>
      <c r="X820" s="280" t="n"/>
      <c r="Y820" s="278" t="inlineStr">
        <is>
          <t>Gastos derivados de contrato (3,5%)</t>
        </is>
      </c>
      <c r="Z820" s="280">
        <f>(L820+N820+P820+R820+T820+V820+X820)*0.035</f>
        <v/>
      </c>
      <c r="AA820" s="280" t="n"/>
      <c r="AB820" s="281" t="inlineStr">
        <is>
          <t>ES11 0081 7069 2700 0122 7724</t>
        </is>
      </c>
      <c r="AC820" s="278" t="inlineStr">
        <is>
          <t>pendiente</t>
        </is>
      </c>
      <c r="AD820" s="280">
        <f>L820+N820+P820+R820+T820+V820+X820+Z820</f>
        <v/>
      </c>
      <c r="AE820" s="280">
        <f>IF((LEFT(K820,6))="Contab",L820,0)</f>
        <v/>
      </c>
      <c r="AF820" s="281">
        <f>VLOOKUP(G820,CLIENTES!B:E,4,FALSE)</f>
        <v/>
      </c>
      <c r="AG820" s="280">
        <f>AF820*AE820</f>
        <v/>
      </c>
      <c r="AH820" s="280">
        <f>AD820*1.21</f>
        <v/>
      </c>
      <c r="AI820" s="282">
        <f>IF(AE820&lt;&gt;0,AG820/AD820,"N/A")</f>
        <v/>
      </c>
      <c r="AJ820" s="280">
        <f>IF(AC820="pendiente",AD820,0)</f>
        <v/>
      </c>
      <c r="AK820" s="278">
        <f>VLOOKUP(G820,CLIENTES!B:D,3,FALSE)</f>
        <v/>
      </c>
    </row>
    <row r="821" ht="15" customFormat="1" customHeight="1" s="278">
      <c r="B821" s="279" t="n"/>
      <c r="C821" s="278" t="inlineStr">
        <is>
          <t>c/ Las Cruzadas 3A, local D</t>
        </is>
      </c>
      <c r="D821" s="278" t="inlineStr">
        <is>
          <t>Sevilla 41004</t>
        </is>
      </c>
      <c r="E821" s="278" t="inlineStr">
        <is>
          <t>CIF B91938662</t>
        </is>
      </c>
      <c r="F821" s="278" t="inlineStr">
        <is>
          <t>aBalados@abalados.es</t>
        </is>
      </c>
      <c r="G821" s="278" t="inlineStr">
        <is>
          <t>FP LUX REIO PV VALLADOLID, S.L.U.</t>
        </is>
      </c>
      <c r="H821" s="278">
        <f>VLOOKUP($G821,DATOS!$B:$E,2,FALSE)</f>
        <v/>
      </c>
      <c r="I821" s="278">
        <f>VLOOKUP($G821,DATOS!$B:$E,3,FALSE)</f>
        <v/>
      </c>
      <c r="J821" s="278">
        <f>VLOOKUP($G821,DATOS!$B:$E,4,FALSE)</f>
        <v/>
      </c>
      <c r="K821" s="278" t="inlineStr">
        <is>
          <t>Contabilidad y Fiscalidad de proyecto Artà - 2º Trimestre</t>
        </is>
      </c>
      <c r="L821" s="280">
        <f>'Tarifa 2025'!$D$14/4</f>
        <v/>
      </c>
      <c r="M821" s="278" t="inlineStr">
        <is>
          <t>SPV Management  Proyecto Artà - 2º Trimestre</t>
        </is>
      </c>
      <c r="N821" s="280">
        <f>'Tarifa 2025'!$F$14/4</f>
        <v/>
      </c>
      <c r="O821" s="278" t="inlineStr">
        <is>
          <t>O&amp;M Management Proyecto Artà - 2º Trimestre</t>
        </is>
      </c>
      <c r="P821" s="280">
        <f>'Tarifa 2025'!$H$14/4</f>
        <v/>
      </c>
      <c r="Q821" s="278" t="inlineStr">
        <is>
          <t>Consultoría - 2º Trimestre</t>
        </is>
      </c>
      <c r="R821" s="280">
        <f>'Tarifa 2025'!$J$14/4</f>
        <v/>
      </c>
      <c r="T821" s="280" t="n"/>
      <c r="V821" s="280" t="n"/>
      <c r="X821" s="280" t="n"/>
      <c r="Y821" s="278" t="inlineStr">
        <is>
          <t>Gastos derivados de contrato (3,5%)</t>
        </is>
      </c>
      <c r="Z821" s="280">
        <f>(L821+N821+P821+R821+T821+V821+X821)*0.035</f>
        <v/>
      </c>
      <c r="AA821" s="280" t="n"/>
      <c r="AB821" s="281" t="inlineStr">
        <is>
          <t>ES11 0081 7069 2700 0122 7724</t>
        </is>
      </c>
      <c r="AC821" s="278" t="inlineStr">
        <is>
          <t>pendiente</t>
        </is>
      </c>
      <c r="AD821" s="280">
        <f>L821+N821+P821+R821+T821+V821+X821+Z821</f>
        <v/>
      </c>
      <c r="AE821" s="280">
        <f>IF((LEFT(K821,6))="Contab",L821,0)</f>
        <v/>
      </c>
      <c r="AF821" s="281">
        <f>VLOOKUP(G821,CLIENTES!B:E,4,FALSE)</f>
        <v/>
      </c>
      <c r="AG821" s="280">
        <f>AF821*AE821</f>
        <v/>
      </c>
      <c r="AH821" s="280">
        <f>AD821*1.21</f>
        <v/>
      </c>
      <c r="AI821" s="282">
        <f>IF(AE821&lt;&gt;0,AG821/AD821,"N/A")</f>
        <v/>
      </c>
      <c r="AJ821" s="280">
        <f>IF(AC821="pendiente",AD821,0)</f>
        <v/>
      </c>
      <c r="AK821" s="278">
        <f>VLOOKUP(G821,CLIENTES!B:D,3,FALSE)</f>
        <v/>
      </c>
    </row>
    <row r="822" ht="15" customFormat="1" customHeight="1" s="278">
      <c r="B822" s="279" t="n"/>
      <c r="C822" s="278" t="inlineStr">
        <is>
          <t>c/ Las Cruzadas 3A, local D</t>
        </is>
      </c>
      <c r="D822" s="278" t="inlineStr">
        <is>
          <t>Sevilla 41004</t>
        </is>
      </c>
      <c r="E822" s="278" t="inlineStr">
        <is>
          <t>CIF B91938662</t>
        </is>
      </c>
      <c r="F822" s="278" t="inlineStr">
        <is>
          <t>aBalados@abalados.es</t>
        </is>
      </c>
      <c r="G822" s="278" t="inlineStr">
        <is>
          <t>FP LUX REIO PV VALLADOLID, S.L.U.</t>
        </is>
      </c>
      <c r="H822" s="278">
        <f>VLOOKUP($G822,DATOS!$B:$E,2,FALSE)</f>
        <v/>
      </c>
      <c r="I822" s="278">
        <f>VLOOKUP($G822,DATOS!$B:$E,3,FALSE)</f>
        <v/>
      </c>
      <c r="J822" s="278">
        <f>VLOOKUP($G822,DATOS!$B:$E,4,FALSE)</f>
        <v/>
      </c>
      <c r="K822" s="278" t="inlineStr">
        <is>
          <t>Contabilidad y Fiscalidad de proyecto Contreras- 2º Trimestre</t>
        </is>
      </c>
      <c r="L822" s="280">
        <f>'Tarifa 2025'!$D$15/4</f>
        <v/>
      </c>
      <c r="M822" s="278" t="inlineStr">
        <is>
          <t>SPV Management  Proyecto Contreras - 2º Trimestre</t>
        </is>
      </c>
      <c r="N822" s="280">
        <f>'Tarifa 2025'!$F$15/4</f>
        <v/>
      </c>
      <c r="O822" s="278" t="inlineStr">
        <is>
          <t>O&amp;M Management Proyecto Contreras - 2º Trimestre</t>
        </is>
      </c>
      <c r="P822" s="280">
        <f>'Tarifa 2025'!$H$15/4</f>
        <v/>
      </c>
      <c r="Q822" s="278" t="inlineStr">
        <is>
          <t>Consultoría - 2º Trimestre</t>
        </is>
      </c>
      <c r="R822" s="280">
        <f>'Tarifa 2025'!$J$15/4</f>
        <v/>
      </c>
      <c r="T822" s="280" t="n"/>
      <c r="V822" s="280" t="n"/>
      <c r="X822" s="280" t="n"/>
      <c r="Y822" s="278" t="inlineStr">
        <is>
          <t>Gastos derivados de contrato (3,5%)</t>
        </is>
      </c>
      <c r="Z822" s="280">
        <f>(L822+N822+P822+R822+T822+V822+X822)*0.035</f>
        <v/>
      </c>
      <c r="AA822" s="280" t="n"/>
      <c r="AB822" s="281" t="inlineStr">
        <is>
          <t>ES11 0081 7069 2700 0122 7724</t>
        </is>
      </c>
      <c r="AC822" s="278" t="inlineStr">
        <is>
          <t>pendiente</t>
        </is>
      </c>
      <c r="AD822" s="280">
        <f>L822+N822+P822+R822+T822+V822+X822+Z822</f>
        <v/>
      </c>
      <c r="AE822" s="280">
        <f>IF((LEFT(K822,6))="Contab",L822,0)</f>
        <v/>
      </c>
      <c r="AF822" s="281">
        <f>VLOOKUP(G822,CLIENTES!B:E,4,FALSE)</f>
        <v/>
      </c>
      <c r="AG822" s="280">
        <f>AF822*AE822</f>
        <v/>
      </c>
      <c r="AH822" s="280">
        <f>AD822*1.21</f>
        <v/>
      </c>
      <c r="AI822" s="282">
        <f>IF(AE822&lt;&gt;0,AG822/AD822,"N/A")</f>
        <v/>
      </c>
      <c r="AJ822" s="280">
        <f>IF(AC822="pendiente",AD822,0)</f>
        <v/>
      </c>
      <c r="AK822" s="278">
        <f>VLOOKUP(G822,CLIENTES!B:D,3,FALSE)</f>
        <v/>
      </c>
    </row>
    <row r="823" ht="15" customFormat="1" customHeight="1" s="278">
      <c r="B823" s="279" t="n"/>
      <c r="C823" s="278" t="inlineStr">
        <is>
          <t>c/ Las Cruzadas 3A, local D</t>
        </is>
      </c>
      <c r="D823" s="278" t="inlineStr">
        <is>
          <t>Sevilla 41004</t>
        </is>
      </c>
      <c r="E823" s="278" t="inlineStr">
        <is>
          <t>CIF B91938662</t>
        </is>
      </c>
      <c r="F823" s="278" t="inlineStr">
        <is>
          <t>aBalados@abalados.es</t>
        </is>
      </c>
      <c r="G823" s="278" t="inlineStr">
        <is>
          <t>FP LUX REIO PV VALLADOLID, S.L.U.</t>
        </is>
      </c>
      <c r="H823" s="278">
        <f>VLOOKUP($G823,DATOS!$B:$E,2,FALSE)</f>
        <v/>
      </c>
      <c r="I823" s="278">
        <f>VLOOKUP($G823,DATOS!$B:$E,3,FALSE)</f>
        <v/>
      </c>
      <c r="J823" s="278">
        <f>VLOOKUP($G823,DATOS!$B:$E,4,FALSE)</f>
        <v/>
      </c>
      <c r="K823" s="278" t="inlineStr">
        <is>
          <t>Contabilidad y Fiscalidad de proyecto Lo Illán - 2º Trimestre</t>
        </is>
      </c>
      <c r="L823" s="280">
        <f>'Tarifa 2025'!$D$16/4</f>
        <v/>
      </c>
      <c r="M823" s="278" t="inlineStr">
        <is>
          <t>SPV Management  Proyecto Lo Illán - 2º Trimestre</t>
        </is>
      </c>
      <c r="N823" s="280">
        <f>'Tarifa 2025'!$F$16/4</f>
        <v/>
      </c>
      <c r="O823" s="278" t="inlineStr">
        <is>
          <t>O&amp;M Management Proyecto Lo Illán - 2º Trimestre</t>
        </is>
      </c>
      <c r="P823" s="280">
        <f>'Tarifa 2025'!$H$16/4</f>
        <v/>
      </c>
      <c r="Q823" s="278" t="inlineStr">
        <is>
          <t>Consultoría - 2º Trimestre</t>
        </is>
      </c>
      <c r="R823" s="280">
        <f>'Tarifa 2025'!$J$16/4</f>
        <v/>
      </c>
      <c r="T823" s="280" t="n"/>
      <c r="V823" s="280" t="n"/>
      <c r="X823" s="280" t="n"/>
      <c r="Y823" s="278" t="inlineStr">
        <is>
          <t>Gastos derivados de contrato (3,5%)</t>
        </is>
      </c>
      <c r="Z823" s="280">
        <f>(L823+N823+P823+R823+T823+V823+X823)*0.035</f>
        <v/>
      </c>
      <c r="AA823" s="280" t="n"/>
      <c r="AB823" s="281" t="inlineStr">
        <is>
          <t>ES11 0081 7069 2700 0122 7724</t>
        </is>
      </c>
      <c r="AC823" s="278" t="inlineStr">
        <is>
          <t>pendiente</t>
        </is>
      </c>
      <c r="AD823" s="280">
        <f>L823+N823+P823+R823+T823+V823+X823+Z823</f>
        <v/>
      </c>
      <c r="AE823" s="280">
        <f>IF((LEFT(K823,6))="Contab",L823,0)</f>
        <v/>
      </c>
      <c r="AF823" s="281">
        <f>VLOOKUP(G823,CLIENTES!B:E,4,FALSE)</f>
        <v/>
      </c>
      <c r="AG823" s="280">
        <f>AF823*AE823</f>
        <v/>
      </c>
      <c r="AH823" s="280">
        <f>AD823*1.21</f>
        <v/>
      </c>
      <c r="AI823" s="282">
        <f>IF(AE823&lt;&gt;0,AG823/AD823,"N/A")</f>
        <v/>
      </c>
      <c r="AJ823" s="280">
        <f>IF(AC823="pendiente",AD823,0)</f>
        <v/>
      </c>
      <c r="AK823" s="278">
        <f>VLOOKUP(G823,CLIENTES!B:D,3,FALSE)</f>
        <v/>
      </c>
    </row>
    <row r="824" ht="15" customFormat="1" customHeight="1" s="278">
      <c r="B824" s="279" t="n"/>
      <c r="C824" s="278" t="inlineStr">
        <is>
          <t>c/ Las Cruzadas 3A, local D</t>
        </is>
      </c>
      <c r="D824" s="278" t="inlineStr">
        <is>
          <t>Sevilla 41004</t>
        </is>
      </c>
      <c r="E824" s="278" t="inlineStr">
        <is>
          <t>CIF B91938662</t>
        </is>
      </c>
      <c r="F824" s="278" t="inlineStr">
        <is>
          <t>aBalados@abalados.es</t>
        </is>
      </c>
      <c r="G824" s="278" t="inlineStr">
        <is>
          <t>FP LUX REIO PV VALLADOLID, S.L.U.</t>
        </is>
      </c>
      <c r="H824" s="278">
        <f>VLOOKUP($G824,DATOS!$B:$E,2,FALSE)</f>
        <v/>
      </c>
      <c r="I824" s="278">
        <f>VLOOKUP($G824,DATOS!$B:$E,3,FALSE)</f>
        <v/>
      </c>
      <c r="J824" s="278">
        <f>VLOOKUP($G824,DATOS!$B:$E,4,FALSE)</f>
        <v/>
      </c>
      <c r="K824" s="278" t="inlineStr">
        <is>
          <t>Contabilidad y Fiscalidad de proyecto Turbinto - 2º Trimestre</t>
        </is>
      </c>
      <c r="L824" s="280">
        <f>'Tarifa 2025'!$D$17/4</f>
        <v/>
      </c>
      <c r="M824" s="278" t="inlineStr">
        <is>
          <t>SPV Management  Proyecto Turbinto - 2º Trimestre</t>
        </is>
      </c>
      <c r="N824" s="280">
        <f>'Tarifa 2025'!$F$17/4</f>
        <v/>
      </c>
      <c r="O824" s="278" t="inlineStr">
        <is>
          <t>O&amp;M Management Proyecto Turbinto - 2º Trimestre</t>
        </is>
      </c>
      <c r="P824" s="280">
        <f>'Tarifa 2025'!$H$17/4</f>
        <v/>
      </c>
      <c r="Q824" s="278" t="inlineStr">
        <is>
          <t>Consultoría - 2º Trimestre</t>
        </is>
      </c>
      <c r="R824" s="280">
        <f>'Tarifa 2025'!$J$17/4</f>
        <v/>
      </c>
      <c r="T824" s="280" t="n"/>
      <c r="V824" s="280" t="n"/>
      <c r="X824" s="280" t="n"/>
      <c r="Y824" s="278" t="inlineStr">
        <is>
          <t>Gastos derivados de contrato (3,5%)</t>
        </is>
      </c>
      <c r="Z824" s="280">
        <f>(L824+N824+P824+R824+T824+V824+X824)*0.035</f>
        <v/>
      </c>
      <c r="AA824" s="280" t="n"/>
      <c r="AB824" s="281" t="inlineStr">
        <is>
          <t>ES11 0081 7069 2700 0122 7724</t>
        </is>
      </c>
      <c r="AC824" s="278" t="inlineStr">
        <is>
          <t>pendiente</t>
        </is>
      </c>
      <c r="AD824" s="280">
        <f>L824+N824+P824+R824+T824+V824+X824+Z824</f>
        <v/>
      </c>
      <c r="AE824" s="280">
        <f>IF((LEFT(K824,6))="Contab",L824,0)</f>
        <v/>
      </c>
      <c r="AF824" s="281">
        <f>VLOOKUP(G824,CLIENTES!B:E,4,FALSE)</f>
        <v/>
      </c>
      <c r="AG824" s="280">
        <f>AF824*AE824</f>
        <v/>
      </c>
      <c r="AH824" s="280">
        <f>AD824*1.21</f>
        <v/>
      </c>
      <c r="AI824" s="282">
        <f>IF(AE824&lt;&gt;0,AG824/AD824,"N/A")</f>
        <v/>
      </c>
      <c r="AJ824" s="280">
        <f>IF(AC824="pendiente",AD824,0)</f>
        <v/>
      </c>
      <c r="AK824" s="278">
        <f>VLOOKUP(G824,CLIENTES!B:D,3,FALSE)</f>
        <v/>
      </c>
    </row>
    <row r="825" ht="15" customFormat="1" customHeight="1" s="278">
      <c r="B825" s="279" t="n"/>
      <c r="C825" s="278" t="inlineStr">
        <is>
          <t>c/ Las Cruzadas 3A, local D</t>
        </is>
      </c>
      <c r="D825" s="278" t="inlineStr">
        <is>
          <t>Sevilla 41004</t>
        </is>
      </c>
      <c r="E825" s="278" t="inlineStr">
        <is>
          <t>CIF B91938662</t>
        </is>
      </c>
      <c r="F825" s="278" t="inlineStr">
        <is>
          <t>aBalados@abalados.es</t>
        </is>
      </c>
      <c r="G825" s="278" t="inlineStr">
        <is>
          <t>FP LUX REIO PV VALLADOLID, S.L.U.</t>
        </is>
      </c>
      <c r="H825" s="278">
        <f>VLOOKUP($G825,DATOS!$B:$E,2,FALSE)</f>
        <v/>
      </c>
      <c r="I825" s="278">
        <f>VLOOKUP($G825,DATOS!$B:$E,3,FALSE)</f>
        <v/>
      </c>
      <c r="J825" s="278">
        <f>VLOOKUP($G825,DATOS!$B:$E,4,FALSE)</f>
        <v/>
      </c>
      <c r="K825" s="278" t="inlineStr">
        <is>
          <t>Contabilidad y Fiscalidad de proyecto - 2º Trimestre</t>
        </is>
      </c>
      <c r="L825" s="280">
        <f>'Tarifa 2025'!$D$18/4/6</f>
        <v/>
      </c>
      <c r="M825" s="278" t="inlineStr">
        <is>
          <t>SPV Management de Proyecto - 2º Trimestre</t>
        </is>
      </c>
      <c r="N825" s="280">
        <f>'Tarifa 2025'!$F$18/6/4</f>
        <v/>
      </c>
      <c r="O825" s="278" t="inlineStr">
        <is>
          <t>O&amp;M Management de Proyecto - 2º Trimestre</t>
        </is>
      </c>
      <c r="P825" s="280">
        <f>'Tarifa 2025'!$H$18/6/4</f>
        <v/>
      </c>
      <c r="R825" s="280" t="n"/>
      <c r="T825" s="280" t="n"/>
      <c r="V825" s="280" t="n"/>
      <c r="X825" s="280" t="n"/>
      <c r="Y825" s="278" t="inlineStr">
        <is>
          <t>Gastos derivados de contrato (3,5%)</t>
        </is>
      </c>
      <c r="Z825" s="280">
        <f>(L825+N825+P825+R825+T825+V825+X825)*0.035</f>
        <v/>
      </c>
      <c r="AA825" s="280" t="n"/>
      <c r="AB825" s="281" t="inlineStr">
        <is>
          <t>ES11 0081 7069 2700 0122 7724</t>
        </is>
      </c>
      <c r="AC825" s="278" t="inlineStr">
        <is>
          <t>pendiente</t>
        </is>
      </c>
      <c r="AD825" s="280">
        <f>L825+N825+P825+R825+T825+V825+X825+Z825</f>
        <v/>
      </c>
      <c r="AE825" s="280">
        <f>IF((LEFT(K825,6))="Contab",L825,0)</f>
        <v/>
      </c>
      <c r="AF825" s="281">
        <f>VLOOKUP(G825,CLIENTES!B:E,4,FALSE)</f>
        <v/>
      </c>
      <c r="AG825" s="280">
        <f>AF825*AE825</f>
        <v/>
      </c>
      <c r="AH825" s="280">
        <f>AD825*1.21</f>
        <v/>
      </c>
      <c r="AI825" s="282">
        <f>IF(AE825&lt;&gt;0,AG825/AD825,"N/A")</f>
        <v/>
      </c>
      <c r="AJ825" s="280">
        <f>IF(AC825="pendiente",AD825,0)</f>
        <v/>
      </c>
      <c r="AK825" s="278">
        <f>VLOOKUP(G825,CLIENTES!B:D,3,FALSE)</f>
        <v/>
      </c>
    </row>
    <row r="826" ht="15" customFormat="1" customHeight="1" s="278">
      <c r="B826" s="279" t="n"/>
      <c r="C826" s="278" t="inlineStr">
        <is>
          <t>c/ Las Cruzadas 3A, local D</t>
        </is>
      </c>
      <c r="D826" s="278" t="inlineStr">
        <is>
          <t>Sevilla 41004</t>
        </is>
      </c>
      <c r="E826" s="278" t="inlineStr">
        <is>
          <t>CIF B91938662</t>
        </is>
      </c>
      <c r="F826" s="278" t="inlineStr">
        <is>
          <t>aBalados@abalados.es</t>
        </is>
      </c>
      <c r="G826" s="278" t="inlineStr">
        <is>
          <t>FP LUX REIO PV VALLADOLID, S.L.U.</t>
        </is>
      </c>
      <c r="H826" s="278">
        <f>VLOOKUP($G826,DATOS!$B:$E,2,FALSE)</f>
        <v/>
      </c>
      <c r="I826" s="278">
        <f>VLOOKUP($G826,DATOS!$B:$E,3,FALSE)</f>
        <v/>
      </c>
      <c r="J826" s="278">
        <f>VLOOKUP($G826,DATOS!$B:$E,4,FALSE)</f>
        <v/>
      </c>
      <c r="K826" s="278" t="inlineStr">
        <is>
          <t>Contabilidad y Fiscalidad de proyecto - 2º Trimestre</t>
        </is>
      </c>
      <c r="L826" s="280">
        <f>'Tarifa 2025'!$D$18/4/6</f>
        <v/>
      </c>
      <c r="M826" s="278" t="inlineStr">
        <is>
          <t>SPV Management de Proyecto - 2º Trimestre</t>
        </is>
      </c>
      <c r="N826" s="280">
        <f>'Tarifa 2025'!$F$18/6/4</f>
        <v/>
      </c>
      <c r="O826" s="278" t="inlineStr">
        <is>
          <t>O&amp;M Management de Proyecto - 2º Trimestre</t>
        </is>
      </c>
      <c r="P826" s="280">
        <f>'Tarifa 2025'!$H$18/6/4</f>
        <v/>
      </c>
      <c r="R826" s="280" t="n"/>
      <c r="T826" s="280" t="n"/>
      <c r="V826" s="280" t="n"/>
      <c r="X826" s="280" t="n"/>
      <c r="Y826" s="278" t="inlineStr">
        <is>
          <t>Gastos derivados de contrato (3,5%)</t>
        </is>
      </c>
      <c r="Z826" s="280">
        <f>(L826+N826+P826+R826+T826+V826+X826)*0.035</f>
        <v/>
      </c>
      <c r="AA826" s="280" t="n"/>
      <c r="AB826" s="281" t="inlineStr">
        <is>
          <t>ES11 0081 7069 2700 0122 7724</t>
        </is>
      </c>
      <c r="AC826" s="278" t="inlineStr">
        <is>
          <t>pendiente</t>
        </is>
      </c>
      <c r="AD826" s="280">
        <f>L826+N826+P826+R826+T826+V826+X826+Z826</f>
        <v/>
      </c>
      <c r="AE826" s="280">
        <f>IF((LEFT(K826,6))="Contab",L826,0)</f>
        <v/>
      </c>
      <c r="AF826" s="281">
        <f>VLOOKUP(G826,CLIENTES!B:E,4,FALSE)</f>
        <v/>
      </c>
      <c r="AG826" s="280">
        <f>AF826*AE826</f>
        <v/>
      </c>
      <c r="AH826" s="280">
        <f>AD826*1.21</f>
        <v/>
      </c>
      <c r="AI826" s="282">
        <f>IF(AE826&lt;&gt;0,AG826/AD826,"N/A")</f>
        <v/>
      </c>
      <c r="AJ826" s="280">
        <f>IF(AC826="pendiente",AD826,0)</f>
        <v/>
      </c>
      <c r="AK826" s="278">
        <f>VLOOKUP(G826,CLIENTES!B:D,3,FALSE)</f>
        <v/>
      </c>
    </row>
    <row r="827" ht="15" customFormat="1" customHeight="1" s="278">
      <c r="B827" s="279" t="n"/>
      <c r="C827" s="278" t="inlineStr">
        <is>
          <t>c/ Las Cruzadas 3A, local D</t>
        </is>
      </c>
      <c r="D827" s="278" t="inlineStr">
        <is>
          <t>Sevilla 41004</t>
        </is>
      </c>
      <c r="E827" s="278" t="inlineStr">
        <is>
          <t>CIF B91938662</t>
        </is>
      </c>
      <c r="F827" s="278" t="inlineStr">
        <is>
          <t>aBalados@abalados.es</t>
        </is>
      </c>
      <c r="G827" s="278" t="inlineStr">
        <is>
          <t>FP LUX REIO PV VALLADOLID, S.L.U.</t>
        </is>
      </c>
      <c r="H827" s="278">
        <f>VLOOKUP($G827,DATOS!$B:$E,2,FALSE)</f>
        <v/>
      </c>
      <c r="I827" s="278">
        <f>VLOOKUP($G827,DATOS!$B:$E,3,FALSE)</f>
        <v/>
      </c>
      <c r="J827" s="278">
        <f>VLOOKUP($G827,DATOS!$B:$E,4,FALSE)</f>
        <v/>
      </c>
      <c r="K827" s="278" t="inlineStr">
        <is>
          <t>Contabilidad y Fiscalidad de proyecto - 2º Trimestre</t>
        </is>
      </c>
      <c r="L827" s="280">
        <f>'Tarifa 2025'!$D$18/4/6</f>
        <v/>
      </c>
      <c r="M827" s="278" t="inlineStr">
        <is>
          <t>SPV Management de Proyecto - 2º Trimestre</t>
        </is>
      </c>
      <c r="N827" s="280">
        <f>'Tarifa 2025'!$F$18/6/4</f>
        <v/>
      </c>
      <c r="O827" s="278" t="inlineStr">
        <is>
          <t>O&amp;M Management de Proyecto - 2º Trimestre</t>
        </is>
      </c>
      <c r="P827" s="280">
        <f>'Tarifa 2025'!$H$18/6/4</f>
        <v/>
      </c>
      <c r="R827" s="280" t="n"/>
      <c r="T827" s="280" t="n"/>
      <c r="V827" s="280" t="n"/>
      <c r="X827" s="280" t="n"/>
      <c r="Y827" s="278" t="inlineStr">
        <is>
          <t>Gastos derivados de contrato (3,5%)</t>
        </is>
      </c>
      <c r="Z827" s="280">
        <f>(L827+N827+P827+R827+T827+V827+X827)*0.035</f>
        <v/>
      </c>
      <c r="AA827" s="280" t="n"/>
      <c r="AB827" s="281" t="inlineStr">
        <is>
          <t>ES11 0081 7069 2700 0122 7724</t>
        </is>
      </c>
      <c r="AC827" s="278" t="inlineStr">
        <is>
          <t>pendiente</t>
        </is>
      </c>
      <c r="AD827" s="280">
        <f>L827+N827+P827+R827+T827+V827+X827+Z827</f>
        <v/>
      </c>
      <c r="AE827" s="280">
        <f>IF((LEFT(K827,6))="Contab",L827,0)</f>
        <v/>
      </c>
      <c r="AF827" s="281">
        <f>VLOOKUP(G827,CLIENTES!B:E,4,FALSE)</f>
        <v/>
      </c>
      <c r="AG827" s="280">
        <f>AF827*AE827</f>
        <v/>
      </c>
      <c r="AH827" s="280">
        <f>AD827*1.21</f>
        <v/>
      </c>
      <c r="AI827" s="282">
        <f>IF(AE827&lt;&gt;0,AG827/AD827,"N/A")</f>
        <v/>
      </c>
      <c r="AJ827" s="280">
        <f>IF(AC827="pendiente",AD827,0)</f>
        <v/>
      </c>
      <c r="AK827" s="278">
        <f>VLOOKUP(G827,CLIENTES!B:D,3,FALSE)</f>
        <v/>
      </c>
    </row>
    <row r="828" ht="15" customFormat="1" customHeight="1" s="278">
      <c r="B828" s="279" t="n"/>
      <c r="C828" s="278" t="inlineStr">
        <is>
          <t>c/ Las Cruzadas 3A, local D</t>
        </is>
      </c>
      <c r="D828" s="278" t="inlineStr">
        <is>
          <t>Sevilla 41004</t>
        </is>
      </c>
      <c r="E828" s="278" t="inlineStr">
        <is>
          <t>CIF B91938662</t>
        </is>
      </c>
      <c r="F828" s="278" t="inlineStr">
        <is>
          <t>aBalados@abalados.es</t>
        </is>
      </c>
      <c r="G828" s="278" t="inlineStr">
        <is>
          <t>FP LUX REIO PV VALLADOLID, S.L.U.</t>
        </is>
      </c>
      <c r="H828" s="278">
        <f>VLOOKUP($G828,DATOS!$B:$E,2,FALSE)</f>
        <v/>
      </c>
      <c r="I828" s="278">
        <f>VLOOKUP($G828,DATOS!$B:$E,3,FALSE)</f>
        <v/>
      </c>
      <c r="J828" s="278">
        <f>VLOOKUP($G828,DATOS!$B:$E,4,FALSE)</f>
        <v/>
      </c>
      <c r="K828" s="278" t="inlineStr">
        <is>
          <t>Contabilidad y Fiscalidad de proyecto - 2º Trimestre</t>
        </is>
      </c>
      <c r="L828" s="280">
        <f>'Tarifa 2025'!$D$18/4/6</f>
        <v/>
      </c>
      <c r="M828" s="278" t="inlineStr">
        <is>
          <t>SPV Management de Proyecto - 2º Trimestre</t>
        </is>
      </c>
      <c r="N828" s="280">
        <f>'Tarifa 2025'!$F$18/6/4</f>
        <v/>
      </c>
      <c r="O828" s="278" t="inlineStr">
        <is>
          <t>O&amp;M Management de Proyecto - 2º Trimestre</t>
        </is>
      </c>
      <c r="P828" s="280">
        <f>'Tarifa 2025'!$H$18/6/4</f>
        <v/>
      </c>
      <c r="R828" s="280" t="n"/>
      <c r="T828" s="280" t="n"/>
      <c r="V828" s="280" t="n"/>
      <c r="X828" s="280" t="n"/>
      <c r="Y828" s="278" t="inlineStr">
        <is>
          <t>Gastos derivados de contrato (3,5%)</t>
        </is>
      </c>
      <c r="Z828" s="280">
        <f>(L828+N828+P828+R828+T828+V828+X828)*0.035</f>
        <v/>
      </c>
      <c r="AA828" s="280" t="n"/>
      <c r="AB828" s="281" t="inlineStr">
        <is>
          <t>ES11 0081 7069 2700 0122 7724</t>
        </is>
      </c>
      <c r="AC828" s="278" t="inlineStr">
        <is>
          <t>pendiente</t>
        </is>
      </c>
      <c r="AD828" s="280">
        <f>L828+N828+P828+R828+T828+V828+X828+Z828</f>
        <v/>
      </c>
      <c r="AE828" s="280">
        <f>IF((LEFT(K828,6))="Contab",L828,0)</f>
        <v/>
      </c>
      <c r="AF828" s="281">
        <f>VLOOKUP(G828,CLIENTES!B:E,4,FALSE)</f>
        <v/>
      </c>
      <c r="AG828" s="280">
        <f>AF828*AE828</f>
        <v/>
      </c>
      <c r="AH828" s="280">
        <f>AD828*1.21</f>
        <v/>
      </c>
      <c r="AI828" s="282">
        <f>IF(AE828&lt;&gt;0,AG828/AD828,"N/A")</f>
        <v/>
      </c>
      <c r="AJ828" s="280">
        <f>IF(AC828="pendiente",AD828,0)</f>
        <v/>
      </c>
      <c r="AK828" s="278">
        <f>VLOOKUP(G828,CLIENTES!B:D,3,FALSE)</f>
        <v/>
      </c>
    </row>
    <row r="829" ht="15" customFormat="1" customHeight="1" s="278">
      <c r="B829" s="279" t="n"/>
      <c r="C829" s="278" t="inlineStr">
        <is>
          <t>c/ Las Cruzadas 3A, local D</t>
        </is>
      </c>
      <c r="D829" s="278" t="inlineStr">
        <is>
          <t>Sevilla 41004</t>
        </is>
      </c>
      <c r="E829" s="278" t="inlineStr">
        <is>
          <t>CIF B91938662</t>
        </is>
      </c>
      <c r="F829" s="278" t="inlineStr">
        <is>
          <t>aBalados@abalados.es</t>
        </is>
      </c>
      <c r="G829" s="278" t="inlineStr">
        <is>
          <t>FP LUX REIO PV VALLADOLID, S.L.U.</t>
        </is>
      </c>
      <c r="H829" s="278">
        <f>VLOOKUP($G829,DATOS!$B:$E,2,FALSE)</f>
        <v/>
      </c>
      <c r="I829" s="278">
        <f>VLOOKUP($G829,DATOS!$B:$E,3,FALSE)</f>
        <v/>
      </c>
      <c r="J829" s="278">
        <f>VLOOKUP($G829,DATOS!$B:$E,4,FALSE)</f>
        <v/>
      </c>
      <c r="K829" s="278" t="inlineStr">
        <is>
          <t>Contabilidad y Fiscalidad de proyecto - 2º Trimestre</t>
        </is>
      </c>
      <c r="L829" s="280">
        <f>'Tarifa 2025'!$D$18/4/6</f>
        <v/>
      </c>
      <c r="M829" s="278" t="inlineStr">
        <is>
          <t>SPV Management de Proyecto - 2º Trimestre</t>
        </is>
      </c>
      <c r="N829" s="280">
        <f>'Tarifa 2025'!$F$18/6/4</f>
        <v/>
      </c>
      <c r="O829" s="278" t="inlineStr">
        <is>
          <t>O&amp;M Management de Proyecto - 2º Trimestre</t>
        </is>
      </c>
      <c r="P829" s="280">
        <f>'Tarifa 2025'!$H$18/6/4</f>
        <v/>
      </c>
      <c r="R829" s="280" t="n"/>
      <c r="T829" s="280" t="n"/>
      <c r="V829" s="280" t="n"/>
      <c r="X829" s="280" t="n"/>
      <c r="Y829" s="278" t="inlineStr">
        <is>
          <t>Gastos derivados de contrato (3,5%)</t>
        </is>
      </c>
      <c r="Z829" s="280">
        <f>(L829+N829+P829+R829+T829+V829+X829)*0.035</f>
        <v/>
      </c>
      <c r="AA829" s="280" t="n"/>
      <c r="AB829" s="281" t="inlineStr">
        <is>
          <t>ES11 0081 7069 2700 0122 7724</t>
        </is>
      </c>
      <c r="AC829" s="278" t="inlineStr">
        <is>
          <t>pendiente</t>
        </is>
      </c>
      <c r="AD829" s="280">
        <f>L829+N829+P829+R829+T829+V829+X829+Z829</f>
        <v/>
      </c>
      <c r="AE829" s="280">
        <f>IF((LEFT(K829,6))="Contab",L829,0)</f>
        <v/>
      </c>
      <c r="AF829" s="281">
        <f>VLOOKUP(G829,CLIENTES!B:E,4,FALSE)</f>
        <v/>
      </c>
      <c r="AG829" s="280">
        <f>AF829*AE829</f>
        <v/>
      </c>
      <c r="AH829" s="280">
        <f>AD829*1.21</f>
        <v/>
      </c>
      <c r="AI829" s="282">
        <f>IF(AE829&lt;&gt;0,AG829/AD829,"N/A")</f>
        <v/>
      </c>
      <c r="AJ829" s="280">
        <f>IF(AC829="pendiente",AD829,0)</f>
        <v/>
      </c>
      <c r="AK829" s="278">
        <f>VLOOKUP(G829,CLIENTES!B:D,3,FALSE)</f>
        <v/>
      </c>
    </row>
    <row r="830" ht="15" customFormat="1" customHeight="1" s="192">
      <c r="B830" s="199" t="n"/>
      <c r="C830" s="192" t="inlineStr">
        <is>
          <t>c/ Las Cruzadas 3A, local D</t>
        </is>
      </c>
      <c r="D830" s="192" t="inlineStr">
        <is>
          <t>Sevilla 41004</t>
        </is>
      </c>
      <c r="E830" s="192" t="inlineStr">
        <is>
          <t>CIF B91938662</t>
        </is>
      </c>
      <c r="F830" s="192" t="inlineStr">
        <is>
          <t>aBalados@abalados.es</t>
        </is>
      </c>
      <c r="G830" s="192" t="inlineStr">
        <is>
          <t>FP LUX REIO PV VALLADOLID, S.L.U.</t>
        </is>
      </c>
      <c r="H830" s="192">
        <f>VLOOKUP($G830,DATOS!$B:$E,2,FALSE)</f>
        <v/>
      </c>
      <c r="I830" s="192">
        <f>VLOOKUP($G830,DATOS!$B:$E,3,FALSE)</f>
        <v/>
      </c>
      <c r="J830" s="192">
        <f>VLOOKUP($G830,DATOS!$B:$E,4,FALSE)</f>
        <v/>
      </c>
      <c r="K830" s="192" t="inlineStr">
        <is>
          <t>Contabilidad y Fiscalidad de proyecto - 2º Trimestre</t>
        </is>
      </c>
      <c r="L830" s="200">
        <f>'Tarifa 2025'!$D$18/4/6</f>
        <v/>
      </c>
      <c r="M830" s="192" t="inlineStr">
        <is>
          <t>SPV Management de Proyecto - 2º Trimestre</t>
        </is>
      </c>
      <c r="N830" s="200">
        <f>'Tarifa 2025'!$F$18/6/4</f>
        <v/>
      </c>
      <c r="O830" s="192" t="inlineStr">
        <is>
          <t>O&amp;M Management de Proyecto - 2º Trimestre</t>
        </is>
      </c>
      <c r="P830" s="200">
        <f>'Tarifa 2025'!$H$18/6/4</f>
        <v/>
      </c>
      <c r="R830" s="200" t="n"/>
      <c r="T830" s="200" t="n"/>
      <c r="V830" s="200" t="n"/>
      <c r="X830" s="200" t="n"/>
      <c r="Y830" s="192" t="inlineStr">
        <is>
          <t>Gastos derivados de contrato (3,5%)</t>
        </is>
      </c>
      <c r="Z830" s="200">
        <f>(L830+N830+P830+R830+T830+V830+X830)*0.035</f>
        <v/>
      </c>
      <c r="AA830" s="200" t="n"/>
      <c r="AB830" s="201" t="inlineStr">
        <is>
          <t>ES11 0081 7069 2700 0122 7724</t>
        </is>
      </c>
      <c r="AC830" s="192" t="inlineStr">
        <is>
          <t>pendiente</t>
        </is>
      </c>
      <c r="AD830" s="200">
        <f>L830+N830+P830+R830+T830+V830+X830+Z830</f>
        <v/>
      </c>
      <c r="AE830" s="200">
        <f>IF((LEFT(K830,6))="Contab",L830,0)</f>
        <v/>
      </c>
      <c r="AF830" s="201">
        <f>VLOOKUP(G830,CLIENTES!B:E,4,FALSE)</f>
        <v/>
      </c>
      <c r="AG830" s="200">
        <f>AF830*AE830</f>
        <v/>
      </c>
      <c r="AH830" s="200">
        <f>AD830*1.21</f>
        <v/>
      </c>
      <c r="AI830" s="202">
        <f>IF(AE830&lt;&gt;0,AG830/AD830,"N/A")</f>
        <v/>
      </c>
      <c r="AJ830" s="200">
        <f>IF(AC830="pendiente",AD830,0)</f>
        <v/>
      </c>
      <c r="AK830" s="192">
        <f>VLOOKUP(G830,CLIENTES!B:D,3,FALSE)</f>
        <v/>
      </c>
    </row>
    <row r="831" ht="15" customFormat="1" customHeight="1" s="278">
      <c r="B831" s="279" t="n"/>
      <c r="C831" s="278" t="inlineStr">
        <is>
          <t>c/ Las Cruzadas 3A, local D</t>
        </is>
      </c>
      <c r="D831" s="278" t="inlineStr">
        <is>
          <t>Sevilla 41004</t>
        </is>
      </c>
      <c r="E831" s="278" t="inlineStr">
        <is>
          <t>CIF B91938662</t>
        </is>
      </c>
      <c r="F831" s="278" t="inlineStr">
        <is>
          <t>aBalados@abalados.es</t>
        </is>
      </c>
      <c r="G831" s="278" t="inlineStr">
        <is>
          <t>FP LUX REIO PV VALLADOLID, S.L.U.</t>
        </is>
      </c>
      <c r="H831" s="278">
        <f>VLOOKUP($G831,DATOS!$B:$E,2,FALSE)</f>
        <v/>
      </c>
      <c r="I831" s="278">
        <f>VLOOKUP($G831,DATOS!$B:$E,3,FALSE)</f>
        <v/>
      </c>
      <c r="J831" s="278">
        <f>VLOOKUP($G831,DATOS!$B:$E,4,FALSE)</f>
        <v/>
      </c>
      <c r="K831" s="278" t="inlineStr">
        <is>
          <t>Honorarios - Contrato O&amp;M 2º Trimestre</t>
        </is>
      </c>
      <c r="L831" s="280" t="n">
        <v>32464.30987340534</v>
      </c>
      <c r="N831" s="280" t="n"/>
      <c r="P831" s="280" t="n"/>
      <c r="R831" s="280" t="n"/>
      <c r="T831" s="280" t="n"/>
      <c r="V831" s="280" t="n"/>
      <c r="X831" s="280" t="n"/>
      <c r="Z831" s="280" t="n"/>
      <c r="AA831" s="280" t="n"/>
      <c r="AB831" s="281" t="inlineStr">
        <is>
          <t>ES11 0081 7069 2700 0122 7724</t>
        </is>
      </c>
      <c r="AC831" s="278" t="inlineStr">
        <is>
          <t>pendiente</t>
        </is>
      </c>
      <c r="AD831" s="280">
        <f>L831+N831+P831+R831+T831+V831+X831+Z831</f>
        <v/>
      </c>
      <c r="AE831" s="280">
        <f>IF((LEFT(K831,6))="Contab",L831,0)</f>
        <v/>
      </c>
      <c r="AF831" s="281">
        <f>VLOOKUP(G831,CLIENTES!B:E,4,FALSE)</f>
        <v/>
      </c>
      <c r="AG831" s="280">
        <f>AF831*AE831</f>
        <v/>
      </c>
      <c r="AH831" s="280">
        <f>AD831*1.21</f>
        <v/>
      </c>
      <c r="AI831" s="282">
        <f>IF(AE831&lt;&gt;0,AG831/AD831,"N/A")</f>
        <v/>
      </c>
      <c r="AJ831" s="280">
        <f>IF(AC831="pendiente",AD831,0)</f>
        <v/>
      </c>
      <c r="AK831" s="278">
        <f>VLOOKUP(G831,CLIENTES!B:D,3,FALSE)</f>
        <v/>
      </c>
    </row>
    <row r="832" ht="15" customFormat="1" customHeight="1" s="278">
      <c r="B832" s="279" t="n"/>
      <c r="C832" s="278" t="inlineStr">
        <is>
          <t>c/ Las Cruzadas 3A, local D</t>
        </is>
      </c>
      <c r="D832" s="278" t="inlineStr">
        <is>
          <t>Sevilla 41004</t>
        </is>
      </c>
      <c r="E832" s="278" t="inlineStr">
        <is>
          <t>CIF B91938662</t>
        </is>
      </c>
      <c r="F832" s="278" t="inlineStr">
        <is>
          <t>aBalados@abalados.es</t>
        </is>
      </c>
      <c r="G832" s="278" t="inlineStr">
        <is>
          <t>FP LUX REIO PV VALLADOLID, S.L.U.</t>
        </is>
      </c>
      <c r="H832" s="278">
        <f>VLOOKUP($G832,DATOS!$B:$E,2,FALSE)</f>
        <v/>
      </c>
      <c r="I832" s="278">
        <f>VLOOKUP($G832,DATOS!$B:$E,3,FALSE)</f>
        <v/>
      </c>
      <c r="J832" s="278">
        <f>VLOOKUP($G832,DATOS!$B:$E,4,FALSE)</f>
        <v/>
      </c>
      <c r="K832" s="278" t="inlineStr">
        <is>
          <t>Honorarios - Contrato O&amp;M 2º Trimestre</t>
        </is>
      </c>
      <c r="L832" s="280" t="n">
        <v>20777.15831897942</v>
      </c>
      <c r="N832" s="280" t="n"/>
      <c r="P832" s="280" t="n"/>
      <c r="R832" s="280" t="n"/>
      <c r="T832" s="280" t="n"/>
      <c r="V832" s="280" t="n"/>
      <c r="X832" s="280" t="n"/>
      <c r="Z832" s="280" t="n"/>
      <c r="AA832" s="280" t="n"/>
      <c r="AB832" s="281" t="inlineStr">
        <is>
          <t>ES11 0081 7069 2700 0122 7724</t>
        </is>
      </c>
      <c r="AC832" s="278" t="inlineStr">
        <is>
          <t>pendiente</t>
        </is>
      </c>
      <c r="AD832" s="280">
        <f>L832+N832+P832+R832+T832+V832+X832+Z832</f>
        <v/>
      </c>
      <c r="AE832" s="280">
        <f>IF((LEFT(K832,6))="Contab",L832,0)</f>
        <v/>
      </c>
      <c r="AF832" s="281">
        <f>VLOOKUP(G832,CLIENTES!B:E,4,FALSE)</f>
        <v/>
      </c>
      <c r="AG832" s="280">
        <f>AF832*AE832</f>
        <v/>
      </c>
      <c r="AH832" s="280">
        <f>AD832*1.21</f>
        <v/>
      </c>
      <c r="AI832" s="282">
        <f>IF(AE832&lt;&gt;0,AG832/AD832,"N/A")</f>
        <v/>
      </c>
      <c r="AJ832" s="280">
        <f>IF(AC832="pendiente",AD832,0)</f>
        <v/>
      </c>
      <c r="AK832" s="278">
        <f>VLOOKUP(G832,CLIENTES!B:D,3,FALSE)</f>
        <v/>
      </c>
    </row>
    <row r="833" ht="15" customFormat="1" customHeight="1" s="278">
      <c r="B833" s="279" t="n"/>
      <c r="C833" s="278" t="inlineStr">
        <is>
          <t>c/ Las Cruzadas 3A, local D</t>
        </is>
      </c>
      <c r="D833" s="278" t="inlineStr">
        <is>
          <t>Sevilla 41004</t>
        </is>
      </c>
      <c r="E833" s="278" t="inlineStr">
        <is>
          <t>CIF B91938662</t>
        </is>
      </c>
      <c r="F833" s="278" t="inlineStr">
        <is>
          <t>aBalados@abalados.es</t>
        </is>
      </c>
      <c r="G833" s="278" t="inlineStr">
        <is>
          <t>FP LUX REIO PV VALLADOLID, S.L.U.</t>
        </is>
      </c>
      <c r="H833" s="278">
        <f>VLOOKUP($G833,DATOS!$B:$E,2,FALSE)</f>
        <v/>
      </c>
      <c r="I833" s="278">
        <f>VLOOKUP($G833,DATOS!$B:$E,3,FALSE)</f>
        <v/>
      </c>
      <c r="J833" s="278">
        <f>VLOOKUP($G833,DATOS!$B:$E,4,FALSE)</f>
        <v/>
      </c>
      <c r="K833" s="278" t="inlineStr">
        <is>
          <t>Honorarios - Contrato O&amp;M 2º Trimestre</t>
        </is>
      </c>
      <c r="L833" s="280" t="n">
        <v>24472.94736835694</v>
      </c>
      <c r="N833" s="280" t="n"/>
      <c r="P833" s="280" t="n"/>
      <c r="R833" s="280" t="n"/>
      <c r="T833" s="280" t="n"/>
      <c r="V833" s="280" t="n"/>
      <c r="X833" s="280" t="n"/>
      <c r="Z833" s="280" t="n"/>
      <c r="AA833" s="280" t="n"/>
      <c r="AB833" s="281" t="inlineStr">
        <is>
          <t>ES11 0081 7069 2700 0122 7724</t>
        </is>
      </c>
      <c r="AC833" s="278" t="inlineStr">
        <is>
          <t>pendiente</t>
        </is>
      </c>
      <c r="AD833" s="280">
        <f>L833+N833+P833+R833+T833+V833+X833+Z833</f>
        <v/>
      </c>
      <c r="AE833" s="280">
        <f>IF((LEFT(K833,6))="Contab",L833,0)</f>
        <v/>
      </c>
      <c r="AF833" s="281">
        <f>VLOOKUP(G833,CLIENTES!B:E,4,FALSE)</f>
        <v/>
      </c>
      <c r="AG833" s="280">
        <f>AF833*AE833</f>
        <v/>
      </c>
      <c r="AH833" s="280">
        <f>AD833*1.21</f>
        <v/>
      </c>
      <c r="AI833" s="282">
        <f>IF(AE833&lt;&gt;0,AG833/AD833,"N/A")</f>
        <v/>
      </c>
      <c r="AJ833" s="280">
        <f>IF(AC833="pendiente",AD833,0)</f>
        <v/>
      </c>
      <c r="AK833" s="278">
        <f>VLOOKUP(G833,CLIENTES!B:D,3,FALSE)</f>
        <v/>
      </c>
    </row>
    <row r="834" ht="15" customFormat="1" customHeight="1" s="278">
      <c r="B834" s="279" t="n"/>
      <c r="C834" s="278" t="inlineStr">
        <is>
          <t>c/ Las Cruzadas 3A, local D</t>
        </is>
      </c>
      <c r="D834" s="278" t="inlineStr">
        <is>
          <t>Sevilla 41004</t>
        </is>
      </c>
      <c r="E834" s="278" t="inlineStr">
        <is>
          <t>CIF B91938662</t>
        </is>
      </c>
      <c r="F834" s="278" t="inlineStr">
        <is>
          <t>aBalados@abalados.es</t>
        </is>
      </c>
      <c r="G834" s="278" t="inlineStr">
        <is>
          <t>FP LUX REIO PV VALLADOLID, S.L.U.</t>
        </is>
      </c>
      <c r="H834" s="278">
        <f>VLOOKUP($G834,DATOS!$B:$E,2,FALSE)</f>
        <v/>
      </c>
      <c r="I834" s="278">
        <f>VLOOKUP($G834,DATOS!$B:$E,3,FALSE)</f>
        <v/>
      </c>
      <c r="J834" s="278">
        <f>VLOOKUP($G834,DATOS!$B:$E,4,FALSE)</f>
        <v/>
      </c>
      <c r="K834" s="278" t="inlineStr">
        <is>
          <t>Honorarios - Contrato O&amp;M 2º Trimestre</t>
        </is>
      </c>
      <c r="L834" s="280" t="n">
        <v>13468.98329756258</v>
      </c>
      <c r="N834" s="280" t="n"/>
      <c r="P834" s="280" t="n"/>
      <c r="R834" s="280" t="n"/>
      <c r="T834" s="280" t="n"/>
      <c r="V834" s="280" t="n"/>
      <c r="X834" s="280" t="n"/>
      <c r="Z834" s="280" t="n"/>
      <c r="AA834" s="280" t="n"/>
      <c r="AB834" s="281" t="inlineStr">
        <is>
          <t>ES11 0081 7069 2700 0122 7724</t>
        </is>
      </c>
      <c r="AC834" s="278" t="inlineStr">
        <is>
          <t>pendiente</t>
        </is>
      </c>
      <c r="AD834" s="280">
        <f>L834+N834+P834+R834+T834+V834+X834+Z834</f>
        <v/>
      </c>
      <c r="AE834" s="280">
        <f>IF((LEFT(K834,6))="Contab",L834,0)</f>
        <v/>
      </c>
      <c r="AF834" s="281">
        <f>VLOOKUP(G834,CLIENTES!B:E,4,FALSE)</f>
        <v/>
      </c>
      <c r="AG834" s="280">
        <f>AF834*AE834</f>
        <v/>
      </c>
      <c r="AH834" s="280">
        <f>AD834*1.21</f>
        <v/>
      </c>
      <c r="AI834" s="282">
        <f>IF(AE834&lt;&gt;0,AG834/AD834,"N/A")</f>
        <v/>
      </c>
      <c r="AJ834" s="280">
        <f>IF(AC834="pendiente",AD834,0)</f>
        <v/>
      </c>
      <c r="AK834" s="278">
        <f>VLOOKUP(G834,CLIENTES!B:D,3,FALSE)</f>
        <v/>
      </c>
    </row>
    <row r="835" ht="15" customFormat="1" customHeight="1" s="278">
      <c r="B835" s="279" t="n"/>
      <c r="C835" s="278" t="inlineStr">
        <is>
          <t>c/ Las Cruzadas 3A, local D</t>
        </is>
      </c>
      <c r="D835" s="278" t="inlineStr">
        <is>
          <t>Sevilla 41004</t>
        </is>
      </c>
      <c r="E835" s="278" t="inlineStr">
        <is>
          <t>CIF B91938662</t>
        </is>
      </c>
      <c r="F835" s="278" t="inlineStr">
        <is>
          <t>aBalados@abalados.es</t>
        </is>
      </c>
      <c r="G835" s="278" t="inlineStr">
        <is>
          <t>FP LUX REIO PV VALLADOLID, S.L.U.</t>
        </is>
      </c>
      <c r="H835" s="278">
        <f>VLOOKUP($G835,DATOS!$B:$E,2,FALSE)</f>
        <v/>
      </c>
      <c r="I835" s="278">
        <f>VLOOKUP($G835,DATOS!$B:$E,3,FALSE)</f>
        <v/>
      </c>
      <c r="J835" s="278">
        <f>VLOOKUP($G835,DATOS!$B:$E,4,FALSE)</f>
        <v/>
      </c>
      <c r="K835" s="278" t="inlineStr">
        <is>
          <t>Honorarios - Contrato O&amp;M 2º Trimestre</t>
        </is>
      </c>
      <c r="L835" s="280" t="n">
        <v>1437.136759606795</v>
      </c>
      <c r="N835" s="280" t="n"/>
      <c r="P835" s="280" t="n"/>
      <c r="R835" s="280" t="n"/>
      <c r="T835" s="280" t="n"/>
      <c r="V835" s="280" t="n"/>
      <c r="X835" s="280" t="n"/>
      <c r="Z835" s="280" t="n"/>
      <c r="AA835" s="280" t="n"/>
      <c r="AB835" s="281" t="inlineStr">
        <is>
          <t>ES11 0081 7069 2700 0122 7724</t>
        </is>
      </c>
      <c r="AC835" s="278" t="inlineStr">
        <is>
          <t>pendiente</t>
        </is>
      </c>
      <c r="AD835" s="280">
        <f>L835+N835+P835+R835+T835+V835+X835+Z835</f>
        <v/>
      </c>
      <c r="AE835" s="280">
        <f>IF((LEFT(K835,6))="Contab",L835,0)</f>
        <v/>
      </c>
      <c r="AF835" s="281">
        <f>VLOOKUP(G835,CLIENTES!B:E,4,FALSE)</f>
        <v/>
      </c>
      <c r="AG835" s="280">
        <f>AF835*AE835</f>
        <v/>
      </c>
      <c r="AH835" s="280">
        <f>AD835*1.21</f>
        <v/>
      </c>
      <c r="AI835" s="282">
        <f>IF(AE835&lt;&gt;0,AG835/AD835,"N/A")</f>
        <v/>
      </c>
      <c r="AJ835" s="280">
        <f>IF(AC835="pendiente",AD835,0)</f>
        <v/>
      </c>
      <c r="AK835" s="278">
        <f>VLOOKUP(G835,CLIENTES!B:D,3,FALSE)</f>
        <v/>
      </c>
    </row>
    <row r="836" ht="15" customFormat="1" customHeight="1" s="278">
      <c r="B836" s="279" t="n"/>
      <c r="C836" s="278" t="inlineStr">
        <is>
          <t>c/ Las Cruzadas 3A, local D</t>
        </is>
      </c>
      <c r="D836" s="278" t="inlineStr">
        <is>
          <t>Sevilla 41004</t>
        </is>
      </c>
      <c r="E836" s="278" t="inlineStr">
        <is>
          <t>CIF B91938662</t>
        </is>
      </c>
      <c r="F836" s="278" t="inlineStr">
        <is>
          <t>aBalados@abalados.es</t>
        </is>
      </c>
      <c r="G836" s="278" t="inlineStr">
        <is>
          <t>FP LUX REIO PV VALLADOLID, S.L.U.</t>
        </is>
      </c>
      <c r="H836" s="278">
        <f>VLOOKUP($G836,DATOS!$B:$E,2,FALSE)</f>
        <v/>
      </c>
      <c r="I836" s="278">
        <f>VLOOKUP($G836,DATOS!$B:$E,3,FALSE)</f>
        <v/>
      </c>
      <c r="J836" s="278">
        <f>VLOOKUP($G836,DATOS!$B:$E,4,FALSE)</f>
        <v/>
      </c>
      <c r="K836" s="278" t="inlineStr">
        <is>
          <t>Honorarios - Contrato O&amp;M 2º Trimestre</t>
        </is>
      </c>
      <c r="L836" s="280" t="n">
        <v>3881.792139533857</v>
      </c>
      <c r="N836" s="280" t="n"/>
      <c r="P836" s="280" t="n"/>
      <c r="R836" s="280" t="n"/>
      <c r="T836" s="280" t="n"/>
      <c r="V836" s="280" t="n"/>
      <c r="X836" s="280" t="n"/>
      <c r="Z836" s="280" t="n"/>
      <c r="AA836" s="280" t="n"/>
      <c r="AB836" s="281" t="inlineStr">
        <is>
          <t>ES11 0081 7069 2700 0122 7724</t>
        </is>
      </c>
      <c r="AC836" s="278" t="inlineStr">
        <is>
          <t>pendiente</t>
        </is>
      </c>
      <c r="AD836" s="280">
        <f>L836+N836+P836+R836+T836+V836+X836+Z836</f>
        <v/>
      </c>
      <c r="AE836" s="280">
        <f>IF((LEFT(K836,6))="Contab",L836,0)</f>
        <v/>
      </c>
      <c r="AF836" s="281">
        <f>VLOOKUP(G836,CLIENTES!B:E,4,FALSE)</f>
        <v/>
      </c>
      <c r="AG836" s="280">
        <f>AF836*AE836</f>
        <v/>
      </c>
      <c r="AH836" s="280">
        <f>AD836*1.21</f>
        <v/>
      </c>
      <c r="AI836" s="282">
        <f>IF(AE836&lt;&gt;0,AG836/AD836,"N/A")</f>
        <v/>
      </c>
      <c r="AJ836" s="280">
        <f>IF(AC836="pendiente",AD836,0)</f>
        <v/>
      </c>
      <c r="AK836" s="278">
        <f>VLOOKUP(G836,CLIENTES!B:D,3,FALSE)</f>
        <v/>
      </c>
    </row>
    <row r="837" ht="15" customFormat="1" customHeight="1" s="278">
      <c r="B837" s="279" t="n"/>
      <c r="C837" s="278" t="inlineStr">
        <is>
          <t>c/ Las Cruzadas 3A, local D</t>
        </is>
      </c>
      <c r="D837" s="278" t="inlineStr">
        <is>
          <t>Sevilla 41004</t>
        </is>
      </c>
      <c r="E837" s="278" t="inlineStr">
        <is>
          <t>CIF B91938662</t>
        </is>
      </c>
      <c r="F837" s="278" t="inlineStr">
        <is>
          <t>aBalados@abalados.es</t>
        </is>
      </c>
      <c r="G837" s="278" t="inlineStr">
        <is>
          <t>FP LUX REIO PV VALLADOLID, S.L.U.</t>
        </is>
      </c>
      <c r="H837" s="278">
        <f>VLOOKUP($G837,DATOS!$B:$E,2,FALSE)</f>
        <v/>
      </c>
      <c r="I837" s="278">
        <f>VLOOKUP($G837,DATOS!$B:$E,3,FALSE)</f>
        <v/>
      </c>
      <c r="J837" s="278">
        <f>VLOOKUP($G837,DATOS!$B:$E,4,FALSE)</f>
        <v/>
      </c>
      <c r="K837" s="278" t="inlineStr">
        <is>
          <t>Honorarios - Contrato O&amp;M 2º Trimestre</t>
        </is>
      </c>
      <c r="L837" s="280" t="n">
        <v>15799.25625916014</v>
      </c>
      <c r="N837" s="280" t="n"/>
      <c r="P837" s="280" t="n"/>
      <c r="R837" s="280" t="n"/>
      <c r="T837" s="280" t="n"/>
      <c r="V837" s="280" t="n"/>
      <c r="X837" s="280" t="n"/>
      <c r="Z837" s="280" t="n"/>
      <c r="AA837" s="280" t="n"/>
      <c r="AB837" s="281" t="inlineStr">
        <is>
          <t>ES11 0081 7069 2700 0122 7724</t>
        </is>
      </c>
      <c r="AC837" s="278" t="inlineStr">
        <is>
          <t>pendiente</t>
        </is>
      </c>
      <c r="AD837" s="280">
        <f>L837+N837+P837+R837+T837+V837+X837+Z837</f>
        <v/>
      </c>
      <c r="AE837" s="280">
        <f>IF((LEFT(K837,6))="Contab",L837,0)</f>
        <v/>
      </c>
      <c r="AF837" s="281">
        <f>VLOOKUP(G837,CLIENTES!B:E,4,FALSE)</f>
        <v/>
      </c>
      <c r="AG837" s="280">
        <f>AF837*AE837</f>
        <v/>
      </c>
      <c r="AH837" s="280">
        <f>AD837*1.21</f>
        <v/>
      </c>
      <c r="AI837" s="282">
        <f>IF(AE837&lt;&gt;0,AG837/AD837,"N/A")</f>
        <v/>
      </c>
      <c r="AJ837" s="280">
        <f>IF(AC837="pendiente",AD837,0)</f>
        <v/>
      </c>
      <c r="AK837" s="278">
        <f>VLOOKUP(G837,CLIENTES!B:D,3,FALSE)</f>
        <v/>
      </c>
    </row>
    <row r="838" ht="15" customFormat="1" customHeight="1" s="278">
      <c r="B838" s="279" t="n"/>
      <c r="C838" s="278" t="inlineStr">
        <is>
          <t>c/ Las Cruzadas 3A, local D</t>
        </is>
      </c>
      <c r="D838" s="278" t="inlineStr">
        <is>
          <t>Sevilla 41004</t>
        </is>
      </c>
      <c r="E838" s="278" t="inlineStr">
        <is>
          <t>CIF B91938662</t>
        </is>
      </c>
      <c r="F838" s="278" t="inlineStr">
        <is>
          <t>aBalados@abalados.es</t>
        </is>
      </c>
      <c r="G838" s="278" t="inlineStr">
        <is>
          <t>FP LUX REIO PV VALLADOLID, S.L.U.</t>
        </is>
      </c>
      <c r="H838" s="278">
        <f>VLOOKUP($G838,DATOS!$B:$E,2,FALSE)</f>
        <v/>
      </c>
      <c r="I838" s="278">
        <f>VLOOKUP($G838,DATOS!$B:$E,3,FALSE)</f>
        <v/>
      </c>
      <c r="J838" s="278">
        <f>VLOOKUP($G838,DATOS!$B:$E,4,FALSE)</f>
        <v/>
      </c>
      <c r="K838" s="278" t="inlineStr">
        <is>
          <t>Honorarios - Contrato O&amp;M 2º Trimestre</t>
        </is>
      </c>
      <c r="L838" s="280" t="n">
        <v>7021.859008345888</v>
      </c>
      <c r="M838" s="278" t="inlineStr">
        <is>
          <t>Coste Seguro Industrial 2022 (incluido O&amp;M) - 50%</t>
        </is>
      </c>
      <c r="N838" s="280">
        <f>-7070.8/2</f>
        <v/>
      </c>
      <c r="P838" s="280" t="n"/>
      <c r="R838" s="280" t="n"/>
      <c r="T838" s="280" t="n"/>
      <c r="V838" s="280" t="n"/>
      <c r="X838" s="280" t="n"/>
      <c r="Z838" s="280" t="n"/>
      <c r="AA838" s="280" t="n"/>
      <c r="AB838" s="281" t="inlineStr">
        <is>
          <t>ES11 0081 7069 2700 0122 7724</t>
        </is>
      </c>
      <c r="AC838" s="278" t="inlineStr">
        <is>
          <t>pendiente</t>
        </is>
      </c>
      <c r="AD838" s="280">
        <f>L838+N838+P838+R838+T838+V838+X838+Z838</f>
        <v/>
      </c>
      <c r="AE838" s="280">
        <f>IF((LEFT(K838,6))="Contab",L838,0)</f>
        <v/>
      </c>
      <c r="AF838" s="281">
        <f>VLOOKUP(G838,CLIENTES!B:E,4,FALSE)</f>
        <v/>
      </c>
      <c r="AG838" s="280">
        <f>AF838*AE838</f>
        <v/>
      </c>
      <c r="AH838" s="280">
        <f>AD838*1.21</f>
        <v/>
      </c>
      <c r="AI838" s="282">
        <f>IF(AE838&lt;&gt;0,AG838/AD838,"N/A")</f>
        <v/>
      </c>
      <c r="AJ838" s="280">
        <f>IF(AC838="pendiente",AD838,0)</f>
        <v/>
      </c>
      <c r="AK838" s="278">
        <f>VLOOKUP(G838,CLIENTES!B:D,3,FALSE)</f>
        <v/>
      </c>
    </row>
    <row r="839" ht="15" customFormat="1" customHeight="1" s="278">
      <c r="B839" s="279" t="n"/>
      <c r="C839" s="278" t="inlineStr">
        <is>
          <t>c/ Las Cruzadas 3A, local D</t>
        </is>
      </c>
      <c r="D839" s="278" t="inlineStr">
        <is>
          <t>Sevilla 41004</t>
        </is>
      </c>
      <c r="E839" s="278" t="inlineStr">
        <is>
          <t>CIF B91938662</t>
        </is>
      </c>
      <c r="F839" s="278" t="inlineStr">
        <is>
          <t>aBalados@abalados.es</t>
        </is>
      </c>
      <c r="G839" s="278" t="inlineStr">
        <is>
          <t>FP LUX REIO PV VALLADOLID, S.L.U.</t>
        </is>
      </c>
      <c r="H839" s="278">
        <f>VLOOKUP($G839,DATOS!$B:$E,2,FALSE)</f>
        <v/>
      </c>
      <c r="I839" s="278">
        <f>VLOOKUP($G839,DATOS!$B:$E,3,FALSE)</f>
        <v/>
      </c>
      <c r="J839" s="278">
        <f>VLOOKUP($G839,DATOS!$B:$E,4,FALSE)</f>
        <v/>
      </c>
      <c r="K839" s="278" t="inlineStr">
        <is>
          <t>Honorarios - Contrato O&amp;M 2º Trimestre</t>
        </is>
      </c>
      <c r="L839" s="280" t="n">
        <v>3624.936603398749</v>
      </c>
      <c r="N839" s="280" t="n"/>
      <c r="P839" s="280" t="n"/>
      <c r="R839" s="280" t="n"/>
      <c r="T839" s="280" t="n"/>
      <c r="V839" s="280" t="n"/>
      <c r="X839" s="280" t="n"/>
      <c r="Z839" s="280" t="n"/>
      <c r="AA839" s="280" t="n"/>
      <c r="AB839" s="281" t="inlineStr">
        <is>
          <t>ES11 0081 7069 2700 0122 7724</t>
        </is>
      </c>
      <c r="AC839" s="278" t="inlineStr">
        <is>
          <t>pendiente</t>
        </is>
      </c>
      <c r="AD839" s="280">
        <f>L839+N839+P839+R839+T839+V839+X839+Z839</f>
        <v/>
      </c>
      <c r="AE839" s="280">
        <f>IF((LEFT(K839,6))="Contab",L839,0)</f>
        <v/>
      </c>
      <c r="AF839" s="281">
        <f>VLOOKUP(G839,CLIENTES!B:E,4,FALSE)</f>
        <v/>
      </c>
      <c r="AG839" s="280">
        <f>AF839*AE839</f>
        <v/>
      </c>
      <c r="AH839" s="280">
        <f>AD839*1.21</f>
        <v/>
      </c>
      <c r="AI839" s="282">
        <f>IF(AE839&lt;&gt;0,AG839/AD839,"N/A")</f>
        <v/>
      </c>
      <c r="AJ839" s="280">
        <f>IF(AC839="pendiente",AD839,0)</f>
        <v/>
      </c>
      <c r="AK839" s="278">
        <f>VLOOKUP(G839,CLIENTES!B:D,3,FALSE)</f>
        <v/>
      </c>
    </row>
    <row r="840" ht="15" customFormat="1" customHeight="1" s="278">
      <c r="B840" s="279" t="n"/>
      <c r="C840" s="278" t="inlineStr">
        <is>
          <t>c/ Las Cruzadas 3A, local D</t>
        </is>
      </c>
      <c r="D840" s="278" t="inlineStr">
        <is>
          <t>Sevilla 41004</t>
        </is>
      </c>
      <c r="E840" s="278" t="inlineStr">
        <is>
          <t>CIF B91938662</t>
        </is>
      </c>
      <c r="F840" s="278" t="inlineStr">
        <is>
          <t>aBalados@abalados.es</t>
        </is>
      </c>
      <c r="G840" s="278" t="inlineStr">
        <is>
          <t>FP LUX REIO PV VALLADOLID, S.L.U.</t>
        </is>
      </c>
      <c r="H840" s="278">
        <f>VLOOKUP($G840,DATOS!$B:$E,2,FALSE)</f>
        <v/>
      </c>
      <c r="I840" s="278">
        <f>VLOOKUP($G840,DATOS!$B:$E,3,FALSE)</f>
        <v/>
      </c>
      <c r="J840" s="278">
        <f>VLOOKUP($G840,DATOS!$B:$E,4,FALSE)</f>
        <v/>
      </c>
      <c r="K840" s="278" t="inlineStr">
        <is>
          <t>Honorarios - Contrato O&amp;M 2º Trimestre</t>
        </is>
      </c>
      <c r="L840" s="280" t="n">
        <v>4920.915971018136</v>
      </c>
      <c r="N840" s="280" t="n"/>
      <c r="P840" s="280" t="n"/>
      <c r="R840" s="280" t="n"/>
      <c r="T840" s="280" t="n"/>
      <c r="V840" s="280" t="n"/>
      <c r="X840" s="280" t="n"/>
      <c r="Z840" s="280" t="n"/>
      <c r="AA840" s="280" t="n"/>
      <c r="AB840" s="281" t="inlineStr">
        <is>
          <t>ES11 0081 7069 2700 0122 7724</t>
        </is>
      </c>
      <c r="AC840" s="278" t="inlineStr">
        <is>
          <t>pendiente</t>
        </is>
      </c>
      <c r="AD840" s="280">
        <f>L840+N840+P840+R840+T840+V840+X840+Z840</f>
        <v/>
      </c>
      <c r="AE840" s="280">
        <f>IF((LEFT(K840,6))="Contab",L840,0)</f>
        <v/>
      </c>
      <c r="AF840" s="281">
        <f>VLOOKUP(G840,CLIENTES!B:E,4,FALSE)</f>
        <v/>
      </c>
      <c r="AG840" s="280">
        <f>AF840*AE840</f>
        <v/>
      </c>
      <c r="AH840" s="280">
        <f>AD840*1.21</f>
        <v/>
      </c>
      <c r="AI840" s="282">
        <f>IF(AE840&lt;&gt;0,AG840/AD840,"N/A")</f>
        <v/>
      </c>
      <c r="AJ840" s="280">
        <f>IF(AC840="pendiente",AD840,0)</f>
        <v/>
      </c>
      <c r="AK840" s="278">
        <f>VLOOKUP(G840,CLIENTES!B:D,3,FALSE)</f>
        <v/>
      </c>
    </row>
    <row r="841" ht="15" customFormat="1" customHeight="1" s="278">
      <c r="B841" s="279" t="n"/>
      <c r="C841" s="278" t="inlineStr">
        <is>
          <t>c/ Las Cruzadas 3A, local D</t>
        </is>
      </c>
      <c r="D841" s="278" t="inlineStr">
        <is>
          <t>Sevilla 41004</t>
        </is>
      </c>
      <c r="E841" s="278" t="inlineStr">
        <is>
          <t>CIF B91938662</t>
        </is>
      </c>
      <c r="F841" s="278" t="inlineStr">
        <is>
          <t>aBalados@abalados.es</t>
        </is>
      </c>
      <c r="G841" s="278" t="inlineStr">
        <is>
          <t>FP LUX REIO PV VALLADOLID, S.L.U.</t>
        </is>
      </c>
      <c r="H841" s="278">
        <f>VLOOKUP($G841,DATOS!$B:$E,2,FALSE)</f>
        <v/>
      </c>
      <c r="I841" s="278">
        <f>VLOOKUP($G841,DATOS!$B:$E,3,FALSE)</f>
        <v/>
      </c>
      <c r="J841" s="278">
        <f>VLOOKUP($G841,DATOS!$B:$E,4,FALSE)</f>
        <v/>
      </c>
      <c r="K841" s="278" t="inlineStr">
        <is>
          <t>Honorarios - Contrato O&amp;M 2º Trimestre</t>
        </is>
      </c>
      <c r="L841" s="280" t="n">
        <v>6946.428480379149</v>
      </c>
      <c r="N841" s="280" t="n"/>
      <c r="P841" s="280" t="n"/>
      <c r="R841" s="280" t="n"/>
      <c r="T841" s="280" t="n"/>
      <c r="V841" s="280" t="n"/>
      <c r="X841" s="280" t="n"/>
      <c r="Z841" s="280" t="n"/>
      <c r="AA841" s="280" t="n"/>
      <c r="AB841" s="281" t="inlineStr">
        <is>
          <t>ES11 0081 7069 2700 0122 7724</t>
        </is>
      </c>
      <c r="AC841" s="278" t="inlineStr">
        <is>
          <t>pendiente</t>
        </is>
      </c>
      <c r="AD841" s="280">
        <f>L841+N841+P841+R841+T841+V841+X841+Z841</f>
        <v/>
      </c>
      <c r="AE841" s="280">
        <f>IF((LEFT(K841,6))="Contab",L841,0)</f>
        <v/>
      </c>
      <c r="AF841" s="281">
        <f>VLOOKUP(G841,CLIENTES!B:E,4,FALSE)</f>
        <v/>
      </c>
      <c r="AG841" s="280">
        <f>AF841*AE841</f>
        <v/>
      </c>
      <c r="AH841" s="280">
        <f>AD841*1.21</f>
        <v/>
      </c>
      <c r="AI841" s="282">
        <f>IF(AE841&lt;&gt;0,AG841/AD841,"N/A")</f>
        <v/>
      </c>
      <c r="AJ841" s="280">
        <f>IF(AC841="pendiente",AD841,0)</f>
        <v/>
      </c>
      <c r="AK841" s="278">
        <f>VLOOKUP(G841,CLIENTES!B:D,3,FALSE)</f>
        <v/>
      </c>
    </row>
    <row r="842" ht="15" customFormat="1" customHeight="1" s="278">
      <c r="B842" s="279" t="n"/>
      <c r="C842" s="278" t="inlineStr">
        <is>
          <t>c/ Las Cruzadas 3A, local D</t>
        </is>
      </c>
      <c r="D842" s="278" t="inlineStr">
        <is>
          <t>Sevilla 41004</t>
        </is>
      </c>
      <c r="E842" s="278" t="inlineStr">
        <is>
          <t>CIF B91938662</t>
        </is>
      </c>
      <c r="F842" s="278" t="inlineStr">
        <is>
          <t>aBalados@abalados.es</t>
        </is>
      </c>
      <c r="G842" s="278" t="inlineStr">
        <is>
          <t>FP LUX REIO PV VALLADOLID, S.L.U.</t>
        </is>
      </c>
      <c r="H842" s="278">
        <f>VLOOKUP($G842,DATOS!$B:$E,2,FALSE)</f>
        <v/>
      </c>
      <c r="I842" s="278">
        <f>VLOOKUP($G842,DATOS!$B:$E,3,FALSE)</f>
        <v/>
      </c>
      <c r="J842" s="278">
        <f>VLOOKUP($G842,DATOS!$B:$E,4,FALSE)</f>
        <v/>
      </c>
      <c r="K842" s="278" t="inlineStr">
        <is>
          <t>Honorarios - Contrato O&amp;M 2º Trimestre</t>
        </is>
      </c>
      <c r="L842" s="280" t="n">
        <v>3740.954399472926</v>
      </c>
      <c r="N842" s="280" t="n"/>
      <c r="P842" s="280" t="n"/>
      <c r="R842" s="280" t="n"/>
      <c r="T842" s="280" t="n"/>
      <c r="V842" s="280" t="n"/>
      <c r="X842" s="280" t="n"/>
      <c r="Z842" s="280" t="n"/>
      <c r="AA842" s="280" t="n"/>
      <c r="AB842" s="281" t="inlineStr">
        <is>
          <t>ES11 0081 7069 2700 0122 7724</t>
        </is>
      </c>
      <c r="AC842" s="278" t="inlineStr">
        <is>
          <t>pendiente</t>
        </is>
      </c>
      <c r="AD842" s="280">
        <f>L842+N842+P842+R842+T842+V842+X842+Z842</f>
        <v/>
      </c>
      <c r="AE842" s="280">
        <f>IF((LEFT(K842,6))="Contab",L842,0)</f>
        <v/>
      </c>
      <c r="AF842" s="281">
        <f>VLOOKUP(G842,CLIENTES!B:E,4,FALSE)</f>
        <v/>
      </c>
      <c r="AG842" s="280">
        <f>AF842*AE842</f>
        <v/>
      </c>
      <c r="AH842" s="280">
        <f>AD842*1.21</f>
        <v/>
      </c>
      <c r="AI842" s="282">
        <f>IF(AE842&lt;&gt;0,AG842/AD842,"N/A")</f>
        <v/>
      </c>
      <c r="AJ842" s="280">
        <f>IF(AC842="pendiente",AD842,0)</f>
        <v/>
      </c>
      <c r="AK842" s="278">
        <f>VLOOKUP(G842,CLIENTES!B:D,3,FALSE)</f>
        <v/>
      </c>
    </row>
    <row r="843" ht="15" customFormat="1" customHeight="1" s="278">
      <c r="B843" s="279" t="n"/>
      <c r="C843" s="278" t="inlineStr">
        <is>
          <t>c/ Las Cruzadas 3A, local D</t>
        </is>
      </c>
      <c r="D843" s="278" t="inlineStr">
        <is>
          <t>Sevilla 41004</t>
        </is>
      </c>
      <c r="E843" s="278" t="inlineStr">
        <is>
          <t>CIF B91938662</t>
        </is>
      </c>
      <c r="F843" s="278" t="inlineStr">
        <is>
          <t>aBalados@abalados.es</t>
        </is>
      </c>
      <c r="G843" s="278" t="inlineStr">
        <is>
          <t>FP LUX REIO PV VALLADOLID, S.L.U.</t>
        </is>
      </c>
      <c r="H843" s="278">
        <f>VLOOKUP($G843,DATOS!$B:$E,2,FALSE)</f>
        <v/>
      </c>
      <c r="I843" s="278">
        <f>VLOOKUP($G843,DATOS!$B:$E,3,FALSE)</f>
        <v/>
      </c>
      <c r="J843" s="278">
        <f>VLOOKUP($G843,DATOS!$B:$E,4,FALSE)</f>
        <v/>
      </c>
      <c r="K843" s="278" t="inlineStr">
        <is>
          <t>Honorarios - Contrato O&amp;M 2º Trimestre</t>
        </is>
      </c>
      <c r="L843" s="280" t="n">
        <v>11061.73579669515</v>
      </c>
      <c r="N843" s="280" t="n"/>
      <c r="P843" s="280" t="n"/>
      <c r="R843" s="280" t="n"/>
      <c r="T843" s="280" t="n"/>
      <c r="V843" s="280" t="n"/>
      <c r="X843" s="280" t="n"/>
      <c r="Z843" s="280" t="n"/>
      <c r="AA843" s="280" t="n"/>
      <c r="AB843" s="281" t="inlineStr">
        <is>
          <t>ES11 0081 7069 2700 0122 7724</t>
        </is>
      </c>
      <c r="AC843" s="278" t="inlineStr">
        <is>
          <t>pendiente</t>
        </is>
      </c>
      <c r="AD843" s="280">
        <f>L843+N843+P843+R843+T843+V843+X843+Z843</f>
        <v/>
      </c>
      <c r="AE843" s="280">
        <f>IF((LEFT(K843,6))="Contab",L843,0)</f>
        <v/>
      </c>
      <c r="AF843" s="281">
        <f>VLOOKUP(G843,CLIENTES!B:E,4,FALSE)</f>
        <v/>
      </c>
      <c r="AG843" s="280">
        <f>AF843*AE843</f>
        <v/>
      </c>
      <c r="AH843" s="280">
        <f>AD843*1.21</f>
        <v/>
      </c>
      <c r="AI843" s="282">
        <f>IF(AE843&lt;&gt;0,AG843/AD843,"N/A")</f>
        <v/>
      </c>
      <c r="AJ843" s="280">
        <f>IF(AC843="pendiente",AD843,0)</f>
        <v/>
      </c>
      <c r="AK843" s="278">
        <f>VLOOKUP(G843,CLIENTES!B:D,3,FALSE)</f>
        <v/>
      </c>
    </row>
    <row r="844" ht="15" customFormat="1" customHeight="1" s="278">
      <c r="B844" s="279" t="n"/>
      <c r="C844" s="278" t="inlineStr">
        <is>
          <t>c/ Las Cruzadas 3A, local D</t>
        </is>
      </c>
      <c r="D844" s="278" t="inlineStr">
        <is>
          <t>Sevilla 41004</t>
        </is>
      </c>
      <c r="E844" s="278" t="inlineStr">
        <is>
          <t>CIF B91938662</t>
        </is>
      </c>
      <c r="F844" s="278" t="inlineStr">
        <is>
          <t>aBalados@abalados.es</t>
        </is>
      </c>
      <c r="G844" s="278" t="inlineStr">
        <is>
          <t>FP LUX REIO PV VALLADOLID, S.L.U.</t>
        </is>
      </c>
      <c r="H844" s="278">
        <f>VLOOKUP($G844,DATOS!$B:$E,2,FALSE)</f>
        <v/>
      </c>
      <c r="I844" s="278">
        <f>VLOOKUP($G844,DATOS!$B:$E,3,FALSE)</f>
        <v/>
      </c>
      <c r="J844" s="278">
        <f>VLOOKUP($G844,DATOS!$B:$E,4,FALSE)</f>
        <v/>
      </c>
      <c r="K844" s="278" t="inlineStr">
        <is>
          <t>Honorarios - Contrato O&amp;M 2º Trimestre</t>
        </is>
      </c>
      <c r="L844" s="280" t="n">
        <v>11061.73579669515</v>
      </c>
      <c r="N844" s="280" t="n"/>
      <c r="P844" s="280" t="n"/>
      <c r="R844" s="280" t="n"/>
      <c r="T844" s="280" t="n"/>
      <c r="V844" s="280" t="n"/>
      <c r="X844" s="280" t="n"/>
      <c r="Z844" s="280" t="n"/>
      <c r="AA844" s="280" t="n"/>
      <c r="AB844" s="281" t="inlineStr">
        <is>
          <t>ES11 0081 7069 2700 0122 7724</t>
        </is>
      </c>
      <c r="AC844" s="278" t="inlineStr">
        <is>
          <t>pendiente</t>
        </is>
      </c>
      <c r="AD844" s="280">
        <f>L844+N844+P844+R844+T844+V844+X844+Z844</f>
        <v/>
      </c>
      <c r="AE844" s="280">
        <f>IF((LEFT(K844,6))="Contab",L844,0)</f>
        <v/>
      </c>
      <c r="AF844" s="281">
        <f>VLOOKUP(G844,CLIENTES!B:E,4,FALSE)</f>
        <v/>
      </c>
      <c r="AG844" s="280">
        <f>AF844*AE844</f>
        <v/>
      </c>
      <c r="AH844" s="280">
        <f>AD844*1.21</f>
        <v/>
      </c>
      <c r="AI844" s="282">
        <f>IF(AE844&lt;&gt;0,AG844/AD844,"N/A")</f>
        <v/>
      </c>
      <c r="AJ844" s="280">
        <f>IF(AC844="pendiente",AD844,0)</f>
        <v/>
      </c>
      <c r="AK844" s="278">
        <f>VLOOKUP(G844,CLIENTES!B:D,3,FALSE)</f>
        <v/>
      </c>
    </row>
    <row r="845" ht="15" customFormat="1" customHeight="1" s="278">
      <c r="B845" s="279" t="n"/>
      <c r="C845" s="278" t="inlineStr">
        <is>
          <t>c/ Las Cruzadas 3A, local D</t>
        </is>
      </c>
      <c r="D845" s="278" t="inlineStr">
        <is>
          <t>Sevilla 41004</t>
        </is>
      </c>
      <c r="E845" s="278" t="inlineStr">
        <is>
          <t>CIF B91938662</t>
        </is>
      </c>
      <c r="F845" s="278" t="inlineStr">
        <is>
          <t>aBalados@abalados.es</t>
        </is>
      </c>
      <c r="G845" s="278" t="inlineStr">
        <is>
          <t>FP LUX REIO PV VALLADOLID, S.L.U.</t>
        </is>
      </c>
      <c r="H845" s="278">
        <f>VLOOKUP($G845,DATOS!$B:$E,2,FALSE)</f>
        <v/>
      </c>
      <c r="I845" s="278">
        <f>VLOOKUP($G845,DATOS!$B:$E,3,FALSE)</f>
        <v/>
      </c>
      <c r="J845" s="278">
        <f>VLOOKUP($G845,DATOS!$B:$E,4,FALSE)</f>
        <v/>
      </c>
      <c r="K845" s="278" t="inlineStr">
        <is>
          <t>Honorarios - Contrato O&amp;M 2º Trimestre</t>
        </is>
      </c>
      <c r="L845" s="280" t="n">
        <v>10008.23714939085</v>
      </c>
      <c r="N845" s="280" t="n"/>
      <c r="P845" s="280" t="n"/>
      <c r="R845" s="280" t="n"/>
      <c r="T845" s="280" t="n"/>
      <c r="V845" s="280" t="n"/>
      <c r="X845" s="280" t="n"/>
      <c r="Z845" s="280" t="n"/>
      <c r="AA845" s="280" t="n"/>
      <c r="AB845" s="281" t="inlineStr">
        <is>
          <t>ES11 0081 7069 2700 0122 7724</t>
        </is>
      </c>
      <c r="AC845" s="278" t="inlineStr">
        <is>
          <t>pendiente</t>
        </is>
      </c>
      <c r="AD845" s="280">
        <f>L845+N845+P845+R845+T845+V845+X845+Z845</f>
        <v/>
      </c>
      <c r="AE845" s="280">
        <f>IF((LEFT(K845,6))="Contab",L845,0)</f>
        <v/>
      </c>
      <c r="AF845" s="281">
        <f>VLOOKUP(G845,CLIENTES!B:E,4,FALSE)</f>
        <v/>
      </c>
      <c r="AG845" s="280">
        <f>AF845*AE845</f>
        <v/>
      </c>
      <c r="AH845" s="280">
        <f>AD845*1.21</f>
        <v/>
      </c>
      <c r="AI845" s="282">
        <f>IF(AE845&lt;&gt;0,AG845/AD845,"N/A")</f>
        <v/>
      </c>
      <c r="AJ845" s="280">
        <f>IF(AC845="pendiente",AD845,0)</f>
        <v/>
      </c>
      <c r="AK845" s="278">
        <f>VLOOKUP(G845,CLIENTES!B:D,3,FALSE)</f>
        <v/>
      </c>
    </row>
    <row r="846" ht="15" customFormat="1" customHeight="1" s="278">
      <c r="B846" s="279" t="n"/>
      <c r="C846" s="278" t="inlineStr">
        <is>
          <t>c/ Las Cruzadas 3A, local D</t>
        </is>
      </c>
      <c r="D846" s="278" t="inlineStr">
        <is>
          <t>Sevilla 41004</t>
        </is>
      </c>
      <c r="E846" s="278" t="inlineStr">
        <is>
          <t>CIF B91938662</t>
        </is>
      </c>
      <c r="F846" s="278" t="inlineStr">
        <is>
          <t>aBalados@abalados.es</t>
        </is>
      </c>
      <c r="G846" s="278" t="inlineStr">
        <is>
          <t>FP LUX REIO PV VALLADOLID, S.L.U.</t>
        </is>
      </c>
      <c r="H846" s="278">
        <f>VLOOKUP($G846,DATOS!$B:$E,2,FALSE)</f>
        <v/>
      </c>
      <c r="I846" s="278">
        <f>VLOOKUP($G846,DATOS!$B:$E,3,FALSE)</f>
        <v/>
      </c>
      <c r="J846" s="278">
        <f>VLOOKUP($G846,DATOS!$B:$E,4,FALSE)</f>
        <v/>
      </c>
      <c r="K846" s="278" t="inlineStr">
        <is>
          <t>Honorarios - Contrato O&amp;M 2º Trimestre</t>
        </is>
      </c>
      <c r="L846" s="280" t="n">
        <v>22000.33538786123</v>
      </c>
      <c r="N846" s="280" t="n"/>
      <c r="P846" s="280" t="n"/>
      <c r="R846" s="280" t="n"/>
      <c r="T846" s="280" t="n"/>
      <c r="V846" s="280" t="n"/>
      <c r="X846" s="280" t="n"/>
      <c r="Z846" s="280" t="n"/>
      <c r="AA846" s="280" t="n"/>
      <c r="AB846" s="281" t="inlineStr">
        <is>
          <t>ES11 0081 7069 2700 0122 7724</t>
        </is>
      </c>
      <c r="AC846" s="278" t="inlineStr">
        <is>
          <t>pendiente</t>
        </is>
      </c>
      <c r="AD846" s="280">
        <f>L846+N846+P846+R846+T846+V846+X846+Z846</f>
        <v/>
      </c>
      <c r="AE846" s="280">
        <f>IF((LEFT(K846,6))="Contab",L846,0)</f>
        <v/>
      </c>
      <c r="AF846" s="281">
        <f>VLOOKUP(G846,CLIENTES!B:E,4,FALSE)</f>
        <v/>
      </c>
      <c r="AG846" s="280">
        <f>AF846*AE846</f>
        <v/>
      </c>
      <c r="AH846" s="280">
        <f>AD846*1.21</f>
        <v/>
      </c>
      <c r="AI846" s="282">
        <f>IF(AE846&lt;&gt;0,AG846/AD846,"N/A")</f>
        <v/>
      </c>
      <c r="AJ846" s="280">
        <f>IF(AC846="pendiente",AD846,0)</f>
        <v/>
      </c>
      <c r="AK846" s="278">
        <f>VLOOKUP(G846,CLIENTES!B:D,3,FALSE)</f>
        <v/>
      </c>
    </row>
    <row r="847" ht="15" customFormat="1" customHeight="1" s="278">
      <c r="B847" s="279" t="n"/>
      <c r="C847" s="278" t="inlineStr">
        <is>
          <t>c/ Las Cruzadas 3A, local D</t>
        </is>
      </c>
      <c r="D847" s="278" t="inlineStr">
        <is>
          <t>Sevilla 41004</t>
        </is>
      </c>
      <c r="E847" s="278" t="inlineStr">
        <is>
          <t>CIF B91938662</t>
        </is>
      </c>
      <c r="F847" s="278" t="inlineStr">
        <is>
          <t>aBalados@abalados.es</t>
        </is>
      </c>
      <c r="G847" s="278" t="inlineStr">
        <is>
          <t>FP LUX REIO PV VALLADOLID, S.L.U.</t>
        </is>
      </c>
      <c r="H847" s="278">
        <f>VLOOKUP($G847,DATOS!$B:$E,2,FALSE)</f>
        <v/>
      </c>
      <c r="I847" s="278">
        <f>VLOOKUP($G847,DATOS!$B:$E,3,FALSE)</f>
        <v/>
      </c>
      <c r="J847" s="278">
        <f>VLOOKUP($G847,DATOS!$B:$E,4,FALSE)</f>
        <v/>
      </c>
      <c r="K847" s="278" t="inlineStr">
        <is>
          <t>Honorarios - Contrato O&amp;M 2º Trimestre</t>
        </is>
      </c>
      <c r="L847" s="280" t="n">
        <v>10897.42004851115</v>
      </c>
      <c r="N847" s="280" t="n"/>
      <c r="P847" s="280" t="n"/>
      <c r="R847" s="280" t="n"/>
      <c r="T847" s="280" t="n"/>
      <c r="V847" s="280" t="n"/>
      <c r="X847" s="280" t="n"/>
      <c r="Z847" s="280" t="n"/>
      <c r="AA847" s="280" t="n"/>
      <c r="AB847" s="281" t="inlineStr">
        <is>
          <t>ES11 0081 7069 2700 0122 7724</t>
        </is>
      </c>
      <c r="AC847" s="278" t="inlineStr">
        <is>
          <t>pendiente</t>
        </is>
      </c>
      <c r="AD847" s="280">
        <f>L847+N847+P847+R847+T847+V847+X847+Z847</f>
        <v/>
      </c>
      <c r="AE847" s="280">
        <f>IF((LEFT(K847,6))="Contab",L847,0)</f>
        <v/>
      </c>
      <c r="AF847" s="281">
        <f>VLOOKUP(G847,CLIENTES!B:E,4,FALSE)</f>
        <v/>
      </c>
      <c r="AG847" s="280">
        <f>AF847*AE847</f>
        <v/>
      </c>
      <c r="AH847" s="280">
        <f>AD847*1.21</f>
        <v/>
      </c>
      <c r="AI847" s="282">
        <f>IF(AE847&lt;&gt;0,AG847/AD847,"N/A")</f>
        <v/>
      </c>
      <c r="AJ847" s="280">
        <f>IF(AC847="pendiente",AD847,0)</f>
        <v/>
      </c>
      <c r="AK847" s="278">
        <f>VLOOKUP(G847,CLIENTES!B:D,3,FALSE)</f>
        <v/>
      </c>
    </row>
    <row r="848" ht="15" customFormat="1" customHeight="1" s="278">
      <c r="B848" s="279" t="n"/>
      <c r="C848" s="278" t="inlineStr">
        <is>
          <t>c/ Las Cruzadas 3A, local D</t>
        </is>
      </c>
      <c r="D848" s="278" t="inlineStr">
        <is>
          <t>Sevilla 41004</t>
        </is>
      </c>
      <c r="E848" s="278" t="inlineStr">
        <is>
          <t>CIF B91938662</t>
        </is>
      </c>
      <c r="F848" s="278" t="inlineStr">
        <is>
          <t>aBalados@abalados.es</t>
        </is>
      </c>
      <c r="G848" s="278" t="inlineStr">
        <is>
          <t>FP LUX REIO PV VALLADOLID, S.L.U.</t>
        </is>
      </c>
      <c r="H848" s="278">
        <f>VLOOKUP($G848,DATOS!$B:$E,2,FALSE)</f>
        <v/>
      </c>
      <c r="I848" s="278">
        <f>VLOOKUP($G848,DATOS!$B:$E,3,FALSE)</f>
        <v/>
      </c>
      <c r="J848" s="278">
        <f>VLOOKUP($G848,DATOS!$B:$E,4,FALSE)</f>
        <v/>
      </c>
      <c r="K848" s="278" t="inlineStr">
        <is>
          <t>Honorarios - Contrato O&amp;M 2º Trimestre</t>
        </is>
      </c>
      <c r="L848" s="280" t="n">
        <v>16604.5068382126</v>
      </c>
      <c r="N848" s="280" t="n"/>
      <c r="P848" s="280" t="n"/>
      <c r="R848" s="280" t="n"/>
      <c r="T848" s="280" t="n"/>
      <c r="V848" s="280" t="n"/>
      <c r="X848" s="280" t="n"/>
      <c r="Z848" s="280" t="n"/>
      <c r="AA848" s="280" t="n"/>
      <c r="AB848" s="281" t="inlineStr">
        <is>
          <t>ES11 0081 7069 2700 0122 7724</t>
        </is>
      </c>
      <c r="AC848" s="278" t="inlineStr">
        <is>
          <t>pendiente</t>
        </is>
      </c>
      <c r="AD848" s="280">
        <f>L848+N848+P848+R848+T848+V848+X848+Z848</f>
        <v/>
      </c>
      <c r="AE848" s="280">
        <f>IF((LEFT(K848,6))="Contab",L848,0)</f>
        <v/>
      </c>
      <c r="AF848" s="281">
        <f>VLOOKUP(G848,CLIENTES!B:E,4,FALSE)</f>
        <v/>
      </c>
      <c r="AG848" s="280">
        <f>AF848*AE848</f>
        <v/>
      </c>
      <c r="AH848" s="280">
        <f>AD848*1.21</f>
        <v/>
      </c>
      <c r="AI848" s="282">
        <f>IF(AE848&lt;&gt;0,AG848/AD848,"N/A")</f>
        <v/>
      </c>
      <c r="AJ848" s="280">
        <f>IF(AC848="pendiente",AD848,0)</f>
        <v/>
      </c>
      <c r="AK848" s="278">
        <f>VLOOKUP(G848,CLIENTES!B:D,3,FALSE)</f>
        <v/>
      </c>
    </row>
    <row r="849" ht="15" customFormat="1" customHeight="1" s="278">
      <c r="B849" s="279" t="n"/>
      <c r="C849" s="278" t="inlineStr">
        <is>
          <t>c/ Las Cruzadas 3A, local D</t>
        </is>
      </c>
      <c r="D849" s="278" t="inlineStr">
        <is>
          <t>Sevilla 41004</t>
        </is>
      </c>
      <c r="E849" s="278" t="inlineStr">
        <is>
          <t>CIF B91938662</t>
        </is>
      </c>
      <c r="F849" s="278" t="inlineStr">
        <is>
          <t>aBalados@abalados.es</t>
        </is>
      </c>
      <c r="G849" s="278" t="inlineStr">
        <is>
          <t>FP LUX REIO PV VALLADOLID, S.L.U.</t>
        </is>
      </c>
      <c r="H849" s="278">
        <f>VLOOKUP($G849,DATOS!$B:$E,2,FALSE)</f>
        <v/>
      </c>
      <c r="I849" s="278">
        <f>VLOOKUP($G849,DATOS!$B:$E,3,FALSE)</f>
        <v/>
      </c>
      <c r="J849" s="278">
        <f>VLOOKUP($G849,DATOS!$B:$E,4,FALSE)</f>
        <v/>
      </c>
      <c r="K849" s="278" t="inlineStr">
        <is>
          <t>Honorarios - Contrato O&amp;M 2º Trimestre</t>
        </is>
      </c>
      <c r="L849" s="280" t="n">
        <v>11831.1860795159</v>
      </c>
      <c r="N849" s="280" t="n"/>
      <c r="P849" s="280" t="n"/>
      <c r="R849" s="280" t="n"/>
      <c r="T849" s="280" t="n"/>
      <c r="V849" s="280" t="n"/>
      <c r="X849" s="280" t="n"/>
      <c r="Z849" s="280" t="n"/>
      <c r="AA849" s="280" t="n"/>
      <c r="AB849" s="281" t="inlineStr">
        <is>
          <t>ES11 0081 7069 2700 0122 7724</t>
        </is>
      </c>
      <c r="AC849" s="278" t="inlineStr">
        <is>
          <t>pendiente</t>
        </is>
      </c>
      <c r="AD849" s="280">
        <f>L849+N849+P849+R849+T849+V849+X849+Z849</f>
        <v/>
      </c>
      <c r="AE849" s="280">
        <f>IF((LEFT(K849,6))="Contab",L849,0)</f>
        <v/>
      </c>
      <c r="AF849" s="281">
        <f>VLOOKUP(G849,CLIENTES!B:E,4,FALSE)</f>
        <v/>
      </c>
      <c r="AG849" s="280">
        <f>AF849*AE849</f>
        <v/>
      </c>
      <c r="AH849" s="280">
        <f>AD849*1.21</f>
        <v/>
      </c>
      <c r="AI849" s="282">
        <f>IF(AE849&lt;&gt;0,AG849/AD849,"N/A")</f>
        <v/>
      </c>
      <c r="AJ849" s="280">
        <f>IF(AC849="pendiente",AD849,0)</f>
        <v/>
      </c>
      <c r="AK849" s="278">
        <f>VLOOKUP(G849,CLIENTES!B:D,3,FALSE)</f>
        <v/>
      </c>
    </row>
    <row r="850" ht="15" customFormat="1" customHeight="1" s="195">
      <c r="B850" s="194" t="n"/>
      <c r="C850" s="195" t="inlineStr">
        <is>
          <t>c/ Las Cruzadas 3A, local D</t>
        </is>
      </c>
      <c r="D850" s="195" t="inlineStr">
        <is>
          <t>Sevilla 41004</t>
        </is>
      </c>
      <c r="E850" s="195" t="inlineStr">
        <is>
          <t>CIF B91938662</t>
        </is>
      </c>
      <c r="F850" s="195" t="inlineStr">
        <is>
          <t>aBalados@abalados.es</t>
        </is>
      </c>
      <c r="G850" s="195" t="inlineStr">
        <is>
          <t>FP LUX REIO PV VALLADOLID, S.L.U.</t>
        </is>
      </c>
      <c r="H850" s="195">
        <f>VLOOKUP($G850,DATOS!$B:$E,2,FALSE)</f>
        <v/>
      </c>
      <c r="I850" s="195">
        <f>VLOOKUP($G850,DATOS!$B:$E,3,FALSE)</f>
        <v/>
      </c>
      <c r="J850" s="195">
        <f>VLOOKUP($G850,DATOS!$B:$E,4,FALSE)</f>
        <v/>
      </c>
      <c r="K850" s="195" t="inlineStr">
        <is>
          <t>Asset Management 2Q2023 | 01.04 - 30.06</t>
        </is>
      </c>
      <c r="L850" s="196">
        <f>'Tarifa 2025'!$D$29/4</f>
        <v/>
      </c>
      <c r="N850" s="196" t="n"/>
      <c r="O850" s="195" t="inlineStr">
        <is>
          <t>Gestión de Activos 1T2023 | 01.04 - 30.06</t>
        </is>
      </c>
      <c r="P850" s="196" t="n"/>
      <c r="R850" s="196" t="n"/>
      <c r="T850" s="196" t="n"/>
      <c r="V850" s="196" t="n"/>
      <c r="X850" s="196" t="n"/>
      <c r="Z850" s="196" t="n"/>
      <c r="AA850" s="196" t="n"/>
      <c r="AB850" s="197" t="inlineStr">
        <is>
          <t>ES11 0081 7069 2700 0122 7724</t>
        </is>
      </c>
      <c r="AC850" s="195" t="inlineStr">
        <is>
          <t>pendiente</t>
        </is>
      </c>
      <c r="AD850" s="196">
        <f>L850+N850+P850+R850+T850+V850+X850+Z850</f>
        <v/>
      </c>
      <c r="AE850" s="196">
        <f>IF((LEFT(K850,4))="Cont",N850,0)</f>
        <v/>
      </c>
      <c r="AF850" s="197">
        <f>VLOOKUP(G850,CLIENTES!B:E,4,FALSE)</f>
        <v/>
      </c>
      <c r="AG850" s="196">
        <f>AF850*AE850</f>
        <v/>
      </c>
      <c r="AH850" s="196">
        <f>AD850*1.21</f>
        <v/>
      </c>
      <c r="AI850" s="285">
        <f>IF(AE850&lt;&gt;0,AG850/AD850,"N/A")</f>
        <v/>
      </c>
      <c r="AJ850" s="196">
        <f>IF(AC850="pendiente",AD850,0)</f>
        <v/>
      </c>
      <c r="AK850" s="195">
        <f>VLOOKUP(G850,CLIENTES!B:D,3,FALSE)</f>
        <v/>
      </c>
    </row>
    <row r="851" ht="15" customFormat="1" customHeight="1" s="192">
      <c r="B851" s="199" t="n"/>
      <c r="C851" s="192" t="inlineStr">
        <is>
          <t>c/ Las Cruzadas 3A, local D</t>
        </is>
      </c>
      <c r="D851" s="192" t="inlineStr">
        <is>
          <t>Sevilla 41004</t>
        </is>
      </c>
      <c r="E851" s="192" t="inlineStr">
        <is>
          <t>CIF B91938662</t>
        </is>
      </c>
      <c r="F851" s="192" t="inlineStr">
        <is>
          <t>aBalados@abalados.es</t>
        </is>
      </c>
      <c r="G851" s="192" t="inlineStr">
        <is>
          <t>FP LUX REIO PV VALLADOLID, S.L.U.</t>
        </is>
      </c>
      <c r="H851" s="192">
        <f>VLOOKUP($G851,DATOS!$B:$E,2,FALSE)</f>
        <v/>
      </c>
      <c r="I851" s="192">
        <f>VLOOKUP($G851,DATOS!$B:$E,3,FALSE)</f>
        <v/>
      </c>
      <c r="J851" s="192">
        <f>VLOOKUP($G851,DATOS!$B:$E,4,FALSE)</f>
        <v/>
      </c>
      <c r="K851" s="192" t="inlineStr">
        <is>
          <t>Proyecto El Marqués - Zaragoza</t>
        </is>
      </c>
      <c r="L851" s="200" t="n"/>
      <c r="M851" s="192" t="inlineStr">
        <is>
          <t>Asset Management fee - 2nd quarter 2023</t>
        </is>
      </c>
      <c r="N851" s="200">
        <f>'Tarifa 2025'!$D$25/4</f>
        <v/>
      </c>
      <c r="P851" s="200" t="n"/>
      <c r="Q851" s="192" t="inlineStr">
        <is>
          <t>Honorarios de gestión de activo - 2º trimestre 2023</t>
        </is>
      </c>
      <c r="R851" s="200" t="n"/>
      <c r="T851" s="200" t="n"/>
      <c r="V851" s="200" t="n"/>
      <c r="X851" s="200" t="n"/>
      <c r="Z851" s="200" t="n"/>
      <c r="AA851" s="200" t="n"/>
      <c r="AB851" s="201" t="inlineStr">
        <is>
          <t>ES11 0081 7069 2700 0122 7724</t>
        </is>
      </c>
      <c r="AC851" s="192" t="inlineStr">
        <is>
          <t>pendiente</t>
        </is>
      </c>
      <c r="AD851" s="200">
        <f>L851+N851+P851+R851+T851+V851+X851+Z851</f>
        <v/>
      </c>
      <c r="AE851" s="200">
        <f>IF((LEFT(K851,6))="Contab",L851,0)</f>
        <v/>
      </c>
      <c r="AF851" s="201">
        <f>VLOOKUP(G851,CLIENTES!B:E,4,FALSE)</f>
        <v/>
      </c>
      <c r="AG851" s="200">
        <f>AF851*AE851</f>
        <v/>
      </c>
      <c r="AH851" s="200">
        <f>AD851*1.21</f>
        <v/>
      </c>
      <c r="AI851" s="283">
        <f>IF(AE851&lt;&gt;0,AG851/AD851,"N/A")</f>
        <v/>
      </c>
      <c r="AJ851" s="200">
        <f>IF(AC851="pendiente",AD851,0)</f>
        <v/>
      </c>
      <c r="AK851" s="192">
        <f>VLOOKUP(G851,CLIENTES!B:D,3,FALSE)</f>
        <v/>
      </c>
    </row>
    <row r="852" ht="15" customFormat="1" customHeight="1" s="278">
      <c r="B852" s="279" t="n"/>
      <c r="C852" s="278" t="inlineStr">
        <is>
          <t>c/ Las Cruzadas 3A, local D</t>
        </is>
      </c>
      <c r="D852" s="278" t="inlineStr">
        <is>
          <t>Sevilla 41004</t>
        </is>
      </c>
      <c r="E852" s="278" t="inlineStr">
        <is>
          <t>CIF B91938662</t>
        </is>
      </c>
      <c r="F852" s="278" t="inlineStr">
        <is>
          <t>aBalados@abalados.es</t>
        </is>
      </c>
      <c r="G852" s="278" t="inlineStr">
        <is>
          <t>FP LUX REIO PV VALLADOLID, S.L.U.</t>
        </is>
      </c>
      <c r="H852" s="278">
        <f>VLOOKUP($G852,DATOS!$B:$E,2,FALSE)</f>
        <v/>
      </c>
      <c r="I852" s="278">
        <f>VLOOKUP($G852,DATOS!$B:$E,3,FALSE)</f>
        <v/>
      </c>
      <c r="J852" s="278">
        <f>VLOOKUP($G852,DATOS!$B:$E,4,FALSE)</f>
        <v/>
      </c>
      <c r="K852" s="278" t="inlineStr">
        <is>
          <t>O&amp;M Supervision and Management</t>
        </is>
      </c>
      <c r="L852" s="280" t="n"/>
      <c r="N852" s="280" t="n"/>
      <c r="O852" s="278" t="inlineStr">
        <is>
          <t>Puerto Real 1 PV - Cádiz | Spain</t>
        </is>
      </c>
      <c r="P852" s="280" t="n">
        <v>16803.27</v>
      </c>
      <c r="Q852" s="278" t="inlineStr">
        <is>
          <t>O&amp;M Management services provided on April 2023</t>
        </is>
      </c>
      <c r="R852" s="280" t="n"/>
      <c r="T852" s="280" t="n"/>
      <c r="V852" s="280" t="n"/>
      <c r="X852" s="280" t="n"/>
      <c r="Z852" s="280" t="n"/>
      <c r="AA852" s="280" t="n"/>
      <c r="AB852" s="281" t="inlineStr">
        <is>
          <t>ES11 0081 7069 2700 0122 7724</t>
        </is>
      </c>
      <c r="AC852" s="278" t="inlineStr">
        <is>
          <t>pendiente</t>
        </is>
      </c>
      <c r="AD852" s="280">
        <f>L852+N852+P852+R852+T852+V852+X852+Z852</f>
        <v/>
      </c>
      <c r="AE852" s="280">
        <f>IF((LEFT(K852,6))="Contab",L852,0)</f>
        <v/>
      </c>
      <c r="AF852" s="281">
        <f>VLOOKUP(G852,CLIENTES!B:E,4,FALSE)</f>
        <v/>
      </c>
      <c r="AG852" s="280">
        <f>AF852*AE852</f>
        <v/>
      </c>
      <c r="AH852" s="280">
        <f>AD852*1.21</f>
        <v/>
      </c>
      <c r="AI852" s="284">
        <f>IF(AE852&lt;&gt;0,AG852/AD852,"N/A")</f>
        <v/>
      </c>
      <c r="AJ852" s="280">
        <f>IF(AC852="pendiente",AD852,0)</f>
        <v/>
      </c>
      <c r="AK852" s="278">
        <f>VLOOKUP(G852,CLIENTES!B:D,3,FALSE)</f>
        <v/>
      </c>
    </row>
    <row r="853" ht="15" customFormat="1" customHeight="1" s="278">
      <c r="B853" s="279" t="n"/>
      <c r="C853" s="278" t="inlineStr">
        <is>
          <t>c/ Las Cruzadas 3A, local D</t>
        </is>
      </c>
      <c r="D853" s="278" t="inlineStr">
        <is>
          <t>Sevilla 41004</t>
        </is>
      </c>
      <c r="E853" s="278" t="inlineStr">
        <is>
          <t>CIF B91938662</t>
        </is>
      </c>
      <c r="F853" s="278" t="inlineStr">
        <is>
          <t>aBalados@abalados.es</t>
        </is>
      </c>
      <c r="G853" s="278" t="inlineStr">
        <is>
          <t>FP LUX REIO PV VALLADOLID, S.L.U.</t>
        </is>
      </c>
      <c r="H853" s="278">
        <f>VLOOKUP($G853,DATOS!$B:$E,2,FALSE)</f>
        <v/>
      </c>
      <c r="I853" s="278">
        <f>VLOOKUP($G853,DATOS!$B:$E,3,FALSE)</f>
        <v/>
      </c>
      <c r="J853" s="278">
        <f>VLOOKUP($G853,DATOS!$B:$E,4,FALSE)</f>
        <v/>
      </c>
      <c r="K853" s="278" t="inlineStr">
        <is>
          <t>Project Management for EPC Closing</t>
        </is>
      </c>
      <c r="L853" s="280" t="n"/>
      <c r="N853" s="280" t="n"/>
      <c r="O853" s="278" t="inlineStr">
        <is>
          <t>Puerto Real 2 PV - Cádiz | Spain</t>
        </is>
      </c>
      <c r="P853" s="280" t="n">
        <v>34900.5</v>
      </c>
      <c r="Q853" s="278" t="inlineStr">
        <is>
          <t>Milestone 1 - Completion of site works</t>
        </is>
      </c>
      <c r="R853" s="280" t="n"/>
      <c r="T853" s="280" t="n"/>
      <c r="V853" s="280" t="n"/>
      <c r="X853" s="280" t="n"/>
      <c r="Z853" s="280" t="n"/>
      <c r="AA853" s="280" t="n"/>
      <c r="AB853" s="281" t="inlineStr">
        <is>
          <t>ES11 0081 7069 2700 0122 7724</t>
        </is>
      </c>
      <c r="AC853" s="278" t="inlineStr">
        <is>
          <t>pendiente</t>
        </is>
      </c>
      <c r="AD853" s="280">
        <f>L853+N853+P853+R853+T853+V853+X853+Z853</f>
        <v/>
      </c>
      <c r="AE853" s="280">
        <f>IF((LEFT(K853,6))="Contab",L853,0)</f>
        <v/>
      </c>
      <c r="AF853" s="281">
        <f>VLOOKUP(G853,CLIENTES!B:E,4,FALSE)</f>
        <v/>
      </c>
      <c r="AG853" s="280">
        <f>AF853*AE853</f>
        <v/>
      </c>
      <c r="AH853" s="280">
        <f>AD853*1.21</f>
        <v/>
      </c>
      <c r="AI853" s="284">
        <f>IF(AE853&lt;&gt;0,AG853/AD853,"N/A")</f>
        <v/>
      </c>
      <c r="AJ853" s="280">
        <f>IF(AC853="pendiente",AD853,0)</f>
        <v/>
      </c>
      <c r="AK853" s="278">
        <f>VLOOKUP(G853,CLIENTES!B:D,3,FALSE)</f>
        <v/>
      </c>
    </row>
    <row r="854" ht="15" customFormat="1" customHeight="1" s="278">
      <c r="B854" s="279" t="n"/>
      <c r="C854" s="278" t="inlineStr">
        <is>
          <t>c/ Las Cruzadas 3A, local D</t>
        </is>
      </c>
      <c r="D854" s="278" t="inlineStr">
        <is>
          <t>Sevilla 41004</t>
        </is>
      </c>
      <c r="E854" s="278" t="inlineStr">
        <is>
          <t>CIF B91938662</t>
        </is>
      </c>
      <c r="F854" s="278" t="inlineStr">
        <is>
          <t>aBalados@abalados.es</t>
        </is>
      </c>
      <c r="G854" s="278" t="inlineStr">
        <is>
          <t>FP LUX REIO PV VALLADOLID, S.L.U.</t>
        </is>
      </c>
      <c r="H854" s="278">
        <f>VLOOKUP($G854,DATOS!$B:$E,2,FALSE)</f>
        <v/>
      </c>
      <c r="I854" s="278">
        <f>VLOOKUP($G854,DATOS!$B:$E,3,FALSE)</f>
        <v/>
      </c>
      <c r="J854" s="278">
        <f>VLOOKUP($G854,DATOS!$B:$E,4,FALSE)</f>
        <v/>
      </c>
      <c r="K854" s="278" t="inlineStr">
        <is>
          <t>Project Management for EPC Closing</t>
        </is>
      </c>
      <c r="L854" s="280" t="n"/>
      <c r="N854" s="280" t="n"/>
      <c r="O854" s="278" t="inlineStr">
        <is>
          <t>Puerto Real 2 PV - Cádiz | Spain</t>
        </is>
      </c>
      <c r="P854" s="280" t="n">
        <v>23267</v>
      </c>
      <c r="Q854" s="278" t="inlineStr">
        <is>
          <t>Milestone 3 - Completion of permitting</t>
        </is>
      </c>
      <c r="R854" s="280" t="n"/>
      <c r="T854" s="280" t="n"/>
      <c r="V854" s="280" t="n"/>
      <c r="X854" s="280" t="n"/>
      <c r="Z854" s="280" t="n"/>
      <c r="AA854" s="280" t="n"/>
      <c r="AB854" s="281" t="inlineStr">
        <is>
          <t>ES11 0081 7069 2700 0122 7724</t>
        </is>
      </c>
      <c r="AC854" s="278" t="inlineStr">
        <is>
          <t>pendiente</t>
        </is>
      </c>
      <c r="AD854" s="280">
        <f>L854+N854+P854+R854+T854+V854+X854+Z854</f>
        <v/>
      </c>
      <c r="AE854" s="280">
        <f>IF((LEFT(K854,6))="Contab",L854,0)</f>
        <v/>
      </c>
      <c r="AF854" s="281">
        <f>VLOOKUP(G854,CLIENTES!B:E,4,FALSE)</f>
        <v/>
      </c>
      <c r="AG854" s="280">
        <f>AF854*AE854</f>
        <v/>
      </c>
      <c r="AH854" s="280">
        <f>AD854*1.21</f>
        <v/>
      </c>
      <c r="AI854" s="284">
        <f>IF(AE854&lt;&gt;0,AG854/AD854,"N/A")</f>
        <v/>
      </c>
      <c r="AJ854" s="280">
        <f>IF(AC854="pendiente",AD854,0)</f>
        <v/>
      </c>
      <c r="AK854" s="278">
        <f>VLOOKUP(G854,CLIENTES!B:D,3,FALSE)</f>
        <v/>
      </c>
    </row>
    <row r="855" ht="15" customFormat="1" customHeight="1" s="195">
      <c r="B855" s="194" t="n"/>
      <c r="C855" s="195" t="inlineStr">
        <is>
          <t>c/ Las Cruzadas 3A, local D</t>
        </is>
      </c>
      <c r="D855" s="195" t="inlineStr">
        <is>
          <t>Sevilla 41004</t>
        </is>
      </c>
      <c r="E855" s="195" t="inlineStr">
        <is>
          <t>CIF B91938662</t>
        </is>
      </c>
      <c r="F855" s="195" t="inlineStr">
        <is>
          <t>aBalados@abalados.es</t>
        </is>
      </c>
      <c r="G855" s="195" t="inlineStr">
        <is>
          <t>FP LUX REIO PV VALLADOLID, S.L.U.</t>
        </is>
      </c>
      <c r="H855" s="195">
        <f>VLOOKUP($G855,DATOS!$B:$E,2,FALSE)</f>
        <v/>
      </c>
      <c r="I855" s="195">
        <f>VLOOKUP($G855,DATOS!$B:$E,3,FALSE)</f>
        <v/>
      </c>
      <c r="J855" s="195">
        <f>VLOOKUP($G855,DATOS!$B:$E,4,FALSE)</f>
        <v/>
      </c>
      <c r="K855" s="195" t="inlineStr">
        <is>
          <t>Servicios extraordinarios - Asset Management (subestación Álamo)</t>
        </is>
      </c>
      <c r="L855" s="196" t="n"/>
      <c r="M855" s="195" t="inlineStr">
        <is>
          <t>Redacción Acuerdo de Promotores - Autorización TYPSA ante REE</t>
        </is>
      </c>
      <c r="N855" s="196">
        <f>650*0.9</f>
        <v/>
      </c>
      <c r="P855" s="196" t="n"/>
      <c r="R855" s="196" t="n"/>
      <c r="T855" s="196" t="n"/>
      <c r="V855" s="196" t="n"/>
      <c r="X855" s="196" t="n"/>
      <c r="Z855" s="196" t="n"/>
      <c r="AA855" s="196" t="n"/>
      <c r="AB855" s="197" t="inlineStr">
        <is>
          <t>ES11 0081 7069 2700 0122 7724</t>
        </is>
      </c>
      <c r="AC855" s="195" t="inlineStr">
        <is>
          <t>pendiente</t>
        </is>
      </c>
      <c r="AD855" s="196">
        <f>L855+N855+P855+R855+T855+V855+X855+Z855</f>
        <v/>
      </c>
      <c r="AE855" s="196">
        <f>IF((LEFT(K855,6))="Contab",L855,0)</f>
        <v/>
      </c>
      <c r="AF855" s="197">
        <f>VLOOKUP(G855,CLIENTES!B:E,4,FALSE)</f>
        <v/>
      </c>
      <c r="AG855" s="196">
        <f>AF855*AE855</f>
        <v/>
      </c>
      <c r="AH855" s="196">
        <f>AD855*1.21</f>
        <v/>
      </c>
      <c r="AI855" s="285">
        <f>IF(AE855&lt;&gt;0,AG855/AD855,"N/A")</f>
        <v/>
      </c>
      <c r="AJ855" s="196">
        <f>IF(AC855="pendiente",AD855,0)</f>
        <v/>
      </c>
      <c r="AK855" s="195">
        <f>VLOOKUP(G855,CLIENTES!B:D,3,FALSE)</f>
        <v/>
      </c>
    </row>
    <row r="856" ht="15" customFormat="1" customHeight="1" s="278">
      <c r="B856" s="279" t="n"/>
      <c r="C856" s="278" t="inlineStr">
        <is>
          <t>c/ Las Cruzadas 3A, local D</t>
        </is>
      </c>
      <c r="D856" s="278" t="inlineStr">
        <is>
          <t>Sevilla 41004</t>
        </is>
      </c>
      <c r="E856" s="278" t="inlineStr">
        <is>
          <t>CIF B91938662</t>
        </is>
      </c>
      <c r="F856" s="278" t="inlineStr">
        <is>
          <t>aBalados@abalados.es</t>
        </is>
      </c>
      <c r="G856" s="278" t="inlineStr">
        <is>
          <t>FP LUX REIO PV VALLADOLID, S.L.U.</t>
        </is>
      </c>
      <c r="H856" s="278">
        <f>VLOOKUP($G856,DATOS!$B:$E,2,FALSE)</f>
        <v/>
      </c>
      <c r="I856" s="278">
        <f>VLOOKUP($G856,DATOS!$B:$E,3,FALSE)</f>
        <v/>
      </c>
      <c r="J856" s="278">
        <f>VLOOKUP($G856,DATOS!$B:$E,4,FALSE)</f>
        <v/>
      </c>
      <c r="K856" s="278" t="inlineStr">
        <is>
          <t>Servicios extraordinarios - Asset Management (subestación BrovalesF1)</t>
        </is>
      </c>
      <c r="L856" s="280" t="n"/>
      <c r="M856" s="278" t="inlineStr">
        <is>
          <t>Redacción de los Contratos de Prestación de Servicios para cada una de las SPVs</t>
        </is>
      </c>
      <c r="N856" s="280" t="n"/>
      <c r="O856" s="278" t="inlineStr">
        <is>
          <t>correspondientes al desembolso de la compraventa de las ICEs privativas.</t>
        </is>
      </c>
      <c r="P856" s="280" t="n"/>
      <c r="R856" s="280" t="n"/>
      <c r="S856" s="278" t="inlineStr">
        <is>
          <t xml:space="preserve">  · 50% de los honorarios a la aceptación de la propuesta</t>
        </is>
      </c>
      <c r="T856" s="280" t="n">
        <v>2000</v>
      </c>
      <c r="V856" s="280" t="n"/>
      <c r="X856" s="280" t="n"/>
      <c r="Z856" s="280" t="n"/>
      <c r="AA856" s="280" t="n"/>
      <c r="AB856" s="281" t="inlineStr">
        <is>
          <t>ES11 0081 7069 2700 0122 7724</t>
        </is>
      </c>
      <c r="AC856" s="278" t="inlineStr">
        <is>
          <t>pendiente</t>
        </is>
      </c>
      <c r="AD856" s="280">
        <f>L856+N856+P856+R856+T856+V856+X856+Z856</f>
        <v/>
      </c>
      <c r="AE856" s="280">
        <f>IF((LEFT(K856,6))="Contab",L856,0)</f>
        <v/>
      </c>
      <c r="AF856" s="281">
        <f>VLOOKUP(G856,CLIENTES!B:E,4,FALSE)</f>
        <v/>
      </c>
      <c r="AG856" s="280">
        <f>AF856*AE856</f>
        <v/>
      </c>
      <c r="AH856" s="280">
        <f>AD856*1.21</f>
        <v/>
      </c>
      <c r="AI856" s="284">
        <f>IF(AE856&lt;&gt;0,AG856/AD856,"N/A")</f>
        <v/>
      </c>
      <c r="AJ856" s="280">
        <f>IF(AC856="pendiente",AD856,0)</f>
        <v/>
      </c>
      <c r="AK856" s="278">
        <f>VLOOKUP(G856,CLIENTES!B:D,3,FALSE)</f>
        <v/>
      </c>
    </row>
    <row r="857" ht="15" customFormat="1" customHeight="1" s="278">
      <c r="B857" s="279" t="n"/>
      <c r="C857" s="278" t="inlineStr">
        <is>
          <t>c/ Las Cruzadas 3A, local D</t>
        </is>
      </c>
      <c r="D857" s="278" t="inlineStr">
        <is>
          <t>Sevilla 41004</t>
        </is>
      </c>
      <c r="E857" s="278" t="inlineStr">
        <is>
          <t>CIF B91938662</t>
        </is>
      </c>
      <c r="F857" s="278" t="inlineStr">
        <is>
          <t>aBalados@abalados.es</t>
        </is>
      </c>
      <c r="G857" s="278" t="inlineStr">
        <is>
          <t>FP LUX REIO PV VALLADOLID, S.L.U.</t>
        </is>
      </c>
      <c r="H857" s="278">
        <f>VLOOKUP($G857,DATOS!$B:$E,2,FALSE)</f>
        <v/>
      </c>
      <c r="I857" s="278">
        <f>VLOOKUP($G857,DATOS!$B:$E,3,FALSE)</f>
        <v/>
      </c>
      <c r="J857" s="278">
        <f>VLOOKUP($G857,DATOS!$B:$E,4,FALSE)</f>
        <v/>
      </c>
      <c r="K857" s="278" t="inlineStr">
        <is>
          <t>Servicios extraordinarios - Asset Management (subestación Carmona400)</t>
        </is>
      </c>
      <c r="L857" s="280" t="n"/>
      <c r="M857" s="278" t="inlineStr">
        <is>
          <t>Adenda al Pacto de Socios y modificación de los Estatutos Sociales de la Entidad.</t>
        </is>
      </c>
      <c r="N857" s="280" t="n">
        <v>3000</v>
      </c>
      <c r="P857" s="280" t="n"/>
      <c r="R857" s="280" t="n"/>
      <c r="T857" s="280" t="n"/>
      <c r="V857" s="280" t="n"/>
      <c r="X857" s="280" t="n"/>
      <c r="Z857" s="280" t="n"/>
      <c r="AA857" s="280" t="n"/>
      <c r="AB857" s="281" t="inlineStr">
        <is>
          <t>ES11 0081 7069 2700 0122 7724</t>
        </is>
      </c>
      <c r="AC857" s="278" t="inlineStr">
        <is>
          <t>pendiente</t>
        </is>
      </c>
      <c r="AD857" s="280">
        <f>L857+N857+P857+R857+T857+V857+X857+Z857</f>
        <v/>
      </c>
      <c r="AE857" s="280">
        <f>IF((LEFT(K857,6))="Contab",L857,0)</f>
        <v/>
      </c>
      <c r="AF857" s="281">
        <f>VLOOKUP(G857,CLIENTES!B:E,4,FALSE)</f>
        <v/>
      </c>
      <c r="AG857" s="280">
        <f>AF857*AE857</f>
        <v/>
      </c>
      <c r="AH857" s="280">
        <f>AD857*1.21</f>
        <v/>
      </c>
      <c r="AI857" s="284">
        <f>IF(AE857&lt;&gt;0,AG857/AD857,"N/A")</f>
        <v/>
      </c>
      <c r="AJ857" s="280">
        <f>IF(AC857="pendiente",AD857,0)</f>
        <v/>
      </c>
      <c r="AK857" s="278">
        <f>VLOOKUP(G857,CLIENTES!B:D,3,FALSE)</f>
        <v/>
      </c>
    </row>
    <row r="858" ht="15" customFormat="1" customHeight="1" s="278">
      <c r="B858" s="279" t="n"/>
      <c r="C858" s="278" t="inlineStr">
        <is>
          <t>c/ Las Cruzadas 3A, local D</t>
        </is>
      </c>
      <c r="D858" s="278" t="inlineStr">
        <is>
          <t>Sevilla 41004</t>
        </is>
      </c>
      <c r="E858" s="278" t="inlineStr">
        <is>
          <t>CIF B91938662</t>
        </is>
      </c>
      <c r="F858" s="278" t="inlineStr">
        <is>
          <t>aBalados@abalados.es</t>
        </is>
      </c>
      <c r="G858" s="278" t="inlineStr">
        <is>
          <t>FP LUX REIO PV VALLADOLID, S.L.U.</t>
        </is>
      </c>
      <c r="H858" s="278">
        <f>VLOOKUP($G858,DATOS!$B:$E,2,FALSE)</f>
        <v/>
      </c>
      <c r="I858" s="278">
        <f>VLOOKUP($G858,DATOS!$B:$E,3,FALSE)</f>
        <v/>
      </c>
      <c r="J858" s="278">
        <f>VLOOKUP($G858,DATOS!$B:$E,4,FALSE)</f>
        <v/>
      </c>
      <c r="K858" s="278" t="inlineStr">
        <is>
          <t>Extraordinary services - Asset Management (Pilar PV)</t>
        </is>
      </c>
      <c r="L858" s="280" t="n"/>
      <c r="M858" s="278" t="inlineStr">
        <is>
          <t>Technical Advisory - FAC Audit and inspection for EPC's End of Warranty Period</t>
        </is>
      </c>
      <c r="N858" s="280" t="n">
        <v>12757</v>
      </c>
      <c r="P858" s="280" t="n"/>
      <c r="R858" s="280" t="n"/>
      <c r="T858" s="280" t="n"/>
      <c r="V858" s="280" t="n"/>
      <c r="X858" s="280" t="n"/>
      <c r="Z858" s="280" t="n"/>
      <c r="AA858" s="280" t="n"/>
      <c r="AB858" s="281" t="inlineStr">
        <is>
          <t>ES11 0081 7069 2700 0122 7724</t>
        </is>
      </c>
      <c r="AC858" s="278" t="inlineStr">
        <is>
          <t>pendiente</t>
        </is>
      </c>
      <c r="AD858" s="280">
        <f>L858+N858+P858+R858+T858+V858+X858+Z858</f>
        <v/>
      </c>
      <c r="AE858" s="280">
        <f>IF((LEFT(K858,6))="Contab",L858,0)</f>
        <v/>
      </c>
      <c r="AF858" s="281">
        <f>VLOOKUP(G858,CLIENTES!B:E,4,FALSE)</f>
        <v/>
      </c>
      <c r="AG858" s="280">
        <f>AF858*AE858</f>
        <v/>
      </c>
      <c r="AH858" s="280">
        <f>AD858*1.21</f>
        <v/>
      </c>
      <c r="AI858" s="284">
        <f>IF(AE858&lt;&gt;0,AG858/AD858,"N/A")</f>
        <v/>
      </c>
      <c r="AJ858" s="280">
        <f>IF(AC858="pendiente",AD858,0)</f>
        <v/>
      </c>
      <c r="AK858" s="278">
        <f>VLOOKUP(G858,CLIENTES!B:D,3,FALSE)</f>
        <v/>
      </c>
    </row>
    <row r="859" ht="15" customFormat="1" customHeight="1" s="189">
      <c r="B859" s="188" t="n"/>
      <c r="C859" s="189" t="inlineStr">
        <is>
          <t>c/ Las Cruzadas 3A, local D</t>
        </is>
      </c>
      <c r="D859" s="189" t="inlineStr">
        <is>
          <t>Sevilla 41004</t>
        </is>
      </c>
      <c r="E859" s="189" t="inlineStr">
        <is>
          <t>CIF B91938662</t>
        </is>
      </c>
      <c r="F859" s="189" t="inlineStr">
        <is>
          <t>aBalados@abalados.es</t>
        </is>
      </c>
      <c r="G859" s="189" t="inlineStr">
        <is>
          <t>FP LUX REIO PV VALLADOLID, S.L.U.</t>
        </is>
      </c>
      <c r="H859" s="189">
        <f>VLOOKUP($G859,DATOS!$B:$E,2,FALSE)</f>
        <v/>
      </c>
      <c r="I859" s="189">
        <f>VLOOKUP($G859,DATOS!$B:$E,3,FALSE)</f>
        <v/>
      </c>
      <c r="J859" s="189">
        <f>VLOOKUP($G859,DATOS!$B:$E,4,FALSE)</f>
        <v/>
      </c>
      <c r="K859" s="195" t="inlineStr">
        <is>
          <t>O&amp;M Supervision and Management  -  Additional Service (DoA No.2304_01)</t>
        </is>
      </c>
      <c r="L859" s="196" t="n"/>
      <c r="M859" s="195" t="n"/>
      <c r="N859" s="196" t="n"/>
      <c r="O859" s="195" t="inlineStr">
        <is>
          <t>Puerto Real 2 PV - Cádiz | Spain</t>
        </is>
      </c>
      <c r="P859" s="196" t="n">
        <v>16331.4</v>
      </c>
      <c r="Q859" s="195" t="n"/>
      <c r="R859" s="196" t="n"/>
      <c r="S859" s="195" t="n"/>
      <c r="T859" s="196" t="n"/>
      <c r="U859" s="195" t="inlineStr">
        <is>
          <t>Support with the arrangement of Celemi's assistance</t>
        </is>
      </c>
      <c r="V859" s="196" t="n"/>
      <c r="W859" s="195" t="inlineStr">
        <is>
          <t>PRUEBAS SET PUERTO REAL 2</t>
        </is>
      </c>
      <c r="X859" s="196" t="n"/>
      <c r="Y859" s="195" t="n"/>
      <c r="Z859" s="196" t="n"/>
      <c r="AA859" s="190" t="n"/>
      <c r="AB859" s="191" t="inlineStr">
        <is>
          <t>ES11 0081 7069 2700 0122 7724</t>
        </is>
      </c>
      <c r="AC859" s="189" t="inlineStr">
        <is>
          <t>pendiente</t>
        </is>
      </c>
      <c r="AD859" s="190">
        <f>L859+N859+P859+R859+T859+V859+X859+Z859</f>
        <v/>
      </c>
      <c r="AE859" s="190">
        <f>IF((LEFT(K859,6))="Contab",L859,0)</f>
        <v/>
      </c>
      <c r="AF859" s="191">
        <f>VLOOKUP(G859,CLIENTES!B:E,4,FALSE)</f>
        <v/>
      </c>
      <c r="AG859" s="190">
        <f>AF859*AE859</f>
        <v/>
      </c>
      <c r="AH859" s="190">
        <f>AD859*1.21</f>
        <v/>
      </c>
      <c r="AI859" s="289">
        <f>IF(AE859&lt;&gt;0,AG859/AD859,"N/A")</f>
        <v/>
      </c>
      <c r="AJ859" s="190">
        <f>IF(AC859="pendiente",AD859,0)</f>
        <v/>
      </c>
      <c r="AK859" s="189">
        <f>VLOOKUP(G859,CLIENTES!B:D,3,FALSE)</f>
        <v/>
      </c>
      <c r="AL859" s="195" t="n"/>
    </row>
    <row r="860" ht="15" customFormat="1" customHeight="1" s="195">
      <c r="B860" s="194" t="n"/>
      <c r="C860" s="195" t="inlineStr">
        <is>
          <t>c/ Las Cruzadas 3A, local D</t>
        </is>
      </c>
      <c r="D860" s="195" t="inlineStr">
        <is>
          <t>Sevilla 41004</t>
        </is>
      </c>
      <c r="E860" s="195" t="inlineStr">
        <is>
          <t>CIF B91938662</t>
        </is>
      </c>
      <c r="F860" s="195" t="inlineStr">
        <is>
          <t>aBalados@abalados.es</t>
        </is>
      </c>
      <c r="G860" s="195" t="inlineStr">
        <is>
          <t>FP LUX REIO PV VALLADOLID, S.L.U.</t>
        </is>
      </c>
      <c r="H860" s="195">
        <f>VLOOKUP($G860,DATOS!$B:$E,2,FALSE)</f>
        <v/>
      </c>
      <c r="I860" s="195">
        <f>VLOOKUP($G860,DATOS!$B:$E,3,FALSE)</f>
        <v/>
      </c>
      <c r="J860" s="195">
        <f>VLOOKUP($G860,DATOS!$B:$E,4,FALSE)</f>
        <v/>
      </c>
      <c r="K860" s="195" t="inlineStr">
        <is>
          <t>Servicios Legales</t>
        </is>
      </c>
      <c r="L860" s="196" t="n"/>
      <c r="M860" s="195" t="inlineStr">
        <is>
          <t xml:space="preserve">Tres (3) informes del estado legal y contable de AR1, AR2 y AR3 en cada uno de los Nudos: </t>
        </is>
      </c>
      <c r="N860" s="196" t="n">
        <v>1218.21</v>
      </c>
      <c r="O860" s="195" t="inlineStr">
        <is>
          <t xml:space="preserve">  · “SET CARMONA 400 kV RENOVABLES, S.L.”</t>
        </is>
      </c>
      <c r="P860" s="196" t="n"/>
      <c r="Q860" s="195" t="inlineStr">
        <is>
          <t xml:space="preserve">  · “EVACUACIÓN CARMONA 400-220 kV RENOVABLES, S.L.”</t>
        </is>
      </c>
      <c r="R860" s="196" t="n"/>
      <c r="S860" s="195" t="inlineStr">
        <is>
          <t xml:space="preserve">  · “ENERGÍAS LIMPIAS DE CARMONA, S.L.” </t>
        </is>
      </c>
      <c r="T860" s="196" t="n"/>
      <c r="V860" s="196" t="n"/>
      <c r="X860" s="196" t="n"/>
      <c r="Z860" s="196" t="n"/>
      <c r="AA860" s="196" t="n"/>
      <c r="AB860" s="281" t="inlineStr">
        <is>
          <t>ES11 0081 7069 2700 0122 7724</t>
        </is>
      </c>
      <c r="AC860" s="278" t="inlineStr">
        <is>
          <t>pendiente</t>
        </is>
      </c>
      <c r="AD860" s="280">
        <f>L860+N860+P860+R860+T860+V860+X860+Z860</f>
        <v/>
      </c>
      <c r="AE860" s="280">
        <f>IF((LEFT(K860,6))="Contab",L860,0)</f>
        <v/>
      </c>
      <c r="AF860" s="281" t="n">
        <v>0</v>
      </c>
      <c r="AG860" s="280">
        <f>AF860*AE860</f>
        <v/>
      </c>
      <c r="AH860" s="280">
        <f>AD860*1.21</f>
        <v/>
      </c>
      <c r="AI860" s="284">
        <f>IF(AE860&lt;&gt;0,AG860/AD860,"N/A")</f>
        <v/>
      </c>
      <c r="AJ860" s="280">
        <f>IF(AC860="pendiente",AD860,0)</f>
        <v/>
      </c>
      <c r="AK860" s="278">
        <f>VLOOKUP(G860,CLIENTES!B:D,3,FALSE)</f>
        <v/>
      </c>
    </row>
    <row r="861" ht="15" customFormat="1" customHeight="1" s="278">
      <c r="B861" s="279" t="n"/>
      <c r="C861" s="278" t="inlineStr">
        <is>
          <t>c/ Las Cruzadas 3A, local D</t>
        </is>
      </c>
      <c r="D861" s="278" t="inlineStr">
        <is>
          <t>Sevilla 41004</t>
        </is>
      </c>
      <c r="E861" s="278" t="inlineStr">
        <is>
          <t>CIF B91938662</t>
        </is>
      </c>
      <c r="F861" s="278" t="inlineStr">
        <is>
          <t>aBalados@abalados.es</t>
        </is>
      </c>
      <c r="G861" s="278" t="inlineStr">
        <is>
          <t>FP LUX REIO PV VALLADOLID, S.L.U.</t>
        </is>
      </c>
      <c r="H861" s="278">
        <f>VLOOKUP($G861,DATOS!$B:$E,2,FALSE)</f>
        <v/>
      </c>
      <c r="I861" s="278">
        <f>VLOOKUP($G861,DATOS!$B:$E,3,FALSE)</f>
        <v/>
      </c>
      <c r="J861" s="278">
        <f>VLOOKUP($G861,DATOS!$B:$E,4,FALSE)</f>
        <v/>
      </c>
      <c r="K861" s="278" t="inlineStr">
        <is>
          <t>Servicios Legales</t>
        </is>
      </c>
      <c r="L861" s="280" t="n"/>
      <c r="M861" s="278" t="inlineStr">
        <is>
          <t xml:space="preserve">Tres (3) informes del estado legal y contable de AR1, AR2 y AR3 en cada uno de los Nudos: </t>
        </is>
      </c>
      <c r="N861" s="280" t="n">
        <v>293.93</v>
      </c>
      <c r="O861" s="278" t="inlineStr">
        <is>
          <t xml:space="preserve">  · “SET CARMONA 400 kV RENOVABLES, S.L.”</t>
        </is>
      </c>
      <c r="P861" s="280" t="n"/>
      <c r="Q861" s="278" t="inlineStr">
        <is>
          <t xml:space="preserve">  · “EVACUACIÓN CARMONA 400-220 kV RENOVABLES, S.L.”</t>
        </is>
      </c>
      <c r="R861" s="280" t="n"/>
      <c r="S861" s="278" t="inlineStr">
        <is>
          <t xml:space="preserve">  · “ENERGÍAS LIMPIAS DE CARMONA, S.L.” </t>
        </is>
      </c>
      <c r="T861" s="280" t="n"/>
      <c r="V861" s="280" t="n"/>
      <c r="X861" s="280" t="n"/>
      <c r="Z861" s="280" t="n"/>
      <c r="AA861" s="280" t="n"/>
      <c r="AB861" s="281" t="inlineStr">
        <is>
          <t>ES11 0081 7069 2700 0122 7724</t>
        </is>
      </c>
      <c r="AC861" s="278" t="inlineStr">
        <is>
          <t>pendiente</t>
        </is>
      </c>
      <c r="AD861" s="280">
        <f>L861+N861+P861+R861+T861+V861+X861+Z861</f>
        <v/>
      </c>
      <c r="AE861" s="280">
        <f>IF((LEFT(K861,6))="Contab",L861,0)</f>
        <v/>
      </c>
      <c r="AF861" s="281" t="n">
        <v>0</v>
      </c>
      <c r="AG861" s="280">
        <f>AF861*AE861</f>
        <v/>
      </c>
      <c r="AH861" s="280">
        <f>AD861*1.21</f>
        <v/>
      </c>
      <c r="AI861" s="284">
        <f>IF(AE861&lt;&gt;0,AG861/AD861,"N/A")</f>
        <v/>
      </c>
      <c r="AJ861" s="280">
        <f>IF(AC861="pendiente",AD861,0)</f>
        <v/>
      </c>
      <c r="AK861" s="278">
        <f>VLOOKUP(G861,CLIENTES!B:D,3,FALSE)</f>
        <v/>
      </c>
    </row>
    <row r="862" ht="15" customFormat="1" customHeight="1" s="278">
      <c r="B862" s="279" t="n"/>
      <c r="C862" s="278" t="inlineStr">
        <is>
          <t>c/ Las Cruzadas 3A, local D</t>
        </is>
      </c>
      <c r="D862" s="278" t="inlineStr">
        <is>
          <t>Sevilla 41004</t>
        </is>
      </c>
      <c r="E862" s="278" t="inlineStr">
        <is>
          <t>CIF B91938662</t>
        </is>
      </c>
      <c r="F862" s="278" t="inlineStr">
        <is>
          <t>aBalados@abalados.es</t>
        </is>
      </c>
      <c r="G862" s="278" t="inlineStr">
        <is>
          <t>FP LUX REIO PV VALLADOLID, S.L.U.</t>
        </is>
      </c>
      <c r="H862" s="278">
        <f>VLOOKUP($G862,DATOS!$B:$E,2,FALSE)</f>
        <v/>
      </c>
      <c r="I862" s="278">
        <f>VLOOKUP($G862,DATOS!$B:$E,3,FALSE)</f>
        <v/>
      </c>
      <c r="J862" s="278">
        <f>VLOOKUP($G862,DATOS!$B:$E,4,FALSE)</f>
        <v/>
      </c>
      <c r="K862" s="278" t="inlineStr">
        <is>
          <t>Servicios Legales</t>
        </is>
      </c>
      <c r="L862" s="280" t="n"/>
      <c r="M862" s="278" t="inlineStr">
        <is>
          <t xml:space="preserve">Tres (3) informes del estado legal y contable de AR1, AR2 y AR3 en cada uno de los Nudos: </t>
        </is>
      </c>
      <c r="N862" s="280" t="n">
        <v>293.93</v>
      </c>
      <c r="O862" s="278" t="inlineStr">
        <is>
          <t xml:space="preserve">  · “SET CARMONA 400 kV RENOVABLES, S.L.”</t>
        </is>
      </c>
      <c r="P862" s="280" t="n"/>
      <c r="Q862" s="278" t="inlineStr">
        <is>
          <t xml:space="preserve">  · “EVACUACIÓN CARMONA 400-220 kV RENOVABLES, S.L.”</t>
        </is>
      </c>
      <c r="R862" s="280" t="n"/>
      <c r="S862" s="278" t="inlineStr">
        <is>
          <t xml:space="preserve">  · “ENERGÍAS LIMPIAS DE CARMONA, S.L.” </t>
        </is>
      </c>
      <c r="T862" s="280" t="n"/>
      <c r="V862" s="280" t="n"/>
      <c r="X862" s="280" t="n"/>
      <c r="Z862" s="280" t="n"/>
      <c r="AA862" s="280" t="n"/>
      <c r="AB862" s="281" t="inlineStr">
        <is>
          <t>ES11 0081 7069 2700 0122 7724</t>
        </is>
      </c>
      <c r="AC862" s="278" t="inlineStr">
        <is>
          <t>pendiente</t>
        </is>
      </c>
      <c r="AD862" s="280">
        <f>L862+N862+P862+R862+T862+V862+X862+Z862</f>
        <v/>
      </c>
      <c r="AE862" s="280">
        <f>IF((LEFT(K862,6))="Contab",L862,0)</f>
        <v/>
      </c>
      <c r="AF862" s="281" t="n">
        <v>0</v>
      </c>
      <c r="AG862" s="280">
        <f>AF862*AE862</f>
        <v/>
      </c>
      <c r="AH862" s="280">
        <f>AD862*1.21</f>
        <v/>
      </c>
      <c r="AI862" s="284">
        <f>IF(AE862&lt;&gt;0,AG862/AD862,"N/A")</f>
        <v/>
      </c>
      <c r="AJ862" s="280">
        <f>IF(AC862="pendiente",AD862,0)</f>
        <v/>
      </c>
      <c r="AK862" s="278">
        <f>VLOOKUP(G862,CLIENTES!B:D,3,FALSE)</f>
        <v/>
      </c>
    </row>
    <row r="863" ht="15" customFormat="1" customHeight="1" s="278">
      <c r="B863" s="279" t="n"/>
      <c r="C863" s="278" t="inlineStr">
        <is>
          <t>c/ Las Cruzadas 3A, local D</t>
        </is>
      </c>
      <c r="D863" s="278" t="inlineStr">
        <is>
          <t>Sevilla 41004</t>
        </is>
      </c>
      <c r="E863" s="278" t="inlineStr">
        <is>
          <t>CIF B91938662</t>
        </is>
      </c>
      <c r="F863" s="278" t="inlineStr">
        <is>
          <t>aBalados@abalados.es</t>
        </is>
      </c>
      <c r="G863" s="278" t="inlineStr">
        <is>
          <t>FP LUX REIO PV VALLADOLID, S.L.U.</t>
        </is>
      </c>
      <c r="H863" s="278">
        <f>VLOOKUP($G863,DATOS!$B:$E,2,FALSE)</f>
        <v/>
      </c>
      <c r="I863" s="278">
        <f>VLOOKUP($G863,DATOS!$B:$E,3,FALSE)</f>
        <v/>
      </c>
      <c r="J863" s="278">
        <f>VLOOKUP($G863,DATOS!$B:$E,4,FALSE)</f>
        <v/>
      </c>
      <c r="K863" s="278" t="inlineStr">
        <is>
          <t>Servicios Legales</t>
        </is>
      </c>
      <c r="L863" s="280" t="n"/>
      <c r="M863" s="278" t="inlineStr">
        <is>
          <t xml:space="preserve">Tres (3) informes del estado legal y contable de AR1, AR2 y AR3 en cada uno de los Nudos: </t>
        </is>
      </c>
      <c r="N863" s="280" t="n">
        <v>293.93</v>
      </c>
      <c r="O863" s="278" t="inlineStr">
        <is>
          <t xml:space="preserve">  · “SET CARMONA 400 kV RENOVABLES, S.L.”</t>
        </is>
      </c>
      <c r="P863" s="280" t="n"/>
      <c r="Q863" s="278" t="inlineStr">
        <is>
          <t xml:space="preserve">  · “EVACUACIÓN CARMONA 400-220 kV RENOVABLES, S.L.”</t>
        </is>
      </c>
      <c r="R863" s="280" t="n"/>
      <c r="S863" s="278" t="inlineStr">
        <is>
          <t xml:space="preserve">  · “ENERGÍAS LIMPIAS DE CARMONA, S.L.” </t>
        </is>
      </c>
      <c r="T863" s="280" t="n"/>
      <c r="V863" s="280" t="n"/>
      <c r="X863" s="280" t="n"/>
      <c r="Z863" s="280" t="n"/>
      <c r="AA863" s="280" t="n"/>
      <c r="AB863" s="281" t="inlineStr">
        <is>
          <t>ES11 0081 7069 2700 0122 7724</t>
        </is>
      </c>
      <c r="AC863" s="278" t="inlineStr">
        <is>
          <t>pendiente</t>
        </is>
      </c>
      <c r="AD863" s="280">
        <f>L863+N863+P863+R863+T863+V863+X863+Z863</f>
        <v/>
      </c>
      <c r="AE863" s="280">
        <f>IF((LEFT(K863,6))="Contab",L863,0)</f>
        <v/>
      </c>
      <c r="AF863" s="281" t="n">
        <v>0</v>
      </c>
      <c r="AG863" s="280">
        <f>AF863*AE863</f>
        <v/>
      </c>
      <c r="AH863" s="280">
        <f>AD863*1.21</f>
        <v/>
      </c>
      <c r="AI863" s="284">
        <f>IF(AE863&lt;&gt;0,AG863/AD863,"N/A")</f>
        <v/>
      </c>
      <c r="AJ863" s="280">
        <f>IF(AC863="pendiente",AD863,0)</f>
        <v/>
      </c>
      <c r="AK863" s="278">
        <f>VLOOKUP(G863,CLIENTES!B:D,3,FALSE)</f>
        <v/>
      </c>
    </row>
    <row r="864" ht="15" customFormat="1" customHeight="1" s="189">
      <c r="A864" t="n"/>
      <c r="B864" s="188" t="n"/>
      <c r="C864" s="189" t="inlineStr">
        <is>
          <t>c/ Las Cruzadas 3A, local D</t>
        </is>
      </c>
      <c r="D864" s="189" t="inlineStr">
        <is>
          <t>Sevilla 41004</t>
        </is>
      </c>
      <c r="E864" s="189" t="inlineStr">
        <is>
          <t>CIF B91938662</t>
        </is>
      </c>
      <c r="F864" s="189" t="inlineStr">
        <is>
          <t>aBalados@abalados.es</t>
        </is>
      </c>
      <c r="G864" s="189" t="inlineStr">
        <is>
          <t>FP LUX REIO PV VALLADOLID, S.L.U.</t>
        </is>
      </c>
      <c r="H864" s="189">
        <f>VLOOKUP($G864,DATOS!$B:$E,2,FALSE)</f>
        <v/>
      </c>
      <c r="I864" s="189">
        <f>VLOOKUP($G864,DATOS!$B:$E,3,FALSE)</f>
        <v/>
      </c>
      <c r="J864" s="189">
        <f>VLOOKUP($G864,DATOS!$B:$E,4,FALSE)</f>
        <v/>
      </c>
      <c r="K864" s="189" t="inlineStr">
        <is>
          <t>Proyecto El Marqués - Zaragoza</t>
        </is>
      </c>
      <c r="L864" s="190" t="n"/>
      <c r="M864" s="189" t="inlineStr">
        <is>
          <t>Honorarios - Contrato O&amp;M 2º Trimestre 2023</t>
        </is>
      </c>
      <c r="N864" s="190" t="n">
        <v>22242.6607178916</v>
      </c>
      <c r="P864" s="190" t="n"/>
      <c r="Q864" s="189" t="inlineStr">
        <is>
          <t>O&amp;M Fee - 2Q2023</t>
        </is>
      </c>
      <c r="R864" s="190" t="n"/>
      <c r="T864" s="190" t="n"/>
      <c r="V864" s="190" t="n"/>
      <c r="X864" s="190" t="n"/>
      <c r="Z864" s="190" t="n"/>
      <c r="AA864" s="190" t="n"/>
      <c r="AB864" s="191" t="inlineStr">
        <is>
          <t>ES11 0081 7069 2700 0122 7724</t>
        </is>
      </c>
      <c r="AC864" s="189" t="inlineStr">
        <is>
          <t>pendiente</t>
        </is>
      </c>
      <c r="AD864" s="190">
        <f>L864+N864+P864+R864+T864+V864+X864+Z864</f>
        <v/>
      </c>
      <c r="AE864" s="190">
        <f>IF((LEFT(K864,6))="Contab",L864,0)</f>
        <v/>
      </c>
      <c r="AF864" s="191">
        <f>VLOOKUP(G864,CLIENTES!B:E,4,FALSE)</f>
        <v/>
      </c>
      <c r="AG864" s="190">
        <f>AF864*AE864</f>
        <v/>
      </c>
      <c r="AH864" s="190">
        <f>AD864*1.21</f>
        <v/>
      </c>
      <c r="AI864" s="289">
        <f>IF(AE864&lt;&gt;0,AG864/AD864,"N/A")</f>
        <v/>
      </c>
      <c r="AJ864" s="190">
        <f>IF(AC864="pendiente",AD864,0)</f>
        <v/>
      </c>
      <c r="AK864" s="189">
        <f>VLOOKUP(G864,CLIENTES!B:D,3,FALSE)</f>
        <v/>
      </c>
    </row>
    <row r="865" ht="15" customFormat="1" customHeight="1" s="189">
      <c r="B865" s="188" t="n"/>
      <c r="C865" s="189" t="inlineStr">
        <is>
          <t>c/ Las Cruzadas 3A, local D</t>
        </is>
      </c>
      <c r="D865" s="189" t="inlineStr">
        <is>
          <t>Sevilla 41004</t>
        </is>
      </c>
      <c r="E865" s="189" t="inlineStr">
        <is>
          <t>CIF B91938662</t>
        </is>
      </c>
      <c r="F865" s="189" t="inlineStr">
        <is>
          <t>aBalados@abalados.es</t>
        </is>
      </c>
      <c r="G865" s="189" t="inlineStr">
        <is>
          <t>FP LUX REIO PV VALLADOLID, S.L.U.</t>
        </is>
      </c>
      <c r="H865" s="189">
        <f>VLOOKUP($G865,DATOS!$B:$E,2,FALSE)</f>
        <v/>
      </c>
      <c r="I865" s="189">
        <f>VLOOKUP($G865,DATOS!$B:$E,3,FALSE)</f>
        <v/>
      </c>
      <c r="J865" s="189">
        <f>VLOOKUP($G865,DATOS!$B:$E,4,FALSE)</f>
        <v/>
      </c>
      <c r="K865" s="195" t="inlineStr">
        <is>
          <t>O&amp;M Supervision and Management  -  Additional Service</t>
        </is>
      </c>
      <c r="L865" s="196" t="n"/>
      <c r="M865" s="195" t="inlineStr">
        <is>
          <t>Puerto Real 1 PV - Cádiz | Spain</t>
        </is>
      </c>
      <c r="N865" s="196" t="n">
        <v>20034</v>
      </c>
      <c r="O865" s="195" t="n"/>
      <c r="P865" s="196" t="n"/>
      <c r="Q865" s="195" t="inlineStr">
        <is>
          <t>Support with the arrangement of MC2's assistance</t>
        </is>
      </c>
      <c r="R865" s="196" t="n"/>
      <c r="S865" s="195" t="inlineStr">
        <is>
          <t xml:space="preserve">  · 1763-OFR-20220805 R0 Abalados Puerto Real 1</t>
        </is>
      </c>
      <c r="T865" s="196" t="n"/>
      <c r="U865" s="195" t="inlineStr">
        <is>
          <t xml:space="preserve">  · Oferta Alener</t>
        </is>
      </c>
      <c r="V865" s="196" t="n"/>
      <c r="W865" s="195" t="inlineStr">
        <is>
          <t xml:space="preserve">  · Factura Abalados Puerto Real 1</t>
        </is>
      </c>
      <c r="X865" s="196" t="n"/>
      <c r="Y865" s="195" t="inlineStr">
        <is>
          <t xml:space="preserve">  · aBalados and CTIEC mail threads with MC2 scope and quotation for point 10 in Everoze’s list</t>
        </is>
      </c>
      <c r="Z865" s="196" t="n"/>
      <c r="AA865" s="190" t="n"/>
      <c r="AB865" s="191" t="inlineStr">
        <is>
          <t>ES11 0081 7069 2700 0122 7724</t>
        </is>
      </c>
      <c r="AC865" s="189" t="inlineStr">
        <is>
          <t>pendiente</t>
        </is>
      </c>
      <c r="AD865" s="190">
        <f>L865+N865+P865+R865+T865+V865+X865+Z865</f>
        <v/>
      </c>
      <c r="AE865" s="190">
        <f>IF((LEFT(K865,6))="Contab",L865,0)</f>
        <v/>
      </c>
      <c r="AF865" s="191">
        <f>VLOOKUP(G865,CLIENTES!B:E,4,FALSE)</f>
        <v/>
      </c>
      <c r="AG865" s="190">
        <f>AF865*AE865</f>
        <v/>
      </c>
      <c r="AH865" s="190">
        <f>AD865*1.21</f>
        <v/>
      </c>
      <c r="AI865" s="289">
        <f>IF(AE865&lt;&gt;0,AG865/AD865,"N/A")</f>
        <v/>
      </c>
      <c r="AJ865" s="190">
        <f>IF(AC865="pendiente",AD865,0)</f>
        <v/>
      </c>
      <c r="AK865" s="189">
        <f>VLOOKUP(G865,CLIENTES!B:D,3,FALSE)</f>
        <v/>
      </c>
      <c r="AL865" s="195" t="n"/>
    </row>
    <row r="866" ht="15" customFormat="1" customHeight="1" s="189">
      <c r="B866" s="188" t="n"/>
      <c r="C866" s="189" t="inlineStr">
        <is>
          <t>c/ Las Cruzadas 3A, local D</t>
        </is>
      </c>
      <c r="D866" s="189" t="inlineStr">
        <is>
          <t>Sevilla 41004</t>
        </is>
      </c>
      <c r="E866" s="189" t="inlineStr">
        <is>
          <t>CIF B91938662</t>
        </is>
      </c>
      <c r="F866" s="189" t="inlineStr">
        <is>
          <t>aBalados@abalados.es</t>
        </is>
      </c>
      <c r="G866" s="189" t="inlineStr">
        <is>
          <t>FP LUX REIO PV VALLADOLID, S.L.U.</t>
        </is>
      </c>
      <c r="H866" s="189">
        <f>VLOOKUP($G866,DATOS!$B:$E,2,FALSE)</f>
        <v/>
      </c>
      <c r="I866" s="189">
        <f>VLOOKUP($G866,DATOS!$B:$E,3,FALSE)</f>
        <v/>
      </c>
      <c r="J866" s="189">
        <f>VLOOKUP($G866,DATOS!$B:$E,4,FALSE)</f>
        <v/>
      </c>
      <c r="K866" s="189" t="inlineStr">
        <is>
          <t>Pilar PV - Extraordinary Service</t>
        </is>
      </c>
      <c r="L866" s="190" t="n"/>
      <c r="M866" s="189" t="inlineStr">
        <is>
          <t>Assistance for Selling Transaction (ReCap's DD)</t>
        </is>
      </c>
      <c r="N866" s="190" t="n">
        <v>4745</v>
      </c>
      <c r="P866" s="190" t="n"/>
      <c r="R866" s="190" t="n"/>
      <c r="T866" s="190" t="n"/>
      <c r="V866" s="190" t="n"/>
      <c r="X866" s="190" t="n"/>
      <c r="Z866" s="190" t="n"/>
      <c r="AA866" s="190" t="n"/>
      <c r="AB866" s="191" t="inlineStr">
        <is>
          <t>ES11 0081 7069 2700 0122 7724</t>
        </is>
      </c>
      <c r="AC866" s="189" t="inlineStr">
        <is>
          <t>pendiente</t>
        </is>
      </c>
      <c r="AD866" s="190">
        <f>L866+N866+P866+R866+T866+V866+X866+Z866</f>
        <v/>
      </c>
      <c r="AE866" s="190">
        <f>IF((LEFT(K866,6))="Contab",L866,0)</f>
        <v/>
      </c>
      <c r="AF866" s="191">
        <f>VLOOKUP(G866,CLIENTES!B:E,4,FALSE)</f>
        <v/>
      </c>
      <c r="AG866" s="190">
        <f>AF866*AE866</f>
        <v/>
      </c>
      <c r="AH866" s="190">
        <f>AD866*1.21</f>
        <v/>
      </c>
      <c r="AI866" s="193">
        <f>IF(AE866&lt;&gt;0,AG866/AD866,"N/A")</f>
        <v/>
      </c>
      <c r="AJ866" s="190">
        <f>IF(AC866="pendiente",AD866,0)</f>
        <v/>
      </c>
      <c r="AK866" s="189">
        <f>VLOOKUP(G866,CLIENTES!B:D,3,FALSE)</f>
        <v/>
      </c>
    </row>
    <row r="867" ht="15" customFormat="1" customHeight="1" s="278">
      <c r="B867" s="279" t="n"/>
      <c r="C867" s="278" t="inlineStr">
        <is>
          <t>c/ Las Cruzadas 3A, local D</t>
        </is>
      </c>
      <c r="D867" s="278" t="inlineStr">
        <is>
          <t>Sevilla 41004</t>
        </is>
      </c>
      <c r="E867" s="278" t="inlineStr">
        <is>
          <t>CIF B91938662</t>
        </is>
      </c>
      <c r="F867" s="278" t="inlineStr">
        <is>
          <t>aBalados@abalados.es</t>
        </is>
      </c>
      <c r="G867" s="278" t="inlineStr">
        <is>
          <t>FP LUX REIO PV VALLADOLID, S.L.U.</t>
        </is>
      </c>
      <c r="H867" s="278">
        <f>VLOOKUP($G867,DATOS!$B:$E,2,FALSE)</f>
        <v/>
      </c>
      <c r="I867" s="278">
        <f>VLOOKUP($G867,DATOS!$B:$E,3,FALSE)</f>
        <v/>
      </c>
      <c r="J867" s="278">
        <f>VLOOKUP($G867,DATOS!$B:$E,4,FALSE)</f>
        <v/>
      </c>
      <c r="K867" s="278" t="inlineStr">
        <is>
          <t>Contrato de Asset Management - Subestación Valcabado</t>
        </is>
      </c>
      <c r="L867" s="280" t="n"/>
      <c r="N867" s="280" t="n"/>
      <c r="O867" s="278" t="inlineStr">
        <is>
          <t>Fee Trimestral - 01Abril/30Junio 2023</t>
        </is>
      </c>
      <c r="P867" s="280">
        <f>1173*3*1.098*1.033</f>
        <v/>
      </c>
      <c r="Q867" s="278" t="inlineStr">
        <is>
          <t>Tasa actualización IPC General (Marzo 2022 - Marzo 2023): 3,3%</t>
        </is>
      </c>
      <c r="R867" s="280" t="n"/>
      <c r="T867" s="280" t="n"/>
      <c r="U867" s="278" t="inlineStr">
        <is>
          <t>Regularización IPC trimestre anterior (22Marzo-31Marzo 2023)</t>
        </is>
      </c>
      <c r="V867" s="280">
        <f>1173*(10/31)*0.033</f>
        <v/>
      </c>
      <c r="X867" s="280" t="n"/>
      <c r="Z867" s="280" t="n"/>
      <c r="AA867" s="280" t="n"/>
      <c r="AB867" s="281" t="inlineStr">
        <is>
          <t>ES11 0081 7069 2700 0122 7724</t>
        </is>
      </c>
      <c r="AC867" s="278" t="inlineStr">
        <is>
          <t>pendiente</t>
        </is>
      </c>
      <c r="AD867" s="280">
        <f>L867+N867+P867+R867+T867+V867+X867+Z867</f>
        <v/>
      </c>
      <c r="AE867" s="280">
        <f>IF((LEFT(K867,6))="Contab",L867,0)</f>
        <v/>
      </c>
      <c r="AF867" s="281">
        <f>VLOOKUP(G867,CLIENTES!B:E,4,FALSE)</f>
        <v/>
      </c>
      <c r="AG867" s="280">
        <f>AF867*AE867</f>
        <v/>
      </c>
      <c r="AH867" s="280">
        <f>AD867*1.21</f>
        <v/>
      </c>
      <c r="AI867" s="284">
        <f>IF(AE867&lt;&gt;0,AG867/AD867,"N/A")</f>
        <v/>
      </c>
      <c r="AJ867" s="280">
        <f>IF(AC867="pendiente",AD867,0)</f>
        <v/>
      </c>
      <c r="AK867" s="278">
        <f>VLOOKUP(G867,CLIENTES!B:D,3,FALSE)</f>
        <v/>
      </c>
    </row>
    <row r="868" ht="15" customFormat="1" customHeight="1" s="278">
      <c r="B868" s="279" t="n"/>
      <c r="C868" s="278" t="inlineStr">
        <is>
          <t>c/ Las Cruzadas 3A, local D</t>
        </is>
      </c>
      <c r="D868" s="278" t="inlineStr">
        <is>
          <t>Sevilla 41004</t>
        </is>
      </c>
      <c r="E868" s="278" t="inlineStr">
        <is>
          <t>CIF B91938662</t>
        </is>
      </c>
      <c r="F868" s="278" t="inlineStr">
        <is>
          <t>aBalados@abalados.es</t>
        </is>
      </c>
      <c r="G868" s="278" t="inlineStr">
        <is>
          <t>FP LUX REIO PV VALLADOLID, S.L.U.</t>
        </is>
      </c>
      <c r="H868" s="278">
        <f>VLOOKUP($G868,DATOS!$B:$E,2,FALSE)</f>
        <v/>
      </c>
      <c r="I868" s="278">
        <f>VLOOKUP($G868,DATOS!$B:$E,3,FALSE)</f>
        <v/>
      </c>
      <c r="J868" s="278">
        <f>VLOOKUP($G868,DATOS!$B:$E,4,FALSE)</f>
        <v/>
      </c>
      <c r="K868" s="278" t="inlineStr">
        <is>
          <t>Contrato de Asset Management - Subestación Grijota</t>
        </is>
      </c>
      <c r="L868" s="280" t="n"/>
      <c r="N868" s="280" t="n"/>
      <c r="O868" s="278" t="inlineStr">
        <is>
          <t>Fee Trimestral - 01Abril/30Junio 2023</t>
        </is>
      </c>
      <c r="P868" s="280">
        <f>1035*3*1.108</f>
        <v/>
      </c>
      <c r="R868" s="280" t="n"/>
      <c r="T868" s="280" t="n"/>
      <c r="V868" s="280" t="n"/>
      <c r="X868" s="280" t="n"/>
      <c r="Z868" s="280" t="n"/>
      <c r="AA868" s="280" t="n"/>
      <c r="AB868" s="281" t="inlineStr">
        <is>
          <t>ES11 0081 7069 2700 0122 7724</t>
        </is>
      </c>
      <c r="AC868" s="278" t="inlineStr">
        <is>
          <t>pendiente</t>
        </is>
      </c>
      <c r="AD868" s="280">
        <f>L868+N868+P868+R868+T868+V868+X868+Z868</f>
        <v/>
      </c>
      <c r="AE868" s="280">
        <f>IF((LEFT(K868,6))="Contab",L868,0)</f>
        <v/>
      </c>
      <c r="AF868" s="281">
        <f>VLOOKUP(G868,CLIENTES!B:E,4,FALSE)</f>
        <v/>
      </c>
      <c r="AG868" s="280">
        <f>AF868*AE868</f>
        <v/>
      </c>
      <c r="AH868" s="280">
        <f>AD868*1.21</f>
        <v/>
      </c>
      <c r="AI868" s="284">
        <f>IF(AE868&lt;&gt;0,AG868/AD868,"N/A")</f>
        <v/>
      </c>
      <c r="AJ868" s="280">
        <f>IF(AC868="pendiente",AD868,0)</f>
        <v/>
      </c>
      <c r="AK868" s="278">
        <f>VLOOKUP(G868,CLIENTES!B:D,3,FALSE)</f>
        <v/>
      </c>
    </row>
    <row r="869" ht="15" customFormat="1" customHeight="1" s="278">
      <c r="B869" s="279" t="n"/>
      <c r="C869" s="278" t="inlineStr">
        <is>
          <t>c/ Las Cruzadas 3A, local D</t>
        </is>
      </c>
      <c r="D869" s="278" t="inlineStr">
        <is>
          <t>Sevilla 41004</t>
        </is>
      </c>
      <c r="E869" s="278" t="inlineStr">
        <is>
          <t>CIF B91938662</t>
        </is>
      </c>
      <c r="F869" s="278" t="inlineStr">
        <is>
          <t>aBalados@abalados.es</t>
        </is>
      </c>
      <c r="G869" s="278" t="inlineStr">
        <is>
          <t>FP LUX REIO PV VALLADOLID, S.L.U.</t>
        </is>
      </c>
      <c r="H869" s="278">
        <f>VLOOKUP($G869,DATOS!$B:$E,2,FALSE)</f>
        <v/>
      </c>
      <c r="I869" s="278">
        <f>VLOOKUP($G869,DATOS!$B:$E,3,FALSE)</f>
        <v/>
      </c>
      <c r="J869" s="278">
        <f>VLOOKUP($G869,DATOS!$B:$E,4,FALSE)</f>
        <v/>
      </c>
      <c r="K869" s="278" t="inlineStr">
        <is>
          <t>Contrato de Asset Management - Subestación Majuelo</t>
        </is>
      </c>
      <c r="L869" s="280" t="n"/>
      <c r="N869" s="280" t="n"/>
      <c r="O869" s="278" t="inlineStr">
        <is>
          <t>Fee Trimestral - 01Abril/30Junio 2023</t>
        </is>
      </c>
      <c r="P869" s="280">
        <f>1173*3*1.105</f>
        <v/>
      </c>
      <c r="R869" s="280" t="n"/>
      <c r="S869" s="280" t="n"/>
      <c r="T869" s="280" t="n"/>
      <c r="V869" s="280" t="n"/>
      <c r="X869" s="280" t="n"/>
      <c r="Z869" s="280" t="n"/>
      <c r="AA869" s="280" t="n"/>
      <c r="AB869" s="281" t="inlineStr">
        <is>
          <t>ES11 0081 7069 2700 0122 7724</t>
        </is>
      </c>
      <c r="AC869" s="278" t="inlineStr">
        <is>
          <t>pendiente</t>
        </is>
      </c>
      <c r="AD869" s="280">
        <f>L869+N869+P869+R869+T869+V869+X869+Z869</f>
        <v/>
      </c>
      <c r="AE869" s="280">
        <f>IF((LEFT(K869,6))="Contab",L869,0)</f>
        <v/>
      </c>
      <c r="AF869" s="281">
        <f>VLOOKUP(G869,CLIENTES!B:E,4,FALSE)</f>
        <v/>
      </c>
      <c r="AG869" s="280">
        <f>AF869*AE869</f>
        <v/>
      </c>
      <c r="AH869" s="280">
        <f>AD869*1.21</f>
        <v/>
      </c>
      <c r="AI869" s="284">
        <f>IF(AE869&lt;&gt;0,AG869/AD869,"N/A")</f>
        <v/>
      </c>
      <c r="AJ869" s="280">
        <f>IF(AC869="pendiente",AD869,0)</f>
        <v/>
      </c>
      <c r="AK869" s="278">
        <f>VLOOKUP(G869,CLIENTES!B:D,3,FALSE)</f>
        <v/>
      </c>
    </row>
    <row r="870" ht="15" customFormat="1" customHeight="1" s="278">
      <c r="B870" s="279" t="n"/>
      <c r="C870" s="278" t="inlineStr">
        <is>
          <t>c/ Las Cruzadas 3A, local D</t>
        </is>
      </c>
      <c r="D870" s="278" t="inlineStr">
        <is>
          <t>Sevilla 41004</t>
        </is>
      </c>
      <c r="E870" s="278" t="inlineStr">
        <is>
          <t>CIF B91938662</t>
        </is>
      </c>
      <c r="F870" s="278" t="inlineStr">
        <is>
          <t>aBalados@abalados.es</t>
        </is>
      </c>
      <c r="G870" s="278" t="inlineStr">
        <is>
          <t>FP LUX REIO PV VALLADOLID, S.L.U.</t>
        </is>
      </c>
      <c r="H870" s="278">
        <f>VLOOKUP($G870,DATOS!$B:$E,2,FALSE)</f>
        <v/>
      </c>
      <c r="I870" s="278">
        <f>VLOOKUP($G870,DATOS!$B:$E,3,FALSE)</f>
        <v/>
      </c>
      <c r="J870" s="278">
        <f>VLOOKUP($G870,DATOS!$B:$E,4,FALSE)</f>
        <v/>
      </c>
      <c r="K870" s="278" t="inlineStr">
        <is>
          <t>Contrato de Asset Management - Subestación Tordesillas</t>
        </is>
      </c>
      <c r="L870" s="280" t="n"/>
      <c r="N870" s="280" t="n"/>
      <c r="O870" s="278" t="inlineStr">
        <is>
          <t>Fee Trimestral - 01Abril/30Junio 2023</t>
        </is>
      </c>
      <c r="P870" s="280">
        <f>1200*3*1.073</f>
        <v/>
      </c>
      <c r="R870" s="280" t="n"/>
      <c r="S870" s="280" t="n"/>
      <c r="T870" s="280" t="n"/>
      <c r="V870" s="280" t="n"/>
      <c r="X870" s="280" t="n"/>
      <c r="Z870" s="280" t="n"/>
      <c r="AA870" s="280" t="n"/>
      <c r="AB870" s="281" t="inlineStr">
        <is>
          <t>ES11 0081 7069 2700 0122 7724</t>
        </is>
      </c>
      <c r="AC870" s="278" t="inlineStr">
        <is>
          <t>pendiente</t>
        </is>
      </c>
      <c r="AD870" s="280">
        <f>L870+N870+P870+R870+T870+V870+X870+Z870</f>
        <v/>
      </c>
      <c r="AE870" s="280">
        <f>IF((LEFT(K870,6))="Contab",L870,0)</f>
        <v/>
      </c>
      <c r="AF870" s="281">
        <f>VLOOKUP(G870,CLIENTES!B:E,4,FALSE)</f>
        <v/>
      </c>
      <c r="AG870" s="280">
        <f>AF870*AE870</f>
        <v/>
      </c>
      <c r="AH870" s="280">
        <f>AD870*1.21</f>
        <v/>
      </c>
      <c r="AI870" s="284">
        <f>IF(AE870&lt;&gt;0,AG870/AD870,"N/A")</f>
        <v/>
      </c>
      <c r="AJ870" s="280">
        <f>IF(AC870="pendiente",AD870,0)</f>
        <v/>
      </c>
      <c r="AK870" s="278">
        <f>VLOOKUP(G870,CLIENTES!B:D,3,FALSE)</f>
        <v/>
      </c>
    </row>
    <row r="871" ht="15" customFormat="1" customHeight="1" s="278">
      <c r="B871" s="279" t="n"/>
      <c r="C871" s="278" t="inlineStr">
        <is>
          <t>c/ Las Cruzadas 3A, local D</t>
        </is>
      </c>
      <c r="D871" s="278" t="inlineStr">
        <is>
          <t>Sevilla 41004</t>
        </is>
      </c>
      <c r="E871" s="278" t="inlineStr">
        <is>
          <t>CIF B91938662</t>
        </is>
      </c>
      <c r="F871" s="278" t="inlineStr">
        <is>
          <t>aBalados@abalados.es</t>
        </is>
      </c>
      <c r="G871" s="278" t="inlineStr">
        <is>
          <t>FP LUX REIO PV VALLADOLID, S.L.U.</t>
        </is>
      </c>
      <c r="H871" s="278">
        <f>VLOOKUP($G871,DATOS!$B:$E,2,FALSE)</f>
        <v/>
      </c>
      <c r="I871" s="278">
        <f>VLOOKUP($G871,DATOS!$B:$E,3,FALSE)</f>
        <v/>
      </c>
      <c r="J871" s="278">
        <f>VLOOKUP($G871,DATOS!$B:$E,4,FALSE)</f>
        <v/>
      </c>
      <c r="K871" s="278" t="inlineStr">
        <is>
          <t>Contrato de Asset Management - Subestación Valdecarretas</t>
        </is>
      </c>
      <c r="L871" s="280" t="n"/>
      <c r="N871" s="280" t="n"/>
      <c r="O871" s="278" t="inlineStr">
        <is>
          <t>Fee Trimestral - 01Abril/30Junio 2023</t>
        </is>
      </c>
      <c r="P871" s="280">
        <f>1380*3*1.073</f>
        <v/>
      </c>
      <c r="R871" s="280" t="n"/>
      <c r="S871" s="280" t="n"/>
      <c r="T871" s="280" t="n"/>
      <c r="V871" s="280" t="n"/>
      <c r="X871" s="280" t="n"/>
      <c r="Z871" s="280" t="n"/>
      <c r="AA871" s="280" t="n"/>
      <c r="AB871" s="281" t="inlineStr">
        <is>
          <t>ES11 0081 7069 2700 0122 7724</t>
        </is>
      </c>
      <c r="AC871" s="278" t="inlineStr">
        <is>
          <t>pendiente</t>
        </is>
      </c>
      <c r="AD871" s="280">
        <f>L871+N871+P871+R871+T871+V871+X871+Z871</f>
        <v/>
      </c>
      <c r="AE871" s="280">
        <f>IF((LEFT(K871,6))="Contab",L871,0)</f>
        <v/>
      </c>
      <c r="AF871" s="281">
        <f>VLOOKUP(G871,CLIENTES!B:E,4,FALSE)</f>
        <v/>
      </c>
      <c r="AG871" s="280">
        <f>AF871*AE871</f>
        <v/>
      </c>
      <c r="AH871" s="280">
        <f>AD871*1.21</f>
        <v/>
      </c>
      <c r="AI871" s="284">
        <f>IF(AE871&lt;&gt;0,AG871/AD871,"N/A")</f>
        <v/>
      </c>
      <c r="AJ871" s="280">
        <f>IF(AC871="pendiente",AD871,0)</f>
        <v/>
      </c>
      <c r="AK871" s="278">
        <f>VLOOKUP(G871,CLIENTES!B:D,3,FALSE)</f>
        <v/>
      </c>
    </row>
    <row r="872" ht="15" customFormat="1" customHeight="1" s="278">
      <c r="B872" s="279" t="n"/>
      <c r="C872" s="278" t="inlineStr">
        <is>
          <t>c/ Las Cruzadas 3A, local D</t>
        </is>
      </c>
      <c r="D872" s="278" t="inlineStr">
        <is>
          <t>Sevilla 41004</t>
        </is>
      </c>
      <c r="E872" s="278" t="inlineStr">
        <is>
          <t>CIF B91938662</t>
        </is>
      </c>
      <c r="F872" s="278" t="inlineStr">
        <is>
          <t>aBalados@abalados.es</t>
        </is>
      </c>
      <c r="G872" s="278" t="inlineStr">
        <is>
          <t>FP LUX REIO PV VALLADOLID, S.L.U.</t>
        </is>
      </c>
      <c r="H872" s="278">
        <f>VLOOKUP($G872,DATOS!$B:$E,2,FALSE)</f>
        <v/>
      </c>
      <c r="I872" s="278">
        <f>VLOOKUP($G872,DATOS!$B:$E,3,FALSE)</f>
        <v/>
      </c>
      <c r="J872" s="278">
        <f>VLOOKUP($G872,DATOS!$B:$E,4,FALSE)</f>
        <v/>
      </c>
      <c r="K872" s="278" t="inlineStr">
        <is>
          <t>Contrato de Asset Management - Subestación Herrera</t>
        </is>
      </c>
      <c r="L872" s="280" t="n"/>
      <c r="N872" s="280" t="n"/>
      <c r="O872" s="278" t="inlineStr">
        <is>
          <t>Fee Trimestral - 01Abril/30Junio 2023</t>
        </is>
      </c>
      <c r="P872" s="280">
        <f>1250*3*1.068</f>
        <v/>
      </c>
      <c r="R872" s="280" t="n"/>
      <c r="S872" s="280" t="n"/>
      <c r="T872" s="280" t="n"/>
      <c r="V872" s="280" t="n"/>
      <c r="X872" s="280" t="n"/>
      <c r="Z872" s="280" t="n"/>
      <c r="AA872" s="280" t="n"/>
      <c r="AB872" s="281" t="inlineStr">
        <is>
          <t>ES11 0081 7069 2700 0122 7724</t>
        </is>
      </c>
      <c r="AC872" s="278" t="inlineStr">
        <is>
          <t>pendiente</t>
        </is>
      </c>
      <c r="AD872" s="280">
        <f>L872+N872+P872+R872+T872+V872+X872+Z872</f>
        <v/>
      </c>
      <c r="AE872" s="280">
        <f>IF((LEFT(K872,6))="Contab",L872,0)</f>
        <v/>
      </c>
      <c r="AF872" s="281">
        <f>VLOOKUP(G872,CLIENTES!B:E,4,FALSE)</f>
        <v/>
      </c>
      <c r="AG872" s="280">
        <f>AF872*AE872</f>
        <v/>
      </c>
      <c r="AH872" s="280">
        <f>AD872*1.21</f>
        <v/>
      </c>
      <c r="AI872" s="284">
        <f>IF(AE872&lt;&gt;0,AG872/AD872,"N/A")</f>
        <v/>
      </c>
      <c r="AJ872" s="280">
        <f>IF(AC872="pendiente",AD872,0)</f>
        <v/>
      </c>
      <c r="AK872" s="278">
        <f>VLOOKUP(G872,CLIENTES!B:D,3,FALSE)</f>
        <v/>
      </c>
    </row>
    <row r="873" ht="15" customFormat="1" customHeight="1" s="278">
      <c r="B873" s="279" t="n"/>
      <c r="C873" s="278" t="inlineStr">
        <is>
          <t>c/ Las Cruzadas 3A, local D</t>
        </is>
      </c>
      <c r="D873" s="278" t="inlineStr">
        <is>
          <t>Sevilla 41004</t>
        </is>
      </c>
      <c r="E873" s="278" t="inlineStr">
        <is>
          <t>CIF B91938662</t>
        </is>
      </c>
      <c r="F873" s="278" t="inlineStr">
        <is>
          <t>aBalados@abalados.es</t>
        </is>
      </c>
      <c r="G873" s="278" t="inlineStr">
        <is>
          <t>FP LUX REIO PV VALLADOLID, S.L.U.</t>
        </is>
      </c>
      <c r="H873" s="278">
        <f>VLOOKUP($G873,DATOS!$B:$E,2,FALSE)</f>
        <v/>
      </c>
      <c r="I873" s="278">
        <f>VLOOKUP($G873,DATOS!$B:$E,3,FALSE)</f>
        <v/>
      </c>
      <c r="J873" s="278">
        <f>VLOOKUP($G873,DATOS!$B:$E,4,FALSE)</f>
        <v/>
      </c>
      <c r="K873" s="278" t="inlineStr">
        <is>
          <t>Contrato de Asset Management - Subestación Gazules</t>
        </is>
      </c>
      <c r="L873" s="280" t="n"/>
      <c r="N873" s="280" t="n"/>
      <c r="O873" s="278" t="inlineStr">
        <is>
          <t>Fee Trimestral - 01Abril/30Junio 2023</t>
        </is>
      </c>
      <c r="P873" s="280">
        <f>1200*3*1.068</f>
        <v/>
      </c>
      <c r="R873" s="280" t="n"/>
      <c r="S873" s="280" t="n"/>
      <c r="T873" s="280" t="n"/>
      <c r="V873" s="280" t="n"/>
      <c r="X873" s="280" t="n"/>
      <c r="Z873" s="280" t="n"/>
      <c r="AA873" s="280" t="n"/>
      <c r="AB873" s="281" t="inlineStr">
        <is>
          <t>ES11 0081 7069 2700 0122 7724</t>
        </is>
      </c>
      <c r="AC873" s="278" t="inlineStr">
        <is>
          <t>pendiente</t>
        </is>
      </c>
      <c r="AD873" s="280">
        <f>L873+N873+P873+R873+T873+V873+X873+Z873</f>
        <v/>
      </c>
      <c r="AE873" s="280">
        <f>IF((LEFT(K873,6))="Contab",L873,0)</f>
        <v/>
      </c>
      <c r="AF873" s="281">
        <f>VLOOKUP(G873,CLIENTES!B:E,4,FALSE)</f>
        <v/>
      </c>
      <c r="AG873" s="280">
        <f>AF873*AE873</f>
        <v/>
      </c>
      <c r="AH873" s="280">
        <f>AD873*1.21</f>
        <v/>
      </c>
      <c r="AI873" s="284">
        <f>IF(AE873&lt;&gt;0,AG873/AD873,"N/A")</f>
        <v/>
      </c>
      <c r="AJ873" s="280">
        <f>IF(AC873="pendiente",AD873,0)</f>
        <v/>
      </c>
      <c r="AK873" s="278">
        <f>VLOOKUP(G873,CLIENTES!B:D,3,FALSE)</f>
        <v/>
      </c>
    </row>
    <row r="874" ht="15" customFormat="1" customHeight="1" s="278">
      <c r="B874" s="279" t="n"/>
      <c r="C874" s="278" t="inlineStr">
        <is>
          <t>c/ Las Cruzadas 3A, local D</t>
        </is>
      </c>
      <c r="D874" s="278" t="inlineStr">
        <is>
          <t>Sevilla 41004</t>
        </is>
      </c>
      <c r="E874" s="278" t="inlineStr">
        <is>
          <t>CIF B91938662</t>
        </is>
      </c>
      <c r="F874" s="278" t="inlineStr">
        <is>
          <t>aBalados@abalados.es</t>
        </is>
      </c>
      <c r="G874" s="278" t="inlineStr">
        <is>
          <t>FP LUX REIO PV VALLADOLID, S.L.U.</t>
        </is>
      </c>
      <c r="H874" s="278">
        <f>VLOOKUP($G874,DATOS!$B:$E,2,FALSE)</f>
        <v/>
      </c>
      <c r="I874" s="278">
        <f>VLOOKUP($G874,DATOS!$B:$E,3,FALSE)</f>
        <v/>
      </c>
      <c r="J874" s="278">
        <f>VLOOKUP($G874,DATOS!$B:$E,4,FALSE)</f>
        <v/>
      </c>
      <c r="K874" s="278" t="inlineStr">
        <is>
          <t>Servicios extraordinarios - Asset Management (subestación Álamo)</t>
        </is>
      </c>
      <c r="L874" s="280" t="n"/>
      <c r="M874" s="278" t="inlineStr">
        <is>
          <t>Asistencia técnica para la interlocución con REE en nombre de la Sociedad</t>
        </is>
      </c>
      <c r="N874" s="280" t="n"/>
      <c r="O874" s="278" t="inlineStr">
        <is>
          <t>Fee Trimestral - 01Abril/30Junio 2023</t>
        </is>
      </c>
      <c r="P874" s="280">
        <f>285*3</f>
        <v/>
      </c>
      <c r="R874" s="280" t="n"/>
      <c r="T874" s="280" t="n"/>
      <c r="V874" s="280" t="n"/>
      <c r="X874" s="280" t="n"/>
      <c r="Z874" s="280" t="n"/>
      <c r="AA874" s="280" t="n"/>
      <c r="AB874" s="281" t="inlineStr">
        <is>
          <t>ES11 0081 7069 2700 0122 7724</t>
        </is>
      </c>
      <c r="AC874" s="278" t="inlineStr">
        <is>
          <t>pendiente</t>
        </is>
      </c>
      <c r="AD874" s="280">
        <f>L874+N874+P874+R874+T874+V874+X874+Z874</f>
        <v/>
      </c>
      <c r="AE874" s="280">
        <f>IF((LEFT(K874,6))="Contab",L874,0)</f>
        <v/>
      </c>
      <c r="AF874" s="281">
        <f>VLOOKUP(G874,CLIENTES!B:E,4,FALSE)</f>
        <v/>
      </c>
      <c r="AG874" s="280">
        <f>AF874*AE874</f>
        <v/>
      </c>
      <c r="AH874" s="280">
        <f>AD874*1.21</f>
        <v/>
      </c>
      <c r="AI874" s="284">
        <f>IF(AE874&lt;&gt;0,AG874/AD874,"N/A")</f>
        <v/>
      </c>
      <c r="AJ874" s="280">
        <f>IF(AC874="pendiente",AD874,0)</f>
        <v/>
      </c>
      <c r="AK874" s="278">
        <f>VLOOKUP(G874,CLIENTES!B:D,3,FALSE)</f>
        <v/>
      </c>
    </row>
    <row r="875" ht="15" customFormat="1" customHeight="1" s="278">
      <c r="B875" s="279" t="n"/>
      <c r="C875" s="278" t="inlineStr">
        <is>
          <t>c/ Las Cruzadas 3A, local D</t>
        </is>
      </c>
      <c r="D875" s="278" t="inlineStr">
        <is>
          <t>Sevilla 41004</t>
        </is>
      </c>
      <c r="E875" s="278" t="inlineStr">
        <is>
          <t>CIF B91938662</t>
        </is>
      </c>
      <c r="F875" s="278" t="inlineStr">
        <is>
          <t>aBalados@abalados.es</t>
        </is>
      </c>
      <c r="G875" s="278" t="inlineStr">
        <is>
          <t>FP LUX REIO PV VALLADOLID, S.L.U.</t>
        </is>
      </c>
      <c r="H875" s="278">
        <f>VLOOKUP($G875,DATOS!$B:$E,2,FALSE)</f>
        <v/>
      </c>
      <c r="I875" s="278">
        <f>VLOOKUP($G875,DATOS!$B:$E,3,FALSE)</f>
        <v/>
      </c>
      <c r="J875" s="278">
        <f>VLOOKUP($G875,DATOS!$B:$E,4,FALSE)</f>
        <v/>
      </c>
      <c r="K875" s="278" t="inlineStr">
        <is>
          <t>Contrato de Asset Management - LAAT T2 (Tordesillas)</t>
        </is>
      </c>
      <c r="L875" s="280" t="n"/>
      <c r="N875" s="280" t="n"/>
      <c r="O875" s="278" t="inlineStr">
        <is>
          <t>Fee Trimestral - 01Abril/30Junio 2023</t>
        </is>
      </c>
      <c r="P875" s="280">
        <f>1200*3*1.059</f>
        <v/>
      </c>
      <c r="R875" s="280" t="n"/>
      <c r="S875" s="280" t="n"/>
      <c r="T875" s="280" t="n"/>
      <c r="V875" s="280" t="n"/>
      <c r="X875" s="280" t="n"/>
      <c r="Z875" s="280" t="n"/>
      <c r="AA875" s="280" t="n"/>
      <c r="AB875" s="281" t="inlineStr">
        <is>
          <t>ES11 0081 7069 2700 0122 7724</t>
        </is>
      </c>
      <c r="AC875" s="278" t="inlineStr">
        <is>
          <t>pendiente</t>
        </is>
      </c>
      <c r="AD875" s="280">
        <f>L875+N875+P875+R875+T875+V875+X875+Z875</f>
        <v/>
      </c>
      <c r="AE875" s="280">
        <f>IF((LEFT(K875,6))="Contab",L875,0)</f>
        <v/>
      </c>
      <c r="AF875" s="281">
        <f>VLOOKUP(G875,CLIENTES!B:E,4,FALSE)</f>
        <v/>
      </c>
      <c r="AG875" s="280">
        <f>AF875*AE875</f>
        <v/>
      </c>
      <c r="AH875" s="280">
        <f>AD875*1.21</f>
        <v/>
      </c>
      <c r="AI875" s="284">
        <f>IF(AE875&lt;&gt;0,AG875/AD875,"N/A")</f>
        <v/>
      </c>
      <c r="AJ875" s="280">
        <f>IF(AC875="pendiente",AD875,0)</f>
        <v/>
      </c>
      <c r="AK875" s="278">
        <f>VLOOKUP(G875,CLIENTES!B:D,3,FALSE)</f>
        <v/>
      </c>
    </row>
    <row r="876" ht="15" customFormat="1" customHeight="1" s="278">
      <c r="B876" s="279" t="n"/>
      <c r="C876" s="278" t="inlineStr">
        <is>
          <t>c/ Las Cruzadas 3A, local D</t>
        </is>
      </c>
      <c r="D876" s="278" t="inlineStr">
        <is>
          <t>Sevilla 41004</t>
        </is>
      </c>
      <c r="E876" s="278" t="inlineStr">
        <is>
          <t>CIF B91938662</t>
        </is>
      </c>
      <c r="F876" s="278" t="inlineStr">
        <is>
          <t>aBalados@abalados.es</t>
        </is>
      </c>
      <c r="G876" s="278" t="inlineStr">
        <is>
          <t>FP LUX REIO PV VALLADOLID, S.L.U.</t>
        </is>
      </c>
      <c r="H876" s="278">
        <f>VLOOKUP($G876,DATOS!$B:$E,2,FALSE)</f>
        <v/>
      </c>
      <c r="I876" s="278">
        <f>VLOOKUP($G876,DATOS!$B:$E,3,FALSE)</f>
        <v/>
      </c>
      <c r="J876" s="278">
        <f>VLOOKUP($G876,DATOS!$B:$E,4,FALSE)</f>
        <v/>
      </c>
      <c r="K876" s="278" t="inlineStr">
        <is>
          <t>Contrato de Asset Management - Subestación Carmona220</t>
        </is>
      </c>
      <c r="L876" s="280" t="n"/>
      <c r="N876" s="280" t="n"/>
      <c r="O876" s="278" t="inlineStr">
        <is>
          <t>Fee Trimestral - 01Abril/30Junio 2023</t>
        </is>
      </c>
      <c r="P876" s="280">
        <f>1250*3*1.06</f>
        <v/>
      </c>
      <c r="R876" s="280" t="n"/>
      <c r="S876" s="280" t="n"/>
      <c r="T876" s="280" t="n"/>
      <c r="V876" s="280" t="n"/>
      <c r="X876" s="280" t="n"/>
      <c r="Z876" s="280" t="n"/>
      <c r="AA876" s="280" t="n"/>
      <c r="AB876" s="281" t="inlineStr">
        <is>
          <t>ES11 0081 7069 2700 0122 7724</t>
        </is>
      </c>
      <c r="AC876" s="278" t="inlineStr">
        <is>
          <t>pendiente</t>
        </is>
      </c>
      <c r="AD876" s="280">
        <f>L876+N876+P876+R876+T876+V876+X876+Z876</f>
        <v/>
      </c>
      <c r="AE876" s="280">
        <f>IF((LEFT(K876,6))="Contab",L876,0)</f>
        <v/>
      </c>
      <c r="AF876" s="281">
        <f>VLOOKUP(G876,CLIENTES!B:E,4,FALSE)</f>
        <v/>
      </c>
      <c r="AG876" s="280">
        <f>AF876*AE876</f>
        <v/>
      </c>
      <c r="AH876" s="280">
        <f>AD876*1.21</f>
        <v/>
      </c>
      <c r="AI876" s="284">
        <f>IF(AE876&lt;&gt;0,AG876/AD876,"N/A")</f>
        <v/>
      </c>
      <c r="AJ876" s="280">
        <f>IF(AC876="pendiente",AD876,0)</f>
        <v/>
      </c>
      <c r="AK876" s="278">
        <f>VLOOKUP(G876,CLIENTES!B:D,3,FALSE)</f>
        <v/>
      </c>
    </row>
    <row r="877" ht="15" customFormat="1" customHeight="1" s="278">
      <c r="B877" s="279" t="n"/>
      <c r="C877" s="278" t="inlineStr">
        <is>
          <t>c/ Las Cruzadas 3A, local D</t>
        </is>
      </c>
      <c r="D877" s="278" t="inlineStr">
        <is>
          <t>Sevilla 41004</t>
        </is>
      </c>
      <c r="E877" s="278" t="inlineStr">
        <is>
          <t>CIF B91938662</t>
        </is>
      </c>
      <c r="F877" s="278" t="inlineStr">
        <is>
          <t>aBalados@abalados.es</t>
        </is>
      </c>
      <c r="G877" s="278" t="inlineStr">
        <is>
          <t>FP LUX REIO PV VALLADOLID, S.L.U.</t>
        </is>
      </c>
      <c r="H877" s="278">
        <f>VLOOKUP($G877,DATOS!$B:$E,2,FALSE)</f>
        <v/>
      </c>
      <c r="I877" s="278">
        <f>VLOOKUP($G877,DATOS!$B:$E,3,FALSE)</f>
        <v/>
      </c>
      <c r="J877" s="278">
        <f>VLOOKUP($G877,DATOS!$B:$E,4,FALSE)</f>
        <v/>
      </c>
      <c r="K877" s="278" t="inlineStr">
        <is>
          <t>Contrato de Asset Management - LAAT T3 (Tordesillas)</t>
        </is>
      </c>
      <c r="L877" s="280" t="n"/>
      <c r="N877" s="280" t="n"/>
      <c r="O877" s="278" t="inlineStr">
        <is>
          <t>Fee Trimestral - 01Abril/30Junio 2023</t>
        </is>
      </c>
      <c r="P877" s="280">
        <f>1200*3*1.06</f>
        <v/>
      </c>
      <c r="R877" s="280" t="n"/>
      <c r="S877" s="280" t="n"/>
      <c r="T877" s="280" t="n"/>
      <c r="V877" s="280" t="n"/>
      <c r="X877" s="280" t="n"/>
      <c r="Z877" s="280" t="n"/>
      <c r="AA877" s="280" t="n"/>
      <c r="AB877" s="281" t="inlineStr">
        <is>
          <t>ES11 0081 7069 2700 0122 7724</t>
        </is>
      </c>
      <c r="AC877" s="278" t="inlineStr">
        <is>
          <t>pendiente</t>
        </is>
      </c>
      <c r="AD877" s="280">
        <f>L877+N877+P877+R877+T877+V877+X877+Z877</f>
        <v/>
      </c>
      <c r="AE877" s="280">
        <f>IF((LEFT(K877,6))="Contab",L877,0)</f>
        <v/>
      </c>
      <c r="AF877" s="281">
        <f>VLOOKUP(G877,CLIENTES!B:E,4,FALSE)</f>
        <v/>
      </c>
      <c r="AG877" s="280">
        <f>AF877*AE877</f>
        <v/>
      </c>
      <c r="AH877" s="280">
        <f>AD877*1.21</f>
        <v/>
      </c>
      <c r="AI877" s="284">
        <f>IF(AE877&lt;&gt;0,AG877/AD877,"N/A")</f>
        <v/>
      </c>
      <c r="AJ877" s="280">
        <f>IF(AC877="pendiente",AD877,0)</f>
        <v/>
      </c>
      <c r="AK877" s="278">
        <f>VLOOKUP(G877,CLIENTES!B:D,3,FALSE)</f>
        <v/>
      </c>
    </row>
    <row r="878" ht="15" customFormat="1" customHeight="1" s="278">
      <c r="B878" s="279" t="n"/>
      <c r="C878" s="278" t="inlineStr">
        <is>
          <t>c/ Las Cruzadas 3A, local D</t>
        </is>
      </c>
      <c r="D878" s="278" t="inlineStr">
        <is>
          <t>Sevilla 41004</t>
        </is>
      </c>
      <c r="E878" s="278" t="inlineStr">
        <is>
          <t>CIF B91938662</t>
        </is>
      </c>
      <c r="G878" s="278" t="inlineStr">
        <is>
          <t>FP LUX REIO PV VALLADOLID, S.L.U.</t>
        </is>
      </c>
      <c r="H878" s="278">
        <f>VLOOKUP($G878,DATOS!$B:$E,2,FALSE)</f>
        <v/>
      </c>
      <c r="I878" s="278">
        <f>VLOOKUP($G878,DATOS!$B:$E,3,FALSE)</f>
        <v/>
      </c>
      <c r="J878" s="278">
        <f>VLOOKUP($G878,DATOS!$B:$E,4,FALSE)</f>
        <v/>
      </c>
      <c r="K878" s="278" t="inlineStr">
        <is>
          <t>Contrato de Asset Management - Subestación Carmona400</t>
        </is>
      </c>
      <c r="L878" s="280" t="n"/>
      <c r="N878" s="280" t="n"/>
      <c r="O878" s="278" t="inlineStr">
        <is>
          <t>Fee Trimestral - 01Abril/30Junio 2023</t>
        </is>
      </c>
      <c r="P878" s="280">
        <f>1250*3*1.06</f>
        <v/>
      </c>
      <c r="R878" s="280" t="n"/>
      <c r="S878" s="280" t="n"/>
      <c r="T878" s="280" t="n"/>
      <c r="V878" s="280" t="n"/>
      <c r="X878" s="280" t="n"/>
      <c r="Z878" s="280" t="n"/>
      <c r="AA878" s="280" t="n"/>
      <c r="AB878" s="281" t="inlineStr">
        <is>
          <t>ES11 0081 7069 2700 0122 7724</t>
        </is>
      </c>
      <c r="AC878" s="278" t="inlineStr">
        <is>
          <t>pendiente</t>
        </is>
      </c>
      <c r="AD878" s="280">
        <f>L878+N878+P878+R878+T878+V878+X878+Z878</f>
        <v/>
      </c>
      <c r="AE878" s="280">
        <f>IF((LEFT(K878,6))="Contab",L878,0)</f>
        <v/>
      </c>
      <c r="AF878" s="281">
        <f>VLOOKUP(G878,CLIENTES!B:E,4,FALSE)</f>
        <v/>
      </c>
      <c r="AG878" s="280">
        <f>AF878*AE878</f>
        <v/>
      </c>
      <c r="AH878" s="280">
        <f>AD878*1.21</f>
        <v/>
      </c>
      <c r="AI878" s="284">
        <f>IF(AE878&lt;&gt;0,AG878/AD878,"N/A")</f>
        <v/>
      </c>
      <c r="AJ878" s="280">
        <f>IF(AC878="pendiente",AD878,0)</f>
        <v/>
      </c>
      <c r="AK878" s="278">
        <f>VLOOKUP(G878,CLIENTES!B:D,3,FALSE)</f>
        <v/>
      </c>
    </row>
    <row r="879" ht="15" customFormat="1" customHeight="1" s="278">
      <c r="B879" s="279" t="n"/>
      <c r="C879" s="278" t="inlineStr">
        <is>
          <t>c/ Las Cruzadas 3A, local D</t>
        </is>
      </c>
      <c r="D879" s="278" t="inlineStr">
        <is>
          <t>Sevilla 41004</t>
        </is>
      </c>
      <c r="E879" s="278" t="inlineStr">
        <is>
          <t>CIF B91938662</t>
        </is>
      </c>
      <c r="G879" s="278" t="inlineStr">
        <is>
          <t>FP LUX REIO PV VALLADOLID, S.L.U.</t>
        </is>
      </c>
      <c r="H879" s="278">
        <f>VLOOKUP($G879,DATOS!$B:$E,2,FALSE)</f>
        <v/>
      </c>
      <c r="I879" s="278">
        <f>VLOOKUP($G879,DATOS!$B:$E,3,FALSE)</f>
        <v/>
      </c>
      <c r="J879" s="278">
        <f>VLOOKUP($G879,DATOS!$B:$E,4,FALSE)</f>
        <v/>
      </c>
      <c r="K879" s="278" t="inlineStr">
        <is>
          <t>Contrato de Asset Management - LAAT 220/400kV</t>
        </is>
      </c>
      <c r="L879" s="280" t="n"/>
      <c r="N879" s="280" t="n"/>
      <c r="O879" s="278" t="inlineStr">
        <is>
          <t>Fee Trimestral - 01Abril/30Junio 2023</t>
        </is>
      </c>
      <c r="P879" s="280">
        <f>1200*3*1.059</f>
        <v/>
      </c>
      <c r="R879" s="280" t="n"/>
      <c r="S879" s="280" t="n"/>
      <c r="T879" s="280" t="n"/>
      <c r="V879" s="280" t="n"/>
      <c r="X879" s="280" t="n"/>
      <c r="Z879" s="280" t="n"/>
      <c r="AA879" s="280" t="n"/>
      <c r="AB879" s="281" t="inlineStr">
        <is>
          <t>ES11 0081 7069 2700 0122 7724</t>
        </is>
      </c>
      <c r="AC879" s="278" t="inlineStr">
        <is>
          <t>pendiente</t>
        </is>
      </c>
      <c r="AD879" s="280">
        <f>L879+N879+P879+R879+T879+V879+X879+Z879</f>
        <v/>
      </c>
      <c r="AE879" s="280">
        <f>IF((LEFT(K879,6))="Contab",L879,0)</f>
        <v/>
      </c>
      <c r="AF879" s="281">
        <f>VLOOKUP(G879,CLIENTES!B:E,4,FALSE)</f>
        <v/>
      </c>
      <c r="AG879" s="280">
        <f>AF879*AE879</f>
        <v/>
      </c>
      <c r="AH879" s="280">
        <f>AD879*1.21</f>
        <v/>
      </c>
      <c r="AI879" s="284">
        <f>IF(AE879&lt;&gt;0,AG879/AD879,"N/A")</f>
        <v/>
      </c>
      <c r="AJ879" s="280">
        <f>IF(AC879="pendiente",AD879,0)</f>
        <v/>
      </c>
      <c r="AK879" s="278">
        <f>VLOOKUP(G879,CLIENTES!B:D,3,FALSE)</f>
        <v/>
      </c>
    </row>
    <row r="880" ht="15" customFormat="1" customHeight="1" s="278">
      <c r="B880" s="279" t="n"/>
      <c r="C880" s="278" t="inlineStr">
        <is>
          <t>c/ Las Cruzadas 3A, local D</t>
        </is>
      </c>
      <c r="D880" s="278" t="inlineStr">
        <is>
          <t>Sevilla 41004</t>
        </is>
      </c>
      <c r="E880" s="278" t="inlineStr">
        <is>
          <t>CIF B91938662</t>
        </is>
      </c>
      <c r="G880" s="278" t="inlineStr">
        <is>
          <t>FP LUX REIO PV VALLADOLID, S.L.U.</t>
        </is>
      </c>
      <c r="H880" s="278">
        <f>VLOOKUP($G880,DATOS!$B:$E,2,FALSE)</f>
        <v/>
      </c>
      <c r="I880" s="278">
        <f>VLOOKUP($G880,DATOS!$B:$E,3,FALSE)</f>
        <v/>
      </c>
      <c r="J880" s="278">
        <f>VLOOKUP($G880,DATOS!$B:$E,4,FALSE)</f>
        <v/>
      </c>
      <c r="K880" s="278" t="inlineStr">
        <is>
          <t>Contrato de Asset Management - Subestación María Castro</t>
        </is>
      </c>
      <c r="L880" s="280" t="n"/>
      <c r="N880" s="280" t="n"/>
      <c r="O880" s="278" t="inlineStr">
        <is>
          <t>Fee Trimestral - 01Abril/30Junio 2023</t>
        </is>
      </c>
      <c r="P880" s="280">
        <f>1275*(20/30) + 1275*1.041*(10/30) + 1275*2*1.041</f>
        <v/>
      </c>
      <c r="Q880" s="278" t="inlineStr">
        <is>
          <t>Tasa actualización IPC General (Marzo 2022 - Marzo 2023): 4,1%</t>
        </is>
      </c>
      <c r="R880" s="280" t="n"/>
      <c r="S880" s="280" t="inlineStr">
        <is>
          <t>Fecha actualización: 21 Abril</t>
        </is>
      </c>
      <c r="T880" s="280" t="n"/>
      <c r="V880" s="280" t="n"/>
      <c r="X880" s="280" t="n"/>
      <c r="Z880" s="280" t="n"/>
      <c r="AA880" s="280" t="n"/>
      <c r="AB880" s="281" t="inlineStr">
        <is>
          <t>ES11 0081 7069 2700 0122 7724</t>
        </is>
      </c>
      <c r="AC880" s="278" t="inlineStr">
        <is>
          <t>pendiente</t>
        </is>
      </c>
      <c r="AD880" s="280">
        <f>L880+N880+P880+R880+T880+V880+X880+Z880</f>
        <v/>
      </c>
      <c r="AE880" s="280">
        <f>IF((LEFT(K880,6))="Contab",L880,0)</f>
        <v/>
      </c>
      <c r="AF880" s="281">
        <f>VLOOKUP(G880,CLIENTES!B:E,4,FALSE)</f>
        <v/>
      </c>
      <c r="AG880" s="280">
        <f>AF880*AE880</f>
        <v/>
      </c>
      <c r="AH880" s="280">
        <f>AD880*1.21</f>
        <v/>
      </c>
      <c r="AI880" s="284">
        <f>IF(AE880&lt;&gt;0,AG880/AD880,"N/A")</f>
        <v/>
      </c>
      <c r="AJ880" s="280">
        <f>IF(AC880="pendiente",AD880,0)</f>
        <v/>
      </c>
      <c r="AK880" s="278">
        <f>VLOOKUP(G880,CLIENTES!B:D,3,FALSE)</f>
        <v/>
      </c>
    </row>
    <row r="881" ht="15" customFormat="1" customHeight="1" s="278">
      <c r="B881" s="279" t="n"/>
      <c r="C881" s="278" t="inlineStr">
        <is>
          <t>c/ Las Cruzadas 3A, local D</t>
        </is>
      </c>
      <c r="D881" s="278" t="inlineStr">
        <is>
          <t>Sevilla 41004</t>
        </is>
      </c>
      <c r="E881" s="278" t="inlineStr">
        <is>
          <t>CIF B91938662</t>
        </is>
      </c>
      <c r="G881" s="278" t="inlineStr">
        <is>
          <t>FP LUX REIO PV VALLADOLID, S.L.U.</t>
        </is>
      </c>
      <c r="H881" s="278">
        <f>VLOOKUP($G881,DATOS!$B:$E,2,FALSE)</f>
        <v/>
      </c>
      <c r="I881" s="278">
        <f>VLOOKUP($G881,DATOS!$B:$E,3,FALSE)</f>
        <v/>
      </c>
      <c r="J881" s="278">
        <f>VLOOKUP($G881,DATOS!$B:$E,4,FALSE)</f>
        <v/>
      </c>
      <c r="K881" s="278" t="inlineStr">
        <is>
          <t>Contrato de Asset Management - LAAT 132kV</t>
        </is>
      </c>
      <c r="L881" s="280" t="n"/>
      <c r="N881" s="280" t="n"/>
      <c r="O881" s="278" t="inlineStr">
        <is>
          <t>Fee Trimestral - 01Abril/30Junio 2023</t>
        </is>
      </c>
      <c r="P881" s="280">
        <f>1275 + 1275*(23/31) + 1275*(8/31)*1.032 + 1275*1*1.032</f>
        <v/>
      </c>
      <c r="Q881" s="278" t="inlineStr">
        <is>
          <t>Tasa actualización IPC General (Marzo 2022 - Marzo 2023): 3,2%</t>
        </is>
      </c>
      <c r="R881" s="280" t="n"/>
      <c r="S881" s="280" t="inlineStr">
        <is>
          <t>Fecha actualización: 24 Mayo</t>
        </is>
      </c>
      <c r="T881" s="280" t="n"/>
      <c r="V881" s="280" t="n"/>
      <c r="X881" s="280" t="n"/>
      <c r="Z881" s="280" t="n"/>
      <c r="AA881" s="280" t="n"/>
      <c r="AB881" s="281" t="inlineStr">
        <is>
          <t>ES11 0081 7069 2700 0122 7724</t>
        </is>
      </c>
      <c r="AC881" s="278" t="inlineStr">
        <is>
          <t>pendiente</t>
        </is>
      </c>
      <c r="AD881" s="280">
        <f>L881+N881+P881+R881+T881+V881+X881+Z881</f>
        <v/>
      </c>
      <c r="AE881" s="280">
        <f>IF((LEFT(K881,6))="Contab",L881,0)</f>
        <v/>
      </c>
      <c r="AF881" s="281">
        <f>VLOOKUP(G881,CLIENTES!B:E,4,FALSE)</f>
        <v/>
      </c>
      <c r="AG881" s="280">
        <f>AF881*AE881</f>
        <v/>
      </c>
      <c r="AH881" s="280">
        <f>AD881*1.21</f>
        <v/>
      </c>
      <c r="AI881" s="284">
        <f>IF(AE881&lt;&gt;0,AG881/AD881,"N/A")</f>
        <v/>
      </c>
      <c r="AJ881" s="280">
        <f>IF(AC881="pendiente",AD881,0)</f>
        <v/>
      </c>
      <c r="AK881" s="278">
        <f>VLOOKUP(G881,CLIENTES!B:D,3,FALSE)</f>
        <v/>
      </c>
    </row>
    <row r="882" ht="15" customFormat="1" customHeight="1" s="278">
      <c r="B882" s="279" t="n"/>
      <c r="C882" s="278" t="inlineStr">
        <is>
          <t>c/ Las Cruzadas 3A, local D</t>
        </is>
      </c>
      <c r="D882" s="278" t="inlineStr">
        <is>
          <t>Sevilla 41004</t>
        </is>
      </c>
      <c r="E882" s="278" t="inlineStr">
        <is>
          <t>CIF B91938662</t>
        </is>
      </c>
      <c r="G882" s="278" t="inlineStr">
        <is>
          <t>FP LUX REIO PV VALLADOLID, S.L.U.</t>
        </is>
      </c>
      <c r="H882" s="278">
        <f>VLOOKUP($G882,DATOS!$B:$E,2,FALSE)</f>
        <v/>
      </c>
      <c r="I882" s="278">
        <f>VLOOKUP($G882,DATOS!$B:$E,3,FALSE)</f>
        <v/>
      </c>
      <c r="J882" s="278">
        <f>VLOOKUP($G882,DATOS!$B:$E,4,FALSE)</f>
        <v/>
      </c>
      <c r="K882" s="278" t="inlineStr">
        <is>
          <t>Contrato de Asset Management - Subestación Sotillo</t>
        </is>
      </c>
      <c r="L882" s="280" t="n"/>
      <c r="N882" s="280" t="n"/>
      <c r="O882" s="278" t="inlineStr">
        <is>
          <t>Fee Trimestral - 01Abril/30Junio 2023</t>
        </is>
      </c>
      <c r="P882" s="280">
        <f>1250*3</f>
        <v/>
      </c>
      <c r="Q882" s="278" t="inlineStr">
        <is>
          <t>Tasa actualización IPC General (Junio 2022 - Junio 2023) no disponible</t>
        </is>
      </c>
      <c r="R882" s="280" t="n"/>
      <c r="T882" s="280" t="n"/>
      <c r="V882" s="280" t="n"/>
      <c r="X882" s="280" t="n"/>
      <c r="Z882" s="280" t="n"/>
      <c r="AA882" s="280" t="n"/>
      <c r="AB882" s="281" t="inlineStr">
        <is>
          <t>ES11 0081 7069 2700 0122 7724</t>
        </is>
      </c>
      <c r="AC882" s="278" t="inlineStr">
        <is>
          <t>pendiente</t>
        </is>
      </c>
      <c r="AD882" s="280">
        <f>L882+N882+P882+R882+T882+V882+X882+Z882</f>
        <v/>
      </c>
      <c r="AE882" s="280">
        <f>IF((LEFT(K882,6))="Contab",L882,0)</f>
        <v/>
      </c>
      <c r="AF882" s="281">
        <f>VLOOKUP(G882,CLIENTES!B:E,4,FALSE)</f>
        <v/>
      </c>
      <c r="AG882" s="280">
        <f>AF882*AE882</f>
        <v/>
      </c>
      <c r="AH882" s="280">
        <f>AD882*1.21</f>
        <v/>
      </c>
      <c r="AI882" s="284">
        <f>IF(AE882&lt;&gt;0,AG882/AD882,"N/A")</f>
        <v/>
      </c>
      <c r="AJ882" s="280">
        <f>IF(AC882="pendiente",AD882,0)</f>
        <v/>
      </c>
      <c r="AK882" s="278">
        <f>VLOOKUP(G882,CLIENTES!B:D,3,FALSE)</f>
        <v/>
      </c>
    </row>
    <row r="883" ht="15" customFormat="1" customHeight="1" s="278">
      <c r="B883" s="279" t="n"/>
      <c r="C883" s="278" t="inlineStr">
        <is>
          <t>c/ Las Cruzadas 3A, local D</t>
        </is>
      </c>
      <c r="D883" s="278" t="inlineStr">
        <is>
          <t>Sevilla 41004</t>
        </is>
      </c>
      <c r="E883" s="278" t="inlineStr">
        <is>
          <t>CIF B91938662</t>
        </is>
      </c>
      <c r="G883" s="278" t="inlineStr">
        <is>
          <t>FP LUX REIO PV VALLADOLID, S.L.U.</t>
        </is>
      </c>
      <c r="H883" s="278">
        <f>VLOOKUP($G883,DATOS!$B:$E,2,FALSE)</f>
        <v/>
      </c>
      <c r="I883" s="278">
        <f>VLOOKUP($G883,DATOS!$B:$E,3,FALSE)</f>
        <v/>
      </c>
      <c r="J883" s="278">
        <f>VLOOKUP($G883,DATOS!$B:$E,4,FALSE)</f>
        <v/>
      </c>
      <c r="K883" s="278" t="inlineStr">
        <is>
          <t>Contrato de Asset Management - LAAT 132kV</t>
        </is>
      </c>
      <c r="L883" s="280" t="n"/>
      <c r="N883" s="280" t="n"/>
      <c r="O883" s="278" t="inlineStr">
        <is>
          <t>Fee Trimestral - 01Abril/30Junio 2023</t>
        </is>
      </c>
      <c r="P883" s="280">
        <f>1350*(16/30)+2675*(14/30) + 2675*2</f>
        <v/>
      </c>
      <c r="Q883" s="278" t="inlineStr">
        <is>
          <t>Fee aplicable PreCod (1.350€/mes): 1 Abril - 16 Abril 2023</t>
        </is>
      </c>
      <c r="R883" s="280" t="n"/>
      <c r="S883" s="278" t="inlineStr">
        <is>
          <t>Fee aplicable Explotación (2.675€/mes): 17 Abril - 30 Junio 2023</t>
        </is>
      </c>
      <c r="T883" s="280" t="n"/>
      <c r="V883" s="280" t="n"/>
      <c r="X883" s="280" t="n"/>
      <c r="Z883" s="280" t="n"/>
      <c r="AA883" s="280" t="n"/>
      <c r="AB883" s="281" t="inlineStr">
        <is>
          <t>ES11 0081 7069 2700 0122 7724</t>
        </is>
      </c>
      <c r="AC883" s="278" t="inlineStr">
        <is>
          <t>pendiente</t>
        </is>
      </c>
      <c r="AD883" s="280">
        <f>L883+N883+P883+R883+T883+V883+X883+Z883</f>
        <v/>
      </c>
      <c r="AE883" s="280">
        <f>IF((LEFT(K883,6))="Contab",L883,0)</f>
        <v/>
      </c>
      <c r="AF883" s="281">
        <f>VLOOKUP(G883,CLIENTES!B:E,4,FALSE)</f>
        <v/>
      </c>
      <c r="AG883" s="280">
        <f>AF883*AE883</f>
        <v/>
      </c>
      <c r="AH883" s="280">
        <f>AD883*1.21</f>
        <v/>
      </c>
      <c r="AI883" s="284">
        <f>IF(AE883&lt;&gt;0,AG883/AD883,"N/A")</f>
        <v/>
      </c>
      <c r="AJ883" s="280">
        <f>IF(AC883="pendiente",AD883,0)</f>
        <v/>
      </c>
      <c r="AK883" s="278">
        <f>VLOOKUP(G883,CLIENTES!B:D,3,FALSE)</f>
        <v/>
      </c>
      <c r="AN883" s="278" t="inlineStr">
        <is>
          <t>Promoción</t>
        </is>
      </c>
    </row>
    <row r="884" ht="15" customFormat="1" customHeight="1" s="278">
      <c r="B884" s="279" t="n"/>
      <c r="C884" s="278" t="inlineStr">
        <is>
          <t>c/ Las Cruzadas 3A, local D</t>
        </is>
      </c>
      <c r="D884" s="278" t="inlineStr">
        <is>
          <t>Sevilla 41004</t>
        </is>
      </c>
      <c r="E884" s="278" t="inlineStr">
        <is>
          <t>CIF B91938662</t>
        </is>
      </c>
      <c r="G884" s="278" t="inlineStr">
        <is>
          <t>FP LUX REIO PV VALLADOLID, S.L.U.</t>
        </is>
      </c>
      <c r="H884" s="278">
        <f>VLOOKUP($G884,DATOS!$B:$E,2,FALSE)</f>
        <v/>
      </c>
      <c r="I884" s="278">
        <f>VLOOKUP($G884,DATOS!$B:$E,3,FALSE)</f>
        <v/>
      </c>
      <c r="J884" s="278">
        <f>VLOOKUP($G884,DATOS!$B:$E,4,FALSE)</f>
        <v/>
      </c>
      <c r="K884" s="278" t="inlineStr">
        <is>
          <t>Contrato de Asset Management - Subestación BrovalesF1</t>
        </is>
      </c>
      <c r="L884" s="280" t="n"/>
      <c r="N884" s="280" t="n"/>
      <c r="O884" s="278" t="inlineStr">
        <is>
          <t>Fee Trimestral - 01Abril/30Junio 2023</t>
        </is>
      </c>
      <c r="P884" s="280">
        <f>1665*3</f>
        <v/>
      </c>
      <c r="R884" s="280" t="n"/>
      <c r="S884" s="280" t="n"/>
      <c r="T884" s="280" t="n"/>
      <c r="V884" s="280" t="n"/>
      <c r="X884" s="280" t="n"/>
      <c r="Z884" s="280" t="n"/>
      <c r="AA884" s="280" t="n"/>
      <c r="AB884" s="281" t="inlineStr">
        <is>
          <t>ES11 0081 7069 2700 0122 7724</t>
        </is>
      </c>
      <c r="AC884" s="278" t="inlineStr">
        <is>
          <t>pendiente</t>
        </is>
      </c>
      <c r="AD884" s="280">
        <f>L884+N884+P884+R884+T884+V884+X884+Z884</f>
        <v/>
      </c>
      <c r="AE884" s="280">
        <f>IF((LEFT(K884,6))="Contab",L884,0)</f>
        <v/>
      </c>
      <c r="AF884" s="281">
        <f>VLOOKUP(G884,CLIENTES!B:E,4,FALSE)</f>
        <v/>
      </c>
      <c r="AG884" s="280">
        <f>AF884*AE884</f>
        <v/>
      </c>
      <c r="AH884" s="280">
        <f>AD884*1.21</f>
        <v/>
      </c>
      <c r="AI884" s="284">
        <f>IF(AE884&lt;&gt;0,AG884/AD884,"N/A")</f>
        <v/>
      </c>
      <c r="AJ884" s="280">
        <f>IF(AC884="pendiente",AD884,0)</f>
        <v/>
      </c>
      <c r="AK884" s="278">
        <f>VLOOKUP(G884,CLIENTES!B:D,3,FALSE)</f>
        <v/>
      </c>
    </row>
    <row r="885" ht="15" customFormat="1" customHeight="1" s="278">
      <c r="B885" s="279" t="n"/>
      <c r="C885" s="278" t="inlineStr">
        <is>
          <t>c/ Las Cruzadas 3A, local D</t>
        </is>
      </c>
      <c r="D885" s="278" t="inlineStr">
        <is>
          <t>Sevilla 41004</t>
        </is>
      </c>
      <c r="E885" s="278" t="inlineStr">
        <is>
          <t>CIF B91938662</t>
        </is>
      </c>
      <c r="G885" s="278" t="inlineStr">
        <is>
          <t>FP LUX REIO PV VALLADOLID, S.L.U.</t>
        </is>
      </c>
      <c r="H885" s="278">
        <f>VLOOKUP($G885,DATOS!$B:$E,2,FALSE)</f>
        <v/>
      </c>
      <c r="I885" s="278">
        <f>VLOOKUP($G885,DATOS!$B:$E,3,FALSE)</f>
        <v/>
      </c>
      <c r="J885" s="278">
        <f>VLOOKUP($G885,DATOS!$B:$E,4,FALSE)</f>
        <v/>
      </c>
      <c r="K885" s="278" t="inlineStr">
        <is>
          <t>Contrato de Asset Management - Subestación BrovalesF3</t>
        </is>
      </c>
      <c r="L885" s="280" t="n"/>
      <c r="N885" s="280" t="n"/>
      <c r="O885" s="278" t="inlineStr">
        <is>
          <t>Fee Trimestral - 01Abril/30Junio 2023</t>
        </is>
      </c>
      <c r="P885" s="280">
        <f>1665*3</f>
        <v/>
      </c>
      <c r="R885" s="280" t="n"/>
      <c r="T885" s="280" t="n"/>
      <c r="V885" s="280" t="n"/>
      <c r="X885" s="280" t="n"/>
      <c r="Z885" s="280" t="n"/>
      <c r="AA885" s="280" t="n"/>
      <c r="AB885" s="281" t="inlineStr">
        <is>
          <t>ES11 0081 7069 2700 0122 7724</t>
        </is>
      </c>
      <c r="AC885" s="278" t="inlineStr">
        <is>
          <t>pendiente</t>
        </is>
      </c>
      <c r="AD885" s="280">
        <f>L885+N885+P885+R885+T885+V885+X885+Z885</f>
        <v/>
      </c>
      <c r="AE885" s="280">
        <f>IF((LEFT(K885,6))="Contab",L885,0)</f>
        <v/>
      </c>
      <c r="AF885" s="281">
        <f>VLOOKUP(G885,CLIENTES!B:E,4,FALSE)</f>
        <v/>
      </c>
      <c r="AG885" s="280">
        <f>AF885*AE885</f>
        <v/>
      </c>
      <c r="AH885" s="280">
        <f>AD885*1.21</f>
        <v/>
      </c>
      <c r="AI885" s="284">
        <f>IF(AE885&lt;&gt;0,AG885/AD885,"N/A")</f>
        <v/>
      </c>
      <c r="AJ885" s="280">
        <f>IF(AC885="pendiente",AD885,0)</f>
        <v/>
      </c>
      <c r="AK885" s="278">
        <f>VLOOKUP(G885,CLIENTES!B:D,3,FALSE)</f>
        <v/>
      </c>
    </row>
    <row r="886" ht="15" customFormat="1" customHeight="1" s="278">
      <c r="B886" s="279" t="n"/>
      <c r="C886" s="278" t="inlineStr">
        <is>
          <t>c/ Las Cruzadas 3A, local D</t>
        </is>
      </c>
      <c r="D886" s="278" t="inlineStr">
        <is>
          <t>Sevilla 41004</t>
        </is>
      </c>
      <c r="E886" s="278" t="inlineStr">
        <is>
          <t>CIF B91938662</t>
        </is>
      </c>
      <c r="G886" s="278" t="inlineStr">
        <is>
          <t>FP LUX REIO PV VALLADOLID, S.L.U.</t>
        </is>
      </c>
      <c r="H886" s="278">
        <f>VLOOKUP($G886,DATOS!$B:$E,2,FALSE)</f>
        <v/>
      </c>
      <c r="I886" s="278">
        <f>VLOOKUP($G886,DATOS!$B:$E,3,FALSE)</f>
        <v/>
      </c>
      <c r="J886" s="278">
        <f>VLOOKUP($G886,DATOS!$B:$E,4,FALSE)</f>
        <v/>
      </c>
      <c r="K886" s="278" t="inlineStr">
        <is>
          <t>Contrato de Asset Management - Subestación Belisol</t>
        </is>
      </c>
      <c r="L886" s="280" t="n"/>
      <c r="N886" s="280" t="n"/>
      <c r="O886" s="278" t="inlineStr">
        <is>
          <t>Fee Trimestral - 01Abril/30Junio 2023</t>
        </is>
      </c>
      <c r="P886" s="280">
        <f>1350*3</f>
        <v/>
      </c>
      <c r="R886" s="280" t="n"/>
      <c r="T886" s="280" t="n"/>
      <c r="V886" s="280" t="n"/>
      <c r="X886" s="280" t="n"/>
      <c r="Z886" s="280" t="n"/>
      <c r="AA886" s="280" t="n"/>
      <c r="AB886" s="281" t="inlineStr">
        <is>
          <t>ES11 0081 7069 2700 0122 7724</t>
        </is>
      </c>
      <c r="AC886" s="278" t="inlineStr">
        <is>
          <t>pendiente</t>
        </is>
      </c>
      <c r="AD886" s="280">
        <f>L886+N886+P886+R886+T886+V886+X886+Z886</f>
        <v/>
      </c>
      <c r="AE886" s="280">
        <f>IF((LEFT(K886,6))="Contab",L886,0)</f>
        <v/>
      </c>
      <c r="AF886" s="281">
        <f>VLOOKUP(G886,CLIENTES!B:E,4,FALSE)</f>
        <v/>
      </c>
      <c r="AG886" s="280">
        <f>AF886*AE886</f>
        <v/>
      </c>
      <c r="AH886" s="280">
        <f>AD886*1.21</f>
        <v/>
      </c>
      <c r="AI886" s="284">
        <f>IF(AE886&lt;&gt;0,AG886/AD886,"N/A")</f>
        <v/>
      </c>
      <c r="AJ886" s="280">
        <f>IF(AC886="pendiente",AD886,0)</f>
        <v/>
      </c>
      <c r="AK886" s="278">
        <f>VLOOKUP(G886,CLIENTES!B:D,3,FALSE)</f>
        <v/>
      </c>
    </row>
    <row r="887" ht="15" customFormat="1" customHeight="1" s="278">
      <c r="B887" s="279" t="n"/>
      <c r="C887" s="278" t="inlineStr">
        <is>
          <t>c/ Las Cruzadas 3A, local D</t>
        </is>
      </c>
      <c r="D887" s="278" t="inlineStr">
        <is>
          <t>Sevilla 41004</t>
        </is>
      </c>
      <c r="E887" s="278" t="inlineStr">
        <is>
          <t>CIF B91938662</t>
        </is>
      </c>
      <c r="G887" s="278" t="inlineStr">
        <is>
          <t>FP LUX REIO PV VALLADOLID, S.L.U.</t>
        </is>
      </c>
      <c r="H887" s="278">
        <f>VLOOKUP($G887,DATOS!$B:$E,2,FALSE)</f>
        <v/>
      </c>
      <c r="I887" s="278">
        <f>VLOOKUP($G887,DATOS!$B:$E,3,FALSE)</f>
        <v/>
      </c>
      <c r="J887" s="278">
        <f>VLOOKUP($G887,DATOS!$B:$E,4,FALSE)</f>
        <v/>
      </c>
      <c r="K887" s="278" t="inlineStr">
        <is>
          <t>Contrato de Asset Management - Subestación Brazatortas220</t>
        </is>
      </c>
      <c r="L887" s="280" t="n"/>
      <c r="N887" s="280" t="n"/>
      <c r="O887" s="278" t="inlineStr">
        <is>
          <t>Fee Trimestral - Inicio contrato (05 Diciembre 2022) / 30Junio 2023</t>
        </is>
      </c>
      <c r="P887" s="280">
        <f>1350*(27/31) + 1350*6</f>
        <v/>
      </c>
      <c r="R887" s="280" t="n"/>
      <c r="T887" s="280" t="n"/>
      <c r="V887" s="280" t="n"/>
      <c r="X887" s="280" t="n"/>
      <c r="Z887" s="280" t="n"/>
      <c r="AA887" s="280" t="n"/>
      <c r="AB887" s="281" t="inlineStr">
        <is>
          <t>ES11 0081 7069 2700 0122 7724</t>
        </is>
      </c>
      <c r="AC887" s="278" t="inlineStr">
        <is>
          <t>pendiente</t>
        </is>
      </c>
      <c r="AD887" s="280">
        <f>L887+N887+P887+R887+T887+V887+X887+Z887</f>
        <v/>
      </c>
      <c r="AE887" s="280">
        <f>IF((LEFT(K887,6))="Contab",L887,0)</f>
        <v/>
      </c>
      <c r="AF887" s="281">
        <f>VLOOKUP(G887,CLIENTES!B:E,4,FALSE)</f>
        <v/>
      </c>
      <c r="AG887" s="280">
        <f>AF887*AE887</f>
        <v/>
      </c>
      <c r="AH887" s="280">
        <f>AD887*1.21</f>
        <v/>
      </c>
      <c r="AI887" s="284">
        <f>IF(AE887&lt;&gt;0,AG887/AD887,"N/A")</f>
        <v/>
      </c>
      <c r="AJ887" s="280">
        <f>IF(AC887="pendiente",AD887,0)</f>
        <v/>
      </c>
      <c r="AK887" s="278">
        <f>VLOOKUP(G887,CLIENTES!B:D,3,FALSE)</f>
        <v/>
      </c>
    </row>
    <row r="888" ht="15" customFormat="1" customHeight="1" s="278">
      <c r="B888" s="279" t="n"/>
      <c r="C888" s="278" t="inlineStr">
        <is>
          <t>c/ Las Cruzadas 3A, local D</t>
        </is>
      </c>
      <c r="D888" s="278" t="inlineStr">
        <is>
          <t>Sevilla 41004</t>
        </is>
      </c>
      <c r="E888" s="278" t="inlineStr">
        <is>
          <t>CIF B91938662</t>
        </is>
      </c>
      <c r="G888" s="278" t="inlineStr">
        <is>
          <t>FP LUX REIO PV VALLADOLID, S.L.U.</t>
        </is>
      </c>
      <c r="H888" s="278">
        <f>VLOOKUP($G888,DATOS!$B:$E,2,FALSE)</f>
        <v/>
      </c>
      <c r="I888" s="278">
        <f>VLOOKUP($G888,DATOS!$B:$E,3,FALSE)</f>
        <v/>
      </c>
      <c r="J888" s="278">
        <f>VLOOKUP($G888,DATOS!$B:$E,4,FALSE)</f>
        <v/>
      </c>
      <c r="K888" s="278" t="inlineStr">
        <is>
          <t>Contrato de Asset Management - LSAT 30kV</t>
        </is>
      </c>
      <c r="L888" s="280" t="n"/>
      <c r="N888" s="280" t="n"/>
      <c r="O888" s="278" t="inlineStr">
        <is>
          <t>Fee Trimestral - Inicio contrato (03 Marzo 2023) / 30Junio 2023</t>
        </is>
      </c>
      <c r="P888" s="280">
        <f>750*(29/31) + 750*3</f>
        <v/>
      </c>
      <c r="R888" s="280" t="n"/>
      <c r="T888" s="280" t="n"/>
      <c r="V888" s="280" t="n"/>
      <c r="W888" s="278" t="n">
        <v>1</v>
      </c>
      <c r="X888" s="280" t="n"/>
      <c r="Z888" s="280" t="n"/>
      <c r="AA888" s="280" t="n"/>
      <c r="AB888" s="281" t="inlineStr">
        <is>
          <t>ES11 0081 7069 2700 0122 7724</t>
        </is>
      </c>
      <c r="AC888" s="278" t="inlineStr">
        <is>
          <t>pendiente</t>
        </is>
      </c>
      <c r="AD888" s="280">
        <f>L888+N888+P888+R888+T888+V888+X888+Z888</f>
        <v/>
      </c>
      <c r="AE888" s="280">
        <f>IF((LEFT(K888,6))="Contab",L888,0)</f>
        <v/>
      </c>
      <c r="AF888" s="281">
        <f>VLOOKUP(G888,CLIENTES!B:E,4,FALSE)</f>
        <v/>
      </c>
      <c r="AG888" s="280">
        <f>AF888*AE888</f>
        <v/>
      </c>
      <c r="AH888" s="280">
        <f>AD888*1.21</f>
        <v/>
      </c>
      <c r="AI888" s="284">
        <f>IF(AE888&lt;&gt;0,AG888/AD888,"N/A")</f>
        <v/>
      </c>
      <c r="AJ888" s="280">
        <f>IF(AC888="pendiente",AD888,0)</f>
        <v/>
      </c>
      <c r="AK888" s="278">
        <f>VLOOKUP(G888,CLIENTES!B:D,3,FALSE)</f>
        <v/>
      </c>
    </row>
    <row r="889" ht="15" customFormat="1" customHeight="1" s="278">
      <c r="B889" s="279" t="n"/>
      <c r="C889" s="278" t="inlineStr">
        <is>
          <t>c/ Las Cruzadas 3A, local D</t>
        </is>
      </c>
      <c r="D889" s="278" t="inlineStr">
        <is>
          <t>Sevilla 41004</t>
        </is>
      </c>
      <c r="E889" s="278" t="inlineStr">
        <is>
          <t>CIF B91938662</t>
        </is>
      </c>
      <c r="G889" s="278" t="inlineStr">
        <is>
          <t>FP LUX REIO PV VALLADOLID, S.L.U.</t>
        </is>
      </c>
      <c r="H889" s="278">
        <f>VLOOKUP($G889,DATOS!$B:$E,2,FALSE)</f>
        <v/>
      </c>
      <c r="I889" s="278">
        <f>VLOOKUP($G889,DATOS!$B:$E,3,FALSE)</f>
        <v/>
      </c>
      <c r="J889" s="278">
        <f>VLOOKUP($G889,DATOS!$B:$E,4,FALSE)</f>
        <v/>
      </c>
      <c r="K889" s="278" t="inlineStr">
        <is>
          <t>Contrato de Asset Management - Subestación Colectora Carmona</t>
        </is>
      </c>
      <c r="L889" s="280" t="n"/>
      <c r="N889" s="280" t="n"/>
      <c r="O889" s="278" t="inlineStr">
        <is>
          <t>Fee Trimestral - Inicio contrato (24 Noviembre 2022) / 30Junio 2023</t>
        </is>
      </c>
      <c r="P889" s="280">
        <f>1250*(7/30) + 1250*7</f>
        <v/>
      </c>
      <c r="R889" s="280" t="n"/>
      <c r="T889" s="280" t="n"/>
      <c r="V889" s="280" t="n"/>
      <c r="X889" s="280" t="n"/>
      <c r="Z889" s="280" t="n"/>
      <c r="AA889" s="280" t="n"/>
      <c r="AB889" s="281" t="inlineStr">
        <is>
          <t>ES11 0081 7069 2700 0122 7724</t>
        </is>
      </c>
      <c r="AC889" s="278" t="inlineStr">
        <is>
          <t>pendiente</t>
        </is>
      </c>
      <c r="AD889" s="280">
        <f>L889+N889+P889+R889+T889+V889+X889+Z889</f>
        <v/>
      </c>
      <c r="AE889" s="280">
        <f>IF((LEFT(K889,6))="Contab",L889,0)</f>
        <v/>
      </c>
      <c r="AF889" s="281">
        <f>VLOOKUP(G889,CLIENTES!B:E,4,FALSE)</f>
        <v/>
      </c>
      <c r="AG889" s="280">
        <f>AF889*AE889</f>
        <v/>
      </c>
      <c r="AH889" s="280">
        <f>AD889*1.21</f>
        <v/>
      </c>
      <c r="AI889" s="284">
        <f>IF(AE889&lt;&gt;0,AG889/AD889,"N/A")</f>
        <v/>
      </c>
      <c r="AJ889" s="280">
        <f>IF(AC889="pendiente",AD889,0)</f>
        <v/>
      </c>
      <c r="AK889" s="278">
        <f>VLOOKUP(G889,CLIENTES!B:D,3,FALSE)</f>
        <v/>
      </c>
    </row>
    <row r="890" ht="15" customFormat="1" customHeight="1" s="278">
      <c r="B890" s="279" t="n"/>
      <c r="C890" s="278" t="inlineStr">
        <is>
          <t>c/ Las Cruzadas 3A, local D</t>
        </is>
      </c>
      <c r="D890" s="278" t="inlineStr">
        <is>
          <t>Sevilla 41004</t>
        </is>
      </c>
      <c r="E890" s="278" t="inlineStr">
        <is>
          <t>CIF B91938662</t>
        </is>
      </c>
      <c r="G890" s="278" t="inlineStr">
        <is>
          <t>FP LUX REIO PV VALLADOLID, S.L.U.</t>
        </is>
      </c>
      <c r="H890" s="278">
        <f>VLOOKUP($G890,DATOS!$B:$E,2,FALSE)</f>
        <v/>
      </c>
      <c r="I890" s="278">
        <f>VLOOKUP($G890,DATOS!$B:$E,3,FALSE)</f>
        <v/>
      </c>
      <c r="J890" s="278">
        <f>VLOOKUP($G890,DATOS!$B:$E,4,FALSE)</f>
        <v/>
      </c>
      <c r="K890" s="278" t="inlineStr">
        <is>
          <t>Contrato de Asset Management - Subestación Toro400</t>
        </is>
      </c>
      <c r="L890" s="280" t="n"/>
      <c r="N890" s="280" t="n"/>
      <c r="O890" s="278" t="inlineStr">
        <is>
          <t>Fee Trimestral - Inicio contrato (01 Mayo 2023) / 30Junio 2023</t>
        </is>
      </c>
      <c r="P890" s="280">
        <f>1350*2</f>
        <v/>
      </c>
      <c r="R890" s="280" t="n"/>
      <c r="T890" s="280" t="n"/>
      <c r="V890" s="280" t="n"/>
      <c r="X890" s="280" t="n"/>
      <c r="Z890" s="280" t="n"/>
      <c r="AA890" s="280" t="n"/>
      <c r="AB890" s="281" t="inlineStr">
        <is>
          <t>ES11 0081 7069 2700 0122 7724</t>
        </is>
      </c>
      <c r="AC890" s="278" t="inlineStr">
        <is>
          <t>pendiente</t>
        </is>
      </c>
      <c r="AD890" s="280">
        <f>L890+N890+P890+R890+T890+V890+X890+Z890</f>
        <v/>
      </c>
      <c r="AE890" s="280">
        <f>IF((LEFT(K890,6))="Contab",L890,0)</f>
        <v/>
      </c>
      <c r="AF890" s="281">
        <f>VLOOKUP(G890,CLIENTES!B:E,4,FALSE)</f>
        <v/>
      </c>
      <c r="AG890" s="280">
        <f>AF890*AE890</f>
        <v/>
      </c>
      <c r="AH890" s="280">
        <f>AD890*1.21</f>
        <v/>
      </c>
      <c r="AI890" s="284">
        <f>IF(AE890&lt;&gt;0,AG890/AD890,"N/A")</f>
        <v/>
      </c>
      <c r="AJ890" s="280">
        <f>IF(AC890="pendiente",AD890,0)</f>
        <v/>
      </c>
      <c r="AK890" s="278">
        <f>VLOOKUP(G890,CLIENTES!B:D,3,FALSE)</f>
        <v/>
      </c>
    </row>
    <row r="891" ht="15" customFormat="1" customHeight="1" s="278">
      <c r="B891" s="279" t="n"/>
      <c r="C891" s="278" t="inlineStr">
        <is>
          <t>c/ Las Cruzadas 3A, local D</t>
        </is>
      </c>
      <c r="D891" s="278" t="inlineStr">
        <is>
          <t>Sevilla 41004</t>
        </is>
      </c>
      <c r="E891" s="278" t="inlineStr">
        <is>
          <t>CIF B91938662</t>
        </is>
      </c>
      <c r="G891" s="278" t="inlineStr">
        <is>
          <t>FP LUX REIO PV VALLADOLID, S.L.U.</t>
        </is>
      </c>
      <c r="H891" s="278">
        <f>VLOOKUP($G891,DATOS!$B:$E,2,FALSE)</f>
        <v/>
      </c>
      <c r="I891" s="278">
        <f>VLOOKUP($G891,DATOS!$B:$E,3,FALSE)</f>
        <v/>
      </c>
      <c r="J891" s="278">
        <f>VLOOKUP($G891,DATOS!$B:$E,4,FALSE)</f>
        <v/>
      </c>
      <c r="K891" s="278" t="inlineStr">
        <is>
          <t>Contrato de Asset Management - Subestación BrovalesF2</t>
        </is>
      </c>
      <c r="L891" s="280" t="n"/>
      <c r="N891" s="280" t="n"/>
      <c r="O891" s="278" t="inlineStr">
        <is>
          <t>Fee Trimestral - Inicio contrato (7 Noviembre 2022) / 30Junio 2023</t>
        </is>
      </c>
      <c r="P891" s="280">
        <f>1665*(24/30) + 1665*7</f>
        <v/>
      </c>
      <c r="R891" s="280" t="n"/>
      <c r="T891" s="280" t="n"/>
      <c r="V891" s="280" t="n"/>
      <c r="X891" s="280" t="n"/>
      <c r="Z891" s="280" t="n"/>
      <c r="AA891" s="280" t="n"/>
      <c r="AB891" s="281" t="inlineStr">
        <is>
          <t>ES11 0081 7069 2700 0122 7724</t>
        </is>
      </c>
      <c r="AC891" s="278" t="inlineStr">
        <is>
          <t>pendiente</t>
        </is>
      </c>
      <c r="AD891" s="280">
        <f>L891+N891+P891+R891+T891+V891+X891+Z891</f>
        <v/>
      </c>
      <c r="AE891" s="280">
        <f>IF((LEFT(K891,6))="Contab",L891,0)</f>
        <v/>
      </c>
      <c r="AF891" s="281">
        <f>VLOOKUP(G891,CLIENTES!B:E,4,FALSE)</f>
        <v/>
      </c>
      <c r="AG891" s="280">
        <f>AF891*AE891</f>
        <v/>
      </c>
      <c r="AH891" s="280">
        <f>AD891*1.21</f>
        <v/>
      </c>
      <c r="AI891" s="284">
        <f>IF(AE891&lt;&gt;0,AG891/AD891,"N/A")</f>
        <v/>
      </c>
      <c r="AJ891" s="280">
        <f>IF(AC891="pendiente",AD891,0)</f>
        <v/>
      </c>
      <c r="AK891" s="278">
        <f>VLOOKUP(G891,CLIENTES!B:D,3,FALSE)</f>
        <v/>
      </c>
    </row>
    <row r="892" ht="15" customFormat="1" customHeight="1" s="278">
      <c r="B892" s="279" t="n"/>
      <c r="C892" s="278" t="inlineStr">
        <is>
          <t>c/ Las Cruzadas 3A, local D</t>
        </is>
      </c>
      <c r="D892" s="278" t="inlineStr">
        <is>
          <t>Sevilla 41004</t>
        </is>
      </c>
      <c r="E892" s="278" t="inlineStr">
        <is>
          <t>CIF B91938662</t>
        </is>
      </c>
      <c r="G892" s="278" t="inlineStr">
        <is>
          <t>FP LUX REIO PV VALLADOLID, S.L.U.</t>
        </is>
      </c>
      <c r="H892" s="278">
        <f>VLOOKUP($G892,DATOS!$B:$E,2,FALSE)</f>
        <v/>
      </c>
      <c r="I892" s="278">
        <f>VLOOKUP($G892,DATOS!$B:$E,3,FALSE)</f>
        <v/>
      </c>
      <c r="J892" s="278">
        <f>VLOOKUP($G892,DATOS!$B:$E,4,FALSE)</f>
        <v/>
      </c>
      <c r="K892" s="278" t="inlineStr">
        <is>
          <t>Servicios de gestión - (11)SPVs en desarrollo</t>
        </is>
      </c>
      <c r="L892" s="280" t="n"/>
      <c r="N892" s="280" t="n"/>
      <c r="O892" s="278" t="inlineStr">
        <is>
          <t>Fee Trimestral - 01Abril/30Junio 2023</t>
        </is>
      </c>
      <c r="P892" s="280">
        <f>11*(6835/12) * 3</f>
        <v/>
      </c>
      <c r="R892" s="280" t="n"/>
      <c r="S892" s="278" t="inlineStr">
        <is>
          <t>SPVs de instalaciones de generación de Cliente:</t>
        </is>
      </c>
      <c r="T892" s="280" t="n"/>
      <c r="U892" s="278" t="inlineStr">
        <is>
          <t>Ormode46, Ormonde47, OPDE33, Ormonde34, Ormonde37</t>
        </is>
      </c>
      <c r="V892" s="280" t="n"/>
      <c r="W892" s="278" t="inlineStr">
        <is>
          <t>OPDE44, OPDE45, OPDE46, OPDE38, OPDE18, OPDE22</t>
        </is>
      </c>
      <c r="X892" s="280" t="n"/>
      <c r="Z892" s="280" t="n"/>
      <c r="AA892" s="280" t="n"/>
      <c r="AB892" s="281" t="inlineStr">
        <is>
          <t>ES11 0081 7069 2700 0122 7724</t>
        </is>
      </c>
      <c r="AC892" s="278" t="inlineStr">
        <is>
          <t>pendiente</t>
        </is>
      </c>
      <c r="AD892" s="280">
        <f>L892+N892+P892+R892+T892+V892+X892+Z892</f>
        <v/>
      </c>
      <c r="AE892" s="280">
        <f>IF((LEFT(K892,6))="Contab",L892,0)</f>
        <v/>
      </c>
      <c r="AF892" s="281">
        <f>VLOOKUP(G892,CLIENTES!B:E,4,FALSE)</f>
        <v/>
      </c>
      <c r="AG892" s="280">
        <f>AF892*AE892</f>
        <v/>
      </c>
      <c r="AH892" s="280">
        <f>AD892*1.21</f>
        <v/>
      </c>
      <c r="AI892" s="284">
        <f>IF(AE892&lt;&gt;0,AG892/AD892,"N/A")</f>
        <v/>
      </c>
      <c r="AJ892" s="280">
        <f>IF(AC892="pendiente",AD892,0)</f>
        <v/>
      </c>
      <c r="AK892" s="278">
        <f>VLOOKUP(G892,CLIENTES!B:D,3,FALSE)</f>
        <v/>
      </c>
    </row>
    <row r="893" ht="15" customFormat="1" customHeight="1" s="278">
      <c r="B893" s="279" t="n"/>
      <c r="C893" s="278" t="inlineStr">
        <is>
          <t>c/ Las Cruzadas 3A, local D</t>
        </is>
      </c>
      <c r="D893" s="278" t="inlineStr">
        <is>
          <t>Sevilla 41004</t>
        </is>
      </c>
      <c r="E893" s="278" t="inlineStr">
        <is>
          <t>CIF B91938662</t>
        </is>
      </c>
      <c r="G893" s="278" t="inlineStr">
        <is>
          <t>FP LUX REIO PV VALLADOLID, S.L.U.</t>
        </is>
      </c>
      <c r="H893" s="278">
        <f>VLOOKUP($G893,DATOS!$B:$E,2,FALSE)</f>
        <v/>
      </c>
      <c r="I893" s="278">
        <f>VLOOKUP($G893,DATOS!$B:$E,3,FALSE)</f>
        <v/>
      </c>
      <c r="J893" s="278">
        <f>VLOOKUP($G893,DATOS!$B:$E,4,FALSE)</f>
        <v/>
      </c>
      <c r="K893" s="278" t="inlineStr">
        <is>
          <t>Refacturación gastos y/o servicios prestados a nombre de la sociedad</t>
        </is>
      </c>
      <c r="L893" s="280" t="n"/>
      <c r="M893" s="278" t="inlineStr">
        <is>
          <t>Jofran Mensajeros, S.L - Envio de documentación</t>
        </is>
      </c>
      <c r="N893" s="280" t="n">
        <v>11.48</v>
      </c>
      <c r="P893" s="280" t="n"/>
      <c r="R893" s="280" t="n"/>
      <c r="T893" s="280" t="n"/>
      <c r="V893" s="280" t="n"/>
      <c r="X893" s="280" t="n"/>
      <c r="Z893" s="280" t="n"/>
      <c r="AA893" s="280" t="n"/>
      <c r="AB893" s="281" t="inlineStr">
        <is>
          <t>ES11 0081 7069 2700 0122 7724</t>
        </is>
      </c>
      <c r="AC893" s="278" t="inlineStr">
        <is>
          <t>pendiente</t>
        </is>
      </c>
      <c r="AD893" s="280">
        <f>L893+N893+P893+R893+T893+V893+X893+Z893</f>
        <v/>
      </c>
      <c r="AE893" s="280">
        <f>IF((LEFT(K893,6))="Contab",L893,0)</f>
        <v/>
      </c>
      <c r="AF893" s="281">
        <f>VLOOKUP(G893,CLIENTES!B:E,4,FALSE)</f>
        <v/>
      </c>
      <c r="AG893" s="280">
        <f>AF893*AE893</f>
        <v/>
      </c>
      <c r="AH893" s="280">
        <f>AD893*1.21</f>
        <v/>
      </c>
      <c r="AI893" s="284">
        <f>IF(AE893&lt;&gt;0,AG893/AD893,"N/A")</f>
        <v/>
      </c>
      <c r="AJ893" s="280">
        <f>IF(AC893="pendiente",AD893,0)</f>
        <v/>
      </c>
      <c r="AK893" s="278">
        <f>VLOOKUP(G893,CLIENTES!B:D,3,FALSE)</f>
        <v/>
      </c>
    </row>
    <row r="894" ht="15" customFormat="1" customHeight="1" s="278">
      <c r="B894" s="279" t="n"/>
      <c r="C894" s="278" t="inlineStr">
        <is>
          <t>c/ Las Cruzadas 3A, local D</t>
        </is>
      </c>
      <c r="D894" s="278" t="inlineStr">
        <is>
          <t>Sevilla 41004</t>
        </is>
      </c>
      <c r="E894" s="278" t="inlineStr">
        <is>
          <t>CIF B91938662</t>
        </is>
      </c>
      <c r="G894" s="278" t="inlineStr">
        <is>
          <t>FP LUX REIO PV VALLADOLID, S.L.U.</t>
        </is>
      </c>
      <c r="H894" s="278">
        <f>VLOOKUP($G894,DATOS!$B:$E,2,FALSE)</f>
        <v/>
      </c>
      <c r="I894" s="278">
        <f>VLOOKUP($G894,DATOS!$B:$E,3,FALSE)</f>
        <v/>
      </c>
      <c r="J894" s="278">
        <f>VLOOKUP($G894,DATOS!$B:$E,4,FALSE)</f>
        <v/>
      </c>
      <c r="K894" s="278" t="inlineStr">
        <is>
          <t>Refacturación gastos y/o servicios prestados a nombre de la sociedad</t>
        </is>
      </c>
      <c r="L894" s="280" t="n"/>
      <c r="M894" s="278" t="inlineStr">
        <is>
          <t>Jofran Mensajeros, S.L - Envio de documentación</t>
        </is>
      </c>
      <c r="N894" s="280" t="n">
        <v>22.34</v>
      </c>
      <c r="P894" s="280" t="n"/>
      <c r="R894" s="280" t="n"/>
      <c r="T894" s="280" t="n"/>
      <c r="V894" s="280" t="n"/>
      <c r="X894" s="280" t="n"/>
      <c r="Z894" s="280" t="n"/>
      <c r="AA894" s="280" t="n"/>
      <c r="AB894" s="281" t="inlineStr">
        <is>
          <t>ES11 0081 7069 2700 0122 7724</t>
        </is>
      </c>
      <c r="AC894" s="278" t="inlineStr">
        <is>
          <t>pendiente</t>
        </is>
      </c>
      <c r="AD894" s="280">
        <f>L894+N894+P894+R894+T894+V894+X894+Z894</f>
        <v/>
      </c>
      <c r="AE894" s="280">
        <f>IF((LEFT(K894,6))="Contab",L894,0)</f>
        <v/>
      </c>
      <c r="AF894" s="281">
        <f>VLOOKUP(G894,CLIENTES!B:E,4,FALSE)</f>
        <v/>
      </c>
      <c r="AG894" s="280">
        <f>AF894*AE894</f>
        <v/>
      </c>
      <c r="AH894" s="280">
        <f>AD894*1.21</f>
        <v/>
      </c>
      <c r="AI894" s="284">
        <f>IF(AE894&lt;&gt;0,AG894/AD894,"N/A")</f>
        <v/>
      </c>
      <c r="AJ894" s="280">
        <f>IF(AC894="pendiente",AD894,0)</f>
        <v/>
      </c>
      <c r="AK894" s="278">
        <f>VLOOKUP(G894,CLIENTES!B:D,3,FALSE)</f>
        <v/>
      </c>
    </row>
    <row r="895" ht="15" customFormat="1" customHeight="1" s="278">
      <c r="B895" s="279" t="n"/>
      <c r="C895" s="278" t="inlineStr">
        <is>
          <t>c/ Las Cruzadas 3A, local D</t>
        </is>
      </c>
      <c r="D895" s="278" t="inlineStr">
        <is>
          <t>Sevilla 41004</t>
        </is>
      </c>
      <c r="E895" s="278" t="inlineStr">
        <is>
          <t>CIF B91938662</t>
        </is>
      </c>
      <c r="G895" s="278" t="inlineStr">
        <is>
          <t>FP LUX REIO PV VALLADOLID, S.L.U.</t>
        </is>
      </c>
      <c r="H895" s="278">
        <f>VLOOKUP($G895,DATOS!$B:$E,2,FALSE)</f>
        <v/>
      </c>
      <c r="I895" s="278">
        <f>VLOOKUP($G895,DATOS!$B:$E,3,FALSE)</f>
        <v/>
      </c>
      <c r="J895" s="278">
        <f>VLOOKUP($G895,DATOS!$B:$E,4,FALSE)</f>
        <v/>
      </c>
      <c r="K895" s="278" t="inlineStr">
        <is>
          <t>Refacturación gastos y/o servicios prestados a nombre de la sociedad</t>
        </is>
      </c>
      <c r="L895" s="280" t="n"/>
      <c r="M895" s="278" t="inlineStr">
        <is>
          <t>Jofran Mensajeros, S.L - Envio de documentación</t>
        </is>
      </c>
      <c r="N895" s="280" t="n">
        <v>11.93</v>
      </c>
      <c r="O895" s="278" t="inlineStr">
        <is>
          <t>Sociedad Estatal Correos y Telegrafos S.A - Envio Burofax (6 facturas)</t>
        </is>
      </c>
      <c r="P895" s="280" t="n">
        <v>157.62</v>
      </c>
      <c r="R895" s="280" t="n"/>
      <c r="T895" s="280" t="n"/>
      <c r="V895" s="280" t="n"/>
      <c r="X895" s="280" t="n"/>
      <c r="Z895" s="280" t="n"/>
      <c r="AA895" s="280" t="n"/>
      <c r="AB895" s="281" t="inlineStr">
        <is>
          <t>ES11 0081 7069 2700 0122 7724</t>
        </is>
      </c>
      <c r="AC895" s="278" t="inlineStr">
        <is>
          <t>pendiente</t>
        </is>
      </c>
      <c r="AD895" s="280">
        <f>L895+N895+P895+R895+T895+V895+X895+Z895</f>
        <v/>
      </c>
      <c r="AE895" s="280">
        <f>IF((LEFT(K895,6))="Contab",L895,0)</f>
        <v/>
      </c>
      <c r="AF895" s="281">
        <f>VLOOKUP(G895,CLIENTES!B:E,4,FALSE)</f>
        <v/>
      </c>
      <c r="AG895" s="280">
        <f>AF895*AE895</f>
        <v/>
      </c>
      <c r="AH895" s="280">
        <f>AD895*1.21</f>
        <v/>
      </c>
      <c r="AI895" s="284">
        <f>IF(AE895&lt;&gt;0,AG895/AD895,"N/A")</f>
        <v/>
      </c>
      <c r="AJ895" s="280">
        <f>IF(AC895="pendiente",AD895,0)</f>
        <v/>
      </c>
      <c r="AK895" s="278">
        <f>VLOOKUP(G895,CLIENTES!B:D,3,FALSE)</f>
        <v/>
      </c>
    </row>
    <row r="896" ht="15" customFormat="1" customHeight="1" s="278">
      <c r="B896" s="279" t="n"/>
      <c r="C896" s="278" t="inlineStr">
        <is>
          <t>c/ Las Cruzadas 3A, local D</t>
        </is>
      </c>
      <c r="D896" s="278" t="inlineStr">
        <is>
          <t>Sevilla 41004</t>
        </is>
      </c>
      <c r="E896" s="278" t="inlineStr">
        <is>
          <t>CIF B91938662</t>
        </is>
      </c>
      <c r="G896" s="278" t="inlineStr">
        <is>
          <t>FP LUX REIO PV VALLADOLID, S.L.U.</t>
        </is>
      </c>
      <c r="H896" s="278">
        <f>VLOOKUP($G896,DATOS!$B:$E,2,FALSE)</f>
        <v/>
      </c>
      <c r="I896" s="278">
        <f>VLOOKUP($G896,DATOS!$B:$E,3,FALSE)</f>
        <v/>
      </c>
      <c r="J896" s="278">
        <f>VLOOKUP($G896,DATOS!$B:$E,4,FALSE)</f>
        <v/>
      </c>
      <c r="K896" s="278" t="inlineStr">
        <is>
          <t>Refacturación gastos y/o servicios prestados a nombre de la sociedad</t>
        </is>
      </c>
      <c r="L896" s="280" t="n"/>
      <c r="M896" s="278" t="inlineStr">
        <is>
          <t>Jofran Mensajeros, S.L - Envio de documentación</t>
        </is>
      </c>
      <c r="N896" s="280" t="n">
        <v>22.34</v>
      </c>
      <c r="P896" s="280" t="n"/>
      <c r="R896" s="280" t="n"/>
      <c r="T896" s="280" t="n"/>
      <c r="V896" s="280" t="n"/>
      <c r="X896" s="280" t="n"/>
      <c r="Z896" s="280" t="n"/>
      <c r="AA896" s="280" t="n"/>
      <c r="AB896" s="281" t="inlineStr">
        <is>
          <t>ES11 0081 7069 2700 0122 7724</t>
        </is>
      </c>
      <c r="AC896" s="278" t="inlineStr">
        <is>
          <t>pendiente</t>
        </is>
      </c>
      <c r="AD896" s="280">
        <f>L896+N896+P896+R896+T896+V896+X896+Z896</f>
        <v/>
      </c>
      <c r="AE896" s="280">
        <f>IF((LEFT(K896,6))="Contab",L896,0)</f>
        <v/>
      </c>
      <c r="AF896" s="281">
        <f>VLOOKUP(G896,CLIENTES!B:E,4,FALSE)</f>
        <v/>
      </c>
      <c r="AG896" s="280">
        <f>AF896*AE896</f>
        <v/>
      </c>
      <c r="AH896" s="280">
        <f>AD896*1.21</f>
        <v/>
      </c>
      <c r="AI896" s="284">
        <f>IF(AE896&lt;&gt;0,AG896/AD896,"N/A")</f>
        <v/>
      </c>
      <c r="AJ896" s="280">
        <f>IF(AC896="pendiente",AD896,0)</f>
        <v/>
      </c>
      <c r="AK896" s="278">
        <f>VLOOKUP(G896,CLIENTES!B:D,3,FALSE)</f>
        <v/>
      </c>
    </row>
    <row r="897" ht="15" customFormat="1" customHeight="1" s="278">
      <c r="B897" s="279" t="n"/>
      <c r="C897" s="278" t="inlineStr">
        <is>
          <t>c/ Las Cruzadas 3A, local D</t>
        </is>
      </c>
      <c r="D897" s="278" t="inlineStr">
        <is>
          <t>Sevilla 41004</t>
        </is>
      </c>
      <c r="E897" s="278" t="inlineStr">
        <is>
          <t>CIF B91938662</t>
        </is>
      </c>
      <c r="G897" s="278" t="inlineStr">
        <is>
          <t>FP LUX REIO PV VALLADOLID, S.L.U.</t>
        </is>
      </c>
      <c r="H897" s="278">
        <f>VLOOKUP($G897,DATOS!$B:$E,2,FALSE)</f>
        <v/>
      </c>
      <c r="I897" s="278">
        <f>VLOOKUP($G897,DATOS!$B:$E,3,FALSE)</f>
        <v/>
      </c>
      <c r="J897" s="278">
        <f>VLOOKUP($G897,DATOS!$B:$E,4,FALSE)</f>
        <v/>
      </c>
      <c r="K897" s="278" t="inlineStr">
        <is>
          <t>Refacturación gastos y/o servicios prestados a nombre de la sociedad</t>
        </is>
      </c>
      <c r="L897" s="280" t="n"/>
      <c r="M897" s="278" t="inlineStr">
        <is>
          <t>Jofran Mensajeros, S.L - Envio de documentación</t>
        </is>
      </c>
      <c r="N897" s="280" t="n">
        <v>30.29</v>
      </c>
      <c r="O897" s="278" t="inlineStr">
        <is>
          <t>Sociedad Estatal Correos y Telegrafos S.A - Envio Burofax (46 facturas)</t>
        </is>
      </c>
      <c r="P897" s="280" t="n">
        <v>1208.42</v>
      </c>
      <c r="R897" s="280" t="n"/>
      <c r="T897" s="280" t="n"/>
      <c r="V897" s="280" t="n"/>
      <c r="X897" s="280" t="n"/>
      <c r="Z897" s="280" t="n"/>
      <c r="AA897" s="280" t="n"/>
      <c r="AB897" s="281" t="inlineStr">
        <is>
          <t>ES11 0081 7069 2700 0122 7724</t>
        </is>
      </c>
      <c r="AC897" s="278" t="inlineStr">
        <is>
          <t>pendiente</t>
        </is>
      </c>
      <c r="AD897" s="280">
        <f>L897+N897+P897+R897+T897+V897+X897+Z897</f>
        <v/>
      </c>
      <c r="AE897" s="280">
        <f>IF((LEFT(K897,6))="Contab",L897,0)</f>
        <v/>
      </c>
      <c r="AF897" s="281">
        <f>VLOOKUP(G897,CLIENTES!B:E,4,FALSE)</f>
        <v/>
      </c>
      <c r="AG897" s="280">
        <f>AF897*AE897</f>
        <v/>
      </c>
      <c r="AH897" s="280">
        <f>AD897*1.21</f>
        <v/>
      </c>
      <c r="AI897" s="284">
        <f>IF(AE897&lt;&gt;0,AG897/AD897,"N/A")</f>
        <v/>
      </c>
      <c r="AJ897" s="280">
        <f>IF(AC897="pendiente",AD897,0)</f>
        <v/>
      </c>
      <c r="AK897" s="278">
        <f>VLOOKUP(G897,CLIENTES!B:D,3,FALSE)</f>
        <v/>
      </c>
    </row>
    <row r="898" ht="15" customFormat="1" customHeight="1" s="278">
      <c r="B898" s="279" t="n"/>
      <c r="C898" s="278" t="inlineStr">
        <is>
          <t>c/ Las Cruzadas 3A, local D</t>
        </is>
      </c>
      <c r="D898" s="278" t="inlineStr">
        <is>
          <t>Sevilla 41004</t>
        </is>
      </c>
      <c r="E898" s="278" t="inlineStr">
        <is>
          <t>CIF B91938662</t>
        </is>
      </c>
      <c r="G898" s="278" t="inlineStr">
        <is>
          <t>FP LUX REIO PV VALLADOLID, S.L.U.</t>
        </is>
      </c>
      <c r="H898" s="278">
        <f>VLOOKUP($G898,DATOS!$B:$E,2,FALSE)</f>
        <v/>
      </c>
      <c r="I898" s="278">
        <f>VLOOKUP($G898,DATOS!$B:$E,3,FALSE)</f>
        <v/>
      </c>
      <c r="J898" s="278">
        <f>VLOOKUP($G898,DATOS!$B:$E,4,FALSE)</f>
        <v/>
      </c>
      <c r="K898" s="278" t="inlineStr">
        <is>
          <t>Refacturación gastos y/o servicios prestados a nombre de la sociedad</t>
        </is>
      </c>
      <c r="L898" s="280" t="n"/>
      <c r="M898" s="278" t="inlineStr">
        <is>
          <t>Jofran Mensajeros, S.L - Envio de documentación</t>
        </is>
      </c>
      <c r="N898" s="280" t="n">
        <v>27.75</v>
      </c>
      <c r="O898" s="278" t="inlineStr">
        <is>
          <t>Registro Mercantil de Sevilla</t>
        </is>
      </c>
      <c r="P898" s="280" t="n">
        <v>5.98</v>
      </c>
      <c r="R898" s="280" t="n"/>
      <c r="T898" s="280" t="n"/>
      <c r="V898" s="280" t="n"/>
      <c r="X898" s="280" t="n"/>
      <c r="Z898" s="280" t="n"/>
      <c r="AA898" s="280" t="n"/>
      <c r="AB898" s="281" t="inlineStr">
        <is>
          <t>ES11 0081 7069 2700 0122 7724</t>
        </is>
      </c>
      <c r="AC898" s="278" t="inlineStr">
        <is>
          <t>pendiente</t>
        </is>
      </c>
      <c r="AD898" s="280">
        <f>L898+N898+P898+R898+T898+V898+X898+Z898</f>
        <v/>
      </c>
      <c r="AE898" s="280">
        <f>IF((LEFT(K898,6))="Contab",L898,0)</f>
        <v/>
      </c>
      <c r="AF898" s="281">
        <f>VLOOKUP(G898,CLIENTES!B:E,4,FALSE)</f>
        <v/>
      </c>
      <c r="AG898" s="280">
        <f>AF898*AE898</f>
        <v/>
      </c>
      <c r="AH898" s="280">
        <f>AD898*1.21</f>
        <v/>
      </c>
      <c r="AI898" s="284">
        <f>IF(AE898&lt;&gt;0,AG898/AD898,"N/A")</f>
        <v/>
      </c>
      <c r="AJ898" s="280">
        <f>IF(AC898="pendiente",AD898,0)</f>
        <v/>
      </c>
      <c r="AK898" s="278">
        <f>VLOOKUP(G898,CLIENTES!B:D,3,FALSE)</f>
        <v/>
      </c>
    </row>
    <row r="899" ht="15" customFormat="1" customHeight="1" s="278">
      <c r="B899" s="279" t="n"/>
      <c r="C899" s="278" t="inlineStr">
        <is>
          <t>c/ Las Cruzadas 3A, local D</t>
        </is>
      </c>
      <c r="D899" s="278" t="inlineStr">
        <is>
          <t>Sevilla 41004</t>
        </is>
      </c>
      <c r="E899" s="278" t="inlineStr">
        <is>
          <t>CIF B91938662</t>
        </is>
      </c>
      <c r="G899" s="278" t="inlineStr">
        <is>
          <t>FP LUX REIO PV VALLADOLID, S.L.U.</t>
        </is>
      </c>
      <c r="H899" s="278">
        <f>VLOOKUP($G899,DATOS!$B:$E,2,FALSE)</f>
        <v/>
      </c>
      <c r="I899" s="278">
        <f>VLOOKUP($G899,DATOS!$B:$E,3,FALSE)</f>
        <v/>
      </c>
      <c r="J899" s="278">
        <f>VLOOKUP($G899,DATOS!$B:$E,4,FALSE)</f>
        <v/>
      </c>
      <c r="K899" s="278" t="inlineStr">
        <is>
          <t>Refacturación gastos y/o servicios prestados a nombre de la sociedad</t>
        </is>
      </c>
      <c r="L899" s="280" t="n"/>
      <c r="M899" s="278" t="inlineStr">
        <is>
          <t>Jofran Mensajeros, S.L - Envio de documentación</t>
        </is>
      </c>
      <c r="N899" s="280" t="n">
        <v>43.19</v>
      </c>
      <c r="P899" s="280" t="n"/>
      <c r="R899" s="280" t="n"/>
      <c r="T899" s="280" t="n"/>
      <c r="V899" s="280" t="n"/>
      <c r="X899" s="280" t="n"/>
      <c r="Z899" s="280" t="n"/>
      <c r="AA899" s="280" t="n"/>
      <c r="AB899" s="281" t="inlineStr">
        <is>
          <t>ES11 0081 7069 2700 0122 7724</t>
        </is>
      </c>
      <c r="AC899" s="278" t="inlineStr">
        <is>
          <t>pendiente</t>
        </is>
      </c>
      <c r="AD899" s="280">
        <f>L899+N899+P899+R899+T899+V899+X899+Z899</f>
        <v/>
      </c>
      <c r="AE899" s="280">
        <f>IF((LEFT(K899,6))="Contab",L899,0)</f>
        <v/>
      </c>
      <c r="AF899" s="281">
        <f>VLOOKUP(G899,CLIENTES!B:E,4,FALSE)</f>
        <v/>
      </c>
      <c r="AG899" s="280">
        <f>AF899*AE899</f>
        <v/>
      </c>
      <c r="AH899" s="280">
        <f>AD899*1.21</f>
        <v/>
      </c>
      <c r="AI899" s="284">
        <f>IF(AE899&lt;&gt;0,AG899/AD899,"N/A")</f>
        <v/>
      </c>
      <c r="AJ899" s="280">
        <f>IF(AC899="pendiente",AD899,0)</f>
        <v/>
      </c>
      <c r="AK899" s="278">
        <f>VLOOKUP(G899,CLIENTES!B:D,3,FALSE)</f>
        <v/>
      </c>
    </row>
    <row r="900" ht="15" customFormat="1" customHeight="1" s="278">
      <c r="B900" s="279" t="n"/>
      <c r="C900" s="278" t="inlineStr">
        <is>
          <t>c/ Las Cruzadas 3A, local D</t>
        </is>
      </c>
      <c r="D900" s="278" t="inlineStr">
        <is>
          <t>Sevilla 41004</t>
        </is>
      </c>
      <c r="E900" s="278" t="inlineStr">
        <is>
          <t>CIF B91938662</t>
        </is>
      </c>
      <c r="G900" s="278" t="inlineStr">
        <is>
          <t>FP LUX REIO PV VALLADOLID, S.L.U.</t>
        </is>
      </c>
      <c r="H900" s="278">
        <f>VLOOKUP($G900,DATOS!$B:$E,2,FALSE)</f>
        <v/>
      </c>
      <c r="I900" s="278">
        <f>VLOOKUP($G900,DATOS!$B:$E,3,FALSE)</f>
        <v/>
      </c>
      <c r="J900" s="278">
        <f>VLOOKUP($G900,DATOS!$B:$E,4,FALSE)</f>
        <v/>
      </c>
      <c r="K900" s="278" t="inlineStr">
        <is>
          <t>Refacturación gastos y/o servicios prestados a nombre de la sociedad</t>
        </is>
      </c>
      <c r="L900" s="280" t="n"/>
      <c r="M900" s="278" t="inlineStr">
        <is>
          <t>Registro Mercantil de Madrid</t>
        </is>
      </c>
      <c r="N900" s="280" t="n">
        <v>9.59</v>
      </c>
      <c r="P900" s="280" t="n"/>
      <c r="R900" s="280" t="n"/>
      <c r="T900" s="280" t="n"/>
      <c r="V900" s="280" t="n"/>
      <c r="X900" s="280" t="n"/>
      <c r="Z900" s="280" t="n"/>
      <c r="AA900" s="280" t="n"/>
      <c r="AB900" s="281" t="inlineStr">
        <is>
          <t>ES11 0081 7069 2700 0122 7724</t>
        </is>
      </c>
      <c r="AC900" s="278" t="inlineStr">
        <is>
          <t>pendiente</t>
        </is>
      </c>
      <c r="AD900" s="280">
        <f>L900+N900+P900+R900+T900+V900+X900+Z900</f>
        <v/>
      </c>
      <c r="AE900" s="280">
        <f>IF((LEFT(K900,6))="Contab",L900,0)</f>
        <v/>
      </c>
      <c r="AF900" s="281">
        <f>VLOOKUP(G900,CLIENTES!B:E,4,FALSE)</f>
        <v/>
      </c>
      <c r="AG900" s="280">
        <f>AF900*AE900</f>
        <v/>
      </c>
      <c r="AH900" s="280">
        <f>AD900*1.21</f>
        <v/>
      </c>
      <c r="AI900" s="284">
        <f>IF(AE900&lt;&gt;0,AG900/AD900,"N/A")</f>
        <v/>
      </c>
      <c r="AJ900" s="280">
        <f>IF(AC900="pendiente",AD900,0)</f>
        <v/>
      </c>
      <c r="AK900" s="278">
        <f>VLOOKUP(G900,CLIENTES!B:D,3,FALSE)</f>
        <v/>
      </c>
    </row>
    <row r="901" ht="15" customFormat="1" customHeight="1" s="278">
      <c r="B901" s="279" t="n"/>
      <c r="C901" s="278" t="inlineStr">
        <is>
          <t>c/ Las Cruzadas 3A, local D</t>
        </is>
      </c>
      <c r="D901" s="278" t="inlineStr">
        <is>
          <t>Sevilla 41004</t>
        </is>
      </c>
      <c r="E901" s="278" t="inlineStr">
        <is>
          <t>CIF B91938662</t>
        </is>
      </c>
      <c r="G901" s="278" t="inlineStr">
        <is>
          <t>FP LUX REIO PV VALLADOLID, S.L.U.</t>
        </is>
      </c>
      <c r="H901" s="278">
        <f>VLOOKUP($G901,DATOS!$B:$E,2,FALSE)</f>
        <v/>
      </c>
      <c r="I901" s="278">
        <f>VLOOKUP($G901,DATOS!$B:$E,3,FALSE)</f>
        <v/>
      </c>
      <c r="J901" s="278">
        <f>VLOOKUP($G901,DATOS!$B:$E,4,FALSE)</f>
        <v/>
      </c>
      <c r="K901" s="278" t="inlineStr">
        <is>
          <t>Refacturación gastos y/o servicios prestados a nombre de la sociedad</t>
        </is>
      </c>
      <c r="L901" s="280" t="n"/>
      <c r="M901" s="278" t="inlineStr">
        <is>
          <t>Jofran Mensajeros, S.L - Envio de documentación</t>
        </is>
      </c>
      <c r="N901" s="280" t="n">
        <v>6.17</v>
      </c>
      <c r="P901" s="280" t="n"/>
      <c r="R901" s="280" t="n"/>
      <c r="T901" s="280" t="n"/>
      <c r="V901" s="280" t="n"/>
      <c r="X901" s="280" t="n"/>
      <c r="Z901" s="280" t="n"/>
      <c r="AA901" s="280" t="n"/>
      <c r="AB901" s="281" t="inlineStr">
        <is>
          <t>ES11 0081 7069 2700 0122 7724</t>
        </is>
      </c>
      <c r="AC901" s="278" t="inlineStr">
        <is>
          <t>pendiente</t>
        </is>
      </c>
      <c r="AD901" s="280">
        <f>L901+N901+P901+R901+T901+V901+X901+Z901</f>
        <v/>
      </c>
      <c r="AE901" s="280">
        <f>IF((LEFT(K901,6))="Contab",L901,0)</f>
        <v/>
      </c>
      <c r="AF901" s="281">
        <f>VLOOKUP(G901,CLIENTES!B:E,4,FALSE)</f>
        <v/>
      </c>
      <c r="AG901" s="280">
        <f>AF901*AE901</f>
        <v/>
      </c>
      <c r="AH901" s="280">
        <f>AD901*1.21</f>
        <v/>
      </c>
      <c r="AI901" s="284">
        <f>IF(AE901&lt;&gt;0,AG901/AD901,"N/A")</f>
        <v/>
      </c>
      <c r="AJ901" s="280">
        <f>IF(AC901="pendiente",AD901,0)</f>
        <v/>
      </c>
      <c r="AK901" s="278">
        <f>VLOOKUP(G901,CLIENTES!B:D,3,FALSE)</f>
        <v/>
      </c>
    </row>
    <row r="902" ht="15" customFormat="1" customHeight="1" s="278">
      <c r="B902" s="279" t="n"/>
      <c r="C902" s="278" t="inlineStr">
        <is>
          <t>c/ Las Cruzadas 3A, local D</t>
        </is>
      </c>
      <c r="D902" s="278" t="inlineStr">
        <is>
          <t>Sevilla 41004</t>
        </is>
      </c>
      <c r="E902" s="278" t="inlineStr">
        <is>
          <t>CIF B91938662</t>
        </is>
      </c>
      <c r="G902" s="278" t="inlineStr">
        <is>
          <t>FP LUX REIO PV VALLADOLID, S.L.U.</t>
        </is>
      </c>
      <c r="H902" s="278">
        <f>VLOOKUP($G902,DATOS!$B:$E,2,FALSE)</f>
        <v/>
      </c>
      <c r="I902" s="278">
        <f>VLOOKUP($G902,DATOS!$B:$E,3,FALSE)</f>
        <v/>
      </c>
      <c r="J902" s="278">
        <f>VLOOKUP($G902,DATOS!$B:$E,4,FALSE)</f>
        <v/>
      </c>
      <c r="K902" s="278" t="inlineStr">
        <is>
          <t>Refacturación gastos y/o servicios prestados a nombre de la sociedad</t>
        </is>
      </c>
      <c r="L902" s="280" t="n"/>
      <c r="M902" s="278" t="inlineStr">
        <is>
          <t>Jofran Mensajeros, S.L - Envio de documentación</t>
        </is>
      </c>
      <c r="N902" s="280" t="n">
        <v>6.17</v>
      </c>
      <c r="P902" s="280" t="n"/>
      <c r="R902" s="280" t="n"/>
      <c r="T902" s="280" t="n"/>
      <c r="V902" s="280" t="n"/>
      <c r="X902" s="280" t="n"/>
      <c r="Z902" s="280" t="n"/>
      <c r="AA902" s="280" t="n"/>
      <c r="AB902" s="281" t="inlineStr">
        <is>
          <t>ES11 0081 7069 2700 0122 7724</t>
        </is>
      </c>
      <c r="AC902" s="278" t="inlineStr">
        <is>
          <t>pendiente</t>
        </is>
      </c>
      <c r="AD902" s="280">
        <f>L902+N902+P902+R902+T902+V902+X902+Z902</f>
        <v/>
      </c>
      <c r="AE902" s="280">
        <f>IF((LEFT(K902,6))="Contab",L902,0)</f>
        <v/>
      </c>
      <c r="AF902" s="281">
        <f>VLOOKUP(G902,CLIENTES!B:E,4,FALSE)</f>
        <v/>
      </c>
      <c r="AG902" s="280">
        <f>AF902*AE902</f>
        <v/>
      </c>
      <c r="AH902" s="280">
        <f>AD902*1.21</f>
        <v/>
      </c>
      <c r="AI902" s="284">
        <f>IF(AE902&lt;&gt;0,AG902/AD902,"N/A")</f>
        <v/>
      </c>
      <c r="AJ902" s="280">
        <f>IF(AC902="pendiente",AD902,0)</f>
        <v/>
      </c>
      <c r="AK902" s="278">
        <f>VLOOKUP(G902,CLIENTES!B:D,3,FALSE)</f>
        <v/>
      </c>
    </row>
    <row r="903" ht="15" customFormat="1" customHeight="1" s="278">
      <c r="B903" s="279" t="n"/>
      <c r="C903" s="278" t="inlineStr">
        <is>
          <t>c/ Las Cruzadas 3A, local D</t>
        </is>
      </c>
      <c r="D903" s="278" t="inlineStr">
        <is>
          <t>Sevilla 41004</t>
        </is>
      </c>
      <c r="E903" s="278" t="inlineStr">
        <is>
          <t>CIF B91938662</t>
        </is>
      </c>
      <c r="G903" s="278" t="inlineStr">
        <is>
          <t>FP LUX REIO PV VALLADOLID, S.L.U.</t>
        </is>
      </c>
      <c r="H903" s="278">
        <f>VLOOKUP($G903,DATOS!$B:$E,2,FALSE)</f>
        <v/>
      </c>
      <c r="I903" s="278">
        <f>VLOOKUP($G903,DATOS!$B:$E,3,FALSE)</f>
        <v/>
      </c>
      <c r="J903" s="278">
        <f>VLOOKUP($G903,DATOS!$B:$E,4,FALSE)</f>
        <v/>
      </c>
      <c r="K903" s="278" t="inlineStr">
        <is>
          <t>Refacturación gastos y/o servicios prestados a nombre de la sociedad</t>
        </is>
      </c>
      <c r="L903" s="280" t="n"/>
      <c r="M903" s="278" t="inlineStr">
        <is>
          <t>Jofran Mensajeros, S.L - Envio de documentación</t>
        </is>
      </c>
      <c r="N903" s="280" t="n">
        <v>5.31</v>
      </c>
      <c r="P903" s="280" t="n"/>
      <c r="R903" s="280" t="n"/>
      <c r="T903" s="280" t="n"/>
      <c r="V903" s="280" t="n"/>
      <c r="X903" s="280" t="n"/>
      <c r="Z903" s="280" t="n"/>
      <c r="AA903" s="280" t="n"/>
      <c r="AB903" s="281" t="inlineStr">
        <is>
          <t>ES11 0081 7069 2700 0122 7724</t>
        </is>
      </c>
      <c r="AC903" s="278" t="inlineStr">
        <is>
          <t>pendiente</t>
        </is>
      </c>
      <c r="AD903" s="280">
        <f>L903+N903+P903+R903+T903+V903+X903+Z903</f>
        <v/>
      </c>
      <c r="AE903" s="280">
        <f>IF((LEFT(K903,6))="Contab",L903,0)</f>
        <v/>
      </c>
      <c r="AF903" s="281">
        <f>VLOOKUP(G903,CLIENTES!B:E,4,FALSE)</f>
        <v/>
      </c>
      <c r="AG903" s="280">
        <f>AF903*AE903</f>
        <v/>
      </c>
      <c r="AH903" s="280">
        <f>AD903*1.21</f>
        <v/>
      </c>
      <c r="AI903" s="284">
        <f>IF(AE903&lt;&gt;0,AG903/AD903,"N/A")</f>
        <v/>
      </c>
      <c r="AJ903" s="280">
        <f>IF(AC903="pendiente",AD903,0)</f>
        <v/>
      </c>
      <c r="AK903" s="278">
        <f>VLOOKUP(G903,CLIENTES!B:D,3,FALSE)</f>
        <v/>
      </c>
    </row>
    <row r="904" ht="15" customFormat="1" customHeight="1" s="278">
      <c r="B904" s="279" t="n"/>
      <c r="C904" s="278" t="inlineStr">
        <is>
          <t>c/ Las Cruzadas 3A, local D</t>
        </is>
      </c>
      <c r="D904" s="278" t="inlineStr">
        <is>
          <t>Sevilla 41004</t>
        </is>
      </c>
      <c r="E904" s="278" t="inlineStr">
        <is>
          <t>CIF B91938662</t>
        </is>
      </c>
      <c r="G904" s="278" t="inlineStr">
        <is>
          <t>FP LUX REIO PV VALLADOLID, S.L.U.</t>
        </is>
      </c>
      <c r="H904" s="278">
        <f>VLOOKUP($G904,DATOS!$B:$E,2,FALSE)</f>
        <v/>
      </c>
      <c r="I904" s="278">
        <f>VLOOKUP($G904,DATOS!$B:$E,3,FALSE)</f>
        <v/>
      </c>
      <c r="J904" s="278">
        <f>VLOOKUP($G904,DATOS!$B:$E,4,FALSE)</f>
        <v/>
      </c>
      <c r="K904" s="278" t="inlineStr">
        <is>
          <t>Servicios extraordinarios - Asset Management (subestación BrovalesF1)</t>
        </is>
      </c>
      <c r="L904" s="280" t="n"/>
      <c r="M904" s="278" t="inlineStr">
        <is>
          <t>Elaboración de documentos jurídicos privados</t>
        </is>
      </c>
      <c r="N904" s="280" t="n">
        <v>2000</v>
      </c>
      <c r="P904" s="280" t="n"/>
      <c r="Q904" s="278" t="inlineStr">
        <is>
          <t>Redacción de los Contratos de Prestación de Servicios para cada una de las SPVs correspondientes</t>
        </is>
      </c>
      <c r="R904" s="280" t="n"/>
      <c r="S904" s="278" t="inlineStr">
        <is>
          <t>al desembolso de la compraventa de las ICEs privativas.</t>
        </is>
      </c>
      <c r="T904" s="280" t="n"/>
      <c r="V904" s="280" t="n"/>
      <c r="X904" s="280" t="n"/>
      <c r="Z904" s="280" t="n"/>
      <c r="AA904" s="280" t="n"/>
      <c r="AB904" s="281" t="inlineStr">
        <is>
          <t>ES11 0081 7069 2700 0122 7724</t>
        </is>
      </c>
      <c r="AC904" s="278" t="inlineStr">
        <is>
          <t>pendiente</t>
        </is>
      </c>
      <c r="AD904" s="280">
        <f>L904+N904+P904+R904+T904+V904+X904+Z904</f>
        <v/>
      </c>
      <c r="AE904" s="280">
        <f>IF((LEFT(K904,6))="Contab",L904,0)</f>
        <v/>
      </c>
      <c r="AF904" s="281">
        <f>VLOOKUP(G904,CLIENTES!B:E,4,FALSE)</f>
        <v/>
      </c>
      <c r="AG904" s="280">
        <f>AF904*AE904</f>
        <v/>
      </c>
      <c r="AH904" s="280">
        <f>AD904*1.21</f>
        <v/>
      </c>
      <c r="AI904" s="284">
        <f>IF(AE904&lt;&gt;0,AG904/AD904,"N/A")</f>
        <v/>
      </c>
      <c r="AJ904" s="280">
        <f>IF(AC904="pendiente",AD904,0)</f>
        <v/>
      </c>
      <c r="AK904" s="278">
        <f>VLOOKUP(G904,CLIENTES!B:D,3,FALSE)</f>
        <v/>
      </c>
    </row>
    <row r="905" ht="15" customFormat="1" customHeight="1" s="278">
      <c r="B905" s="279" t="n"/>
      <c r="C905" s="278" t="inlineStr">
        <is>
          <t>c/ Las Cruzadas 3A, local D</t>
        </is>
      </c>
      <c r="D905" s="278" t="inlineStr">
        <is>
          <t>Sevilla 41004</t>
        </is>
      </c>
      <c r="E905" s="278" t="inlineStr">
        <is>
          <t>CIF B91938662</t>
        </is>
      </c>
      <c r="G905" s="278" t="inlineStr">
        <is>
          <t>FP LUX REIO PV VALLADOLID, S.L.U.</t>
        </is>
      </c>
      <c r="H905" s="278">
        <f>VLOOKUP($G905,DATOS!$B:$E,2,FALSE)</f>
        <v/>
      </c>
      <c r="I905" s="278">
        <f>VLOOKUP($G905,DATOS!$B:$E,3,FALSE)</f>
        <v/>
      </c>
      <c r="J905" s="278">
        <f>VLOOKUP($G905,DATOS!$B:$E,4,FALSE)</f>
        <v/>
      </c>
      <c r="K905" s="278" t="inlineStr">
        <is>
          <t>Servicios extraordinarios - Asset Management (LAAT T3 Tordesillas)</t>
        </is>
      </c>
      <c r="L905" s="280" t="n"/>
      <c r="M905" s="278" t="inlineStr">
        <is>
          <t>Asistencia jurídica</t>
        </is>
      </c>
      <c r="N905" s="280" t="n">
        <v>7500</v>
      </c>
      <c r="P905" s="280" t="n"/>
      <c r="Q905" s="278" t="inlineStr">
        <is>
          <t>Revisión y modificación del Acuerdo de Socios contemplando las nuevas ICEs.</t>
        </is>
      </c>
      <c r="R905" s="280" t="n"/>
      <c r="S905" s="278" t="inlineStr">
        <is>
          <t>Asesoramiento en la negociación entre los promotores sobre la modificación del Acuerdo de Socios.</t>
        </is>
      </c>
      <c r="T905" s="280" t="n"/>
      <c r="V905" s="280" t="n"/>
      <c r="X905" s="280" t="n"/>
      <c r="Z905" s="280" t="n"/>
      <c r="AA905" s="280" t="n"/>
      <c r="AB905" s="281" t="inlineStr">
        <is>
          <t>ES11 0081 7069 2700 0122 7724</t>
        </is>
      </c>
      <c r="AC905" s="278" t="inlineStr">
        <is>
          <t>pendiente</t>
        </is>
      </c>
      <c r="AD905" s="280">
        <f>L905+N905+P905+R905+T905+V905+X905+Z905</f>
        <v/>
      </c>
      <c r="AE905" s="280">
        <f>IF((LEFT(K905,6))="Contab",L905,0)</f>
        <v/>
      </c>
      <c r="AF905" s="281">
        <f>VLOOKUP(G905,CLIENTES!B:E,4,FALSE)</f>
        <v/>
      </c>
      <c r="AG905" s="280">
        <f>AF905*AE905</f>
        <v/>
      </c>
      <c r="AH905" s="280">
        <f>AD905*1.21</f>
        <v/>
      </c>
      <c r="AI905" s="284">
        <f>IF(AE905&lt;&gt;0,AG905/AD905,"N/A")</f>
        <v/>
      </c>
      <c r="AJ905" s="280">
        <f>IF(AC905="pendiente",AD905,0)</f>
        <v/>
      </c>
      <c r="AK905" s="278">
        <f>VLOOKUP(G905,CLIENTES!B:D,3,FALSE)</f>
        <v/>
      </c>
    </row>
    <row r="906" ht="15" customFormat="1" customHeight="1" s="278">
      <c r="B906" s="279" t="n"/>
      <c r="C906" s="278" t="inlineStr">
        <is>
          <t>c/ Las Cruzadas 3A, local D</t>
        </is>
      </c>
      <c r="D906" s="278" t="inlineStr">
        <is>
          <t>Sevilla 41004</t>
        </is>
      </c>
      <c r="E906" s="278" t="inlineStr">
        <is>
          <t>CIF B91938662</t>
        </is>
      </c>
      <c r="G906" s="278" t="inlineStr">
        <is>
          <t>FP LUX REIO PV VALLADOLID, S.L.U.</t>
        </is>
      </c>
      <c r="H906" s="278">
        <f>VLOOKUP($G906,DATOS!$B:$E,2,FALSE)</f>
        <v/>
      </c>
      <c r="I906" s="278">
        <f>VLOOKUP($G906,DATOS!$B:$E,3,FALSE)</f>
        <v/>
      </c>
      <c r="J906" s="278">
        <f>VLOOKUP($G906,DATOS!$B:$E,4,FALSE)</f>
        <v/>
      </c>
      <c r="K906" s="278" t="inlineStr">
        <is>
          <t>Servicios extraordinarios - Asset Management (subestación Álamo)</t>
        </is>
      </c>
      <c r="L906" s="280" t="n"/>
      <c r="M906" s="278" t="inlineStr">
        <is>
          <t>Asistencia para licitación de Centro de Control</t>
        </is>
      </c>
      <c r="N906" s="280" t="n">
        <v>2240</v>
      </c>
      <c r="P906" s="280" t="n"/>
      <c r="R906" s="280" t="n"/>
      <c r="T906" s="280" t="n"/>
      <c r="V906" s="280" t="n"/>
      <c r="X906" s="280" t="n"/>
      <c r="Z906" s="280" t="n"/>
      <c r="AA906" s="280" t="n"/>
      <c r="AB906" s="281" t="inlineStr">
        <is>
          <t>ES11 0081 7069 2700 0122 7724</t>
        </is>
      </c>
      <c r="AC906" s="278" t="inlineStr">
        <is>
          <t>pendiente</t>
        </is>
      </c>
      <c r="AD906" s="280">
        <f>L906+N906+P906+R906+T906+V906+X906+Z906</f>
        <v/>
      </c>
      <c r="AE906" s="280">
        <f>IF((LEFT(K906,6))="Contab",L906,0)</f>
        <v/>
      </c>
      <c r="AF906" s="281">
        <f>VLOOKUP(G906,CLIENTES!B:E,4,FALSE)</f>
        <v/>
      </c>
      <c r="AG906" s="280">
        <f>AF906*AE906</f>
        <v/>
      </c>
      <c r="AH906" s="280">
        <f>AD906*1.21</f>
        <v/>
      </c>
      <c r="AI906" s="284">
        <f>IF(AE906&lt;&gt;0,AG906/AD906,"N/A")</f>
        <v/>
      </c>
      <c r="AJ906" s="280">
        <f>IF(AC906="pendiente",AD906,0)</f>
        <v/>
      </c>
      <c r="AK906" s="278">
        <f>VLOOKUP(G906,CLIENTES!B:D,3,FALSE)</f>
        <v/>
      </c>
    </row>
    <row r="907" ht="15" customFormat="1" customHeight="1" s="278">
      <c r="B907" s="279" t="n"/>
      <c r="C907" s="278" t="inlineStr">
        <is>
          <t>c/ Las Cruzadas 3A, local D</t>
        </is>
      </c>
      <c r="D907" s="278" t="inlineStr">
        <is>
          <t>Sevilla 41004</t>
        </is>
      </c>
      <c r="E907" s="278" t="inlineStr">
        <is>
          <t>CIF B91938662</t>
        </is>
      </c>
      <c r="G907" s="278" t="inlineStr">
        <is>
          <t>FP LUX REIO PV VALLADOLID, S.L.U.</t>
        </is>
      </c>
      <c r="H907" s="278">
        <f>VLOOKUP($G907,DATOS!$B:$E,2,FALSE)</f>
        <v/>
      </c>
      <c r="I907" s="278">
        <f>VLOOKUP($G907,DATOS!$B:$E,3,FALSE)</f>
        <v/>
      </c>
      <c r="J907" s="278">
        <f>VLOOKUP($G907,DATOS!$B:$E,4,FALSE)</f>
        <v/>
      </c>
      <c r="K907" s="278" t="inlineStr">
        <is>
          <t>Servicios extraordinarios - Asset Management (subestación Carmona400)</t>
        </is>
      </c>
      <c r="L907" s="280" t="n"/>
      <c r="M907" s="278" t="inlineStr">
        <is>
          <t>Asistencia para licitación de Seguros de construcción</t>
        </is>
      </c>
      <c r="N907" s="280" t="n">
        <v>850</v>
      </c>
      <c r="P907" s="280" t="n"/>
      <c r="R907" s="280" t="n"/>
      <c r="T907" s="280" t="n"/>
      <c r="V907" s="280" t="n"/>
      <c r="X907" s="280" t="n"/>
      <c r="Z907" s="280" t="n"/>
      <c r="AA907" s="280" t="n"/>
      <c r="AB907" s="281" t="inlineStr">
        <is>
          <t>ES11 0081 7069 2700 0122 7724</t>
        </is>
      </c>
      <c r="AC907" s="278" t="inlineStr">
        <is>
          <t>pendiente</t>
        </is>
      </c>
      <c r="AD907" s="280">
        <f>L907+N907+P907+R907+T907+V907+X907+Z907</f>
        <v/>
      </c>
      <c r="AE907" s="280">
        <f>IF((LEFT(K907,6))="Contab",L907,0)</f>
        <v/>
      </c>
      <c r="AF907" s="281">
        <f>VLOOKUP(G907,CLIENTES!B:E,4,FALSE)</f>
        <v/>
      </c>
      <c r="AG907" s="280">
        <f>AF907*AE907</f>
        <v/>
      </c>
      <c r="AH907" s="280">
        <f>AD907*1.21</f>
        <v/>
      </c>
      <c r="AI907" s="284">
        <f>IF(AE907&lt;&gt;0,AG907/AD907,"N/A")</f>
        <v/>
      </c>
      <c r="AJ907" s="280">
        <f>IF(AC907="pendiente",AD907,0)</f>
        <v/>
      </c>
      <c r="AK907" s="278">
        <f>VLOOKUP(G907,CLIENTES!B:D,3,FALSE)</f>
        <v/>
      </c>
    </row>
    <row r="908" ht="15" customFormat="1" customHeight="1" s="278">
      <c r="B908" s="279" t="n"/>
      <c r="C908" s="278" t="inlineStr">
        <is>
          <t>c/ Las Cruzadas 3A, local D</t>
        </is>
      </c>
      <c r="D908" s="278" t="inlineStr">
        <is>
          <t>Sevilla 41004</t>
        </is>
      </c>
      <c r="E908" s="278" t="inlineStr">
        <is>
          <t>CIF B91938662</t>
        </is>
      </c>
      <c r="G908" s="278" t="inlineStr">
        <is>
          <t>FP LUX REIO PV VALLADOLID, S.L.U.</t>
        </is>
      </c>
      <c r="H908" s="278">
        <f>VLOOKUP($G908,DATOS!$B:$E,2,FALSE)</f>
        <v/>
      </c>
      <c r="I908" s="278">
        <f>VLOOKUP($G908,DATOS!$B:$E,3,FALSE)</f>
        <v/>
      </c>
      <c r="J908" s="278">
        <f>VLOOKUP($G908,DATOS!$B:$E,4,FALSE)</f>
        <v/>
      </c>
      <c r="K908" s="278" t="inlineStr">
        <is>
          <t>Servicios extraordinarios - Asset Management (LAAT 220/400kV)</t>
        </is>
      </c>
      <c r="L908" s="280" t="n"/>
      <c r="M908" s="278" t="inlineStr">
        <is>
          <t>Asesoramiento fiscal y legal para el Contrato de opción de compra de terrenos</t>
        </is>
      </c>
      <c r="N908" s="280" t="n">
        <v>660</v>
      </c>
      <c r="P908" s="280" t="n"/>
      <c r="R908" s="280" t="n"/>
      <c r="T908" s="280" t="n"/>
      <c r="V908" s="280" t="n"/>
      <c r="X908" s="280" t="n"/>
      <c r="Z908" s="280" t="n"/>
      <c r="AA908" s="280" t="n"/>
      <c r="AB908" s="281" t="inlineStr">
        <is>
          <t>ES11 0081 7069 2700 0122 7724</t>
        </is>
      </c>
      <c r="AC908" s="278" t="inlineStr">
        <is>
          <t>pendiente</t>
        </is>
      </c>
      <c r="AD908" s="280">
        <f>L908+N908+P908+R908+T908+V908+X908+Z908</f>
        <v/>
      </c>
      <c r="AE908" s="280">
        <f>IF((LEFT(K908,6))="Contab",L908,0)</f>
        <v/>
      </c>
      <c r="AF908" s="281">
        <f>VLOOKUP(G908,CLIENTES!B:E,4,FALSE)</f>
        <v/>
      </c>
      <c r="AG908" s="280">
        <f>AF908*AE908</f>
        <v/>
      </c>
      <c r="AH908" s="280">
        <f>AD908*1.21</f>
        <v/>
      </c>
      <c r="AI908" s="284">
        <f>IF(AE908&lt;&gt;0,AG908/AD908,"N/A")</f>
        <v/>
      </c>
      <c r="AJ908" s="280">
        <f>IF(AC908="pendiente",AD908,0)</f>
        <v/>
      </c>
      <c r="AK908" s="278">
        <f>VLOOKUP(G908,CLIENTES!B:D,3,FALSE)</f>
        <v/>
      </c>
    </row>
    <row r="909" ht="15" customFormat="1" customHeight="1" s="278">
      <c r="B909" s="279" t="n"/>
      <c r="C909" s="278" t="inlineStr">
        <is>
          <t>c/ Las Cruzadas 3A, local D</t>
        </is>
      </c>
      <c r="D909" s="278" t="inlineStr">
        <is>
          <t>Sevilla 41004</t>
        </is>
      </c>
      <c r="E909" s="278" t="inlineStr">
        <is>
          <t>CIF B91938662</t>
        </is>
      </c>
      <c r="G909" s="278" t="inlineStr">
        <is>
          <t>FP LUX REIO PV VALLADOLID, S.L.U.</t>
        </is>
      </c>
      <c r="H909" s="278">
        <f>VLOOKUP($G909,DATOS!$B:$E,2,FALSE)</f>
        <v/>
      </c>
      <c r="I909" s="278">
        <f>VLOOKUP($G909,DATOS!$B:$E,3,FALSE)</f>
        <v/>
      </c>
      <c r="J909" s="278">
        <f>VLOOKUP($G909,DATOS!$B:$E,4,FALSE)</f>
        <v/>
      </c>
      <c r="K909" s="278" t="inlineStr">
        <is>
          <t>Refacturación gastos y/o servicios prestados a nombre de la sociedad</t>
        </is>
      </c>
      <c r="L909" s="280" t="n"/>
      <c r="M909" s="278" t="inlineStr">
        <is>
          <t>Burofax - Reclamación garantía (Yingli)</t>
        </is>
      </c>
      <c r="N909" s="280" t="n">
        <v>27.22</v>
      </c>
      <c r="P909" s="280" t="n"/>
      <c r="R909" s="280" t="n"/>
      <c r="T909" s="280" t="n"/>
      <c r="V909" s="280" t="n"/>
      <c r="X909" s="280" t="n"/>
      <c r="Z909" s="280" t="n"/>
      <c r="AA909" s="280" t="n"/>
      <c r="AB909" s="281" t="inlineStr">
        <is>
          <t>ES11 0081 7069 2700 0122 7724</t>
        </is>
      </c>
      <c r="AC909" s="278" t="inlineStr">
        <is>
          <t>pendiente</t>
        </is>
      </c>
      <c r="AD909" s="280">
        <f>L909+N909+P909+R909+T909+V909+X909+Z909</f>
        <v/>
      </c>
      <c r="AE909" s="280">
        <f>IF((LEFT(K909,6))="Contab",L909,0)</f>
        <v/>
      </c>
      <c r="AF909" s="281">
        <f>VLOOKUP(G909,CLIENTES!B:E,4,FALSE)</f>
        <v/>
      </c>
      <c r="AG909" s="280">
        <f>AF909*AE909</f>
        <v/>
      </c>
      <c r="AH909" s="280">
        <f>AD909*1.21</f>
        <v/>
      </c>
      <c r="AI909" s="284">
        <f>IF(AE909&lt;&gt;0,AG909/AD909,"N/A")</f>
        <v/>
      </c>
      <c r="AJ909" s="280">
        <f>IF(AC909="pendiente",AD909,0)</f>
        <v/>
      </c>
      <c r="AK909" s="278">
        <f>VLOOKUP(G909,CLIENTES!B:D,3,FALSE)</f>
        <v/>
      </c>
    </row>
    <row r="910" ht="15" customFormat="1" customHeight="1" s="278">
      <c r="B910" s="279" t="n"/>
      <c r="C910" s="278" t="inlineStr">
        <is>
          <t>c/ Las Cruzadas 3A, local D</t>
        </is>
      </c>
      <c r="D910" s="278" t="inlineStr">
        <is>
          <t>Sevilla 41004</t>
        </is>
      </c>
      <c r="E910" s="278" t="inlineStr">
        <is>
          <t>CIF B91938662</t>
        </is>
      </c>
      <c r="G910" s="278" t="inlineStr">
        <is>
          <t>FP LUX REIO PV VALLADOLID, S.L.U.</t>
        </is>
      </c>
      <c r="H910" s="278">
        <f>VLOOKUP($G910,DATOS!$B:$E,2,FALSE)</f>
        <v/>
      </c>
      <c r="I910" s="278">
        <f>VLOOKUP($G910,DATOS!$B:$E,3,FALSE)</f>
        <v/>
      </c>
      <c r="J910" s="278">
        <f>VLOOKUP($G910,DATOS!$B:$E,4,FALSE)</f>
        <v/>
      </c>
      <c r="K910" s="278" t="inlineStr">
        <is>
          <t>Refacturación gastos y/o servicios prestados a nombre de la sociedad</t>
        </is>
      </c>
      <c r="L910" s="280" t="n"/>
      <c r="M910" s="278" t="inlineStr">
        <is>
          <t>Maniobras AT en CMM - Subsanación anomalias OCA</t>
        </is>
      </c>
      <c r="N910" s="280" t="n">
        <v>539.14</v>
      </c>
      <c r="O910" s="278" t="inlineStr">
        <is>
          <t>100 x módulos FS-275 (tramitación garantía)</t>
        </is>
      </c>
      <c r="P910" s="280" t="n">
        <v>3750</v>
      </c>
      <c r="Q910" s="278" t="inlineStr">
        <is>
          <t>Nueva tarjeta electrónica (Control Card HSI0500)</t>
        </is>
      </c>
      <c r="R910" s="280" t="n">
        <v>3663.23</v>
      </c>
      <c r="T910" s="280" t="n"/>
      <c r="V910" s="280" t="n"/>
      <c r="X910" s="280" t="n"/>
      <c r="Z910" s="280" t="n"/>
      <c r="AA910" s="280" t="n"/>
      <c r="AB910" s="281" t="inlineStr">
        <is>
          <t>ES11 0081 7069 2700 0122 7724</t>
        </is>
      </c>
      <c r="AC910" s="278" t="inlineStr">
        <is>
          <t>pendiente</t>
        </is>
      </c>
      <c r="AD910" s="280">
        <f>L910+N910+P910+R910+T910+V910+X910+Z910</f>
        <v/>
      </c>
      <c r="AE910" s="280">
        <f>IF((LEFT(K910,6))="Contab",L910,0)</f>
        <v/>
      </c>
      <c r="AF910" s="281">
        <f>VLOOKUP(G910,CLIENTES!B:E,4,FALSE)</f>
        <v/>
      </c>
      <c r="AG910" s="280">
        <f>AF910*AE910</f>
        <v/>
      </c>
      <c r="AH910" s="280">
        <f>AD910*1.21</f>
        <v/>
      </c>
      <c r="AI910" s="284">
        <f>IF(AE910&lt;&gt;0,AG910/AD910,"N/A")</f>
        <v/>
      </c>
      <c r="AJ910" s="280">
        <f>IF(AC910="pendiente",AD910,0)</f>
        <v/>
      </c>
      <c r="AK910" s="278">
        <f>VLOOKUP(G910,CLIENTES!B:D,3,FALSE)</f>
        <v/>
      </c>
    </row>
    <row r="911" ht="15" customFormat="1" customHeight="1" s="278">
      <c r="B911" s="279" t="n"/>
      <c r="C911" s="278" t="inlineStr">
        <is>
          <t>c/ Las Cruzadas 3A, local D</t>
        </is>
      </c>
      <c r="D911" s="278" t="inlineStr">
        <is>
          <t>Sevilla 41004</t>
        </is>
      </c>
      <c r="E911" s="278" t="inlineStr">
        <is>
          <t>CIF B91938662</t>
        </is>
      </c>
      <c r="G911" s="278" t="inlineStr">
        <is>
          <t>FP LUX REIO PV VALLADOLID, S.L.U.</t>
        </is>
      </c>
      <c r="H911" s="278">
        <f>VLOOKUP($G911,DATOS!$B:$E,2,FALSE)</f>
        <v/>
      </c>
      <c r="I911" s="278">
        <f>VLOOKUP($G911,DATOS!$B:$E,3,FALSE)</f>
        <v/>
      </c>
      <c r="J911" s="278">
        <f>VLOOKUP($G911,DATOS!$B:$E,4,FALSE)</f>
        <v/>
      </c>
      <c r="K911" s="278" t="inlineStr">
        <is>
          <t>Refacturación gastos y/o servicios prestados a nombre de la sociedad</t>
        </is>
      </c>
      <c r="L911" s="280" t="n"/>
      <c r="M911" s="278" t="inlineStr">
        <is>
          <t>Nuevo piranómetro (EKO MS-40)</t>
        </is>
      </c>
      <c r="N911" s="280">
        <f>615/3</f>
        <v/>
      </c>
      <c r="O911" s="278" t="inlineStr">
        <is>
          <t>Conversor ICP-CON I7520 RS485/RS232</t>
        </is>
      </c>
      <c r="P911" s="280">
        <f>235/3</f>
        <v/>
      </c>
      <c r="R911" s="280" t="n"/>
      <c r="T911" s="280" t="n"/>
      <c r="V911" s="280" t="n"/>
      <c r="X911" s="280" t="n"/>
      <c r="Z911" s="280" t="n"/>
      <c r="AA911" s="280" t="n"/>
      <c r="AB911" s="281" t="inlineStr">
        <is>
          <t>ES11 0081 7069 2700 0122 7724</t>
        </is>
      </c>
      <c r="AC911" s="278" t="inlineStr">
        <is>
          <t>pendiente</t>
        </is>
      </c>
      <c r="AD911" s="280">
        <f>L911+N911+P911+R911+T911+V911+X911+Z911</f>
        <v/>
      </c>
      <c r="AE911" s="280">
        <f>IF((LEFT(K911,6))="Contab",L911,0)</f>
        <v/>
      </c>
      <c r="AF911" s="281">
        <f>VLOOKUP(G911,CLIENTES!B:E,4,FALSE)</f>
        <v/>
      </c>
      <c r="AG911" s="280">
        <f>AF911*AE911</f>
        <v/>
      </c>
      <c r="AH911" s="280">
        <f>AD911*1.21</f>
        <v/>
      </c>
      <c r="AI911" s="284">
        <f>IF(AE911&lt;&gt;0,AG911/AD911,"N/A")</f>
        <v/>
      </c>
      <c r="AJ911" s="280">
        <f>IF(AC911="pendiente",AD911,0)</f>
        <v/>
      </c>
      <c r="AK911" s="278">
        <f>VLOOKUP(G911,CLIENTES!B:D,3,FALSE)</f>
        <v/>
      </c>
    </row>
    <row r="912" ht="15" customFormat="1" customHeight="1" s="278">
      <c r="B912" s="279" t="n"/>
      <c r="C912" s="278" t="inlineStr">
        <is>
          <t>c/ Las Cruzadas 3A, local D</t>
        </is>
      </c>
      <c r="D912" s="278" t="inlineStr">
        <is>
          <t>Sevilla 41004</t>
        </is>
      </c>
      <c r="E912" s="278" t="inlineStr">
        <is>
          <t>CIF B91938662</t>
        </is>
      </c>
      <c r="G912" s="278" t="inlineStr">
        <is>
          <t>FP LUX REIO PV VALLADOLID, S.L.U.</t>
        </is>
      </c>
      <c r="H912" s="278">
        <f>VLOOKUP($G912,DATOS!$B:$E,2,FALSE)</f>
        <v/>
      </c>
      <c r="I912" s="278">
        <f>VLOOKUP($G912,DATOS!$B:$E,3,FALSE)</f>
        <v/>
      </c>
      <c r="J912" s="278">
        <f>VLOOKUP($G912,DATOS!$B:$E,4,FALSE)</f>
        <v/>
      </c>
      <c r="K912" s="278" t="inlineStr">
        <is>
          <t>Refacturación gastos y/o servicios prestados a nombre de la sociedad</t>
        </is>
      </c>
      <c r="L912" s="280" t="n"/>
      <c r="M912" s="278" t="inlineStr">
        <is>
          <t>Nuevo piranómetro (EKO MS-40)</t>
        </is>
      </c>
      <c r="N912" s="280">
        <f>615/3</f>
        <v/>
      </c>
      <c r="O912" s="278" t="inlineStr">
        <is>
          <t>Conversor ICP-CON I7520 RS485/RS232</t>
        </is>
      </c>
      <c r="P912" s="280">
        <f>235/3</f>
        <v/>
      </c>
      <c r="R912" s="280" t="n"/>
      <c r="T912" s="280" t="n"/>
      <c r="V912" s="280" t="n"/>
      <c r="X912" s="280" t="n"/>
      <c r="Z912" s="280" t="n"/>
      <c r="AA912" s="280" t="n"/>
      <c r="AB912" s="281" t="inlineStr">
        <is>
          <t>ES11 0081 7069 2700 0122 7724</t>
        </is>
      </c>
      <c r="AC912" s="278" t="inlineStr">
        <is>
          <t>pendiente</t>
        </is>
      </c>
      <c r="AD912" s="280">
        <f>L912+N912+P912+R912+T912+V912+X912+Z912</f>
        <v/>
      </c>
      <c r="AE912" s="280">
        <f>IF((LEFT(K912,6))="Contab",L912,0)</f>
        <v/>
      </c>
      <c r="AF912" s="281">
        <f>VLOOKUP(G912,CLIENTES!B:E,4,FALSE)</f>
        <v/>
      </c>
      <c r="AG912" s="280">
        <f>AF912*AE912</f>
        <v/>
      </c>
      <c r="AH912" s="280">
        <f>AD912*1.21</f>
        <v/>
      </c>
      <c r="AI912" s="284">
        <f>IF(AE912&lt;&gt;0,AG912/AD912,"N/A")</f>
        <v/>
      </c>
      <c r="AJ912" s="280">
        <f>IF(AC912="pendiente",AD912,0)</f>
        <v/>
      </c>
      <c r="AK912" s="278">
        <f>VLOOKUP(G912,CLIENTES!B:D,3,FALSE)</f>
        <v/>
      </c>
    </row>
    <row r="913" ht="15" customFormat="1" customHeight="1" s="278">
      <c r="B913" s="279" t="n"/>
      <c r="C913" s="278" t="inlineStr">
        <is>
          <t>c/ Las Cruzadas 3A, local D</t>
        </is>
      </c>
      <c r="D913" s="278" t="inlineStr">
        <is>
          <t>Sevilla 41004</t>
        </is>
      </c>
      <c r="E913" s="278" t="inlineStr">
        <is>
          <t>CIF B91938662</t>
        </is>
      </c>
      <c r="G913" s="278" t="inlineStr">
        <is>
          <t>FP LUX REIO PV VALLADOLID, S.L.U.</t>
        </is>
      </c>
      <c r="H913" s="278">
        <f>VLOOKUP($G913,DATOS!$B:$E,2,FALSE)</f>
        <v/>
      </c>
      <c r="I913" s="278">
        <f>VLOOKUP($G913,DATOS!$B:$E,3,FALSE)</f>
        <v/>
      </c>
      <c r="J913" s="278">
        <f>VLOOKUP($G913,DATOS!$B:$E,4,FALSE)</f>
        <v/>
      </c>
      <c r="K913" s="278" t="inlineStr">
        <is>
          <t>Refacturación gastos y/o servicios prestados a nombre de la sociedad</t>
        </is>
      </c>
      <c r="L913" s="280" t="n"/>
      <c r="M913" s="278" t="inlineStr">
        <is>
          <t>Nuevo piranómetro (EKO MS-40)</t>
        </is>
      </c>
      <c r="N913" s="280">
        <f>615/3</f>
        <v/>
      </c>
      <c r="O913" s="278" t="inlineStr">
        <is>
          <t>Conversor ICP-CON I7520 RS485/RS232</t>
        </is>
      </c>
      <c r="P913" s="280">
        <f>235/3</f>
        <v/>
      </c>
      <c r="R913" s="280" t="n"/>
      <c r="T913" s="280" t="n"/>
      <c r="V913" s="280" t="n"/>
      <c r="X913" s="280" t="n"/>
      <c r="Z913" s="280" t="n"/>
      <c r="AA913" s="280" t="n"/>
      <c r="AB913" s="281" t="inlineStr">
        <is>
          <t>ES11 0081 7069 2700 0122 7724</t>
        </is>
      </c>
      <c r="AC913" s="278" t="inlineStr">
        <is>
          <t>pendiente</t>
        </is>
      </c>
      <c r="AD913" s="280">
        <f>L913+N913+P913+R913+T913+V913+X913+Z913</f>
        <v/>
      </c>
      <c r="AE913" s="280">
        <f>IF((LEFT(K913,6))="Contab",L913,0)</f>
        <v/>
      </c>
      <c r="AF913" s="281">
        <f>VLOOKUP(G913,CLIENTES!B:E,4,FALSE)</f>
        <v/>
      </c>
      <c r="AG913" s="280">
        <f>AF913*AE913</f>
        <v/>
      </c>
      <c r="AH913" s="280">
        <f>AD913*1.21</f>
        <v/>
      </c>
      <c r="AI913" s="284">
        <f>IF(AE913&lt;&gt;0,AG913/AD913,"N/A")</f>
        <v/>
      </c>
      <c r="AJ913" s="280">
        <f>IF(AC913="pendiente",AD913,0)</f>
        <v/>
      </c>
      <c r="AK913" s="278">
        <f>VLOOKUP(G913,CLIENTES!B:D,3,FALSE)</f>
        <v/>
      </c>
    </row>
    <row r="914" ht="15" customFormat="1" customHeight="1" s="278">
      <c r="B914" s="279" t="n"/>
      <c r="C914" s="278" t="inlineStr">
        <is>
          <t>c/ Las Cruzadas 3A, local D</t>
        </is>
      </c>
      <c r="D914" s="278" t="inlineStr">
        <is>
          <t>Sevilla 41004</t>
        </is>
      </c>
      <c r="E914" s="278" t="inlineStr">
        <is>
          <t>CIF B91938662</t>
        </is>
      </c>
      <c r="G914" s="278" t="inlineStr">
        <is>
          <t>FP LUX REIO PV VALLADOLID, S.L.U.</t>
        </is>
      </c>
      <c r="H914" s="278">
        <f>VLOOKUP($G914,DATOS!$B:$E,2,FALSE)</f>
        <v/>
      </c>
      <c r="I914" s="278">
        <f>VLOOKUP($G914,DATOS!$B:$E,3,FALSE)</f>
        <v/>
      </c>
      <c r="J914" s="278">
        <f>VLOOKUP($G914,DATOS!$B:$E,4,FALSE)</f>
        <v/>
      </c>
      <c r="K914" s="278" t="inlineStr">
        <is>
          <t>Refacturación gastos y/o servicios prestados a nombre de la sociedad</t>
        </is>
      </c>
      <c r="L914" s="280" t="n"/>
      <c r="M914" s="278" t="inlineStr">
        <is>
          <t>Sustitución inversores (SMA 7000HV)</t>
        </is>
      </c>
      <c r="N914" s="280">
        <f>108.6*2</f>
        <v/>
      </c>
      <c r="O914" s="278" t="inlineStr">
        <is>
          <t>Gestión stock SMA 7000HV (1H2023)</t>
        </is>
      </c>
      <c r="P914" s="280" t="n">
        <v>250</v>
      </c>
      <c r="Q914" s="278" t="inlineStr">
        <is>
          <t>Correctivos comunicaciones</t>
        </is>
      </c>
      <c r="R914" s="280" t="n">
        <v>56.32</v>
      </c>
      <c r="S914" s="278" t="inlineStr">
        <is>
          <t>Tratamiento herbicidas (primavera ´23)</t>
        </is>
      </c>
      <c r="T914" s="280" t="n">
        <v>1237.5</v>
      </c>
      <c r="V914" s="280" t="n"/>
      <c r="X914" s="280" t="n"/>
      <c r="Z914" s="280" t="n"/>
      <c r="AA914" s="280" t="n"/>
      <c r="AB914" s="281" t="inlineStr">
        <is>
          <t>ES11 0081 7069 2700 0122 7724</t>
        </is>
      </c>
      <c r="AC914" s="278" t="inlineStr">
        <is>
          <t>pendiente</t>
        </is>
      </c>
      <c r="AD914" s="280">
        <f>L914+N914+P914+R914+T914+V914+X914+Z914</f>
        <v/>
      </c>
      <c r="AE914" s="280">
        <f>IF((LEFT(K914,6))="Contab",L914,0)</f>
        <v/>
      </c>
      <c r="AF914" s="281">
        <f>VLOOKUP(G914,CLIENTES!B:E,4,FALSE)</f>
        <v/>
      </c>
      <c r="AG914" s="280">
        <f>AF914*AE914</f>
        <v/>
      </c>
      <c r="AH914" s="280">
        <f>AD914*1.21</f>
        <v/>
      </c>
      <c r="AI914" s="284">
        <f>IF(AE914&lt;&gt;0,AG914/AD914,"N/A")</f>
        <v/>
      </c>
      <c r="AJ914" s="280">
        <f>IF(AC914="pendiente",AD914,0)</f>
        <v/>
      </c>
      <c r="AK914" s="278">
        <f>VLOOKUP(G914,CLIENTES!B:D,3,FALSE)</f>
        <v/>
      </c>
    </row>
    <row r="915" ht="15" customFormat="1" customHeight="1" s="278">
      <c r="B915" s="279" t="n"/>
      <c r="C915" s="278" t="inlineStr">
        <is>
          <t>c/ Las Cruzadas 3A, local D</t>
        </is>
      </c>
      <c r="D915" s="278" t="inlineStr">
        <is>
          <t>Sevilla 41004</t>
        </is>
      </c>
      <c r="E915" s="278" t="inlineStr">
        <is>
          <t>CIF B91938662</t>
        </is>
      </c>
      <c r="G915" s="278" t="inlineStr">
        <is>
          <t>FP LUX REIO PV VALLADOLID, S.L.U.</t>
        </is>
      </c>
      <c r="H915" s="278">
        <f>VLOOKUP($G915,DATOS!$B:$E,2,FALSE)</f>
        <v/>
      </c>
      <c r="I915" s="278">
        <f>VLOOKUP($G915,DATOS!$B:$E,3,FALSE)</f>
        <v/>
      </c>
      <c r="J915" s="278">
        <f>VLOOKUP($G915,DATOS!$B:$E,4,FALSE)</f>
        <v/>
      </c>
      <c r="K915" s="278" t="inlineStr">
        <is>
          <t>Refacturación gastos y/o servicios prestados a nombre de la sociedad</t>
        </is>
      </c>
      <c r="L915" s="280" t="n"/>
      <c r="M915" s="278" t="inlineStr">
        <is>
          <t>Sustitución inversores (SMA 7000HV)</t>
        </is>
      </c>
      <c r="N915" s="280">
        <f>108.6*5</f>
        <v/>
      </c>
      <c r="O915" s="278" t="inlineStr">
        <is>
          <t>Gestión stock SMA 7000HV (1H2023)</t>
        </is>
      </c>
      <c r="P915" s="280" t="n">
        <v>250</v>
      </c>
      <c r="R915" s="280" t="n"/>
      <c r="T915" s="280" t="n"/>
      <c r="V915" s="280" t="n"/>
      <c r="X915" s="280" t="n"/>
      <c r="Z915" s="280" t="n"/>
      <c r="AA915" s="280" t="n"/>
      <c r="AB915" s="281" t="inlineStr">
        <is>
          <t>ES11 0081 7069 2700 0122 7724</t>
        </is>
      </c>
      <c r="AC915" s="278" t="inlineStr">
        <is>
          <t>pendiente</t>
        </is>
      </c>
      <c r="AD915" s="280">
        <f>L915+N915+P915+R915+T915+V915+X915+Z915</f>
        <v/>
      </c>
      <c r="AE915" s="280">
        <f>IF((LEFT(K915,6))="Contab",L915,0)</f>
        <v/>
      </c>
      <c r="AF915" s="281">
        <f>VLOOKUP(G915,CLIENTES!B:E,4,FALSE)</f>
        <v/>
      </c>
      <c r="AG915" s="280">
        <f>AF915*AE915</f>
        <v/>
      </c>
      <c r="AH915" s="280">
        <f>AD915*1.21</f>
        <v/>
      </c>
      <c r="AI915" s="284">
        <f>IF(AE915&lt;&gt;0,AG915/AD915,"N/A")</f>
        <v/>
      </c>
      <c r="AJ915" s="280">
        <f>IF(AC915="pendiente",AD915,0)</f>
        <v/>
      </c>
      <c r="AK915" s="278">
        <f>VLOOKUP(G915,CLIENTES!B:D,3,FALSE)</f>
        <v/>
      </c>
    </row>
    <row r="916" ht="15" customFormat="1" customHeight="1" s="278">
      <c r="B916" s="279" t="n"/>
      <c r="C916" s="278" t="inlineStr">
        <is>
          <t>c/ Las Cruzadas 3A, local D</t>
        </is>
      </c>
      <c r="D916" s="278" t="inlineStr">
        <is>
          <t>Sevilla 41004</t>
        </is>
      </c>
      <c r="E916" s="278" t="inlineStr">
        <is>
          <t>CIF B91938662</t>
        </is>
      </c>
      <c r="G916" s="278" t="inlineStr">
        <is>
          <t>FP LUX REIO PV VALLADOLID, S.L.U.</t>
        </is>
      </c>
      <c r="H916" s="278">
        <f>VLOOKUP($G916,DATOS!$B:$E,2,FALSE)</f>
        <v/>
      </c>
      <c r="I916" s="278">
        <f>VLOOKUP($G916,DATOS!$B:$E,3,FALSE)</f>
        <v/>
      </c>
      <c r="J916" s="278">
        <f>VLOOKUP($G916,DATOS!$B:$E,4,FALSE)</f>
        <v/>
      </c>
      <c r="K916" s="278" t="inlineStr">
        <is>
          <t>Refacturación gastos y/o servicios prestados a nombre de la sociedad</t>
        </is>
      </c>
      <c r="L916" s="280" t="n"/>
      <c r="M916" s="278" t="inlineStr">
        <is>
          <t>OCA MT</t>
        </is>
      </c>
      <c r="N916" s="280" t="n">
        <v>348</v>
      </c>
      <c r="P916" s="280" t="n"/>
      <c r="R916" s="280" t="n"/>
      <c r="T916" s="280" t="n"/>
      <c r="V916" s="280" t="n"/>
      <c r="X916" s="280" t="n"/>
      <c r="Z916" s="280" t="n"/>
      <c r="AA916" s="280" t="n"/>
      <c r="AB916" s="281" t="inlineStr">
        <is>
          <t>ES11 0081 7069 2700 0122 7724</t>
        </is>
      </c>
      <c r="AC916" s="278" t="inlineStr">
        <is>
          <t>pendiente</t>
        </is>
      </c>
      <c r="AD916" s="280">
        <f>L916+N916+P916+R916+T916+V916+X916+Z916</f>
        <v/>
      </c>
      <c r="AE916" s="280">
        <f>IF((LEFT(K916,6))="Contab",L916,0)</f>
        <v/>
      </c>
      <c r="AF916" s="281">
        <f>VLOOKUP(G916,CLIENTES!B:E,4,FALSE)</f>
        <v/>
      </c>
      <c r="AG916" s="280">
        <f>AF916*AE916</f>
        <v/>
      </c>
      <c r="AH916" s="280">
        <f>AD916*1.21</f>
        <v/>
      </c>
      <c r="AI916" s="284">
        <f>IF(AE916&lt;&gt;0,AG916/AD916,"N/A")</f>
        <v/>
      </c>
      <c r="AJ916" s="280">
        <f>IF(AC916="pendiente",AD916,0)</f>
        <v/>
      </c>
      <c r="AK916" s="278">
        <f>VLOOKUP(G916,CLIENTES!B:D,3,FALSE)</f>
        <v/>
      </c>
    </row>
    <row r="917" ht="15" customFormat="1" customHeight="1" s="192">
      <c r="B917" s="199" t="n"/>
      <c r="C917" s="192" t="inlineStr">
        <is>
          <t>c/ Las Cruzadas 3A, local D</t>
        </is>
      </c>
      <c r="D917" s="192" t="inlineStr">
        <is>
          <t>Sevilla 41004</t>
        </is>
      </c>
      <c r="E917" s="192" t="inlineStr">
        <is>
          <t>CIF B91938662</t>
        </is>
      </c>
      <c r="G917" s="192" t="inlineStr">
        <is>
          <t>FP LUX REIO PV VALLADOLID, S.L.U.</t>
        </is>
      </c>
      <c r="H917" s="192">
        <f>VLOOKUP($G917,DATOS!$B:$E,2,FALSE)</f>
        <v/>
      </c>
      <c r="I917" s="192">
        <f>VLOOKUP($G917,DATOS!$B:$E,3,FALSE)</f>
        <v/>
      </c>
      <c r="J917" s="192">
        <f>VLOOKUP($G917,DATOS!$B:$E,4,FALSE)</f>
        <v/>
      </c>
      <c r="K917" s="192" t="inlineStr">
        <is>
          <t>Refacturación gastos y/o servicios prestados a nombre de la sociedad</t>
        </is>
      </c>
      <c r="L917" s="200" t="n"/>
      <c r="M917" s="192" t="inlineStr">
        <is>
          <t>Sustitución Celda 2L2P</t>
        </is>
      </c>
      <c r="N917" s="200" t="n">
        <v>6223</v>
      </c>
      <c r="P917" s="200" t="n"/>
      <c r="R917" s="200" t="n"/>
      <c r="T917" s="200" t="n"/>
      <c r="V917" s="200" t="n"/>
      <c r="X917" s="200" t="n"/>
      <c r="Z917" s="200" t="n"/>
      <c r="AA917" s="200" t="n"/>
      <c r="AB917" s="201" t="inlineStr">
        <is>
          <t>ES11 0081 7069 2700 0122 7724</t>
        </is>
      </c>
      <c r="AC917" s="192" t="inlineStr">
        <is>
          <t>pendiente</t>
        </is>
      </c>
      <c r="AD917" s="200">
        <f>L917+N917+P917+R917+T917+V917+X917+Z917</f>
        <v/>
      </c>
      <c r="AE917" s="200">
        <f>IF((LEFT(K917,6))="Contab",L917,0)</f>
        <v/>
      </c>
      <c r="AF917" s="201">
        <f>VLOOKUP(G917,CLIENTES!B:E,4,FALSE)</f>
        <v/>
      </c>
      <c r="AG917" s="200">
        <f>AF917*AE917</f>
        <v/>
      </c>
      <c r="AH917" s="200">
        <f>AD917*1.21</f>
        <v/>
      </c>
      <c r="AI917" s="283">
        <f>IF(AE917&lt;&gt;0,AG917/AD917,"N/A")</f>
        <v/>
      </c>
      <c r="AJ917" s="200">
        <f>IF(AC917="pendiente",AD917,0)</f>
        <v/>
      </c>
      <c r="AK917" s="192">
        <f>VLOOKUP(G917,CLIENTES!B:D,3,FALSE)</f>
        <v/>
      </c>
    </row>
    <row r="918" ht="15" customFormat="1" customHeight="1" s="192">
      <c r="B918" s="199" t="n"/>
      <c r="C918" s="192" t="inlineStr">
        <is>
          <t>c/ Las Cruzadas 3A, local D</t>
        </is>
      </c>
      <c r="D918" s="192" t="inlineStr">
        <is>
          <t>Sevilla 41004</t>
        </is>
      </c>
      <c r="E918" s="192" t="inlineStr">
        <is>
          <t>CIF B91938662</t>
        </is>
      </c>
      <c r="G918" s="278" t="inlineStr">
        <is>
          <t>FP LUX REIO PV VALLADOLID, S.L.U.</t>
        </is>
      </c>
      <c r="H918" s="192">
        <f>VLOOKUP($G918,DATOS!$B:$E,2,FALSE)</f>
        <v/>
      </c>
      <c r="I918" s="192">
        <f>VLOOKUP($G918,DATOS!$B:$E,3,FALSE)</f>
        <v/>
      </c>
      <c r="J918" s="192">
        <f>VLOOKUP($G918,DATOS!$B:$E,4,FALSE)</f>
        <v/>
      </c>
      <c r="K918" s="192" t="inlineStr">
        <is>
          <t>Additional Service - Extraordinary corrective maintenance</t>
        </is>
      </c>
      <c r="L918" s="200" t="n"/>
      <c r="M918" s="192" t="inlineStr">
        <is>
          <t>Wind Episode (February 2023)</t>
        </is>
      </c>
      <c r="N918" s="200" t="n">
        <v>5200</v>
      </c>
      <c r="P918" s="200" t="n"/>
      <c r="R918" s="200" t="n"/>
      <c r="T918" s="200" t="n"/>
      <c r="V918" s="200" t="n"/>
      <c r="X918" s="200" t="n"/>
      <c r="Z918" s="200" t="n"/>
      <c r="AA918" s="200" t="n"/>
      <c r="AB918" s="201" t="inlineStr">
        <is>
          <t>ES11 0081 7069 2700 0122 7724</t>
        </is>
      </c>
      <c r="AC918" s="192" t="inlineStr">
        <is>
          <t>pendiente</t>
        </is>
      </c>
      <c r="AD918" s="200">
        <f>L918+N918+P918+R918+T918+V918+X918+Z918</f>
        <v/>
      </c>
      <c r="AE918" s="200">
        <f>IF((LEFT(K918,6))="Contab",L918,0)</f>
        <v/>
      </c>
      <c r="AF918" s="201">
        <f>VLOOKUP(G918,CLIENTES!B:E,4,FALSE)</f>
        <v/>
      </c>
      <c r="AG918" s="200">
        <f>AF918*AE918</f>
        <v/>
      </c>
      <c r="AH918" s="200">
        <f>AD918*1.21</f>
        <v/>
      </c>
      <c r="AI918" s="283">
        <f>IF(AE918&lt;&gt;0,AG918/AD918,"N/A")</f>
        <v/>
      </c>
      <c r="AJ918" s="200">
        <f>IF(AC918="pendiente",AD918,0)</f>
        <v/>
      </c>
      <c r="AK918" s="192">
        <f>VLOOKUP(G918,CLIENTES!B:D,3,FALSE)</f>
        <v/>
      </c>
    </row>
    <row r="919" ht="15" customFormat="1" customHeight="1" s="189">
      <c r="B919" s="188" t="n"/>
      <c r="C919" s="189" t="inlineStr">
        <is>
          <t>c/ Las Cruzadas 3A, local D</t>
        </is>
      </c>
      <c r="D919" s="189" t="inlineStr">
        <is>
          <t>Sevilla 41004</t>
        </is>
      </c>
      <c r="E919" s="189" t="inlineStr">
        <is>
          <t>CIF B91938662</t>
        </is>
      </c>
      <c r="F919" s="189" t="inlineStr">
        <is>
          <t>aBalados@abalados.es</t>
        </is>
      </c>
      <c r="G919" s="189" t="inlineStr">
        <is>
          <t>FP LUX REIO PV VALLADOLID, S.L.U.</t>
        </is>
      </c>
      <c r="H919" s="189">
        <f>VLOOKUP($G919,DATOS!$B:$E,2,FALSE)</f>
        <v/>
      </c>
      <c r="I919" s="189">
        <f>VLOOKUP($G919,DATOS!$B:$E,3,FALSE)</f>
        <v/>
      </c>
      <c r="J919" s="189">
        <f>VLOOKUP($G919,DATOS!$B:$E,4,FALSE)</f>
        <v/>
      </c>
      <c r="K919" s="189" t="inlineStr">
        <is>
          <t>O&amp;M Supervision and Management</t>
        </is>
      </c>
      <c r="L919" s="190" t="n"/>
      <c r="N919" s="190" t="n"/>
      <c r="O919" s="189" t="inlineStr">
        <is>
          <t>Puerto Real 1 PV - Cádiz | Spain</t>
        </is>
      </c>
      <c r="P919" s="190" t="n">
        <v>16803.27</v>
      </c>
      <c r="Q919" s="189" t="inlineStr">
        <is>
          <t>O&amp;M Management services provided on May 2023</t>
        </is>
      </c>
      <c r="R919" s="190" t="n"/>
      <c r="T919" s="190" t="n"/>
      <c r="V919" s="190" t="n"/>
      <c r="X919" s="190" t="n"/>
      <c r="Z919" s="190" t="n"/>
      <c r="AA919" s="190" t="n"/>
      <c r="AB919" s="191" t="inlineStr">
        <is>
          <t>ES11 0081 7069 2700 0122 7724</t>
        </is>
      </c>
      <c r="AC919" s="189" t="inlineStr">
        <is>
          <t>pendiente</t>
        </is>
      </c>
      <c r="AD919" s="190">
        <f>L919+N919+P919+R919+T919+V919+X919+Z919</f>
        <v/>
      </c>
      <c r="AE919" s="190">
        <f>IF((LEFT(K919,6))="Contab",L919,0)</f>
        <v/>
      </c>
      <c r="AF919" s="191">
        <f>VLOOKUP(G919,CLIENTES!B:E,4,FALSE)</f>
        <v/>
      </c>
      <c r="AG919" s="190">
        <f>AF919*AE919</f>
        <v/>
      </c>
      <c r="AH919" s="190">
        <f>AD919*1.21</f>
        <v/>
      </c>
      <c r="AI919" s="289">
        <f>IF(AE919&lt;&gt;0,AG919/AD919,"N/A")</f>
        <v/>
      </c>
      <c r="AJ919" s="190">
        <f>IF(AC919="pendiente",AD919,0)</f>
        <v/>
      </c>
      <c r="AK919" s="189">
        <f>VLOOKUP(G919,CLIENTES!B:D,3,FALSE)</f>
        <v/>
      </c>
    </row>
    <row r="920" ht="15" customFormat="1" customHeight="1" s="278">
      <c r="B920" s="279" t="n"/>
      <c r="C920" s="278" t="inlineStr">
        <is>
          <t>c/ Las Cruzadas 3A, local D</t>
        </is>
      </c>
      <c r="D920" s="278" t="inlineStr">
        <is>
          <t>Sevilla 41004</t>
        </is>
      </c>
      <c r="E920" s="278" t="inlineStr">
        <is>
          <t>CIF B91938662</t>
        </is>
      </c>
      <c r="F920" s="278" t="inlineStr">
        <is>
          <t>aBalados@abalados.es</t>
        </is>
      </c>
      <c r="G920" s="278" t="inlineStr">
        <is>
          <t>FP LUX REIO PV VALLADOLID, S.L.U.</t>
        </is>
      </c>
      <c r="H920" s="278">
        <f>VLOOKUP($G920,DATOS!$B:$E,2,FALSE)</f>
        <v/>
      </c>
      <c r="I920" s="278">
        <f>VLOOKUP($G920,DATOS!$B:$E,3,FALSE)</f>
        <v/>
      </c>
      <c r="J920" s="278">
        <f>VLOOKUP($G920,DATOS!$B:$E,4,FALSE)</f>
        <v/>
      </c>
      <c r="K920" s="278" t="inlineStr">
        <is>
          <t>Contabilidad y Fiscalidad de proyecto Valverde - 3º Trimestre</t>
        </is>
      </c>
      <c r="L920" s="280">
        <f>'Tarifa 2025'!$D$5/4</f>
        <v/>
      </c>
      <c r="M920" s="278" t="inlineStr">
        <is>
          <t>SPV Management  Proyecto Valverde - 3º Trimestre</t>
        </is>
      </c>
      <c r="N920" s="280">
        <f>'Tarifa 2025'!$F$5/4</f>
        <v/>
      </c>
      <c r="O920" s="278" t="inlineStr">
        <is>
          <t>O&amp;M Management Proyecto Valverde - 3º Trimestre</t>
        </is>
      </c>
      <c r="P920" s="280">
        <f>'Tarifa 2025'!$H$5/4</f>
        <v/>
      </c>
      <c r="Q920" s="278" t="inlineStr">
        <is>
          <t>Consultoría - 3º Trimestre</t>
        </is>
      </c>
      <c r="R920" s="280" t="n">
        <v>248.8890120829644</v>
      </c>
      <c r="T920" s="280" t="n"/>
      <c r="V920" s="280" t="n"/>
      <c r="X920" s="280" t="n"/>
      <c r="Y920" s="278" t="inlineStr">
        <is>
          <t>Gastos derivados de contrato (3,5%)</t>
        </is>
      </c>
      <c r="Z920" s="280">
        <f>(L920+N920+P920+R920+T920+V920+X920)*0.035</f>
        <v/>
      </c>
      <c r="AA920" s="280" t="n"/>
      <c r="AB920" s="281" t="inlineStr">
        <is>
          <t>ES11 0081 7069 2700 0122 7724</t>
        </is>
      </c>
      <c r="AC920" s="278" t="inlineStr">
        <is>
          <t>pendiente</t>
        </is>
      </c>
      <c r="AD920" s="280">
        <f>L920+N920+P920+R920+T920+V920+X920+Z920</f>
        <v/>
      </c>
      <c r="AE920" s="280">
        <f>IF((LEFT(K920,6))="Contab",L920,0)</f>
        <v/>
      </c>
      <c r="AF920" s="281">
        <f>VLOOKUP(G920,CLIENTES!B:E,4,FALSE)</f>
        <v/>
      </c>
      <c r="AG920" s="280">
        <f>AF920*AE920</f>
        <v/>
      </c>
      <c r="AH920" s="280">
        <f>AD920*1.21</f>
        <v/>
      </c>
      <c r="AI920" s="282">
        <f>IF(AE920&lt;&gt;0,AG920/AD920,"N/A")</f>
        <v/>
      </c>
      <c r="AJ920" s="280">
        <f>IF(AC920="pendiente",AD920,0)</f>
        <v/>
      </c>
      <c r="AK920" s="278">
        <f>VLOOKUP(G920,CLIENTES!B:D,3,FALSE)</f>
        <v/>
      </c>
    </row>
    <row r="921" ht="15" customFormat="1" customHeight="1" s="278">
      <c r="B921" s="279" t="n"/>
      <c r="C921" s="278" t="inlineStr">
        <is>
          <t>c/ Las Cruzadas 3A, local D</t>
        </is>
      </c>
      <c r="D921" s="278" t="inlineStr">
        <is>
          <t>Sevilla 41004</t>
        </is>
      </c>
      <c r="E921" s="278" t="inlineStr">
        <is>
          <t>CIF B91938662</t>
        </is>
      </c>
      <c r="F921" s="278" t="inlineStr">
        <is>
          <t>aBalados@abalados.es</t>
        </is>
      </c>
      <c r="G921" s="278" t="inlineStr">
        <is>
          <t>FP LUX REIO PV VALLADOLID, S.L.U.</t>
        </is>
      </c>
      <c r="H921" s="278">
        <f>VLOOKUP($G921,DATOS!$B:$E,2,FALSE)</f>
        <v/>
      </c>
      <c r="I921" s="278">
        <f>VLOOKUP($G921,DATOS!$B:$E,3,FALSE)</f>
        <v/>
      </c>
      <c r="J921" s="278">
        <f>VLOOKUP($G921,DATOS!$B:$E,4,FALSE)</f>
        <v/>
      </c>
      <c r="K921" s="278" t="inlineStr">
        <is>
          <t>Contabilidad y Fiscalidad de proyecto Castuera - 3º Trimestre</t>
        </is>
      </c>
      <c r="L921" s="280">
        <f>'Tarifa 2025'!$D$6/4</f>
        <v/>
      </c>
      <c r="M921" s="278" t="inlineStr">
        <is>
          <t>SPV Management  Proyecto Castuera - 3º Trimestre</t>
        </is>
      </c>
      <c r="N921" s="280">
        <f>'Tarifa 2025'!$F$6/4</f>
        <v/>
      </c>
      <c r="O921" s="278" t="inlineStr">
        <is>
          <t>O&amp;M Management Proyecto Castuera - 3º Trimestre</t>
        </is>
      </c>
      <c r="P921" s="280">
        <f>'Tarifa 2025'!$H$6/4</f>
        <v/>
      </c>
      <c r="Q921" s="278" t="inlineStr">
        <is>
          <t>Consultoría - 3º Trimestre</t>
        </is>
      </c>
      <c r="R921" s="280" t="n">
        <v>159.2906320256815</v>
      </c>
      <c r="T921" s="280" t="n"/>
      <c r="V921" s="280" t="n"/>
      <c r="X921" s="280" t="n"/>
      <c r="Y921" s="278" t="inlineStr">
        <is>
          <t>Gastos derivados de contrato (3,5%)</t>
        </is>
      </c>
      <c r="Z921" s="280">
        <f>(L921+N921+P921+R921+T921+V921+X921)*0.035</f>
        <v/>
      </c>
      <c r="AA921" s="280" t="n"/>
      <c r="AB921" s="281" t="inlineStr">
        <is>
          <t>ES11 0081 7069 2700 0122 7724</t>
        </is>
      </c>
      <c r="AC921" s="278" t="inlineStr">
        <is>
          <t>pendiente</t>
        </is>
      </c>
      <c r="AD921" s="280">
        <f>L921+N921+P921+R921+T921+V921+X921+Z921</f>
        <v/>
      </c>
      <c r="AE921" s="280">
        <f>IF((LEFT(K921,6))="Contab",L921,0)</f>
        <v/>
      </c>
      <c r="AF921" s="281">
        <f>VLOOKUP(G921,CLIENTES!B:E,4,FALSE)</f>
        <v/>
      </c>
      <c r="AG921" s="280">
        <f>AF921*AE921</f>
        <v/>
      </c>
      <c r="AH921" s="280">
        <f>AD921*1.21</f>
        <v/>
      </c>
      <c r="AI921" s="282">
        <f>IF(AE921&lt;&gt;0,AG921/AD921,"N/A")</f>
        <v/>
      </c>
      <c r="AJ921" s="280">
        <f>IF(AC921="pendiente",AD921,0)</f>
        <v/>
      </c>
      <c r="AK921" s="278">
        <f>VLOOKUP(G921,CLIENTES!B:D,3,FALSE)</f>
        <v/>
      </c>
    </row>
    <row r="922" ht="15" customFormat="1" customHeight="1" s="278">
      <c r="B922" s="279" t="n"/>
      <c r="C922" s="278" t="inlineStr">
        <is>
          <t>c/ Las Cruzadas 3A, local D</t>
        </is>
      </c>
      <c r="D922" s="278" t="inlineStr">
        <is>
          <t>Sevilla 41004</t>
        </is>
      </c>
      <c r="E922" s="278" t="inlineStr">
        <is>
          <t>CIF B91938662</t>
        </is>
      </c>
      <c r="F922" s="278" t="inlineStr">
        <is>
          <t>aBalados@abalados.es</t>
        </is>
      </c>
      <c r="G922" s="278" t="inlineStr">
        <is>
          <t>FP LUX REIO PV VALLADOLID, S.L.U.</t>
        </is>
      </c>
      <c r="H922" s="278">
        <f>VLOOKUP($G922,DATOS!$B:$E,2,FALSE)</f>
        <v/>
      </c>
      <c r="I922" s="278">
        <f>VLOOKUP($G922,DATOS!$B:$E,3,FALSE)</f>
        <v/>
      </c>
      <c r="J922" s="278">
        <f>VLOOKUP($G922,DATOS!$B:$E,4,FALSE)</f>
        <v/>
      </c>
      <c r="K922" s="278" t="inlineStr">
        <is>
          <t>Contabilidad y Fiscalidad de proyecto Paiporta - 3º Trimestre</t>
        </is>
      </c>
      <c r="L922" s="280">
        <f>'Tarifa 2025'!$D$7/4</f>
        <v/>
      </c>
      <c r="M922" s="278" t="inlineStr">
        <is>
          <t>SPV Management  Proyecto Paiporta - 3º Trimestre</t>
        </is>
      </c>
      <c r="N922" s="280">
        <f>'Tarifa 2025'!$F$7/4</f>
        <v/>
      </c>
      <c r="O922" s="278" t="inlineStr">
        <is>
          <t>O&amp;M Management Proyecto Paiporta - 3º Trimestre</t>
        </is>
      </c>
      <c r="P922" s="280">
        <f>'Tarifa 2025'!$H$7/4</f>
        <v/>
      </c>
      <c r="Q922" s="278" t="inlineStr">
        <is>
          <t>Consultoría - 3º Trimestre</t>
        </is>
      </c>
      <c r="R922" s="280" t="n">
        <v>9.956035995485523</v>
      </c>
      <c r="T922" s="280" t="n"/>
      <c r="V922" s="280" t="n"/>
      <c r="X922" s="280" t="n"/>
      <c r="Y922" s="278" t="inlineStr">
        <is>
          <t>Gastos derivados de contrato (3,5%)</t>
        </is>
      </c>
      <c r="Z922" s="280">
        <f>(L922+N922+P922+R922+T922+V922+X922)*0.035</f>
        <v/>
      </c>
      <c r="AA922" s="280" t="n"/>
      <c r="AB922" s="281" t="inlineStr">
        <is>
          <t>ES11 0081 7069 2700 0122 7724</t>
        </is>
      </c>
      <c r="AC922" s="278" t="inlineStr">
        <is>
          <t>pendiente</t>
        </is>
      </c>
      <c r="AD922" s="280">
        <f>L922+N922+P922+R922+T922+V922+X922+Z922</f>
        <v/>
      </c>
      <c r="AE922" s="280">
        <f>IF((LEFT(K922,6))="Contab",L922,0)</f>
        <v/>
      </c>
      <c r="AF922" s="281">
        <f>VLOOKUP(G922,CLIENTES!B:E,4,FALSE)</f>
        <v/>
      </c>
      <c r="AG922" s="280">
        <f>AF922*AE922</f>
        <v/>
      </c>
      <c r="AH922" s="280">
        <f>AD922*1.21</f>
        <v/>
      </c>
      <c r="AI922" s="282">
        <f>IF(AE922&lt;&gt;0,AG922/AD922,"N/A")</f>
        <v/>
      </c>
      <c r="AJ922" s="280">
        <f>IF(AC922="pendiente",AD922,0)</f>
        <v/>
      </c>
      <c r="AK922" s="278">
        <f>VLOOKUP(G922,CLIENTES!B:D,3,FALSE)</f>
        <v/>
      </c>
    </row>
    <row r="923" ht="15" customFormat="1" customHeight="1" s="278">
      <c r="B923" s="279" t="n"/>
      <c r="C923" s="278" t="inlineStr">
        <is>
          <t>c/ Las Cruzadas 3A, local D</t>
        </is>
      </c>
      <c r="D923" s="278" t="inlineStr">
        <is>
          <t>Sevilla 41004</t>
        </is>
      </c>
      <c r="E923" s="278" t="inlineStr">
        <is>
          <t>CIF B91938662</t>
        </is>
      </c>
      <c r="F923" s="278" t="inlineStr">
        <is>
          <t>aBalados@abalados.es</t>
        </is>
      </c>
      <c r="G923" s="278" t="inlineStr">
        <is>
          <t>FP LUX REIO PV VALLADOLID, S.L.U.</t>
        </is>
      </c>
      <c r="H923" s="278">
        <f>VLOOKUP($G923,DATOS!$B:$E,2,FALSE)</f>
        <v/>
      </c>
      <c r="I923" s="278">
        <f>VLOOKUP($G923,DATOS!$B:$E,3,FALSE)</f>
        <v/>
      </c>
      <c r="J923" s="278">
        <f>VLOOKUP($G923,DATOS!$B:$E,4,FALSE)</f>
        <v/>
      </c>
      <c r="K923" s="278" t="inlineStr">
        <is>
          <t>Contabilidad y Fiscalidad de proyecto Bonaire - 3º Trimestre</t>
        </is>
      </c>
      <c r="L923" s="280">
        <f>'Tarifa 2025'!$D$8/4</f>
        <v/>
      </c>
      <c r="M923" s="278" t="inlineStr">
        <is>
          <t>SPV Management  Proyecto Bonaire - 3º Trimestre</t>
        </is>
      </c>
      <c r="N923" s="280">
        <f>'Tarifa 2025'!$F$8/4</f>
        <v/>
      </c>
      <c r="O923" s="278" t="inlineStr">
        <is>
          <t>O&amp;M Management Proyecto Bonaire - 3º Trimestre</t>
        </is>
      </c>
      <c r="P923" s="280">
        <f>'Tarifa 2025'!$H$8/4</f>
        <v/>
      </c>
      <c r="Q923" s="278" t="inlineStr">
        <is>
          <t>Consultoría - 3º Trimestre</t>
        </is>
      </c>
      <c r="R923" s="280" t="n">
        <v>29.86810798645657</v>
      </c>
      <c r="T923" s="280" t="n"/>
      <c r="V923" s="280" t="n"/>
      <c r="X923" s="280" t="n"/>
      <c r="Y923" s="278" t="inlineStr">
        <is>
          <t>Gastos derivados de contrato (3,5%)</t>
        </is>
      </c>
      <c r="Z923" s="280">
        <f>(L923+N923+P923+R923+T923+V923+X923)*0.035</f>
        <v/>
      </c>
      <c r="AA923" s="280" t="n"/>
      <c r="AB923" s="281" t="inlineStr">
        <is>
          <t>ES11 0081 7069 2700 0122 7724</t>
        </is>
      </c>
      <c r="AC923" s="278" t="inlineStr">
        <is>
          <t>pendiente</t>
        </is>
      </c>
      <c r="AD923" s="280">
        <f>L923+N923+P923+R923+T923+V923+X923+Z923</f>
        <v/>
      </c>
      <c r="AE923" s="280">
        <f>IF((LEFT(K923,6))="Contab",L923,0)</f>
        <v/>
      </c>
      <c r="AF923" s="281">
        <f>VLOOKUP(G923,CLIENTES!B:E,4,FALSE)</f>
        <v/>
      </c>
      <c r="AG923" s="280">
        <f>AF923*AE923</f>
        <v/>
      </c>
      <c r="AH923" s="280">
        <f>AD923*1.21</f>
        <v/>
      </c>
      <c r="AI923" s="282">
        <f>IF(AE923&lt;&gt;0,AG923/AD923,"N/A")</f>
        <v/>
      </c>
      <c r="AJ923" s="280">
        <f>IF(AC923="pendiente",AD923,0)</f>
        <v/>
      </c>
      <c r="AK923" s="278">
        <f>VLOOKUP(G923,CLIENTES!B:D,3,FALSE)</f>
        <v/>
      </c>
    </row>
    <row r="924" ht="15" customFormat="1" customHeight="1" s="278">
      <c r="B924" s="279" t="n"/>
      <c r="C924" s="278" t="inlineStr">
        <is>
          <t>c/ Las Cruzadas 3A, local D</t>
        </is>
      </c>
      <c r="D924" s="278" t="inlineStr">
        <is>
          <t>Sevilla 41004</t>
        </is>
      </c>
      <c r="E924" s="278" t="inlineStr">
        <is>
          <t>CIF B91938662</t>
        </is>
      </c>
      <c r="F924" s="278" t="inlineStr">
        <is>
          <t>aBalados@abalados.es</t>
        </is>
      </c>
      <c r="G924" s="278" t="inlineStr">
        <is>
          <t>FP LUX REIO PV VALLADOLID, S.L.U.</t>
        </is>
      </c>
      <c r="H924" s="278">
        <f>VLOOKUP($G924,DATOS!$B:$E,2,FALSE)</f>
        <v/>
      </c>
      <c r="I924" s="278">
        <f>VLOOKUP($G924,DATOS!$B:$E,3,FALSE)</f>
        <v/>
      </c>
      <c r="J924" s="278">
        <f>VLOOKUP($G924,DATOS!$B:$E,4,FALSE)</f>
        <v/>
      </c>
      <c r="K924" s="278" t="inlineStr">
        <is>
          <t>Contabilidad y Fiscalidad de proyecto Coreses - 3º Trimestre</t>
        </is>
      </c>
      <c r="L924" s="280">
        <f>'Tarifa 2025'!$D$9/4</f>
        <v/>
      </c>
      <c r="M924" s="278" t="inlineStr">
        <is>
          <t>SPV Management  Proyecto Coreses - 3º Trimestre</t>
        </is>
      </c>
      <c r="N924" s="280">
        <f>'Tarifa 2025'!$F$9/4</f>
        <v/>
      </c>
      <c r="O924" s="278" t="inlineStr">
        <is>
          <t>O&amp;M Management Proyecto Coreses - 3º Trimestre</t>
        </is>
      </c>
      <c r="P924" s="280">
        <f>'Tarifa 2025'!$H$9/4</f>
        <v/>
      </c>
      <c r="Q924" s="278" t="inlineStr">
        <is>
          <t>Consultoría - 3º Trimestre</t>
        </is>
      </c>
      <c r="R924" s="280">
        <f>'Tarifa 2025'!$J$9/4</f>
        <v/>
      </c>
      <c r="T924" s="280" t="n"/>
      <c r="V924" s="280" t="n"/>
      <c r="X924" s="280" t="n"/>
      <c r="Y924" s="278" t="inlineStr">
        <is>
          <t>Gastos derivados de contrato (3,5%)</t>
        </is>
      </c>
      <c r="Z924" s="280">
        <f>(L924+N924+P924+R924+T924+V924+X924)*0.035</f>
        <v/>
      </c>
      <c r="AA924" s="280" t="n"/>
      <c r="AB924" s="281" t="inlineStr">
        <is>
          <t>ES11 0081 7069 2700 0122 7724</t>
        </is>
      </c>
      <c r="AC924" s="278" t="inlineStr">
        <is>
          <t>pendiente</t>
        </is>
      </c>
      <c r="AD924" s="280">
        <f>L924+N924+P924+R924+T924+V924+X924+Z924</f>
        <v/>
      </c>
      <c r="AE924" s="280">
        <f>IF((LEFT(K924,6))="Contab",L924,0)</f>
        <v/>
      </c>
      <c r="AF924" s="281">
        <f>VLOOKUP(G924,CLIENTES!B:E,4,FALSE)</f>
        <v/>
      </c>
      <c r="AG924" s="280">
        <f>AF924*AE924</f>
        <v/>
      </c>
      <c r="AH924" s="280">
        <f>AD924*1.21</f>
        <v/>
      </c>
      <c r="AI924" s="282">
        <f>IF(AE924&lt;&gt;0,AG924/AD924,"N/A")</f>
        <v/>
      </c>
      <c r="AJ924" s="280">
        <f>IF(AC924="pendiente",AD924,0)</f>
        <v/>
      </c>
      <c r="AK924" s="278">
        <f>VLOOKUP(G924,CLIENTES!B:D,3,FALSE)</f>
        <v/>
      </c>
    </row>
    <row r="925" ht="15" customFormat="1" customHeight="1" s="278">
      <c r="B925" s="279" t="n"/>
      <c r="C925" s="278" t="inlineStr">
        <is>
          <t>c/ Las Cruzadas 3A, local D</t>
        </is>
      </c>
      <c r="D925" s="278" t="inlineStr">
        <is>
          <t>Sevilla 41004</t>
        </is>
      </c>
      <c r="E925" s="278" t="inlineStr">
        <is>
          <t>CIF B91938662</t>
        </is>
      </c>
      <c r="F925" s="278" t="inlineStr">
        <is>
          <t>aBalados@abalados.es</t>
        </is>
      </c>
      <c r="G925" s="278" t="inlineStr">
        <is>
          <t>FP LUX REIO PV VALLADOLID, S.L.U.</t>
        </is>
      </c>
      <c r="H925" s="278">
        <f>VLOOKUP($G925,DATOS!$B:$E,2,FALSE)</f>
        <v/>
      </c>
      <c r="I925" s="278">
        <f>VLOOKUP($G925,DATOS!$B:$E,3,FALSE)</f>
        <v/>
      </c>
      <c r="J925" s="278">
        <f>VLOOKUP($G925,DATOS!$B:$E,4,FALSE)</f>
        <v/>
      </c>
      <c r="K925" s="278" t="inlineStr">
        <is>
          <t>Contabilidad y Fiscalidad de proyecto Algarrobo I - 3º Trimestre</t>
        </is>
      </c>
      <c r="L925" s="280">
        <f>'Tarifa 2025'!$D$12*1.89/5.49/4</f>
        <v/>
      </c>
      <c r="M925" s="278" t="inlineStr">
        <is>
          <t>SPV Management  Proyecto Algarrobo I -  3º Trimestre</t>
        </is>
      </c>
      <c r="N925" s="280">
        <f>'Tarifa 2025'!$F$12*1.89/5.49/4</f>
        <v/>
      </c>
      <c r="O925" s="278" t="inlineStr">
        <is>
          <t>O&amp;M Management Proyecto Algarrobo I - 3º Trimestre</t>
        </is>
      </c>
      <c r="P925" s="280">
        <f>'Tarifa 2025'!$H$12*1.89/5.49/4</f>
        <v/>
      </c>
      <c r="Q925" s="278" t="inlineStr">
        <is>
          <t>Consultoría - 3º Trimestre</t>
        </is>
      </c>
      <c r="R925" s="280">
        <f>'Tarifas 2016'!$K$12*3*(1.89/(1.89+1.89+1.71))</f>
        <v/>
      </c>
      <c r="T925" s="280" t="n"/>
      <c r="V925" s="280" t="n"/>
      <c r="X925" s="280" t="n"/>
      <c r="Y925" s="278" t="inlineStr">
        <is>
          <t>Gastos derivados de contrato (3,5%)</t>
        </is>
      </c>
      <c r="Z925" s="280">
        <f>(L925+N925+P925+R925+T925+V925+X925)*0.035</f>
        <v/>
      </c>
      <c r="AA925" s="280" t="n"/>
      <c r="AB925" s="281" t="inlineStr">
        <is>
          <t>ES11 0081 7069 2700 0122 7724</t>
        </is>
      </c>
      <c r="AC925" s="278" t="inlineStr">
        <is>
          <t>pendiente</t>
        </is>
      </c>
      <c r="AD925" s="280">
        <f>L925+N925+P925+R925+T925+V925+X925+Z925</f>
        <v/>
      </c>
      <c r="AE925" s="280">
        <f>IF((LEFT(K925,6))="Contab",L925,0)</f>
        <v/>
      </c>
      <c r="AF925" s="281">
        <f>VLOOKUP(G925,CLIENTES!B:E,4,FALSE)</f>
        <v/>
      </c>
      <c r="AG925" s="280">
        <f>AF925*AE925</f>
        <v/>
      </c>
      <c r="AH925" s="280">
        <f>AD925*1.21</f>
        <v/>
      </c>
      <c r="AI925" s="282">
        <f>IF(AE925&lt;&gt;0,AG925/AD925,"N/A")</f>
        <v/>
      </c>
      <c r="AJ925" s="280">
        <f>IF(AC925="pendiente",AD925,0)</f>
        <v/>
      </c>
      <c r="AK925" s="278">
        <f>VLOOKUP(G925,CLIENTES!B:D,3,FALSE)</f>
        <v/>
      </c>
    </row>
    <row r="926" ht="15" customFormat="1" customHeight="1" s="278">
      <c r="B926" s="279" t="n"/>
      <c r="C926" s="278" t="inlineStr">
        <is>
          <t>c/ Las Cruzadas 3A, local D</t>
        </is>
      </c>
      <c r="D926" s="278" t="inlineStr">
        <is>
          <t>Sevilla 41004</t>
        </is>
      </c>
      <c r="E926" s="278" t="inlineStr">
        <is>
          <t>CIF B91938662</t>
        </is>
      </c>
      <c r="F926" s="278" t="inlineStr">
        <is>
          <t>aBalados@abalados.es</t>
        </is>
      </c>
      <c r="G926" s="278" t="inlineStr">
        <is>
          <t>FP LUX REIO PV VALLADOLID, S.L.U.</t>
        </is>
      </c>
      <c r="H926" s="278">
        <f>VLOOKUP($G926,DATOS!$B:$E,2,FALSE)</f>
        <v/>
      </c>
      <c r="I926" s="278">
        <f>VLOOKUP($G926,DATOS!$B:$E,3,FALSE)</f>
        <v/>
      </c>
      <c r="J926" s="278">
        <f>VLOOKUP($G926,DATOS!$B:$E,4,FALSE)</f>
        <v/>
      </c>
      <c r="K926" s="278" t="inlineStr">
        <is>
          <t>Contabilidad y Fiscalidad de proyecto Algarrobo II - 3º Trimestre</t>
        </is>
      </c>
      <c r="L926" s="280">
        <f>'Tarifa 2025'!$D$12*1.89/5.49/4</f>
        <v/>
      </c>
      <c r="M926" s="278" t="inlineStr">
        <is>
          <t>SPV Management  Proyecto Algarrobo II -  3º Trimestre</t>
        </is>
      </c>
      <c r="N926" s="280">
        <f>'Tarifa 2025'!$F$12*1.89/5.49/4</f>
        <v/>
      </c>
      <c r="O926" s="278" t="inlineStr">
        <is>
          <t>O&amp;M Management Proyecto Algarrobo II - 3º Trimestre</t>
        </is>
      </c>
      <c r="P926" s="280">
        <f>'Tarifa 2025'!$H$12*1.89/5.49/4</f>
        <v/>
      </c>
      <c r="Q926" s="278" t="inlineStr">
        <is>
          <t>Consultoría - 3º Trimestre</t>
        </is>
      </c>
      <c r="R926" s="280">
        <f>'Tarifas 2016'!$K$12*3*(1.89/(1.89+1.89+1.71))</f>
        <v/>
      </c>
      <c r="T926" s="280" t="n"/>
      <c r="V926" s="280" t="n"/>
      <c r="X926" s="280" t="n"/>
      <c r="Y926" s="278" t="inlineStr">
        <is>
          <t>Gastos derivados de contrato (3,5%)</t>
        </is>
      </c>
      <c r="Z926" s="280">
        <f>(L926+N926+P926+R926+T926+V926+X926)*0.035</f>
        <v/>
      </c>
      <c r="AA926" s="280" t="n"/>
      <c r="AB926" s="281" t="inlineStr">
        <is>
          <t>ES11 0081 7069 2700 0122 7724</t>
        </is>
      </c>
      <c r="AC926" s="278" t="inlineStr">
        <is>
          <t>pendiente</t>
        </is>
      </c>
      <c r="AD926" s="280">
        <f>L926+N926+P926+R926+T926+V926+X926+Z926</f>
        <v/>
      </c>
      <c r="AE926" s="280">
        <f>IF((LEFT(K926,6))="Contab",L926,0)</f>
        <v/>
      </c>
      <c r="AF926" s="281">
        <f>VLOOKUP(G926,CLIENTES!B:E,4,FALSE)</f>
        <v/>
      </c>
      <c r="AG926" s="280">
        <f>AF926*AE926</f>
        <v/>
      </c>
      <c r="AH926" s="280">
        <f>AD926*1.21</f>
        <v/>
      </c>
      <c r="AI926" s="282">
        <f>IF(AE926&lt;&gt;0,AG926/AD926,"N/A")</f>
        <v/>
      </c>
      <c r="AJ926" s="280">
        <f>IF(AC926="pendiente",AD926,0)</f>
        <v/>
      </c>
      <c r="AK926" s="278">
        <f>VLOOKUP(G926,CLIENTES!B:D,3,FALSE)</f>
        <v/>
      </c>
    </row>
    <row r="927" ht="15" customFormat="1" customHeight="1" s="278">
      <c r="B927" s="279" t="n"/>
      <c r="C927" s="278" t="inlineStr">
        <is>
          <t>c/ Las Cruzadas 3A, local D</t>
        </is>
      </c>
      <c r="D927" s="278" t="inlineStr">
        <is>
          <t>Sevilla 41004</t>
        </is>
      </c>
      <c r="E927" s="278" t="inlineStr">
        <is>
          <t>CIF B91938662</t>
        </is>
      </c>
      <c r="F927" s="278" t="inlineStr">
        <is>
          <t>aBalados@abalados.es</t>
        </is>
      </c>
      <c r="G927" s="278" t="inlineStr">
        <is>
          <t>FP LUX REIO PV VALLADOLID, S.L.U.</t>
        </is>
      </c>
      <c r="H927" s="278">
        <f>VLOOKUP($G927,DATOS!$B:$E,2,FALSE)</f>
        <v/>
      </c>
      <c r="I927" s="278">
        <f>VLOOKUP($G927,DATOS!$B:$E,3,FALSE)</f>
        <v/>
      </c>
      <c r="J927" s="278">
        <f>VLOOKUP($G927,DATOS!$B:$E,4,FALSE)</f>
        <v/>
      </c>
      <c r="K927" s="278" t="inlineStr">
        <is>
          <t>Contabilidad y Fiscalidad de proyecto Algarrobo III - 3º Trimestre</t>
        </is>
      </c>
      <c r="L927" s="280">
        <f>'Tarifa 2025'!$D$12*1.71/5.49/4</f>
        <v/>
      </c>
      <c r="M927" s="278" t="inlineStr">
        <is>
          <t>SPV Management  Proyecto Algarrobo III -  3º Trimestre</t>
        </is>
      </c>
      <c r="N927" s="280">
        <f>'Tarifa 2025'!$F$12*1.71/5.49/4</f>
        <v/>
      </c>
      <c r="O927" s="278" t="inlineStr">
        <is>
          <t>O&amp;M Management Proyecto Algarrobo III - 3º Trimestre</t>
        </is>
      </c>
      <c r="P927" s="280">
        <f>'Tarifa 2025'!$H$12*1.71/5.49/4</f>
        <v/>
      </c>
      <c r="Q927" s="278" t="inlineStr">
        <is>
          <t>Consultoría - 3º Trimestre</t>
        </is>
      </c>
      <c r="R927" s="280">
        <f>'Tarifas 2016'!$K$12*3*(1.71/(1.89+1.89+1.71))</f>
        <v/>
      </c>
      <c r="T927" s="280" t="n"/>
      <c r="V927" s="280" t="n"/>
      <c r="X927" s="280" t="n"/>
      <c r="Y927" s="278" t="inlineStr">
        <is>
          <t>Gastos derivados de contrato (3,5%)</t>
        </is>
      </c>
      <c r="Z927" s="280">
        <f>(L927+N927+P927+R927+T927+V927+X927)*0.035</f>
        <v/>
      </c>
      <c r="AA927" s="280" t="n"/>
      <c r="AB927" s="281" t="inlineStr">
        <is>
          <t>ES11 0081 7069 2700 0122 7724</t>
        </is>
      </c>
      <c r="AC927" s="278" t="inlineStr">
        <is>
          <t>pendiente</t>
        </is>
      </c>
      <c r="AD927" s="280">
        <f>L927+N927+P927+R927+T927+V927+X927+Z927</f>
        <v/>
      </c>
      <c r="AE927" s="280">
        <f>IF((LEFT(K927,6))="Contab",L927,0)</f>
        <v/>
      </c>
      <c r="AF927" s="281">
        <f>VLOOKUP(G927,CLIENTES!B:E,4,FALSE)</f>
        <v/>
      </c>
      <c r="AG927" s="280">
        <f>AF927*AE927</f>
        <v/>
      </c>
      <c r="AH927" s="280">
        <f>AD927*1.21</f>
        <v/>
      </c>
      <c r="AI927" s="282">
        <f>IF(AE927&lt;&gt;0,AG927/AD927,"N/A")</f>
        <v/>
      </c>
      <c r="AJ927" s="280">
        <f>IF(AC927="pendiente",AD927,0)</f>
        <v/>
      </c>
      <c r="AK927" s="278">
        <f>VLOOKUP(G927,CLIENTES!B:D,3,FALSE)</f>
        <v/>
      </c>
    </row>
    <row r="928" ht="15" customFormat="1" customHeight="1" s="278">
      <c r="B928" s="279" t="n"/>
      <c r="C928" s="278" t="inlineStr">
        <is>
          <t>c/ Las Cruzadas 3A, local D</t>
        </is>
      </c>
      <c r="D928" s="278" t="inlineStr">
        <is>
          <t>Sevilla 41004</t>
        </is>
      </c>
      <c r="E928" s="278" t="inlineStr">
        <is>
          <t>CIF B91938662</t>
        </is>
      </c>
      <c r="F928" s="278" t="inlineStr">
        <is>
          <t>aBalados@abalados.es</t>
        </is>
      </c>
      <c r="G928" s="278" t="inlineStr">
        <is>
          <t>FP LUX REIO PV VALLADOLID, S.L.U.</t>
        </is>
      </c>
      <c r="H928" s="278">
        <f>VLOOKUP($G928,DATOS!$B:$E,2,FALSE)</f>
        <v/>
      </c>
      <c r="I928" s="278">
        <f>VLOOKUP($G928,DATOS!$B:$E,3,FALSE)</f>
        <v/>
      </c>
      <c r="J928" s="278">
        <f>VLOOKUP($G928,DATOS!$B:$E,4,FALSE)</f>
        <v/>
      </c>
      <c r="K928" s="278" t="inlineStr">
        <is>
          <t>Contabilidad y Fiscalidad de proyecto Sollana - 3º Trimestre</t>
        </is>
      </c>
      <c r="L928" s="280">
        <f>'Tarifa 2025'!$D$13/4</f>
        <v/>
      </c>
      <c r="M928" s="278" t="inlineStr">
        <is>
          <t>SPV Management  Proyecto Sollana - 3º Trimestre</t>
        </is>
      </c>
      <c r="N928" s="280">
        <f>'Tarifa 2025'!$F$13/4</f>
        <v/>
      </c>
      <c r="O928" s="278" t="inlineStr">
        <is>
          <t>O&amp;M Management Proyecto Sollana - 3º Trimestre</t>
        </is>
      </c>
      <c r="P928" s="280">
        <f>'Tarifa 2025'!$H$13/4</f>
        <v/>
      </c>
      <c r="Q928" s="278" t="inlineStr">
        <is>
          <t>Consultoría - 3º Trimestre</t>
        </is>
      </c>
      <c r="R928" s="280">
        <f>'Tarifa 2025'!$J$13/4</f>
        <v/>
      </c>
      <c r="T928" s="280" t="n"/>
      <c r="V928" s="280" t="n"/>
      <c r="X928" s="280" t="n"/>
      <c r="Y928" s="278" t="inlineStr">
        <is>
          <t>Gastos derivados de contrato (3,5%)</t>
        </is>
      </c>
      <c r="Z928" s="280">
        <f>(L928+N928+P928+R928+T928+V928+X928)*0.035</f>
        <v/>
      </c>
      <c r="AA928" s="280" t="n"/>
      <c r="AB928" s="281" t="inlineStr">
        <is>
          <t>ES11 0081 7069 2700 0122 7724</t>
        </is>
      </c>
      <c r="AC928" s="278" t="inlineStr">
        <is>
          <t>pendiente</t>
        </is>
      </c>
      <c r="AD928" s="280">
        <f>L928+N928+P928+R928+T928+V928+X928+Z928</f>
        <v/>
      </c>
      <c r="AE928" s="280">
        <f>IF((LEFT(K928,6))="Contab",L928,0)</f>
        <v/>
      </c>
      <c r="AF928" s="281">
        <f>VLOOKUP(G928,CLIENTES!B:E,4,FALSE)</f>
        <v/>
      </c>
      <c r="AG928" s="280">
        <f>AF928*AE928</f>
        <v/>
      </c>
      <c r="AH928" s="280">
        <f>AD928*1.21</f>
        <v/>
      </c>
      <c r="AI928" s="282">
        <f>IF(AE928&lt;&gt;0,AG928/AD928,"N/A")</f>
        <v/>
      </c>
      <c r="AJ928" s="280">
        <f>IF(AC928="pendiente",AD928,0)</f>
        <v/>
      </c>
      <c r="AK928" s="278">
        <f>VLOOKUP(G928,CLIENTES!B:D,3,FALSE)</f>
        <v/>
      </c>
    </row>
    <row r="929" ht="15" customFormat="1" customHeight="1" s="278">
      <c r="B929" s="279" t="n"/>
      <c r="C929" s="278" t="inlineStr">
        <is>
          <t>c/ Las Cruzadas 3A, local D</t>
        </is>
      </c>
      <c r="D929" s="278" t="inlineStr">
        <is>
          <t>Sevilla 41004</t>
        </is>
      </c>
      <c r="E929" s="278" t="inlineStr">
        <is>
          <t>CIF B91938662</t>
        </is>
      </c>
      <c r="F929" s="278" t="inlineStr">
        <is>
          <t>aBalados@abalados.es</t>
        </is>
      </c>
      <c r="G929" s="278" t="inlineStr">
        <is>
          <t>FP LUX REIO PV VALLADOLID, S.L.U.</t>
        </is>
      </c>
      <c r="H929" s="278">
        <f>VLOOKUP($G929,DATOS!$B:$E,2,FALSE)</f>
        <v/>
      </c>
      <c r="I929" s="278">
        <f>VLOOKUP($G929,DATOS!$B:$E,3,FALSE)</f>
        <v/>
      </c>
      <c r="J929" s="278">
        <f>VLOOKUP($G929,DATOS!$B:$E,4,FALSE)</f>
        <v/>
      </c>
      <c r="K929" s="278" t="inlineStr">
        <is>
          <t>Contabilidad y Fiscalidad de proyecto Artà - 3º Trimestre</t>
        </is>
      </c>
      <c r="L929" s="280">
        <f>'Tarifa 2025'!$D$14/4</f>
        <v/>
      </c>
      <c r="M929" s="278" t="inlineStr">
        <is>
          <t>SPV Management  Proyecto Artà - 3º Trimestre</t>
        </is>
      </c>
      <c r="N929" s="280">
        <f>'Tarifa 2025'!$F$14/4</f>
        <v/>
      </c>
      <c r="O929" s="278" t="inlineStr">
        <is>
          <t>O&amp;M Management Proyecto Artà - 3º Trimestre</t>
        </is>
      </c>
      <c r="P929" s="280">
        <f>'Tarifa 2025'!$H$14/4</f>
        <v/>
      </c>
      <c r="Q929" s="278" t="inlineStr">
        <is>
          <t>Consultoría - 3º Trimestre</t>
        </is>
      </c>
      <c r="R929" s="280">
        <f>'Tarifa 2025'!$J$14/4</f>
        <v/>
      </c>
      <c r="T929" s="280" t="n"/>
      <c r="V929" s="280" t="n"/>
      <c r="X929" s="280" t="n"/>
      <c r="Y929" s="278" t="inlineStr">
        <is>
          <t>Gastos derivados de contrato (3,5%)</t>
        </is>
      </c>
      <c r="Z929" s="280">
        <f>(L929+N929+P929+R929+T929+V929+X929)*0.035</f>
        <v/>
      </c>
      <c r="AA929" s="280" t="n"/>
      <c r="AB929" s="281" t="inlineStr">
        <is>
          <t>ES11 0081 7069 2700 0122 7724</t>
        </is>
      </c>
      <c r="AC929" s="278" t="inlineStr">
        <is>
          <t>pendiente</t>
        </is>
      </c>
      <c r="AD929" s="280">
        <f>L929+N929+P929+R929+T929+V929+X929+Z929</f>
        <v/>
      </c>
      <c r="AE929" s="280">
        <f>IF((LEFT(K929,6))="Contab",L929,0)</f>
        <v/>
      </c>
      <c r="AF929" s="281">
        <f>VLOOKUP(G929,CLIENTES!B:E,4,FALSE)</f>
        <v/>
      </c>
      <c r="AG929" s="280">
        <f>AF929*AE929</f>
        <v/>
      </c>
      <c r="AH929" s="280">
        <f>AD929*1.21</f>
        <v/>
      </c>
      <c r="AI929" s="282">
        <f>IF(AE929&lt;&gt;0,AG929/AD929,"N/A")</f>
        <v/>
      </c>
      <c r="AJ929" s="280">
        <f>IF(AC929="pendiente",AD929,0)</f>
        <v/>
      </c>
      <c r="AK929" s="278">
        <f>VLOOKUP(G929,CLIENTES!B:D,3,FALSE)</f>
        <v/>
      </c>
    </row>
    <row r="930" ht="15" customFormat="1" customHeight="1" s="278">
      <c r="B930" s="279" t="n"/>
      <c r="C930" s="278" t="inlineStr">
        <is>
          <t>c/ Las Cruzadas 3A, local D</t>
        </is>
      </c>
      <c r="D930" s="278" t="inlineStr">
        <is>
          <t>Sevilla 41004</t>
        </is>
      </c>
      <c r="E930" s="278" t="inlineStr">
        <is>
          <t>CIF B91938662</t>
        </is>
      </c>
      <c r="F930" s="278" t="inlineStr">
        <is>
          <t>aBalados@abalados.es</t>
        </is>
      </c>
      <c r="G930" s="278" t="inlineStr">
        <is>
          <t>FP LUX REIO PV VALLADOLID, S.L.U.</t>
        </is>
      </c>
      <c r="H930" s="278">
        <f>VLOOKUP($G930,DATOS!$B:$E,2,FALSE)</f>
        <v/>
      </c>
      <c r="I930" s="278">
        <f>VLOOKUP($G930,DATOS!$B:$E,3,FALSE)</f>
        <v/>
      </c>
      <c r="J930" s="278">
        <f>VLOOKUP($G930,DATOS!$B:$E,4,FALSE)</f>
        <v/>
      </c>
      <c r="K930" s="278" t="inlineStr">
        <is>
          <t>Contabilidad y Fiscalidad de proyecto Contreras- 2º Trimestre</t>
        </is>
      </c>
      <c r="L930" s="280">
        <f>'Tarifa 2025'!$D$15/4</f>
        <v/>
      </c>
      <c r="M930" s="278" t="inlineStr">
        <is>
          <t>SPV Management  Proyecto Contreras - 3º Trimestre</t>
        </is>
      </c>
      <c r="N930" s="280">
        <f>'Tarifa 2025'!$F$15/4</f>
        <v/>
      </c>
      <c r="O930" s="278" t="inlineStr">
        <is>
          <t>O&amp;M Management Proyecto Contreras - 3º Trimestre</t>
        </is>
      </c>
      <c r="P930" s="280">
        <f>'Tarifa 2025'!$H$15/4</f>
        <v/>
      </c>
      <c r="Q930" s="278" t="inlineStr">
        <is>
          <t>Consultoría - 3º Trimestre</t>
        </is>
      </c>
      <c r="R930" s="280">
        <f>'Tarifa 2025'!$J$15/4</f>
        <v/>
      </c>
      <c r="T930" s="280" t="n"/>
      <c r="V930" s="280" t="n"/>
      <c r="X930" s="280" t="n"/>
      <c r="Y930" s="278" t="inlineStr">
        <is>
          <t>Gastos derivados de contrato (3,5%)</t>
        </is>
      </c>
      <c r="Z930" s="280">
        <f>(L930+N930+P930+R930+T930+V930+X930)*0.035</f>
        <v/>
      </c>
      <c r="AA930" s="280" t="n"/>
      <c r="AB930" s="281" t="inlineStr">
        <is>
          <t>ES11 0081 7069 2700 0122 7724</t>
        </is>
      </c>
      <c r="AC930" s="278" t="inlineStr">
        <is>
          <t>pendiente</t>
        </is>
      </c>
      <c r="AD930" s="280">
        <f>L930+N930+P930+R930+T930+V930+X930+Z930</f>
        <v/>
      </c>
      <c r="AE930" s="280">
        <f>IF((LEFT(K930,6))="Contab",L930,0)</f>
        <v/>
      </c>
      <c r="AF930" s="281">
        <f>VLOOKUP(G930,CLIENTES!B:E,4,FALSE)</f>
        <v/>
      </c>
      <c r="AG930" s="280">
        <f>AF930*AE930</f>
        <v/>
      </c>
      <c r="AH930" s="280">
        <f>AD930*1.21</f>
        <v/>
      </c>
      <c r="AI930" s="282">
        <f>IF(AE930&lt;&gt;0,AG930/AD930,"N/A")</f>
        <v/>
      </c>
      <c r="AJ930" s="280">
        <f>IF(AC930="pendiente",AD930,0)</f>
        <v/>
      </c>
      <c r="AK930" s="278">
        <f>VLOOKUP(G930,CLIENTES!B:D,3,FALSE)</f>
        <v/>
      </c>
    </row>
    <row r="931" ht="15" customFormat="1" customHeight="1" s="278">
      <c r="B931" s="279" t="n"/>
      <c r="C931" s="278" t="inlineStr">
        <is>
          <t>c/ Las Cruzadas 3A, local D</t>
        </is>
      </c>
      <c r="D931" s="278" t="inlineStr">
        <is>
          <t>Sevilla 41004</t>
        </is>
      </c>
      <c r="E931" s="278" t="inlineStr">
        <is>
          <t>CIF B91938662</t>
        </is>
      </c>
      <c r="F931" s="278" t="inlineStr">
        <is>
          <t>aBalados@abalados.es</t>
        </is>
      </c>
      <c r="G931" s="278" t="inlineStr">
        <is>
          <t>FP LUX REIO PV VALLADOLID, S.L.U.</t>
        </is>
      </c>
      <c r="H931" s="278">
        <f>VLOOKUP($G931,DATOS!$B:$E,2,FALSE)</f>
        <v/>
      </c>
      <c r="I931" s="278">
        <f>VLOOKUP($G931,DATOS!$B:$E,3,FALSE)</f>
        <v/>
      </c>
      <c r="J931" s="278">
        <f>VLOOKUP($G931,DATOS!$B:$E,4,FALSE)</f>
        <v/>
      </c>
      <c r="K931" s="278" t="inlineStr">
        <is>
          <t>Contabilidad y Fiscalidad de proyecto Lo Illán - 2º Trimestre</t>
        </is>
      </c>
      <c r="L931" s="280">
        <f>'Tarifa 2025'!$D$16/4</f>
        <v/>
      </c>
      <c r="M931" s="278" t="inlineStr">
        <is>
          <t>SPV Management  Proyecto Lo Illán - 3º Trimestre</t>
        </is>
      </c>
      <c r="N931" s="280">
        <f>'Tarifa 2025'!$F$16/4</f>
        <v/>
      </c>
      <c r="O931" s="278" t="inlineStr">
        <is>
          <t>O&amp;M Management Proyecto Lo Illán - 3º Trimestre</t>
        </is>
      </c>
      <c r="P931" s="280">
        <f>'Tarifa 2025'!$H$16/4</f>
        <v/>
      </c>
      <c r="Q931" s="278" t="inlineStr">
        <is>
          <t>Consultoría - 3º Trimestre</t>
        </is>
      </c>
      <c r="R931" s="280">
        <f>'Tarifa 2025'!$J$16/4</f>
        <v/>
      </c>
      <c r="T931" s="280" t="n"/>
      <c r="V931" s="280" t="n"/>
      <c r="X931" s="280" t="n"/>
      <c r="Y931" s="278" t="inlineStr">
        <is>
          <t>Gastos derivados de contrato (3,5%)</t>
        </is>
      </c>
      <c r="Z931" s="280">
        <f>(L931+N931+P931+R931+T931+V931+X931)*0.035</f>
        <v/>
      </c>
      <c r="AA931" s="280" t="n"/>
      <c r="AB931" s="281" t="inlineStr">
        <is>
          <t>ES11 0081 7069 2700 0122 7724</t>
        </is>
      </c>
      <c r="AC931" s="278" t="inlineStr">
        <is>
          <t>pendiente</t>
        </is>
      </c>
      <c r="AD931" s="280">
        <f>L931+N931+P931+R931+T931+V931+X931+Z931</f>
        <v/>
      </c>
      <c r="AE931" s="280">
        <f>IF((LEFT(K931,6))="Contab",L931,0)</f>
        <v/>
      </c>
      <c r="AF931" s="281">
        <f>VLOOKUP(G931,CLIENTES!B:E,4,FALSE)</f>
        <v/>
      </c>
      <c r="AG931" s="280">
        <f>AF931*AE931</f>
        <v/>
      </c>
      <c r="AH931" s="280">
        <f>AD931*1.21</f>
        <v/>
      </c>
      <c r="AI931" s="282">
        <f>IF(AE931&lt;&gt;0,AG931/AD931,"N/A")</f>
        <v/>
      </c>
      <c r="AJ931" s="280">
        <f>IF(AC931="pendiente",AD931,0)</f>
        <v/>
      </c>
      <c r="AK931" s="278">
        <f>VLOOKUP(G931,CLIENTES!B:D,3,FALSE)</f>
        <v/>
      </c>
    </row>
    <row r="932" ht="15" customFormat="1" customHeight="1" s="278">
      <c r="B932" s="279" t="n"/>
      <c r="C932" s="278" t="inlineStr">
        <is>
          <t>c/ Las Cruzadas 3A, local D</t>
        </is>
      </c>
      <c r="D932" s="278" t="inlineStr">
        <is>
          <t>Sevilla 41004</t>
        </is>
      </c>
      <c r="E932" s="278" t="inlineStr">
        <is>
          <t>CIF B91938662</t>
        </is>
      </c>
      <c r="F932" s="278" t="inlineStr">
        <is>
          <t>aBalados@abalados.es</t>
        </is>
      </c>
      <c r="G932" s="278" t="inlineStr">
        <is>
          <t>FP LUX REIO PV VALLADOLID, S.L.U.</t>
        </is>
      </c>
      <c r="H932" s="278">
        <f>VLOOKUP($G932,DATOS!$B:$E,2,FALSE)</f>
        <v/>
      </c>
      <c r="I932" s="278">
        <f>VLOOKUP($G932,DATOS!$B:$E,3,FALSE)</f>
        <v/>
      </c>
      <c r="J932" s="278">
        <f>VLOOKUP($G932,DATOS!$B:$E,4,FALSE)</f>
        <v/>
      </c>
      <c r="K932" s="278" t="inlineStr">
        <is>
          <t>Contabilidad y Fiscalidad de proyecto Turbinto - 2º Trimestre</t>
        </is>
      </c>
      <c r="L932" s="280">
        <f>'Tarifa 2025'!$D$17/4</f>
        <v/>
      </c>
      <c r="M932" s="278" t="inlineStr">
        <is>
          <t>SPV Management  Proyecto Turbinto - 3º Trimestre</t>
        </is>
      </c>
      <c r="N932" s="280">
        <f>'Tarifa 2025'!$F$17/4</f>
        <v/>
      </c>
      <c r="O932" s="278" t="inlineStr">
        <is>
          <t>O&amp;M Management Proyecto Turbinto - 3º Trimestre</t>
        </is>
      </c>
      <c r="P932" s="280">
        <f>'Tarifa 2025'!$H$17/4</f>
        <v/>
      </c>
      <c r="Q932" s="278" t="inlineStr">
        <is>
          <t>Consultoría - 3º Trimestre</t>
        </is>
      </c>
      <c r="R932" s="280">
        <f>'Tarifa 2025'!$J$17/4</f>
        <v/>
      </c>
      <c r="T932" s="280" t="n"/>
      <c r="V932" s="280" t="n"/>
      <c r="X932" s="280" t="n"/>
      <c r="Y932" s="278" t="inlineStr">
        <is>
          <t>Gastos derivados de contrato (3,5%)</t>
        </is>
      </c>
      <c r="Z932" s="280">
        <f>(L932+N932+P932+R932+T932+V932+X932)*0.035</f>
        <v/>
      </c>
      <c r="AA932" s="280" t="n"/>
      <c r="AB932" s="281" t="inlineStr">
        <is>
          <t>ES11 0081 7069 2700 0122 7724</t>
        </is>
      </c>
      <c r="AC932" s="278" t="inlineStr">
        <is>
          <t>pendiente</t>
        </is>
      </c>
      <c r="AD932" s="280">
        <f>L932+N932+P932+R932+T932+V932+X932+Z932</f>
        <v/>
      </c>
      <c r="AE932" s="280">
        <f>IF((LEFT(K932,6))="Contab",L932,0)</f>
        <v/>
      </c>
      <c r="AF932" s="281">
        <f>VLOOKUP(G932,CLIENTES!B:E,4,FALSE)</f>
        <v/>
      </c>
      <c r="AG932" s="280">
        <f>AF932*AE932</f>
        <v/>
      </c>
      <c r="AH932" s="280">
        <f>AD932*1.21</f>
        <v/>
      </c>
      <c r="AI932" s="282">
        <f>IF(AE932&lt;&gt;0,AG932/AD932,"N/A")</f>
        <v/>
      </c>
      <c r="AJ932" s="280">
        <f>IF(AC932="pendiente",AD932,0)</f>
        <v/>
      </c>
      <c r="AK932" s="278">
        <f>VLOOKUP(G932,CLIENTES!B:D,3,FALSE)</f>
        <v/>
      </c>
    </row>
    <row r="933" ht="15" customFormat="1" customHeight="1" s="278">
      <c r="B933" s="279" t="n"/>
      <c r="C933" s="278" t="inlineStr">
        <is>
          <t>c/ Las Cruzadas 3A, local D</t>
        </is>
      </c>
      <c r="D933" s="278" t="inlineStr">
        <is>
          <t>Sevilla 41004</t>
        </is>
      </c>
      <c r="E933" s="278" t="inlineStr">
        <is>
          <t>CIF B91938662</t>
        </is>
      </c>
      <c r="F933" s="278" t="inlineStr">
        <is>
          <t>aBalados@abalados.es</t>
        </is>
      </c>
      <c r="G933" s="278" t="inlineStr">
        <is>
          <t>FP LUX REIO PV VALLADOLID, S.L.U.</t>
        </is>
      </c>
      <c r="H933" s="278">
        <f>VLOOKUP($G933,DATOS!$B:$E,2,FALSE)</f>
        <v/>
      </c>
      <c r="I933" s="278">
        <f>VLOOKUP($G933,DATOS!$B:$E,3,FALSE)</f>
        <v/>
      </c>
      <c r="J933" s="278">
        <f>VLOOKUP($G933,DATOS!$B:$E,4,FALSE)</f>
        <v/>
      </c>
      <c r="K933" s="278" t="inlineStr">
        <is>
          <t>Contabilidad y Fiscalidad de proyecto - 3º Trimestre</t>
        </is>
      </c>
      <c r="L933" s="280">
        <f>'Tarifa 2025'!$D$18/4/6</f>
        <v/>
      </c>
      <c r="M933" s="278" t="inlineStr">
        <is>
          <t>SPV Management de Proyecto - 3º Trimestre</t>
        </is>
      </c>
      <c r="N933" s="280">
        <f>'Tarifa 2025'!$F$18/6/4</f>
        <v/>
      </c>
      <c r="O933" s="278" t="inlineStr">
        <is>
          <t>O&amp;M Management de Proyecto - 3º Trimestre</t>
        </is>
      </c>
      <c r="P933" s="280">
        <f>'Tarifa 2025'!$H$18/6/4</f>
        <v/>
      </c>
      <c r="R933" s="280" t="n"/>
      <c r="T933" s="280" t="n"/>
      <c r="V933" s="280" t="n"/>
      <c r="X933" s="280" t="n"/>
      <c r="Y933" s="278" t="inlineStr">
        <is>
          <t>Gastos derivados de contrato (3,5%)</t>
        </is>
      </c>
      <c r="Z933" s="280">
        <f>(L933+N933+P933+R933+T933+V933+X933)*0.035</f>
        <v/>
      </c>
      <c r="AA933" s="280" t="n"/>
      <c r="AB933" s="281" t="inlineStr">
        <is>
          <t>ES11 0081 7069 2700 0122 7724</t>
        </is>
      </c>
      <c r="AC933" s="278" t="inlineStr">
        <is>
          <t>pendiente</t>
        </is>
      </c>
      <c r="AD933" s="280">
        <f>L933+N933+P933+R933+T933+V933+X933+Z933</f>
        <v/>
      </c>
      <c r="AE933" s="280">
        <f>IF((LEFT(K933,6))="Contab",L933,0)</f>
        <v/>
      </c>
      <c r="AF933" s="281">
        <f>VLOOKUP(G933,CLIENTES!B:E,4,FALSE)</f>
        <v/>
      </c>
      <c r="AG933" s="280">
        <f>AF933*AE933</f>
        <v/>
      </c>
      <c r="AH933" s="280">
        <f>AD933*1.21</f>
        <v/>
      </c>
      <c r="AI933" s="282">
        <f>IF(AE933&lt;&gt;0,AG933/AD933,"N/A")</f>
        <v/>
      </c>
      <c r="AJ933" s="280">
        <f>IF(AC933="pendiente",AD933,0)</f>
        <v/>
      </c>
      <c r="AK933" s="278">
        <f>VLOOKUP(G933,CLIENTES!B:D,3,FALSE)</f>
        <v/>
      </c>
    </row>
    <row r="934" ht="15" customFormat="1" customHeight="1" s="278">
      <c r="B934" s="279" t="n"/>
      <c r="C934" s="278" t="inlineStr">
        <is>
          <t>c/ Las Cruzadas 3A, local D</t>
        </is>
      </c>
      <c r="D934" s="278" t="inlineStr">
        <is>
          <t>Sevilla 41004</t>
        </is>
      </c>
      <c r="E934" s="278" t="inlineStr">
        <is>
          <t>CIF B91938662</t>
        </is>
      </c>
      <c r="F934" s="278" t="inlineStr">
        <is>
          <t>aBalados@abalados.es</t>
        </is>
      </c>
      <c r="G934" s="278" t="inlineStr">
        <is>
          <t>FP LUX REIO PV VALLADOLID, S.L.U.</t>
        </is>
      </c>
      <c r="H934" s="278">
        <f>VLOOKUP($G934,DATOS!$B:$E,2,FALSE)</f>
        <v/>
      </c>
      <c r="I934" s="278">
        <f>VLOOKUP($G934,DATOS!$B:$E,3,FALSE)</f>
        <v/>
      </c>
      <c r="J934" s="278">
        <f>VLOOKUP($G934,DATOS!$B:$E,4,FALSE)</f>
        <v/>
      </c>
      <c r="K934" s="278" t="inlineStr">
        <is>
          <t>Contabilidad y Fiscalidad de proyecto - 3º Trimestre</t>
        </is>
      </c>
      <c r="L934" s="280">
        <f>'Tarifa 2025'!$D$18/4/6</f>
        <v/>
      </c>
      <c r="M934" s="278" t="inlineStr">
        <is>
          <t>SPV Management de Proyecto - 3º Trimestre</t>
        </is>
      </c>
      <c r="N934" s="280">
        <f>'Tarifa 2025'!$F$18/6/4</f>
        <v/>
      </c>
      <c r="O934" s="278" t="inlineStr">
        <is>
          <t>O&amp;M Management de Proyecto - 3º Trimestre</t>
        </is>
      </c>
      <c r="P934" s="280">
        <f>'Tarifa 2025'!$H$18/6/4</f>
        <v/>
      </c>
      <c r="R934" s="280" t="n"/>
      <c r="T934" s="280" t="n"/>
      <c r="V934" s="280" t="n"/>
      <c r="X934" s="280" t="n"/>
      <c r="Y934" s="278" t="inlineStr">
        <is>
          <t>Gastos derivados de contrato (3,5%)</t>
        </is>
      </c>
      <c r="Z934" s="280">
        <f>(L934+N934+P934+R934+T934+V934+X934)*0.035</f>
        <v/>
      </c>
      <c r="AA934" s="280" t="n"/>
      <c r="AB934" s="281" t="inlineStr">
        <is>
          <t>ES11 0081 7069 2700 0122 7724</t>
        </is>
      </c>
      <c r="AC934" s="278" t="inlineStr">
        <is>
          <t>pendiente</t>
        </is>
      </c>
      <c r="AD934" s="280">
        <f>L934+N934+P934+R934+T934+V934+X934+Z934</f>
        <v/>
      </c>
      <c r="AE934" s="280">
        <f>IF((LEFT(K934,6))="Contab",L934,0)</f>
        <v/>
      </c>
      <c r="AF934" s="281">
        <f>VLOOKUP(G934,CLIENTES!B:E,4,FALSE)</f>
        <v/>
      </c>
      <c r="AG934" s="280">
        <f>AF934*AE934</f>
        <v/>
      </c>
      <c r="AH934" s="280">
        <f>AD934*1.21</f>
        <v/>
      </c>
      <c r="AI934" s="282">
        <f>IF(AE934&lt;&gt;0,AG934/AD934,"N/A")</f>
        <v/>
      </c>
      <c r="AJ934" s="280">
        <f>IF(AC934="pendiente",AD934,0)</f>
        <v/>
      </c>
      <c r="AK934" s="278">
        <f>VLOOKUP(G934,CLIENTES!B:D,3,FALSE)</f>
        <v/>
      </c>
    </row>
    <row r="935" ht="15" customFormat="1" customHeight="1" s="278">
      <c r="B935" s="279" t="n"/>
      <c r="C935" s="278" t="inlineStr">
        <is>
          <t>c/ Las Cruzadas 3A, local D</t>
        </is>
      </c>
      <c r="D935" s="278" t="inlineStr">
        <is>
          <t>Sevilla 41004</t>
        </is>
      </c>
      <c r="E935" s="278" t="inlineStr">
        <is>
          <t>CIF B91938662</t>
        </is>
      </c>
      <c r="F935" s="278" t="inlineStr">
        <is>
          <t>aBalados@abalados.es</t>
        </is>
      </c>
      <c r="G935" s="278" t="inlineStr">
        <is>
          <t>FP LUX REIO PV VALLADOLID, S.L.U.</t>
        </is>
      </c>
      <c r="H935" s="278">
        <f>VLOOKUP($G935,DATOS!$B:$E,2,FALSE)</f>
        <v/>
      </c>
      <c r="I935" s="278">
        <f>VLOOKUP($G935,DATOS!$B:$E,3,FALSE)</f>
        <v/>
      </c>
      <c r="J935" s="278">
        <f>VLOOKUP($G935,DATOS!$B:$E,4,FALSE)</f>
        <v/>
      </c>
      <c r="K935" s="278" t="inlineStr">
        <is>
          <t>Contabilidad y Fiscalidad de proyecto - 3º Trimestre</t>
        </is>
      </c>
      <c r="L935" s="280">
        <f>'Tarifa 2025'!$D$18/4/6</f>
        <v/>
      </c>
      <c r="M935" s="278" t="inlineStr">
        <is>
          <t>SPV Management de Proyecto - 3º Trimestre</t>
        </is>
      </c>
      <c r="N935" s="280">
        <f>'Tarifa 2025'!$F$18/6/4</f>
        <v/>
      </c>
      <c r="O935" s="278" t="inlineStr">
        <is>
          <t>O&amp;M Management de Proyecto - 3º Trimestre</t>
        </is>
      </c>
      <c r="P935" s="280">
        <f>'Tarifa 2025'!$H$18/6/4</f>
        <v/>
      </c>
      <c r="R935" s="280" t="n"/>
      <c r="T935" s="280" t="n"/>
      <c r="V935" s="280" t="n"/>
      <c r="X935" s="280" t="n"/>
      <c r="Y935" s="278" t="inlineStr">
        <is>
          <t>Gastos derivados de contrato (3,5%)</t>
        </is>
      </c>
      <c r="Z935" s="280">
        <f>(L935+N935+P935+R935+T935+V935+X935)*0.035</f>
        <v/>
      </c>
      <c r="AA935" s="280" t="n"/>
      <c r="AB935" s="281" t="inlineStr">
        <is>
          <t>ES11 0081 7069 2700 0122 7724</t>
        </is>
      </c>
      <c r="AC935" s="278" t="inlineStr">
        <is>
          <t>pendiente</t>
        </is>
      </c>
      <c r="AD935" s="280">
        <f>L935+N935+P935+R935+T935+V935+X935+Z935</f>
        <v/>
      </c>
      <c r="AE935" s="280">
        <f>IF((LEFT(K935,6))="Contab",L935,0)</f>
        <v/>
      </c>
      <c r="AF935" s="281">
        <f>VLOOKUP(G935,CLIENTES!B:E,4,FALSE)</f>
        <v/>
      </c>
      <c r="AG935" s="280">
        <f>AF935*AE935</f>
        <v/>
      </c>
      <c r="AH935" s="280">
        <f>AD935*1.21</f>
        <v/>
      </c>
      <c r="AI935" s="282">
        <f>IF(AE935&lt;&gt;0,AG935/AD935,"N/A")</f>
        <v/>
      </c>
      <c r="AJ935" s="280">
        <f>IF(AC935="pendiente",AD935,0)</f>
        <v/>
      </c>
      <c r="AK935" s="278">
        <f>VLOOKUP(G935,CLIENTES!B:D,3,FALSE)</f>
        <v/>
      </c>
    </row>
    <row r="936" ht="15" customFormat="1" customHeight="1" s="278">
      <c r="B936" s="279" t="n"/>
      <c r="C936" s="278" t="inlineStr">
        <is>
          <t>c/ Las Cruzadas 3A, local D</t>
        </is>
      </c>
      <c r="D936" s="278" t="inlineStr">
        <is>
          <t>Sevilla 41004</t>
        </is>
      </c>
      <c r="E936" s="278" t="inlineStr">
        <is>
          <t>CIF B91938662</t>
        </is>
      </c>
      <c r="F936" s="278" t="inlineStr">
        <is>
          <t>aBalados@abalados.es</t>
        </is>
      </c>
      <c r="G936" s="278" t="inlineStr">
        <is>
          <t>FP LUX REIO PV VALLADOLID, S.L.U.</t>
        </is>
      </c>
      <c r="H936" s="278">
        <f>VLOOKUP($G936,DATOS!$B:$E,2,FALSE)</f>
        <v/>
      </c>
      <c r="I936" s="278">
        <f>VLOOKUP($G936,DATOS!$B:$E,3,FALSE)</f>
        <v/>
      </c>
      <c r="J936" s="278">
        <f>VLOOKUP($G936,DATOS!$B:$E,4,FALSE)</f>
        <v/>
      </c>
      <c r="K936" s="278" t="inlineStr">
        <is>
          <t>Contabilidad y Fiscalidad de proyecto - 3º Trimestre</t>
        </is>
      </c>
      <c r="L936" s="280">
        <f>'Tarifa 2025'!$D$18/4/6</f>
        <v/>
      </c>
      <c r="M936" s="278" t="inlineStr">
        <is>
          <t>SPV Management de Proyecto - 3º Trimestre</t>
        </is>
      </c>
      <c r="N936" s="280">
        <f>'Tarifa 2025'!$F$18/6/4</f>
        <v/>
      </c>
      <c r="O936" s="278" t="inlineStr">
        <is>
          <t>O&amp;M Management de Proyecto - 3º Trimestre</t>
        </is>
      </c>
      <c r="P936" s="280">
        <f>'Tarifa 2025'!$H$18/6/4</f>
        <v/>
      </c>
      <c r="R936" s="280" t="n"/>
      <c r="T936" s="280" t="n"/>
      <c r="V936" s="280" t="n"/>
      <c r="X936" s="280" t="n"/>
      <c r="Y936" s="278" t="inlineStr">
        <is>
          <t>Gastos derivados de contrato (3,5%)</t>
        </is>
      </c>
      <c r="Z936" s="280">
        <f>(L936+N936+P936+R936+T936+V936+X936)*0.035</f>
        <v/>
      </c>
      <c r="AA936" s="280" t="n"/>
      <c r="AB936" s="281" t="inlineStr">
        <is>
          <t>ES11 0081 7069 2700 0122 7724</t>
        </is>
      </c>
      <c r="AC936" s="278" t="inlineStr">
        <is>
          <t>pendiente</t>
        </is>
      </c>
      <c r="AD936" s="280">
        <f>L936+N936+P936+R936+T936+V936+X936+Z936</f>
        <v/>
      </c>
      <c r="AE936" s="280">
        <f>IF((LEFT(K936,6))="Contab",L936,0)</f>
        <v/>
      </c>
      <c r="AF936" s="281">
        <f>VLOOKUP(G936,CLIENTES!B:E,4,FALSE)</f>
        <v/>
      </c>
      <c r="AG936" s="280">
        <f>AF936*AE936</f>
        <v/>
      </c>
      <c r="AH936" s="280">
        <f>AD936*1.21</f>
        <v/>
      </c>
      <c r="AI936" s="282">
        <f>IF(AE936&lt;&gt;0,AG936/AD936,"N/A")</f>
        <v/>
      </c>
      <c r="AJ936" s="280">
        <f>IF(AC936="pendiente",AD936,0)</f>
        <v/>
      </c>
      <c r="AK936" s="278">
        <f>VLOOKUP(G936,CLIENTES!B:D,3,FALSE)</f>
        <v/>
      </c>
    </row>
    <row r="937" ht="15" customFormat="1" customHeight="1" s="278">
      <c r="B937" s="279" t="n"/>
      <c r="C937" s="278" t="inlineStr">
        <is>
          <t>c/ Las Cruzadas 3A, local D</t>
        </is>
      </c>
      <c r="D937" s="278" t="inlineStr">
        <is>
          <t>Sevilla 41004</t>
        </is>
      </c>
      <c r="E937" s="278" t="inlineStr">
        <is>
          <t>CIF B91938662</t>
        </is>
      </c>
      <c r="F937" s="278" t="inlineStr">
        <is>
          <t>aBalados@abalados.es</t>
        </is>
      </c>
      <c r="G937" s="278" t="inlineStr">
        <is>
          <t>FP LUX REIO PV VALLADOLID, S.L.U.</t>
        </is>
      </c>
      <c r="H937" s="278">
        <f>VLOOKUP($G937,DATOS!$B:$E,2,FALSE)</f>
        <v/>
      </c>
      <c r="I937" s="278">
        <f>VLOOKUP($G937,DATOS!$B:$E,3,FALSE)</f>
        <v/>
      </c>
      <c r="J937" s="278">
        <f>VLOOKUP($G937,DATOS!$B:$E,4,FALSE)</f>
        <v/>
      </c>
      <c r="K937" s="278" t="inlineStr">
        <is>
          <t>Contabilidad y Fiscalidad de proyecto - 3º Trimestre</t>
        </is>
      </c>
      <c r="L937" s="280">
        <f>'Tarifa 2025'!$D$18/4/6</f>
        <v/>
      </c>
      <c r="M937" s="278" t="inlineStr">
        <is>
          <t>SPV Management de Proyecto - 3º Trimestre</t>
        </is>
      </c>
      <c r="N937" s="280">
        <f>'Tarifa 2025'!$F$18/6/4</f>
        <v/>
      </c>
      <c r="O937" s="278" t="inlineStr">
        <is>
          <t>O&amp;M Management de Proyecto - 3º Trimestre</t>
        </is>
      </c>
      <c r="P937" s="280">
        <f>'Tarifa 2025'!$H$18/6/4</f>
        <v/>
      </c>
      <c r="R937" s="280" t="n"/>
      <c r="T937" s="280" t="n"/>
      <c r="V937" s="280" t="n"/>
      <c r="X937" s="280" t="n"/>
      <c r="Y937" s="278" t="inlineStr">
        <is>
          <t>Gastos derivados de contrato (3,5%)</t>
        </is>
      </c>
      <c r="Z937" s="280">
        <f>(L937+N937+P937+R937+T937+V937+X937)*0.035</f>
        <v/>
      </c>
      <c r="AA937" s="280" t="n"/>
      <c r="AB937" s="281" t="inlineStr">
        <is>
          <t>ES11 0081 7069 2700 0122 7724</t>
        </is>
      </c>
      <c r="AC937" s="278" t="inlineStr">
        <is>
          <t>pendiente</t>
        </is>
      </c>
      <c r="AD937" s="280">
        <f>L937+N937+P937+R937+T937+V937+X937+Z937</f>
        <v/>
      </c>
      <c r="AE937" s="280">
        <f>IF((LEFT(K937,6))="Contab",L937,0)</f>
        <v/>
      </c>
      <c r="AF937" s="281">
        <f>VLOOKUP(G937,CLIENTES!B:E,4,FALSE)</f>
        <v/>
      </c>
      <c r="AG937" s="280">
        <f>AF937*AE937</f>
        <v/>
      </c>
      <c r="AH937" s="280">
        <f>AD937*1.21</f>
        <v/>
      </c>
      <c r="AI937" s="282">
        <f>IF(AE937&lt;&gt;0,AG937/AD937,"N/A")</f>
        <v/>
      </c>
      <c r="AJ937" s="280">
        <f>IF(AC937="pendiente",AD937,0)</f>
        <v/>
      </c>
      <c r="AK937" s="278">
        <f>VLOOKUP(G937,CLIENTES!B:D,3,FALSE)</f>
        <v/>
      </c>
    </row>
    <row r="938" ht="15" customFormat="1" customHeight="1" s="192">
      <c r="B938" s="199" t="n"/>
      <c r="C938" s="192" t="inlineStr">
        <is>
          <t>c/ Las Cruzadas 3A, local D</t>
        </is>
      </c>
      <c r="D938" s="192" t="inlineStr">
        <is>
          <t>Sevilla 41004</t>
        </is>
      </c>
      <c r="E938" s="192" t="inlineStr">
        <is>
          <t>CIF B91938662</t>
        </is>
      </c>
      <c r="F938" s="192" t="inlineStr">
        <is>
          <t>aBalados@abalados.es</t>
        </is>
      </c>
      <c r="G938" s="192" t="inlineStr">
        <is>
          <t>FP LUX REIO PV VALLADOLID, S.L.U.</t>
        </is>
      </c>
      <c r="H938" s="192">
        <f>VLOOKUP($G938,DATOS!$B:$E,2,FALSE)</f>
        <v/>
      </c>
      <c r="I938" s="192">
        <f>VLOOKUP($G938,DATOS!$B:$E,3,FALSE)</f>
        <v/>
      </c>
      <c r="J938" s="192">
        <f>VLOOKUP($G938,DATOS!$B:$E,4,FALSE)</f>
        <v/>
      </c>
      <c r="K938" s="192" t="inlineStr">
        <is>
          <t>Contabilidad y Fiscalidad de proyecto - 3º Trimestre</t>
        </is>
      </c>
      <c r="L938" s="200">
        <f>'Tarifa 2025'!$D$18/4/6</f>
        <v/>
      </c>
      <c r="M938" s="192" t="inlineStr">
        <is>
          <t>SPV Management de Proyecto - 3º Trimestre</t>
        </is>
      </c>
      <c r="N938" s="200">
        <f>'Tarifa 2025'!$F$18/6/4</f>
        <v/>
      </c>
      <c r="O938" s="192" t="inlineStr">
        <is>
          <t>O&amp;M Management de Proyecto - 3º Trimestre</t>
        </is>
      </c>
      <c r="P938" s="200">
        <f>'Tarifa 2025'!$H$18/6/4</f>
        <v/>
      </c>
      <c r="R938" s="200" t="n"/>
      <c r="T938" s="200" t="n"/>
      <c r="V938" s="200" t="n"/>
      <c r="X938" s="200" t="n"/>
      <c r="Y938" s="192" t="inlineStr">
        <is>
          <t>Gastos derivados de contrato (3,5%)</t>
        </is>
      </c>
      <c r="Z938" s="200">
        <f>(L938+N938+P938+R938+T938+V938+X938)*0.035</f>
        <v/>
      </c>
      <c r="AA938" s="200" t="n"/>
      <c r="AB938" s="201" t="inlineStr">
        <is>
          <t>ES11 0081 7069 2700 0122 7724</t>
        </is>
      </c>
      <c r="AC938" s="192" t="inlineStr">
        <is>
          <t>pendiente</t>
        </is>
      </c>
      <c r="AD938" s="200">
        <f>L938+N938+P938+R938+T938+V938+X938+Z938</f>
        <v/>
      </c>
      <c r="AE938" s="200">
        <f>IF((LEFT(K938,6))="Contab",L938,0)</f>
        <v/>
      </c>
      <c r="AF938" s="201">
        <f>VLOOKUP(G938,CLIENTES!B:E,4,FALSE)</f>
        <v/>
      </c>
      <c r="AG938" s="200">
        <f>AF938*AE938</f>
        <v/>
      </c>
      <c r="AH938" s="200">
        <f>AD938*1.21</f>
        <v/>
      </c>
      <c r="AI938" s="202">
        <f>IF(AE938&lt;&gt;0,AG938/AD938,"N/A")</f>
        <v/>
      </c>
      <c r="AJ938" s="200">
        <f>IF(AC938="pendiente",AD938,0)</f>
        <v/>
      </c>
      <c r="AK938" s="192">
        <f>VLOOKUP(G938,CLIENTES!B:D,3,FALSE)</f>
        <v/>
      </c>
    </row>
    <row r="939" ht="15" customFormat="1" customHeight="1" s="278">
      <c r="B939" s="279" t="n"/>
      <c r="C939" s="278" t="inlineStr">
        <is>
          <t>c/ Las Cruzadas 3A, local D</t>
        </is>
      </c>
      <c r="D939" s="278" t="inlineStr">
        <is>
          <t>Sevilla 41004</t>
        </is>
      </c>
      <c r="E939" s="278" t="inlineStr">
        <is>
          <t>CIF B91938662</t>
        </is>
      </c>
      <c r="F939" s="278" t="inlineStr">
        <is>
          <t>aBalados@abalados.es</t>
        </is>
      </c>
      <c r="G939" s="278" t="inlineStr">
        <is>
          <t>FP LUX REIO PV VALLADOLID, S.L.U.</t>
        </is>
      </c>
      <c r="H939" s="278">
        <f>VLOOKUP($G939,DATOS!$B:$E,2,FALSE)</f>
        <v/>
      </c>
      <c r="I939" s="278">
        <f>VLOOKUP($G939,DATOS!$B:$E,3,FALSE)</f>
        <v/>
      </c>
      <c r="J939" s="278">
        <f>VLOOKUP($G939,DATOS!$B:$E,4,FALSE)</f>
        <v/>
      </c>
      <c r="K939" s="278" t="inlineStr">
        <is>
          <t>Honorarios - Contrato O&amp;M 3º Trimestre</t>
        </is>
      </c>
      <c r="L939" s="280" t="n">
        <v>32464.30987340534</v>
      </c>
      <c r="N939" s="280" t="n"/>
      <c r="P939" s="280" t="n"/>
      <c r="R939" s="280" t="n"/>
      <c r="T939" s="280" t="n"/>
      <c r="V939" s="280" t="n"/>
      <c r="X939" s="280" t="n"/>
      <c r="Z939" s="280" t="n"/>
      <c r="AA939" s="280" t="n"/>
      <c r="AB939" s="281" t="inlineStr">
        <is>
          <t>ES11 0081 7069 2700 0122 7724</t>
        </is>
      </c>
      <c r="AC939" s="278" t="inlineStr">
        <is>
          <t>pendiente</t>
        </is>
      </c>
      <c r="AD939" s="280">
        <f>L939+N939+P939+R939+T939+V939+X939+Z939</f>
        <v/>
      </c>
      <c r="AE939" s="280">
        <f>IF((LEFT(K939,6))="Contab",L939,0)</f>
        <v/>
      </c>
      <c r="AF939" s="281">
        <f>VLOOKUP(G939,CLIENTES!B:E,4,FALSE)</f>
        <v/>
      </c>
      <c r="AG939" s="280">
        <f>AF939*AE939</f>
        <v/>
      </c>
      <c r="AH939" s="280">
        <f>AD939*1.21</f>
        <v/>
      </c>
      <c r="AI939" s="282">
        <f>IF(AE939&lt;&gt;0,AG939/AD939,"N/A")</f>
        <v/>
      </c>
      <c r="AJ939" s="280">
        <f>IF(AC939="pendiente",AD939,0)</f>
        <v/>
      </c>
      <c r="AK939" s="278">
        <f>VLOOKUP(G939,CLIENTES!B:D,3,FALSE)</f>
        <v/>
      </c>
    </row>
    <row r="940" ht="15" customFormat="1" customHeight="1" s="278">
      <c r="B940" s="279" t="n"/>
      <c r="C940" s="278" t="inlineStr">
        <is>
          <t>c/ Las Cruzadas 3A, local D</t>
        </is>
      </c>
      <c r="D940" s="278" t="inlineStr">
        <is>
          <t>Sevilla 41004</t>
        </is>
      </c>
      <c r="E940" s="278" t="inlineStr">
        <is>
          <t>CIF B91938662</t>
        </is>
      </c>
      <c r="F940" s="278" t="inlineStr">
        <is>
          <t>aBalados@abalados.es</t>
        </is>
      </c>
      <c r="G940" s="278" t="inlineStr">
        <is>
          <t>FP LUX REIO PV VALLADOLID, S.L.U.</t>
        </is>
      </c>
      <c r="H940" s="278">
        <f>VLOOKUP($G940,DATOS!$B:$E,2,FALSE)</f>
        <v/>
      </c>
      <c r="I940" s="278">
        <f>VLOOKUP($G940,DATOS!$B:$E,3,FALSE)</f>
        <v/>
      </c>
      <c r="J940" s="278">
        <f>VLOOKUP($G940,DATOS!$B:$E,4,FALSE)</f>
        <v/>
      </c>
      <c r="K940" s="278" t="inlineStr">
        <is>
          <t>Honorarios - Contrato O&amp;M 3º Trimestre</t>
        </is>
      </c>
      <c r="L940" s="280" t="n">
        <v>20777.15831897942</v>
      </c>
      <c r="N940" s="280" t="n"/>
      <c r="P940" s="280" t="n"/>
      <c r="R940" s="280" t="n"/>
      <c r="T940" s="280" t="n"/>
      <c r="V940" s="280" t="n"/>
      <c r="X940" s="280" t="n"/>
      <c r="Z940" s="280" t="n"/>
      <c r="AA940" s="280" t="n"/>
      <c r="AB940" s="281" t="inlineStr">
        <is>
          <t>ES11 0081 7069 2700 0122 7724</t>
        </is>
      </c>
      <c r="AC940" s="278" t="inlineStr">
        <is>
          <t>pendiente</t>
        </is>
      </c>
      <c r="AD940" s="280">
        <f>L940+N940+P940+R940+T940+V940+X940+Z940</f>
        <v/>
      </c>
      <c r="AE940" s="280">
        <f>IF((LEFT(K940,6))="Contab",L940,0)</f>
        <v/>
      </c>
      <c r="AF940" s="281">
        <f>VLOOKUP(G940,CLIENTES!B:E,4,FALSE)</f>
        <v/>
      </c>
      <c r="AG940" s="280">
        <f>AF940*AE940</f>
        <v/>
      </c>
      <c r="AH940" s="280">
        <f>AD940*1.21</f>
        <v/>
      </c>
      <c r="AI940" s="282">
        <f>IF(AE940&lt;&gt;0,AG940/AD940,"N/A")</f>
        <v/>
      </c>
      <c r="AJ940" s="280">
        <f>IF(AC940="pendiente",AD940,0)</f>
        <v/>
      </c>
      <c r="AK940" s="278">
        <f>VLOOKUP(G940,CLIENTES!B:D,3,FALSE)</f>
        <v/>
      </c>
    </row>
    <row r="941" ht="15" customFormat="1" customHeight="1" s="278">
      <c r="B941" s="279" t="n"/>
      <c r="C941" s="278" t="inlineStr">
        <is>
          <t>c/ Las Cruzadas 3A, local D</t>
        </is>
      </c>
      <c r="D941" s="278" t="inlineStr">
        <is>
          <t>Sevilla 41004</t>
        </is>
      </c>
      <c r="E941" s="278" t="inlineStr">
        <is>
          <t>CIF B91938662</t>
        </is>
      </c>
      <c r="F941" s="278" t="inlineStr">
        <is>
          <t>aBalados@abalados.es</t>
        </is>
      </c>
      <c r="G941" s="278" t="inlineStr">
        <is>
          <t>FP LUX REIO PV VALLADOLID, S.L.U.</t>
        </is>
      </c>
      <c r="H941" s="278">
        <f>VLOOKUP($G941,DATOS!$B:$E,2,FALSE)</f>
        <v/>
      </c>
      <c r="I941" s="278">
        <f>VLOOKUP($G941,DATOS!$B:$E,3,FALSE)</f>
        <v/>
      </c>
      <c r="J941" s="278">
        <f>VLOOKUP($G941,DATOS!$B:$E,4,FALSE)</f>
        <v/>
      </c>
      <c r="K941" s="278" t="inlineStr">
        <is>
          <t>Honorarios - Contrato O&amp;M 3º Trimestre</t>
        </is>
      </c>
      <c r="L941" s="280" t="n">
        <v>24472.94736835694</v>
      </c>
      <c r="N941" s="280" t="n"/>
      <c r="P941" s="280" t="n"/>
      <c r="R941" s="280" t="n"/>
      <c r="T941" s="280" t="n"/>
      <c r="V941" s="280" t="n"/>
      <c r="X941" s="280" t="n"/>
      <c r="Z941" s="280" t="n"/>
      <c r="AA941" s="280" t="n"/>
      <c r="AB941" s="281" t="inlineStr">
        <is>
          <t>ES11 0081 7069 2700 0122 7724</t>
        </is>
      </c>
      <c r="AC941" s="278" t="inlineStr">
        <is>
          <t>pendiente</t>
        </is>
      </c>
      <c r="AD941" s="280">
        <f>L941+N941+P941+R941+T941+V941+X941+Z941</f>
        <v/>
      </c>
      <c r="AE941" s="280">
        <f>IF((LEFT(K941,6))="Contab",L941,0)</f>
        <v/>
      </c>
      <c r="AF941" s="281">
        <f>VLOOKUP(G941,CLIENTES!B:E,4,FALSE)</f>
        <v/>
      </c>
      <c r="AG941" s="280">
        <f>AF941*AE941</f>
        <v/>
      </c>
      <c r="AH941" s="280">
        <f>AD941*1.21</f>
        <v/>
      </c>
      <c r="AI941" s="282">
        <f>IF(AE941&lt;&gt;0,AG941/AD941,"N/A")</f>
        <v/>
      </c>
      <c r="AJ941" s="280">
        <f>IF(AC941="pendiente",AD941,0)</f>
        <v/>
      </c>
      <c r="AK941" s="278">
        <f>VLOOKUP(G941,CLIENTES!B:D,3,FALSE)</f>
        <v/>
      </c>
    </row>
    <row r="942" ht="15" customFormat="1" customHeight="1" s="278">
      <c r="B942" s="279" t="n"/>
      <c r="C942" s="278" t="inlineStr">
        <is>
          <t>c/ Las Cruzadas 3A, local D</t>
        </is>
      </c>
      <c r="D942" s="278" t="inlineStr">
        <is>
          <t>Sevilla 41004</t>
        </is>
      </c>
      <c r="E942" s="278" t="inlineStr">
        <is>
          <t>CIF B91938662</t>
        </is>
      </c>
      <c r="F942" s="278" t="inlineStr">
        <is>
          <t>aBalados@abalados.es</t>
        </is>
      </c>
      <c r="G942" s="278" t="inlineStr">
        <is>
          <t>FP LUX REIO PV VALLADOLID, S.L.U.</t>
        </is>
      </c>
      <c r="H942" s="278">
        <f>VLOOKUP($G942,DATOS!$B:$E,2,FALSE)</f>
        <v/>
      </c>
      <c r="I942" s="278">
        <f>VLOOKUP($G942,DATOS!$B:$E,3,FALSE)</f>
        <v/>
      </c>
      <c r="J942" s="278">
        <f>VLOOKUP($G942,DATOS!$B:$E,4,FALSE)</f>
        <v/>
      </c>
      <c r="K942" s="278" t="inlineStr">
        <is>
          <t>Honorarios - Contrato O&amp;M 3º Trimestre</t>
        </is>
      </c>
      <c r="L942" s="280" t="n">
        <v>13468.98329756258</v>
      </c>
      <c r="N942" s="280" t="n"/>
      <c r="P942" s="280" t="n"/>
      <c r="R942" s="280" t="n"/>
      <c r="T942" s="280" t="n"/>
      <c r="V942" s="280" t="n"/>
      <c r="X942" s="280" t="n"/>
      <c r="Z942" s="280" t="n"/>
      <c r="AA942" s="280" t="n"/>
      <c r="AB942" s="281" t="inlineStr">
        <is>
          <t>ES11 0081 7069 2700 0122 7724</t>
        </is>
      </c>
      <c r="AC942" s="278" t="inlineStr">
        <is>
          <t>pendiente</t>
        </is>
      </c>
      <c r="AD942" s="280">
        <f>L942+N942+P942+R942+T942+V942+X942+Z942</f>
        <v/>
      </c>
      <c r="AE942" s="280">
        <f>IF((LEFT(K942,6))="Contab",L942,0)</f>
        <v/>
      </c>
      <c r="AF942" s="281">
        <f>VLOOKUP(G942,CLIENTES!B:E,4,FALSE)</f>
        <v/>
      </c>
      <c r="AG942" s="280">
        <f>AF942*AE942</f>
        <v/>
      </c>
      <c r="AH942" s="280">
        <f>AD942*1.21</f>
        <v/>
      </c>
      <c r="AI942" s="282">
        <f>IF(AE942&lt;&gt;0,AG942/AD942,"N/A")</f>
        <v/>
      </c>
      <c r="AJ942" s="280">
        <f>IF(AC942="pendiente",AD942,0)</f>
        <v/>
      </c>
      <c r="AK942" s="278">
        <f>VLOOKUP(G942,CLIENTES!B:D,3,FALSE)</f>
        <v/>
      </c>
    </row>
    <row r="943" ht="15" customFormat="1" customHeight="1" s="278">
      <c r="B943" s="279" t="n"/>
      <c r="C943" s="278" t="inlineStr">
        <is>
          <t>c/ Las Cruzadas 3A, local D</t>
        </is>
      </c>
      <c r="D943" s="278" t="inlineStr">
        <is>
          <t>Sevilla 41004</t>
        </is>
      </c>
      <c r="E943" s="278" t="inlineStr">
        <is>
          <t>CIF B91938662</t>
        </is>
      </c>
      <c r="F943" s="278" t="inlineStr">
        <is>
          <t>aBalados@abalados.es</t>
        </is>
      </c>
      <c r="G943" s="278" t="inlineStr">
        <is>
          <t>FP LUX REIO PV VALLADOLID, S.L.U.</t>
        </is>
      </c>
      <c r="H943" s="278">
        <f>VLOOKUP($G943,DATOS!$B:$E,2,FALSE)</f>
        <v/>
      </c>
      <c r="I943" s="278">
        <f>VLOOKUP($G943,DATOS!$B:$E,3,FALSE)</f>
        <v/>
      </c>
      <c r="J943" s="278">
        <f>VLOOKUP($G943,DATOS!$B:$E,4,FALSE)</f>
        <v/>
      </c>
      <c r="K943" s="278" t="inlineStr">
        <is>
          <t>Honorarios - Contrato O&amp;M 3º Trimestre</t>
        </is>
      </c>
      <c r="L943" s="280" t="n">
        <v>1437.136759606795</v>
      </c>
      <c r="N943" s="280" t="n"/>
      <c r="P943" s="280" t="n"/>
      <c r="R943" s="280" t="n"/>
      <c r="T943" s="280" t="n"/>
      <c r="V943" s="280" t="n"/>
      <c r="X943" s="280" t="n"/>
      <c r="Z943" s="280" t="n"/>
      <c r="AA943" s="280" t="n"/>
      <c r="AB943" s="281" t="inlineStr">
        <is>
          <t>ES11 0081 7069 2700 0122 7724</t>
        </is>
      </c>
      <c r="AC943" s="278" t="inlineStr">
        <is>
          <t>pendiente</t>
        </is>
      </c>
      <c r="AD943" s="280">
        <f>L943+N943+P943+R943+T943+V943+X943+Z943</f>
        <v/>
      </c>
      <c r="AE943" s="280">
        <f>IF((LEFT(K943,6))="Contab",L943,0)</f>
        <v/>
      </c>
      <c r="AF943" s="281">
        <f>VLOOKUP(G943,CLIENTES!B:E,4,FALSE)</f>
        <v/>
      </c>
      <c r="AG943" s="280">
        <f>AF943*AE943</f>
        <v/>
      </c>
      <c r="AH943" s="280">
        <f>AD943*1.21</f>
        <v/>
      </c>
      <c r="AI943" s="282">
        <f>IF(AE943&lt;&gt;0,AG943/AD943,"N/A")</f>
        <v/>
      </c>
      <c r="AJ943" s="280">
        <f>IF(AC943="pendiente",AD943,0)</f>
        <v/>
      </c>
      <c r="AK943" s="278">
        <f>VLOOKUP(G943,CLIENTES!B:D,3,FALSE)</f>
        <v/>
      </c>
    </row>
    <row r="944" ht="15" customFormat="1" customHeight="1" s="278">
      <c r="B944" s="279" t="n"/>
      <c r="C944" s="278" t="inlineStr">
        <is>
          <t>c/ Las Cruzadas 3A, local D</t>
        </is>
      </c>
      <c r="D944" s="278" t="inlineStr">
        <is>
          <t>Sevilla 41004</t>
        </is>
      </c>
      <c r="E944" s="278" t="inlineStr">
        <is>
          <t>CIF B91938662</t>
        </is>
      </c>
      <c r="F944" s="278" t="inlineStr">
        <is>
          <t>aBalados@abalados.es</t>
        </is>
      </c>
      <c r="G944" s="278" t="inlineStr">
        <is>
          <t>FP LUX REIO PV VALLADOLID, S.L.U.</t>
        </is>
      </c>
      <c r="H944" s="278">
        <f>VLOOKUP($G944,DATOS!$B:$E,2,FALSE)</f>
        <v/>
      </c>
      <c r="I944" s="278">
        <f>VLOOKUP($G944,DATOS!$B:$E,3,FALSE)</f>
        <v/>
      </c>
      <c r="J944" s="278">
        <f>VLOOKUP($G944,DATOS!$B:$E,4,FALSE)</f>
        <v/>
      </c>
      <c r="K944" s="278" t="inlineStr">
        <is>
          <t>Honorarios - Contrato O&amp;M 3º Trimestre</t>
        </is>
      </c>
      <c r="L944" s="280" t="n">
        <v>3881.792139533857</v>
      </c>
      <c r="N944" s="280" t="n"/>
      <c r="P944" s="280" t="n"/>
      <c r="R944" s="280" t="n"/>
      <c r="T944" s="280" t="n"/>
      <c r="V944" s="280" t="n"/>
      <c r="X944" s="280" t="n"/>
      <c r="Z944" s="280" t="n"/>
      <c r="AA944" s="280" t="n"/>
      <c r="AB944" s="281" t="inlineStr">
        <is>
          <t>ES11 0081 7069 2700 0122 7724</t>
        </is>
      </c>
      <c r="AC944" s="278" t="inlineStr">
        <is>
          <t>pendiente</t>
        </is>
      </c>
      <c r="AD944" s="280">
        <f>L944+N944+P944+R944+T944+V944+X944+Z944</f>
        <v/>
      </c>
      <c r="AE944" s="280">
        <f>IF((LEFT(K944,6))="Contab",L944,0)</f>
        <v/>
      </c>
      <c r="AF944" s="281">
        <f>VLOOKUP(G944,CLIENTES!B:E,4,FALSE)</f>
        <v/>
      </c>
      <c r="AG944" s="280">
        <f>AF944*AE944</f>
        <v/>
      </c>
      <c r="AH944" s="280">
        <f>AD944*1.21</f>
        <v/>
      </c>
      <c r="AI944" s="282">
        <f>IF(AE944&lt;&gt;0,AG944/AD944,"N/A")</f>
        <v/>
      </c>
      <c r="AJ944" s="280">
        <f>IF(AC944="pendiente",AD944,0)</f>
        <v/>
      </c>
      <c r="AK944" s="278">
        <f>VLOOKUP(G944,CLIENTES!B:D,3,FALSE)</f>
        <v/>
      </c>
    </row>
    <row r="945" ht="15" customFormat="1" customHeight="1" s="278">
      <c r="B945" s="279" t="n"/>
      <c r="C945" s="278" t="inlineStr">
        <is>
          <t>c/ Las Cruzadas 3A, local D</t>
        </is>
      </c>
      <c r="D945" s="278" t="inlineStr">
        <is>
          <t>Sevilla 41004</t>
        </is>
      </c>
      <c r="E945" s="278" t="inlineStr">
        <is>
          <t>CIF B91938662</t>
        </is>
      </c>
      <c r="F945" s="278" t="inlineStr">
        <is>
          <t>aBalados@abalados.es</t>
        </is>
      </c>
      <c r="G945" s="278" t="inlineStr">
        <is>
          <t>FP LUX REIO PV VALLADOLID, S.L.U.</t>
        </is>
      </c>
      <c r="H945" s="278">
        <f>VLOOKUP($G945,DATOS!$B:$E,2,FALSE)</f>
        <v/>
      </c>
      <c r="I945" s="278">
        <f>VLOOKUP($G945,DATOS!$B:$E,3,FALSE)</f>
        <v/>
      </c>
      <c r="J945" s="278">
        <f>VLOOKUP($G945,DATOS!$B:$E,4,FALSE)</f>
        <v/>
      </c>
      <c r="K945" s="278" t="inlineStr">
        <is>
          <t>Honorarios - Contrato O&amp;M 3º Trimestre</t>
        </is>
      </c>
      <c r="L945" s="280" t="n">
        <v>15799.25625916014</v>
      </c>
      <c r="N945" s="280" t="n"/>
      <c r="P945" s="280" t="n"/>
      <c r="R945" s="280" t="n"/>
      <c r="T945" s="280" t="n"/>
      <c r="V945" s="280" t="n"/>
      <c r="X945" s="280" t="n"/>
      <c r="Z945" s="280" t="n"/>
      <c r="AA945" s="280" t="n"/>
      <c r="AB945" s="281" t="inlineStr">
        <is>
          <t>ES11 0081 7069 2700 0122 7724</t>
        </is>
      </c>
      <c r="AC945" s="278" t="inlineStr">
        <is>
          <t>pendiente</t>
        </is>
      </c>
      <c r="AD945" s="280">
        <f>L945+N945+P945+R945+T945+V945+X945+Z945</f>
        <v/>
      </c>
      <c r="AE945" s="280">
        <f>IF((LEFT(K945,6))="Contab",L945,0)</f>
        <v/>
      </c>
      <c r="AF945" s="281">
        <f>VLOOKUP(G945,CLIENTES!B:E,4,FALSE)</f>
        <v/>
      </c>
      <c r="AG945" s="280">
        <f>AF945*AE945</f>
        <v/>
      </c>
      <c r="AH945" s="280">
        <f>AD945*1.21</f>
        <v/>
      </c>
      <c r="AI945" s="282">
        <f>IF(AE945&lt;&gt;0,AG945/AD945,"N/A")</f>
        <v/>
      </c>
      <c r="AJ945" s="280">
        <f>IF(AC945="pendiente",AD945,0)</f>
        <v/>
      </c>
      <c r="AK945" s="278">
        <f>VLOOKUP(G945,CLIENTES!B:D,3,FALSE)</f>
        <v/>
      </c>
    </row>
    <row r="946" ht="15" customFormat="1" customHeight="1" s="278">
      <c r="B946" s="279" t="n"/>
      <c r="C946" s="278" t="inlineStr">
        <is>
          <t>c/ Las Cruzadas 3A, local D</t>
        </is>
      </c>
      <c r="D946" s="278" t="inlineStr">
        <is>
          <t>Sevilla 41004</t>
        </is>
      </c>
      <c r="E946" s="278" t="inlineStr">
        <is>
          <t>CIF B91938662</t>
        </is>
      </c>
      <c r="F946" s="278" t="inlineStr">
        <is>
          <t>aBalados@abalados.es</t>
        </is>
      </c>
      <c r="G946" s="278" t="inlineStr">
        <is>
          <t>FP LUX REIO PV VALLADOLID, S.L.U.</t>
        </is>
      </c>
      <c r="H946" s="278">
        <f>VLOOKUP($G946,DATOS!$B:$E,2,FALSE)</f>
        <v/>
      </c>
      <c r="I946" s="278">
        <f>VLOOKUP($G946,DATOS!$B:$E,3,FALSE)</f>
        <v/>
      </c>
      <c r="J946" s="278">
        <f>VLOOKUP($G946,DATOS!$B:$E,4,FALSE)</f>
        <v/>
      </c>
      <c r="K946" s="278" t="inlineStr">
        <is>
          <t>Honorarios - Contrato O&amp;M 3º Trimestre</t>
        </is>
      </c>
      <c r="L946" s="280" t="n">
        <v>7021.859008345888</v>
      </c>
      <c r="N946" s="280" t="n"/>
      <c r="P946" s="280" t="n"/>
      <c r="R946" s="280" t="n"/>
      <c r="T946" s="280" t="n"/>
      <c r="V946" s="280" t="n"/>
      <c r="X946" s="280" t="n"/>
      <c r="Z946" s="280" t="n"/>
      <c r="AA946" s="280" t="n"/>
      <c r="AB946" s="281" t="inlineStr">
        <is>
          <t>ES11 0081 7069 2700 0122 7724</t>
        </is>
      </c>
      <c r="AC946" s="278" t="inlineStr">
        <is>
          <t>pendiente</t>
        </is>
      </c>
      <c r="AD946" s="280">
        <f>L946+N946+P946+R946+T946+V946+X946+Z946</f>
        <v/>
      </c>
      <c r="AE946" s="280">
        <f>IF((LEFT(K946,6))="Contab",L946,0)</f>
        <v/>
      </c>
      <c r="AF946" s="281">
        <f>VLOOKUP(G946,CLIENTES!B:E,4,FALSE)</f>
        <v/>
      </c>
      <c r="AG946" s="280">
        <f>AF946*AE946</f>
        <v/>
      </c>
      <c r="AH946" s="280">
        <f>AD946*1.21</f>
        <v/>
      </c>
      <c r="AI946" s="282">
        <f>IF(AE946&lt;&gt;0,AG946/AD946,"N/A")</f>
        <v/>
      </c>
      <c r="AJ946" s="280">
        <f>IF(AC946="pendiente",AD946,0)</f>
        <v/>
      </c>
      <c r="AK946" s="278">
        <f>VLOOKUP(G946,CLIENTES!B:D,3,FALSE)</f>
        <v/>
      </c>
    </row>
    <row r="947" ht="15" customFormat="1" customHeight="1" s="278">
      <c r="B947" s="279" t="n"/>
      <c r="C947" s="278" t="inlineStr">
        <is>
          <t>c/ Las Cruzadas 3A, local D</t>
        </is>
      </c>
      <c r="D947" s="278" t="inlineStr">
        <is>
          <t>Sevilla 41004</t>
        </is>
      </c>
      <c r="E947" s="278" t="inlineStr">
        <is>
          <t>CIF B91938662</t>
        </is>
      </c>
      <c r="F947" s="278" t="inlineStr">
        <is>
          <t>aBalados@abalados.es</t>
        </is>
      </c>
      <c r="G947" s="278" t="inlineStr">
        <is>
          <t>FP LUX REIO PV VALLADOLID, S.L.U.</t>
        </is>
      </c>
      <c r="H947" s="278">
        <f>VLOOKUP($G947,DATOS!$B:$E,2,FALSE)</f>
        <v/>
      </c>
      <c r="I947" s="278">
        <f>VLOOKUP($G947,DATOS!$B:$E,3,FALSE)</f>
        <v/>
      </c>
      <c r="J947" s="278">
        <f>VLOOKUP($G947,DATOS!$B:$E,4,FALSE)</f>
        <v/>
      </c>
      <c r="K947" s="278" t="inlineStr">
        <is>
          <t>Honorarios - Contrato O&amp;M 3º Trimestre</t>
        </is>
      </c>
      <c r="L947" s="280" t="n">
        <v>3624.936603398749</v>
      </c>
      <c r="N947" s="280" t="n"/>
      <c r="P947" s="280" t="n"/>
      <c r="R947" s="280" t="n"/>
      <c r="T947" s="280" t="n"/>
      <c r="V947" s="280" t="n"/>
      <c r="X947" s="280" t="n"/>
      <c r="Z947" s="280" t="n"/>
      <c r="AA947" s="280" t="n"/>
      <c r="AB947" s="281" t="inlineStr">
        <is>
          <t>ES11 0081 7069 2700 0122 7724</t>
        </is>
      </c>
      <c r="AC947" s="278" t="inlineStr">
        <is>
          <t>pendiente</t>
        </is>
      </c>
      <c r="AD947" s="280">
        <f>L947+N947+P947+R947+T947+V947+X947+Z947</f>
        <v/>
      </c>
      <c r="AE947" s="280">
        <f>IF((LEFT(K947,6))="Contab",L947,0)</f>
        <v/>
      </c>
      <c r="AF947" s="281">
        <f>VLOOKUP(G947,CLIENTES!B:E,4,FALSE)</f>
        <v/>
      </c>
      <c r="AG947" s="280">
        <f>AF947*AE947</f>
        <v/>
      </c>
      <c r="AH947" s="280">
        <f>AD947*1.21</f>
        <v/>
      </c>
      <c r="AI947" s="282">
        <f>IF(AE947&lt;&gt;0,AG947/AD947,"N/A")</f>
        <v/>
      </c>
      <c r="AJ947" s="280">
        <f>IF(AC947="pendiente",AD947,0)</f>
        <v/>
      </c>
      <c r="AK947" s="278">
        <f>VLOOKUP(G947,CLIENTES!B:D,3,FALSE)</f>
        <v/>
      </c>
    </row>
    <row r="948" ht="15" customFormat="1" customHeight="1" s="278">
      <c r="B948" s="279" t="n"/>
      <c r="C948" s="278" t="inlineStr">
        <is>
          <t>c/ Las Cruzadas 3A, local D</t>
        </is>
      </c>
      <c r="D948" s="278" t="inlineStr">
        <is>
          <t>Sevilla 41004</t>
        </is>
      </c>
      <c r="E948" s="278" t="inlineStr">
        <is>
          <t>CIF B91938662</t>
        </is>
      </c>
      <c r="F948" s="278" t="inlineStr">
        <is>
          <t>aBalados@abalados.es</t>
        </is>
      </c>
      <c r="G948" s="278" t="inlineStr">
        <is>
          <t>FP LUX REIO PV VALLADOLID, S.L.U.</t>
        </is>
      </c>
      <c r="H948" s="278">
        <f>VLOOKUP($G948,DATOS!$B:$E,2,FALSE)</f>
        <v/>
      </c>
      <c r="I948" s="278">
        <f>VLOOKUP($G948,DATOS!$B:$E,3,FALSE)</f>
        <v/>
      </c>
      <c r="J948" s="278">
        <f>VLOOKUP($G948,DATOS!$B:$E,4,FALSE)</f>
        <v/>
      </c>
      <c r="K948" s="278" t="inlineStr">
        <is>
          <t>Honorarios - Contrato O&amp;M 3º Trimestre</t>
        </is>
      </c>
      <c r="L948" s="280" t="n">
        <v>4920.915971018136</v>
      </c>
      <c r="N948" s="280" t="n"/>
      <c r="P948" s="280" t="n"/>
      <c r="R948" s="280" t="n"/>
      <c r="T948" s="280" t="n"/>
      <c r="V948" s="280" t="n"/>
      <c r="X948" s="280" t="n"/>
      <c r="Z948" s="280" t="n"/>
      <c r="AA948" s="280" t="n"/>
      <c r="AB948" s="281" t="inlineStr">
        <is>
          <t>ES11 0081 7069 2700 0122 7724</t>
        </is>
      </c>
      <c r="AC948" s="278" t="inlineStr">
        <is>
          <t>pendiente</t>
        </is>
      </c>
      <c r="AD948" s="280">
        <f>L948+N948+P948+R948+T948+V948+X948+Z948</f>
        <v/>
      </c>
      <c r="AE948" s="280">
        <f>IF((LEFT(K948,6))="Contab",L948,0)</f>
        <v/>
      </c>
      <c r="AF948" s="281">
        <f>VLOOKUP(G948,CLIENTES!B:E,4,FALSE)</f>
        <v/>
      </c>
      <c r="AG948" s="280">
        <f>AF948*AE948</f>
        <v/>
      </c>
      <c r="AH948" s="280">
        <f>AD948*1.21</f>
        <v/>
      </c>
      <c r="AI948" s="282">
        <f>IF(AE948&lt;&gt;0,AG948/AD948,"N/A")</f>
        <v/>
      </c>
      <c r="AJ948" s="280">
        <f>IF(AC948="pendiente",AD948,0)</f>
        <v/>
      </c>
      <c r="AK948" s="278">
        <f>VLOOKUP(G948,CLIENTES!B:D,3,FALSE)</f>
        <v/>
      </c>
    </row>
    <row r="949" ht="15" customFormat="1" customHeight="1" s="278">
      <c r="B949" s="279" t="n"/>
      <c r="C949" s="278" t="inlineStr">
        <is>
          <t>c/ Las Cruzadas 3A, local D</t>
        </is>
      </c>
      <c r="D949" s="278" t="inlineStr">
        <is>
          <t>Sevilla 41004</t>
        </is>
      </c>
      <c r="E949" s="278" t="inlineStr">
        <is>
          <t>CIF B91938662</t>
        </is>
      </c>
      <c r="F949" s="278" t="inlineStr">
        <is>
          <t>aBalados@abalados.es</t>
        </is>
      </c>
      <c r="G949" s="278" t="inlineStr">
        <is>
          <t>FP LUX REIO PV VALLADOLID, S.L.U.</t>
        </is>
      </c>
      <c r="H949" s="278">
        <f>VLOOKUP($G949,DATOS!$B:$E,2,FALSE)</f>
        <v/>
      </c>
      <c r="I949" s="278">
        <f>VLOOKUP($G949,DATOS!$B:$E,3,FALSE)</f>
        <v/>
      </c>
      <c r="J949" s="278">
        <f>VLOOKUP($G949,DATOS!$B:$E,4,FALSE)</f>
        <v/>
      </c>
      <c r="K949" s="278" t="inlineStr">
        <is>
          <t>Honorarios - Contrato O&amp;M 3º Trimestre</t>
        </is>
      </c>
      <c r="L949" s="280" t="n">
        <v>6946.428480379149</v>
      </c>
      <c r="N949" s="280" t="n"/>
      <c r="P949" s="280" t="n"/>
      <c r="R949" s="280" t="n"/>
      <c r="T949" s="280" t="n"/>
      <c r="V949" s="280" t="n"/>
      <c r="X949" s="280" t="n"/>
      <c r="Z949" s="280" t="n"/>
      <c r="AA949" s="280" t="n"/>
      <c r="AB949" s="281" t="inlineStr">
        <is>
          <t>ES11 0081 7069 2700 0122 7724</t>
        </is>
      </c>
      <c r="AC949" s="278" t="inlineStr">
        <is>
          <t>pendiente</t>
        </is>
      </c>
      <c r="AD949" s="280">
        <f>L949+N949+P949+R949+T949+V949+X949+Z949</f>
        <v/>
      </c>
      <c r="AE949" s="280">
        <f>IF((LEFT(K949,6))="Contab",L949,0)</f>
        <v/>
      </c>
      <c r="AF949" s="281">
        <f>VLOOKUP(G949,CLIENTES!B:E,4,FALSE)</f>
        <v/>
      </c>
      <c r="AG949" s="280">
        <f>AF949*AE949</f>
        <v/>
      </c>
      <c r="AH949" s="280">
        <f>AD949*1.21</f>
        <v/>
      </c>
      <c r="AI949" s="282">
        <f>IF(AE949&lt;&gt;0,AG949/AD949,"N/A")</f>
        <v/>
      </c>
      <c r="AJ949" s="280">
        <f>IF(AC949="pendiente",AD949,0)</f>
        <v/>
      </c>
      <c r="AK949" s="278">
        <f>VLOOKUP(G949,CLIENTES!B:D,3,FALSE)</f>
        <v/>
      </c>
    </row>
    <row r="950" ht="15" customFormat="1" customHeight="1" s="278">
      <c r="B950" s="279" t="n"/>
      <c r="C950" s="278" t="inlineStr">
        <is>
          <t>c/ Las Cruzadas 3A, local D</t>
        </is>
      </c>
      <c r="D950" s="278" t="inlineStr">
        <is>
          <t>Sevilla 41004</t>
        </is>
      </c>
      <c r="E950" s="278" t="inlineStr">
        <is>
          <t>CIF B91938662</t>
        </is>
      </c>
      <c r="F950" s="278" t="inlineStr">
        <is>
          <t>aBalados@abalados.es</t>
        </is>
      </c>
      <c r="G950" s="278" t="inlineStr">
        <is>
          <t>FP LUX REIO PV VALLADOLID, S.L.U.</t>
        </is>
      </c>
      <c r="H950" s="278">
        <f>VLOOKUP($G950,DATOS!$B:$E,2,FALSE)</f>
        <v/>
      </c>
      <c r="I950" s="278">
        <f>VLOOKUP($G950,DATOS!$B:$E,3,FALSE)</f>
        <v/>
      </c>
      <c r="J950" s="278">
        <f>VLOOKUP($G950,DATOS!$B:$E,4,FALSE)</f>
        <v/>
      </c>
      <c r="K950" s="278" t="inlineStr">
        <is>
          <t>Honorarios - Contrato O&amp;M 3º Trimestre</t>
        </is>
      </c>
      <c r="L950" s="280" t="n">
        <v>3740.954399472926</v>
      </c>
      <c r="N950" s="280" t="n"/>
      <c r="P950" s="280" t="n"/>
      <c r="R950" s="280" t="n"/>
      <c r="T950" s="280" t="n"/>
      <c r="V950" s="280" t="n"/>
      <c r="X950" s="280" t="n"/>
      <c r="Z950" s="280" t="n"/>
      <c r="AA950" s="280" t="n"/>
      <c r="AB950" s="281" t="inlineStr">
        <is>
          <t>ES11 0081 7069 2700 0122 7724</t>
        </is>
      </c>
      <c r="AC950" s="278" t="inlineStr">
        <is>
          <t>pendiente</t>
        </is>
      </c>
      <c r="AD950" s="280">
        <f>L950+N950+P950+R950+T950+V950+X950+Z950</f>
        <v/>
      </c>
      <c r="AE950" s="280">
        <f>IF((LEFT(K950,6))="Contab",L950,0)</f>
        <v/>
      </c>
      <c r="AF950" s="281">
        <f>VLOOKUP(G950,CLIENTES!B:E,4,FALSE)</f>
        <v/>
      </c>
      <c r="AG950" s="280">
        <f>AF950*AE950</f>
        <v/>
      </c>
      <c r="AH950" s="280">
        <f>AD950*1.21</f>
        <v/>
      </c>
      <c r="AI950" s="282">
        <f>IF(AE950&lt;&gt;0,AG950/AD950,"N/A")</f>
        <v/>
      </c>
      <c r="AJ950" s="280">
        <f>IF(AC950="pendiente",AD950,0)</f>
        <v/>
      </c>
      <c r="AK950" s="278">
        <f>VLOOKUP(G950,CLIENTES!B:D,3,FALSE)</f>
        <v/>
      </c>
    </row>
    <row r="951" ht="15" customFormat="1" customHeight="1" s="278">
      <c r="B951" s="279" t="n"/>
      <c r="C951" s="278" t="inlineStr">
        <is>
          <t>c/ Las Cruzadas 3A, local D</t>
        </is>
      </c>
      <c r="D951" s="278" t="inlineStr">
        <is>
          <t>Sevilla 41004</t>
        </is>
      </c>
      <c r="E951" s="278" t="inlineStr">
        <is>
          <t>CIF B91938662</t>
        </is>
      </c>
      <c r="F951" s="278" t="inlineStr">
        <is>
          <t>aBalados@abalados.es</t>
        </is>
      </c>
      <c r="G951" s="278" t="inlineStr">
        <is>
          <t>FP LUX REIO PV VALLADOLID, S.L.U.</t>
        </is>
      </c>
      <c r="H951" s="278">
        <f>VLOOKUP($G951,DATOS!$B:$E,2,FALSE)</f>
        <v/>
      </c>
      <c r="I951" s="278">
        <f>VLOOKUP($G951,DATOS!$B:$E,3,FALSE)</f>
        <v/>
      </c>
      <c r="J951" s="278">
        <f>VLOOKUP($G951,DATOS!$B:$E,4,FALSE)</f>
        <v/>
      </c>
      <c r="K951" s="278" t="inlineStr">
        <is>
          <t>Honorarios - Contrato O&amp;M 3º Trimestre</t>
        </is>
      </c>
      <c r="L951" s="280" t="n">
        <v>11061.73579669515</v>
      </c>
      <c r="N951" s="280" t="n"/>
      <c r="P951" s="280" t="n"/>
      <c r="R951" s="280" t="n"/>
      <c r="T951" s="280" t="n"/>
      <c r="V951" s="280" t="n"/>
      <c r="X951" s="280" t="n"/>
      <c r="Z951" s="280" t="n"/>
      <c r="AA951" s="280" t="n"/>
      <c r="AB951" s="281" t="inlineStr">
        <is>
          <t>ES11 0081 7069 2700 0122 7724</t>
        </is>
      </c>
      <c r="AC951" s="278" t="inlineStr">
        <is>
          <t>pendiente</t>
        </is>
      </c>
      <c r="AD951" s="280">
        <f>L951+N951+P951+R951+T951+V951+X951+Z951</f>
        <v/>
      </c>
      <c r="AE951" s="280">
        <f>IF((LEFT(K951,6))="Contab",L951,0)</f>
        <v/>
      </c>
      <c r="AF951" s="281">
        <f>VLOOKUP(G951,CLIENTES!B:E,4,FALSE)</f>
        <v/>
      </c>
      <c r="AG951" s="280">
        <f>AF951*AE951</f>
        <v/>
      </c>
      <c r="AH951" s="280">
        <f>AD951*1.21</f>
        <v/>
      </c>
      <c r="AI951" s="282">
        <f>IF(AE951&lt;&gt;0,AG951/AD951,"N/A")</f>
        <v/>
      </c>
      <c r="AJ951" s="280">
        <f>IF(AC951="pendiente",AD951,0)</f>
        <v/>
      </c>
      <c r="AK951" s="278">
        <f>VLOOKUP(G951,CLIENTES!B:D,3,FALSE)</f>
        <v/>
      </c>
    </row>
    <row r="952" ht="15" customFormat="1" customHeight="1" s="278">
      <c r="B952" s="279" t="n"/>
      <c r="C952" s="278" t="inlineStr">
        <is>
          <t>c/ Las Cruzadas 3A, local D</t>
        </is>
      </c>
      <c r="D952" s="278" t="inlineStr">
        <is>
          <t>Sevilla 41004</t>
        </is>
      </c>
      <c r="E952" s="278" t="inlineStr">
        <is>
          <t>CIF B91938662</t>
        </is>
      </c>
      <c r="F952" s="278" t="inlineStr">
        <is>
          <t>aBalados@abalados.es</t>
        </is>
      </c>
      <c r="G952" s="278" t="inlineStr">
        <is>
          <t>FP LUX REIO PV VALLADOLID, S.L.U.</t>
        </is>
      </c>
      <c r="H952" s="278">
        <f>VLOOKUP($G952,DATOS!$B:$E,2,FALSE)</f>
        <v/>
      </c>
      <c r="I952" s="278">
        <f>VLOOKUP($G952,DATOS!$B:$E,3,FALSE)</f>
        <v/>
      </c>
      <c r="J952" s="278">
        <f>VLOOKUP($G952,DATOS!$B:$E,4,FALSE)</f>
        <v/>
      </c>
      <c r="K952" s="278" t="inlineStr">
        <is>
          <t>Honorarios - Contrato O&amp;M 3º Trimestre</t>
        </is>
      </c>
      <c r="L952" s="280" t="n">
        <v>11061.73579669515</v>
      </c>
      <c r="N952" s="280" t="n"/>
      <c r="P952" s="280" t="n"/>
      <c r="R952" s="280" t="n"/>
      <c r="T952" s="280" t="n"/>
      <c r="V952" s="280" t="n"/>
      <c r="X952" s="280" t="n"/>
      <c r="Z952" s="280" t="n"/>
      <c r="AA952" s="280" t="n"/>
      <c r="AB952" s="281" t="inlineStr">
        <is>
          <t>ES11 0081 7069 2700 0122 7724</t>
        </is>
      </c>
      <c r="AC952" s="278" t="inlineStr">
        <is>
          <t>pendiente</t>
        </is>
      </c>
      <c r="AD952" s="280">
        <f>L952+N952+P952+R952+T952+V952+X952+Z952</f>
        <v/>
      </c>
      <c r="AE952" s="280">
        <f>IF((LEFT(K952,6))="Contab",L952,0)</f>
        <v/>
      </c>
      <c r="AF952" s="281">
        <f>VLOOKUP(G952,CLIENTES!B:E,4,FALSE)</f>
        <v/>
      </c>
      <c r="AG952" s="280">
        <f>AF952*AE952</f>
        <v/>
      </c>
      <c r="AH952" s="280">
        <f>AD952*1.21</f>
        <v/>
      </c>
      <c r="AI952" s="282">
        <f>IF(AE952&lt;&gt;0,AG952/AD952,"N/A")</f>
        <v/>
      </c>
      <c r="AJ952" s="280">
        <f>IF(AC952="pendiente",AD952,0)</f>
        <v/>
      </c>
      <c r="AK952" s="278">
        <f>VLOOKUP(G952,CLIENTES!B:D,3,FALSE)</f>
        <v/>
      </c>
    </row>
    <row r="953" ht="15" customFormat="1" customHeight="1" s="278">
      <c r="B953" s="279" t="n"/>
      <c r="C953" s="278" t="inlineStr">
        <is>
          <t>c/ Las Cruzadas 3A, local D</t>
        </is>
      </c>
      <c r="D953" s="278" t="inlineStr">
        <is>
          <t>Sevilla 41004</t>
        </is>
      </c>
      <c r="E953" s="278" t="inlineStr">
        <is>
          <t>CIF B91938662</t>
        </is>
      </c>
      <c r="F953" s="278" t="inlineStr">
        <is>
          <t>aBalados@abalados.es</t>
        </is>
      </c>
      <c r="G953" s="278" t="inlineStr">
        <is>
          <t>FP LUX REIO PV VALLADOLID, S.L.U.</t>
        </is>
      </c>
      <c r="H953" s="278">
        <f>VLOOKUP($G953,DATOS!$B:$E,2,FALSE)</f>
        <v/>
      </c>
      <c r="I953" s="278">
        <f>VLOOKUP($G953,DATOS!$B:$E,3,FALSE)</f>
        <v/>
      </c>
      <c r="J953" s="278">
        <f>VLOOKUP($G953,DATOS!$B:$E,4,FALSE)</f>
        <v/>
      </c>
      <c r="K953" s="278" t="inlineStr">
        <is>
          <t>Honorarios - Contrato O&amp;M 3º Trimestre</t>
        </is>
      </c>
      <c r="L953" s="280" t="n">
        <v>10008.23714939085</v>
      </c>
      <c r="N953" s="280" t="n"/>
      <c r="P953" s="280" t="n"/>
      <c r="R953" s="280" t="n"/>
      <c r="T953" s="280" t="n"/>
      <c r="V953" s="280" t="n"/>
      <c r="X953" s="280" t="n"/>
      <c r="Z953" s="280" t="n"/>
      <c r="AA953" s="280" t="n"/>
      <c r="AB953" s="281" t="inlineStr">
        <is>
          <t>ES11 0081 7069 2700 0122 7724</t>
        </is>
      </c>
      <c r="AC953" s="278" t="inlineStr">
        <is>
          <t>pendiente</t>
        </is>
      </c>
      <c r="AD953" s="280">
        <f>L953+N953+P953+R953+T953+V953+X953+Z953</f>
        <v/>
      </c>
      <c r="AE953" s="280">
        <f>IF((LEFT(K953,6))="Contab",L953,0)</f>
        <v/>
      </c>
      <c r="AF953" s="281">
        <f>VLOOKUP(G953,CLIENTES!B:E,4,FALSE)</f>
        <v/>
      </c>
      <c r="AG953" s="280">
        <f>AF953*AE953</f>
        <v/>
      </c>
      <c r="AH953" s="280">
        <f>AD953*1.21</f>
        <v/>
      </c>
      <c r="AI953" s="282">
        <f>IF(AE953&lt;&gt;0,AG953/AD953,"N/A")</f>
        <v/>
      </c>
      <c r="AJ953" s="280">
        <f>IF(AC953="pendiente",AD953,0)</f>
        <v/>
      </c>
      <c r="AK953" s="278">
        <f>VLOOKUP(G953,CLIENTES!B:D,3,FALSE)</f>
        <v/>
      </c>
    </row>
    <row r="954" ht="15" customFormat="1" customHeight="1" s="278">
      <c r="B954" s="279" t="n"/>
      <c r="C954" s="278" t="inlineStr">
        <is>
          <t>c/ Las Cruzadas 3A, local D</t>
        </is>
      </c>
      <c r="D954" s="278" t="inlineStr">
        <is>
          <t>Sevilla 41004</t>
        </is>
      </c>
      <c r="E954" s="278" t="inlineStr">
        <is>
          <t>CIF B91938662</t>
        </is>
      </c>
      <c r="F954" s="278" t="inlineStr">
        <is>
          <t>aBalados@abalados.es</t>
        </is>
      </c>
      <c r="G954" s="278" t="inlineStr">
        <is>
          <t>FP LUX REIO PV VALLADOLID, S.L.U.</t>
        </is>
      </c>
      <c r="H954" s="278">
        <f>VLOOKUP($G954,DATOS!$B:$E,2,FALSE)</f>
        <v/>
      </c>
      <c r="I954" s="278">
        <f>VLOOKUP($G954,DATOS!$B:$E,3,FALSE)</f>
        <v/>
      </c>
      <c r="J954" s="278">
        <f>VLOOKUP($G954,DATOS!$B:$E,4,FALSE)</f>
        <v/>
      </c>
      <c r="K954" s="278" t="inlineStr">
        <is>
          <t>Honorarios - Contrato O&amp;M 3º Trimestre</t>
        </is>
      </c>
      <c r="L954" s="280" t="n">
        <v>22000.33538786123</v>
      </c>
      <c r="N954" s="280" t="n"/>
      <c r="P954" s="280" t="n"/>
      <c r="R954" s="280" t="n"/>
      <c r="T954" s="280" t="n"/>
      <c r="V954" s="280" t="n"/>
      <c r="X954" s="280" t="n"/>
      <c r="Z954" s="280" t="n"/>
      <c r="AA954" s="280" t="n"/>
      <c r="AB954" s="281" t="inlineStr">
        <is>
          <t>ES11 0081 7069 2700 0122 7724</t>
        </is>
      </c>
      <c r="AC954" s="278" t="inlineStr">
        <is>
          <t>pendiente</t>
        </is>
      </c>
      <c r="AD954" s="280">
        <f>L954+N954+P954+R954+T954+V954+X954+Z954</f>
        <v/>
      </c>
      <c r="AE954" s="280">
        <f>IF((LEFT(K954,6))="Contab",L954,0)</f>
        <v/>
      </c>
      <c r="AF954" s="281">
        <f>VLOOKUP(G954,CLIENTES!B:E,4,FALSE)</f>
        <v/>
      </c>
      <c r="AG954" s="280">
        <f>AF954*AE954</f>
        <v/>
      </c>
      <c r="AH954" s="280">
        <f>AD954*1.21</f>
        <v/>
      </c>
      <c r="AI954" s="282">
        <f>IF(AE954&lt;&gt;0,AG954/AD954,"N/A")</f>
        <v/>
      </c>
      <c r="AJ954" s="280">
        <f>IF(AC954="pendiente",AD954,0)</f>
        <v/>
      </c>
      <c r="AK954" s="278">
        <f>VLOOKUP(G954,CLIENTES!B:D,3,FALSE)</f>
        <v/>
      </c>
    </row>
    <row r="955" ht="15" customFormat="1" customHeight="1" s="278">
      <c r="B955" s="279" t="n"/>
      <c r="C955" s="278" t="inlineStr">
        <is>
          <t>c/ Las Cruzadas 3A, local D</t>
        </is>
      </c>
      <c r="D955" s="278" t="inlineStr">
        <is>
          <t>Sevilla 41004</t>
        </is>
      </c>
      <c r="E955" s="278" t="inlineStr">
        <is>
          <t>CIF B91938662</t>
        </is>
      </c>
      <c r="F955" s="278" t="inlineStr">
        <is>
          <t>aBalados@abalados.es</t>
        </is>
      </c>
      <c r="G955" s="278" t="inlineStr">
        <is>
          <t>FP LUX REIO PV VALLADOLID, S.L.U.</t>
        </is>
      </c>
      <c r="H955" s="278">
        <f>VLOOKUP($G955,DATOS!$B:$E,2,FALSE)</f>
        <v/>
      </c>
      <c r="I955" s="278">
        <f>VLOOKUP($G955,DATOS!$B:$E,3,FALSE)</f>
        <v/>
      </c>
      <c r="J955" s="278">
        <f>VLOOKUP($G955,DATOS!$B:$E,4,FALSE)</f>
        <v/>
      </c>
      <c r="K955" s="278" t="inlineStr">
        <is>
          <t>Honorarios - Contrato O&amp;M 3º Trimestre</t>
        </is>
      </c>
      <c r="L955" s="280" t="n">
        <v>10897.42004851115</v>
      </c>
      <c r="N955" s="280" t="n"/>
      <c r="P955" s="280" t="n"/>
      <c r="R955" s="280" t="n"/>
      <c r="T955" s="280" t="n"/>
      <c r="V955" s="280" t="n"/>
      <c r="X955" s="280" t="n"/>
      <c r="Z955" s="280" t="n"/>
      <c r="AA955" s="280" t="n"/>
      <c r="AB955" s="281" t="inlineStr">
        <is>
          <t>ES11 0081 7069 2700 0122 7724</t>
        </is>
      </c>
      <c r="AC955" s="278" t="inlineStr">
        <is>
          <t>pendiente</t>
        </is>
      </c>
      <c r="AD955" s="280">
        <f>L955+N955+P955+R955+T955+V955+X955+Z955</f>
        <v/>
      </c>
      <c r="AE955" s="280">
        <f>IF((LEFT(K955,6))="Contab",L955,0)</f>
        <v/>
      </c>
      <c r="AF955" s="281">
        <f>VLOOKUP(G955,CLIENTES!B:E,4,FALSE)</f>
        <v/>
      </c>
      <c r="AG955" s="280">
        <f>AF955*AE955</f>
        <v/>
      </c>
      <c r="AH955" s="280">
        <f>AD955*1.21</f>
        <v/>
      </c>
      <c r="AI955" s="282">
        <f>IF(AE955&lt;&gt;0,AG955/AD955,"N/A")</f>
        <v/>
      </c>
      <c r="AJ955" s="280">
        <f>IF(AC955="pendiente",AD955,0)</f>
        <v/>
      </c>
      <c r="AK955" s="278">
        <f>VLOOKUP(G955,CLIENTES!B:D,3,FALSE)</f>
        <v/>
      </c>
    </row>
    <row r="956" ht="15" customFormat="1" customHeight="1" s="278">
      <c r="B956" s="279" t="n"/>
      <c r="C956" s="278" t="inlineStr">
        <is>
          <t>c/ Las Cruzadas 3A, local D</t>
        </is>
      </c>
      <c r="D956" s="278" t="inlineStr">
        <is>
          <t>Sevilla 41004</t>
        </is>
      </c>
      <c r="E956" s="278" t="inlineStr">
        <is>
          <t>CIF B91938662</t>
        </is>
      </c>
      <c r="F956" s="278" t="inlineStr">
        <is>
          <t>aBalados@abalados.es</t>
        </is>
      </c>
      <c r="G956" s="278" t="inlineStr">
        <is>
          <t>FP LUX REIO PV VALLADOLID, S.L.U.</t>
        </is>
      </c>
      <c r="H956" s="278">
        <f>VLOOKUP($G956,DATOS!$B:$E,2,FALSE)</f>
        <v/>
      </c>
      <c r="I956" s="278">
        <f>VLOOKUP($G956,DATOS!$B:$E,3,FALSE)</f>
        <v/>
      </c>
      <c r="J956" s="278">
        <f>VLOOKUP($G956,DATOS!$B:$E,4,FALSE)</f>
        <v/>
      </c>
      <c r="K956" s="278" t="inlineStr">
        <is>
          <t>Honorarios - Contrato O&amp;M 3º Trimestre</t>
        </is>
      </c>
      <c r="L956" s="280" t="n">
        <v>16604.5068382126</v>
      </c>
      <c r="N956" s="280" t="n"/>
      <c r="P956" s="280" t="n"/>
      <c r="R956" s="280" t="n"/>
      <c r="T956" s="280" t="n"/>
      <c r="V956" s="280" t="n"/>
      <c r="X956" s="280" t="n"/>
      <c r="Z956" s="280" t="n"/>
      <c r="AA956" s="280" t="n"/>
      <c r="AB956" s="281" t="inlineStr">
        <is>
          <t>ES11 0081 7069 2700 0122 7724</t>
        </is>
      </c>
      <c r="AC956" s="278" t="inlineStr">
        <is>
          <t>pendiente</t>
        </is>
      </c>
      <c r="AD956" s="280">
        <f>L956+N956+P956+R956+T956+V956+X956+Z956</f>
        <v/>
      </c>
      <c r="AE956" s="280">
        <f>IF((LEFT(K956,6))="Contab",L956,0)</f>
        <v/>
      </c>
      <c r="AF956" s="281">
        <f>VLOOKUP(G956,CLIENTES!B:E,4,FALSE)</f>
        <v/>
      </c>
      <c r="AG956" s="280">
        <f>AF956*AE956</f>
        <v/>
      </c>
      <c r="AH956" s="280">
        <f>AD956*1.21</f>
        <v/>
      </c>
      <c r="AI956" s="282">
        <f>IF(AE956&lt;&gt;0,AG956/AD956,"N/A")</f>
        <v/>
      </c>
      <c r="AJ956" s="280">
        <f>IF(AC956="pendiente",AD956,0)</f>
        <v/>
      </c>
      <c r="AK956" s="278">
        <f>VLOOKUP(G956,CLIENTES!B:D,3,FALSE)</f>
        <v/>
      </c>
    </row>
    <row r="957" ht="15" customFormat="1" customHeight="1" s="278">
      <c r="B957" s="279" t="n"/>
      <c r="C957" s="278" t="inlineStr">
        <is>
          <t>c/ Las Cruzadas 3A, local D</t>
        </is>
      </c>
      <c r="D957" s="278" t="inlineStr">
        <is>
          <t>Sevilla 41004</t>
        </is>
      </c>
      <c r="E957" s="278" t="inlineStr">
        <is>
          <t>CIF B91938662</t>
        </is>
      </c>
      <c r="F957" s="278" t="inlineStr">
        <is>
          <t>aBalados@abalados.es</t>
        </is>
      </c>
      <c r="G957" s="278" t="inlineStr">
        <is>
          <t>FP LUX REIO PV VALLADOLID, S.L.U.</t>
        </is>
      </c>
      <c r="H957" s="278">
        <f>VLOOKUP($G957,DATOS!$B:$E,2,FALSE)</f>
        <v/>
      </c>
      <c r="I957" s="278">
        <f>VLOOKUP($G957,DATOS!$B:$E,3,FALSE)</f>
        <v/>
      </c>
      <c r="J957" s="278">
        <f>VLOOKUP($G957,DATOS!$B:$E,4,FALSE)</f>
        <v/>
      </c>
      <c r="K957" s="278" t="inlineStr">
        <is>
          <t>Honorarios - Contrato O&amp;M 3º Trimestre</t>
        </is>
      </c>
      <c r="L957" s="280" t="n">
        <v>11831.1860795159</v>
      </c>
      <c r="N957" s="280" t="n"/>
      <c r="P957" s="280" t="n"/>
      <c r="R957" s="280" t="n"/>
      <c r="T957" s="280" t="n"/>
      <c r="V957" s="280" t="n"/>
      <c r="X957" s="280" t="n"/>
      <c r="Z957" s="280" t="n"/>
      <c r="AA957" s="280" t="n"/>
      <c r="AB957" s="281" t="inlineStr">
        <is>
          <t>ES11 0081 7069 2700 0122 7724</t>
        </is>
      </c>
      <c r="AC957" s="278" t="inlineStr">
        <is>
          <t>pendiente</t>
        </is>
      </c>
      <c r="AD957" s="280">
        <f>L957+N957+P957+R957+T957+V957+X957+Z957</f>
        <v/>
      </c>
      <c r="AE957" s="280">
        <f>IF((LEFT(K957,6))="Contab",L957,0)</f>
        <v/>
      </c>
      <c r="AF957" s="281">
        <f>VLOOKUP(G957,CLIENTES!B:E,4,FALSE)</f>
        <v/>
      </c>
      <c r="AG957" s="280">
        <f>AF957*AE957</f>
        <v/>
      </c>
      <c r="AH957" s="280">
        <f>AD957*1.21</f>
        <v/>
      </c>
      <c r="AI957" s="282">
        <f>IF(AE957&lt;&gt;0,AG957/AD957,"N/A")</f>
        <v/>
      </c>
      <c r="AJ957" s="280">
        <f>IF(AC957="pendiente",AD957,0)</f>
        <v/>
      </c>
      <c r="AK957" s="278">
        <f>VLOOKUP(G957,CLIENTES!B:D,3,FALSE)</f>
        <v/>
      </c>
    </row>
    <row r="958" ht="15" customFormat="1" customHeight="1" s="192">
      <c r="B958" s="199" t="n"/>
      <c r="C958" s="192" t="inlineStr">
        <is>
          <t>c/ Las Cruzadas 3A, local D</t>
        </is>
      </c>
      <c r="D958" s="192" t="inlineStr">
        <is>
          <t>Sevilla 41004</t>
        </is>
      </c>
      <c r="E958" s="192" t="inlineStr">
        <is>
          <t>CIF B91938662</t>
        </is>
      </c>
      <c r="F958" s="192" t="inlineStr">
        <is>
          <t>aBalados@abalados.es</t>
        </is>
      </c>
      <c r="G958" s="192" t="inlineStr">
        <is>
          <t>FP LUX REIO PV VALLADOLID, S.L.U.</t>
        </is>
      </c>
      <c r="H958" s="192">
        <f>VLOOKUP($G958,DATOS!$B:$E,2,FALSE)</f>
        <v/>
      </c>
      <c r="I958" s="192">
        <f>VLOOKUP($G958,DATOS!$B:$E,3,FALSE)</f>
        <v/>
      </c>
      <c r="J958" s="192">
        <f>VLOOKUP($G958,DATOS!$B:$E,4,FALSE)</f>
        <v/>
      </c>
      <c r="K958" s="192" t="inlineStr">
        <is>
          <t>Proyecto El Marqués - Zaragoza</t>
        </is>
      </c>
      <c r="L958" s="200" t="n"/>
      <c r="M958" s="192" t="inlineStr">
        <is>
          <t>Asset Management fee - 3rd quarter 2023</t>
        </is>
      </c>
      <c r="N958" s="200">
        <f>'Tarifa 2025'!$D$25/4</f>
        <v/>
      </c>
      <c r="P958" s="200" t="n"/>
      <c r="Q958" s="192" t="inlineStr">
        <is>
          <t>Honorarios de gestión de activo - 2º trimestre 2023</t>
        </is>
      </c>
      <c r="R958" s="200" t="n"/>
      <c r="T958" s="200" t="n"/>
      <c r="V958" s="200" t="n"/>
      <c r="X958" s="200" t="n"/>
      <c r="Z958" s="200" t="n"/>
      <c r="AA958" s="200" t="n"/>
      <c r="AB958" s="201" t="inlineStr">
        <is>
          <t>ES11 0081 7069 2700 0122 7724</t>
        </is>
      </c>
      <c r="AC958" s="192" t="inlineStr">
        <is>
          <t>pendiente</t>
        </is>
      </c>
      <c r="AD958" s="200">
        <f>L958+N958+P958+R958+T958+V958+X958+Z958</f>
        <v/>
      </c>
      <c r="AE958" s="200">
        <f>IF((LEFT(K958,6))="Contab",L958,0)</f>
        <v/>
      </c>
      <c r="AF958" s="201">
        <f>VLOOKUP(G958,CLIENTES!B:E,4,FALSE)</f>
        <v/>
      </c>
      <c r="AG958" s="200">
        <f>AF958*AE958</f>
        <v/>
      </c>
      <c r="AH958" s="200">
        <f>AD958*1.21</f>
        <v/>
      </c>
      <c r="AI958" s="283">
        <f>IF(AE958&lt;&gt;0,AG958/AD958,"N/A")</f>
        <v/>
      </c>
      <c r="AJ958" s="200">
        <f>IF(AC958="pendiente",AD958,0)</f>
        <v/>
      </c>
      <c r="AK958" s="192">
        <f>VLOOKUP(G958,CLIENTES!B:D,3,FALSE)</f>
        <v/>
      </c>
    </row>
    <row r="959" ht="15" customFormat="1" customHeight="1" s="189">
      <c r="B959" s="188" t="n"/>
      <c r="C959" s="189" t="inlineStr">
        <is>
          <t>c/ Las Cruzadas 3A, local D</t>
        </is>
      </c>
      <c r="D959" s="189" t="inlineStr">
        <is>
          <t>Sevilla 41004</t>
        </is>
      </c>
      <c r="E959" s="189" t="inlineStr">
        <is>
          <t>CIF B91938662</t>
        </is>
      </c>
      <c r="F959" s="189" t="inlineStr">
        <is>
          <t>aBalados@abalados.es</t>
        </is>
      </c>
      <c r="G959" s="189" t="inlineStr">
        <is>
          <t>FP LUX REIO PV VALLADOLID, S.L.U.</t>
        </is>
      </c>
      <c r="H959" s="189">
        <f>VLOOKUP($G959,DATOS!$B:$E,2,FALSE)</f>
        <v/>
      </c>
      <c r="I959" s="189">
        <f>VLOOKUP($G959,DATOS!$B:$E,3,FALSE)</f>
        <v/>
      </c>
      <c r="J959" s="189">
        <f>VLOOKUP($G959,DATOS!$B:$E,4,FALSE)</f>
        <v/>
      </c>
      <c r="K959" s="189" t="inlineStr">
        <is>
          <t>Pilar PV - Extraordinary Service</t>
        </is>
      </c>
      <c r="L959" s="190" t="n"/>
      <c r="M959" s="189" t="inlineStr">
        <is>
          <t>Assistance for Selling Transaction (ReCap's DD)</t>
        </is>
      </c>
      <c r="N959" s="190" t="n">
        <v>2065</v>
      </c>
      <c r="P959" s="190" t="n"/>
      <c r="R959" s="190" t="n"/>
      <c r="T959" s="190" t="n"/>
      <c r="V959" s="190" t="n"/>
      <c r="X959" s="190" t="n"/>
      <c r="Z959" s="190" t="n"/>
      <c r="AA959" s="190" t="n"/>
      <c r="AB959" s="191" t="inlineStr">
        <is>
          <t>ES11 0081 7069 2700 0122 7724</t>
        </is>
      </c>
      <c r="AC959" s="189" t="inlineStr">
        <is>
          <t>pendiente</t>
        </is>
      </c>
      <c r="AD959" s="190">
        <f>L959+N959+P959+R959+T959+V959+X959+Z959</f>
        <v/>
      </c>
      <c r="AE959" s="190">
        <f>IF((LEFT(K959,6))="Contab",L959,0)</f>
        <v/>
      </c>
      <c r="AF959" s="191">
        <f>VLOOKUP(G959,CLIENTES!B:E,4,FALSE)</f>
        <v/>
      </c>
      <c r="AG959" s="190">
        <f>AF959*AE959</f>
        <v/>
      </c>
      <c r="AH959" s="190">
        <f>AD959*1.21</f>
        <v/>
      </c>
      <c r="AI959" s="193">
        <f>IF(AE959&lt;&gt;0,AG959/AD959,"N/A")</f>
        <v/>
      </c>
      <c r="AJ959" s="190">
        <f>IF(AC959="pendiente",AD959,0)</f>
        <v/>
      </c>
      <c r="AK959" s="189">
        <f>VLOOKUP(G959,CLIENTES!B:D,3,FALSE)</f>
        <v/>
      </c>
    </row>
    <row r="960" ht="15" customFormat="1" customHeight="1" s="195">
      <c r="B960" s="194" t="n"/>
      <c r="C960" s="195" t="inlineStr">
        <is>
          <t>c/ Las Cruzadas 3A, local D</t>
        </is>
      </c>
      <c r="D960" s="195" t="inlineStr">
        <is>
          <t>Sevilla 41004</t>
        </is>
      </c>
      <c r="E960" s="195" t="inlineStr">
        <is>
          <t>CIF B91938662</t>
        </is>
      </c>
      <c r="F960" s="195" t="inlineStr">
        <is>
          <t>aBalados@abalados.es</t>
        </is>
      </c>
      <c r="G960" s="195" t="inlineStr">
        <is>
          <t>FP LUX REIO PV VALLADOLID, S.L.U.</t>
        </is>
      </c>
      <c r="H960" s="195">
        <f>VLOOKUP($G960,DATOS!$B:$E,2,FALSE)</f>
        <v/>
      </c>
      <c r="I960" s="195">
        <f>VLOOKUP($G960,DATOS!$B:$E,3,FALSE)</f>
        <v/>
      </c>
      <c r="J960" s="195">
        <f>VLOOKUP($G960,DATOS!$B:$E,4,FALSE)</f>
        <v/>
      </c>
      <c r="K960" s="195" t="inlineStr">
        <is>
          <t>O&amp;M Supervision and Management  -  Contract Novation (DoA July 20th 2023)</t>
        </is>
      </c>
      <c r="L960" s="196" t="n"/>
      <c r="M960" s="195" t="inlineStr">
        <is>
          <t>Puerto Real 1 PV - Cádiz | Spain</t>
        </is>
      </c>
      <c r="N960" s="196" t="n"/>
      <c r="P960" s="196" t="n"/>
      <c r="Q960" s="195" t="inlineStr">
        <is>
          <t>Milestone 0 - Novation signature</t>
        </is>
      </c>
      <c r="R960" s="196" t="n">
        <v>3761.73</v>
      </c>
      <c r="T960" s="196" t="n"/>
      <c r="V960" s="196" t="n"/>
      <c r="X960" s="196" t="n"/>
      <c r="Z960" s="196" t="n"/>
      <c r="AA960" s="196" t="n"/>
      <c r="AB960" s="197" t="inlineStr">
        <is>
          <t>ES11 0081 7069 2700 0122 7724</t>
        </is>
      </c>
      <c r="AC960" s="195" t="inlineStr">
        <is>
          <t>pendiente</t>
        </is>
      </c>
      <c r="AD960" s="196">
        <f>L960+N960+P960+R960+T960+V960+X960+Z960</f>
        <v/>
      </c>
      <c r="AE960" s="196">
        <f>IF((LEFT(K960,6))="Contab",L960,0)</f>
        <v/>
      </c>
      <c r="AF960" s="197">
        <f>VLOOKUP(G960,CLIENTES!B:E,4,FALSE)</f>
        <v/>
      </c>
      <c r="AG960" s="196">
        <f>AF960*AE960</f>
        <v/>
      </c>
      <c r="AH960" s="196">
        <f>AD960*1.21</f>
        <v/>
      </c>
      <c r="AI960" s="285">
        <f>IF(AE960&lt;&gt;0,AG960/AD960,"N/A")</f>
        <v/>
      </c>
      <c r="AJ960" s="196">
        <f>IF(AC960="pendiente",AD960,0)</f>
        <v/>
      </c>
      <c r="AK960" s="195">
        <f>VLOOKUP(G960,CLIENTES!B:D,3,FALSE)</f>
        <v/>
      </c>
    </row>
    <row r="961" ht="15" customFormat="1" customHeight="1" s="192">
      <c r="B961" s="199" t="n"/>
      <c r="C961" s="192" t="inlineStr">
        <is>
          <t>c/ Las Cruzadas 3A, local D</t>
        </is>
      </c>
      <c r="D961" s="192" t="inlineStr">
        <is>
          <t>Sevilla 41004</t>
        </is>
      </c>
      <c r="E961" s="192" t="inlineStr">
        <is>
          <t>CIF B91938662</t>
        </is>
      </c>
      <c r="F961" s="192" t="inlineStr">
        <is>
          <t>aBalados@abalados.es</t>
        </is>
      </c>
      <c r="G961" s="192" t="inlineStr">
        <is>
          <t>FP LUX REIO PV VALLADOLID, S.L.U.</t>
        </is>
      </c>
      <c r="H961" s="192">
        <f>VLOOKUP($G961,DATOS!$B:$E,2,FALSE)</f>
        <v/>
      </c>
      <c r="I961" s="192">
        <f>VLOOKUP($G961,DATOS!$B:$E,3,FALSE)</f>
        <v/>
      </c>
      <c r="J961" s="192">
        <f>VLOOKUP($G961,DATOS!$B:$E,4,FALSE)</f>
        <v/>
      </c>
      <c r="K961" s="192" t="inlineStr">
        <is>
          <t>O&amp;M Supervision and Management  -  DoA No.2307_01</t>
        </is>
      </c>
      <c r="L961" s="200" t="n"/>
      <c r="M961" s="192" t="inlineStr">
        <is>
          <t>Puerto Real 1 PV - Cádiz | Spain</t>
        </is>
      </c>
      <c r="N961" s="200" t="n"/>
      <c r="P961" s="200" t="n"/>
      <c r="Q961" s="192" t="inlineStr">
        <is>
          <t>Correction defects agreed in Punch List (Milestone 0)</t>
        </is>
      </c>
      <c r="R961" s="200" t="n">
        <v>5250</v>
      </c>
      <c r="S961" s="192" t="inlineStr">
        <is>
          <t>Advance the final cost Elmya's support</t>
        </is>
      </c>
      <c r="T961" s="200" t="n">
        <v>6163</v>
      </c>
      <c r="U961" s="192" t="inlineStr">
        <is>
          <t>Advance the final cost Edisur's offer price</t>
        </is>
      </c>
      <c r="V961" s="200" t="n">
        <v>27183.92</v>
      </c>
      <c r="W961" s="192" t="inlineStr">
        <is>
          <t>Advance payment of Elektra's Offer</t>
        </is>
      </c>
      <c r="X961" s="200" t="n">
        <v>403.84</v>
      </c>
      <c r="Y961" s="192" t="inlineStr">
        <is>
          <t>Advance payment of Elecnor's invoices</t>
        </is>
      </c>
      <c r="Z961" s="200" t="n">
        <v>1266.52</v>
      </c>
      <c r="AA961" s="200" t="n"/>
      <c r="AB961" s="201" t="inlineStr">
        <is>
          <t>ES11 0081 7069 2700 0122 7724</t>
        </is>
      </c>
      <c r="AC961" s="192" t="inlineStr">
        <is>
          <t>pendiente</t>
        </is>
      </c>
      <c r="AD961" s="200">
        <f>L961+N961+P961+R961+T961+V961+X961+Z961</f>
        <v/>
      </c>
      <c r="AE961" s="200">
        <f>IF((LEFT(K961,6))="Contab",L961,0)</f>
        <v/>
      </c>
      <c r="AF961" s="201">
        <f>VLOOKUP(G961,CLIENTES!B:E,4,FALSE)</f>
        <v/>
      </c>
      <c r="AG961" s="200">
        <f>AF961*AE961</f>
        <v/>
      </c>
      <c r="AH961" s="200">
        <f>AD961*1.21</f>
        <v/>
      </c>
      <c r="AI961" s="283">
        <f>IF(AE961&lt;&gt;0,AG961/AD961,"N/A")</f>
        <v/>
      </c>
      <c r="AJ961" s="200">
        <f>IF(AC961="pendiente",AD961,0)</f>
        <v/>
      </c>
      <c r="AK961" s="192">
        <f>VLOOKUP(G961,CLIENTES!B:D,3,FALSE)</f>
        <v/>
      </c>
    </row>
    <row r="962" ht="15" customFormat="1" customHeight="1" s="192">
      <c r="B962" s="199" t="n"/>
      <c r="C962" s="192" t="inlineStr">
        <is>
          <t>c/ Las Cruzadas 3A, local D</t>
        </is>
      </c>
      <c r="D962" s="192" t="inlineStr">
        <is>
          <t>Sevilla 41004</t>
        </is>
      </c>
      <c r="E962" s="192" t="inlineStr">
        <is>
          <t>CIF B91938662</t>
        </is>
      </c>
      <c r="F962" s="192" t="inlineStr">
        <is>
          <t>aBalados@abalados.es</t>
        </is>
      </c>
      <c r="G962" s="192" t="inlineStr">
        <is>
          <t>FP LUX REIO PV VALLADOLID, S.L.U.</t>
        </is>
      </c>
      <c r="H962" s="192">
        <f>VLOOKUP($G962,DATOS!$B:$E,2,FALSE)</f>
        <v/>
      </c>
      <c r="I962" s="192">
        <f>VLOOKUP($G962,DATOS!$B:$E,3,FALSE)</f>
        <v/>
      </c>
      <c r="J962" s="192">
        <f>VLOOKUP($G962,DATOS!$B:$E,4,FALSE)</f>
        <v/>
      </c>
      <c r="K962" s="192" t="inlineStr">
        <is>
          <t>O&amp;M Supervision and Management  -  DoA No.2305_04</t>
        </is>
      </c>
      <c r="L962" s="200" t="n"/>
      <c r="M962" s="192" t="inlineStr">
        <is>
          <t>Puerto Real 1 PV - Cádiz | Spain</t>
        </is>
      </c>
      <c r="N962" s="200" t="n"/>
      <c r="P962" s="200" t="n"/>
      <c r="Q962" s="192" t="inlineStr">
        <is>
          <t>Advance the first milestone payment</t>
        </is>
      </c>
      <c r="R962" s="200" t="n">
        <v>6000</v>
      </c>
      <c r="T962" s="200" t="n">
        <v>750</v>
      </c>
      <c r="V962" s="200" t="n"/>
      <c r="X962" s="200" t="n"/>
      <c r="Z962" s="200" t="n"/>
      <c r="AA962" s="200" t="n"/>
      <c r="AB962" s="201" t="inlineStr">
        <is>
          <t>ES11 0081 7069 2700 0122 7724</t>
        </is>
      </c>
      <c r="AC962" s="192" t="inlineStr">
        <is>
          <t>pendiente</t>
        </is>
      </c>
      <c r="AD962" s="200">
        <f>L962+N962+P962+R962+T962+V962+X962+Z962</f>
        <v/>
      </c>
      <c r="AE962" s="200">
        <f>IF((LEFT(K962,6))="Contab",L962,0)</f>
        <v/>
      </c>
      <c r="AF962" s="201">
        <f>VLOOKUP(G962,CLIENTES!B:E,4,FALSE)</f>
        <v/>
      </c>
      <c r="AG962" s="200">
        <f>AF962*AE962</f>
        <v/>
      </c>
      <c r="AH962" s="200">
        <f>AD962*1.21</f>
        <v/>
      </c>
      <c r="AI962" s="283">
        <f>IF(AE962&lt;&gt;0,AG962/AD962,"N/A")</f>
        <v/>
      </c>
      <c r="AJ962" s="200">
        <f>IF(AC962="pendiente",AD962,0)</f>
        <v/>
      </c>
      <c r="AK962" s="192">
        <f>VLOOKUP(G962,CLIENTES!B:D,3,FALSE)</f>
        <v/>
      </c>
    </row>
    <row r="963" ht="15" customFormat="1" customHeight="1" s="192">
      <c r="B963" s="199" t="n"/>
      <c r="C963" s="192" t="inlineStr">
        <is>
          <t>c/ Las Cruzadas 3A, local D</t>
        </is>
      </c>
      <c r="D963" s="192" t="inlineStr">
        <is>
          <t>Sevilla 41004</t>
        </is>
      </c>
      <c r="E963" s="192" t="inlineStr">
        <is>
          <t>CIF B91938662</t>
        </is>
      </c>
      <c r="F963" s="192" t="inlineStr">
        <is>
          <t>aBalados@abalados.es</t>
        </is>
      </c>
      <c r="G963" s="192" t="inlineStr">
        <is>
          <t>FP LUX REIO PV VALLADOLID, S.L.U.</t>
        </is>
      </c>
      <c r="H963" s="192">
        <f>VLOOKUP($G963,DATOS!$B:$E,2,FALSE)</f>
        <v/>
      </c>
      <c r="I963" s="192">
        <f>VLOOKUP($G963,DATOS!$B:$E,3,FALSE)</f>
        <v/>
      </c>
      <c r="J963" s="192">
        <f>VLOOKUP($G963,DATOS!$B:$E,4,FALSE)</f>
        <v/>
      </c>
      <c r="K963" s="192" t="inlineStr">
        <is>
          <t>Asset Management 3Q2023 | 01.07 - 30.09</t>
        </is>
      </c>
      <c r="L963" s="200">
        <f>'Tarifa 2025'!$D$29/4</f>
        <v/>
      </c>
      <c r="N963" s="200" t="n"/>
      <c r="O963" s="192" t="inlineStr">
        <is>
          <t>Gestión de Activos 3T2023 | 01.07 - 30.09</t>
        </is>
      </c>
      <c r="P963" s="200" t="n"/>
      <c r="R963" s="200" t="n"/>
      <c r="T963" s="200" t="n"/>
      <c r="V963" s="200" t="n"/>
      <c r="X963" s="200" t="n"/>
      <c r="Z963" s="200" t="n"/>
      <c r="AA963" s="200" t="n"/>
      <c r="AB963" s="201" t="inlineStr">
        <is>
          <t>ES11 0081 7069 2700 0122 7724</t>
        </is>
      </c>
      <c r="AC963" s="192" t="inlineStr">
        <is>
          <t>pendiente</t>
        </is>
      </c>
      <c r="AD963" s="200">
        <f>L963+N963+P963+R963+T963+V963+X963+Z963</f>
        <v/>
      </c>
      <c r="AE963" s="200">
        <f>IF((LEFT(K963,4))="Cont",N963,0)</f>
        <v/>
      </c>
      <c r="AF963" s="201">
        <f>VLOOKUP(G963,CLIENTES!B:E,4,FALSE)</f>
        <v/>
      </c>
      <c r="AG963" s="200">
        <f>AF963*AE963</f>
        <v/>
      </c>
      <c r="AH963" s="200">
        <f>AD963*1.21</f>
        <v/>
      </c>
      <c r="AI963" s="283">
        <f>IF(AE963&lt;&gt;0,AG963/AD963,"N/A")</f>
        <v/>
      </c>
      <c r="AJ963" s="200">
        <f>IF(AC963="pendiente",AD963,0)</f>
        <v/>
      </c>
      <c r="AK963" s="192">
        <f>VLOOKUP(G963,CLIENTES!B:D,3,FALSE)</f>
        <v/>
      </c>
    </row>
    <row r="964" ht="15" customFormat="1" customHeight="1" s="189">
      <c r="B964" s="188" t="n"/>
      <c r="C964" s="189" t="inlineStr">
        <is>
          <t>c/ Las Cruzadas 3A, local D</t>
        </is>
      </c>
      <c r="D964" s="189" t="inlineStr">
        <is>
          <t>Sevilla 41004</t>
        </is>
      </c>
      <c r="E964" s="189" t="inlineStr">
        <is>
          <t>CIF B91938662</t>
        </is>
      </c>
      <c r="F964" s="189" t="inlineStr">
        <is>
          <t>aBalados@abalados.es</t>
        </is>
      </c>
      <c r="G964" s="189" t="inlineStr">
        <is>
          <t>FP LUX REIO PV VALLADOLID, S.L.U.</t>
        </is>
      </c>
      <c r="H964" s="189">
        <f>VLOOKUP($G964,DATOS!$B:$E,2,FALSE)</f>
        <v/>
      </c>
      <c r="I964" s="189">
        <f>VLOOKUP($G964,DATOS!$B:$E,3,FALSE)</f>
        <v/>
      </c>
      <c r="J964" s="189">
        <f>VLOOKUP($G964,DATOS!$B:$E,4,FALSE)</f>
        <v/>
      </c>
      <c r="K964" s="189" t="inlineStr">
        <is>
          <t>Proyecto El Marqués - Zaragoza</t>
        </is>
      </c>
      <c r="L964" s="190" t="n"/>
      <c r="M964" s="189" t="inlineStr">
        <is>
          <t>Honorarios - Contrato O&amp;M 3º Trimestre 2023</t>
        </is>
      </c>
      <c r="N964" s="190" t="n">
        <v>22242.6607178916</v>
      </c>
      <c r="P964" s="190" t="n"/>
      <c r="Q964" s="189" t="inlineStr">
        <is>
          <t>O&amp;M Fee - 3Q2023</t>
        </is>
      </c>
      <c r="R964" s="190" t="n"/>
      <c r="T964" s="190" t="n"/>
      <c r="V964" s="190" t="n"/>
      <c r="X964" s="190" t="n"/>
      <c r="Z964" s="190" t="n"/>
      <c r="AA964" s="190" t="n"/>
      <c r="AB964" s="191" t="inlineStr">
        <is>
          <t>ES11 0081 7069 2700 0122 7724</t>
        </is>
      </c>
      <c r="AC964" s="189" t="inlineStr">
        <is>
          <t>pendiente</t>
        </is>
      </c>
      <c r="AD964" s="190">
        <f>L964+N964+P964+R964+T964+V964+X964+Z964</f>
        <v/>
      </c>
      <c r="AE964" s="190">
        <f>IF((LEFT(K964,6))="Contab",L964,0)</f>
        <v/>
      </c>
      <c r="AF964" s="191">
        <f>VLOOKUP(G964,CLIENTES!B:E,4,FALSE)</f>
        <v/>
      </c>
      <c r="AG964" s="190">
        <f>AF964*AE964</f>
        <v/>
      </c>
      <c r="AH964" s="190">
        <f>AD964*1.21</f>
        <v/>
      </c>
      <c r="AI964" s="289">
        <f>IF(AE964&lt;&gt;0,AG964/AD964,"N/A")</f>
        <v/>
      </c>
      <c r="AJ964" s="190">
        <f>IF(AC964="pendiente",AD964,0)</f>
        <v/>
      </c>
      <c r="AK964" s="189">
        <f>VLOOKUP(G964,CLIENTES!B:D,3,FALSE)</f>
        <v/>
      </c>
    </row>
    <row r="965" ht="15" customFormat="1" customHeight="1" s="195">
      <c r="A965" t="n"/>
      <c r="B965" s="194" t="n"/>
      <c r="C965" s="195" t="inlineStr">
        <is>
          <t>c/ Las Cruzadas 3A, local D</t>
        </is>
      </c>
      <c r="D965" s="195" t="inlineStr">
        <is>
          <t>Sevilla 41004</t>
        </is>
      </c>
      <c r="E965" s="195" t="inlineStr">
        <is>
          <t>CIF B91938662</t>
        </is>
      </c>
      <c r="F965" s="195" t="inlineStr">
        <is>
          <t>aBalados@abalados.es</t>
        </is>
      </c>
      <c r="G965" s="195" t="inlineStr">
        <is>
          <t>FP LUX REIO PV VALLADOLID, S.L.U.</t>
        </is>
      </c>
      <c r="H965" s="195">
        <f>VLOOKUP($G965,DATOS!$B:$E,2,FALSE)</f>
        <v/>
      </c>
      <c r="I965" s="195">
        <f>VLOOKUP($G965,DATOS!$B:$E,3,FALSE)</f>
        <v/>
      </c>
      <c r="J965" s="195">
        <f>VLOOKUP($G965,DATOS!$B:$E,4,FALSE)</f>
        <v/>
      </c>
      <c r="K965" s="195" t="inlineStr">
        <is>
          <t>Technical Advisory - PSFV El Calaverón</t>
        </is>
      </c>
      <c r="L965" s="196" t="n"/>
      <c r="M965" s="195" t="inlineStr">
        <is>
          <t>Actualización de 13 expedientes por Revamping</t>
        </is>
      </c>
      <c r="N965" s="196" t="n"/>
      <c r="O965" s="195" t="inlineStr">
        <is>
          <t>Sustitución de módulos fotovoltaicos</t>
        </is>
      </c>
      <c r="P965" s="196" t="n"/>
      <c r="R965" s="196" t="n"/>
      <c r="S965" s="195" t="inlineStr">
        <is>
          <t>50% al inicio de los trabajos</t>
        </is>
      </c>
      <c r="T965" s="196">
        <f>16575/2</f>
        <v/>
      </c>
      <c r="U965" s="195" t="inlineStr">
        <is>
          <t>50% a la entrega de las memorias</t>
        </is>
      </c>
      <c r="V965" s="196">
        <f>16575/2</f>
        <v/>
      </c>
      <c r="X965" s="196" t="n"/>
      <c r="Z965" s="196" t="n"/>
      <c r="AA965" s="196" t="n"/>
      <c r="AB965" s="197" t="inlineStr">
        <is>
          <t>ES11 0081 7069 2700 0122 7724</t>
        </is>
      </c>
      <c r="AC965" s="195" t="inlineStr">
        <is>
          <t>pendiente</t>
        </is>
      </c>
      <c r="AD965" s="196">
        <f>L965+N965+P965+R965+T965+V965+X965+Z965</f>
        <v/>
      </c>
      <c r="AE965" s="196">
        <f>IF((LEFT(K965,6))="Contab",L965,0)</f>
        <v/>
      </c>
      <c r="AF965" s="197">
        <f>VLOOKUP(G965,CLIENTES!B:E,4,FALSE)</f>
        <v/>
      </c>
      <c r="AG965" s="196">
        <f>AF965*AE965</f>
        <v/>
      </c>
      <c r="AH965" s="196">
        <f>AD965*1.21</f>
        <v/>
      </c>
      <c r="AI965" s="285">
        <f>IF(AE965&lt;&gt;0,AG965/AD965,"N/A")</f>
        <v/>
      </c>
      <c r="AJ965" s="196">
        <f>IF(AC965="pendiente",AD965,0)</f>
        <v/>
      </c>
      <c r="AK965" s="195">
        <f>VLOOKUP(G965,CLIENTES!B:D,3,FALSE)</f>
        <v/>
      </c>
    </row>
    <row r="966" ht="15" customFormat="1" customHeight="1" s="278">
      <c r="B966" s="279" t="n"/>
      <c r="C966" s="278" t="inlineStr">
        <is>
          <t>c/ Las Cruzadas 3A, local D</t>
        </is>
      </c>
      <c r="D966" s="278" t="inlineStr">
        <is>
          <t>Sevilla 41004</t>
        </is>
      </c>
      <c r="E966" s="278" t="inlineStr">
        <is>
          <t>CIF B91938662</t>
        </is>
      </c>
      <c r="F966" s="278" t="inlineStr">
        <is>
          <t>aBalados@abalados.es</t>
        </is>
      </c>
      <c r="G966" s="278" t="inlineStr">
        <is>
          <t>FP LUX REIO PV VALLADOLID, S.L.U.</t>
        </is>
      </c>
      <c r="H966" s="278">
        <f>VLOOKUP($G966,DATOS!$B:$E,2,FALSE)</f>
        <v/>
      </c>
      <c r="I966" s="278">
        <f>VLOOKUP($G966,DATOS!$B:$E,3,FALSE)</f>
        <v/>
      </c>
      <c r="J966" s="278">
        <f>VLOOKUP($G966,DATOS!$B:$E,4,FALSE)</f>
        <v/>
      </c>
      <c r="K966" s="278" t="inlineStr">
        <is>
          <t>Technical Advisory  -  DoA No.2305_01</t>
        </is>
      </c>
      <c r="L966" s="280" t="n"/>
      <c r="M966" s="278" t="inlineStr">
        <is>
          <t>Puerto Real 2 PV - Cádiz | Spain</t>
        </is>
      </c>
      <c r="N966" s="280" t="n"/>
      <c r="P966" s="280" t="n"/>
      <c r="Q966" s="278" t="inlineStr">
        <is>
          <t>Advance payment of OCA's offer</t>
        </is>
      </c>
      <c r="R966" s="280" t="n">
        <v>5000</v>
      </c>
      <c r="S966" s="278" t="inlineStr">
        <is>
          <t>6% expenses for finnancial assistance</t>
        </is>
      </c>
      <c r="T966" s="280" t="n">
        <v>300</v>
      </c>
      <c r="V966" s="280" t="n"/>
      <c r="X966" s="280" t="n"/>
      <c r="Z966" s="280" t="n"/>
      <c r="AA966" s="280" t="n"/>
      <c r="AB966" s="281" t="inlineStr">
        <is>
          <t>ES11 0081 7069 2700 0122 7724</t>
        </is>
      </c>
      <c r="AC966" s="278" t="inlineStr">
        <is>
          <t>pendiente</t>
        </is>
      </c>
      <c r="AD966" s="280">
        <f>L966+N966+P966+R966+T966+V966+X966+Z966</f>
        <v/>
      </c>
      <c r="AE966" s="280">
        <f>IF((LEFT(K966,6))="Contab",L966,0)</f>
        <v/>
      </c>
      <c r="AF966" s="281">
        <f>VLOOKUP(G966,CLIENTES!B:E,4,FALSE)</f>
        <v/>
      </c>
      <c r="AG966" s="280">
        <f>AF966*AE966</f>
        <v/>
      </c>
      <c r="AH966" s="280">
        <f>AD966*1.21</f>
        <v/>
      </c>
      <c r="AI966" s="284">
        <f>IF(AE966&lt;&gt;0,AG966/AD966,"N/A")</f>
        <v/>
      </c>
      <c r="AJ966" s="280">
        <f>IF(AC966="pendiente",AD966,0)</f>
        <v/>
      </c>
      <c r="AK966" s="278">
        <f>VLOOKUP(G966,CLIENTES!B:D,3,FALSE)</f>
        <v/>
      </c>
    </row>
    <row r="967" ht="15" customFormat="1" customHeight="1" s="192">
      <c r="B967" s="199" t="n"/>
      <c r="C967" s="192" t="inlineStr">
        <is>
          <t>c/ Las Cruzadas 3A, local D</t>
        </is>
      </c>
      <c r="D967" s="192" t="inlineStr">
        <is>
          <t>Sevilla 41004</t>
        </is>
      </c>
      <c r="E967" s="192" t="inlineStr">
        <is>
          <t>CIF B91938662</t>
        </is>
      </c>
      <c r="F967" s="192" t="inlineStr">
        <is>
          <t>aBalados@abalados.es</t>
        </is>
      </c>
      <c r="G967" s="192" t="inlineStr">
        <is>
          <t>FP LUX REIO PV VALLADOLID, S.L.U.</t>
        </is>
      </c>
      <c r="H967" s="192">
        <f>VLOOKUP($G967,DATOS!$B:$E,2,FALSE)</f>
        <v/>
      </c>
      <c r="I967" s="192">
        <f>VLOOKUP($G967,DATOS!$B:$E,3,FALSE)</f>
        <v/>
      </c>
      <c r="J967" s="192">
        <f>VLOOKUP($G967,DATOS!$B:$E,4,FALSE)</f>
        <v/>
      </c>
      <c r="K967" s="192" t="inlineStr">
        <is>
          <t>O&amp;M Supervision and Management  -  DoA No.2307_01</t>
        </is>
      </c>
      <c r="L967" s="200" t="n"/>
      <c r="M967" s="192" t="inlineStr">
        <is>
          <t>Puerto Real 1 PV - Cádiz | Spain</t>
        </is>
      </c>
      <c r="N967" s="200" t="n"/>
      <c r="P967" s="200" t="n"/>
      <c r="Q967" s="192" t="inlineStr">
        <is>
          <t>Correction defects agreed in Punch List (Milestone 1)</t>
        </is>
      </c>
      <c r="R967" s="200" t="n">
        <v>9450</v>
      </c>
      <c r="T967" s="200" t="n"/>
      <c r="V967" s="200" t="n"/>
      <c r="X967" s="200" t="n"/>
      <c r="Z967" s="200" t="n"/>
      <c r="AA967" s="200" t="n"/>
      <c r="AB967" s="201" t="inlineStr">
        <is>
          <t>ES11 0081 7069 2700 0122 7724</t>
        </is>
      </c>
      <c r="AC967" s="192" t="inlineStr">
        <is>
          <t>pendiente</t>
        </is>
      </c>
      <c r="AD967" s="200">
        <f>L967+N967+P967+R967+T967+V967+X967+Z967</f>
        <v/>
      </c>
      <c r="AE967" s="200">
        <f>IF((LEFT(K967,6))="Contab",L967,0)</f>
        <v/>
      </c>
      <c r="AF967" s="201">
        <f>VLOOKUP(G967,CLIENTES!B:E,4,FALSE)</f>
        <v/>
      </c>
      <c r="AG967" s="200">
        <f>AF967*AE967</f>
        <v/>
      </c>
      <c r="AH967" s="200">
        <f>AD967*1.21</f>
        <v/>
      </c>
      <c r="AI967" s="283">
        <f>IF(AE967&lt;&gt;0,AG967/AD967,"N/A")</f>
        <v/>
      </c>
      <c r="AJ967" s="200">
        <f>IF(AC967="pendiente",AD967,0)</f>
        <v/>
      </c>
      <c r="AK967" s="192">
        <f>VLOOKUP(G967,CLIENTES!B:D,3,FALSE)</f>
        <v/>
      </c>
    </row>
    <row r="968" ht="15" customFormat="1" customHeight="1" s="192">
      <c r="B968" s="199" t="n"/>
      <c r="C968" s="192" t="inlineStr">
        <is>
          <t>c/ Las Cruzadas 3A, local D</t>
        </is>
      </c>
      <c r="D968" s="192" t="inlineStr">
        <is>
          <t>Sevilla 41004</t>
        </is>
      </c>
      <c r="E968" s="192" t="inlineStr">
        <is>
          <t>CIF B91938662</t>
        </is>
      </c>
      <c r="F968" s="192" t="inlineStr">
        <is>
          <t>aBalados@abalados.es</t>
        </is>
      </c>
      <c r="G968" s="192" t="inlineStr">
        <is>
          <t>FP LUX REIO PV VALLADOLID, S.L.U.</t>
        </is>
      </c>
      <c r="H968" s="192">
        <f>VLOOKUP($G968,DATOS!$B:$E,2,FALSE)</f>
        <v/>
      </c>
      <c r="I968" s="192">
        <f>VLOOKUP($G968,DATOS!$B:$E,3,FALSE)</f>
        <v/>
      </c>
      <c r="J968" s="192">
        <f>VLOOKUP($G968,DATOS!$B:$E,4,FALSE)</f>
        <v/>
      </c>
      <c r="K968" s="192" t="inlineStr">
        <is>
          <t>Pedido 4500784848_LICITAC 1000414220  -  SES 1001509911</t>
        </is>
      </c>
      <c r="L968" s="200" t="n"/>
      <c r="M968" s="192" t="inlineStr">
        <is>
          <t xml:space="preserve"> “Soporte cambio titularidad sociedades por fusión ESAD 2022”</t>
        </is>
      </c>
      <c r="N968" s="200" t="n"/>
      <c r="P968" s="200" t="n"/>
      <c r="Q968" s="192" t="inlineStr">
        <is>
          <t>50% de los honorarios a la culminación de los servicios</t>
        </is>
      </c>
      <c r="R968" s="200">
        <f>14700 * 50%</f>
        <v/>
      </c>
      <c r="S968" s="192" t="inlineStr">
        <is>
          <t>(221215 ENEL - Cambio Titularidad Expdt. Administartivo)</t>
        </is>
      </c>
      <c r="T968" s="200" t="n"/>
      <c r="V968" s="200" t="n"/>
      <c r="X968" s="200" t="n"/>
      <c r="Z968" s="200" t="n"/>
      <c r="AA968" s="200" t="n"/>
      <c r="AB968" s="201" t="inlineStr">
        <is>
          <t>ES11 0081 7069 2700 0122 7724</t>
        </is>
      </c>
      <c r="AC968" s="192" t="inlineStr">
        <is>
          <t>pendiente</t>
        </is>
      </c>
      <c r="AD968" s="200">
        <f>L968+N968+P968+R968+T968+V968+X968+Z968</f>
        <v/>
      </c>
      <c r="AE968" s="200">
        <f>IF((LEFT(K968,6))="Contab",L968,0)</f>
        <v/>
      </c>
      <c r="AF968" s="201" t="n">
        <v>0</v>
      </c>
      <c r="AG968" s="200">
        <f>AF968*AE968</f>
        <v/>
      </c>
      <c r="AH968" s="200">
        <f>AD968*1.21</f>
        <v/>
      </c>
      <c r="AI968" s="283">
        <f>IF(AE968&lt;&gt;0,AG968/AD968,"N/A")</f>
        <v/>
      </c>
      <c r="AJ968" s="200">
        <f>IF(AC968="pendiente",AD968,0)</f>
        <v/>
      </c>
      <c r="AK968" s="192">
        <f>VLOOKUP(G968,CLIENTES!B:D,3,FALSE)</f>
        <v/>
      </c>
    </row>
    <row r="969" ht="15" customFormat="1" customHeight="1" s="192">
      <c r="B969" s="199" t="n"/>
      <c r="C969" s="192" t="inlineStr">
        <is>
          <t>c/ Las Cruzadas 3A, local D</t>
        </is>
      </c>
      <c r="D969" s="192" t="inlineStr">
        <is>
          <t>Sevilla 41004</t>
        </is>
      </c>
      <c r="E969" s="192" t="inlineStr">
        <is>
          <t>CIF B91938662</t>
        </is>
      </c>
      <c r="F969" s="192" t="inlineStr">
        <is>
          <t>aBalados@abalados.es</t>
        </is>
      </c>
      <c r="G969" s="192" t="inlineStr">
        <is>
          <t>FP LUX REIO PV VALLADOLID, S.L.U.</t>
        </is>
      </c>
      <c r="H969" s="192">
        <f>VLOOKUP($G969,DATOS!$B:$E,2,FALSE)</f>
        <v/>
      </c>
      <c r="I969" s="192">
        <f>VLOOKUP($G969,DATOS!$B:$E,3,FALSE)</f>
        <v/>
      </c>
      <c r="J969" s="192">
        <f>VLOOKUP($G969,DATOS!$B:$E,4,FALSE)</f>
        <v/>
      </c>
      <c r="K969" s="192" t="inlineStr">
        <is>
          <t>O&amp;M Supervision and Management  -  DoA No.2307_01</t>
        </is>
      </c>
      <c r="L969" s="200" t="n"/>
      <c r="M969" s="192" t="inlineStr">
        <is>
          <t>Puerto Real 1 PV - Cádiz | Spain</t>
        </is>
      </c>
      <c r="N969" s="200" t="n"/>
      <c r="P969" s="200" t="n"/>
      <c r="Q969" s="192" t="inlineStr">
        <is>
          <t>Correction defects agreed in Punch List (Milestone 2)</t>
        </is>
      </c>
      <c r="R969" s="200" t="n">
        <v>6300</v>
      </c>
      <c r="S969" s="192" t="inlineStr">
        <is>
          <t xml:space="preserve">Deduction for correction of inclination of pyranometer ITS24 (not executed) </t>
        </is>
      </c>
      <c r="T969" s="200" t="n">
        <v>-1000</v>
      </c>
      <c r="V969" s="200" t="n"/>
      <c r="X969" s="200" t="n"/>
      <c r="Z969" s="200" t="n"/>
      <c r="AA969" s="200" t="n"/>
      <c r="AB969" s="201" t="inlineStr">
        <is>
          <t>ES11 0081 7069 2700 0122 7724</t>
        </is>
      </c>
      <c r="AC969" s="192" t="inlineStr">
        <is>
          <t>pendiente</t>
        </is>
      </c>
      <c r="AD969" s="200">
        <f>L969+N969+P969+R969+T969+V969+X969+Z969</f>
        <v/>
      </c>
      <c r="AE969" s="200">
        <f>IF((LEFT(K969,6))="Contab",L969,0)</f>
        <v/>
      </c>
      <c r="AF969" s="201">
        <f>VLOOKUP(G969,CLIENTES!B:E,4,FALSE)</f>
        <v/>
      </c>
      <c r="AG969" s="200">
        <f>AF969*AE969</f>
        <v/>
      </c>
      <c r="AH969" s="200">
        <f>AD969*1.21</f>
        <v/>
      </c>
      <c r="AI969" s="283">
        <f>IF(AE969&lt;&gt;0,AG969/AD969,"N/A")</f>
        <v/>
      </c>
      <c r="AJ969" s="200">
        <f>IF(AC969="pendiente",AD969,0)</f>
        <v/>
      </c>
      <c r="AK969" s="192">
        <f>VLOOKUP(G969,CLIENTES!B:D,3,FALSE)</f>
        <v/>
      </c>
    </row>
    <row r="970" ht="15" customFormat="1" customHeight="1" s="192">
      <c r="B970" s="199" t="n"/>
      <c r="C970" s="192" t="inlineStr">
        <is>
          <t>c/ Las Cruzadas 3A, local D</t>
        </is>
      </c>
      <c r="D970" s="192" t="inlineStr">
        <is>
          <t>Sevilla 41004</t>
        </is>
      </c>
      <c r="E970" s="192" t="inlineStr">
        <is>
          <t>CIF B91938662</t>
        </is>
      </c>
      <c r="F970" s="192" t="inlineStr">
        <is>
          <t>aBalados@abalados.es</t>
        </is>
      </c>
      <c r="G970" s="192" t="inlineStr">
        <is>
          <t>FP LUX REIO PV VALLADOLID, S.L.U.</t>
        </is>
      </c>
      <c r="H970" s="192">
        <f>VLOOKUP($G970,DATOS!$B:$E,2,FALSE)</f>
        <v/>
      </c>
      <c r="I970" s="192">
        <f>VLOOKUP($G970,DATOS!$B:$E,3,FALSE)</f>
        <v/>
      </c>
      <c r="J970" s="192">
        <f>VLOOKUP($G970,DATOS!$B:$E,4,FALSE)</f>
        <v/>
      </c>
      <c r="K970" s="192" t="inlineStr">
        <is>
          <t>Technical Advisory - Technical Due Diligence</t>
        </is>
      </c>
      <c r="L970" s="200" t="n"/>
      <c r="M970" s="192" t="inlineStr">
        <is>
          <t>PSFV Los Alcores</t>
        </is>
      </c>
      <c r="N970" s="200" t="n"/>
      <c r="P970" s="200" t="n"/>
      <c r="Q970" s="192" t="inlineStr">
        <is>
          <t>· 30% at service acceptance</t>
        </is>
      </c>
      <c r="R970" s="200" t="n">
        <v>2295</v>
      </c>
      <c r="S970" s="192" t="inlineStr">
        <is>
          <t>· 70% at service completion</t>
        </is>
      </c>
      <c r="T970" s="200" t="n">
        <v>5355</v>
      </c>
      <c r="V970" s="200" t="n"/>
      <c r="X970" s="200" t="n"/>
      <c r="Z970" s="200" t="n"/>
      <c r="AA970" s="200" t="n"/>
      <c r="AB970" s="201" t="inlineStr">
        <is>
          <t>ES11 0081 7069 2700 0122 7724</t>
        </is>
      </c>
      <c r="AC970" s="192" t="inlineStr">
        <is>
          <t>pendiente</t>
        </is>
      </c>
      <c r="AD970" s="200">
        <f>L970+N970+P970+R970+T970+V970+X970+Z970</f>
        <v/>
      </c>
      <c r="AE970" s="200">
        <f>IF((LEFT(K970,6))="Contab",L970,0)</f>
        <v/>
      </c>
      <c r="AF970" s="201">
        <f>VLOOKUP(G970,CLIENTES!B:E,4,FALSE)</f>
        <v/>
      </c>
      <c r="AG970" s="200">
        <f>AF970*AE970</f>
        <v/>
      </c>
      <c r="AH970" s="200">
        <f>AD970*1.21</f>
        <v/>
      </c>
      <c r="AI970" s="283">
        <f>IF(AE970&lt;&gt;0,AG970/AD970,"N/A")</f>
        <v/>
      </c>
      <c r="AJ970" s="200">
        <f>IF(AC970="pendiente",AD970,0)</f>
        <v/>
      </c>
      <c r="AK970" s="192">
        <f>VLOOKUP(G970,CLIENTES!B:D,3,FALSE)</f>
        <v/>
      </c>
    </row>
    <row r="971" ht="15" customFormat="1" customHeight="1" s="195">
      <c r="A971" s="349" t="n"/>
      <c r="B971" s="194" t="n"/>
      <c r="C971" s="195" t="inlineStr">
        <is>
          <t>c/ Las Cruzadas 3A, local D</t>
        </is>
      </c>
      <c r="D971" s="195" t="inlineStr">
        <is>
          <t>Sevilla 41004</t>
        </is>
      </c>
      <c r="E971" s="195" t="inlineStr">
        <is>
          <t>CIF B91938662</t>
        </is>
      </c>
      <c r="F971" s="195" t="inlineStr">
        <is>
          <t>aBalados@abalados.es</t>
        </is>
      </c>
      <c r="G971" s="195" t="inlineStr">
        <is>
          <t>FP LUX REIO PV VALLADOLID, S.L.U.</t>
        </is>
      </c>
      <c r="H971" s="195">
        <f>VLOOKUP($G971,DATOS!$B:$E,2,FALSE)</f>
        <v/>
      </c>
      <c r="I971" s="195">
        <f>VLOOKUP($G971,DATOS!$B:$E,3,FALSE)</f>
        <v/>
      </c>
      <c r="J971" s="195">
        <f>VLOOKUP($G971,DATOS!$B:$E,4,FALSE)</f>
        <v/>
      </c>
      <c r="K971" s="195" t="inlineStr">
        <is>
          <t>Legal&amp;Accounting Assistance</t>
        </is>
      </c>
      <c r="L971" s="196" t="n"/>
      <c r="N971" s="196" t="n"/>
      <c r="O971" s="195" t="inlineStr">
        <is>
          <t>Update for the legal and economical analysis of AR1, AR2 and AR3 in each corresponding Grid Node,</t>
        </is>
      </c>
      <c r="P971" s="196" t="n">
        <v>2550</v>
      </c>
      <c r="Q971" s="195" t="inlineStr">
        <is>
          <t>identifying any updated potential obligation and risk that may have been recently suscribed.</t>
        </is>
      </c>
      <c r="R971" s="196" t="n"/>
      <c r="T971" s="196" t="n"/>
      <c r="U971" s="195" t="inlineStr">
        <is>
          <t xml:space="preserve">  · Grid Node SET CARMONA 400 kV RENOVABLES, S.L.</t>
        </is>
      </c>
      <c r="V971" s="196" t="n"/>
      <c r="W971" s="195" t="inlineStr">
        <is>
          <t xml:space="preserve">  · Grid Node EVACUACIÓN CARMONA 400-220 kV RENOVABLES, S.L.</t>
        </is>
      </c>
      <c r="X971" s="196" t="n"/>
      <c r="Y971" s="195" t="inlineStr">
        <is>
          <t xml:space="preserve">  · Grid Node ENERGÍAS LIMPIAS DE CARMONA, S.L.</t>
        </is>
      </c>
      <c r="Z971" s="196" t="n"/>
      <c r="AA971" s="196" t="n"/>
      <c r="AB971" s="197" t="inlineStr">
        <is>
          <t>ES11 0081 7069 2700 0122 7724</t>
        </is>
      </c>
      <c r="AC971" s="195" t="inlineStr">
        <is>
          <t>pendiente</t>
        </is>
      </c>
      <c r="AD971" s="196">
        <f>L971+N971+P971+R971+T971+V971+X971+Z971</f>
        <v/>
      </c>
      <c r="AE971" s="196">
        <f>IF((LEFT(K971,6))="Contab",L971,0)</f>
        <v/>
      </c>
      <c r="AF971" s="197">
        <f>VLOOKUP(G971,CLIENTES!B:E,4,FALSE)</f>
        <v/>
      </c>
      <c r="AG971" s="196">
        <f>AF971*AE971</f>
        <v/>
      </c>
      <c r="AH971" s="196">
        <f>AD971*1.21</f>
        <v/>
      </c>
      <c r="AI971" s="285">
        <f>IF(AE971&lt;&gt;0,AG971/AD971,"N/A")</f>
        <v/>
      </c>
      <c r="AJ971" s="196">
        <f>IF(AC971="pendiente",AD971,0)</f>
        <v/>
      </c>
      <c r="AK971" s="195">
        <f>VLOOKUP(G971,CLIENTES!B:D,3,FALSE)</f>
        <v/>
      </c>
    </row>
    <row r="972" ht="15" customFormat="1" customHeight="1" s="278">
      <c r="B972" s="279" t="n"/>
      <c r="C972" s="278" t="inlineStr">
        <is>
          <t>c/ Las Cruzadas 3A, local D</t>
        </is>
      </c>
      <c r="D972" s="278" t="inlineStr">
        <is>
          <t>Sevilla 41004</t>
        </is>
      </c>
      <c r="E972" s="278" t="inlineStr">
        <is>
          <t>CIF B91938662</t>
        </is>
      </c>
      <c r="F972" s="278" t="inlineStr">
        <is>
          <t>aBalados@abalados.es</t>
        </is>
      </c>
      <c r="G972" s="278" t="inlineStr">
        <is>
          <t>FP LUX REIO PV VALLADOLID, S.L.U.</t>
        </is>
      </c>
      <c r="H972" s="278">
        <f>VLOOKUP($G972,DATOS!$B:$E,2,FALSE)</f>
        <v/>
      </c>
      <c r="I972" s="278">
        <f>VLOOKUP($G972,DATOS!$B:$E,3,FALSE)</f>
        <v/>
      </c>
      <c r="J972" s="278">
        <f>VLOOKUP($G972,DATOS!$B:$E,4,FALSE)</f>
        <v/>
      </c>
      <c r="K972" s="278" t="inlineStr">
        <is>
          <t>Extraordinary Legal Services for Sun Tol I</t>
        </is>
      </c>
      <c r="L972" s="280" t="n"/>
      <c r="M972" s="278" t="inlineStr">
        <is>
          <t>Revision and negotiation of Partnership Agreement for TSO payment (CEP)</t>
        </is>
      </c>
      <c r="N972" s="280" t="n">
        <v>1225</v>
      </c>
      <c r="P972" s="280" t="n"/>
      <c r="Q972" s="278" t="inlineStr">
        <is>
          <t>i) Review and amendment of the agreement for the signature, payment and</t>
        </is>
      </c>
      <c r="R972" s="280" t="n"/>
      <c r="S972" s="278" t="inlineStr">
        <is>
          <t xml:space="preserve">   guarantees of the project assignment contract of the Ebora Promoters</t>
        </is>
      </c>
      <c r="T972" s="280" t="n"/>
      <c r="U972" s="278" t="inlineStr">
        <is>
          <t>ii) Negotiation of the agreement with the other parties.</t>
        </is>
      </c>
      <c r="V972" s="280" t="n"/>
      <c r="X972" s="280" t="n"/>
      <c r="Z972" s="280" t="n"/>
      <c r="AA972" s="280" t="n"/>
      <c r="AB972" s="281" t="inlineStr">
        <is>
          <t>ES11 0081 7069 2700 0122 7724</t>
        </is>
      </c>
      <c r="AC972" s="278" t="inlineStr">
        <is>
          <t>pendiente</t>
        </is>
      </c>
      <c r="AD972" s="280">
        <f>L972+N972+P972+R972+T972+V972+X972+Z972</f>
        <v/>
      </c>
      <c r="AE972" s="280">
        <f>IF((LEFT(K972,6))="Contab",L972,0)</f>
        <v/>
      </c>
      <c r="AF972" s="281">
        <f>VLOOKUP(G972,CLIENTES!B:E,4,FALSE)</f>
        <v/>
      </c>
      <c r="AG972" s="280">
        <f>AF972*AE972</f>
        <v/>
      </c>
      <c r="AH972" s="280">
        <f>AD972*1.21</f>
        <v/>
      </c>
      <c r="AI972" s="284">
        <f>IF(AE972&lt;&gt;0,AG972/AD972,"N/A")</f>
        <v/>
      </c>
      <c r="AJ972" s="280">
        <f>IF(AC972="pendiente",AD972,0)</f>
        <v/>
      </c>
      <c r="AK972" s="278">
        <f>VLOOKUP(G972,CLIENTES!B:D,3,FALSE)</f>
        <v/>
      </c>
    </row>
    <row r="973" ht="15" customFormat="1" customHeight="1" s="278">
      <c r="B973" s="279" t="n"/>
      <c r="C973" s="278" t="inlineStr">
        <is>
          <t>c/ Las Cruzadas 3A, local D</t>
        </is>
      </c>
      <c r="D973" s="278" t="inlineStr">
        <is>
          <t>Sevilla 41004</t>
        </is>
      </c>
      <c r="E973" s="278" t="inlineStr">
        <is>
          <t>CIF B91938662</t>
        </is>
      </c>
      <c r="F973" s="278" t="inlineStr">
        <is>
          <t>aBalados@abalados.es</t>
        </is>
      </c>
      <c r="G973" s="278" t="inlineStr">
        <is>
          <t>FP LUX REIO PV VALLADOLID, S.L.U.</t>
        </is>
      </c>
      <c r="H973" s="278">
        <f>VLOOKUP($G973,DATOS!$B:$E,2,FALSE)</f>
        <v/>
      </c>
      <c r="I973" s="278">
        <f>VLOOKUP($G973,DATOS!$B:$E,3,FALSE)</f>
        <v/>
      </c>
      <c r="J973" s="278">
        <f>VLOOKUP($G973,DATOS!$B:$E,4,FALSE)</f>
        <v/>
      </c>
      <c r="K973" s="278" t="inlineStr">
        <is>
          <t>Servicios extraordinarios - Asset Management (subestación BrovalesF1)</t>
        </is>
      </c>
      <c r="L973" s="280" t="n"/>
      <c r="M973" s="278" t="inlineStr">
        <is>
          <t>Asistencia jurídica para contestación de demanda</t>
        </is>
      </c>
      <c r="N973" s="280">
        <f>2750*0.5</f>
        <v/>
      </c>
      <c r="P973" s="280" t="n"/>
      <c r="Q973" s="278" t="inlineStr">
        <is>
          <t xml:space="preserve">i) Negociación con la parte demandante, D. MANUEL MATAMOROS RUBIO. </t>
        </is>
      </c>
      <c r="R973" s="280" t="n"/>
      <c r="S973" s="278" t="inlineStr">
        <is>
          <t>ii) Elaboración y redacción de la contestación de la demanda, en sinergia con</t>
        </is>
      </c>
      <c r="T973" s="280" t="n"/>
      <c r="U973" s="278" t="inlineStr">
        <is>
          <t xml:space="preserve">     las posiciones de los Promotores. </t>
        </is>
      </c>
      <c r="V973" s="280" t="n"/>
      <c r="W973" s="278" t="inlineStr">
        <is>
          <t xml:space="preserve">iii) Asistencia a la celebración de la vista. </t>
        </is>
      </c>
      <c r="X973" s="280" t="n"/>
      <c r="Z973" s="280" t="n"/>
      <c r="AA973" s="280" t="n"/>
      <c r="AB973" s="281" t="inlineStr">
        <is>
          <t>ES11 0081 7069 2700 0122 7724</t>
        </is>
      </c>
      <c r="AC973" s="278" t="inlineStr">
        <is>
          <t>pendiente</t>
        </is>
      </c>
      <c r="AD973" s="280">
        <f>L973+N973+P973+R973+T973+V973+X973+Z973</f>
        <v/>
      </c>
      <c r="AE973" s="280">
        <f>IF((LEFT(K973,6))="Contab",L973,0)</f>
        <v/>
      </c>
      <c r="AF973" s="281">
        <f>VLOOKUP(G973,CLIENTES!B:E,4,FALSE)</f>
        <v/>
      </c>
      <c r="AG973" s="280">
        <f>AF973*AE973</f>
        <v/>
      </c>
      <c r="AH973" s="280">
        <f>AD973*1.21</f>
        <v/>
      </c>
      <c r="AI973" s="284">
        <f>IF(AE973&lt;&gt;0,AG973/AD973,"N/A")</f>
        <v/>
      </c>
      <c r="AJ973" s="280">
        <f>IF(AC973="pendiente",AD973,0)</f>
        <v/>
      </c>
      <c r="AK973" s="278">
        <f>VLOOKUP(G973,CLIENTES!B:D,3,FALSE)</f>
        <v/>
      </c>
    </row>
    <row r="974" ht="15" customFormat="1" customHeight="1" s="278">
      <c r="B974" s="279" t="n"/>
      <c r="C974" s="278" t="inlineStr">
        <is>
          <t>c/ Las Cruzadas 3A, local D</t>
        </is>
      </c>
      <c r="D974" s="278" t="inlineStr">
        <is>
          <t>Sevilla 41004</t>
        </is>
      </c>
      <c r="E974" s="278" t="inlineStr">
        <is>
          <t>CIF B91938662</t>
        </is>
      </c>
      <c r="F974" s="278" t="inlineStr">
        <is>
          <t>aBalados@abalados.es</t>
        </is>
      </c>
      <c r="G974" s="278" t="inlineStr">
        <is>
          <t>FP LUX REIO PV VALLADOLID, S.L.U.</t>
        </is>
      </c>
      <c r="H974" s="278">
        <f>VLOOKUP($G974,DATOS!$B:$E,2,FALSE)</f>
        <v/>
      </c>
      <c r="I974" s="278">
        <f>VLOOKUP($G974,DATOS!$B:$E,3,FALSE)</f>
        <v/>
      </c>
      <c r="J974" s="278">
        <f>VLOOKUP($G974,DATOS!$B:$E,4,FALSE)</f>
        <v/>
      </c>
      <c r="K974" s="278" t="inlineStr">
        <is>
          <t>Servicios extraordinarios - Asset Management (subestación María)</t>
        </is>
      </c>
      <c r="L974" s="280" t="n"/>
      <c r="M974" s="278" t="inlineStr">
        <is>
          <t>Asistencia jurídica</t>
        </is>
      </c>
      <c r="N974" s="280" t="n"/>
      <c r="P974" s="280" t="n"/>
      <c r="Q974" s="278" t="inlineStr">
        <is>
          <t>Revisión y modificación de los Estatutos Sociales de la Sociedad</t>
        </is>
      </c>
      <c r="R974" s="280" t="n">
        <v>1700</v>
      </c>
      <c r="S974" s="278" t="inlineStr">
        <is>
          <t>Asesoramiento en la negociación entre los promotores sobre el contenido de dichos Estatutos Sociales</t>
        </is>
      </c>
      <c r="T974" s="280" t="n"/>
      <c r="V974" s="280" t="n"/>
      <c r="W974" s="278" t="inlineStr">
        <is>
          <t>Implementación de los comentarios EPC</t>
        </is>
      </c>
      <c r="X974" s="280" t="n">
        <v>700</v>
      </c>
      <c r="Z974" s="280" t="n"/>
      <c r="AA974" s="280" t="n"/>
      <c r="AB974" s="281" t="inlineStr">
        <is>
          <t>ES11 0081 7069 2700 0122 7724</t>
        </is>
      </c>
      <c r="AC974" s="278" t="inlineStr">
        <is>
          <t>pendiente</t>
        </is>
      </c>
      <c r="AD974" s="280">
        <f>L974+N974+P974+R974+T974+V974+X974+Z974</f>
        <v/>
      </c>
      <c r="AE974" s="280">
        <f>IF((LEFT(K974,6))="Contab",L974,0)</f>
        <v/>
      </c>
      <c r="AF974" s="281">
        <f>VLOOKUP(G974,CLIENTES!B:E,4,FALSE)</f>
        <v/>
      </c>
      <c r="AG974" s="280">
        <f>AF974*AE974</f>
        <v/>
      </c>
      <c r="AH974" s="280">
        <f>AD974*1.21</f>
        <v/>
      </c>
      <c r="AI974" s="284">
        <f>IF(AE974&lt;&gt;0,AG974/AD974,"N/A")</f>
        <v/>
      </c>
      <c r="AJ974" s="280">
        <f>IF(AC974="pendiente",AD974,0)</f>
        <v/>
      </c>
      <c r="AK974" s="278">
        <f>VLOOKUP(G974,CLIENTES!B:D,3,FALSE)</f>
        <v/>
      </c>
    </row>
    <row r="975" ht="15" customFormat="1" customHeight="1" s="278">
      <c r="B975" s="279" t="n"/>
      <c r="C975" s="278" t="inlineStr">
        <is>
          <t>c/ Las Cruzadas 3A, local D</t>
        </is>
      </c>
      <c r="D975" s="278" t="inlineStr">
        <is>
          <t>Sevilla 41004</t>
        </is>
      </c>
      <c r="E975" s="278" t="inlineStr">
        <is>
          <t>CIF B91938662</t>
        </is>
      </c>
      <c r="F975" s="278" t="inlineStr">
        <is>
          <t>aBalados@abalados.es</t>
        </is>
      </c>
      <c r="G975" s="278" t="inlineStr">
        <is>
          <t>FP LUX REIO PV VALLADOLID, S.L.U.</t>
        </is>
      </c>
      <c r="H975" s="278">
        <f>VLOOKUP($G975,DATOS!$B:$E,2,FALSE)</f>
        <v/>
      </c>
      <c r="I975" s="278">
        <f>VLOOKUP($G975,DATOS!$B:$E,3,FALSE)</f>
        <v/>
      </c>
      <c r="J975" s="278">
        <f>VLOOKUP($G975,DATOS!$B:$E,4,FALSE)</f>
        <v/>
      </c>
      <c r="K975" s="278" t="inlineStr">
        <is>
          <t>Servicios extraordinarios - Asset Management (subestación Ciguñuela)</t>
        </is>
      </c>
      <c r="L975" s="280" t="n"/>
      <c r="M975" s="278" t="inlineStr">
        <is>
          <t>Asistencia jurídica - Revisión, modificación y negociación EESS</t>
        </is>
      </c>
      <c r="N975" s="280" t="n"/>
      <c r="P975" s="280" t="n"/>
      <c r="Q975" s="278" t="inlineStr">
        <is>
          <t xml:space="preserve">	Elaboración de Acta y Certificado de Junta General Extraordinaria y Universal de la Sociedad, </t>
        </is>
      </c>
      <c r="R975" s="280" t="n">
        <v>250</v>
      </c>
      <c r="S975" s="278" t="inlineStr">
        <is>
          <t>modificando el artículo 19 letra a) de los EESS para prever la figura de Vicesecretario No-Consejero</t>
        </is>
      </c>
      <c r="T975" s="280" t="n"/>
      <c r="V975" s="280" t="n"/>
      <c r="X975" s="280" t="n"/>
      <c r="Z975" s="280" t="n"/>
      <c r="AA975" s="280" t="n"/>
      <c r="AB975" s="281" t="inlineStr">
        <is>
          <t>ES11 0081 7069 2700 0122 7724</t>
        </is>
      </c>
      <c r="AC975" s="278" t="inlineStr">
        <is>
          <t>pendiente</t>
        </is>
      </c>
      <c r="AD975" s="280">
        <f>L975+N975+P975+R975+T975+V975+X975+Z975</f>
        <v/>
      </c>
      <c r="AE975" s="280">
        <f>IF((LEFT(K975,6))="Contab",L975,0)</f>
        <v/>
      </c>
      <c r="AF975" s="281">
        <f>VLOOKUP(G975,CLIENTES!B:E,4,FALSE)</f>
        <v/>
      </c>
      <c r="AG975" s="280">
        <f>AF975*AE975</f>
        <v/>
      </c>
      <c r="AH975" s="280">
        <f>AD975*1.21</f>
        <v/>
      </c>
      <c r="AI975" s="284">
        <f>IF(AE975&lt;&gt;0,AG975/AD975,"N/A")</f>
        <v/>
      </c>
      <c r="AJ975" s="280">
        <f>IF(AC975="pendiente",AD975,0)</f>
        <v/>
      </c>
      <c r="AK975" s="278">
        <f>VLOOKUP(G975,CLIENTES!B:D,3,FALSE)</f>
        <v/>
      </c>
    </row>
    <row r="976" ht="15" customFormat="1" customHeight="1" s="278">
      <c r="B976" s="279" t="n"/>
      <c r="C976" s="278" t="inlineStr">
        <is>
          <t>c/ Las Cruzadas 3A, local D</t>
        </is>
      </c>
      <c r="D976" s="278" t="inlineStr">
        <is>
          <t>Sevilla 41004</t>
        </is>
      </c>
      <c r="E976" s="278" t="inlineStr">
        <is>
          <t>CIF B91938662</t>
        </is>
      </c>
      <c r="F976" s="278" t="inlineStr">
        <is>
          <t>aBalados@abalados.es</t>
        </is>
      </c>
      <c r="G976" s="278" t="inlineStr">
        <is>
          <t>FP LUX REIO PV VALLADOLID, S.L.U.</t>
        </is>
      </c>
      <c r="H976" s="278">
        <f>VLOOKUP($G976,DATOS!$B:$E,2,FALSE)</f>
        <v/>
      </c>
      <c r="I976" s="278">
        <f>VLOOKUP($G976,DATOS!$B:$E,3,FALSE)</f>
        <v/>
      </c>
      <c r="J976" s="278">
        <f>VLOOKUP($G976,DATOS!$B:$E,4,FALSE)</f>
        <v/>
      </c>
      <c r="K976" s="278" t="inlineStr">
        <is>
          <t>Servicios extraordinarios - Asset Management (subestación Valcabados)</t>
        </is>
      </c>
      <c r="L976" s="280" t="n"/>
      <c r="M976" s="278" t="inlineStr">
        <is>
          <t>Asistencia para licitación y contratación de Seguros de explotación</t>
        </is>
      </c>
      <c r="N976" s="280" t="n">
        <v>850</v>
      </c>
      <c r="P976" s="280" t="n"/>
      <c r="R976" s="280" t="n"/>
      <c r="T976" s="280" t="n"/>
      <c r="V976" s="280" t="n"/>
      <c r="X976" s="280" t="n"/>
      <c r="Z976" s="280" t="n"/>
      <c r="AA976" s="280" t="n"/>
      <c r="AB976" s="281" t="inlineStr">
        <is>
          <t>ES11 0081 7069 2700 0122 7724</t>
        </is>
      </c>
      <c r="AC976" s="278" t="inlineStr">
        <is>
          <t>pendiente</t>
        </is>
      </c>
      <c r="AD976" s="280">
        <f>L976+N976+P976+R976+T976+V976+X976+Z976</f>
        <v/>
      </c>
      <c r="AE976" s="280">
        <f>IF((LEFT(K976,6))="Contab",L976,0)</f>
        <v/>
      </c>
      <c r="AF976" s="281">
        <f>VLOOKUP(G976,CLIENTES!B:E,4,FALSE)</f>
        <v/>
      </c>
      <c r="AG976" s="280">
        <f>AF976*AE976</f>
        <v/>
      </c>
      <c r="AH976" s="280">
        <f>AD976*1.21</f>
        <v/>
      </c>
      <c r="AI976" s="284">
        <f>IF(AE976&lt;&gt;0,AG976/AD976,"N/A")</f>
        <v/>
      </c>
      <c r="AJ976" s="280">
        <f>IF(AC976="pendiente",AD976,0)</f>
        <v/>
      </c>
      <c r="AK976" s="278">
        <f>VLOOKUP(G976,CLIENTES!B:D,3,FALSE)</f>
        <v/>
      </c>
    </row>
    <row r="977" ht="15" customFormat="1" customHeight="1" s="278">
      <c r="B977" s="279" t="n"/>
      <c r="C977" s="278" t="inlineStr">
        <is>
          <t>c/ Las Cruzadas 3A, local D</t>
        </is>
      </c>
      <c r="D977" s="278" t="inlineStr">
        <is>
          <t>Sevilla 41004</t>
        </is>
      </c>
      <c r="E977" s="278" t="inlineStr">
        <is>
          <t>CIF B91938662</t>
        </is>
      </c>
      <c r="F977" s="278" t="inlineStr">
        <is>
          <t>aBalados@abalados.es</t>
        </is>
      </c>
      <c r="G977" s="278" t="inlineStr">
        <is>
          <t>FP LUX REIO PV VALLADOLID, S.L.U.</t>
        </is>
      </c>
      <c r="H977" s="278">
        <f>VLOOKUP($G977,DATOS!$B:$E,2,FALSE)</f>
        <v/>
      </c>
      <c r="I977" s="278">
        <f>VLOOKUP($G977,DATOS!$B:$E,3,FALSE)</f>
        <v/>
      </c>
      <c r="J977" s="278">
        <f>VLOOKUP($G977,DATOS!$B:$E,4,FALSE)</f>
        <v/>
      </c>
      <c r="K977" s="278" t="inlineStr">
        <is>
          <t>Servicios extraordinarios - Asset Management (subestación María)</t>
        </is>
      </c>
      <c r="L977" s="280" t="n"/>
      <c r="M977" s="278" t="inlineStr">
        <is>
          <t>Asistencia presencial (D.Jesús Valladares)</t>
        </is>
      </c>
      <c r="N977" s="280" t="n"/>
      <c r="P977" s="280" t="n"/>
      <c r="Q977" s="278" t="inlineStr">
        <is>
          <t>Notaría 09/03/23 - Nombramiento cargo Secretario no consejero</t>
        </is>
      </c>
      <c r="R977" s="280" t="n">
        <v>900</v>
      </c>
      <c r="S977" s="278" t="inlineStr">
        <is>
          <t>Gastos viaje: Renfe</t>
        </is>
      </c>
      <c r="T977" s="280">
        <f>100.65+88.55</f>
        <v/>
      </c>
      <c r="V977" s="280" t="n"/>
      <c r="X977" s="280" t="n"/>
      <c r="Z977" s="280" t="n"/>
      <c r="AA977" s="280" t="n"/>
      <c r="AB977" s="281" t="inlineStr">
        <is>
          <t>ES11 0081 7069 2700 0122 7724</t>
        </is>
      </c>
      <c r="AC977" s="278" t="inlineStr">
        <is>
          <t>pendiente</t>
        </is>
      </c>
      <c r="AD977" s="280">
        <f>L977+N977+P977+R977+T977+V977+X977+Z977</f>
        <v/>
      </c>
      <c r="AE977" s="280">
        <f>IF((LEFT(K977,6))="Contab",L977,0)</f>
        <v/>
      </c>
      <c r="AF977" s="281">
        <f>VLOOKUP(G977,CLIENTES!B:E,4,FALSE)</f>
        <v/>
      </c>
      <c r="AG977" s="280">
        <f>AF977*AE977</f>
        <v/>
      </c>
      <c r="AH977" s="280">
        <f>AD977*1.21</f>
        <v/>
      </c>
      <c r="AI977" s="284">
        <f>IF(AE977&lt;&gt;0,AG977/AD977,"N/A")</f>
        <v/>
      </c>
      <c r="AJ977" s="280">
        <f>IF(AC977="pendiente",AD977,0)</f>
        <v/>
      </c>
      <c r="AK977" s="278">
        <f>VLOOKUP(G977,CLIENTES!B:D,3,FALSE)</f>
        <v/>
      </c>
    </row>
    <row r="978" ht="15" customFormat="1" customHeight="1" s="278">
      <c r="B978" s="279" t="n"/>
      <c r="C978" s="278" t="inlineStr">
        <is>
          <t>c/ Las Cruzadas 3A, local D</t>
        </is>
      </c>
      <c r="D978" s="278" t="inlineStr">
        <is>
          <t>Sevilla 41004</t>
        </is>
      </c>
      <c r="E978" s="278" t="inlineStr">
        <is>
          <t>CIF B91938662</t>
        </is>
      </c>
      <c r="F978" s="278" t="inlineStr">
        <is>
          <t>aBalados@abalados.es</t>
        </is>
      </c>
      <c r="G978" s="278" t="inlineStr">
        <is>
          <t>FP LUX REIO PV VALLADOLID, S.L.U.</t>
        </is>
      </c>
      <c r="H978" s="278">
        <f>VLOOKUP($G978,DATOS!$B:$E,2,FALSE)</f>
        <v/>
      </c>
      <c r="I978" s="278">
        <f>VLOOKUP($G978,DATOS!$B:$E,3,FALSE)</f>
        <v/>
      </c>
      <c r="J978" s="278">
        <f>VLOOKUP($G978,DATOS!$B:$E,4,FALSE)</f>
        <v/>
      </c>
      <c r="K978" s="278" t="inlineStr">
        <is>
          <t>Servicios extraordinarios - Asset Management (subestación Benejama Generación)</t>
        </is>
      </c>
      <c r="L978" s="280" t="n"/>
      <c r="M978" s="278" t="inlineStr">
        <is>
          <t>Asistencia presencial (D.Jesús Valladares)</t>
        </is>
      </c>
      <c r="N978" s="280" t="n"/>
      <c r="P978" s="280" t="n"/>
      <c r="Q978" s="278" t="inlineStr">
        <is>
          <t>Notaría 22/03/23 - Nombramiento cargo Secretario no consejero</t>
        </is>
      </c>
      <c r="R978" s="280" t="n">
        <v>900</v>
      </c>
      <c r="S978" s="278" t="inlineStr">
        <is>
          <t>Gastos viaje: Renfe</t>
        </is>
      </c>
      <c r="T978" s="280">
        <f>(99.3 + 93.55)/2</f>
        <v/>
      </c>
      <c r="V978" s="280" t="n"/>
      <c r="X978" s="280" t="n"/>
      <c r="Z978" s="280" t="n"/>
      <c r="AA978" s="280" t="n"/>
      <c r="AB978" s="281" t="inlineStr">
        <is>
          <t>ES11 0081 7069 2700 0122 7724</t>
        </is>
      </c>
      <c r="AC978" s="278" t="inlineStr">
        <is>
          <t>pendiente</t>
        </is>
      </c>
      <c r="AD978" s="280">
        <f>L978+N978+P978+R978+T978+V978+X978+Z978</f>
        <v/>
      </c>
      <c r="AE978" s="280">
        <f>IF((LEFT(K978,6))="Contab",L978,0)</f>
        <v/>
      </c>
      <c r="AF978" s="281">
        <f>VLOOKUP(G978,CLIENTES!B:E,4,FALSE)</f>
        <v/>
      </c>
      <c r="AG978" s="280">
        <f>AF978*AE978</f>
        <v/>
      </c>
      <c r="AH978" s="280">
        <f>AD978*1.21</f>
        <v/>
      </c>
      <c r="AI978" s="284">
        <f>IF(AE978&lt;&gt;0,AG978/AD978,"N/A")</f>
        <v/>
      </c>
      <c r="AJ978" s="280">
        <f>IF(AC978="pendiente",AD978,0)</f>
        <v/>
      </c>
      <c r="AK978" s="278">
        <f>VLOOKUP(G978,CLIENTES!B:D,3,FALSE)</f>
        <v/>
      </c>
    </row>
    <row r="979" ht="15" customFormat="1" customHeight="1" s="278">
      <c r="B979" s="279" t="n"/>
      <c r="C979" s="278" t="inlineStr">
        <is>
          <t>c/ Las Cruzadas 3A, local D</t>
        </is>
      </c>
      <c r="D979" s="278" t="inlineStr">
        <is>
          <t>Sevilla 41004</t>
        </is>
      </c>
      <c r="E979" s="278" t="inlineStr">
        <is>
          <t>CIF B91938662</t>
        </is>
      </c>
      <c r="F979" s="278" t="inlineStr">
        <is>
          <t>aBalados@abalados.es</t>
        </is>
      </c>
      <c r="G979" s="278" t="inlineStr">
        <is>
          <t>FP LUX REIO PV VALLADOLID, S.L.U.</t>
        </is>
      </c>
      <c r="H979" s="278">
        <f>VLOOKUP($G979,DATOS!$B:$E,2,FALSE)</f>
        <v/>
      </c>
      <c r="I979" s="278">
        <f>VLOOKUP($G979,DATOS!$B:$E,3,FALSE)</f>
        <v/>
      </c>
      <c r="J979" s="278">
        <f>VLOOKUP($G979,DATOS!$B:$E,4,FALSE)</f>
        <v/>
      </c>
      <c r="K979" s="278" t="inlineStr">
        <is>
          <t>Servicios extraordinarios - Asset Management (subestación Benejama Generación)</t>
        </is>
      </c>
      <c r="L979" s="280" t="n"/>
      <c r="M979" s="278" t="inlineStr">
        <is>
          <t>Asistencia presencial (D.Jesús Valladares)</t>
        </is>
      </c>
      <c r="N979" s="280" t="n"/>
      <c r="P979" s="280" t="n"/>
      <c r="Q979" s="278" t="inlineStr">
        <is>
          <t>Notaría 22/03/23 - Nombramiento cargo Secretario no consejero</t>
        </is>
      </c>
      <c r="R979" s="280" t="n">
        <v>900</v>
      </c>
      <c r="S979" s="278" t="inlineStr">
        <is>
          <t>Gastos viaje: Renfe</t>
        </is>
      </c>
      <c r="T979" s="280">
        <f>(99.3 + 93.55)/2</f>
        <v/>
      </c>
      <c r="V979" s="280" t="n"/>
      <c r="X979" s="280" t="n"/>
      <c r="Z979" s="280" t="n"/>
      <c r="AA979" s="280" t="n"/>
      <c r="AB979" s="281" t="inlineStr">
        <is>
          <t>ES11 0081 7069 2700 0122 7724</t>
        </is>
      </c>
      <c r="AC979" s="278" t="inlineStr">
        <is>
          <t>pendiente</t>
        </is>
      </c>
      <c r="AD979" s="280">
        <f>L979+N979+P979+R979+T979+V979+X979+Z979</f>
        <v/>
      </c>
      <c r="AE979" s="280">
        <f>IF((LEFT(K979,6))="Contab",L979,0)</f>
        <v/>
      </c>
      <c r="AF979" s="281">
        <f>VLOOKUP(G979,CLIENTES!B:E,4,FALSE)</f>
        <v/>
      </c>
      <c r="AG979" s="280">
        <f>AF979*AE979</f>
        <v/>
      </c>
      <c r="AH979" s="280">
        <f>AD979*1.21</f>
        <v/>
      </c>
      <c r="AI979" s="284">
        <f>IF(AE979&lt;&gt;0,AG979/AD979,"N/A")</f>
        <v/>
      </c>
      <c r="AJ979" s="280">
        <f>IF(AC979="pendiente",AD979,0)</f>
        <v/>
      </c>
      <c r="AK979" s="278">
        <f>VLOOKUP(G979,CLIENTES!B:D,3,FALSE)</f>
        <v/>
      </c>
    </row>
    <row r="980" ht="15" customFormat="1" customHeight="1" s="278">
      <c r="B980" s="279" t="n"/>
      <c r="C980" s="278" t="inlineStr">
        <is>
          <t>c/ Las Cruzadas 3A, local D</t>
        </is>
      </c>
      <c r="D980" s="278" t="inlineStr">
        <is>
          <t>Sevilla 41004</t>
        </is>
      </c>
      <c r="E980" s="278" t="inlineStr">
        <is>
          <t>CIF B91938662</t>
        </is>
      </c>
      <c r="F980" s="278" t="inlineStr">
        <is>
          <t>aBalados@abalados.es</t>
        </is>
      </c>
      <c r="G980" s="278" t="inlineStr">
        <is>
          <t>FP LUX REIO PV VALLADOLID, S.L.U.</t>
        </is>
      </c>
      <c r="H980" s="278">
        <f>VLOOKUP($G980,DATOS!$B:$E,2,FALSE)</f>
        <v/>
      </c>
      <c r="I980" s="278">
        <f>VLOOKUP($G980,DATOS!$B:$E,3,FALSE)</f>
        <v/>
      </c>
      <c r="J980" s="278">
        <f>VLOOKUP($G980,DATOS!$B:$E,4,FALSE)</f>
        <v/>
      </c>
      <c r="K980" s="278" t="inlineStr">
        <is>
          <t>Contrato de Asset Management - Subestación Valcabado</t>
        </is>
      </c>
      <c r="L980" s="280" t="n"/>
      <c r="N980" s="280" t="n"/>
      <c r="O980" s="278" t="inlineStr">
        <is>
          <t>Fee Trimestral - 01Julio/30 Septiembre 2023</t>
        </is>
      </c>
      <c r="P980" s="280">
        <f>1173*2*1.098*1.033 + 1173*1.098*1.033*(7/30)  +  2898*1.098*1.033*(23/30)</f>
        <v/>
      </c>
      <c r="Q980" s="278" t="inlineStr">
        <is>
          <t>Fee aplicable PreCod (1.330,46€/mes): 1 Julio - 7 Septiembre 2023</t>
        </is>
      </c>
      <c r="R980" s="280" t="n"/>
      <c r="S980" s="278" t="inlineStr">
        <is>
          <t>Fee aplicable Explotación (3.287,01€/mes): 8 Septiembre - 30 Septiembre 2023</t>
        </is>
      </c>
      <c r="T980" s="280" t="n"/>
      <c r="V980" s="280" t="n"/>
      <c r="X980" s="280" t="n"/>
      <c r="Z980" s="280" t="n"/>
      <c r="AA980" s="280" t="n"/>
      <c r="AB980" s="281" t="inlineStr">
        <is>
          <t>ES11 0081 7069 2700 0122 7724</t>
        </is>
      </c>
      <c r="AC980" s="278" t="inlineStr">
        <is>
          <t>pendiente</t>
        </is>
      </c>
      <c r="AD980" s="280">
        <f>L980+N980+P980+R980+T980+V980+X980+Z980</f>
        <v/>
      </c>
      <c r="AE980" s="280">
        <f>IF((LEFT(K980,6))="Contab",L980,0)</f>
        <v/>
      </c>
      <c r="AF980" s="281">
        <f>VLOOKUP(G980,CLIENTES!B:E,4,FALSE)</f>
        <v/>
      </c>
      <c r="AG980" s="280">
        <f>AF980*AE980</f>
        <v/>
      </c>
      <c r="AH980" s="280">
        <f>AD980*1.21</f>
        <v/>
      </c>
      <c r="AI980" s="284">
        <f>IF(AE980&lt;&gt;0,AG980/AD980,"N/A")</f>
        <v/>
      </c>
      <c r="AJ980" s="280">
        <f>IF(AC980="pendiente",AD980,0)</f>
        <v/>
      </c>
      <c r="AK980" s="278">
        <f>VLOOKUP(G980,CLIENTES!B:D,3,FALSE)</f>
        <v/>
      </c>
    </row>
    <row r="981" ht="15" customFormat="1" customHeight="1" s="278">
      <c r="B981" s="279" t="n"/>
      <c r="C981" s="278" t="inlineStr">
        <is>
          <t>c/ Las Cruzadas 3A, local D</t>
        </is>
      </c>
      <c r="D981" s="278" t="inlineStr">
        <is>
          <t>Sevilla 41004</t>
        </is>
      </c>
      <c r="E981" s="278" t="inlineStr">
        <is>
          <t>CIF B91938662</t>
        </is>
      </c>
      <c r="F981" s="278" t="inlineStr">
        <is>
          <t>aBalados@abalados.es</t>
        </is>
      </c>
      <c r="G981" s="278" t="inlineStr">
        <is>
          <t>FP LUX REIO PV VALLADOLID, S.L.U.</t>
        </is>
      </c>
      <c r="H981" s="278">
        <f>VLOOKUP($G981,DATOS!$B:$E,2,FALSE)</f>
        <v/>
      </c>
      <c r="I981" s="278">
        <f>VLOOKUP($G981,DATOS!$B:$E,3,FALSE)</f>
        <v/>
      </c>
      <c r="J981" s="278">
        <f>VLOOKUP($G981,DATOS!$B:$E,4,FALSE)</f>
        <v/>
      </c>
      <c r="K981" s="278" t="inlineStr">
        <is>
          <t>Contrato de Asset Management - Subestación Grijota</t>
        </is>
      </c>
      <c r="L981" s="280" t="n"/>
      <c r="N981" s="280" t="n"/>
      <c r="O981" s="278" t="inlineStr">
        <is>
          <t>Fee Trimestral - 01Julio/30 Septiembre 2023</t>
        </is>
      </c>
      <c r="P981" s="280">
        <f>1035*1.108*(11/31) + 1035*1.108*1.023*(20/31)  +  2*1035*1.108*1.023</f>
        <v/>
      </c>
      <c r="Q981" s="278" t="inlineStr">
        <is>
          <t>Tasa actualización IPC General (Julio 2022 - Julio 2023): 2,3%</t>
        </is>
      </c>
      <c r="R981" s="280" t="n"/>
      <c r="S981" s="280" t="inlineStr">
        <is>
          <t>Fecha actualización: 12 Julio</t>
        </is>
      </c>
      <c r="T981" s="280" t="n"/>
      <c r="V981" s="280" t="n"/>
      <c r="X981" s="280" t="n"/>
      <c r="Z981" s="280" t="n"/>
      <c r="AA981" s="280" t="n"/>
      <c r="AB981" s="281" t="inlineStr">
        <is>
          <t>ES11 0081 7069 2700 0122 7724</t>
        </is>
      </c>
      <c r="AC981" s="278" t="inlineStr">
        <is>
          <t>pendiente</t>
        </is>
      </c>
      <c r="AD981" s="280">
        <f>L981+N981+P981+R981+T981+V981+X981+Z981</f>
        <v/>
      </c>
      <c r="AE981" s="280">
        <f>IF((LEFT(K981,6))="Contab",L981,0)</f>
        <v/>
      </c>
      <c r="AF981" s="281">
        <f>VLOOKUP(G981,CLIENTES!B:E,4,FALSE)</f>
        <v/>
      </c>
      <c r="AG981" s="280">
        <f>AF981*AE981</f>
        <v/>
      </c>
      <c r="AH981" s="280">
        <f>AD981*1.21</f>
        <v/>
      </c>
      <c r="AI981" s="284">
        <f>IF(AE981&lt;&gt;0,AG981/AD981,"N/A")</f>
        <v/>
      </c>
      <c r="AJ981" s="280">
        <f>IF(AC981="pendiente",AD981,0)</f>
        <v/>
      </c>
      <c r="AK981" s="278">
        <f>VLOOKUP(G981,CLIENTES!B:D,3,FALSE)</f>
        <v/>
      </c>
    </row>
    <row r="982" ht="15" customFormat="1" customHeight="1" s="278">
      <c r="B982" s="279" t="n"/>
      <c r="C982" s="278" t="inlineStr">
        <is>
          <t>c/ Las Cruzadas 3A, local D</t>
        </is>
      </c>
      <c r="D982" s="278" t="inlineStr">
        <is>
          <t>Sevilla 41004</t>
        </is>
      </c>
      <c r="E982" s="278" t="inlineStr">
        <is>
          <t>CIF B91938662</t>
        </is>
      </c>
      <c r="F982" s="278" t="inlineStr">
        <is>
          <t>aBalados@abalados.es</t>
        </is>
      </c>
      <c r="G982" s="278" t="inlineStr">
        <is>
          <t>FP LUX REIO PV VALLADOLID, S.L.U.</t>
        </is>
      </c>
      <c r="H982" s="278">
        <f>VLOOKUP($G982,DATOS!$B:$E,2,FALSE)</f>
        <v/>
      </c>
      <c r="I982" s="278">
        <f>VLOOKUP($G982,DATOS!$B:$E,3,FALSE)</f>
        <v/>
      </c>
      <c r="J982" s="278">
        <f>VLOOKUP($G982,DATOS!$B:$E,4,FALSE)</f>
        <v/>
      </c>
      <c r="K982" s="278" t="inlineStr">
        <is>
          <t>Contrato de Asset Management - Subestación Majuelo</t>
        </is>
      </c>
      <c r="L982" s="280" t="n"/>
      <c r="N982" s="280" t="n"/>
      <c r="O982" s="278" t="inlineStr">
        <is>
          <t>Fee Trimestral - 01Julio/30 Septiembre 2023</t>
        </is>
      </c>
      <c r="P982" s="280">
        <f>1173*1.105  +  2*1173*1.105*1.026</f>
        <v/>
      </c>
      <c r="Q982" s="278" t="inlineStr">
        <is>
          <t>Tasa actualización IPC General (Agosto 2022 - Agosto 2023): 2,6%</t>
        </is>
      </c>
      <c r="R982" s="280" t="n"/>
      <c r="S982" s="280" t="inlineStr">
        <is>
          <t>Fecha actualización: 01 Agosto</t>
        </is>
      </c>
      <c r="T982" s="280" t="n"/>
      <c r="V982" s="280" t="n"/>
      <c r="X982" s="280" t="n"/>
      <c r="Z982" s="280" t="n"/>
      <c r="AA982" s="280" t="n"/>
      <c r="AB982" s="281" t="inlineStr">
        <is>
          <t>ES11 0081 7069 2700 0122 7724</t>
        </is>
      </c>
      <c r="AC982" s="278" t="inlineStr">
        <is>
          <t>pendiente</t>
        </is>
      </c>
      <c r="AD982" s="280">
        <f>L982+N982+P982+R982+T982+V982+X982+Z982</f>
        <v/>
      </c>
      <c r="AE982" s="280">
        <f>IF((LEFT(K982,6))="Contab",L982,0)</f>
        <v/>
      </c>
      <c r="AF982" s="281">
        <f>VLOOKUP(G982,CLIENTES!B:E,4,FALSE)</f>
        <v/>
      </c>
      <c r="AG982" s="280">
        <f>AF982*AE982</f>
        <v/>
      </c>
      <c r="AH982" s="280">
        <f>AD982*1.21</f>
        <v/>
      </c>
      <c r="AI982" s="284">
        <f>IF(AE982&lt;&gt;0,AG982/AD982,"N/A")</f>
        <v/>
      </c>
      <c r="AJ982" s="280">
        <f>IF(AC982="pendiente",AD982,0)</f>
        <v/>
      </c>
      <c r="AK982" s="278">
        <f>VLOOKUP(G982,CLIENTES!B:D,3,FALSE)</f>
        <v/>
      </c>
    </row>
    <row r="983" ht="15" customFormat="1" customHeight="1" s="278">
      <c r="B983" s="279" t="n"/>
      <c r="C983" s="278" t="inlineStr">
        <is>
          <t>c/ Las Cruzadas 3A, local D</t>
        </is>
      </c>
      <c r="D983" s="278" t="inlineStr">
        <is>
          <t>Sevilla 41004</t>
        </is>
      </c>
      <c r="E983" s="278" t="inlineStr">
        <is>
          <t>CIF B91938662</t>
        </is>
      </c>
      <c r="F983" s="278" t="inlineStr">
        <is>
          <t>aBalados@abalados.es</t>
        </is>
      </c>
      <c r="G983" s="278" t="inlineStr">
        <is>
          <t>FP LUX REIO PV VALLADOLID, S.L.U.</t>
        </is>
      </c>
      <c r="H983" s="278">
        <f>VLOOKUP($G983,DATOS!$B:$E,2,FALSE)</f>
        <v/>
      </c>
      <c r="I983" s="278">
        <f>VLOOKUP($G983,DATOS!$B:$E,3,FALSE)</f>
        <v/>
      </c>
      <c r="J983" s="278">
        <f>VLOOKUP($G983,DATOS!$B:$E,4,FALSE)</f>
        <v/>
      </c>
      <c r="K983" s="278" t="inlineStr">
        <is>
          <t>Contrato de Asset Management - Subestación Tordesillas</t>
        </is>
      </c>
      <c r="L983" s="280" t="n"/>
      <c r="N983" s="280" t="n"/>
      <c r="O983" s="278" t="inlineStr">
        <is>
          <t>Fee Trimestral - 01Julio/30 Septiembre 2023</t>
        </is>
      </c>
      <c r="P983" s="280">
        <f>1200*3*1.073</f>
        <v/>
      </c>
      <c r="R983" s="280" t="n"/>
      <c r="S983" s="280" t="n"/>
      <c r="T983" s="280" t="n"/>
      <c r="V983" s="280" t="n"/>
      <c r="X983" s="280" t="n"/>
      <c r="Z983" s="280" t="n"/>
      <c r="AA983" s="280" t="n"/>
      <c r="AB983" s="281" t="inlineStr">
        <is>
          <t>ES11 0081 7069 2700 0122 7724</t>
        </is>
      </c>
      <c r="AC983" s="278" t="inlineStr">
        <is>
          <t>pendiente</t>
        </is>
      </c>
      <c r="AD983" s="280">
        <f>L983+N983+P983+R983+T983+V983+X983+Z983</f>
        <v/>
      </c>
      <c r="AE983" s="280">
        <f>IF((LEFT(K983,6))="Contab",L983,0)</f>
        <v/>
      </c>
      <c r="AF983" s="281">
        <f>VLOOKUP(G983,CLIENTES!B:E,4,FALSE)</f>
        <v/>
      </c>
      <c r="AG983" s="280">
        <f>AF983*AE983</f>
        <v/>
      </c>
      <c r="AH983" s="280">
        <f>AD983*1.21</f>
        <v/>
      </c>
      <c r="AI983" s="284">
        <f>IF(AE983&lt;&gt;0,AG983/AD983,"N/A")</f>
        <v/>
      </c>
      <c r="AJ983" s="280">
        <f>IF(AC983="pendiente",AD983,0)</f>
        <v/>
      </c>
      <c r="AK983" s="278">
        <f>VLOOKUP(G983,CLIENTES!B:D,3,FALSE)</f>
        <v/>
      </c>
    </row>
    <row r="984" ht="15" customFormat="1" customHeight="1" s="278">
      <c r="B984" s="279" t="n"/>
      <c r="C984" s="278" t="inlineStr">
        <is>
          <t>c/ Las Cruzadas 3A, local D</t>
        </is>
      </c>
      <c r="D984" s="278" t="inlineStr">
        <is>
          <t>Sevilla 41004</t>
        </is>
      </c>
      <c r="E984" s="278" t="inlineStr">
        <is>
          <t>CIF B91938662</t>
        </is>
      </c>
      <c r="F984" s="278" t="inlineStr">
        <is>
          <t>aBalados@abalados.es</t>
        </is>
      </c>
      <c r="G984" s="278" t="inlineStr">
        <is>
          <t>FP LUX REIO PV VALLADOLID, S.L.U.</t>
        </is>
      </c>
      <c r="H984" s="278">
        <f>VLOOKUP($G984,DATOS!$B:$E,2,FALSE)</f>
        <v/>
      </c>
      <c r="I984" s="278">
        <f>VLOOKUP($G984,DATOS!$B:$E,3,FALSE)</f>
        <v/>
      </c>
      <c r="J984" s="278">
        <f>VLOOKUP($G984,DATOS!$B:$E,4,FALSE)</f>
        <v/>
      </c>
      <c r="K984" s="278" t="inlineStr">
        <is>
          <t>Contrato de Asset Management - Subestación Valdecarretas</t>
        </is>
      </c>
      <c r="L984" s="280" t="n"/>
      <c r="N984" s="280" t="n"/>
      <c r="O984" s="278" t="inlineStr">
        <is>
          <t>Fee Trimestral - 01Julio/30 Septiembre 2023</t>
        </is>
      </c>
      <c r="P984" s="280">
        <f>1380*3*1.073</f>
        <v/>
      </c>
      <c r="R984" s="280" t="n"/>
      <c r="S984" s="280" t="n"/>
      <c r="T984" s="280" t="n"/>
      <c r="V984" s="280" t="n"/>
      <c r="X984" s="280" t="n"/>
      <c r="Z984" s="280" t="n"/>
      <c r="AA984" s="280" t="n"/>
      <c r="AB984" s="281" t="inlineStr">
        <is>
          <t>ES11 0081 7069 2700 0122 7724</t>
        </is>
      </c>
      <c r="AC984" s="278" t="inlineStr">
        <is>
          <t>pendiente</t>
        </is>
      </c>
      <c r="AD984" s="280">
        <f>L984+N984+P984+R984+T984+V984+X984+Z984</f>
        <v/>
      </c>
      <c r="AE984" s="280">
        <f>IF((LEFT(K984,6))="Contab",L984,0)</f>
        <v/>
      </c>
      <c r="AF984" s="281">
        <f>VLOOKUP(G984,CLIENTES!B:E,4,FALSE)</f>
        <v/>
      </c>
      <c r="AG984" s="280">
        <f>AF984*AE984</f>
        <v/>
      </c>
      <c r="AH984" s="280">
        <f>AD984*1.21</f>
        <v/>
      </c>
      <c r="AI984" s="284">
        <f>IF(AE984&lt;&gt;0,AG984/AD984,"N/A")</f>
        <v/>
      </c>
      <c r="AJ984" s="280">
        <f>IF(AC984="pendiente",AD984,0)</f>
        <v/>
      </c>
      <c r="AK984" s="278">
        <f>VLOOKUP(G984,CLIENTES!B:D,3,FALSE)</f>
        <v/>
      </c>
    </row>
    <row r="985" ht="15" customFormat="1" customHeight="1" s="278">
      <c r="B985" s="279" t="n"/>
      <c r="C985" s="278" t="inlineStr">
        <is>
          <t>c/ Las Cruzadas 3A, local D</t>
        </is>
      </c>
      <c r="D985" s="278" t="inlineStr">
        <is>
          <t>Sevilla 41004</t>
        </is>
      </c>
      <c r="E985" s="278" t="inlineStr">
        <is>
          <t>CIF B91938662</t>
        </is>
      </c>
      <c r="F985" s="278" t="inlineStr">
        <is>
          <t>aBalados@abalados.es</t>
        </is>
      </c>
      <c r="G985" s="278" t="inlineStr">
        <is>
          <t>FP LUX REIO PV VALLADOLID, S.L.U.</t>
        </is>
      </c>
      <c r="H985" s="278">
        <f>VLOOKUP($G985,DATOS!$B:$E,2,FALSE)</f>
        <v/>
      </c>
      <c r="I985" s="278">
        <f>VLOOKUP($G985,DATOS!$B:$E,3,FALSE)</f>
        <v/>
      </c>
      <c r="J985" s="278">
        <f>VLOOKUP($G985,DATOS!$B:$E,4,FALSE)</f>
        <v/>
      </c>
      <c r="K985" s="278" t="inlineStr">
        <is>
          <t>Contrato de Asset Management - Subestación Herrera</t>
        </is>
      </c>
      <c r="L985" s="280" t="n"/>
      <c r="N985" s="280" t="n"/>
      <c r="O985" s="278" t="inlineStr">
        <is>
          <t>Fee Trimestral - 01Julio/30 Septiembre 2023</t>
        </is>
      </c>
      <c r="P985" s="280">
        <f>1250*3*1.068</f>
        <v/>
      </c>
      <c r="R985" s="280" t="n"/>
      <c r="S985" s="280" t="n"/>
      <c r="T985" s="280" t="n"/>
      <c r="V985" s="280" t="n"/>
      <c r="X985" s="280" t="n"/>
      <c r="Z985" s="280" t="n"/>
      <c r="AA985" s="280" t="n"/>
      <c r="AB985" s="281" t="inlineStr">
        <is>
          <t>ES11 0081 7069 2700 0122 7724</t>
        </is>
      </c>
      <c r="AC985" s="278" t="inlineStr">
        <is>
          <t>pendiente</t>
        </is>
      </c>
      <c r="AD985" s="280">
        <f>L985+N985+P985+R985+T985+V985+X985+Z985</f>
        <v/>
      </c>
      <c r="AE985" s="280">
        <f>IF((LEFT(K985,6))="Contab",L985,0)</f>
        <v/>
      </c>
      <c r="AF985" s="281">
        <f>VLOOKUP(G985,CLIENTES!B:E,4,FALSE)</f>
        <v/>
      </c>
      <c r="AG985" s="280">
        <f>AF985*AE985</f>
        <v/>
      </c>
      <c r="AH985" s="280">
        <f>AD985*1.21</f>
        <v/>
      </c>
      <c r="AI985" s="284">
        <f>IF(AE985&lt;&gt;0,AG985/AD985,"N/A")</f>
        <v/>
      </c>
      <c r="AJ985" s="280">
        <f>IF(AC985="pendiente",AD985,0)</f>
        <v/>
      </c>
      <c r="AK985" s="278">
        <f>VLOOKUP(G985,CLIENTES!B:D,3,FALSE)</f>
        <v/>
      </c>
    </row>
    <row r="986" ht="15" customFormat="1" customHeight="1" s="278">
      <c r="B986" s="279" t="n"/>
      <c r="C986" s="278" t="inlineStr">
        <is>
          <t>c/ Las Cruzadas 3A, local D</t>
        </is>
      </c>
      <c r="D986" s="278" t="inlineStr">
        <is>
          <t>Sevilla 41004</t>
        </is>
      </c>
      <c r="E986" s="278" t="inlineStr">
        <is>
          <t>CIF B91938662</t>
        </is>
      </c>
      <c r="F986" s="278" t="inlineStr">
        <is>
          <t>aBalados@abalados.es</t>
        </is>
      </c>
      <c r="G986" s="278" t="inlineStr">
        <is>
          <t>FP LUX REIO PV VALLADOLID, S.L.U.</t>
        </is>
      </c>
      <c r="H986" s="278">
        <f>VLOOKUP($G986,DATOS!$B:$E,2,FALSE)</f>
        <v/>
      </c>
      <c r="I986" s="278">
        <f>VLOOKUP($G986,DATOS!$B:$E,3,FALSE)</f>
        <v/>
      </c>
      <c r="J986" s="278">
        <f>VLOOKUP($G986,DATOS!$B:$E,4,FALSE)</f>
        <v/>
      </c>
      <c r="K986" s="278" t="inlineStr">
        <is>
          <t>Contrato de Asset Management - Subestación Gazules</t>
        </is>
      </c>
      <c r="L986" s="280" t="n"/>
      <c r="N986" s="280" t="n"/>
      <c r="O986" s="278" t="inlineStr">
        <is>
          <t>Fee Trimestral - 01Julio/30 Septiembre 2023</t>
        </is>
      </c>
      <c r="P986" s="280">
        <f>1200*2*1.068 + 1200*1.068*(11/30)  +  2900*1.068*(20/30)</f>
        <v/>
      </c>
      <c r="Q986" s="278" t="inlineStr">
        <is>
          <t>Fee aplicable PreCod (1.281,6€/mes): 1 Julio - 11 Septiembre 2023</t>
        </is>
      </c>
      <c r="R986" s="280" t="n"/>
      <c r="S986" s="278" t="inlineStr">
        <is>
          <t>Fee aplicable Explotación (3.097,20€/mes): 12 Septiembre - 30 Septiembre 2023</t>
        </is>
      </c>
      <c r="T986" s="280" t="n"/>
      <c r="V986" s="280" t="n"/>
      <c r="X986" s="280" t="n"/>
      <c r="Z986" s="280" t="n"/>
      <c r="AA986" s="280" t="n"/>
      <c r="AB986" s="281" t="inlineStr">
        <is>
          <t>ES11 0081 7069 2700 0122 7724</t>
        </is>
      </c>
      <c r="AC986" s="278" t="inlineStr">
        <is>
          <t>pendiente</t>
        </is>
      </c>
      <c r="AD986" s="280">
        <f>L986+N986+P986+R986+T986+V986+X986+Z986</f>
        <v/>
      </c>
      <c r="AE986" s="280">
        <f>IF((LEFT(K986,6))="Contab",L986,0)</f>
        <v/>
      </c>
      <c r="AF986" s="281">
        <f>VLOOKUP(G986,CLIENTES!B:E,4,FALSE)</f>
        <v/>
      </c>
      <c r="AG986" s="280">
        <f>AF986*AE986</f>
        <v/>
      </c>
      <c r="AH986" s="280">
        <f>AD986*1.21</f>
        <v/>
      </c>
      <c r="AI986" s="284">
        <f>IF(AE986&lt;&gt;0,AG986/AD986,"N/A")</f>
        <v/>
      </c>
      <c r="AJ986" s="280">
        <f>IF(AC986="pendiente",AD986,0)</f>
        <v/>
      </c>
      <c r="AK986" s="278">
        <f>VLOOKUP(G986,CLIENTES!B:D,3,FALSE)</f>
        <v/>
      </c>
    </row>
    <row r="987" ht="15" customFormat="1" customHeight="1" s="278">
      <c r="B987" s="279" t="n"/>
      <c r="C987" s="278" t="inlineStr">
        <is>
          <t>c/ Las Cruzadas 3A, local D</t>
        </is>
      </c>
      <c r="D987" s="278" t="inlineStr">
        <is>
          <t>Sevilla 41004</t>
        </is>
      </c>
      <c r="E987" s="278" t="inlineStr">
        <is>
          <t>CIF B91938662</t>
        </is>
      </c>
      <c r="F987" s="278" t="inlineStr">
        <is>
          <t>aBalados@abalados.es</t>
        </is>
      </c>
      <c r="G987" s="278" t="inlineStr">
        <is>
          <t>FP LUX REIO PV VALLADOLID, S.L.U.</t>
        </is>
      </c>
      <c r="H987" s="278">
        <f>VLOOKUP($G987,DATOS!$B:$E,2,FALSE)</f>
        <v/>
      </c>
      <c r="I987" s="278">
        <f>VLOOKUP($G987,DATOS!$B:$E,3,FALSE)</f>
        <v/>
      </c>
      <c r="J987" s="278">
        <f>VLOOKUP($G987,DATOS!$B:$E,4,FALSE)</f>
        <v/>
      </c>
      <c r="K987" s="278" t="inlineStr">
        <is>
          <t>Servicios extraordinarios - Asset Management (subestación Álamo)</t>
        </is>
      </c>
      <c r="L987" s="280" t="n"/>
      <c r="M987" s="278" t="inlineStr">
        <is>
          <t>Asistencia técnica para la interlocución con REE en nombre de la Sociedad</t>
        </is>
      </c>
      <c r="N987" s="280" t="n"/>
      <c r="O987" s="278" t="inlineStr">
        <is>
          <t>Fee Trimestral - 01Julio/11 Septiembre 2023</t>
        </is>
      </c>
      <c r="P987" s="280">
        <f>285*2 + 285*(11/30)</f>
        <v/>
      </c>
      <c r="Q987" s="278" t="inlineStr">
        <is>
          <t>Servicio y Fee aplicable hasta activación Explotación (12 Septiembre 2023)</t>
        </is>
      </c>
      <c r="R987" s="280" t="n"/>
      <c r="T987" s="280" t="n"/>
      <c r="V987" s="280" t="n"/>
      <c r="X987" s="280" t="n"/>
      <c r="Z987" s="280" t="n"/>
      <c r="AA987" s="280" t="n"/>
      <c r="AB987" s="281" t="inlineStr">
        <is>
          <t>ES11 0081 7069 2700 0122 7724</t>
        </is>
      </c>
      <c r="AC987" s="278" t="inlineStr">
        <is>
          <t>pendiente</t>
        </is>
      </c>
      <c r="AD987" s="280">
        <f>L987+N987+P987+R987+T987+V987+X987+Z987</f>
        <v/>
      </c>
      <c r="AE987" s="280">
        <f>IF((LEFT(K987,6))="Contab",L987,0)</f>
        <v/>
      </c>
      <c r="AF987" s="281">
        <f>VLOOKUP(G987,CLIENTES!B:E,4,FALSE)</f>
        <v/>
      </c>
      <c r="AG987" s="280">
        <f>AF987*AE987</f>
        <v/>
      </c>
      <c r="AH987" s="280">
        <f>AD987*1.21</f>
        <v/>
      </c>
      <c r="AI987" s="284">
        <f>IF(AE987&lt;&gt;0,AG987/AD987,"N/A")</f>
        <v/>
      </c>
      <c r="AJ987" s="280">
        <f>IF(AC987="pendiente",AD987,0)</f>
        <v/>
      </c>
      <c r="AK987" s="278">
        <f>VLOOKUP(G987,CLIENTES!B:D,3,FALSE)</f>
        <v/>
      </c>
    </row>
    <row r="988" ht="15" customFormat="1" customHeight="1" s="278">
      <c r="B988" s="279" t="n"/>
      <c r="C988" s="278" t="inlineStr">
        <is>
          <t>c/ Las Cruzadas 3A, local D</t>
        </is>
      </c>
      <c r="D988" s="278" t="inlineStr">
        <is>
          <t>Sevilla 41004</t>
        </is>
      </c>
      <c r="E988" s="278" t="inlineStr">
        <is>
          <t>CIF B91938662</t>
        </is>
      </c>
      <c r="F988" s="278" t="inlineStr">
        <is>
          <t>aBalados@abalados.es</t>
        </is>
      </c>
      <c r="G988" s="278" t="inlineStr">
        <is>
          <t>FP LUX REIO PV VALLADOLID, S.L.U.</t>
        </is>
      </c>
      <c r="H988" s="278">
        <f>VLOOKUP($G988,DATOS!$B:$E,2,FALSE)</f>
        <v/>
      </c>
      <c r="I988" s="278">
        <f>VLOOKUP($G988,DATOS!$B:$E,3,FALSE)</f>
        <v/>
      </c>
      <c r="J988" s="278">
        <f>VLOOKUP($G988,DATOS!$B:$E,4,FALSE)</f>
        <v/>
      </c>
      <c r="K988" s="278" t="inlineStr">
        <is>
          <t>Contrato de Asset Management - LAAT T2 (Tordesillas)</t>
        </is>
      </c>
      <c r="L988" s="280" t="n"/>
      <c r="N988" s="280" t="n"/>
      <c r="O988" s="278" t="inlineStr">
        <is>
          <t>Fee Trimestral - 01Julio/30 Septiembre 2023</t>
        </is>
      </c>
      <c r="P988" s="280">
        <f>1200*3*1.059</f>
        <v/>
      </c>
      <c r="R988" s="280" t="n"/>
      <c r="S988" s="280" t="n"/>
      <c r="T988" s="280" t="n"/>
      <c r="V988" s="280" t="n"/>
      <c r="X988" s="280" t="n"/>
      <c r="Z988" s="280" t="n"/>
      <c r="AA988" s="280" t="n"/>
      <c r="AB988" s="281" t="inlineStr">
        <is>
          <t>ES11 0081 7069 2700 0122 7724</t>
        </is>
      </c>
      <c r="AC988" s="278" t="inlineStr">
        <is>
          <t>pendiente</t>
        </is>
      </c>
      <c r="AD988" s="280">
        <f>L988+N988+P988+R988+T988+V988+X988+Z988</f>
        <v/>
      </c>
      <c r="AE988" s="280">
        <f>IF((LEFT(K988,6))="Contab",L988,0)</f>
        <v/>
      </c>
      <c r="AF988" s="281">
        <f>VLOOKUP(G988,CLIENTES!B:E,4,FALSE)</f>
        <v/>
      </c>
      <c r="AG988" s="280">
        <f>AF988*AE988</f>
        <v/>
      </c>
      <c r="AH988" s="280">
        <f>AD988*1.21</f>
        <v/>
      </c>
      <c r="AI988" s="284">
        <f>IF(AE988&lt;&gt;0,AG988/AD988,"N/A")</f>
        <v/>
      </c>
      <c r="AJ988" s="280">
        <f>IF(AC988="pendiente",AD988,0)</f>
        <v/>
      </c>
      <c r="AK988" s="278">
        <f>VLOOKUP(G988,CLIENTES!B:D,3,FALSE)</f>
        <v/>
      </c>
    </row>
    <row r="989" ht="15" customFormat="1" customHeight="1" s="278">
      <c r="B989" s="279" t="n"/>
      <c r="C989" s="278" t="inlineStr">
        <is>
          <t>c/ Las Cruzadas 3A, local D</t>
        </is>
      </c>
      <c r="D989" s="278" t="inlineStr">
        <is>
          <t>Sevilla 41004</t>
        </is>
      </c>
      <c r="E989" s="278" t="inlineStr">
        <is>
          <t>CIF B91938662</t>
        </is>
      </c>
      <c r="F989" s="278" t="inlineStr">
        <is>
          <t>aBalados@abalados.es</t>
        </is>
      </c>
      <c r="G989" s="278" t="inlineStr">
        <is>
          <t>FP LUX REIO PV VALLADOLID, S.L.U.</t>
        </is>
      </c>
      <c r="H989" s="278">
        <f>VLOOKUP($G989,DATOS!$B:$E,2,FALSE)</f>
        <v/>
      </c>
      <c r="I989" s="278">
        <f>VLOOKUP($G989,DATOS!$B:$E,3,FALSE)</f>
        <v/>
      </c>
      <c r="J989" s="278">
        <f>VLOOKUP($G989,DATOS!$B:$E,4,FALSE)</f>
        <v/>
      </c>
      <c r="K989" s="278" t="inlineStr">
        <is>
          <t>Contrato de Asset Management - Subestación Carmona220</t>
        </is>
      </c>
      <c r="L989" s="280" t="n"/>
      <c r="N989" s="280" t="n"/>
      <c r="O989" s="278" t="inlineStr">
        <is>
          <t>Fee Trimestral - 01Julio/30 Septiembre 2023</t>
        </is>
      </c>
      <c r="P989" s="280">
        <f>1250*3*1.06</f>
        <v/>
      </c>
      <c r="R989" s="280" t="n"/>
      <c r="S989" s="280" t="n"/>
      <c r="T989" s="280" t="n"/>
      <c r="V989" s="280" t="n"/>
      <c r="X989" s="280" t="n"/>
      <c r="Z989" s="280" t="n"/>
      <c r="AA989" s="280" t="n"/>
      <c r="AB989" s="281" t="inlineStr">
        <is>
          <t>ES11 0081 7069 2700 0122 7724</t>
        </is>
      </c>
      <c r="AC989" s="278" t="inlineStr">
        <is>
          <t>pendiente</t>
        </is>
      </c>
      <c r="AD989" s="280">
        <f>L989+N989+P989+R989+T989+V989+X989+Z989</f>
        <v/>
      </c>
      <c r="AE989" s="280">
        <f>IF((LEFT(K989,6))="Contab",L989,0)</f>
        <v/>
      </c>
      <c r="AF989" s="281">
        <f>VLOOKUP(G989,CLIENTES!B:E,4,FALSE)</f>
        <v/>
      </c>
      <c r="AG989" s="280">
        <f>AF989*AE989</f>
        <v/>
      </c>
      <c r="AH989" s="280">
        <f>AD989*1.21</f>
        <v/>
      </c>
      <c r="AI989" s="284">
        <f>IF(AE989&lt;&gt;0,AG989/AD989,"N/A")</f>
        <v/>
      </c>
      <c r="AJ989" s="280">
        <f>IF(AC989="pendiente",AD989,0)</f>
        <v/>
      </c>
      <c r="AK989" s="278">
        <f>VLOOKUP(G989,CLIENTES!B:D,3,FALSE)</f>
        <v/>
      </c>
    </row>
    <row r="990" ht="15" customFormat="1" customHeight="1" s="278">
      <c r="B990" s="279" t="n"/>
      <c r="C990" s="278" t="inlineStr">
        <is>
          <t>c/ Las Cruzadas 3A, local D</t>
        </is>
      </c>
      <c r="D990" s="278" t="inlineStr">
        <is>
          <t>Sevilla 41004</t>
        </is>
      </c>
      <c r="E990" s="278" t="inlineStr">
        <is>
          <t>CIF B91938662</t>
        </is>
      </c>
      <c r="F990" s="278" t="inlineStr">
        <is>
          <t>aBalados@abalados.es</t>
        </is>
      </c>
      <c r="G990" s="278" t="inlineStr">
        <is>
          <t>FP LUX REIO PV VALLADOLID, S.L.U.</t>
        </is>
      </c>
      <c r="H990" s="278">
        <f>VLOOKUP($G990,DATOS!$B:$E,2,FALSE)</f>
        <v/>
      </c>
      <c r="I990" s="278">
        <f>VLOOKUP($G990,DATOS!$B:$E,3,FALSE)</f>
        <v/>
      </c>
      <c r="J990" s="278">
        <f>VLOOKUP($G990,DATOS!$B:$E,4,FALSE)</f>
        <v/>
      </c>
      <c r="K990" s="278" t="inlineStr">
        <is>
          <t>Contrato de Asset Management - LAAT T3 (Tordesillas)</t>
        </is>
      </c>
      <c r="L990" s="280" t="n"/>
      <c r="N990" s="280" t="n"/>
      <c r="O990" s="278" t="inlineStr">
        <is>
          <t>Fee Trimestral - 01Julio/30 Septiembre 2023</t>
        </is>
      </c>
      <c r="P990" s="280">
        <f>1200*3*1.06</f>
        <v/>
      </c>
      <c r="R990" s="280" t="n"/>
      <c r="S990" s="280" t="n"/>
      <c r="T990" s="280" t="n"/>
      <c r="V990" s="280" t="n"/>
      <c r="X990" s="280" t="n"/>
      <c r="Z990" s="280" t="n"/>
      <c r="AA990" s="280" t="n"/>
      <c r="AB990" s="281" t="inlineStr">
        <is>
          <t>ES11 0081 7069 2700 0122 7724</t>
        </is>
      </c>
      <c r="AC990" s="278" t="inlineStr">
        <is>
          <t>pendiente</t>
        </is>
      </c>
      <c r="AD990" s="280">
        <f>L990+N990+P990+R990+T990+V990+X990+Z990</f>
        <v/>
      </c>
      <c r="AE990" s="280">
        <f>IF((LEFT(K990,6))="Contab",L990,0)</f>
        <v/>
      </c>
      <c r="AF990" s="281">
        <f>VLOOKUP(G990,CLIENTES!B:E,4,FALSE)</f>
        <v/>
      </c>
      <c r="AG990" s="280">
        <f>AF990*AE990</f>
        <v/>
      </c>
      <c r="AH990" s="280">
        <f>AD990*1.21</f>
        <v/>
      </c>
      <c r="AI990" s="284">
        <f>IF(AE990&lt;&gt;0,AG990/AD990,"N/A")</f>
        <v/>
      </c>
      <c r="AJ990" s="280">
        <f>IF(AC990="pendiente",AD990,0)</f>
        <v/>
      </c>
      <c r="AK990" s="278">
        <f>VLOOKUP(G990,CLIENTES!B:D,3,FALSE)</f>
        <v/>
      </c>
    </row>
    <row r="991" ht="15" customFormat="1" customHeight="1" s="278">
      <c r="B991" s="279" t="n"/>
      <c r="C991" s="278" t="inlineStr">
        <is>
          <t>c/ Las Cruzadas 3A, local D</t>
        </is>
      </c>
      <c r="D991" s="278" t="inlineStr">
        <is>
          <t>Sevilla 41004</t>
        </is>
      </c>
      <c r="E991" s="278" t="inlineStr">
        <is>
          <t>CIF B91938662</t>
        </is>
      </c>
      <c r="F991" s="278" t="inlineStr">
        <is>
          <t>aBalados@abalados.es</t>
        </is>
      </c>
      <c r="G991" s="278" t="inlineStr">
        <is>
          <t>FP LUX REIO PV VALLADOLID, S.L.U.</t>
        </is>
      </c>
      <c r="H991" s="278">
        <f>VLOOKUP($G991,DATOS!$B:$E,2,FALSE)</f>
        <v/>
      </c>
      <c r="I991" s="278">
        <f>VLOOKUP($G991,DATOS!$B:$E,3,FALSE)</f>
        <v/>
      </c>
      <c r="J991" s="278">
        <f>VLOOKUP($G991,DATOS!$B:$E,4,FALSE)</f>
        <v/>
      </c>
      <c r="K991" s="278" t="inlineStr">
        <is>
          <t>Contrato de Asset Management - Subestación Carmona400</t>
        </is>
      </c>
      <c r="L991" s="280" t="n"/>
      <c r="N991" s="280" t="n"/>
      <c r="O991" s="278" t="inlineStr">
        <is>
          <t>Fee Trimestral - 01Julio/30 Septiembre 2023</t>
        </is>
      </c>
      <c r="P991" s="280">
        <f>1250*3*1.06</f>
        <v/>
      </c>
      <c r="R991" s="280" t="n"/>
      <c r="S991" s="280" t="n"/>
      <c r="T991" s="280" t="n"/>
      <c r="V991" s="280" t="n"/>
      <c r="X991" s="280" t="n"/>
      <c r="Z991" s="280" t="n"/>
      <c r="AA991" s="280" t="n"/>
      <c r="AB991" s="281" t="inlineStr">
        <is>
          <t>ES11 0081 7069 2700 0122 7724</t>
        </is>
      </c>
      <c r="AC991" s="278" t="inlineStr">
        <is>
          <t>pendiente</t>
        </is>
      </c>
      <c r="AD991" s="280">
        <f>L991+N991+P991+R991+T991+V991+X991+Z991</f>
        <v/>
      </c>
      <c r="AE991" s="280">
        <f>IF((LEFT(K991,6))="Contab",L991,0)</f>
        <v/>
      </c>
      <c r="AF991" s="281">
        <f>VLOOKUP(G991,CLIENTES!B:E,4,FALSE)</f>
        <v/>
      </c>
      <c r="AG991" s="280">
        <f>AF991*AE991</f>
        <v/>
      </c>
      <c r="AH991" s="280">
        <f>AD991*1.21</f>
        <v/>
      </c>
      <c r="AI991" s="284">
        <f>IF(AE991&lt;&gt;0,AG991/AD991,"N/A")</f>
        <v/>
      </c>
      <c r="AJ991" s="280">
        <f>IF(AC991="pendiente",AD991,0)</f>
        <v/>
      </c>
      <c r="AK991" s="278">
        <f>VLOOKUP(G991,CLIENTES!B:D,3,FALSE)</f>
        <v/>
      </c>
    </row>
    <row r="992" ht="15" customFormat="1" customHeight="1" s="278">
      <c r="B992" s="279" t="n"/>
      <c r="C992" s="278" t="inlineStr">
        <is>
          <t>c/ Las Cruzadas 3A, local D</t>
        </is>
      </c>
      <c r="D992" s="278" t="inlineStr">
        <is>
          <t>Sevilla 41004</t>
        </is>
      </c>
      <c r="E992" s="278" t="inlineStr">
        <is>
          <t>CIF B91938662</t>
        </is>
      </c>
      <c r="F992" s="278" t="inlineStr">
        <is>
          <t>aBalados@abalados.es</t>
        </is>
      </c>
      <c r="G992" s="278" t="inlineStr">
        <is>
          <t>FP LUX REIO PV VALLADOLID, S.L.U.</t>
        </is>
      </c>
      <c r="H992" s="278">
        <f>VLOOKUP($G992,DATOS!$B:$E,2,FALSE)</f>
        <v/>
      </c>
      <c r="I992" s="278">
        <f>VLOOKUP($G992,DATOS!$B:$E,3,FALSE)</f>
        <v/>
      </c>
      <c r="J992" s="278">
        <f>VLOOKUP($G992,DATOS!$B:$E,4,FALSE)</f>
        <v/>
      </c>
      <c r="K992" s="278" t="inlineStr">
        <is>
          <t>Contrato de Asset Management - LAAT 220/400kV</t>
        </is>
      </c>
      <c r="L992" s="280" t="n"/>
      <c r="N992" s="280" t="n"/>
      <c r="O992" s="278" t="inlineStr">
        <is>
          <t>Fee Trimestral - 01Julio/30 Septiembre 2023</t>
        </is>
      </c>
      <c r="P992" s="280">
        <f>1200*3*1.059</f>
        <v/>
      </c>
      <c r="R992" s="280" t="n"/>
      <c r="S992" s="280" t="n"/>
      <c r="T992" s="280" t="n"/>
      <c r="V992" s="280" t="n"/>
      <c r="X992" s="280" t="n"/>
      <c r="Z992" s="280" t="n"/>
      <c r="AA992" s="280" t="n"/>
      <c r="AB992" s="281" t="inlineStr">
        <is>
          <t>ES11 0081 7069 2700 0122 7724</t>
        </is>
      </c>
      <c r="AC992" s="278" t="inlineStr">
        <is>
          <t>pendiente</t>
        </is>
      </c>
      <c r="AD992" s="280">
        <f>L992+N992+P992+R992+T992+V992+X992+Z992</f>
        <v/>
      </c>
      <c r="AE992" s="280">
        <f>IF((LEFT(K992,6))="Contab",L992,0)</f>
        <v/>
      </c>
      <c r="AF992" s="281">
        <f>VLOOKUP(G992,CLIENTES!B:E,4,FALSE)</f>
        <v/>
      </c>
      <c r="AG992" s="280">
        <f>AF992*AE992</f>
        <v/>
      </c>
      <c r="AH992" s="280">
        <f>AD992*1.21</f>
        <v/>
      </c>
      <c r="AI992" s="284">
        <f>IF(AE992&lt;&gt;0,AG992/AD992,"N/A")</f>
        <v/>
      </c>
      <c r="AJ992" s="280">
        <f>IF(AC992="pendiente",AD992,0)</f>
        <v/>
      </c>
      <c r="AK992" s="278">
        <f>VLOOKUP(G992,CLIENTES!B:D,3,FALSE)</f>
        <v/>
      </c>
    </row>
    <row r="993" ht="15" customFormat="1" customHeight="1" s="278">
      <c r="B993" s="279" t="n"/>
      <c r="C993" s="278" t="inlineStr">
        <is>
          <t>c/ Las Cruzadas 3A, local D</t>
        </is>
      </c>
      <c r="D993" s="278" t="inlineStr">
        <is>
          <t>Sevilla 41004</t>
        </is>
      </c>
      <c r="E993" s="278" t="inlineStr">
        <is>
          <t>CIF B91938662</t>
        </is>
      </c>
      <c r="F993" s="278" t="inlineStr">
        <is>
          <t>aBalados@abalados.es</t>
        </is>
      </c>
      <c r="G993" s="278" t="inlineStr">
        <is>
          <t>FP LUX REIO PV VALLADOLID, S.L.U.</t>
        </is>
      </c>
      <c r="H993" s="278">
        <f>VLOOKUP($G993,DATOS!$B:$E,2,FALSE)</f>
        <v/>
      </c>
      <c r="I993" s="278">
        <f>VLOOKUP($G993,DATOS!$B:$E,3,FALSE)</f>
        <v/>
      </c>
      <c r="J993" s="278">
        <f>VLOOKUP($G993,DATOS!$B:$E,4,FALSE)</f>
        <v/>
      </c>
      <c r="K993" s="278" t="inlineStr">
        <is>
          <t>Contrato de Asset Management - Subestación María Castro</t>
        </is>
      </c>
      <c r="L993" s="280" t="n"/>
      <c r="N993" s="280" t="n"/>
      <c r="O993" s="278" t="inlineStr">
        <is>
          <t>Fee Trimestral - 01Julio/30 Septiembre 2023</t>
        </is>
      </c>
      <c r="P993" s="280">
        <f>1275*3*1.041</f>
        <v/>
      </c>
      <c r="R993" s="280" t="n"/>
      <c r="S993" s="280" t="n"/>
      <c r="T993" s="280" t="n"/>
      <c r="V993" s="280" t="n"/>
      <c r="X993" s="280" t="n"/>
      <c r="Z993" s="280" t="n"/>
      <c r="AA993" s="280" t="n"/>
      <c r="AB993" s="281" t="inlineStr">
        <is>
          <t>ES11 0081 7069 2700 0122 7724</t>
        </is>
      </c>
      <c r="AC993" s="278" t="inlineStr">
        <is>
          <t>pendiente</t>
        </is>
      </c>
      <c r="AD993" s="280">
        <f>L993+N993+P993+R993+T993+V993+X993+Z993</f>
        <v/>
      </c>
      <c r="AE993" s="280">
        <f>IF((LEFT(K993,6))="Contab",L993,0)</f>
        <v/>
      </c>
      <c r="AF993" s="281">
        <f>VLOOKUP(G993,CLIENTES!B:E,4,FALSE)</f>
        <v/>
      </c>
      <c r="AG993" s="280">
        <f>AF993*AE993</f>
        <v/>
      </c>
      <c r="AH993" s="280">
        <f>AD993*1.21</f>
        <v/>
      </c>
      <c r="AI993" s="284">
        <f>IF(AE993&lt;&gt;0,AG993/AD993,"N/A")</f>
        <v/>
      </c>
      <c r="AJ993" s="280">
        <f>IF(AC993="pendiente",AD993,0)</f>
        <v/>
      </c>
      <c r="AK993" s="278">
        <f>VLOOKUP(G993,CLIENTES!B:D,3,FALSE)</f>
        <v/>
      </c>
    </row>
    <row r="994" ht="15" customFormat="1" customHeight="1" s="278">
      <c r="B994" s="279" t="n"/>
      <c r="C994" s="278" t="inlineStr">
        <is>
          <t>c/ Las Cruzadas 3A, local D</t>
        </is>
      </c>
      <c r="D994" s="278" t="inlineStr">
        <is>
          <t>Sevilla 41004</t>
        </is>
      </c>
      <c r="E994" s="278" t="inlineStr">
        <is>
          <t>CIF B91938662</t>
        </is>
      </c>
      <c r="F994" s="278" t="inlineStr">
        <is>
          <t>aBalados@abalados.es</t>
        </is>
      </c>
      <c r="G994" s="278" t="inlineStr">
        <is>
          <t>FP LUX REIO PV VALLADOLID, S.L.U.</t>
        </is>
      </c>
      <c r="H994" s="278">
        <f>VLOOKUP($G994,DATOS!$B:$E,2,FALSE)</f>
        <v/>
      </c>
      <c r="I994" s="278">
        <f>VLOOKUP($G994,DATOS!$B:$E,3,FALSE)</f>
        <v/>
      </c>
      <c r="J994" s="278">
        <f>VLOOKUP($G994,DATOS!$B:$E,4,FALSE)</f>
        <v/>
      </c>
      <c r="K994" s="278" t="inlineStr">
        <is>
          <t>Contrato de Asset Management - LAAT 132kV</t>
        </is>
      </c>
      <c r="L994" s="280" t="n"/>
      <c r="N994" s="280" t="n"/>
      <c r="O994" s="278" t="inlineStr">
        <is>
          <t>Fee Trimestral - 01Julio/30 Septiembre 2023</t>
        </is>
      </c>
      <c r="P994" s="280">
        <f>1275*3*1.032</f>
        <v/>
      </c>
      <c r="R994" s="280" t="n"/>
      <c r="S994" s="280" t="n"/>
      <c r="T994" s="280" t="n"/>
      <c r="V994" s="280" t="n"/>
      <c r="X994" s="280" t="n"/>
      <c r="Z994" s="280" t="n"/>
      <c r="AA994" s="280" t="n"/>
      <c r="AB994" s="281" t="inlineStr">
        <is>
          <t>ES11 0081 7069 2700 0122 7724</t>
        </is>
      </c>
      <c r="AC994" s="278" t="inlineStr">
        <is>
          <t>pendiente</t>
        </is>
      </c>
      <c r="AD994" s="280">
        <f>L994+N994+P994+R994+T994+V994+X994+Z994</f>
        <v/>
      </c>
      <c r="AE994" s="280">
        <f>IF((LEFT(K994,6))="Contab",L994,0)</f>
        <v/>
      </c>
      <c r="AF994" s="281">
        <f>VLOOKUP(G994,CLIENTES!B:E,4,FALSE)</f>
        <v/>
      </c>
      <c r="AG994" s="280">
        <f>AF994*AE994</f>
        <v/>
      </c>
      <c r="AH994" s="280">
        <f>AD994*1.21</f>
        <v/>
      </c>
      <c r="AI994" s="284">
        <f>IF(AE994&lt;&gt;0,AG994/AD994,"N/A")</f>
        <v/>
      </c>
      <c r="AJ994" s="280">
        <f>IF(AC994="pendiente",AD994,0)</f>
        <v/>
      </c>
      <c r="AK994" s="278">
        <f>VLOOKUP(G994,CLIENTES!B:D,3,FALSE)</f>
        <v/>
      </c>
    </row>
    <row r="995" ht="15" customFormat="1" customHeight="1" s="278">
      <c r="B995" s="279" t="n"/>
      <c r="C995" s="278" t="inlineStr">
        <is>
          <t>c/ Las Cruzadas 3A, local D</t>
        </is>
      </c>
      <c r="D995" s="278" t="inlineStr">
        <is>
          <t>Sevilla 41004</t>
        </is>
      </c>
      <c r="E995" s="278" t="inlineStr">
        <is>
          <t>CIF B91938662</t>
        </is>
      </c>
      <c r="F995" s="278" t="inlineStr">
        <is>
          <t>aBalados@abalados.es</t>
        </is>
      </c>
      <c r="G995" s="278" t="inlineStr">
        <is>
          <t>FP LUX REIO PV VALLADOLID, S.L.U.</t>
        </is>
      </c>
      <c r="H995" s="278">
        <f>VLOOKUP($G995,DATOS!$B:$E,2,FALSE)</f>
        <v/>
      </c>
      <c r="I995" s="278">
        <f>VLOOKUP($G995,DATOS!$B:$E,3,FALSE)</f>
        <v/>
      </c>
      <c r="J995" s="278">
        <f>VLOOKUP($G995,DATOS!$B:$E,4,FALSE)</f>
        <v/>
      </c>
      <c r="K995" s="278" t="inlineStr">
        <is>
          <t>Contrato de Asset Management - Subestación Sotillo</t>
        </is>
      </c>
      <c r="L995" s="280" t="n"/>
      <c r="N995" s="280" t="n"/>
      <c r="O995" s="278" t="inlineStr">
        <is>
          <t>Fee Trimestral - 01Julio/30 Septiembre 2023</t>
        </is>
      </c>
      <c r="P995" s="280">
        <f>1250*3*1.019</f>
        <v/>
      </c>
      <c r="Q995" s="278" t="inlineStr">
        <is>
          <t>Tasa actualización IPC General (Junio 2022 - Junio 2023): 1,90%</t>
        </is>
      </c>
      <c r="R995" s="280" t="n"/>
      <c r="T995" s="280" t="n"/>
      <c r="U995" s="278" t="inlineStr">
        <is>
          <t>Regularización IPC trimestre anterior (26Junio-30Junio 2023)</t>
        </is>
      </c>
      <c r="V995" s="280">
        <f>1250*0.019*(5/30)</f>
        <v/>
      </c>
      <c r="X995" s="280" t="n"/>
      <c r="Z995" s="280" t="n"/>
      <c r="AA995" s="280" t="n"/>
      <c r="AB995" s="281" t="inlineStr">
        <is>
          <t>ES11 0081 7069 2700 0122 7724</t>
        </is>
      </c>
      <c r="AC995" s="278" t="inlineStr">
        <is>
          <t>pendiente</t>
        </is>
      </c>
      <c r="AD995" s="280">
        <f>L995+N995+P995+R995+T995+V995+X995+Z995</f>
        <v/>
      </c>
      <c r="AE995" s="280">
        <f>IF((LEFT(K995,6))="Contab",L995,0)</f>
        <v/>
      </c>
      <c r="AF995" s="281">
        <f>VLOOKUP(G995,CLIENTES!B:E,4,FALSE)</f>
        <v/>
      </c>
      <c r="AG995" s="280">
        <f>AF995*AE995</f>
        <v/>
      </c>
      <c r="AH995" s="280">
        <f>AD995*1.21</f>
        <v/>
      </c>
      <c r="AI995" s="284">
        <f>IF(AE995&lt;&gt;0,AG995/AD995,"N/A")</f>
        <v/>
      </c>
      <c r="AJ995" s="280">
        <f>IF(AC995="pendiente",AD995,0)</f>
        <v/>
      </c>
      <c r="AK995" s="278">
        <f>VLOOKUP(G995,CLIENTES!B:D,3,FALSE)</f>
        <v/>
      </c>
    </row>
    <row r="996" ht="15" customFormat="1" customHeight="1" s="278">
      <c r="B996" s="279" t="n"/>
      <c r="C996" s="278" t="inlineStr">
        <is>
          <t>c/ Las Cruzadas 3A, local D</t>
        </is>
      </c>
      <c r="D996" s="278" t="inlineStr">
        <is>
          <t>Sevilla 41004</t>
        </is>
      </c>
      <c r="E996" s="278" t="inlineStr">
        <is>
          <t>CIF B91938662</t>
        </is>
      </c>
      <c r="F996" s="278" t="inlineStr">
        <is>
          <t>aBalados@abalados.es</t>
        </is>
      </c>
      <c r="G996" s="278" t="inlineStr">
        <is>
          <t>FP LUX REIO PV VALLADOLID, S.L.U.</t>
        </is>
      </c>
      <c r="H996" s="278">
        <f>VLOOKUP($G996,DATOS!$B:$E,2,FALSE)</f>
        <v/>
      </c>
      <c r="I996" s="278">
        <f>VLOOKUP($G996,DATOS!$B:$E,3,FALSE)</f>
        <v/>
      </c>
      <c r="J996" s="278">
        <f>VLOOKUP($G996,DATOS!$B:$E,4,FALSE)</f>
        <v/>
      </c>
      <c r="K996" s="278" t="inlineStr">
        <is>
          <t>Contrato de Asset Management - LAAT 132kV</t>
        </is>
      </c>
      <c r="L996" s="280" t="n"/>
      <c r="N996" s="280" t="n"/>
      <c r="O996" s="278" t="inlineStr">
        <is>
          <t>Fee Trimestral - 01Julio/30 Septiembre 2023</t>
        </is>
      </c>
      <c r="P996" s="280">
        <f>2675*3</f>
        <v/>
      </c>
      <c r="R996" s="280" t="n"/>
      <c r="T996" s="280" t="n"/>
      <c r="V996" s="280" t="n"/>
      <c r="X996" s="280" t="n"/>
      <c r="Z996" s="280" t="n"/>
      <c r="AA996" s="280" t="n"/>
      <c r="AB996" s="281" t="inlineStr">
        <is>
          <t>ES11 0081 7069 2700 0122 7724</t>
        </is>
      </c>
      <c r="AC996" s="278" t="inlineStr">
        <is>
          <t>pendiente</t>
        </is>
      </c>
      <c r="AD996" s="280">
        <f>L996+N996+P996+R996+T996+V996+X996+Z996</f>
        <v/>
      </c>
      <c r="AE996" s="280">
        <f>IF((LEFT(K996,6))="Contab",L996,0)</f>
        <v/>
      </c>
      <c r="AF996" s="281">
        <f>VLOOKUP(G996,CLIENTES!B:E,4,FALSE)</f>
        <v/>
      </c>
      <c r="AG996" s="280">
        <f>AF996*AE996</f>
        <v/>
      </c>
      <c r="AH996" s="280">
        <f>AD996*1.21</f>
        <v/>
      </c>
      <c r="AI996" s="284">
        <f>IF(AE996&lt;&gt;0,AG996/AD996,"N/A")</f>
        <v/>
      </c>
      <c r="AJ996" s="280">
        <f>IF(AC996="pendiente",AD996,0)</f>
        <v/>
      </c>
      <c r="AK996" s="278">
        <f>VLOOKUP(G996,CLIENTES!B:D,3,FALSE)</f>
        <v/>
      </c>
    </row>
    <row r="997" ht="15" customFormat="1" customHeight="1" s="278">
      <c r="B997" s="279" t="n"/>
      <c r="C997" s="278" t="inlineStr">
        <is>
          <t>c/ Las Cruzadas 3A, local D</t>
        </is>
      </c>
      <c r="D997" s="278" t="inlineStr">
        <is>
          <t>Sevilla 41004</t>
        </is>
      </c>
      <c r="E997" s="278" t="inlineStr">
        <is>
          <t>CIF B91938662</t>
        </is>
      </c>
      <c r="F997" s="278" t="inlineStr">
        <is>
          <t>aBalados@abalados.es</t>
        </is>
      </c>
      <c r="G997" s="278" t="inlineStr">
        <is>
          <t>FP LUX REIO PV VALLADOLID, S.L.U.</t>
        </is>
      </c>
      <c r="H997" s="278">
        <f>VLOOKUP($G997,DATOS!$B:$E,2,FALSE)</f>
        <v/>
      </c>
      <c r="I997" s="278">
        <f>VLOOKUP($G997,DATOS!$B:$E,3,FALSE)</f>
        <v/>
      </c>
      <c r="J997" s="278">
        <f>VLOOKUP($G997,DATOS!$B:$E,4,FALSE)</f>
        <v/>
      </c>
      <c r="K997" s="278" t="inlineStr">
        <is>
          <t>Contrato de Asset Management - Subestación BrovalesF1</t>
        </is>
      </c>
      <c r="L997" s="280" t="n"/>
      <c r="N997" s="280" t="n"/>
      <c r="O997" s="278" t="inlineStr">
        <is>
          <t>Fee Trimestral - 01Julio/30 Septiembre 2023</t>
        </is>
      </c>
      <c r="P997" s="280">
        <f>1665*3</f>
        <v/>
      </c>
      <c r="Q997" s="278" t="inlineStr">
        <is>
          <t>Tasa actualización IPC General (Septiembre 2022 - Septiembre 2023): No disponible</t>
        </is>
      </c>
      <c r="R997" s="280" t="n"/>
      <c r="S997" s="280" t="n"/>
      <c r="T997" s="280" t="n"/>
      <c r="V997" s="280" t="n"/>
      <c r="X997" s="280" t="n"/>
      <c r="Z997" s="280" t="n"/>
      <c r="AA997" s="280" t="n"/>
      <c r="AB997" s="281" t="inlineStr">
        <is>
          <t>ES11 0081 7069 2700 0122 7724</t>
        </is>
      </c>
      <c r="AC997" s="278" t="inlineStr">
        <is>
          <t>pendiente</t>
        </is>
      </c>
      <c r="AD997" s="280">
        <f>L997+N997+P997+R997+T997+V997+X997+Z997</f>
        <v/>
      </c>
      <c r="AE997" s="280">
        <f>IF((LEFT(K997,6))="Contab",L997,0)</f>
        <v/>
      </c>
      <c r="AF997" s="281">
        <f>VLOOKUP(G997,CLIENTES!B:E,4,FALSE)</f>
        <v/>
      </c>
      <c r="AG997" s="280">
        <f>AF997*AE997</f>
        <v/>
      </c>
      <c r="AH997" s="280">
        <f>AD997*1.21</f>
        <v/>
      </c>
      <c r="AI997" s="284">
        <f>IF(AE997&lt;&gt;0,AG997/AD997,"N/A")</f>
        <v/>
      </c>
      <c r="AJ997" s="280">
        <f>IF(AC997="pendiente",AD997,0)</f>
        <v/>
      </c>
      <c r="AK997" s="278">
        <f>VLOOKUP(G997,CLIENTES!B:D,3,FALSE)</f>
        <v/>
      </c>
    </row>
    <row r="998" ht="15" customFormat="1" customHeight="1" s="278">
      <c r="B998" s="279" t="n"/>
      <c r="C998" s="278" t="inlineStr">
        <is>
          <t>c/ Las Cruzadas 3A, local D</t>
        </is>
      </c>
      <c r="D998" s="278" t="inlineStr">
        <is>
          <t>Sevilla 41004</t>
        </is>
      </c>
      <c r="E998" s="278" t="inlineStr">
        <is>
          <t>CIF B91938662</t>
        </is>
      </c>
      <c r="F998" s="278" t="inlineStr">
        <is>
          <t>aBalados@abalados.es</t>
        </is>
      </c>
      <c r="G998" s="278" t="inlineStr">
        <is>
          <t>FP LUX REIO PV VALLADOLID, S.L.U.</t>
        </is>
      </c>
      <c r="H998" s="278">
        <f>VLOOKUP($G998,DATOS!$B:$E,2,FALSE)</f>
        <v/>
      </c>
      <c r="I998" s="278">
        <f>VLOOKUP($G998,DATOS!$B:$E,3,FALSE)</f>
        <v/>
      </c>
      <c r="J998" s="278">
        <f>VLOOKUP($G998,DATOS!$B:$E,4,FALSE)</f>
        <v/>
      </c>
      <c r="K998" s="278" t="inlineStr">
        <is>
          <t>Contrato de Asset Management - Subestación BrovalesF3</t>
        </is>
      </c>
      <c r="L998" s="280" t="n"/>
      <c r="N998" s="280" t="n"/>
      <c r="O998" s="278" t="inlineStr">
        <is>
          <t>Fee Trimestral - 01Julio/30 Septiembre 2023</t>
        </is>
      </c>
      <c r="P998" s="280">
        <f>1665*3</f>
        <v/>
      </c>
      <c r="R998" s="280" t="n"/>
      <c r="T998" s="280" t="n"/>
      <c r="V998" s="280" t="n"/>
      <c r="X998" s="280" t="n"/>
      <c r="Z998" s="280" t="n"/>
      <c r="AA998" s="280" t="n"/>
      <c r="AB998" s="281" t="inlineStr">
        <is>
          <t>ES11 0081 7069 2700 0122 7724</t>
        </is>
      </c>
      <c r="AC998" s="278" t="inlineStr">
        <is>
          <t>pendiente</t>
        </is>
      </c>
      <c r="AD998" s="280">
        <f>L998+N998+P998+R998+T998+V998+X998+Z998</f>
        <v/>
      </c>
      <c r="AE998" s="280">
        <f>IF((LEFT(K998,6))="Contab",L998,0)</f>
        <v/>
      </c>
      <c r="AF998" s="281">
        <f>VLOOKUP(G998,CLIENTES!B:E,4,FALSE)</f>
        <v/>
      </c>
      <c r="AG998" s="280">
        <f>AF998*AE998</f>
        <v/>
      </c>
      <c r="AH998" s="280">
        <f>AD998*1.21</f>
        <v/>
      </c>
      <c r="AI998" s="284">
        <f>IF(AE998&lt;&gt;0,AG998/AD998,"N/A")</f>
        <v/>
      </c>
      <c r="AJ998" s="280">
        <f>IF(AC998="pendiente",AD998,0)</f>
        <v/>
      </c>
      <c r="AK998" s="278">
        <f>VLOOKUP(G998,CLIENTES!B:D,3,FALSE)</f>
        <v/>
      </c>
    </row>
    <row r="999" ht="15" customFormat="1" customHeight="1" s="278">
      <c r="B999" s="279" t="n"/>
      <c r="C999" s="278" t="inlineStr">
        <is>
          <t>c/ Las Cruzadas 3A, local D</t>
        </is>
      </c>
      <c r="D999" s="278" t="inlineStr">
        <is>
          <t>Sevilla 41004</t>
        </is>
      </c>
      <c r="E999" s="278" t="inlineStr">
        <is>
          <t>CIF B91938662</t>
        </is>
      </c>
      <c r="F999" s="278" t="inlineStr">
        <is>
          <t>aBalados@abalados.es</t>
        </is>
      </c>
      <c r="G999" s="278" t="inlineStr">
        <is>
          <t>FP LUX REIO PV VALLADOLID, S.L.U.</t>
        </is>
      </c>
      <c r="H999" s="278">
        <f>VLOOKUP($G999,DATOS!$B:$E,2,FALSE)</f>
        <v/>
      </c>
      <c r="I999" s="278">
        <f>VLOOKUP($G999,DATOS!$B:$E,3,FALSE)</f>
        <v/>
      </c>
      <c r="J999" s="278">
        <f>VLOOKUP($G999,DATOS!$B:$E,4,FALSE)</f>
        <v/>
      </c>
      <c r="K999" s="278" t="inlineStr">
        <is>
          <t>Contrato de Asset Management - Subestación Belisol</t>
        </is>
      </c>
      <c r="L999" s="280" t="n"/>
      <c r="N999" s="280" t="n"/>
      <c r="O999" s="278" t="inlineStr">
        <is>
          <t>Fee Trimestral - 01Julio/30 Septiembre 2023</t>
        </is>
      </c>
      <c r="P999" s="280">
        <f>1350*3</f>
        <v/>
      </c>
      <c r="R999" s="280" t="n"/>
      <c r="T999" s="280" t="n"/>
      <c r="V999" s="280" t="n"/>
      <c r="X999" s="280" t="n"/>
      <c r="Z999" s="280" t="n"/>
      <c r="AA999" s="280" t="n"/>
      <c r="AB999" s="281" t="inlineStr">
        <is>
          <t>ES11 0081 7069 2700 0122 7724</t>
        </is>
      </c>
      <c r="AC999" s="278" t="inlineStr">
        <is>
          <t>pendiente</t>
        </is>
      </c>
      <c r="AD999" s="280">
        <f>L999+N999+P999+R999+T999+V999+X999+Z999</f>
        <v/>
      </c>
      <c r="AE999" s="280">
        <f>IF((LEFT(K999,6))="Contab",L999,0)</f>
        <v/>
      </c>
      <c r="AF999" s="281">
        <f>VLOOKUP(G999,CLIENTES!B:E,4,FALSE)</f>
        <v/>
      </c>
      <c r="AG999" s="280">
        <f>AF999*AE999</f>
        <v/>
      </c>
      <c r="AH999" s="280">
        <f>AD999*1.21</f>
        <v/>
      </c>
      <c r="AI999" s="284">
        <f>IF(AE999&lt;&gt;0,AG999/AD999,"N/A")</f>
        <v/>
      </c>
      <c r="AJ999" s="280">
        <f>IF(AC999="pendiente",AD999,0)</f>
        <v/>
      </c>
      <c r="AK999" s="278">
        <f>VLOOKUP(G999,CLIENTES!B:D,3,FALSE)</f>
        <v/>
      </c>
    </row>
    <row r="1000" ht="15" customFormat="1" customHeight="1" s="278">
      <c r="B1000" s="279" t="n"/>
      <c r="C1000" s="278" t="inlineStr">
        <is>
          <t>c/ Las Cruzadas 3A, local D</t>
        </is>
      </c>
      <c r="D1000" s="278" t="inlineStr">
        <is>
          <t>Sevilla 41004</t>
        </is>
      </c>
      <c r="E1000" s="278" t="inlineStr">
        <is>
          <t>CIF B91938662</t>
        </is>
      </c>
      <c r="F1000" s="278" t="inlineStr">
        <is>
          <t>aBalados@abalados.es</t>
        </is>
      </c>
      <c r="G1000" s="278" t="inlineStr">
        <is>
          <t>FP LUX REIO PV VALLADOLID, S.L.U.</t>
        </is>
      </c>
      <c r="H1000" s="278">
        <f>VLOOKUP($G1000,DATOS!$B:$E,2,FALSE)</f>
        <v/>
      </c>
      <c r="I1000" s="278">
        <f>VLOOKUP($G1000,DATOS!$B:$E,3,FALSE)</f>
        <v/>
      </c>
      <c r="J1000" s="278">
        <f>VLOOKUP($G1000,DATOS!$B:$E,4,FALSE)</f>
        <v/>
      </c>
      <c r="K1000" s="278" t="inlineStr">
        <is>
          <t>Contrato de Asset Management - Subestación Brazatortas220</t>
        </is>
      </c>
      <c r="L1000" s="280" t="n"/>
      <c r="N1000" s="280" t="n"/>
      <c r="O1000" s="278" t="inlineStr">
        <is>
          <t>Fee Trimestral - 01Julio/30 Septiembre 2023</t>
        </is>
      </c>
      <c r="P1000" s="280">
        <f>1350*3</f>
        <v/>
      </c>
      <c r="R1000" s="280" t="n"/>
      <c r="T1000" s="280" t="n"/>
      <c r="V1000" s="280" t="n"/>
      <c r="X1000" s="280" t="n"/>
      <c r="Z1000" s="280" t="n"/>
      <c r="AA1000" s="280" t="n"/>
      <c r="AB1000" s="281" t="inlineStr">
        <is>
          <t>ES11 0081 7069 2700 0122 7724</t>
        </is>
      </c>
      <c r="AC1000" s="278" t="inlineStr">
        <is>
          <t>pendiente</t>
        </is>
      </c>
      <c r="AD1000" s="280">
        <f>L1000+N1000+P1000+R1000+T1000+V1000+X1000+Z1000</f>
        <v/>
      </c>
      <c r="AE1000" s="280">
        <f>IF((LEFT(K1000,6))="Contab",L1000,0)</f>
        <v/>
      </c>
      <c r="AF1000" s="281">
        <f>VLOOKUP(G1000,CLIENTES!B:E,4,FALSE)</f>
        <v/>
      </c>
      <c r="AG1000" s="280">
        <f>AF1000*AE1000</f>
        <v/>
      </c>
      <c r="AH1000" s="280">
        <f>AD1000*1.21</f>
        <v/>
      </c>
      <c r="AI1000" s="284">
        <f>IF(AE1000&lt;&gt;0,AG1000/AD1000,"N/A")</f>
        <v/>
      </c>
      <c r="AJ1000" s="280">
        <f>IF(AC1000="pendiente",AD1000,0)</f>
        <v/>
      </c>
      <c r="AK1000" s="278">
        <f>VLOOKUP(G1000,CLIENTES!B:D,3,FALSE)</f>
        <v/>
      </c>
    </row>
    <row r="1001" ht="15" customFormat="1" customHeight="1" s="278">
      <c r="B1001" s="279" t="n"/>
      <c r="C1001" s="278" t="inlineStr">
        <is>
          <t>c/ Las Cruzadas 3A, local D</t>
        </is>
      </c>
      <c r="D1001" s="278" t="inlineStr">
        <is>
          <t>Sevilla 41004</t>
        </is>
      </c>
      <c r="E1001" s="278" t="inlineStr">
        <is>
          <t>CIF B91938662</t>
        </is>
      </c>
      <c r="F1001" s="278" t="inlineStr">
        <is>
          <t>aBalados@abalados.es</t>
        </is>
      </c>
      <c r="G1001" s="278" t="inlineStr">
        <is>
          <t>FP LUX REIO PV VALLADOLID, S.L.U.</t>
        </is>
      </c>
      <c r="H1001" s="278">
        <f>VLOOKUP($G1001,DATOS!$B:$E,2,FALSE)</f>
        <v/>
      </c>
      <c r="I1001" s="278">
        <f>VLOOKUP($G1001,DATOS!$B:$E,3,FALSE)</f>
        <v/>
      </c>
      <c r="J1001" s="278">
        <f>VLOOKUP($G1001,DATOS!$B:$E,4,FALSE)</f>
        <v/>
      </c>
      <c r="K1001" s="278" t="inlineStr">
        <is>
          <t>Contrato de Asset Management - LSAT 30kV</t>
        </is>
      </c>
      <c r="L1001" s="280" t="n"/>
      <c r="N1001" s="280" t="n"/>
      <c r="O1001" s="278" t="inlineStr">
        <is>
          <t>Fee Trimestral - 01Julio/30 Septiembre 2023</t>
        </is>
      </c>
      <c r="P1001" s="280">
        <f>750*3</f>
        <v/>
      </c>
      <c r="R1001" s="280" t="n"/>
      <c r="T1001" s="280" t="n"/>
      <c r="V1001" s="280" t="n"/>
      <c r="X1001" s="280" t="n"/>
      <c r="Z1001" s="280" t="n"/>
      <c r="AA1001" s="280" t="n"/>
      <c r="AB1001" s="281" t="inlineStr">
        <is>
          <t>ES11 0081 7069 2700 0122 7724</t>
        </is>
      </c>
      <c r="AC1001" s="278" t="inlineStr">
        <is>
          <t>pendiente</t>
        </is>
      </c>
      <c r="AD1001" s="280">
        <f>L1001+N1001+P1001+R1001+T1001+V1001+X1001+Z1001</f>
        <v/>
      </c>
      <c r="AE1001" s="280">
        <f>IF((LEFT(K1001,6))="Contab",L1001,0)</f>
        <v/>
      </c>
      <c r="AF1001" s="281">
        <f>VLOOKUP(G1001,CLIENTES!B:E,4,FALSE)</f>
        <v/>
      </c>
      <c r="AG1001" s="280">
        <f>AF1001*AE1001</f>
        <v/>
      </c>
      <c r="AH1001" s="280">
        <f>AD1001*1.21</f>
        <v/>
      </c>
      <c r="AI1001" s="284">
        <f>IF(AE1001&lt;&gt;0,AG1001/AD1001,"N/A")</f>
        <v/>
      </c>
      <c r="AJ1001" s="280">
        <f>IF(AC1001="pendiente",AD1001,0)</f>
        <v/>
      </c>
      <c r="AK1001" s="278">
        <f>VLOOKUP(G1001,CLIENTES!B:D,3,FALSE)</f>
        <v/>
      </c>
    </row>
    <row r="1002" ht="15" customFormat="1" customHeight="1" s="278">
      <c r="B1002" s="279" t="n"/>
      <c r="C1002" s="278" t="inlineStr">
        <is>
          <t>c/ Las Cruzadas 3A, local D</t>
        </is>
      </c>
      <c r="D1002" s="278" t="inlineStr">
        <is>
          <t>Sevilla 41004</t>
        </is>
      </c>
      <c r="E1002" s="278" t="inlineStr">
        <is>
          <t>CIF B91938662</t>
        </is>
      </c>
      <c r="F1002" s="278" t="inlineStr">
        <is>
          <t>aBalados@abalados.es</t>
        </is>
      </c>
      <c r="G1002" s="278" t="inlineStr">
        <is>
          <t>FP LUX REIO PV VALLADOLID, S.L.U.</t>
        </is>
      </c>
      <c r="H1002" s="278">
        <f>VLOOKUP($G1002,DATOS!$B:$E,2,FALSE)</f>
        <v/>
      </c>
      <c r="I1002" s="278">
        <f>VLOOKUP($G1002,DATOS!$B:$E,3,FALSE)</f>
        <v/>
      </c>
      <c r="J1002" s="278">
        <f>VLOOKUP($G1002,DATOS!$B:$E,4,FALSE)</f>
        <v/>
      </c>
      <c r="K1002" s="278" t="inlineStr">
        <is>
          <t>Contrato de Asset Management - Subestación Colectora Carmona</t>
        </is>
      </c>
      <c r="L1002" s="280" t="n"/>
      <c r="N1002" s="280" t="n"/>
      <c r="O1002" s="278" t="inlineStr">
        <is>
          <t>Fee Trimestral - 01Julio/30 Septiembre 2023</t>
        </is>
      </c>
      <c r="P1002" s="280">
        <f>1250*3</f>
        <v/>
      </c>
      <c r="R1002" s="280" t="n"/>
      <c r="T1002" s="280" t="n"/>
      <c r="V1002" s="280" t="n"/>
      <c r="X1002" s="280" t="n"/>
      <c r="Z1002" s="280" t="n"/>
      <c r="AA1002" s="280" t="n"/>
      <c r="AB1002" s="281" t="inlineStr">
        <is>
          <t>ES11 0081 7069 2700 0122 7724</t>
        </is>
      </c>
      <c r="AC1002" s="278" t="inlineStr">
        <is>
          <t>pendiente</t>
        </is>
      </c>
      <c r="AD1002" s="280">
        <f>L1002+N1002+P1002+R1002+T1002+V1002+X1002+Z1002</f>
        <v/>
      </c>
      <c r="AE1002" s="280">
        <f>IF((LEFT(K1002,6))="Contab",L1002,0)</f>
        <v/>
      </c>
      <c r="AF1002" s="281">
        <f>VLOOKUP(G1002,CLIENTES!B:E,4,FALSE)</f>
        <v/>
      </c>
      <c r="AG1002" s="280">
        <f>AF1002*AE1002</f>
        <v/>
      </c>
      <c r="AH1002" s="280">
        <f>AD1002*1.21</f>
        <v/>
      </c>
      <c r="AI1002" s="284">
        <f>IF(AE1002&lt;&gt;0,AG1002/AD1002,"N/A")</f>
        <v/>
      </c>
      <c r="AJ1002" s="280">
        <f>IF(AC1002="pendiente",AD1002,0)</f>
        <v/>
      </c>
      <c r="AK1002" s="278">
        <f>VLOOKUP(G1002,CLIENTES!B:D,3,FALSE)</f>
        <v/>
      </c>
    </row>
    <row r="1003" ht="15" customFormat="1" customHeight="1" s="278">
      <c r="B1003" s="279" t="n"/>
      <c r="C1003" s="278" t="inlineStr">
        <is>
          <t>c/ Las Cruzadas 3A, local D</t>
        </is>
      </c>
      <c r="D1003" s="278" t="inlineStr">
        <is>
          <t>Sevilla 41004</t>
        </is>
      </c>
      <c r="E1003" s="278" t="inlineStr">
        <is>
          <t>CIF B91938662</t>
        </is>
      </c>
      <c r="F1003" s="278" t="inlineStr">
        <is>
          <t>aBalados@abalados.es</t>
        </is>
      </c>
      <c r="G1003" s="278" t="inlineStr">
        <is>
          <t>FP LUX REIO PV VALLADOLID, S.L.U.</t>
        </is>
      </c>
      <c r="H1003" s="278">
        <f>VLOOKUP($G1003,DATOS!$B:$E,2,FALSE)</f>
        <v/>
      </c>
      <c r="I1003" s="278">
        <f>VLOOKUP($G1003,DATOS!$B:$E,3,FALSE)</f>
        <v/>
      </c>
      <c r="J1003" s="278">
        <f>VLOOKUP($G1003,DATOS!$B:$E,4,FALSE)</f>
        <v/>
      </c>
      <c r="K1003" s="278" t="inlineStr">
        <is>
          <t>Contrato de Asset Management - Subestación Toro400</t>
        </is>
      </c>
      <c r="L1003" s="280" t="n"/>
      <c r="N1003" s="280" t="n"/>
      <c r="O1003" s="278" t="inlineStr">
        <is>
          <t>Fee Trimestral - 01Julio/30 Septiembre 2023</t>
        </is>
      </c>
      <c r="P1003" s="280">
        <f>1350*(17/31) + 2800*(14/31)  +  2800*2</f>
        <v/>
      </c>
      <c r="Q1003" s="278" t="inlineStr">
        <is>
          <t>Fee aplicable PreCod (1.350€/mes): 1 Julio - 17 Julio 2023</t>
        </is>
      </c>
      <c r="R1003" s="280" t="n"/>
      <c r="S1003" s="278" t="inlineStr">
        <is>
          <t>Fee aplicable Explotación (2.800€/mes): 18 Julio - 30 Septiembre 2023</t>
        </is>
      </c>
      <c r="T1003" s="280" t="n"/>
      <c r="V1003" s="280" t="n"/>
      <c r="X1003" s="280" t="n"/>
      <c r="Z1003" s="280" t="n"/>
      <c r="AA1003" s="280" t="n"/>
      <c r="AB1003" s="281" t="inlineStr">
        <is>
          <t>ES11 0081 7069 2700 0122 7724</t>
        </is>
      </c>
      <c r="AC1003" s="278" t="inlineStr">
        <is>
          <t>pendiente</t>
        </is>
      </c>
      <c r="AD1003" s="280">
        <f>L1003+N1003+P1003+R1003+T1003+V1003+X1003+Z1003</f>
        <v/>
      </c>
      <c r="AE1003" s="280">
        <f>IF((LEFT(K1003,6))="Contab",L1003,0)</f>
        <v/>
      </c>
      <c r="AF1003" s="281">
        <f>VLOOKUP(G1003,CLIENTES!B:E,4,FALSE)</f>
        <v/>
      </c>
      <c r="AG1003" s="280">
        <f>AF1003*AE1003</f>
        <v/>
      </c>
      <c r="AH1003" s="280">
        <f>AD1003*1.21</f>
        <v/>
      </c>
      <c r="AI1003" s="284">
        <f>IF(AE1003&lt;&gt;0,AG1003/AD1003,"N/A")</f>
        <v/>
      </c>
      <c r="AJ1003" s="280">
        <f>IF(AC1003="pendiente",AD1003,0)</f>
        <v/>
      </c>
      <c r="AK1003" s="278">
        <f>VLOOKUP(G1003,CLIENTES!B:D,3,FALSE)</f>
        <v/>
      </c>
    </row>
    <row r="1004" ht="15" customFormat="1" customHeight="1" s="278">
      <c r="B1004" s="279" t="n"/>
      <c r="C1004" s="278" t="inlineStr">
        <is>
          <t>c/ Las Cruzadas 3A, local D</t>
        </is>
      </c>
      <c r="D1004" s="278" t="inlineStr">
        <is>
          <t>Sevilla 41004</t>
        </is>
      </c>
      <c r="E1004" s="278" t="inlineStr">
        <is>
          <t>CIF B91938662</t>
        </is>
      </c>
      <c r="F1004" s="278" t="inlineStr">
        <is>
          <t>aBalados@abalados.es</t>
        </is>
      </c>
      <c r="G1004" s="278" t="inlineStr">
        <is>
          <t>FP LUX REIO PV VALLADOLID, S.L.U.</t>
        </is>
      </c>
      <c r="H1004" s="278">
        <f>VLOOKUP($G1004,DATOS!$B:$E,2,FALSE)</f>
        <v/>
      </c>
      <c r="I1004" s="278">
        <f>VLOOKUP($G1004,DATOS!$B:$E,3,FALSE)</f>
        <v/>
      </c>
      <c r="J1004" s="278">
        <f>VLOOKUP($G1004,DATOS!$B:$E,4,FALSE)</f>
        <v/>
      </c>
      <c r="K1004" s="278" t="inlineStr">
        <is>
          <t>Contrato de Asset Management - Subestación BrovalesF2</t>
        </is>
      </c>
      <c r="L1004" s="280" t="n"/>
      <c r="N1004" s="280" t="n"/>
      <c r="O1004" s="278" t="inlineStr">
        <is>
          <t>Fee Trimestral - 01Julio/30 Septiembre 2023</t>
        </is>
      </c>
      <c r="P1004" s="280">
        <f>1665*3</f>
        <v/>
      </c>
      <c r="R1004" s="280" t="n"/>
      <c r="T1004" s="280" t="n"/>
      <c r="V1004" s="280" t="n"/>
      <c r="X1004" s="280" t="n"/>
      <c r="Z1004" s="280" t="n"/>
      <c r="AA1004" s="280" t="n"/>
      <c r="AB1004" s="281" t="inlineStr">
        <is>
          <t>ES11 0081 7069 2700 0122 7724</t>
        </is>
      </c>
      <c r="AC1004" s="278" t="inlineStr">
        <is>
          <t>pendiente</t>
        </is>
      </c>
      <c r="AD1004" s="280">
        <f>L1004+N1004+P1004+R1004+T1004+V1004+X1004+Z1004</f>
        <v/>
      </c>
      <c r="AE1004" s="280">
        <f>IF((LEFT(K1004,6))="Contab",L1004,0)</f>
        <v/>
      </c>
      <c r="AF1004" s="281">
        <f>VLOOKUP(G1004,CLIENTES!B:E,4,FALSE)</f>
        <v/>
      </c>
      <c r="AG1004" s="280">
        <f>AF1004*AE1004</f>
        <v/>
      </c>
      <c r="AH1004" s="280">
        <f>AD1004*1.21</f>
        <v/>
      </c>
      <c r="AI1004" s="284">
        <f>IF(AE1004&lt;&gt;0,AG1004/AD1004,"N/A")</f>
        <v/>
      </c>
      <c r="AJ1004" s="280">
        <f>IF(AC1004="pendiente",AD1004,0)</f>
        <v/>
      </c>
      <c r="AK1004" s="278">
        <f>VLOOKUP(G1004,CLIENTES!B:D,3,FALSE)</f>
        <v/>
      </c>
    </row>
    <row r="1005" ht="15" customFormat="1" customHeight="1" s="278">
      <c r="B1005" s="279" t="n"/>
      <c r="C1005" s="278" t="inlineStr">
        <is>
          <t>c/ Las Cruzadas 3A, local D</t>
        </is>
      </c>
      <c r="D1005" s="278" t="inlineStr">
        <is>
          <t>Sevilla 41004</t>
        </is>
      </c>
      <c r="E1005" s="278" t="inlineStr">
        <is>
          <t>CIF B91938662</t>
        </is>
      </c>
      <c r="F1005" s="278" t="inlineStr">
        <is>
          <t>aBalados@abalados.es</t>
        </is>
      </c>
      <c r="G1005" s="278" t="inlineStr">
        <is>
          <t>FP LUX REIO PV VALLADOLID, S.L.U.</t>
        </is>
      </c>
      <c r="H1005" s="278">
        <f>VLOOKUP($G1005,DATOS!$B:$E,2,FALSE)</f>
        <v/>
      </c>
      <c r="I1005" s="278">
        <f>VLOOKUP($G1005,DATOS!$B:$E,3,FALSE)</f>
        <v/>
      </c>
      <c r="J1005" s="278">
        <f>VLOOKUP($G1005,DATOS!$B:$E,4,FALSE)</f>
        <v/>
      </c>
      <c r="K1005" s="278" t="inlineStr">
        <is>
          <t>Contrato de Asset Management - Subestación Benejama Generación</t>
        </is>
      </c>
      <c r="L1005" s="280" t="n"/>
      <c r="N1005" s="280" t="n"/>
      <c r="O1005" s="278" t="inlineStr">
        <is>
          <t>Fee Trimestral - Inicio contrato (23 Marzo 2023) / 30 Septiembre 2023</t>
        </is>
      </c>
      <c r="P1005" s="280">
        <f>1350*(9/31) + 1350*6</f>
        <v/>
      </c>
      <c r="Q1005" s="356" t="n"/>
      <c r="R1005" s="280" t="n"/>
      <c r="T1005" s="280" t="n"/>
      <c r="V1005" s="280" t="n"/>
      <c r="X1005" s="280" t="n"/>
      <c r="Z1005" s="280" t="n"/>
      <c r="AA1005" s="280" t="n"/>
      <c r="AB1005" s="281" t="inlineStr">
        <is>
          <t>ES11 0081 7069 2700 0122 7724</t>
        </is>
      </c>
      <c r="AC1005" s="278" t="inlineStr">
        <is>
          <t>pendiente</t>
        </is>
      </c>
      <c r="AD1005" s="280">
        <f>L1005+N1005+P1005+R1005+T1005+V1005+X1005+Z1005</f>
        <v/>
      </c>
      <c r="AE1005" s="280">
        <f>IF((LEFT(K1005,6))="Contab",L1005,0)</f>
        <v/>
      </c>
      <c r="AF1005" s="281">
        <f>VLOOKUP(G1005,CLIENTES!B:E,4,FALSE)</f>
        <v/>
      </c>
      <c r="AG1005" s="280">
        <f>AF1005*AE1005</f>
        <v/>
      </c>
      <c r="AH1005" s="280">
        <f>AD1005*1.21</f>
        <v/>
      </c>
      <c r="AI1005" s="284">
        <f>IF(AE1005&lt;&gt;0,AG1005/AD1005,"N/A")</f>
        <v/>
      </c>
      <c r="AJ1005" s="280">
        <f>IF(AC1005="pendiente",AD1005,0)</f>
        <v/>
      </c>
      <c r="AK1005" s="278">
        <f>VLOOKUP(G1005,CLIENTES!B:D,3,FALSE)</f>
        <v/>
      </c>
    </row>
    <row r="1006" ht="15" customFormat="1" customHeight="1" s="278">
      <c r="B1006" s="279" t="n"/>
      <c r="C1006" s="278" t="inlineStr">
        <is>
          <t>c/ Las Cruzadas 3A, local D</t>
        </is>
      </c>
      <c r="D1006" s="278" t="inlineStr">
        <is>
          <t>Sevilla 41004</t>
        </is>
      </c>
      <c r="E1006" s="278" t="inlineStr">
        <is>
          <t>CIF B91938662</t>
        </is>
      </c>
      <c r="F1006" s="278" t="inlineStr">
        <is>
          <t>aBalados@abalados.es</t>
        </is>
      </c>
      <c r="G1006" s="278" t="inlineStr">
        <is>
          <t>FP LUX REIO PV VALLADOLID, S.L.U.</t>
        </is>
      </c>
      <c r="H1006" s="278">
        <f>VLOOKUP($G1006,DATOS!$B:$E,2,FALSE)</f>
        <v/>
      </c>
      <c r="I1006" s="278">
        <f>VLOOKUP($G1006,DATOS!$B:$E,3,FALSE)</f>
        <v/>
      </c>
      <c r="J1006" s="278">
        <f>VLOOKUP($G1006,DATOS!$B:$E,4,FALSE)</f>
        <v/>
      </c>
      <c r="K1006" s="278" t="inlineStr">
        <is>
          <t>Contrato de Asset Management - Subestación Santa Engracia</t>
        </is>
      </c>
      <c r="L1006" s="280" t="n"/>
      <c r="N1006" s="280" t="n"/>
      <c r="O1006" s="278" t="inlineStr">
        <is>
          <t>Fee Trimestral - Inicio contrato (11 Abril 2023) / 30 Septiembre 2023</t>
        </is>
      </c>
      <c r="P1006" s="280">
        <f>1350*(21/30) + 1350*5</f>
        <v/>
      </c>
      <c r="R1006" s="280" t="n"/>
      <c r="T1006" s="280" t="n"/>
      <c r="V1006" s="280" t="n"/>
      <c r="X1006" s="280" t="n"/>
      <c r="Z1006" s="280" t="n"/>
      <c r="AA1006" s="280" t="n"/>
      <c r="AB1006" s="281" t="inlineStr">
        <is>
          <t>ES11 0081 7069 2700 0122 7724</t>
        </is>
      </c>
      <c r="AC1006" s="278" t="inlineStr">
        <is>
          <t>pendiente</t>
        </is>
      </c>
      <c r="AD1006" s="280">
        <f>L1006+N1006+P1006+R1006+T1006+V1006+X1006+Z1006</f>
        <v/>
      </c>
      <c r="AE1006" s="280">
        <f>IF((LEFT(K1006,6))="Contab",L1006,0)</f>
        <v/>
      </c>
      <c r="AF1006" s="281">
        <f>VLOOKUP(G1006,CLIENTES!B:E,4,FALSE)</f>
        <v/>
      </c>
      <c r="AG1006" s="280">
        <f>AF1006*AE1006</f>
        <v/>
      </c>
      <c r="AH1006" s="280">
        <f>AD1006*1.21</f>
        <v/>
      </c>
      <c r="AI1006" s="284">
        <f>IF(AE1006&lt;&gt;0,AG1006/AD1006,"N/A")</f>
        <v/>
      </c>
      <c r="AJ1006" s="280">
        <f>IF(AC1006="pendiente",AD1006,0)</f>
        <v/>
      </c>
      <c r="AK1006" s="278">
        <f>VLOOKUP(G1006,CLIENTES!B:D,3,FALSE)</f>
        <v/>
      </c>
    </row>
    <row r="1007" ht="15" customFormat="1" customHeight="1" s="278">
      <c r="B1007" s="279" t="n"/>
      <c r="C1007" s="278" t="inlineStr">
        <is>
          <t>c/ Las Cruzadas 3A, local D</t>
        </is>
      </c>
      <c r="D1007" s="278" t="inlineStr">
        <is>
          <t>Sevilla 41004</t>
        </is>
      </c>
      <c r="E1007" s="278" t="inlineStr">
        <is>
          <t>CIF B91938662</t>
        </is>
      </c>
      <c r="F1007" s="278" t="inlineStr">
        <is>
          <t>aBalados@abalados.es</t>
        </is>
      </c>
      <c r="G1007" s="278" t="inlineStr">
        <is>
          <t>FP LUX REIO PV VALLADOLID, S.L.U.</t>
        </is>
      </c>
      <c r="H1007" s="278">
        <f>VLOOKUP($G1007,DATOS!$B:$E,2,FALSE)</f>
        <v/>
      </c>
      <c r="I1007" s="278">
        <f>VLOOKUP($G1007,DATOS!$B:$E,3,FALSE)</f>
        <v/>
      </c>
      <c r="J1007" s="278">
        <f>VLOOKUP($G1007,DATOS!$B:$E,4,FALSE)</f>
        <v/>
      </c>
      <c r="K1007" s="278" t="inlineStr">
        <is>
          <t>Contrato de Asset Management - Subestación Becerril</t>
        </is>
      </c>
      <c r="L1007" s="280" t="n"/>
      <c r="N1007" s="280" t="n"/>
      <c r="O1007" s="278" t="inlineStr">
        <is>
          <t>Fee Trimestral - Inicio contrato (17 Febrero 2023) / 30 Septiembre 2023</t>
        </is>
      </c>
      <c r="P1007" s="280">
        <f>1350*(12/28) + 1350*7</f>
        <v/>
      </c>
      <c r="R1007" s="280" t="n"/>
      <c r="T1007" s="280" t="n"/>
      <c r="V1007" s="280" t="n"/>
      <c r="X1007" s="280" t="n"/>
      <c r="Z1007" s="280" t="n"/>
      <c r="AA1007" s="280" t="n"/>
      <c r="AB1007" s="281" t="inlineStr">
        <is>
          <t>ES11 0081 7069 2700 0122 7724</t>
        </is>
      </c>
      <c r="AC1007" s="278" t="inlineStr">
        <is>
          <t>pendiente</t>
        </is>
      </c>
      <c r="AD1007" s="280">
        <f>L1007+N1007+P1007+R1007+T1007+V1007+X1007+Z1007</f>
        <v/>
      </c>
      <c r="AE1007" s="280">
        <f>IF((LEFT(K1007,6))="Contab",L1007,0)</f>
        <v/>
      </c>
      <c r="AF1007" s="281">
        <f>VLOOKUP(G1007,CLIENTES!B:E,4,FALSE)</f>
        <v/>
      </c>
      <c r="AG1007" s="280">
        <f>AF1007*AE1007</f>
        <v/>
      </c>
      <c r="AH1007" s="280">
        <f>AD1007*1.21</f>
        <v/>
      </c>
      <c r="AI1007" s="284">
        <f>IF(AE1007&lt;&gt;0,AG1007/AD1007,"N/A")</f>
        <v/>
      </c>
      <c r="AJ1007" s="280">
        <f>IF(AC1007="pendiente",AD1007,0)</f>
        <v/>
      </c>
      <c r="AK1007" s="278">
        <f>VLOOKUP(G1007,CLIENTES!B:D,3,FALSE)</f>
        <v/>
      </c>
    </row>
    <row r="1008" ht="15" customFormat="1" customHeight="1" s="192">
      <c r="B1008" s="199" t="n"/>
      <c r="C1008" s="192" t="inlineStr">
        <is>
          <t>c/ Las Cruzadas 3A, local D</t>
        </is>
      </c>
      <c r="D1008" s="192" t="inlineStr">
        <is>
          <t>Sevilla 41004</t>
        </is>
      </c>
      <c r="E1008" s="192" t="inlineStr">
        <is>
          <t>CIF B91938662</t>
        </is>
      </c>
      <c r="F1008" s="192" t="inlineStr">
        <is>
          <t>aBalados@abalados.es</t>
        </is>
      </c>
      <c r="G1008" s="192" t="inlineStr">
        <is>
          <t>FP LUX REIO PV VALLADOLID, S.L.U.</t>
        </is>
      </c>
      <c r="H1008" s="192">
        <f>VLOOKUP($G1008,DATOS!$B:$E,2,FALSE)</f>
        <v/>
      </c>
      <c r="I1008" s="192">
        <f>VLOOKUP($G1008,DATOS!$B:$E,3,FALSE)</f>
        <v/>
      </c>
      <c r="J1008" s="192">
        <f>VLOOKUP($G1008,DATOS!$B:$E,4,FALSE)</f>
        <v/>
      </c>
      <c r="K1008" s="192" t="inlineStr">
        <is>
          <t>Servicios de gestión - (11)SPVs en desarrollo</t>
        </is>
      </c>
      <c r="L1008" s="200" t="n"/>
      <c r="N1008" s="200" t="n"/>
      <c r="O1008" s="192" t="inlineStr">
        <is>
          <t>Fee Trimestral - 01Julio/30 Septiembre 2023</t>
        </is>
      </c>
      <c r="P1008" s="200">
        <f>11*(6835/12) * 3</f>
        <v/>
      </c>
      <c r="R1008" s="200" t="n"/>
      <c r="S1008" s="192" t="inlineStr">
        <is>
          <t>SPVs de instalaciones de generación de Cliente:</t>
        </is>
      </c>
      <c r="T1008" s="200" t="n"/>
      <c r="U1008" s="192" t="inlineStr">
        <is>
          <t>Ormode46, Ormonde47, OPDE33, Ormonde34, Ormonde37</t>
        </is>
      </c>
      <c r="V1008" s="200" t="n"/>
      <c r="W1008" s="192" t="inlineStr">
        <is>
          <t>OPDE44, OPDE45, OPDE46, OPDE38, OPDE18, OPDE22</t>
        </is>
      </c>
      <c r="X1008" s="200" t="n"/>
      <c r="Z1008" s="200" t="n"/>
      <c r="AA1008" s="200" t="n"/>
      <c r="AB1008" s="201" t="inlineStr">
        <is>
          <t>ES11 0081 7069 2700 0122 7724</t>
        </is>
      </c>
      <c r="AC1008" s="192" t="inlineStr">
        <is>
          <t>pendiente</t>
        </is>
      </c>
      <c r="AD1008" s="200">
        <f>L1008+N1008+P1008+R1008+T1008+V1008+X1008+Z1008</f>
        <v/>
      </c>
      <c r="AE1008" s="200">
        <f>IF((LEFT(K1008,6))="Contab",L1008,0)</f>
        <v/>
      </c>
      <c r="AF1008" s="201">
        <f>VLOOKUP(G1008,CLIENTES!B:E,4,FALSE)</f>
        <v/>
      </c>
      <c r="AG1008" s="200">
        <f>AF1008*AE1008</f>
        <v/>
      </c>
      <c r="AH1008" s="200">
        <f>AD1008*1.21</f>
        <v/>
      </c>
      <c r="AI1008" s="283">
        <f>IF(AE1008&lt;&gt;0,AG1008/AD1008,"N/A")</f>
        <v/>
      </c>
      <c r="AJ1008" s="200">
        <f>IF(AC1008="pendiente",AD1008,0)</f>
        <v/>
      </c>
      <c r="AK1008" s="192">
        <f>VLOOKUP(G1008,CLIENTES!B:D,3,FALSE)</f>
        <v/>
      </c>
    </row>
    <row r="1009" ht="15" customFormat="1" customHeight="1" s="195">
      <c r="B1009" s="194" t="n"/>
      <c r="C1009" s="195" t="inlineStr">
        <is>
          <t>c/ Las Cruzadas 3A, local D</t>
        </is>
      </c>
      <c r="D1009" s="195" t="inlineStr">
        <is>
          <t>Sevilla 41004</t>
        </is>
      </c>
      <c r="E1009" s="195" t="inlineStr">
        <is>
          <t>CIF B91938662</t>
        </is>
      </c>
      <c r="F1009" s="195" t="inlineStr">
        <is>
          <t>aBalados@abalados.es</t>
        </is>
      </c>
      <c r="G1009" s="195" t="inlineStr">
        <is>
          <t>FP LUX REIO PV VALLADOLID, S.L.U.</t>
        </is>
      </c>
      <c r="H1009" s="195">
        <f>VLOOKUP($G1009,DATOS!$B:$E,2,FALSE)</f>
        <v/>
      </c>
      <c r="I1009" s="195">
        <f>VLOOKUP($G1009,DATOS!$B:$E,3,FALSE)</f>
        <v/>
      </c>
      <c r="J1009" s="195">
        <f>VLOOKUP($G1009,DATOS!$B:$E,4,FALSE)</f>
        <v/>
      </c>
      <c r="K1009" s="278" t="inlineStr">
        <is>
          <t>Contrato de Asset Management - Subestación Almodóvar</t>
        </is>
      </c>
      <c r="L1009" s="196" t="n"/>
      <c r="N1009" s="196" t="n"/>
      <c r="O1009" s="195" t="inlineStr">
        <is>
          <t>Fee Trimestral - Inicio contrato (17 Noviembre 2022) / 30 Septiembre 2023</t>
        </is>
      </c>
      <c r="P1009" s="196">
        <f>1350*(14/30) + 1350*10</f>
        <v/>
      </c>
      <c r="R1009" s="196" t="n"/>
      <c r="T1009" s="196" t="n"/>
      <c r="V1009" s="196" t="n"/>
      <c r="X1009" s="196" t="n"/>
      <c r="Z1009" s="196" t="n"/>
      <c r="AA1009" s="196" t="n"/>
      <c r="AB1009" s="197" t="inlineStr">
        <is>
          <t>ES11 0081 7069 2700 0122 7724</t>
        </is>
      </c>
      <c r="AC1009" s="195" t="inlineStr">
        <is>
          <t>pendiente</t>
        </is>
      </c>
      <c r="AD1009" s="196">
        <f>L1009+N1009+P1009+R1009+T1009+V1009+X1009+Z1009</f>
        <v/>
      </c>
      <c r="AE1009" s="196">
        <f>IF((LEFT(K1009,6))="Contab",L1009,0)</f>
        <v/>
      </c>
      <c r="AF1009" s="197">
        <f>VLOOKUP(G1009,CLIENTES!B:E,4,FALSE)</f>
        <v/>
      </c>
      <c r="AG1009" s="196">
        <f>AF1009*AE1009</f>
        <v/>
      </c>
      <c r="AH1009" s="196">
        <f>AD1009*1.21</f>
        <v/>
      </c>
      <c r="AI1009" s="285">
        <f>IF(AE1009&lt;&gt;0,AG1009/AD1009,"N/A")</f>
        <v/>
      </c>
      <c r="AJ1009" s="196">
        <f>IF(AC1009="pendiente",AD1009,0)</f>
        <v/>
      </c>
      <c r="AK1009" s="195">
        <f>VLOOKUP(G1009,CLIENTES!B:D,3,FALSE)</f>
        <v/>
      </c>
      <c r="AL1009" s="278" t="n"/>
    </row>
    <row r="1010" ht="15" customFormat="1" customHeight="1" s="278">
      <c r="B1010" s="279" t="n"/>
      <c r="C1010" s="278" t="inlineStr">
        <is>
          <t>c/ Las Cruzadas 3A, local D</t>
        </is>
      </c>
      <c r="D1010" s="278" t="inlineStr">
        <is>
          <t>Sevilla 41004</t>
        </is>
      </c>
      <c r="E1010" s="278" t="inlineStr">
        <is>
          <t>CIF B91938662</t>
        </is>
      </c>
      <c r="F1010" s="278" t="inlineStr">
        <is>
          <t>aBalados@abalados.es</t>
        </is>
      </c>
      <c r="G1010" s="278" t="inlineStr">
        <is>
          <t>FP LUX REIO PV VALLADOLID, S.L.U.</t>
        </is>
      </c>
      <c r="H1010" s="278">
        <f>VLOOKUP($G1010,DATOS!$B:$E,2,FALSE)</f>
        <v/>
      </c>
      <c r="I1010" s="278">
        <f>VLOOKUP($G1010,DATOS!$B:$E,3,FALSE)</f>
        <v/>
      </c>
      <c r="J1010" s="278">
        <f>VLOOKUP($G1010,DATOS!$B:$E,4,FALSE)</f>
        <v/>
      </c>
      <c r="K1010" s="278" t="inlineStr">
        <is>
          <t>Refacturación gastos y/o servicios prestados a nombre de la sociedad</t>
        </is>
      </c>
      <c r="L1010" s="280" t="n"/>
      <c r="M1010" s="278" t="inlineStr">
        <is>
          <t>Corrective maintenance third operation year</t>
        </is>
      </c>
      <c r="N1010" s="280" t="n">
        <v>4535.28</v>
      </c>
      <c r="P1010" s="280" t="n"/>
      <c r="R1010" s="280" t="n"/>
      <c r="T1010" s="280" t="n"/>
      <c r="V1010" s="280" t="n"/>
      <c r="X1010" s="280" t="n"/>
      <c r="Z1010" s="280" t="n"/>
      <c r="AA1010" s="280" t="n"/>
      <c r="AB1010" s="281" t="inlineStr">
        <is>
          <t>ES11 0081 7069 2700 0122 7724</t>
        </is>
      </c>
      <c r="AC1010" s="278" t="inlineStr">
        <is>
          <t>pendiente</t>
        </is>
      </c>
      <c r="AD1010" s="280">
        <f>L1010+N1010+P1010+R1010+T1010+V1010+X1010+Z1010</f>
        <v/>
      </c>
      <c r="AE1010" s="280">
        <f>IF((LEFT(K1010,6))="Contab",L1010,0)</f>
        <v/>
      </c>
      <c r="AF1010" s="281">
        <f>VLOOKUP(G1010,CLIENTES!B:E,4,FALSE)</f>
        <v/>
      </c>
      <c r="AG1010" s="280">
        <f>AF1010*AE1010</f>
        <v/>
      </c>
      <c r="AH1010" s="280">
        <f>AD1010*1.21</f>
        <v/>
      </c>
      <c r="AI1010" s="284">
        <f>IF(AE1010&lt;&gt;0,AG1010/AD1010,"N/A")</f>
        <v/>
      </c>
      <c r="AJ1010" s="280">
        <f>IF(AC1010="pendiente",AD1010,0)</f>
        <v/>
      </c>
      <c r="AK1010" s="278">
        <f>VLOOKUP(G1010,CLIENTES!B:D,3,FALSE)</f>
        <v/>
      </c>
    </row>
    <row r="1011" ht="15" customFormat="1" customHeight="1" s="278">
      <c r="B1011" s="279" t="n"/>
      <c r="C1011" s="278" t="inlineStr">
        <is>
          <t>c/ Las Cruzadas 3A, local D</t>
        </is>
      </c>
      <c r="D1011" s="278" t="inlineStr">
        <is>
          <t>Sevilla 41004</t>
        </is>
      </c>
      <c r="E1011" s="278" t="inlineStr">
        <is>
          <t>CIF B91938662</t>
        </is>
      </c>
      <c r="F1011" s="278" t="inlineStr">
        <is>
          <t>aBalados@abalados.es</t>
        </is>
      </c>
      <c r="G1011" s="278" t="inlineStr">
        <is>
          <t>FP LUX REIO PV VALLADOLID, S.L.U.</t>
        </is>
      </c>
      <c r="H1011" s="278">
        <f>VLOOKUP($G1011,DATOS!$B:$E,2,FALSE)</f>
        <v/>
      </c>
      <c r="I1011" s="278">
        <f>VLOOKUP($G1011,DATOS!$B:$E,3,FALSE)</f>
        <v/>
      </c>
      <c r="J1011" s="278">
        <f>VLOOKUP($G1011,DATOS!$B:$E,4,FALSE)</f>
        <v/>
      </c>
      <c r="K1011" s="278" t="inlineStr">
        <is>
          <t>Refacturación gastos y/o servicios prestados a nombre de la sociedad</t>
        </is>
      </c>
      <c r="L1011" s="280" t="n"/>
      <c r="M1011" s="278" t="inlineStr">
        <is>
          <t xml:space="preserve">Correos </t>
        </is>
      </c>
      <c r="N1011" s="280" t="n">
        <v>32.44</v>
      </c>
      <c r="P1011" s="280" t="n"/>
      <c r="R1011" s="280" t="n"/>
      <c r="T1011" s="280" t="n"/>
      <c r="V1011" s="280" t="n"/>
      <c r="X1011" s="280" t="n"/>
      <c r="Z1011" s="280" t="n"/>
      <c r="AA1011" s="280" t="n"/>
      <c r="AB1011" s="281" t="inlineStr">
        <is>
          <t>ES11 0081 7069 2700 0122 7724</t>
        </is>
      </c>
      <c r="AC1011" s="278" t="inlineStr">
        <is>
          <t>pendiente</t>
        </is>
      </c>
      <c r="AD1011" s="280">
        <f>L1011+N1011+P1011+R1011+T1011+V1011+X1011+Z1011</f>
        <v/>
      </c>
      <c r="AE1011" s="280">
        <f>IF((LEFT(K1011,6))="Contab",L1011,0)</f>
        <v/>
      </c>
      <c r="AF1011" s="281">
        <f>VLOOKUP(G1011,CLIENTES!B:E,4,FALSE)</f>
        <v/>
      </c>
      <c r="AG1011" s="280">
        <f>AF1011*AE1011</f>
        <v/>
      </c>
      <c r="AH1011" s="280">
        <f>AD1011*1.21</f>
        <v/>
      </c>
      <c r="AI1011" s="284">
        <f>IF(AE1011&lt;&gt;0,AG1011/AD1011,"N/A")</f>
        <v/>
      </c>
      <c r="AJ1011" s="280">
        <f>IF(AC1011="pendiente",AD1011,0)</f>
        <v/>
      </c>
      <c r="AK1011" s="278">
        <f>VLOOKUP(G1011,CLIENTES!B:D,3,FALSE)</f>
        <v/>
      </c>
    </row>
    <row r="1012" ht="15" customFormat="1" customHeight="1" s="278">
      <c r="B1012" s="279" t="n"/>
      <c r="C1012" s="278" t="inlineStr">
        <is>
          <t>c/ Las Cruzadas 3A, local D</t>
        </is>
      </c>
      <c r="D1012" s="278" t="inlineStr">
        <is>
          <t>Sevilla 41004</t>
        </is>
      </c>
      <c r="E1012" s="278" t="inlineStr">
        <is>
          <t>CIF B91938662</t>
        </is>
      </c>
      <c r="F1012" s="278" t="inlineStr">
        <is>
          <t>aBalados@abalados.es</t>
        </is>
      </c>
      <c r="G1012" s="278" t="inlineStr">
        <is>
          <t>FP LUX REIO PV VALLADOLID, S.L.U.</t>
        </is>
      </c>
      <c r="H1012" s="278">
        <f>VLOOKUP($G1012,DATOS!$B:$E,2,FALSE)</f>
        <v/>
      </c>
      <c r="I1012" s="278">
        <f>VLOOKUP($G1012,DATOS!$B:$E,3,FALSE)</f>
        <v/>
      </c>
      <c r="J1012" s="278">
        <f>VLOOKUP($G1012,DATOS!$B:$E,4,FALSE)</f>
        <v/>
      </c>
      <c r="K1012" s="278" t="inlineStr">
        <is>
          <t>Refacturación gastos y/o servicios prestados a nombre de la sociedad</t>
        </is>
      </c>
      <c r="L1012" s="280" t="n"/>
      <c r="M1012" s="278" t="inlineStr">
        <is>
          <t xml:space="preserve">Correos </t>
        </is>
      </c>
      <c r="N1012" s="280" t="n">
        <v>25.32</v>
      </c>
      <c r="P1012" s="280" t="n"/>
      <c r="R1012" s="280" t="n"/>
      <c r="T1012" s="280" t="n"/>
      <c r="V1012" s="280" t="n"/>
      <c r="X1012" s="280" t="n"/>
      <c r="Z1012" s="280" t="n"/>
      <c r="AA1012" s="280" t="n"/>
      <c r="AB1012" s="281" t="inlineStr">
        <is>
          <t>ES11 0081 7069 2700 0122 7724</t>
        </is>
      </c>
      <c r="AC1012" s="278" t="inlineStr">
        <is>
          <t>pendiente</t>
        </is>
      </c>
      <c r="AD1012" s="280">
        <f>L1012+N1012+P1012+R1012+T1012+V1012+X1012+Z1012</f>
        <v/>
      </c>
      <c r="AE1012" s="280">
        <f>IF((LEFT(K1012,6))="Contab",L1012,0)</f>
        <v/>
      </c>
      <c r="AF1012" s="281">
        <f>VLOOKUP(G1012,CLIENTES!B:E,4,FALSE)</f>
        <v/>
      </c>
      <c r="AG1012" s="280">
        <f>AF1012*AE1012</f>
        <v/>
      </c>
      <c r="AH1012" s="280">
        <f>AD1012*1.21</f>
        <v/>
      </c>
      <c r="AI1012" s="284">
        <f>IF(AE1012&lt;&gt;0,AG1012/AD1012,"N/A")</f>
        <v/>
      </c>
      <c r="AJ1012" s="280">
        <f>IF(AC1012="pendiente",AD1012,0)</f>
        <v/>
      </c>
      <c r="AK1012" s="278">
        <f>VLOOKUP(G1012,CLIENTES!B:D,3,FALSE)</f>
        <v/>
      </c>
    </row>
    <row r="1013" ht="15" customFormat="1" customHeight="1" s="278">
      <c r="B1013" s="279" t="n"/>
      <c r="C1013" s="278" t="inlineStr">
        <is>
          <t>c/ Las Cruzadas 3A, local D</t>
        </is>
      </c>
      <c r="D1013" s="278" t="inlineStr">
        <is>
          <t>Sevilla 41004</t>
        </is>
      </c>
      <c r="E1013" s="278" t="inlineStr">
        <is>
          <t>CIF B91938662</t>
        </is>
      </c>
      <c r="F1013" s="278" t="inlineStr">
        <is>
          <t>aBalados@abalados.es</t>
        </is>
      </c>
      <c r="G1013" s="278" t="inlineStr">
        <is>
          <t>FP LUX REIO PV VALLADOLID, S.L.U.</t>
        </is>
      </c>
      <c r="H1013" s="278">
        <f>VLOOKUP($G1013,DATOS!$B:$E,2,FALSE)</f>
        <v/>
      </c>
      <c r="I1013" s="278">
        <f>VLOOKUP($G1013,DATOS!$B:$E,3,FALSE)</f>
        <v/>
      </c>
      <c r="J1013" s="278">
        <f>VLOOKUP($G1013,DATOS!$B:$E,4,FALSE)</f>
        <v/>
      </c>
      <c r="K1013" s="278" t="inlineStr">
        <is>
          <t>Refacturación gastos y/o servicios prestados a nombre de la sociedad</t>
        </is>
      </c>
      <c r="L1013" s="280" t="n"/>
      <c r="M1013" s="278" t="inlineStr">
        <is>
          <t>Jofran Mensajeros, S.L - Envio de documentación</t>
        </is>
      </c>
      <c r="N1013" s="280" t="n">
        <v>28.51000000000001</v>
      </c>
      <c r="P1013" s="280" t="n"/>
      <c r="R1013" s="280" t="n"/>
      <c r="T1013" s="280" t="n"/>
      <c r="V1013" s="280" t="n"/>
      <c r="X1013" s="280" t="n"/>
      <c r="Z1013" s="280" t="n"/>
      <c r="AA1013" s="280" t="n"/>
      <c r="AB1013" s="281" t="inlineStr">
        <is>
          <t>ES11 0081 7069 2700 0122 7724</t>
        </is>
      </c>
      <c r="AC1013" s="278" t="inlineStr">
        <is>
          <t>pendiente</t>
        </is>
      </c>
      <c r="AD1013" s="280">
        <f>L1013+N1013+P1013+R1013+T1013+V1013+X1013+Z1013</f>
        <v/>
      </c>
      <c r="AE1013" s="280">
        <f>IF((LEFT(K1013,6))="Contab",L1013,0)</f>
        <v/>
      </c>
      <c r="AF1013" s="281">
        <f>VLOOKUP(G1013,CLIENTES!B:E,4,FALSE)</f>
        <v/>
      </c>
      <c r="AG1013" s="280">
        <f>AF1013*AE1013</f>
        <v/>
      </c>
      <c r="AH1013" s="280">
        <f>AD1013*1.21</f>
        <v/>
      </c>
      <c r="AI1013" s="284">
        <f>IF(AE1013&lt;&gt;0,AG1013/AD1013,"N/A")</f>
        <v/>
      </c>
      <c r="AJ1013" s="280">
        <f>IF(AC1013="pendiente",AD1013,0)</f>
        <v/>
      </c>
      <c r="AK1013" s="278">
        <f>VLOOKUP(G1013,CLIENTES!B:D,3,FALSE)</f>
        <v/>
      </c>
    </row>
    <row r="1014" ht="15" customFormat="1" customHeight="1" s="278">
      <c r="B1014" s="279" t="n"/>
      <c r="C1014" s="278" t="inlineStr">
        <is>
          <t>c/ Las Cruzadas 3A, local D</t>
        </is>
      </c>
      <c r="D1014" s="278" t="inlineStr">
        <is>
          <t>Sevilla 41004</t>
        </is>
      </c>
      <c r="E1014" s="278" t="inlineStr">
        <is>
          <t>CIF B91938662</t>
        </is>
      </c>
      <c r="F1014" s="278" t="inlineStr">
        <is>
          <t>aBalados@abalados.es</t>
        </is>
      </c>
      <c r="G1014" s="278" t="inlineStr">
        <is>
          <t>FP LUX REIO PV VALLADOLID, S.L.U.</t>
        </is>
      </c>
      <c r="H1014" s="278">
        <f>VLOOKUP($G1014,DATOS!$B:$E,2,FALSE)</f>
        <v/>
      </c>
      <c r="I1014" s="278">
        <f>VLOOKUP($G1014,DATOS!$B:$E,3,FALSE)</f>
        <v/>
      </c>
      <c r="J1014" s="278">
        <f>VLOOKUP($G1014,DATOS!$B:$E,4,FALSE)</f>
        <v/>
      </c>
      <c r="K1014" s="278" t="inlineStr">
        <is>
          <t>Refacturación gastos y/o servicios prestados a nombre de la sociedad</t>
        </is>
      </c>
      <c r="L1014" s="280" t="n"/>
      <c r="M1014" s="278" t="inlineStr">
        <is>
          <t>Jofran Mensajeros, S.L - Envio de documentación</t>
        </is>
      </c>
      <c r="N1014" s="280" t="n">
        <v>12.34</v>
      </c>
      <c r="P1014" s="280" t="n"/>
      <c r="R1014" s="280" t="n"/>
      <c r="T1014" s="280" t="n"/>
      <c r="V1014" s="280" t="n"/>
      <c r="X1014" s="280" t="n"/>
      <c r="Z1014" s="280" t="n"/>
      <c r="AA1014" s="280" t="n"/>
      <c r="AB1014" s="281" t="inlineStr">
        <is>
          <t>ES11 0081 7069 2700 0122 7724</t>
        </is>
      </c>
      <c r="AC1014" s="278" t="inlineStr">
        <is>
          <t>pendiente</t>
        </is>
      </c>
      <c r="AD1014" s="280">
        <f>L1014+N1014+P1014+R1014+T1014+V1014+X1014+Z1014</f>
        <v/>
      </c>
      <c r="AE1014" s="280">
        <f>IF((LEFT(K1014,6))="Contab",L1014,0)</f>
        <v/>
      </c>
      <c r="AF1014" s="281">
        <f>VLOOKUP(G1014,CLIENTES!B:E,4,FALSE)</f>
        <v/>
      </c>
      <c r="AG1014" s="280">
        <f>AF1014*AE1014</f>
        <v/>
      </c>
      <c r="AH1014" s="280">
        <f>AD1014*1.21</f>
        <v/>
      </c>
      <c r="AI1014" s="284">
        <f>IF(AE1014&lt;&gt;0,AG1014/AD1014,"N/A")</f>
        <v/>
      </c>
      <c r="AJ1014" s="280">
        <f>IF(AC1014="pendiente",AD1014,0)</f>
        <v/>
      </c>
      <c r="AK1014" s="278">
        <f>VLOOKUP(G1014,CLIENTES!B:D,3,FALSE)</f>
        <v/>
      </c>
    </row>
    <row r="1015" ht="15" customFormat="1" customHeight="1" s="278">
      <c r="B1015" s="279" t="n"/>
      <c r="C1015" s="278" t="inlineStr">
        <is>
          <t>c/ Las Cruzadas 3A, local D</t>
        </is>
      </c>
      <c r="D1015" s="278" t="inlineStr">
        <is>
          <t>Sevilla 41004</t>
        </is>
      </c>
      <c r="E1015" s="278" t="inlineStr">
        <is>
          <t>CIF B91938662</t>
        </is>
      </c>
      <c r="F1015" s="278" t="inlineStr">
        <is>
          <t>aBalados@abalados.es</t>
        </is>
      </c>
      <c r="G1015" s="278" t="inlineStr">
        <is>
          <t>FP LUX REIO PV VALLADOLID, S.L.U.</t>
        </is>
      </c>
      <c r="H1015" s="278">
        <f>VLOOKUP($G1015,DATOS!$B:$E,2,FALSE)</f>
        <v/>
      </c>
      <c r="I1015" s="278">
        <f>VLOOKUP($G1015,DATOS!$B:$E,3,FALSE)</f>
        <v/>
      </c>
      <c r="J1015" s="278">
        <f>VLOOKUP($G1015,DATOS!$B:$E,4,FALSE)</f>
        <v/>
      </c>
      <c r="K1015" s="278" t="inlineStr">
        <is>
          <t>Refacturación gastos y/o servicios prestados a nombre de la sociedad</t>
        </is>
      </c>
      <c r="L1015" s="280" t="n"/>
      <c r="M1015" s="278" t="inlineStr">
        <is>
          <t>Jofran Mensajeros, S.L - Envio de documentación</t>
        </is>
      </c>
      <c r="N1015" s="280" t="n">
        <v>47.75000000000001</v>
      </c>
      <c r="P1015" s="280" t="n"/>
      <c r="R1015" s="280" t="n"/>
      <c r="T1015" s="280" t="n"/>
      <c r="V1015" s="280" t="n"/>
      <c r="X1015" s="280" t="n"/>
      <c r="Z1015" s="280" t="n"/>
      <c r="AA1015" s="280" t="n"/>
      <c r="AB1015" s="281" t="inlineStr">
        <is>
          <t>ES11 0081 7069 2700 0122 7724</t>
        </is>
      </c>
      <c r="AC1015" s="278" t="inlineStr">
        <is>
          <t>pendiente</t>
        </is>
      </c>
      <c r="AD1015" s="280">
        <f>L1015+N1015+P1015+R1015+T1015+V1015+X1015+Z1015</f>
        <v/>
      </c>
      <c r="AE1015" s="280">
        <f>IF((LEFT(K1015,6))="Contab",L1015,0)</f>
        <v/>
      </c>
      <c r="AF1015" s="281">
        <f>VLOOKUP(G1015,CLIENTES!B:E,4,FALSE)</f>
        <v/>
      </c>
      <c r="AG1015" s="280">
        <f>AF1015*AE1015</f>
        <v/>
      </c>
      <c r="AH1015" s="280">
        <f>AD1015*1.21</f>
        <v/>
      </c>
      <c r="AI1015" s="284">
        <f>IF(AE1015&lt;&gt;0,AG1015/AD1015,"N/A")</f>
        <v/>
      </c>
      <c r="AJ1015" s="280">
        <f>IF(AC1015="pendiente",AD1015,0)</f>
        <v/>
      </c>
      <c r="AK1015" s="278">
        <f>VLOOKUP(G1015,CLIENTES!B:D,3,FALSE)</f>
        <v/>
      </c>
    </row>
    <row r="1016" ht="15" customFormat="1" customHeight="1" s="278">
      <c r="B1016" s="279" t="n"/>
      <c r="C1016" s="278" t="inlineStr">
        <is>
          <t>c/ Las Cruzadas 3A, local D</t>
        </is>
      </c>
      <c r="D1016" s="278" t="inlineStr">
        <is>
          <t>Sevilla 41004</t>
        </is>
      </c>
      <c r="E1016" s="278" t="inlineStr">
        <is>
          <t>CIF B91938662</t>
        </is>
      </c>
      <c r="F1016" s="278" t="inlineStr">
        <is>
          <t>aBalados@abalados.es</t>
        </is>
      </c>
      <c r="G1016" s="278" t="inlineStr">
        <is>
          <t>FP LUX REIO PV VALLADOLID, S.L.U.</t>
        </is>
      </c>
      <c r="H1016" s="278">
        <f>VLOOKUP($G1016,DATOS!$B:$E,2,FALSE)</f>
        <v/>
      </c>
      <c r="I1016" s="278">
        <f>VLOOKUP($G1016,DATOS!$B:$E,3,FALSE)</f>
        <v/>
      </c>
      <c r="J1016" s="278">
        <f>VLOOKUP($G1016,DATOS!$B:$E,4,FALSE)</f>
        <v/>
      </c>
      <c r="K1016" s="278" t="inlineStr">
        <is>
          <t>Refacturación gastos y/o servicios prestados a nombre de la sociedad</t>
        </is>
      </c>
      <c r="L1016" s="280" t="n"/>
      <c r="M1016" s="278" t="inlineStr">
        <is>
          <t>Jofran Mensajeros, S.L - Envio de documentación</t>
        </is>
      </c>
      <c r="N1016" s="280" t="n">
        <v>10.62</v>
      </c>
      <c r="P1016" s="280" t="n"/>
      <c r="R1016" s="280" t="n"/>
      <c r="T1016" s="280" t="n"/>
      <c r="V1016" s="280" t="n"/>
      <c r="X1016" s="280" t="n"/>
      <c r="Z1016" s="280" t="n"/>
      <c r="AA1016" s="280" t="n"/>
      <c r="AB1016" s="281" t="inlineStr">
        <is>
          <t>ES11 0081 7069 2700 0122 7724</t>
        </is>
      </c>
      <c r="AC1016" s="278" t="inlineStr">
        <is>
          <t>pendiente</t>
        </is>
      </c>
      <c r="AD1016" s="280">
        <f>L1016+N1016+P1016+R1016+T1016+V1016+X1016+Z1016</f>
        <v/>
      </c>
      <c r="AE1016" s="280">
        <f>IF((LEFT(K1016,6))="Contab",L1016,0)</f>
        <v/>
      </c>
      <c r="AF1016" s="281">
        <f>VLOOKUP(G1016,CLIENTES!B:E,4,FALSE)</f>
        <v/>
      </c>
      <c r="AG1016" s="280">
        <f>AF1016*AE1016</f>
        <v/>
      </c>
      <c r="AH1016" s="280">
        <f>AD1016*1.21</f>
        <v/>
      </c>
      <c r="AI1016" s="284">
        <f>IF(AE1016&lt;&gt;0,AG1016/AD1016,"N/A")</f>
        <v/>
      </c>
      <c r="AJ1016" s="280">
        <f>IF(AC1016="pendiente",AD1016,0)</f>
        <v/>
      </c>
      <c r="AK1016" s="278">
        <f>VLOOKUP(G1016,CLIENTES!B:D,3,FALSE)</f>
        <v/>
      </c>
    </row>
    <row r="1017" ht="15" customFormat="1" customHeight="1" s="278">
      <c r="B1017" s="279" t="n"/>
      <c r="C1017" s="278" t="inlineStr">
        <is>
          <t>c/ Las Cruzadas 3A, local D</t>
        </is>
      </c>
      <c r="D1017" s="278" t="inlineStr">
        <is>
          <t>Sevilla 41004</t>
        </is>
      </c>
      <c r="E1017" s="278" t="inlineStr">
        <is>
          <t>CIF B91938662</t>
        </is>
      </c>
      <c r="F1017" s="278" t="inlineStr">
        <is>
          <t>aBalados@abalados.es</t>
        </is>
      </c>
      <c r="G1017" s="278" t="inlineStr">
        <is>
          <t>FP LUX REIO PV VALLADOLID, S.L.U.</t>
        </is>
      </c>
      <c r="H1017" s="278">
        <f>VLOOKUP($G1017,DATOS!$B:$E,2,FALSE)</f>
        <v/>
      </c>
      <c r="I1017" s="278">
        <f>VLOOKUP($G1017,DATOS!$B:$E,3,FALSE)</f>
        <v/>
      </c>
      <c r="J1017" s="278">
        <f>VLOOKUP($G1017,DATOS!$B:$E,4,FALSE)</f>
        <v/>
      </c>
      <c r="K1017" s="278" t="inlineStr">
        <is>
          <t>Refacturación gastos y/o servicios prestados a nombre de la sociedad</t>
        </is>
      </c>
      <c r="L1017" s="280" t="n"/>
      <c r="M1017" s="278" t="inlineStr">
        <is>
          <t>Jofran Mensajeros, S.L - Envio de documentación</t>
        </is>
      </c>
      <c r="N1017" s="280" t="n">
        <v>18.09</v>
      </c>
      <c r="P1017" s="280" t="n"/>
      <c r="R1017" s="280" t="n"/>
      <c r="T1017" s="280" t="n"/>
      <c r="V1017" s="280" t="n"/>
      <c r="X1017" s="280" t="n"/>
      <c r="Z1017" s="280" t="n"/>
      <c r="AA1017" s="280" t="n"/>
      <c r="AB1017" s="281" t="inlineStr">
        <is>
          <t>ES11 0081 7069 2700 0122 7724</t>
        </is>
      </c>
      <c r="AC1017" s="278" t="inlineStr">
        <is>
          <t>pendiente</t>
        </is>
      </c>
      <c r="AD1017" s="280">
        <f>L1017+N1017+P1017+R1017+T1017+V1017+X1017+Z1017</f>
        <v/>
      </c>
      <c r="AE1017" s="280">
        <f>IF((LEFT(K1017,6))="Contab",L1017,0)</f>
        <v/>
      </c>
      <c r="AF1017" s="281">
        <f>VLOOKUP(G1017,CLIENTES!B:E,4,FALSE)</f>
        <v/>
      </c>
      <c r="AG1017" s="280">
        <f>AF1017*AE1017</f>
        <v/>
      </c>
      <c r="AH1017" s="280">
        <f>AD1017*1.21</f>
        <v/>
      </c>
      <c r="AI1017" s="284">
        <f>IF(AE1017&lt;&gt;0,AG1017/AD1017,"N/A")</f>
        <v/>
      </c>
      <c r="AJ1017" s="280">
        <f>IF(AC1017="pendiente",AD1017,0)</f>
        <v/>
      </c>
      <c r="AK1017" s="278">
        <f>VLOOKUP(G1017,CLIENTES!B:D,3,FALSE)</f>
        <v/>
      </c>
    </row>
    <row r="1018" ht="15" customFormat="1" customHeight="1" s="278">
      <c r="B1018" s="279" t="n"/>
      <c r="C1018" s="278" t="inlineStr">
        <is>
          <t>c/ Las Cruzadas 3A, local D</t>
        </is>
      </c>
      <c r="D1018" s="278" t="inlineStr">
        <is>
          <t>Sevilla 41004</t>
        </is>
      </c>
      <c r="E1018" s="278" t="inlineStr">
        <is>
          <t>CIF B91938662</t>
        </is>
      </c>
      <c r="F1018" s="278" t="inlineStr">
        <is>
          <t>aBalados@abalados.es</t>
        </is>
      </c>
      <c r="G1018" s="278" t="inlineStr">
        <is>
          <t>FP LUX REIO PV VALLADOLID, S.L.U.</t>
        </is>
      </c>
      <c r="H1018" s="278">
        <f>VLOOKUP($G1018,DATOS!$B:$E,2,FALSE)</f>
        <v/>
      </c>
      <c r="I1018" s="278">
        <f>VLOOKUP($G1018,DATOS!$B:$E,3,FALSE)</f>
        <v/>
      </c>
      <c r="J1018" s="278">
        <f>VLOOKUP($G1018,DATOS!$B:$E,4,FALSE)</f>
        <v/>
      </c>
      <c r="K1018" s="278" t="inlineStr">
        <is>
          <t>Refacturación gastos y/o servicios prestados a nombre de la sociedad</t>
        </is>
      </c>
      <c r="L1018" s="280" t="n"/>
      <c r="M1018" s="278" t="inlineStr">
        <is>
          <t>Jofran Mensajeros, S.L - Envio de documentación</t>
        </is>
      </c>
      <c r="N1018" s="280" t="n">
        <v>11.22</v>
      </c>
      <c r="P1018" s="280" t="n"/>
      <c r="R1018" s="280" t="n"/>
      <c r="T1018" s="280" t="n"/>
      <c r="V1018" s="280" t="n"/>
      <c r="X1018" s="280" t="n"/>
      <c r="Z1018" s="280" t="n"/>
      <c r="AA1018" s="280" t="n"/>
      <c r="AB1018" s="281" t="inlineStr">
        <is>
          <t>ES11 0081 7069 2700 0122 7724</t>
        </is>
      </c>
      <c r="AC1018" s="278" t="inlineStr">
        <is>
          <t>pendiente</t>
        </is>
      </c>
      <c r="AD1018" s="280">
        <f>L1018+N1018+P1018+R1018+T1018+V1018+X1018+Z1018</f>
        <v/>
      </c>
      <c r="AE1018" s="280">
        <f>IF((LEFT(K1018,6))="Contab",L1018,0)</f>
        <v/>
      </c>
      <c r="AF1018" s="281">
        <f>VLOOKUP(G1018,CLIENTES!B:E,4,FALSE)</f>
        <v/>
      </c>
      <c r="AG1018" s="280">
        <f>AF1018*AE1018</f>
        <v/>
      </c>
      <c r="AH1018" s="280">
        <f>AD1018*1.21</f>
        <v/>
      </c>
      <c r="AI1018" s="284">
        <f>IF(AE1018&lt;&gt;0,AG1018/AD1018,"N/A")</f>
        <v/>
      </c>
      <c r="AJ1018" s="280">
        <f>IF(AC1018="pendiente",AD1018,0)</f>
        <v/>
      </c>
      <c r="AK1018" s="278">
        <f>VLOOKUP(G1018,CLIENTES!B:D,3,FALSE)</f>
        <v/>
      </c>
    </row>
    <row r="1019" ht="15" customFormat="1" customHeight="1" s="278">
      <c r="B1019" s="279" t="n"/>
      <c r="C1019" s="278" t="inlineStr">
        <is>
          <t>c/ Las Cruzadas 3A, local D</t>
        </is>
      </c>
      <c r="D1019" s="278" t="inlineStr">
        <is>
          <t>Sevilla 41004</t>
        </is>
      </c>
      <c r="E1019" s="278" t="inlineStr">
        <is>
          <t>CIF B91938662</t>
        </is>
      </c>
      <c r="F1019" s="278" t="inlineStr">
        <is>
          <t>aBalados@abalados.es</t>
        </is>
      </c>
      <c r="G1019" s="278" t="inlineStr">
        <is>
          <t>FP LUX REIO PV VALLADOLID, S.L.U.</t>
        </is>
      </c>
      <c r="H1019" s="278">
        <f>VLOOKUP($G1019,DATOS!$B:$E,2,FALSE)</f>
        <v/>
      </c>
      <c r="I1019" s="278">
        <f>VLOOKUP($G1019,DATOS!$B:$E,3,FALSE)</f>
        <v/>
      </c>
      <c r="J1019" s="278">
        <f>VLOOKUP($G1019,DATOS!$B:$E,4,FALSE)</f>
        <v/>
      </c>
      <c r="K1019" s="278" t="inlineStr">
        <is>
          <t>Refacturación gastos y/o servicios prestados a nombre de la sociedad</t>
        </is>
      </c>
      <c r="L1019" s="280" t="n"/>
      <c r="M1019" s="278" t="inlineStr">
        <is>
          <t>Jofran Mensajeros, S.L - Envio de documentación</t>
        </is>
      </c>
      <c r="N1019" s="280" t="n">
        <v>5.31</v>
      </c>
      <c r="P1019" s="280" t="n"/>
      <c r="R1019" s="280" t="n"/>
      <c r="T1019" s="280" t="n"/>
      <c r="V1019" s="280" t="n"/>
      <c r="X1019" s="280" t="n"/>
      <c r="Z1019" s="280" t="n"/>
      <c r="AA1019" s="280" t="n"/>
      <c r="AB1019" s="281" t="inlineStr">
        <is>
          <t>ES11 0081 7069 2700 0122 7724</t>
        </is>
      </c>
      <c r="AC1019" s="278" t="inlineStr">
        <is>
          <t>pendiente</t>
        </is>
      </c>
      <c r="AD1019" s="280">
        <f>L1019+N1019+P1019+R1019+T1019+V1019+X1019+Z1019</f>
        <v/>
      </c>
      <c r="AE1019" s="280">
        <f>IF((LEFT(K1019,6))="Contab",L1019,0)</f>
        <v/>
      </c>
      <c r="AF1019" s="281">
        <f>VLOOKUP(G1019,CLIENTES!B:E,4,FALSE)</f>
        <v/>
      </c>
      <c r="AG1019" s="280">
        <f>AF1019*AE1019</f>
        <v/>
      </c>
      <c r="AH1019" s="280">
        <f>AD1019*1.21</f>
        <v/>
      </c>
      <c r="AI1019" s="284">
        <f>IF(AE1019&lt;&gt;0,AG1019/AD1019,"N/A")</f>
        <v/>
      </c>
      <c r="AJ1019" s="280">
        <f>IF(AC1019="pendiente",AD1019,0)</f>
        <v/>
      </c>
      <c r="AK1019" s="278">
        <f>VLOOKUP(G1019,CLIENTES!B:D,3,FALSE)</f>
        <v/>
      </c>
    </row>
    <row r="1020" ht="15" customFormat="1" customHeight="1" s="278">
      <c r="B1020" s="279" t="n"/>
      <c r="C1020" s="278" t="inlineStr">
        <is>
          <t>c/ Las Cruzadas 3A, local D</t>
        </is>
      </c>
      <c r="D1020" s="278" t="inlineStr">
        <is>
          <t>Sevilla 41004</t>
        </is>
      </c>
      <c r="E1020" s="278" t="inlineStr">
        <is>
          <t>CIF B91938662</t>
        </is>
      </c>
      <c r="F1020" s="278" t="inlineStr">
        <is>
          <t>aBalados@abalados.es</t>
        </is>
      </c>
      <c r="G1020" s="278" t="inlineStr">
        <is>
          <t>FP LUX REIO PV VALLADOLID, S.L.U.</t>
        </is>
      </c>
      <c r="H1020" s="278">
        <f>VLOOKUP($G1020,DATOS!$B:$E,2,FALSE)</f>
        <v/>
      </c>
      <c r="I1020" s="278">
        <f>VLOOKUP($G1020,DATOS!$B:$E,3,FALSE)</f>
        <v/>
      </c>
      <c r="J1020" s="278">
        <f>VLOOKUP($G1020,DATOS!$B:$E,4,FALSE)</f>
        <v/>
      </c>
      <c r="K1020" s="278" t="inlineStr">
        <is>
          <t>Refacturación gastos y/o servicios prestados a nombre de la sociedad</t>
        </is>
      </c>
      <c r="L1020" s="280" t="n"/>
      <c r="M1020" s="278" t="inlineStr">
        <is>
          <t>Jofran Mensajeros, S.L - Envio de documentación</t>
        </is>
      </c>
      <c r="N1020" s="280" t="n">
        <v>6.17</v>
      </c>
      <c r="P1020" s="280" t="n"/>
      <c r="R1020" s="280" t="n"/>
      <c r="T1020" s="280" t="n"/>
      <c r="V1020" s="280" t="n"/>
      <c r="X1020" s="280" t="n"/>
      <c r="Z1020" s="280" t="n"/>
      <c r="AA1020" s="280" t="n"/>
      <c r="AB1020" s="281" t="inlineStr">
        <is>
          <t>ES11 0081 7069 2700 0122 7724</t>
        </is>
      </c>
      <c r="AC1020" s="278" t="inlineStr">
        <is>
          <t>pendiente</t>
        </is>
      </c>
      <c r="AD1020" s="280">
        <f>L1020+N1020+P1020+R1020+T1020+V1020+X1020+Z1020</f>
        <v/>
      </c>
      <c r="AE1020" s="280">
        <f>IF((LEFT(K1020,6))="Contab",L1020,0)</f>
        <v/>
      </c>
      <c r="AF1020" s="281">
        <f>VLOOKUP(G1020,CLIENTES!B:E,4,FALSE)</f>
        <v/>
      </c>
      <c r="AG1020" s="280">
        <f>AF1020*AE1020</f>
        <v/>
      </c>
      <c r="AH1020" s="280">
        <f>AD1020*1.21</f>
        <v/>
      </c>
      <c r="AI1020" s="284">
        <f>IF(AE1020&lt;&gt;0,AG1020/AD1020,"N/A")</f>
        <v/>
      </c>
      <c r="AJ1020" s="280">
        <f>IF(AC1020="pendiente",AD1020,0)</f>
        <v/>
      </c>
      <c r="AK1020" s="278">
        <f>VLOOKUP(G1020,CLIENTES!B:D,3,FALSE)</f>
        <v/>
      </c>
    </row>
    <row r="1021" ht="15" customFormat="1" customHeight="1" s="278">
      <c r="B1021" s="279" t="n"/>
      <c r="C1021" s="278" t="inlineStr">
        <is>
          <t>c/ Las Cruzadas 3A, local D</t>
        </is>
      </c>
      <c r="D1021" s="278" t="inlineStr">
        <is>
          <t>Sevilla 41004</t>
        </is>
      </c>
      <c r="E1021" s="278" t="inlineStr">
        <is>
          <t>CIF B91938662</t>
        </is>
      </c>
      <c r="F1021" s="278" t="inlineStr">
        <is>
          <t>aBalados@abalados.es</t>
        </is>
      </c>
      <c r="G1021" s="278" t="inlineStr">
        <is>
          <t>FP LUX REIO PV VALLADOLID, S.L.U.</t>
        </is>
      </c>
      <c r="H1021" s="278">
        <f>VLOOKUP($G1021,DATOS!$B:$E,2,FALSE)</f>
        <v/>
      </c>
      <c r="I1021" s="278">
        <f>VLOOKUP($G1021,DATOS!$B:$E,3,FALSE)</f>
        <v/>
      </c>
      <c r="J1021" s="278">
        <f>VLOOKUP($G1021,DATOS!$B:$E,4,FALSE)</f>
        <v/>
      </c>
      <c r="K1021" s="278" t="inlineStr">
        <is>
          <t>Refacturación gastos y/o servicios prestados a nombre de la sociedad</t>
        </is>
      </c>
      <c r="L1021" s="280" t="n"/>
      <c r="M1021" s="278" t="inlineStr">
        <is>
          <t>Jofran Mensajeros, S.L - Envio de documentación</t>
        </is>
      </c>
      <c r="N1021" s="280" t="n">
        <v>33.06</v>
      </c>
      <c r="P1021" s="280" t="n"/>
      <c r="R1021" s="280" t="n"/>
      <c r="T1021" s="280" t="n"/>
      <c r="V1021" s="280" t="n"/>
      <c r="X1021" s="280" t="n"/>
      <c r="Z1021" s="280" t="n"/>
      <c r="AA1021" s="280" t="n"/>
      <c r="AB1021" s="281" t="inlineStr">
        <is>
          <t>ES11 0081 7069 2700 0122 7724</t>
        </is>
      </c>
      <c r="AC1021" s="278" t="inlineStr">
        <is>
          <t>pendiente</t>
        </is>
      </c>
      <c r="AD1021" s="280">
        <f>L1021+N1021+P1021+R1021+T1021+V1021+X1021+Z1021</f>
        <v/>
      </c>
      <c r="AE1021" s="280">
        <f>IF((LEFT(K1021,6))="Contab",L1021,0)</f>
        <v/>
      </c>
      <c r="AF1021" s="281">
        <f>VLOOKUP(G1021,CLIENTES!B:E,4,FALSE)</f>
        <v/>
      </c>
      <c r="AG1021" s="280">
        <f>AF1021*AE1021</f>
        <v/>
      </c>
      <c r="AH1021" s="280">
        <f>AD1021*1.21</f>
        <v/>
      </c>
      <c r="AI1021" s="284">
        <f>IF(AE1021&lt;&gt;0,AG1021/AD1021,"N/A")</f>
        <v/>
      </c>
      <c r="AJ1021" s="280">
        <f>IF(AC1021="pendiente",AD1021,0)</f>
        <v/>
      </c>
      <c r="AK1021" s="278">
        <f>VLOOKUP(G1021,CLIENTES!B:D,3,FALSE)</f>
        <v/>
      </c>
    </row>
    <row r="1022" ht="15" customFormat="1" customHeight="1" s="278">
      <c r="B1022" s="279" t="n"/>
      <c r="C1022" s="278" t="inlineStr">
        <is>
          <t>c/ Las Cruzadas 3A, local D</t>
        </is>
      </c>
      <c r="D1022" s="278" t="inlineStr">
        <is>
          <t>Sevilla 41004</t>
        </is>
      </c>
      <c r="E1022" s="278" t="inlineStr">
        <is>
          <t>CIF B91938662</t>
        </is>
      </c>
      <c r="F1022" s="278" t="inlineStr">
        <is>
          <t>aBalados@abalados.es</t>
        </is>
      </c>
      <c r="G1022" s="278" t="inlineStr">
        <is>
          <t>FP LUX REIO PV VALLADOLID, S.L.U.</t>
        </is>
      </c>
      <c r="H1022" s="278">
        <f>VLOOKUP($G1022,DATOS!$B:$E,2,FALSE)</f>
        <v/>
      </c>
      <c r="I1022" s="278">
        <f>VLOOKUP($G1022,DATOS!$B:$E,3,FALSE)</f>
        <v/>
      </c>
      <c r="J1022" s="278">
        <f>VLOOKUP($G1022,DATOS!$B:$E,4,FALSE)</f>
        <v/>
      </c>
      <c r="K1022" s="278" t="inlineStr">
        <is>
          <t>Refacturación gastos y/o servicios prestados a nombre de la sociedad</t>
        </is>
      </c>
      <c r="L1022" s="280" t="n"/>
      <c r="M1022" s="278" t="inlineStr">
        <is>
          <t>Jofran Mensajeros, S.L - Envio de documentación</t>
        </is>
      </c>
      <c r="N1022" s="280" t="n">
        <v>7.17</v>
      </c>
      <c r="P1022" s="280" t="n"/>
      <c r="R1022" s="280" t="n"/>
      <c r="T1022" s="280" t="n"/>
      <c r="V1022" s="280" t="n"/>
      <c r="X1022" s="280" t="n"/>
      <c r="Z1022" s="280" t="n"/>
      <c r="AA1022" s="280" t="n"/>
      <c r="AB1022" s="281" t="inlineStr">
        <is>
          <t>ES11 0081 7069 2700 0122 7724</t>
        </is>
      </c>
      <c r="AC1022" s="278" t="inlineStr">
        <is>
          <t>pendiente</t>
        </is>
      </c>
      <c r="AD1022" s="280">
        <f>L1022+N1022+P1022+R1022+T1022+V1022+X1022+Z1022</f>
        <v/>
      </c>
      <c r="AE1022" s="280">
        <f>IF((LEFT(K1022,6))="Contab",L1022,0)</f>
        <v/>
      </c>
      <c r="AF1022" s="281">
        <f>VLOOKUP(G1022,CLIENTES!B:E,4,FALSE)</f>
        <v/>
      </c>
      <c r="AG1022" s="280">
        <f>AF1022*AE1022</f>
        <v/>
      </c>
      <c r="AH1022" s="280">
        <f>AD1022*1.21</f>
        <v/>
      </c>
      <c r="AI1022" s="284">
        <f>IF(AE1022&lt;&gt;0,AG1022/AD1022,"N/A")</f>
        <v/>
      </c>
      <c r="AJ1022" s="280">
        <f>IF(AC1022="pendiente",AD1022,0)</f>
        <v/>
      </c>
      <c r="AK1022" s="278">
        <f>VLOOKUP(G1022,CLIENTES!B:D,3,FALSE)</f>
        <v/>
      </c>
    </row>
    <row r="1023" ht="15" customFormat="1" customHeight="1" s="278">
      <c r="B1023" s="279" t="n"/>
      <c r="C1023" s="278" t="inlineStr">
        <is>
          <t>c/ Las Cruzadas 3A, local D</t>
        </is>
      </c>
      <c r="D1023" s="278" t="inlineStr">
        <is>
          <t>Sevilla 41004</t>
        </is>
      </c>
      <c r="E1023" s="278" t="inlineStr">
        <is>
          <t>CIF B91938662</t>
        </is>
      </c>
      <c r="F1023" s="278" t="inlineStr">
        <is>
          <t>aBalados@abalados.es</t>
        </is>
      </c>
      <c r="G1023" s="278" t="inlineStr">
        <is>
          <t>FP LUX REIO PV VALLADOLID, S.L.U.</t>
        </is>
      </c>
      <c r="H1023" s="278">
        <f>VLOOKUP($G1023,DATOS!$B:$E,2,FALSE)</f>
        <v/>
      </c>
      <c r="I1023" s="278">
        <f>VLOOKUP($G1023,DATOS!$B:$E,3,FALSE)</f>
        <v/>
      </c>
      <c r="J1023" s="278">
        <f>VLOOKUP($G1023,DATOS!$B:$E,4,FALSE)</f>
        <v/>
      </c>
      <c r="K1023" s="278" t="inlineStr">
        <is>
          <t>Refacturación gastos y/o servicios prestados a nombre de la sociedad</t>
        </is>
      </c>
      <c r="L1023" s="280" t="n"/>
      <c r="M1023" s="278" t="inlineStr">
        <is>
          <t>Jofran Mensajeros, S.L - Envio de documentación</t>
        </is>
      </c>
      <c r="N1023" s="280" t="n">
        <v>6.17</v>
      </c>
      <c r="P1023" s="280" t="n"/>
      <c r="R1023" s="280" t="n"/>
      <c r="T1023" s="280" t="n"/>
      <c r="V1023" s="280" t="n"/>
      <c r="X1023" s="280" t="n"/>
      <c r="Z1023" s="280" t="n"/>
      <c r="AA1023" s="280" t="n"/>
      <c r="AB1023" s="281" t="inlineStr">
        <is>
          <t>ES11 0081 7069 2700 0122 7724</t>
        </is>
      </c>
      <c r="AC1023" s="278" t="inlineStr">
        <is>
          <t>pendiente</t>
        </is>
      </c>
      <c r="AD1023" s="280">
        <f>L1023+N1023+P1023+R1023+T1023+V1023+X1023+Z1023</f>
        <v/>
      </c>
      <c r="AE1023" s="280">
        <f>IF((LEFT(K1023,6))="Contab",L1023,0)</f>
        <v/>
      </c>
      <c r="AF1023" s="281">
        <f>VLOOKUP(G1023,CLIENTES!B:E,4,FALSE)</f>
        <v/>
      </c>
      <c r="AG1023" s="280">
        <f>AF1023*AE1023</f>
        <v/>
      </c>
      <c r="AH1023" s="280">
        <f>AD1023*1.21</f>
        <v/>
      </c>
      <c r="AI1023" s="284">
        <f>IF(AE1023&lt;&gt;0,AG1023/AD1023,"N/A")</f>
        <v/>
      </c>
      <c r="AJ1023" s="280">
        <f>IF(AC1023="pendiente",AD1023,0)</f>
        <v/>
      </c>
      <c r="AK1023" s="278">
        <f>VLOOKUP(G1023,CLIENTES!B:D,3,FALSE)</f>
        <v/>
      </c>
    </row>
    <row r="1024" ht="15" customFormat="1" customHeight="1" s="278">
      <c r="B1024" s="279" t="n"/>
      <c r="C1024" s="278" t="inlineStr">
        <is>
          <t>c/ Las Cruzadas 3A, local D</t>
        </is>
      </c>
      <c r="D1024" s="278" t="inlineStr">
        <is>
          <t>Sevilla 41004</t>
        </is>
      </c>
      <c r="E1024" s="278" t="inlineStr">
        <is>
          <t>CIF B91938662</t>
        </is>
      </c>
      <c r="F1024" s="278" t="inlineStr">
        <is>
          <t>aBalados@abalados.es</t>
        </is>
      </c>
      <c r="G1024" s="278" t="inlineStr">
        <is>
          <t>FP LUX REIO PV VALLADOLID, S.L.U.</t>
        </is>
      </c>
      <c r="H1024" s="278">
        <f>VLOOKUP($G1024,DATOS!$B:$E,2,FALSE)</f>
        <v/>
      </c>
      <c r="I1024" s="278">
        <f>VLOOKUP($G1024,DATOS!$B:$E,3,FALSE)</f>
        <v/>
      </c>
      <c r="J1024" s="278">
        <f>VLOOKUP($G1024,DATOS!$B:$E,4,FALSE)</f>
        <v/>
      </c>
      <c r="K1024" s="278" t="inlineStr">
        <is>
          <t>Refacturación gastos y/o servicios prestados a nombre de la sociedad</t>
        </is>
      </c>
      <c r="L1024" s="280" t="n"/>
      <c r="M1024" s="278" t="inlineStr">
        <is>
          <t>Jofran Mensajeros, S.L - Envio de documentación</t>
        </is>
      </c>
      <c r="N1024" s="280" t="n">
        <v>6.17</v>
      </c>
      <c r="P1024" s="280" t="n"/>
      <c r="R1024" s="280" t="n"/>
      <c r="T1024" s="280" t="n"/>
      <c r="V1024" s="280" t="n"/>
      <c r="X1024" s="280" t="n"/>
      <c r="Z1024" s="280" t="n"/>
      <c r="AA1024" s="280" t="n"/>
      <c r="AB1024" s="281" t="inlineStr">
        <is>
          <t>ES11 0081 7069 2700 0122 7724</t>
        </is>
      </c>
      <c r="AC1024" s="278" t="inlineStr">
        <is>
          <t>pendiente</t>
        </is>
      </c>
      <c r="AD1024" s="280">
        <f>L1024+N1024+P1024+R1024+T1024+V1024+X1024+Z1024</f>
        <v/>
      </c>
      <c r="AE1024" s="280">
        <f>IF((LEFT(K1024,6))="Contab",L1024,0)</f>
        <v/>
      </c>
      <c r="AF1024" s="281">
        <f>VLOOKUP(G1024,CLIENTES!B:E,4,FALSE)</f>
        <v/>
      </c>
      <c r="AG1024" s="280">
        <f>AF1024*AE1024</f>
        <v/>
      </c>
      <c r="AH1024" s="280">
        <f>AD1024*1.21</f>
        <v/>
      </c>
      <c r="AI1024" s="284">
        <f>IF(AE1024&lt;&gt;0,AG1024/AD1024,"N/A")</f>
        <v/>
      </c>
      <c r="AJ1024" s="280">
        <f>IF(AC1024="pendiente",AD1024,0)</f>
        <v/>
      </c>
      <c r="AK1024" s="278">
        <f>VLOOKUP(G1024,CLIENTES!B:D,3,FALSE)</f>
        <v/>
      </c>
    </row>
    <row r="1025" ht="15" customFormat="1" customHeight="1" s="278">
      <c r="B1025" s="279" t="n"/>
      <c r="C1025" s="278" t="inlineStr">
        <is>
          <t>c/ Las Cruzadas 3A, local D</t>
        </is>
      </c>
      <c r="D1025" s="278" t="inlineStr">
        <is>
          <t>Sevilla 41004</t>
        </is>
      </c>
      <c r="E1025" s="278" t="inlineStr">
        <is>
          <t>CIF B91938662</t>
        </is>
      </c>
      <c r="F1025" s="278" t="inlineStr">
        <is>
          <t>aBalados@abalados.es</t>
        </is>
      </c>
      <c r="G1025" s="278" t="inlineStr">
        <is>
          <t>FP LUX REIO PV VALLADOLID, S.L.U.</t>
        </is>
      </c>
      <c r="H1025" s="278">
        <f>VLOOKUP($G1025,DATOS!$B:$E,2,FALSE)</f>
        <v/>
      </c>
      <c r="I1025" s="278">
        <f>VLOOKUP($G1025,DATOS!$B:$E,3,FALSE)</f>
        <v/>
      </c>
      <c r="J1025" s="278">
        <f>VLOOKUP($G1025,DATOS!$B:$E,4,FALSE)</f>
        <v/>
      </c>
      <c r="K1025" s="278" t="inlineStr">
        <is>
          <t>Refacturación gastos y/o servicios prestados a nombre de la sociedad</t>
        </is>
      </c>
      <c r="L1025" s="280" t="n"/>
      <c r="M1025" s="278" t="inlineStr">
        <is>
          <t>Jofran Mensajeros, S.L - Envio de documentación</t>
        </is>
      </c>
      <c r="N1025" s="280" t="n">
        <v>6.17</v>
      </c>
      <c r="P1025" s="280" t="n"/>
      <c r="R1025" s="280" t="n"/>
      <c r="T1025" s="280" t="n"/>
      <c r="V1025" s="280" t="n"/>
      <c r="X1025" s="280" t="n"/>
      <c r="Z1025" s="280" t="n"/>
      <c r="AA1025" s="280" t="n"/>
      <c r="AB1025" s="281" t="inlineStr">
        <is>
          <t>ES11 0081 7069 2700 0122 7724</t>
        </is>
      </c>
      <c r="AC1025" s="278" t="inlineStr">
        <is>
          <t>pendiente</t>
        </is>
      </c>
      <c r="AD1025" s="280">
        <f>L1025+N1025+P1025+R1025+T1025+V1025+X1025+Z1025</f>
        <v/>
      </c>
      <c r="AE1025" s="280">
        <f>IF((LEFT(K1025,6))="Contab",L1025,0)</f>
        <v/>
      </c>
      <c r="AF1025" s="281">
        <f>VLOOKUP(G1025,CLIENTES!B:E,4,FALSE)</f>
        <v/>
      </c>
      <c r="AG1025" s="280">
        <f>AF1025*AE1025</f>
        <v/>
      </c>
      <c r="AH1025" s="280">
        <f>AD1025*1.21</f>
        <v/>
      </c>
      <c r="AI1025" s="284">
        <f>IF(AE1025&lt;&gt;0,AG1025/AD1025,"N/A")</f>
        <v/>
      </c>
      <c r="AJ1025" s="280">
        <f>IF(AC1025="pendiente",AD1025,0)</f>
        <v/>
      </c>
      <c r="AK1025" s="278">
        <f>VLOOKUP(G1025,CLIENTES!B:D,3,FALSE)</f>
        <v/>
      </c>
    </row>
    <row r="1026" ht="15" customFormat="1" customHeight="1" s="278">
      <c r="B1026" s="279" t="n"/>
      <c r="C1026" s="278" t="inlineStr">
        <is>
          <t>c/ Las Cruzadas 3A, local D</t>
        </is>
      </c>
      <c r="D1026" s="278" t="inlineStr">
        <is>
          <t>Sevilla 41004</t>
        </is>
      </c>
      <c r="E1026" s="278" t="inlineStr">
        <is>
          <t>CIF B91938662</t>
        </is>
      </c>
      <c r="F1026" s="278" t="inlineStr">
        <is>
          <t>aBalados@abalados.es</t>
        </is>
      </c>
      <c r="G1026" s="278" t="inlineStr">
        <is>
          <t>FP LUX REIO PV VALLADOLID, S.L.U.</t>
        </is>
      </c>
      <c r="H1026" s="278">
        <f>VLOOKUP($G1026,DATOS!$B:$E,2,FALSE)</f>
        <v/>
      </c>
      <c r="I1026" s="278">
        <f>VLOOKUP($G1026,DATOS!$B:$E,3,FALSE)</f>
        <v/>
      </c>
      <c r="J1026" s="278">
        <f>VLOOKUP($G1026,DATOS!$B:$E,4,FALSE)</f>
        <v/>
      </c>
      <c r="K1026" s="278" t="inlineStr">
        <is>
          <t>Refacturación gastos y/o servicios prestados a nombre de la sociedad</t>
        </is>
      </c>
      <c r="L1026" s="280" t="n"/>
      <c r="M1026" s="278" t="inlineStr">
        <is>
          <t>Jofran Mensajeros, S.L - Envio de documentación</t>
        </is>
      </c>
      <c r="N1026" s="280" t="n">
        <v>6.17</v>
      </c>
      <c r="P1026" s="280" t="n"/>
      <c r="R1026" s="280" t="n"/>
      <c r="T1026" s="280" t="n"/>
      <c r="V1026" s="280" t="n"/>
      <c r="X1026" s="280" t="n"/>
      <c r="Z1026" s="280" t="n"/>
      <c r="AA1026" s="280" t="n"/>
      <c r="AB1026" s="281" t="inlineStr">
        <is>
          <t>ES11 0081 7069 2700 0122 7724</t>
        </is>
      </c>
      <c r="AC1026" s="278" t="inlineStr">
        <is>
          <t>pendiente</t>
        </is>
      </c>
      <c r="AD1026" s="280">
        <f>L1026+N1026+P1026+R1026+T1026+V1026+X1026+Z1026</f>
        <v/>
      </c>
      <c r="AE1026" s="280">
        <f>IF((LEFT(K1026,6))="Contab",L1026,0)</f>
        <v/>
      </c>
      <c r="AF1026" s="281">
        <f>VLOOKUP(G1026,CLIENTES!B:E,4,FALSE)</f>
        <v/>
      </c>
      <c r="AG1026" s="280">
        <f>AF1026*AE1026</f>
        <v/>
      </c>
      <c r="AH1026" s="280">
        <f>AD1026*1.21</f>
        <v/>
      </c>
      <c r="AI1026" s="284">
        <f>IF(AE1026&lt;&gt;0,AG1026/AD1026,"N/A")</f>
        <v/>
      </c>
      <c r="AJ1026" s="280">
        <f>IF(AC1026="pendiente",AD1026,0)</f>
        <v/>
      </c>
      <c r="AK1026" s="278">
        <f>VLOOKUP(G1026,CLIENTES!B:D,3,FALSE)</f>
        <v/>
      </c>
    </row>
    <row r="1027" ht="15" customFormat="1" customHeight="1" s="278">
      <c r="B1027" s="279" t="n"/>
      <c r="C1027" s="278" t="inlineStr">
        <is>
          <t>c/ Las Cruzadas 3A, local D</t>
        </is>
      </c>
      <c r="D1027" s="278" t="inlineStr">
        <is>
          <t>Sevilla 41004</t>
        </is>
      </c>
      <c r="E1027" s="278" t="inlineStr">
        <is>
          <t>CIF B91938662</t>
        </is>
      </c>
      <c r="F1027" s="278" t="inlineStr">
        <is>
          <t>aBalados@abalados.es</t>
        </is>
      </c>
      <c r="G1027" s="278" t="inlineStr">
        <is>
          <t>FP LUX REIO PV VALLADOLID, S.L.U.</t>
        </is>
      </c>
      <c r="H1027" s="278">
        <f>VLOOKUP($G1027,DATOS!$B:$E,2,FALSE)</f>
        <v/>
      </c>
      <c r="I1027" s="278">
        <f>VLOOKUP($G1027,DATOS!$B:$E,3,FALSE)</f>
        <v/>
      </c>
      <c r="J1027" s="278">
        <f>VLOOKUP($G1027,DATOS!$B:$E,4,FALSE)</f>
        <v/>
      </c>
      <c r="K1027" s="278" t="inlineStr">
        <is>
          <t>Refacturación gastos y/o servicios prestados a nombre de la sociedad</t>
        </is>
      </c>
      <c r="L1027" s="280" t="n"/>
      <c r="M1027" s="278" t="inlineStr">
        <is>
          <t>Jofran Mensajeros, S.L - Envio de documentación</t>
        </is>
      </c>
      <c r="N1027" s="280" t="n">
        <v>22.34</v>
      </c>
      <c r="P1027" s="280" t="n"/>
      <c r="R1027" s="280" t="n"/>
      <c r="T1027" s="280" t="n"/>
      <c r="V1027" s="280" t="n"/>
      <c r="X1027" s="280" t="n"/>
      <c r="Z1027" s="280" t="n"/>
      <c r="AA1027" s="280" t="n"/>
      <c r="AB1027" s="281" t="inlineStr">
        <is>
          <t>ES11 0081 7069 2700 0122 7724</t>
        </is>
      </c>
      <c r="AC1027" s="278" t="inlineStr">
        <is>
          <t>pendiente</t>
        </is>
      </c>
      <c r="AD1027" s="280">
        <f>L1027+N1027+P1027+R1027+T1027+V1027+X1027+Z1027</f>
        <v/>
      </c>
      <c r="AE1027" s="280">
        <f>IF((LEFT(K1027,6))="Contab",L1027,0)</f>
        <v/>
      </c>
      <c r="AF1027" s="281">
        <f>VLOOKUP(G1027,CLIENTES!B:E,4,FALSE)</f>
        <v/>
      </c>
      <c r="AG1027" s="280">
        <f>AF1027*AE1027</f>
        <v/>
      </c>
      <c r="AH1027" s="280">
        <f>AD1027*1.21</f>
        <v/>
      </c>
      <c r="AI1027" s="284">
        <f>IF(AE1027&lt;&gt;0,AG1027/AD1027,"N/A")</f>
        <v/>
      </c>
      <c r="AJ1027" s="280">
        <f>IF(AC1027="pendiente",AD1027,0)</f>
        <v/>
      </c>
      <c r="AK1027" s="278">
        <f>VLOOKUP(G1027,CLIENTES!B:D,3,FALSE)</f>
        <v/>
      </c>
    </row>
    <row r="1028" ht="15" customFormat="1" customHeight="1" s="278">
      <c r="B1028" s="279" t="n"/>
      <c r="C1028" s="278" t="inlineStr">
        <is>
          <t>c/ Las Cruzadas 3A, local D</t>
        </is>
      </c>
      <c r="D1028" s="278" t="inlineStr">
        <is>
          <t>Sevilla 41004</t>
        </is>
      </c>
      <c r="E1028" s="278" t="inlineStr">
        <is>
          <t>CIF B91938662</t>
        </is>
      </c>
      <c r="F1028" s="278" t="inlineStr">
        <is>
          <t>aBalados@abalados.es</t>
        </is>
      </c>
      <c r="G1028" s="278" t="inlineStr">
        <is>
          <t>FP LUX REIO PV VALLADOLID, S.L.U.</t>
        </is>
      </c>
      <c r="H1028" s="278">
        <f>VLOOKUP($G1028,DATOS!$B:$E,2,FALSE)</f>
        <v/>
      </c>
      <c r="I1028" s="278">
        <f>VLOOKUP($G1028,DATOS!$B:$E,3,FALSE)</f>
        <v/>
      </c>
      <c r="J1028" s="278">
        <f>VLOOKUP($G1028,DATOS!$B:$E,4,FALSE)</f>
        <v/>
      </c>
      <c r="K1028" s="278" t="inlineStr">
        <is>
          <t>Refacturación gastos y/o servicios prestados a nombre de la sociedad</t>
        </is>
      </c>
      <c r="L1028" s="280" t="n"/>
      <c r="M1028" s="278" t="inlineStr">
        <is>
          <t>Jofran Mensajeros, S.L - Envio de documentación</t>
        </is>
      </c>
      <c r="N1028" s="280" t="n">
        <v>6.17</v>
      </c>
      <c r="P1028" s="280" t="n"/>
      <c r="R1028" s="280" t="n"/>
      <c r="T1028" s="280" t="n"/>
      <c r="V1028" s="280" t="n"/>
      <c r="X1028" s="280" t="n"/>
      <c r="Z1028" s="280" t="n"/>
      <c r="AA1028" s="280" t="n"/>
      <c r="AB1028" s="281" t="inlineStr">
        <is>
          <t>ES11 0081 7069 2700 0122 7724</t>
        </is>
      </c>
      <c r="AC1028" s="278" t="inlineStr">
        <is>
          <t>pendiente</t>
        </is>
      </c>
      <c r="AD1028" s="280">
        <f>L1028+N1028+P1028+R1028+T1028+V1028+X1028+Z1028</f>
        <v/>
      </c>
      <c r="AE1028" s="280">
        <f>IF((LEFT(K1028,6))="Contab",L1028,0)</f>
        <v/>
      </c>
      <c r="AF1028" s="281">
        <f>VLOOKUP(G1028,CLIENTES!B:E,4,FALSE)</f>
        <v/>
      </c>
      <c r="AG1028" s="280">
        <f>AF1028*AE1028</f>
        <v/>
      </c>
      <c r="AH1028" s="280">
        <f>AD1028*1.21</f>
        <v/>
      </c>
      <c r="AI1028" s="284">
        <f>IF(AE1028&lt;&gt;0,AG1028/AD1028,"N/A")</f>
        <v/>
      </c>
      <c r="AJ1028" s="280">
        <f>IF(AC1028="pendiente",AD1028,0)</f>
        <v/>
      </c>
      <c r="AK1028" s="278">
        <f>VLOOKUP(G1028,CLIENTES!B:D,3,FALSE)</f>
        <v/>
      </c>
    </row>
    <row r="1029" ht="15" customFormat="1" customHeight="1" s="278">
      <c r="B1029" s="279" t="n"/>
      <c r="C1029" s="278" t="inlineStr">
        <is>
          <t>c/ Las Cruzadas 3A, local D</t>
        </is>
      </c>
      <c r="D1029" s="278" t="inlineStr">
        <is>
          <t>Sevilla 41004</t>
        </is>
      </c>
      <c r="E1029" s="278" t="inlineStr">
        <is>
          <t>CIF B91938662</t>
        </is>
      </c>
      <c r="F1029" s="278" t="inlineStr">
        <is>
          <t>aBalados@abalados.es</t>
        </is>
      </c>
      <c r="G1029" s="278" t="inlineStr">
        <is>
          <t>FP LUX REIO PV VALLADOLID, S.L.U.</t>
        </is>
      </c>
      <c r="H1029" s="278">
        <f>VLOOKUP($G1029,DATOS!$B:$E,2,FALSE)</f>
        <v/>
      </c>
      <c r="I1029" s="278">
        <f>VLOOKUP($G1029,DATOS!$B:$E,3,FALSE)</f>
        <v/>
      </c>
      <c r="J1029" s="278">
        <f>VLOOKUP($G1029,DATOS!$B:$E,4,FALSE)</f>
        <v/>
      </c>
      <c r="K1029" s="278" t="inlineStr">
        <is>
          <t>INTERIM O&amp;M SERVICE AGREEMENT - August 2023</t>
        </is>
      </c>
      <c r="L1029" s="280" t="n"/>
      <c r="M1029" s="278" t="inlineStr">
        <is>
          <t>Puerto Real 2 PV - Cádiz | Spain</t>
        </is>
      </c>
      <c r="N1029" s="280" t="n"/>
      <c r="P1029" s="280" t="n"/>
      <c r="Q1029" s="278" t="inlineStr">
        <is>
          <t>Monthly Services Price  -  August 2023 (Contract signature 23.08.2023)</t>
        </is>
      </c>
      <c r="R1029" s="280">
        <f>22000*(9/31)</f>
        <v/>
      </c>
      <c r="S1029" s="278" t="inlineStr">
        <is>
          <t>Monthly Services Price  -  September 2023</t>
        </is>
      </c>
      <c r="T1029" s="280">
        <f>22000</f>
        <v/>
      </c>
      <c r="V1029" s="280" t="n"/>
      <c r="X1029" s="280" t="n"/>
      <c r="Z1029" s="280" t="n"/>
      <c r="AA1029" s="280" t="n"/>
      <c r="AB1029" s="281" t="inlineStr">
        <is>
          <t>ES11 0081 7069 2700 0122 7724</t>
        </is>
      </c>
      <c r="AC1029" s="278" t="inlineStr">
        <is>
          <t>pendiente</t>
        </is>
      </c>
      <c r="AD1029" s="280">
        <f>L1029+N1029+P1029+R1029+T1029+V1029+X1029+Z1029</f>
        <v/>
      </c>
      <c r="AE1029" s="280">
        <f>IF((LEFT(K1029,6))="Contab",L1029,0)</f>
        <v/>
      </c>
      <c r="AF1029" s="281">
        <f>VLOOKUP(G1029,CLIENTES!B:E,4,FALSE)</f>
        <v/>
      </c>
      <c r="AG1029" s="280">
        <f>AF1029*AE1029</f>
        <v/>
      </c>
      <c r="AH1029" s="280">
        <f>AD1029*1.21</f>
        <v/>
      </c>
      <c r="AI1029" s="284">
        <f>IF(AE1029&lt;&gt;0,AG1029/AD1029,"N/A")</f>
        <v/>
      </c>
      <c r="AJ1029" s="280">
        <f>IF(AC1029="pendiente",AD1029,0)</f>
        <v/>
      </c>
      <c r="AK1029" s="278">
        <f>VLOOKUP(G1029,CLIENTES!B:D,3,FALSE)</f>
        <v/>
      </c>
    </row>
    <row r="1030" ht="15" customFormat="1" customHeight="1" s="195">
      <c r="B1030" s="194" t="n"/>
      <c r="C1030" s="195" t="inlineStr">
        <is>
          <t>c/ Las Cruzadas 3A, local D</t>
        </is>
      </c>
      <c r="D1030" s="195" t="inlineStr">
        <is>
          <t>Sevilla 41004</t>
        </is>
      </c>
      <c r="E1030" s="195" t="inlineStr">
        <is>
          <t>CIF B91938662</t>
        </is>
      </c>
      <c r="F1030" s="195" t="inlineStr">
        <is>
          <t>aBalados@abalados.es</t>
        </is>
      </c>
      <c r="G1030" s="195" t="inlineStr">
        <is>
          <t>FP LUX REIO PV VALLADOLID, S.L.U.</t>
        </is>
      </c>
      <c r="H1030" s="195">
        <f>VLOOKUP($G1030,DATOS!$B:$E,2,FALSE)</f>
        <v/>
      </c>
      <c r="I1030" s="195">
        <f>VLOOKUP($G1030,DATOS!$B:$E,3,FALSE)</f>
        <v/>
      </c>
      <c r="J1030" s="195">
        <f>VLOOKUP($G1030,DATOS!$B:$E,4,FALSE)</f>
        <v/>
      </c>
      <c r="K1030" s="195" t="inlineStr">
        <is>
          <t>Contabilidad y Fiscalidad de proyecto Valverde - 4º Trimestre</t>
        </is>
      </c>
      <c r="L1030" s="196">
        <f>'Tarifa 2025'!$D$5/4</f>
        <v/>
      </c>
      <c r="M1030" s="195" t="inlineStr">
        <is>
          <t>SPV Management  Proyecto Valverde - 4º Trimestre</t>
        </is>
      </c>
      <c r="N1030" s="196">
        <f>'Tarifa 2025'!$F$5/4</f>
        <v/>
      </c>
      <c r="O1030" s="195" t="inlineStr">
        <is>
          <t>O&amp;M Management Proyecto Valverde - 4º Trimestre</t>
        </is>
      </c>
      <c r="P1030" s="196">
        <f>'Tarifa 2025'!$H$5/4</f>
        <v/>
      </c>
      <c r="Q1030" s="195" t="inlineStr">
        <is>
          <t>Consultoría - 4º Trimestre</t>
        </is>
      </c>
      <c r="R1030" s="196">
        <f>'Tarifa 2025'!$J$5/4</f>
        <v/>
      </c>
      <c r="S1030" s="195" t="inlineStr">
        <is>
          <t>Corrección periodos anteriores</t>
        </is>
      </c>
      <c r="T1030" s="196">
        <f>(R1030-R920)*3</f>
        <v/>
      </c>
      <c r="V1030" s="196" t="n"/>
      <c r="X1030" s="196" t="n"/>
      <c r="Y1030" s="195" t="inlineStr">
        <is>
          <t>Gastos derivados de contrato (3,5%)</t>
        </is>
      </c>
      <c r="Z1030" s="196">
        <f>(L1030+N1030+P1030+R1030+T1030+V1030+X1030)*0.035</f>
        <v/>
      </c>
      <c r="AA1030" s="196" t="n"/>
      <c r="AB1030" s="197" t="inlineStr">
        <is>
          <t>ES11 0081 7069 2700 0122 7724</t>
        </is>
      </c>
      <c r="AC1030" s="195" t="inlineStr">
        <is>
          <t>pendiente</t>
        </is>
      </c>
      <c r="AD1030" s="196">
        <f>L1030+N1030+P1030+R1030+T1030+V1030+X1030+Z1030</f>
        <v/>
      </c>
      <c r="AE1030" s="196">
        <f>IF((LEFT(K1030,6))="Contab",L1030,0)</f>
        <v/>
      </c>
      <c r="AF1030" s="197">
        <f>VLOOKUP(G1030,CLIENTES!B:E,4,FALSE)</f>
        <v/>
      </c>
      <c r="AG1030" s="196">
        <f>AF1030*AE1030</f>
        <v/>
      </c>
      <c r="AH1030" s="196">
        <f>AD1030*1.21</f>
        <v/>
      </c>
      <c r="AI1030" s="198">
        <f>IF(AE1030&lt;&gt;0,AG1030/AD1030,"N/A")</f>
        <v/>
      </c>
      <c r="AJ1030" s="196">
        <f>IF(AC1030="pendiente",AD1030,0)</f>
        <v/>
      </c>
      <c r="AK1030" s="195">
        <f>VLOOKUP(G1030,CLIENTES!B:D,3,FALSE)</f>
        <v/>
      </c>
    </row>
    <row r="1031" ht="15" customFormat="1" customHeight="1" s="278">
      <c r="B1031" s="279" t="n"/>
      <c r="C1031" s="278" t="inlineStr">
        <is>
          <t>c/ Las Cruzadas 3A, local D</t>
        </is>
      </c>
      <c r="D1031" s="278" t="inlineStr">
        <is>
          <t>Sevilla 41004</t>
        </is>
      </c>
      <c r="E1031" s="278" t="inlineStr">
        <is>
          <t>CIF B91938662</t>
        </is>
      </c>
      <c r="F1031" s="278" t="inlineStr">
        <is>
          <t>aBalados@abalados.es</t>
        </is>
      </c>
      <c r="G1031" s="278" t="inlineStr">
        <is>
          <t>FP LUX REIO PV VALLADOLID, S.L.U.</t>
        </is>
      </c>
      <c r="H1031" s="278">
        <f>VLOOKUP($G1031,DATOS!$B:$E,2,FALSE)</f>
        <v/>
      </c>
      <c r="I1031" s="278">
        <f>VLOOKUP($G1031,DATOS!$B:$E,3,FALSE)</f>
        <v/>
      </c>
      <c r="J1031" s="278">
        <f>VLOOKUP($G1031,DATOS!$B:$E,4,FALSE)</f>
        <v/>
      </c>
      <c r="K1031" s="278" t="inlineStr">
        <is>
          <t>Contabilidad y Fiscalidad de proyecto Castuera - 4º Trimestre</t>
        </is>
      </c>
      <c r="L1031" s="280">
        <f>'Tarifa 2025'!$D$6/4</f>
        <v/>
      </c>
      <c r="M1031" s="278" t="inlineStr">
        <is>
          <t>SPV Management  Proyecto Castuera - 4º Trimestre</t>
        </is>
      </c>
      <c r="N1031" s="280">
        <f>'Tarifa 2025'!$F$6/4</f>
        <v/>
      </c>
      <c r="O1031" s="278" t="inlineStr">
        <is>
          <t>O&amp;M Management Proyecto Castuera - 4º Trimestre</t>
        </is>
      </c>
      <c r="P1031" s="280">
        <f>'Tarifa 2025'!$H$6/4</f>
        <v/>
      </c>
      <c r="Q1031" s="278" t="inlineStr">
        <is>
          <t>Consultoría - 4º Trimestre</t>
        </is>
      </c>
      <c r="R1031" s="280">
        <f>'Tarifa 2025'!$J$6/4</f>
        <v/>
      </c>
      <c r="S1031" s="278" t="inlineStr">
        <is>
          <t>Corrección periodos anteriores</t>
        </is>
      </c>
      <c r="T1031" s="280">
        <f>(R1031-R921)*3</f>
        <v/>
      </c>
      <c r="V1031" s="280" t="n"/>
      <c r="X1031" s="280" t="n"/>
      <c r="Y1031" s="278" t="inlineStr">
        <is>
          <t>Gastos derivados de contrato (3,5%)</t>
        </is>
      </c>
      <c r="Z1031" s="280">
        <f>(L1031+N1031+P1031+R1031+T1031+V1031+X1031)*0.035</f>
        <v/>
      </c>
      <c r="AA1031" s="280" t="n"/>
      <c r="AB1031" s="281" t="inlineStr">
        <is>
          <t>ES11 0081 7069 2700 0122 7724</t>
        </is>
      </c>
      <c r="AC1031" s="278" t="inlineStr">
        <is>
          <t>pendiente</t>
        </is>
      </c>
      <c r="AD1031" s="280">
        <f>L1031+N1031+P1031+R1031+T1031+V1031+X1031+Z1031</f>
        <v/>
      </c>
      <c r="AE1031" s="280">
        <f>IF((LEFT(K1031,6))="Contab",L1031,0)</f>
        <v/>
      </c>
      <c r="AF1031" s="281">
        <f>VLOOKUP(G1031,CLIENTES!B:E,4,FALSE)</f>
        <v/>
      </c>
      <c r="AG1031" s="280">
        <f>AF1031*AE1031</f>
        <v/>
      </c>
      <c r="AH1031" s="280">
        <f>AD1031*1.21</f>
        <v/>
      </c>
      <c r="AI1031" s="282">
        <f>IF(AE1031&lt;&gt;0,AG1031/AD1031,"N/A")</f>
        <v/>
      </c>
      <c r="AJ1031" s="280">
        <f>IF(AC1031="pendiente",AD1031,0)</f>
        <v/>
      </c>
      <c r="AK1031" s="278">
        <f>VLOOKUP(G1031,CLIENTES!B:D,3,FALSE)</f>
        <v/>
      </c>
    </row>
    <row r="1032" ht="15" customFormat="1" customHeight="1" s="278">
      <c r="B1032" s="279" t="n"/>
      <c r="C1032" s="278" t="inlineStr">
        <is>
          <t>c/ Las Cruzadas 3A, local D</t>
        </is>
      </c>
      <c r="D1032" s="278" t="inlineStr">
        <is>
          <t>Sevilla 41004</t>
        </is>
      </c>
      <c r="E1032" s="278" t="inlineStr">
        <is>
          <t>CIF B91938662</t>
        </is>
      </c>
      <c r="F1032" s="278" t="inlineStr">
        <is>
          <t>aBalados@abalados.es</t>
        </is>
      </c>
      <c r="G1032" s="278" t="inlineStr">
        <is>
          <t>FP LUX REIO PV VALLADOLID, S.L.U.</t>
        </is>
      </c>
      <c r="H1032" s="278">
        <f>VLOOKUP($G1032,DATOS!$B:$E,2,FALSE)</f>
        <v/>
      </c>
      <c r="I1032" s="278">
        <f>VLOOKUP($G1032,DATOS!$B:$E,3,FALSE)</f>
        <v/>
      </c>
      <c r="J1032" s="278">
        <f>VLOOKUP($G1032,DATOS!$B:$E,4,FALSE)</f>
        <v/>
      </c>
      <c r="K1032" s="278" t="inlineStr">
        <is>
          <t>Contabilidad y Fiscalidad de proyecto Paiporta - 4º Trimestre</t>
        </is>
      </c>
      <c r="L1032" s="280">
        <f>'Tarifa 2025'!$D$7/4</f>
        <v/>
      </c>
      <c r="M1032" s="278" t="inlineStr">
        <is>
          <t>SPV Management  Proyecto Paiporta - 4º Trimestre</t>
        </is>
      </c>
      <c r="N1032" s="280">
        <f>'Tarifa 2025'!$F$7/4</f>
        <v/>
      </c>
      <c r="O1032" s="278" t="inlineStr">
        <is>
          <t>O&amp;M Management Proyecto Paiporta - 4º Trimestre</t>
        </is>
      </c>
      <c r="P1032" s="280">
        <f>'Tarifa 2025'!$H$7/4</f>
        <v/>
      </c>
      <c r="Q1032" s="278" t="inlineStr">
        <is>
          <t>Consultoría - 4º Trimestre</t>
        </is>
      </c>
      <c r="R1032" s="280">
        <f>'Tarifa 2025'!$J$7/4</f>
        <v/>
      </c>
      <c r="S1032" s="278" t="inlineStr">
        <is>
          <t>Corrección periodos anteriores</t>
        </is>
      </c>
      <c r="T1032" s="280">
        <f>(R1032-R922)*3</f>
        <v/>
      </c>
      <c r="V1032" s="280" t="n"/>
      <c r="X1032" s="280" t="n"/>
      <c r="Y1032" s="278" t="inlineStr">
        <is>
          <t>Gastos derivados de contrato (3,5%)</t>
        </is>
      </c>
      <c r="Z1032" s="280">
        <f>(L1032+N1032+P1032+R1032+T1032+V1032+X1032)*0.035</f>
        <v/>
      </c>
      <c r="AA1032" s="280" t="n"/>
      <c r="AB1032" s="281" t="inlineStr">
        <is>
          <t>ES11 0081 7069 2700 0122 7724</t>
        </is>
      </c>
      <c r="AC1032" s="278" t="inlineStr">
        <is>
          <t>pendiente</t>
        </is>
      </c>
      <c r="AD1032" s="280">
        <f>L1032+N1032+P1032+R1032+T1032+V1032+X1032+Z1032</f>
        <v/>
      </c>
      <c r="AE1032" s="280">
        <f>IF((LEFT(K1032,6))="Contab",L1032,0)</f>
        <v/>
      </c>
      <c r="AF1032" s="281">
        <f>VLOOKUP(G1032,CLIENTES!B:E,4,FALSE)</f>
        <v/>
      </c>
      <c r="AG1032" s="280">
        <f>AF1032*AE1032</f>
        <v/>
      </c>
      <c r="AH1032" s="280">
        <f>AD1032*1.21</f>
        <v/>
      </c>
      <c r="AI1032" s="282">
        <f>IF(AE1032&lt;&gt;0,AG1032/AD1032,"N/A")</f>
        <v/>
      </c>
      <c r="AJ1032" s="280">
        <f>IF(AC1032="pendiente",AD1032,0)</f>
        <v/>
      </c>
      <c r="AK1032" s="278">
        <f>VLOOKUP(G1032,CLIENTES!B:D,3,FALSE)</f>
        <v/>
      </c>
    </row>
    <row r="1033" ht="15" customFormat="1" customHeight="1" s="278">
      <c r="B1033" s="279" t="n"/>
      <c r="C1033" s="278" t="inlineStr">
        <is>
          <t>c/ Las Cruzadas 3A, local D</t>
        </is>
      </c>
      <c r="D1033" s="278" t="inlineStr">
        <is>
          <t>Sevilla 41004</t>
        </is>
      </c>
      <c r="E1033" s="278" t="inlineStr">
        <is>
          <t>CIF B91938662</t>
        </is>
      </c>
      <c r="F1033" s="278" t="inlineStr">
        <is>
          <t>aBalados@abalados.es</t>
        </is>
      </c>
      <c r="G1033" s="278" t="inlineStr">
        <is>
          <t>FP LUX REIO PV VALLADOLID, S.L.U.</t>
        </is>
      </c>
      <c r="H1033" s="278">
        <f>VLOOKUP($G1033,DATOS!$B:$E,2,FALSE)</f>
        <v/>
      </c>
      <c r="I1033" s="278">
        <f>VLOOKUP($G1033,DATOS!$B:$E,3,FALSE)</f>
        <v/>
      </c>
      <c r="J1033" s="278">
        <f>VLOOKUP($G1033,DATOS!$B:$E,4,FALSE)</f>
        <v/>
      </c>
      <c r="K1033" s="278" t="inlineStr">
        <is>
          <t>Contabilidad y Fiscalidad de proyecto Bonaire - 4º Trimestre</t>
        </is>
      </c>
      <c r="L1033" s="280">
        <f>'Tarifa 2025'!$D$8/4</f>
        <v/>
      </c>
      <c r="M1033" s="278" t="inlineStr">
        <is>
          <t>SPV Management  Proyecto Bonaire - 4º Trimestre</t>
        </is>
      </c>
      <c r="N1033" s="280">
        <f>'Tarifa 2025'!$F$8/4</f>
        <v/>
      </c>
      <c r="O1033" s="278" t="inlineStr">
        <is>
          <t>O&amp;M Management Proyecto Bonaire - 4º Trimestre</t>
        </is>
      </c>
      <c r="P1033" s="280">
        <f>'Tarifa 2025'!$H$8/4</f>
        <v/>
      </c>
      <c r="Q1033" s="278" t="inlineStr">
        <is>
          <t>Consultoría - 4º Trimestre</t>
        </is>
      </c>
      <c r="R1033" s="280">
        <f>'Tarifa 2025'!$J$8/4</f>
        <v/>
      </c>
      <c r="S1033" s="278" t="inlineStr">
        <is>
          <t>Corrección periodos anteriores</t>
        </is>
      </c>
      <c r="T1033" s="280">
        <f>(R1033-R923)*3</f>
        <v/>
      </c>
      <c r="V1033" s="280" t="n"/>
      <c r="X1033" s="280" t="n"/>
      <c r="Y1033" s="278" t="inlineStr">
        <is>
          <t>Gastos derivados de contrato (3,5%)</t>
        </is>
      </c>
      <c r="Z1033" s="280">
        <f>(L1033+N1033+P1033+R1033+T1033+V1033+X1033)*0.035</f>
        <v/>
      </c>
      <c r="AA1033" s="280" t="n"/>
      <c r="AB1033" s="281" t="inlineStr">
        <is>
          <t>ES11 0081 7069 2700 0122 7724</t>
        </is>
      </c>
      <c r="AC1033" s="278" t="inlineStr">
        <is>
          <t>pendiente</t>
        </is>
      </c>
      <c r="AD1033" s="280">
        <f>L1033+N1033+P1033+R1033+T1033+V1033+X1033+Z1033</f>
        <v/>
      </c>
      <c r="AE1033" s="280">
        <f>IF((LEFT(K1033,6))="Contab",L1033,0)</f>
        <v/>
      </c>
      <c r="AF1033" s="281">
        <f>VLOOKUP(G1033,CLIENTES!B:E,4,FALSE)</f>
        <v/>
      </c>
      <c r="AG1033" s="280">
        <f>AF1033*AE1033</f>
        <v/>
      </c>
      <c r="AH1033" s="280">
        <f>AD1033*1.21</f>
        <v/>
      </c>
      <c r="AI1033" s="282">
        <f>IF(AE1033&lt;&gt;0,AG1033/AD1033,"N/A")</f>
        <v/>
      </c>
      <c r="AJ1033" s="280">
        <f>IF(AC1033="pendiente",AD1033,0)</f>
        <v/>
      </c>
      <c r="AK1033" s="278">
        <f>VLOOKUP(G1033,CLIENTES!B:D,3,FALSE)</f>
        <v/>
      </c>
    </row>
    <row r="1034" ht="15" customFormat="1" customHeight="1" s="278">
      <c r="B1034" s="279" t="n"/>
      <c r="C1034" s="278" t="inlineStr">
        <is>
          <t>c/ Las Cruzadas 3A, local D</t>
        </is>
      </c>
      <c r="D1034" s="278" t="inlineStr">
        <is>
          <t>Sevilla 41004</t>
        </is>
      </c>
      <c r="E1034" s="278" t="inlineStr">
        <is>
          <t>CIF B91938662</t>
        </is>
      </c>
      <c r="F1034" s="278" t="inlineStr">
        <is>
          <t>aBalados@abalados.es</t>
        </is>
      </c>
      <c r="G1034" s="278" t="inlineStr">
        <is>
          <t>FP LUX REIO PV VALLADOLID, S.L.U.</t>
        </is>
      </c>
      <c r="H1034" s="278">
        <f>VLOOKUP($G1034,DATOS!$B:$E,2,FALSE)</f>
        <v/>
      </c>
      <c r="I1034" s="278">
        <f>VLOOKUP($G1034,DATOS!$B:$E,3,FALSE)</f>
        <v/>
      </c>
      <c r="J1034" s="278">
        <f>VLOOKUP($G1034,DATOS!$B:$E,4,FALSE)</f>
        <v/>
      </c>
      <c r="K1034" s="278" t="inlineStr">
        <is>
          <t>Contabilidad y Fiscalidad de proyecto Coreses - 4º Trimestre</t>
        </is>
      </c>
      <c r="L1034" s="280">
        <f>'Tarifa 2025'!$D$9/4</f>
        <v/>
      </c>
      <c r="M1034" s="278" t="inlineStr">
        <is>
          <t>SPV Management  Proyecto Coreses - 4º Trimestre</t>
        </is>
      </c>
      <c r="N1034" s="280">
        <f>'Tarifa 2025'!$F$9/4</f>
        <v/>
      </c>
      <c r="O1034" s="278" t="inlineStr">
        <is>
          <t>O&amp;M Management Proyecto Coreses - 4º Trimestre</t>
        </is>
      </c>
      <c r="P1034" s="280">
        <f>'Tarifa 2025'!$H$9/4</f>
        <v/>
      </c>
      <c r="Q1034" s="278" t="inlineStr">
        <is>
          <t>Consultoría - 4º Trimestre</t>
        </is>
      </c>
      <c r="R1034" s="280">
        <f>'Tarifa 2025'!$J$9/4</f>
        <v/>
      </c>
      <c r="T1034" s="280" t="n"/>
      <c r="V1034" s="280" t="n"/>
      <c r="X1034" s="280" t="n"/>
      <c r="Y1034" s="278" t="inlineStr">
        <is>
          <t>Gastos derivados de contrato (3,5%)</t>
        </is>
      </c>
      <c r="Z1034" s="280">
        <f>(L1034+N1034+P1034+R1034+T1034+V1034+X1034)*0.035</f>
        <v/>
      </c>
      <c r="AA1034" s="280" t="n"/>
      <c r="AB1034" s="281" t="inlineStr">
        <is>
          <t>ES11 0081 7069 2700 0122 7724</t>
        </is>
      </c>
      <c r="AC1034" s="278" t="inlineStr">
        <is>
          <t>pendiente</t>
        </is>
      </c>
      <c r="AD1034" s="280">
        <f>L1034+N1034+P1034+R1034+T1034+V1034+X1034+Z1034</f>
        <v/>
      </c>
      <c r="AE1034" s="280">
        <f>IF((LEFT(K1034,6))="Contab",L1034,0)</f>
        <v/>
      </c>
      <c r="AF1034" s="281">
        <f>VLOOKUP(G1034,CLIENTES!B:E,4,FALSE)</f>
        <v/>
      </c>
      <c r="AG1034" s="280">
        <f>AF1034*AE1034</f>
        <v/>
      </c>
      <c r="AH1034" s="280">
        <f>AD1034*1.21</f>
        <v/>
      </c>
      <c r="AI1034" s="282">
        <f>IF(AE1034&lt;&gt;0,AG1034/AD1034,"N/A")</f>
        <v/>
      </c>
      <c r="AJ1034" s="280">
        <f>IF(AC1034="pendiente",AD1034,0)</f>
        <v/>
      </c>
      <c r="AK1034" s="278">
        <f>VLOOKUP(G1034,CLIENTES!B:D,3,FALSE)</f>
        <v/>
      </c>
    </row>
    <row r="1035" ht="15" customFormat="1" customHeight="1" s="278">
      <c r="B1035" s="279" t="n"/>
      <c r="C1035" s="278" t="inlineStr">
        <is>
          <t>c/ Las Cruzadas 3A, local D</t>
        </is>
      </c>
      <c r="D1035" s="278" t="inlineStr">
        <is>
          <t>Sevilla 41004</t>
        </is>
      </c>
      <c r="E1035" s="278" t="inlineStr">
        <is>
          <t>CIF B91938662</t>
        </is>
      </c>
      <c r="F1035" s="278" t="inlineStr">
        <is>
          <t>aBalados@abalados.es</t>
        </is>
      </c>
      <c r="G1035" s="278" t="inlineStr">
        <is>
          <t>FP LUX REIO PV VALLADOLID, S.L.U.</t>
        </is>
      </c>
      <c r="H1035" s="278">
        <f>VLOOKUP($G1035,DATOS!$B:$E,2,FALSE)</f>
        <v/>
      </c>
      <c r="I1035" s="278">
        <f>VLOOKUP($G1035,DATOS!$B:$E,3,FALSE)</f>
        <v/>
      </c>
      <c r="J1035" s="278">
        <f>VLOOKUP($G1035,DATOS!$B:$E,4,FALSE)</f>
        <v/>
      </c>
      <c r="K1035" s="278" t="inlineStr">
        <is>
          <t>Contabilidad y Fiscalidad de proyecto Algarrobo I - 4º Trimestre</t>
        </is>
      </c>
      <c r="L1035" s="280">
        <f>'Tarifa 2025'!$D$12*1.89/5.49/4</f>
        <v/>
      </c>
      <c r="M1035" s="278" t="inlineStr">
        <is>
          <t>SPV Management  Proyecto Algarrobo I -  4º Trimestre</t>
        </is>
      </c>
      <c r="N1035" s="280">
        <f>'Tarifa 2025'!$F$12*1.89/5.49/4</f>
        <v/>
      </c>
      <c r="O1035" s="278" t="inlineStr">
        <is>
          <t>O&amp;M Management Proyecto Algarrobo I - 4º Trimestre</t>
        </is>
      </c>
      <c r="P1035" s="280">
        <f>'Tarifa 2025'!$H$12*1.89/5.49/4</f>
        <v/>
      </c>
      <c r="Q1035" s="278" t="inlineStr">
        <is>
          <t>Consultoría - 4º Trimestre</t>
        </is>
      </c>
      <c r="R1035" s="280">
        <f>'Tarifa 2025'!$J$12*(1.89/(1.89+1.89+1.71))/4</f>
        <v/>
      </c>
      <c r="S1035" s="278" t="inlineStr">
        <is>
          <t>Corrección periodos anteriores</t>
        </is>
      </c>
      <c r="T1035" s="280">
        <f>(R1035-R925)*3</f>
        <v/>
      </c>
      <c r="V1035" s="280" t="n"/>
      <c r="X1035" s="280" t="n"/>
      <c r="Y1035" s="278" t="inlineStr">
        <is>
          <t>Gastos derivados de contrato (3,5%)</t>
        </is>
      </c>
      <c r="Z1035" s="280">
        <f>(L1035+N1035+P1035+R1035+T1035+V1035+X1035)*0.035</f>
        <v/>
      </c>
      <c r="AA1035" s="280" t="n"/>
      <c r="AB1035" s="281" t="inlineStr">
        <is>
          <t>ES11 0081 7069 2700 0122 7724</t>
        </is>
      </c>
      <c r="AC1035" s="278" t="inlineStr">
        <is>
          <t>pendiente</t>
        </is>
      </c>
      <c r="AD1035" s="280">
        <f>L1035+N1035+P1035+R1035+T1035+V1035+X1035+Z1035</f>
        <v/>
      </c>
      <c r="AE1035" s="280">
        <f>IF((LEFT(K1035,6))="Contab",L1035,0)</f>
        <v/>
      </c>
      <c r="AF1035" s="281">
        <f>VLOOKUP(G1035,CLIENTES!B:E,4,FALSE)</f>
        <v/>
      </c>
      <c r="AG1035" s="280">
        <f>AF1035*AE1035</f>
        <v/>
      </c>
      <c r="AH1035" s="280">
        <f>AD1035*1.21</f>
        <v/>
      </c>
      <c r="AI1035" s="282">
        <f>IF(AE1035&lt;&gt;0,AG1035/AD1035,"N/A")</f>
        <v/>
      </c>
      <c r="AJ1035" s="280">
        <f>IF(AC1035="pendiente",AD1035,0)</f>
        <v/>
      </c>
      <c r="AK1035" s="278">
        <f>VLOOKUP(G1035,CLIENTES!B:D,3,FALSE)</f>
        <v/>
      </c>
    </row>
    <row r="1036" ht="15" customFormat="1" customHeight="1" s="278">
      <c r="B1036" s="279" t="n"/>
      <c r="C1036" s="278" t="inlineStr">
        <is>
          <t>c/ Las Cruzadas 3A, local D</t>
        </is>
      </c>
      <c r="D1036" s="278" t="inlineStr">
        <is>
          <t>Sevilla 41004</t>
        </is>
      </c>
      <c r="E1036" s="278" t="inlineStr">
        <is>
          <t>CIF B91938662</t>
        </is>
      </c>
      <c r="F1036" s="278" t="inlineStr">
        <is>
          <t>aBalados@abalados.es</t>
        </is>
      </c>
      <c r="G1036" s="278" t="inlineStr">
        <is>
          <t>FP LUX REIO PV VALLADOLID, S.L.U.</t>
        </is>
      </c>
      <c r="H1036" s="278">
        <f>VLOOKUP($G1036,DATOS!$B:$E,2,FALSE)</f>
        <v/>
      </c>
      <c r="I1036" s="278">
        <f>VLOOKUP($G1036,DATOS!$B:$E,3,FALSE)</f>
        <v/>
      </c>
      <c r="J1036" s="278">
        <f>VLOOKUP($G1036,DATOS!$B:$E,4,FALSE)</f>
        <v/>
      </c>
      <c r="K1036" s="278" t="inlineStr">
        <is>
          <t>Contabilidad y Fiscalidad de proyecto Algarrobo II - 4º Trimestre</t>
        </is>
      </c>
      <c r="L1036" s="280">
        <f>'Tarifa 2025'!$D$12*1.89/5.49/4</f>
        <v/>
      </c>
      <c r="M1036" s="278" t="inlineStr">
        <is>
          <t>SPV Management  Proyecto Algarrobo II -  4º Trimestre</t>
        </is>
      </c>
      <c r="N1036" s="280">
        <f>'Tarifa 2025'!$F$12*1.89/5.49/4</f>
        <v/>
      </c>
      <c r="O1036" s="278" t="inlineStr">
        <is>
          <t>O&amp;M Management Proyecto Algarrobo II - 4º Trimestre</t>
        </is>
      </c>
      <c r="P1036" s="280">
        <f>'Tarifa 2025'!$H$12*1.89/5.49/4</f>
        <v/>
      </c>
      <c r="Q1036" s="278" t="inlineStr">
        <is>
          <t>Consultoría - 4º Trimestre</t>
        </is>
      </c>
      <c r="R1036" s="280">
        <f>'Tarifa 2025'!$J$12*(1.89/(1.89+1.89+1.71))/4</f>
        <v/>
      </c>
      <c r="S1036" s="278" t="inlineStr">
        <is>
          <t>Corrección periodos anteriores</t>
        </is>
      </c>
      <c r="T1036" s="280">
        <f>(R1036-R926)*3</f>
        <v/>
      </c>
      <c r="V1036" s="280" t="n"/>
      <c r="X1036" s="280" t="n"/>
      <c r="Y1036" s="278" t="inlineStr">
        <is>
          <t>Gastos derivados de contrato (3,5%)</t>
        </is>
      </c>
      <c r="Z1036" s="280">
        <f>(L1036+N1036+P1036+R1036+T1036+V1036+X1036)*0.035</f>
        <v/>
      </c>
      <c r="AA1036" s="280" t="n"/>
      <c r="AB1036" s="281" t="inlineStr">
        <is>
          <t>ES11 0081 7069 2700 0122 7724</t>
        </is>
      </c>
      <c r="AC1036" s="278" t="inlineStr">
        <is>
          <t>pendiente</t>
        </is>
      </c>
      <c r="AD1036" s="280">
        <f>L1036+N1036+P1036+R1036+T1036+V1036+X1036+Z1036</f>
        <v/>
      </c>
      <c r="AE1036" s="280">
        <f>IF((LEFT(K1036,6))="Contab",L1036,0)</f>
        <v/>
      </c>
      <c r="AF1036" s="281">
        <f>VLOOKUP(G1036,CLIENTES!B:E,4,FALSE)</f>
        <v/>
      </c>
      <c r="AG1036" s="280">
        <f>AF1036*AE1036</f>
        <v/>
      </c>
      <c r="AH1036" s="280">
        <f>AD1036*1.21</f>
        <v/>
      </c>
      <c r="AI1036" s="282">
        <f>IF(AE1036&lt;&gt;0,AG1036/AD1036,"N/A")</f>
        <v/>
      </c>
      <c r="AJ1036" s="280">
        <f>IF(AC1036="pendiente",AD1036,0)</f>
        <v/>
      </c>
      <c r="AK1036" s="278">
        <f>VLOOKUP(G1036,CLIENTES!B:D,3,FALSE)</f>
        <v/>
      </c>
    </row>
    <row r="1037" ht="15" customFormat="1" customHeight="1" s="278">
      <c r="B1037" s="279" t="n"/>
      <c r="C1037" s="278" t="inlineStr">
        <is>
          <t>c/ Las Cruzadas 3A, local D</t>
        </is>
      </c>
      <c r="D1037" s="278" t="inlineStr">
        <is>
          <t>Sevilla 41004</t>
        </is>
      </c>
      <c r="E1037" s="278" t="inlineStr">
        <is>
          <t>CIF B91938662</t>
        </is>
      </c>
      <c r="F1037" s="278" t="inlineStr">
        <is>
          <t>aBalados@abalados.es</t>
        </is>
      </c>
      <c r="G1037" s="278" t="inlineStr">
        <is>
          <t>FP LUX REIO PV VALLADOLID, S.L.U.</t>
        </is>
      </c>
      <c r="H1037" s="278">
        <f>VLOOKUP($G1037,DATOS!$B:$E,2,FALSE)</f>
        <v/>
      </c>
      <c r="I1037" s="278">
        <f>VLOOKUP($G1037,DATOS!$B:$E,3,FALSE)</f>
        <v/>
      </c>
      <c r="J1037" s="278">
        <f>VLOOKUP($G1037,DATOS!$B:$E,4,FALSE)</f>
        <v/>
      </c>
      <c r="K1037" s="278" t="inlineStr">
        <is>
          <t>Contabilidad y Fiscalidad de proyecto Algarrobo III - 4º Trimestre</t>
        </is>
      </c>
      <c r="L1037" s="280">
        <f>'Tarifa 2025'!$D$12*1.71/5.49/4</f>
        <v/>
      </c>
      <c r="M1037" s="278" t="inlineStr">
        <is>
          <t>SPV Management  Proyecto Algarrobo III -  4º Trimestre</t>
        </is>
      </c>
      <c r="N1037" s="280">
        <f>'Tarifa 2025'!$F$12*1.71/5.49/4</f>
        <v/>
      </c>
      <c r="O1037" s="278" t="inlineStr">
        <is>
          <t>O&amp;M Management Proyecto Algarrobo III - 4º Trimestre</t>
        </is>
      </c>
      <c r="P1037" s="280">
        <f>'Tarifa 2025'!$H$12*1.71/5.49/4</f>
        <v/>
      </c>
      <c r="Q1037" s="278" t="inlineStr">
        <is>
          <t>Consultoría - 4º Trimestre</t>
        </is>
      </c>
      <c r="R1037" s="280">
        <f>'Tarifa 2025'!$J$12*(1.71/(1.89+1.89+1.71))/4</f>
        <v/>
      </c>
      <c r="S1037" s="278" t="inlineStr">
        <is>
          <t>Corrección periodos anteriores</t>
        </is>
      </c>
      <c r="T1037" s="280">
        <f>(R1037-R927)*3</f>
        <v/>
      </c>
      <c r="V1037" s="280" t="n"/>
      <c r="X1037" s="280" t="n"/>
      <c r="Y1037" s="278" t="inlineStr">
        <is>
          <t>Gastos derivados de contrato (3,5%)</t>
        </is>
      </c>
      <c r="Z1037" s="280">
        <f>(L1037+N1037+P1037+R1037+T1037+V1037+X1037)*0.035</f>
        <v/>
      </c>
      <c r="AA1037" s="280" t="n"/>
      <c r="AB1037" s="281" t="inlineStr">
        <is>
          <t>ES11 0081 7069 2700 0122 7724</t>
        </is>
      </c>
      <c r="AC1037" s="278" t="inlineStr">
        <is>
          <t>pendiente</t>
        </is>
      </c>
      <c r="AD1037" s="280">
        <f>L1037+N1037+P1037+R1037+T1037+V1037+X1037+Z1037</f>
        <v/>
      </c>
      <c r="AE1037" s="280">
        <f>IF((LEFT(K1037,6))="Contab",L1037,0)</f>
        <v/>
      </c>
      <c r="AF1037" s="281">
        <f>VLOOKUP(G1037,CLIENTES!B:E,4,FALSE)</f>
        <v/>
      </c>
      <c r="AG1037" s="280">
        <f>AF1037*AE1037</f>
        <v/>
      </c>
      <c r="AH1037" s="280">
        <f>AD1037*1.21</f>
        <v/>
      </c>
      <c r="AI1037" s="282">
        <f>IF(AE1037&lt;&gt;0,AG1037/AD1037,"N/A")</f>
        <v/>
      </c>
      <c r="AJ1037" s="280">
        <f>IF(AC1037="pendiente",AD1037,0)</f>
        <v/>
      </c>
      <c r="AK1037" s="278">
        <f>VLOOKUP(G1037,CLIENTES!B:D,3,FALSE)</f>
        <v/>
      </c>
    </row>
    <row r="1038" ht="15" customFormat="1" customHeight="1" s="278">
      <c r="B1038" s="279" t="n"/>
      <c r="C1038" s="278" t="inlineStr">
        <is>
          <t>c/ Las Cruzadas 3A, local D</t>
        </is>
      </c>
      <c r="D1038" s="278" t="inlineStr">
        <is>
          <t>Sevilla 41004</t>
        </is>
      </c>
      <c r="E1038" s="278" t="inlineStr">
        <is>
          <t>CIF B91938662</t>
        </is>
      </c>
      <c r="F1038" s="278" t="inlineStr">
        <is>
          <t>aBalados@abalados.es</t>
        </is>
      </c>
      <c r="G1038" s="278" t="inlineStr">
        <is>
          <t>FP LUX REIO PV VALLADOLID, S.L.U.</t>
        </is>
      </c>
      <c r="H1038" s="278">
        <f>VLOOKUP($G1038,DATOS!$B:$E,2,FALSE)</f>
        <v/>
      </c>
      <c r="I1038" s="278">
        <f>VLOOKUP($G1038,DATOS!$B:$E,3,FALSE)</f>
        <v/>
      </c>
      <c r="J1038" s="278">
        <f>VLOOKUP($G1038,DATOS!$B:$E,4,FALSE)</f>
        <v/>
      </c>
      <c r="K1038" s="278" t="inlineStr">
        <is>
          <t>Contabilidad y Fiscalidad de proyecto Sollana - 4º Trimestre</t>
        </is>
      </c>
      <c r="L1038" s="280">
        <f>'Tarifa 2025'!$D$13/4</f>
        <v/>
      </c>
      <c r="M1038" s="278" t="inlineStr">
        <is>
          <t>SPV Management  Proyecto Sollana - 4º Trimestre</t>
        </is>
      </c>
      <c r="N1038" s="280">
        <f>'Tarifa 2025'!$F$13/4</f>
        <v/>
      </c>
      <c r="O1038" s="278" t="inlineStr">
        <is>
          <t>O&amp;M Management Proyecto Sollana - 4º Trimestre</t>
        </is>
      </c>
      <c r="P1038" s="280">
        <f>'Tarifa 2025'!$H$13/4</f>
        <v/>
      </c>
      <c r="Q1038" s="278" t="inlineStr">
        <is>
          <t>Consultoría - 4º Trimestre</t>
        </is>
      </c>
      <c r="R1038" s="280">
        <f>'Tarifa 2025'!$J$13/4</f>
        <v/>
      </c>
      <c r="T1038" s="280" t="n"/>
      <c r="V1038" s="280" t="n"/>
      <c r="X1038" s="280" t="n"/>
      <c r="Y1038" s="278" t="inlineStr">
        <is>
          <t>Gastos derivados de contrato (3,5%)</t>
        </is>
      </c>
      <c r="Z1038" s="280">
        <f>(L1038+N1038+P1038+R1038+T1038+V1038+X1038)*0.035</f>
        <v/>
      </c>
      <c r="AA1038" s="280" t="n"/>
      <c r="AB1038" s="281" t="inlineStr">
        <is>
          <t>ES11 0081 7069 2700 0122 7724</t>
        </is>
      </c>
      <c r="AC1038" s="278" t="inlineStr">
        <is>
          <t>pendiente</t>
        </is>
      </c>
      <c r="AD1038" s="280">
        <f>L1038+N1038+P1038+R1038+T1038+V1038+X1038+Z1038</f>
        <v/>
      </c>
      <c r="AE1038" s="280">
        <f>IF((LEFT(K1038,6))="Contab",L1038,0)</f>
        <v/>
      </c>
      <c r="AF1038" s="281">
        <f>VLOOKUP(G1038,CLIENTES!B:E,4,FALSE)</f>
        <v/>
      </c>
      <c r="AG1038" s="280">
        <f>AF1038*AE1038</f>
        <v/>
      </c>
      <c r="AH1038" s="280">
        <f>AD1038*1.21</f>
        <v/>
      </c>
      <c r="AI1038" s="282">
        <f>IF(AE1038&lt;&gt;0,AG1038/AD1038,"N/A")</f>
        <v/>
      </c>
      <c r="AJ1038" s="280">
        <f>IF(AC1038="pendiente",AD1038,0)</f>
        <v/>
      </c>
      <c r="AK1038" s="278">
        <f>VLOOKUP(G1038,CLIENTES!B:D,3,FALSE)</f>
        <v/>
      </c>
    </row>
    <row r="1039" ht="15" customFormat="1" customHeight="1" s="278">
      <c r="B1039" s="279" t="n"/>
      <c r="C1039" s="278" t="inlineStr">
        <is>
          <t>c/ Las Cruzadas 3A, local D</t>
        </is>
      </c>
      <c r="D1039" s="278" t="inlineStr">
        <is>
          <t>Sevilla 41004</t>
        </is>
      </c>
      <c r="E1039" s="278" t="inlineStr">
        <is>
          <t>CIF B91938662</t>
        </is>
      </c>
      <c r="F1039" s="278" t="inlineStr">
        <is>
          <t>aBalados@abalados.es</t>
        </is>
      </c>
      <c r="G1039" s="278" t="inlineStr">
        <is>
          <t>FP LUX REIO PV VALLADOLID, S.L.U.</t>
        </is>
      </c>
      <c r="H1039" s="278">
        <f>VLOOKUP($G1039,DATOS!$B:$E,2,FALSE)</f>
        <v/>
      </c>
      <c r="I1039" s="278">
        <f>VLOOKUP($G1039,DATOS!$B:$E,3,FALSE)</f>
        <v/>
      </c>
      <c r="J1039" s="278">
        <f>VLOOKUP($G1039,DATOS!$B:$E,4,FALSE)</f>
        <v/>
      </c>
      <c r="K1039" s="278" t="inlineStr">
        <is>
          <t>Contabilidad y Fiscalidad de proyecto Artà - 4º Trimestre</t>
        </is>
      </c>
      <c r="L1039" s="280">
        <f>'Tarifa 2025'!$D$14/4</f>
        <v/>
      </c>
      <c r="M1039" s="278" t="inlineStr">
        <is>
          <t>SPV Management  Proyecto Artà - 4º Trimestre</t>
        </is>
      </c>
      <c r="N1039" s="280">
        <f>'Tarifa 2025'!$F$14/4</f>
        <v/>
      </c>
      <c r="O1039" s="278" t="inlineStr">
        <is>
          <t>O&amp;M Management Proyecto Artà - 4º Trimestre</t>
        </is>
      </c>
      <c r="P1039" s="280">
        <f>'Tarifa 2025'!$H$14/4</f>
        <v/>
      </c>
      <c r="Q1039" s="278" t="inlineStr">
        <is>
          <t>Consultoría - 4º Trimestre</t>
        </is>
      </c>
      <c r="R1039" s="280">
        <f>'Tarifa 2025'!$J$14/4</f>
        <v/>
      </c>
      <c r="T1039" s="280" t="n"/>
      <c r="V1039" s="280" t="n"/>
      <c r="X1039" s="280" t="n"/>
      <c r="Y1039" s="278" t="inlineStr">
        <is>
          <t>Gastos derivados de contrato (3,5%)</t>
        </is>
      </c>
      <c r="Z1039" s="280">
        <f>(L1039+N1039+P1039+R1039+T1039+V1039+X1039)*0.035</f>
        <v/>
      </c>
      <c r="AA1039" s="280" t="n"/>
      <c r="AB1039" s="281" t="inlineStr">
        <is>
          <t>ES11 0081 7069 2700 0122 7724</t>
        </is>
      </c>
      <c r="AC1039" s="278" t="inlineStr">
        <is>
          <t>pendiente</t>
        </is>
      </c>
      <c r="AD1039" s="280">
        <f>L1039+N1039+P1039+R1039+T1039+V1039+X1039+Z1039</f>
        <v/>
      </c>
      <c r="AE1039" s="280">
        <f>IF((LEFT(K1039,6))="Contab",L1039,0)</f>
        <v/>
      </c>
      <c r="AF1039" s="281">
        <f>VLOOKUP(G1039,CLIENTES!B:E,4,FALSE)</f>
        <v/>
      </c>
      <c r="AG1039" s="280">
        <f>AF1039*AE1039</f>
        <v/>
      </c>
      <c r="AH1039" s="280">
        <f>AD1039*1.21</f>
        <v/>
      </c>
      <c r="AI1039" s="282">
        <f>IF(AE1039&lt;&gt;0,AG1039/AD1039,"N/A")</f>
        <v/>
      </c>
      <c r="AJ1039" s="280">
        <f>IF(AC1039="pendiente",AD1039,0)</f>
        <v/>
      </c>
      <c r="AK1039" s="278">
        <f>VLOOKUP(G1039,CLIENTES!B:D,3,FALSE)</f>
        <v/>
      </c>
    </row>
    <row r="1040" ht="15" customFormat="1" customHeight="1" s="278">
      <c r="B1040" s="279" t="n"/>
      <c r="C1040" s="278" t="inlineStr">
        <is>
          <t>c/ Las Cruzadas 3A, local D</t>
        </is>
      </c>
      <c r="D1040" s="278" t="inlineStr">
        <is>
          <t>Sevilla 41004</t>
        </is>
      </c>
      <c r="E1040" s="278" t="inlineStr">
        <is>
          <t>CIF B91938662</t>
        </is>
      </c>
      <c r="F1040" s="278" t="inlineStr">
        <is>
          <t>aBalados@abalados.es</t>
        </is>
      </c>
      <c r="G1040" s="278" t="inlineStr">
        <is>
          <t>FP LUX REIO PV VALLADOLID, S.L.U.</t>
        </is>
      </c>
      <c r="H1040" s="278">
        <f>VLOOKUP($G1040,DATOS!$B:$E,2,FALSE)</f>
        <v/>
      </c>
      <c r="I1040" s="278">
        <f>VLOOKUP($G1040,DATOS!$B:$E,3,FALSE)</f>
        <v/>
      </c>
      <c r="J1040" s="278">
        <f>VLOOKUP($G1040,DATOS!$B:$E,4,FALSE)</f>
        <v/>
      </c>
      <c r="K1040" s="278" t="inlineStr">
        <is>
          <t>Contabilidad y Fiscalidad de proyecto Casa Roja - 4º Trimestre</t>
        </is>
      </c>
      <c r="L1040" s="280">
        <f>'Tarifa 2025'!$D$15/4</f>
        <v/>
      </c>
      <c r="M1040" s="278" t="inlineStr">
        <is>
          <t>SPV Management  Proyecto Contreras - 4º Trimestre</t>
        </is>
      </c>
      <c r="N1040" s="280">
        <f>'Tarifa 2025'!$F$15/4</f>
        <v/>
      </c>
      <c r="O1040" s="278" t="inlineStr">
        <is>
          <t>O&amp;M Management Proyecto Contreras - 4º Trimestre</t>
        </is>
      </c>
      <c r="P1040" s="280">
        <f>'Tarifa 2025'!$H$15/4</f>
        <v/>
      </c>
      <c r="Q1040" s="278" t="inlineStr">
        <is>
          <t>Consultoría - 4º Trimestre</t>
        </is>
      </c>
      <c r="R1040" s="280">
        <f>'Tarifa 2025'!$J$15/4</f>
        <v/>
      </c>
      <c r="T1040" s="280" t="n"/>
      <c r="V1040" s="280" t="n"/>
      <c r="X1040" s="280" t="n"/>
      <c r="Y1040" s="278" t="inlineStr">
        <is>
          <t>Gastos derivados de contrato (3,5%)</t>
        </is>
      </c>
      <c r="Z1040" s="280">
        <f>(L1040+N1040+P1040+R1040+T1040+V1040+X1040)*0.035</f>
        <v/>
      </c>
      <c r="AA1040" s="280" t="n"/>
      <c r="AB1040" s="281" t="inlineStr">
        <is>
          <t>ES11 0081 7069 2700 0122 7724</t>
        </is>
      </c>
      <c r="AC1040" s="278" t="inlineStr">
        <is>
          <t>pendiente</t>
        </is>
      </c>
      <c r="AD1040" s="280">
        <f>L1040+N1040+P1040+R1040+T1040+V1040+X1040+Z1040</f>
        <v/>
      </c>
      <c r="AE1040" s="280">
        <f>IF((LEFT(K1040,6))="Contab",L1040,0)</f>
        <v/>
      </c>
      <c r="AF1040" s="281">
        <f>VLOOKUP(G1040,CLIENTES!B:E,4,FALSE)</f>
        <v/>
      </c>
      <c r="AG1040" s="280">
        <f>AF1040*AE1040</f>
        <v/>
      </c>
      <c r="AH1040" s="280">
        <f>AD1040*1.21</f>
        <v/>
      </c>
      <c r="AI1040" s="282">
        <f>IF(AE1040&lt;&gt;0,AG1040/AD1040,"N/A")</f>
        <v/>
      </c>
      <c r="AJ1040" s="280">
        <f>IF(AC1040="pendiente",AD1040,0)</f>
        <v/>
      </c>
      <c r="AK1040" s="278">
        <f>VLOOKUP(G1040,CLIENTES!B:D,3,FALSE)</f>
        <v/>
      </c>
    </row>
    <row r="1041" ht="15" customFormat="1" customHeight="1" s="278">
      <c r="B1041" s="279" t="n"/>
      <c r="C1041" s="278" t="inlineStr">
        <is>
          <t>c/ Las Cruzadas 3A, local D</t>
        </is>
      </c>
      <c r="D1041" s="278" t="inlineStr">
        <is>
          <t>Sevilla 41004</t>
        </is>
      </c>
      <c r="E1041" s="278" t="inlineStr">
        <is>
          <t>CIF B91938662</t>
        </is>
      </c>
      <c r="F1041" s="278" t="inlineStr">
        <is>
          <t>aBalados@abalados.es</t>
        </is>
      </c>
      <c r="G1041" s="278" t="inlineStr">
        <is>
          <t>FP LUX REIO PV VALLADOLID, S.L.U.</t>
        </is>
      </c>
      <c r="H1041" s="278">
        <f>VLOOKUP($G1041,DATOS!$B:$E,2,FALSE)</f>
        <v/>
      </c>
      <c r="I1041" s="278">
        <f>VLOOKUP($G1041,DATOS!$B:$E,3,FALSE)</f>
        <v/>
      </c>
      <c r="J1041" s="278">
        <f>VLOOKUP($G1041,DATOS!$B:$E,4,FALSE)</f>
        <v/>
      </c>
      <c r="K1041" s="278" t="inlineStr">
        <is>
          <t>Contabilidad y Fiscalidad de proyecto Casa Roja - 4º Trimestre</t>
        </is>
      </c>
      <c r="L1041" s="280">
        <f>'Tarifa 2025'!$D$16/4</f>
        <v/>
      </c>
      <c r="M1041" s="278" t="inlineStr">
        <is>
          <t>SPV Management  Proyecto Lo Illán - 4º Trimestre</t>
        </is>
      </c>
      <c r="N1041" s="280">
        <f>'Tarifa 2025'!$F$16/4</f>
        <v/>
      </c>
      <c r="O1041" s="278" t="inlineStr">
        <is>
          <t>O&amp;M Management Proyecto Lo Illán - 4º Trimestre</t>
        </is>
      </c>
      <c r="P1041" s="280">
        <f>'Tarifa 2025'!$H$16/4</f>
        <v/>
      </c>
      <c r="Q1041" s="278" t="inlineStr">
        <is>
          <t>Consultoría - 4º Trimestre</t>
        </is>
      </c>
      <c r="R1041" s="280">
        <f>'Tarifa 2025'!$J$16/4</f>
        <v/>
      </c>
      <c r="T1041" s="280" t="n"/>
      <c r="V1041" s="280" t="n"/>
      <c r="X1041" s="280" t="n"/>
      <c r="Y1041" s="278" t="inlineStr">
        <is>
          <t>Gastos derivados de contrato (3,5%)</t>
        </is>
      </c>
      <c r="Z1041" s="280">
        <f>(L1041+N1041+P1041+R1041+T1041+V1041+X1041)*0.035</f>
        <v/>
      </c>
      <c r="AA1041" s="280" t="n"/>
      <c r="AB1041" s="281" t="inlineStr">
        <is>
          <t>ES11 0081 7069 2700 0122 7724</t>
        </is>
      </c>
      <c r="AC1041" s="278" t="inlineStr">
        <is>
          <t>pendiente</t>
        </is>
      </c>
      <c r="AD1041" s="280">
        <f>L1041+N1041+P1041+R1041+T1041+V1041+X1041+Z1041</f>
        <v/>
      </c>
      <c r="AE1041" s="280">
        <f>IF((LEFT(K1041,6))="Contab",L1041,0)</f>
        <v/>
      </c>
      <c r="AF1041" s="281">
        <f>VLOOKUP(G1041,CLIENTES!B:E,4,FALSE)</f>
        <v/>
      </c>
      <c r="AG1041" s="280">
        <f>AF1041*AE1041</f>
        <v/>
      </c>
      <c r="AH1041" s="280">
        <f>AD1041*1.21</f>
        <v/>
      </c>
      <c r="AI1041" s="282">
        <f>IF(AE1041&lt;&gt;0,AG1041/AD1041,"N/A")</f>
        <v/>
      </c>
      <c r="AJ1041" s="280">
        <f>IF(AC1041="pendiente",AD1041,0)</f>
        <v/>
      </c>
      <c r="AK1041" s="278">
        <f>VLOOKUP(G1041,CLIENTES!B:D,3,FALSE)</f>
        <v/>
      </c>
    </row>
    <row r="1042" ht="15" customFormat="1" customHeight="1" s="278">
      <c r="B1042" s="279" t="n"/>
      <c r="C1042" s="278" t="inlineStr">
        <is>
          <t>c/ Las Cruzadas 3A, local D</t>
        </is>
      </c>
      <c r="D1042" s="278" t="inlineStr">
        <is>
          <t>Sevilla 41004</t>
        </is>
      </c>
      <c r="E1042" s="278" t="inlineStr">
        <is>
          <t>CIF B91938662</t>
        </is>
      </c>
      <c r="F1042" s="278" t="inlineStr">
        <is>
          <t>aBalados@abalados.es</t>
        </is>
      </c>
      <c r="G1042" s="278" t="inlineStr">
        <is>
          <t>FP LUX REIO PV VALLADOLID, S.L.U.</t>
        </is>
      </c>
      <c r="H1042" s="278">
        <f>VLOOKUP($G1042,DATOS!$B:$E,2,FALSE)</f>
        <v/>
      </c>
      <c r="I1042" s="278">
        <f>VLOOKUP($G1042,DATOS!$B:$E,3,FALSE)</f>
        <v/>
      </c>
      <c r="J1042" s="278">
        <f>VLOOKUP($G1042,DATOS!$B:$E,4,FALSE)</f>
        <v/>
      </c>
      <c r="K1042" s="278" t="inlineStr">
        <is>
          <t>Contabilidad y Fiscalidad de proyecto Casa Roja - 4º Trimestre</t>
        </is>
      </c>
      <c r="L1042" s="280">
        <f>'Tarifa 2025'!$D$17/4</f>
        <v/>
      </c>
      <c r="M1042" s="278" t="inlineStr">
        <is>
          <t>SPV Management  Proyecto Turbinto - 4º Trimestre</t>
        </is>
      </c>
      <c r="N1042" s="280">
        <f>'Tarifa 2025'!$F$17/4</f>
        <v/>
      </c>
      <c r="O1042" s="278" t="inlineStr">
        <is>
          <t>O&amp;M Management Proyecto Turbinto - 4º Trimestre</t>
        </is>
      </c>
      <c r="P1042" s="280">
        <f>'Tarifa 2025'!$H$17/4</f>
        <v/>
      </c>
      <c r="Q1042" s="278" t="inlineStr">
        <is>
          <t>Consultoría - 4º Trimestre</t>
        </is>
      </c>
      <c r="R1042" s="280">
        <f>'Tarifa 2025'!$J$17/4</f>
        <v/>
      </c>
      <c r="T1042" s="280" t="n"/>
      <c r="V1042" s="280" t="n"/>
      <c r="X1042" s="280" t="n"/>
      <c r="Y1042" s="278" t="inlineStr">
        <is>
          <t>Gastos derivados de contrato (3,5%)</t>
        </is>
      </c>
      <c r="Z1042" s="280">
        <f>(L1042+N1042+P1042+R1042+T1042+V1042+X1042)*0.035</f>
        <v/>
      </c>
      <c r="AA1042" s="280" t="n"/>
      <c r="AB1042" s="281" t="inlineStr">
        <is>
          <t>ES11 0081 7069 2700 0122 7724</t>
        </is>
      </c>
      <c r="AC1042" s="278" t="inlineStr">
        <is>
          <t>pendiente</t>
        </is>
      </c>
      <c r="AD1042" s="280">
        <f>L1042+N1042+P1042+R1042+T1042+V1042+X1042+Z1042</f>
        <v/>
      </c>
      <c r="AE1042" s="280">
        <f>IF((LEFT(K1042,6))="Contab",L1042,0)</f>
        <v/>
      </c>
      <c r="AF1042" s="281">
        <f>VLOOKUP(G1042,CLIENTES!B:E,4,FALSE)</f>
        <v/>
      </c>
      <c r="AG1042" s="280">
        <f>AF1042*AE1042</f>
        <v/>
      </c>
      <c r="AH1042" s="280">
        <f>AD1042*1.21</f>
        <v/>
      </c>
      <c r="AI1042" s="282">
        <f>IF(AE1042&lt;&gt;0,AG1042/AD1042,"N/A")</f>
        <v/>
      </c>
      <c r="AJ1042" s="280">
        <f>IF(AC1042="pendiente",AD1042,0)</f>
        <v/>
      </c>
      <c r="AK1042" s="278">
        <f>VLOOKUP(G1042,CLIENTES!B:D,3,FALSE)</f>
        <v/>
      </c>
    </row>
    <row r="1043" ht="15" customFormat="1" customHeight="1" s="278">
      <c r="B1043" s="279" t="n"/>
      <c r="C1043" s="278" t="inlineStr">
        <is>
          <t>c/ Las Cruzadas 3A, local D</t>
        </is>
      </c>
      <c r="D1043" s="278" t="inlineStr">
        <is>
          <t>Sevilla 41004</t>
        </is>
      </c>
      <c r="E1043" s="278" t="inlineStr">
        <is>
          <t>CIF B91938662</t>
        </is>
      </c>
      <c r="F1043" s="278" t="inlineStr">
        <is>
          <t>aBalados@abalados.es</t>
        </is>
      </c>
      <c r="G1043" s="278" t="inlineStr">
        <is>
          <t>FP LUX REIO PV VALLADOLID, S.L.U.</t>
        </is>
      </c>
      <c r="H1043" s="278">
        <f>VLOOKUP($G1043,DATOS!$B:$E,2,FALSE)</f>
        <v/>
      </c>
      <c r="I1043" s="278">
        <f>VLOOKUP($G1043,DATOS!$B:$E,3,FALSE)</f>
        <v/>
      </c>
      <c r="J1043" s="278">
        <f>VLOOKUP($G1043,DATOS!$B:$E,4,FALSE)</f>
        <v/>
      </c>
      <c r="K1043" s="278" t="inlineStr">
        <is>
          <t>Contabilidad y Fiscalidad de proyecto - 4º Trimestre</t>
        </is>
      </c>
      <c r="L1043" s="280">
        <f>'Tarifa 2025'!$D$18/4/6</f>
        <v/>
      </c>
      <c r="M1043" s="278" t="inlineStr">
        <is>
          <t>SPV Management de Proyecto - 4º Trimestre</t>
        </is>
      </c>
      <c r="N1043" s="280">
        <f>'Tarifa 2025'!$F$18/6/4</f>
        <v/>
      </c>
      <c r="O1043" s="278" t="inlineStr">
        <is>
          <t>O&amp;M Management de Proyecto - 4º Trimestre</t>
        </is>
      </c>
      <c r="P1043" s="280">
        <f>'Tarifa 2025'!$H$18/6/4</f>
        <v/>
      </c>
      <c r="R1043" s="280" t="n"/>
      <c r="T1043" s="280" t="n"/>
      <c r="V1043" s="280" t="n"/>
      <c r="X1043" s="280" t="n"/>
      <c r="Y1043" s="278" t="inlineStr">
        <is>
          <t>Gastos derivados de contrato (3,5%)</t>
        </is>
      </c>
      <c r="Z1043" s="280">
        <f>(L1043+N1043+P1043+R1043+T1043+V1043+X1043)*0.035</f>
        <v/>
      </c>
      <c r="AA1043" s="280" t="n"/>
      <c r="AB1043" s="281" t="inlineStr">
        <is>
          <t>ES11 0081 7069 2700 0122 7724</t>
        </is>
      </c>
      <c r="AC1043" s="278" t="inlineStr">
        <is>
          <t>pendiente</t>
        </is>
      </c>
      <c r="AD1043" s="280">
        <f>L1043+N1043+P1043+R1043+T1043+V1043+X1043+Z1043</f>
        <v/>
      </c>
      <c r="AE1043" s="280">
        <f>IF((LEFT(K1043,6))="Contab",L1043,0)</f>
        <v/>
      </c>
      <c r="AF1043" s="281">
        <f>VLOOKUP(G1043,CLIENTES!B:E,4,FALSE)</f>
        <v/>
      </c>
      <c r="AG1043" s="280">
        <f>AF1043*AE1043</f>
        <v/>
      </c>
      <c r="AH1043" s="280">
        <f>AD1043*1.21</f>
        <v/>
      </c>
      <c r="AI1043" s="282">
        <f>IF(AE1043&lt;&gt;0,AG1043/AD1043,"N/A")</f>
        <v/>
      </c>
      <c r="AJ1043" s="280">
        <f>IF(AC1043="pendiente",AD1043,0)</f>
        <v/>
      </c>
      <c r="AK1043" s="278">
        <f>VLOOKUP(G1043,CLIENTES!B:D,3,FALSE)</f>
        <v/>
      </c>
    </row>
    <row r="1044" ht="15" customFormat="1" customHeight="1" s="278">
      <c r="B1044" s="279" t="n"/>
      <c r="C1044" s="278" t="inlineStr">
        <is>
          <t>c/ Las Cruzadas 3A, local D</t>
        </is>
      </c>
      <c r="D1044" s="278" t="inlineStr">
        <is>
          <t>Sevilla 41004</t>
        </is>
      </c>
      <c r="E1044" s="278" t="inlineStr">
        <is>
          <t>CIF B91938662</t>
        </is>
      </c>
      <c r="F1044" s="278" t="inlineStr">
        <is>
          <t>aBalados@abalados.es</t>
        </is>
      </c>
      <c r="G1044" s="278" t="inlineStr">
        <is>
          <t>FP LUX REIO PV VALLADOLID, S.L.U.</t>
        </is>
      </c>
      <c r="H1044" s="278">
        <f>VLOOKUP($G1044,DATOS!$B:$E,2,FALSE)</f>
        <v/>
      </c>
      <c r="I1044" s="278">
        <f>VLOOKUP($G1044,DATOS!$B:$E,3,FALSE)</f>
        <v/>
      </c>
      <c r="J1044" s="278">
        <f>VLOOKUP($G1044,DATOS!$B:$E,4,FALSE)</f>
        <v/>
      </c>
      <c r="K1044" s="278" t="inlineStr">
        <is>
          <t>Contabilidad y Fiscalidad de proyecto - 4º Trimestre</t>
        </is>
      </c>
      <c r="L1044" s="280">
        <f>'Tarifa 2025'!$D$18/4/6</f>
        <v/>
      </c>
      <c r="M1044" s="278" t="inlineStr">
        <is>
          <t>SPV Management de Proyecto - 4º Trimestre</t>
        </is>
      </c>
      <c r="N1044" s="280">
        <f>'Tarifa 2025'!$F$18/6/4</f>
        <v/>
      </c>
      <c r="O1044" s="278" t="inlineStr">
        <is>
          <t>O&amp;M Management de Proyecto - 4º Trimestre</t>
        </is>
      </c>
      <c r="P1044" s="280">
        <f>'Tarifa 2025'!$H$18/6/4</f>
        <v/>
      </c>
      <c r="R1044" s="280" t="n"/>
      <c r="T1044" s="280" t="n"/>
      <c r="V1044" s="280" t="n"/>
      <c r="X1044" s="280" t="n"/>
      <c r="Y1044" s="278" t="inlineStr">
        <is>
          <t>Gastos derivados de contrato (3,5%)</t>
        </is>
      </c>
      <c r="Z1044" s="280">
        <f>(L1044+N1044+P1044+R1044+T1044+V1044+X1044)*0.035</f>
        <v/>
      </c>
      <c r="AA1044" s="280" t="n"/>
      <c r="AB1044" s="281" t="inlineStr">
        <is>
          <t>ES11 0081 7069 2700 0122 7724</t>
        </is>
      </c>
      <c r="AC1044" s="278" t="inlineStr">
        <is>
          <t>pendiente</t>
        </is>
      </c>
      <c r="AD1044" s="280">
        <f>L1044+N1044+P1044+R1044+T1044+V1044+X1044+Z1044</f>
        <v/>
      </c>
      <c r="AE1044" s="280">
        <f>IF((LEFT(K1044,6))="Contab",L1044,0)</f>
        <v/>
      </c>
      <c r="AF1044" s="281">
        <f>VLOOKUP(G1044,CLIENTES!B:E,4,FALSE)</f>
        <v/>
      </c>
      <c r="AG1044" s="280">
        <f>AF1044*AE1044</f>
        <v/>
      </c>
      <c r="AH1044" s="280">
        <f>AD1044*1.21</f>
        <v/>
      </c>
      <c r="AI1044" s="282">
        <f>IF(AE1044&lt;&gt;0,AG1044/AD1044,"N/A")</f>
        <v/>
      </c>
      <c r="AJ1044" s="280">
        <f>IF(AC1044="pendiente",AD1044,0)</f>
        <v/>
      </c>
      <c r="AK1044" s="278">
        <f>VLOOKUP(G1044,CLIENTES!B:D,3,FALSE)</f>
        <v/>
      </c>
    </row>
    <row r="1045" ht="15" customFormat="1" customHeight="1" s="278">
      <c r="B1045" s="279" t="n"/>
      <c r="C1045" s="278" t="inlineStr">
        <is>
          <t>c/ Las Cruzadas 3A, local D</t>
        </is>
      </c>
      <c r="D1045" s="278" t="inlineStr">
        <is>
          <t>Sevilla 41004</t>
        </is>
      </c>
      <c r="E1045" s="278" t="inlineStr">
        <is>
          <t>CIF B91938662</t>
        </is>
      </c>
      <c r="F1045" s="278" t="inlineStr">
        <is>
          <t>aBalados@abalados.es</t>
        </is>
      </c>
      <c r="G1045" s="278" t="inlineStr">
        <is>
          <t>FP LUX REIO PV VALLADOLID, S.L.U.</t>
        </is>
      </c>
      <c r="H1045" s="278">
        <f>VLOOKUP($G1045,DATOS!$B:$E,2,FALSE)</f>
        <v/>
      </c>
      <c r="I1045" s="278">
        <f>VLOOKUP($G1045,DATOS!$B:$E,3,FALSE)</f>
        <v/>
      </c>
      <c r="J1045" s="278">
        <f>VLOOKUP($G1045,DATOS!$B:$E,4,FALSE)</f>
        <v/>
      </c>
      <c r="K1045" s="278" t="inlineStr">
        <is>
          <t>Contabilidad y Fiscalidad de proyecto - 4º Trimestre</t>
        </is>
      </c>
      <c r="L1045" s="280">
        <f>'Tarifa 2025'!$D$18/4/6</f>
        <v/>
      </c>
      <c r="M1045" s="278" t="inlineStr">
        <is>
          <t>SPV Management de Proyecto - 4º Trimestre</t>
        </is>
      </c>
      <c r="N1045" s="280">
        <f>'Tarifa 2025'!$F$18/6/4</f>
        <v/>
      </c>
      <c r="O1045" s="278" t="inlineStr">
        <is>
          <t>O&amp;M Management de Proyecto - 4º Trimestre</t>
        </is>
      </c>
      <c r="P1045" s="280">
        <f>'Tarifa 2025'!$H$18/6/4</f>
        <v/>
      </c>
      <c r="R1045" s="280" t="n"/>
      <c r="T1045" s="280" t="n"/>
      <c r="V1045" s="280" t="n"/>
      <c r="X1045" s="280" t="n"/>
      <c r="Y1045" s="278" t="inlineStr">
        <is>
          <t>Gastos derivados de contrato (3,5%)</t>
        </is>
      </c>
      <c r="Z1045" s="280">
        <f>(L1045+N1045+P1045+R1045+T1045+V1045+X1045)*0.035</f>
        <v/>
      </c>
      <c r="AA1045" s="280" t="n"/>
      <c r="AB1045" s="281" t="inlineStr">
        <is>
          <t>ES11 0081 7069 2700 0122 7724</t>
        </is>
      </c>
      <c r="AC1045" s="278" t="inlineStr">
        <is>
          <t>pendiente</t>
        </is>
      </c>
      <c r="AD1045" s="280">
        <f>L1045+N1045+P1045+R1045+T1045+V1045+X1045+Z1045</f>
        <v/>
      </c>
      <c r="AE1045" s="280">
        <f>IF((LEFT(K1045,6))="Contab",L1045,0)</f>
        <v/>
      </c>
      <c r="AF1045" s="281">
        <f>VLOOKUP(G1045,CLIENTES!B:E,4,FALSE)</f>
        <v/>
      </c>
      <c r="AG1045" s="280">
        <f>AF1045*AE1045</f>
        <v/>
      </c>
      <c r="AH1045" s="280">
        <f>AD1045*1.21</f>
        <v/>
      </c>
      <c r="AI1045" s="282">
        <f>IF(AE1045&lt;&gt;0,AG1045/AD1045,"N/A")</f>
        <v/>
      </c>
      <c r="AJ1045" s="280">
        <f>IF(AC1045="pendiente",AD1045,0)</f>
        <v/>
      </c>
      <c r="AK1045" s="278">
        <f>VLOOKUP(G1045,CLIENTES!B:D,3,FALSE)</f>
        <v/>
      </c>
    </row>
    <row r="1046" ht="15" customFormat="1" customHeight="1" s="278">
      <c r="B1046" s="279" t="n"/>
      <c r="C1046" s="278" t="inlineStr">
        <is>
          <t>c/ Las Cruzadas 3A, local D</t>
        </is>
      </c>
      <c r="D1046" s="278" t="inlineStr">
        <is>
          <t>Sevilla 41004</t>
        </is>
      </c>
      <c r="E1046" s="278" t="inlineStr">
        <is>
          <t>CIF B91938662</t>
        </is>
      </c>
      <c r="F1046" s="278" t="inlineStr">
        <is>
          <t>aBalados@abalados.es</t>
        </is>
      </c>
      <c r="G1046" s="278" t="inlineStr">
        <is>
          <t>FP LUX REIO PV VALLADOLID, S.L.U.</t>
        </is>
      </c>
      <c r="H1046" s="278">
        <f>VLOOKUP($G1046,DATOS!$B:$E,2,FALSE)</f>
        <v/>
      </c>
      <c r="I1046" s="278">
        <f>VLOOKUP($G1046,DATOS!$B:$E,3,FALSE)</f>
        <v/>
      </c>
      <c r="J1046" s="278">
        <f>VLOOKUP($G1046,DATOS!$B:$E,4,FALSE)</f>
        <v/>
      </c>
      <c r="K1046" s="278" t="inlineStr">
        <is>
          <t>Contabilidad y Fiscalidad de proyecto - 4º Trimestre</t>
        </is>
      </c>
      <c r="L1046" s="280">
        <f>'Tarifa 2025'!$D$18/4/6</f>
        <v/>
      </c>
      <c r="M1046" s="278" t="inlineStr">
        <is>
          <t>SPV Management de Proyecto - 4º Trimestre</t>
        </is>
      </c>
      <c r="N1046" s="280">
        <f>'Tarifa 2025'!$F$18/6/4</f>
        <v/>
      </c>
      <c r="O1046" s="278" t="inlineStr">
        <is>
          <t>O&amp;M Management de Proyecto - 4º Trimestre</t>
        </is>
      </c>
      <c r="P1046" s="280">
        <f>'Tarifa 2025'!$H$18/6/4</f>
        <v/>
      </c>
      <c r="R1046" s="280" t="n"/>
      <c r="T1046" s="280" t="n"/>
      <c r="V1046" s="280" t="n"/>
      <c r="X1046" s="280" t="n"/>
      <c r="Y1046" s="278" t="inlineStr">
        <is>
          <t>Gastos derivados de contrato (3,5%)</t>
        </is>
      </c>
      <c r="Z1046" s="280">
        <f>(L1046+N1046+P1046+R1046+T1046+V1046+X1046)*0.035</f>
        <v/>
      </c>
      <c r="AA1046" s="280" t="n"/>
      <c r="AB1046" s="281" t="inlineStr">
        <is>
          <t>ES11 0081 7069 2700 0122 7724</t>
        </is>
      </c>
      <c r="AC1046" s="278" t="inlineStr">
        <is>
          <t>pendiente</t>
        </is>
      </c>
      <c r="AD1046" s="280">
        <f>L1046+N1046+P1046+R1046+T1046+V1046+X1046+Z1046</f>
        <v/>
      </c>
      <c r="AE1046" s="280">
        <f>IF((LEFT(K1046,6))="Contab",L1046,0)</f>
        <v/>
      </c>
      <c r="AF1046" s="281">
        <f>VLOOKUP(G1046,CLIENTES!B:E,4,FALSE)</f>
        <v/>
      </c>
      <c r="AG1046" s="280">
        <f>AF1046*AE1046</f>
        <v/>
      </c>
      <c r="AH1046" s="280">
        <f>AD1046*1.21</f>
        <v/>
      </c>
      <c r="AI1046" s="282">
        <f>IF(AE1046&lt;&gt;0,AG1046/AD1046,"N/A")</f>
        <v/>
      </c>
      <c r="AJ1046" s="280">
        <f>IF(AC1046="pendiente",AD1046,0)</f>
        <v/>
      </c>
      <c r="AK1046" s="278">
        <f>VLOOKUP(G1046,CLIENTES!B:D,3,FALSE)</f>
        <v/>
      </c>
    </row>
    <row r="1047" ht="15" customFormat="1" customHeight="1" s="278">
      <c r="B1047" s="279" t="n"/>
      <c r="C1047" s="278" t="inlineStr">
        <is>
          <t>c/ Las Cruzadas 3A, local D</t>
        </is>
      </c>
      <c r="D1047" s="278" t="inlineStr">
        <is>
          <t>Sevilla 41004</t>
        </is>
      </c>
      <c r="E1047" s="278" t="inlineStr">
        <is>
          <t>CIF B91938662</t>
        </is>
      </c>
      <c r="F1047" s="278" t="inlineStr">
        <is>
          <t>aBalados@abalados.es</t>
        </is>
      </c>
      <c r="G1047" s="278" t="inlineStr">
        <is>
          <t>FP LUX REIO PV VALLADOLID, S.L.U.</t>
        </is>
      </c>
      <c r="H1047" s="278">
        <f>VLOOKUP($G1047,DATOS!$B:$E,2,FALSE)</f>
        <v/>
      </c>
      <c r="I1047" s="278">
        <f>VLOOKUP($G1047,DATOS!$B:$E,3,FALSE)</f>
        <v/>
      </c>
      <c r="J1047" s="278">
        <f>VLOOKUP($G1047,DATOS!$B:$E,4,FALSE)</f>
        <v/>
      </c>
      <c r="K1047" s="278" t="inlineStr">
        <is>
          <t>Contabilidad y Fiscalidad de proyecto - 4º Trimestre</t>
        </is>
      </c>
      <c r="L1047" s="280">
        <f>'Tarifa 2025'!$D$18/4/6</f>
        <v/>
      </c>
      <c r="M1047" s="278" t="inlineStr">
        <is>
          <t>SPV Management de Proyecto - 4º Trimestre</t>
        </is>
      </c>
      <c r="N1047" s="280">
        <f>'Tarifa 2025'!$F$18/6/4</f>
        <v/>
      </c>
      <c r="O1047" s="278" t="inlineStr">
        <is>
          <t>O&amp;M Management de Proyecto - 4º Trimestre</t>
        </is>
      </c>
      <c r="P1047" s="280">
        <f>'Tarifa 2025'!$H$18/6/4</f>
        <v/>
      </c>
      <c r="R1047" s="280" t="n"/>
      <c r="T1047" s="280" t="n"/>
      <c r="V1047" s="280" t="n"/>
      <c r="X1047" s="280" t="n"/>
      <c r="Y1047" s="278" t="inlineStr">
        <is>
          <t>Gastos derivados de contrato (3,5%)</t>
        </is>
      </c>
      <c r="Z1047" s="280">
        <f>(L1047+N1047+P1047+R1047+T1047+V1047+X1047)*0.035</f>
        <v/>
      </c>
      <c r="AA1047" s="280" t="n"/>
      <c r="AB1047" s="281" t="inlineStr">
        <is>
          <t>ES11 0081 7069 2700 0122 7724</t>
        </is>
      </c>
      <c r="AC1047" s="278" t="inlineStr">
        <is>
          <t>pendiente</t>
        </is>
      </c>
      <c r="AD1047" s="280">
        <f>L1047+N1047+P1047+R1047+T1047+V1047+X1047+Z1047</f>
        <v/>
      </c>
      <c r="AE1047" s="280">
        <f>IF((LEFT(K1047,6))="Contab",L1047,0)</f>
        <v/>
      </c>
      <c r="AF1047" s="281">
        <f>VLOOKUP(G1047,CLIENTES!B:E,4,FALSE)</f>
        <v/>
      </c>
      <c r="AG1047" s="280">
        <f>AF1047*AE1047</f>
        <v/>
      </c>
      <c r="AH1047" s="280">
        <f>AD1047*1.21</f>
        <v/>
      </c>
      <c r="AI1047" s="282">
        <f>IF(AE1047&lt;&gt;0,AG1047/AD1047,"N/A")</f>
        <v/>
      </c>
      <c r="AJ1047" s="280">
        <f>IF(AC1047="pendiente",AD1047,0)</f>
        <v/>
      </c>
      <c r="AK1047" s="278">
        <f>VLOOKUP(G1047,CLIENTES!B:D,3,FALSE)</f>
        <v/>
      </c>
    </row>
    <row r="1048" ht="15" customFormat="1" customHeight="1" s="278">
      <c r="B1048" s="279" t="n"/>
      <c r="C1048" s="278" t="inlineStr">
        <is>
          <t>c/ Las Cruzadas 3A, local D</t>
        </is>
      </c>
      <c r="D1048" s="278" t="inlineStr">
        <is>
          <t>Sevilla 41004</t>
        </is>
      </c>
      <c r="E1048" s="278" t="inlineStr">
        <is>
          <t>CIF B91938662</t>
        </is>
      </c>
      <c r="F1048" s="278" t="inlineStr">
        <is>
          <t>aBalados@abalados.es</t>
        </is>
      </c>
      <c r="G1048" s="278" t="inlineStr">
        <is>
          <t>FP LUX REIO PV VALLADOLID, S.L.U.</t>
        </is>
      </c>
      <c r="H1048" s="278">
        <f>VLOOKUP($G1048,DATOS!$B:$E,2,FALSE)</f>
        <v/>
      </c>
      <c r="I1048" s="278">
        <f>VLOOKUP($G1048,DATOS!$B:$E,3,FALSE)</f>
        <v/>
      </c>
      <c r="J1048" s="278">
        <f>VLOOKUP($G1048,DATOS!$B:$E,4,FALSE)</f>
        <v/>
      </c>
      <c r="K1048" s="278" t="inlineStr">
        <is>
          <t>Contabilidad y Fiscalidad de proyecto - 4º Trimestre</t>
        </is>
      </c>
      <c r="L1048" s="280">
        <f>'Tarifa 2025'!$D$18/4/6</f>
        <v/>
      </c>
      <c r="M1048" s="278" t="inlineStr">
        <is>
          <t>SPV Management de Proyecto - 4º Trimestre</t>
        </is>
      </c>
      <c r="N1048" s="280">
        <f>'Tarifa 2025'!$F$18/6/4</f>
        <v/>
      </c>
      <c r="O1048" s="278" t="inlineStr">
        <is>
          <t>O&amp;M Management de Proyecto - 4º Trimestre</t>
        </is>
      </c>
      <c r="P1048" s="280">
        <f>'Tarifa 2025'!$H$18/6/4</f>
        <v/>
      </c>
      <c r="R1048" s="280" t="n"/>
      <c r="T1048" s="280" t="n"/>
      <c r="V1048" s="280" t="n"/>
      <c r="X1048" s="280" t="n"/>
      <c r="Y1048" s="278" t="inlineStr">
        <is>
          <t>Gastos derivados de contrato (3,5%)</t>
        </is>
      </c>
      <c r="Z1048" s="280">
        <f>(L1048+N1048+P1048+R1048+T1048+V1048+X1048)*0.035</f>
        <v/>
      </c>
      <c r="AA1048" s="280" t="n"/>
      <c r="AB1048" s="281" t="inlineStr">
        <is>
          <t>ES11 0081 7069 2700 0122 7724</t>
        </is>
      </c>
      <c r="AC1048" s="278" t="inlineStr">
        <is>
          <t>pendiente</t>
        </is>
      </c>
      <c r="AD1048" s="280">
        <f>L1048+N1048+P1048+R1048+T1048+V1048+X1048+Z1048</f>
        <v/>
      </c>
      <c r="AE1048" s="280">
        <f>IF((LEFT(K1048,6))="Contab",L1048,0)</f>
        <v/>
      </c>
      <c r="AF1048" s="281">
        <f>VLOOKUP(G1048,CLIENTES!B:E,4,FALSE)</f>
        <v/>
      </c>
      <c r="AG1048" s="280">
        <f>AF1048*AE1048</f>
        <v/>
      </c>
      <c r="AH1048" s="280">
        <f>AD1048*1.21</f>
        <v/>
      </c>
      <c r="AI1048" s="282">
        <f>IF(AE1048&lt;&gt;0,AG1048/AD1048,"N/A")</f>
        <v/>
      </c>
      <c r="AJ1048" s="280">
        <f>IF(AC1048="pendiente",AD1048,0)</f>
        <v/>
      </c>
      <c r="AK1048" s="278">
        <f>VLOOKUP(G1048,CLIENTES!B:D,3,FALSE)</f>
        <v/>
      </c>
    </row>
    <row r="1049" ht="15" customFormat="1" customHeight="1" s="278">
      <c r="B1049" s="279" t="n"/>
      <c r="C1049" s="278" t="inlineStr">
        <is>
          <t>c/ Las Cruzadas 3A, local D</t>
        </is>
      </c>
      <c r="D1049" s="278" t="inlineStr">
        <is>
          <t>Sevilla 41004</t>
        </is>
      </c>
      <c r="E1049" s="278" t="inlineStr">
        <is>
          <t>CIF B91938662</t>
        </is>
      </c>
      <c r="F1049" s="278" t="inlineStr">
        <is>
          <t>aBalados@abalados.es</t>
        </is>
      </c>
      <c r="G1049" s="278" t="inlineStr">
        <is>
          <t>FP LUX REIO PV VALLADOLID, S.L.U.</t>
        </is>
      </c>
      <c r="H1049" s="278">
        <f>VLOOKUP($G1049,DATOS!$B:$E,2,FALSE)</f>
        <v/>
      </c>
      <c r="I1049" s="278">
        <f>VLOOKUP($G1049,DATOS!$B:$E,3,FALSE)</f>
        <v/>
      </c>
      <c r="J1049" s="278">
        <f>VLOOKUP($G1049,DATOS!$B:$E,4,FALSE)</f>
        <v/>
      </c>
      <c r="K1049" s="278" t="inlineStr">
        <is>
          <t>Proyecto El Marqués - Zaragoza</t>
        </is>
      </c>
      <c r="L1049" s="280" t="n"/>
      <c r="M1049" s="278" t="inlineStr">
        <is>
          <t>Asset Management fee - 4th quarter 2023</t>
        </is>
      </c>
      <c r="N1049" s="280">
        <f>'Tarifa 2025'!$D$25/4</f>
        <v/>
      </c>
      <c r="P1049" s="280" t="n"/>
      <c r="Q1049" s="278" t="inlineStr">
        <is>
          <t>Honorarios de gestión de activo - 4º trimestre 2023</t>
        </is>
      </c>
      <c r="R1049" s="280" t="n"/>
      <c r="T1049" s="280" t="n"/>
      <c r="V1049" s="280" t="n"/>
      <c r="X1049" s="280" t="n"/>
      <c r="Z1049" s="280" t="n"/>
      <c r="AA1049" s="280" t="n"/>
      <c r="AB1049" s="281" t="inlineStr">
        <is>
          <t>ES11 0081 7069 2700 0122 7724</t>
        </is>
      </c>
      <c r="AC1049" s="278" t="inlineStr">
        <is>
          <t>pendiente</t>
        </is>
      </c>
      <c r="AD1049" s="280">
        <f>L1049+N1049+P1049+R1049+T1049+V1049+X1049+Z1049</f>
        <v/>
      </c>
      <c r="AE1049" s="280">
        <f>IF((LEFT(K1049,6))="Contab",L1049,0)</f>
        <v/>
      </c>
      <c r="AF1049" s="281">
        <f>VLOOKUP(G1049,CLIENTES!B:E,4,FALSE)</f>
        <v/>
      </c>
      <c r="AG1049" s="280">
        <f>AF1049*AE1049</f>
        <v/>
      </c>
      <c r="AH1049" s="280">
        <f>AD1049*1.21</f>
        <v/>
      </c>
      <c r="AI1049" s="284">
        <f>IF(AE1049&lt;&gt;0,AG1049/AD1049,"N/A")</f>
        <v/>
      </c>
      <c r="AJ1049" s="280">
        <f>IF(AC1049="pendiente",AD1049,0)</f>
        <v/>
      </c>
      <c r="AK1049" s="278">
        <f>VLOOKUP(G1049,CLIENTES!B:D,3,FALSE)</f>
        <v/>
      </c>
    </row>
    <row r="1050" ht="15" customFormat="1" customHeight="1" s="192">
      <c r="B1050" s="199" t="n"/>
      <c r="C1050" s="192" t="inlineStr">
        <is>
          <t>c/ Las Cruzadas 3A, local D</t>
        </is>
      </c>
      <c r="D1050" s="192" t="inlineStr">
        <is>
          <t>Sevilla 41004</t>
        </is>
      </c>
      <c r="E1050" s="192" t="inlineStr">
        <is>
          <t>CIF B91938662</t>
        </is>
      </c>
      <c r="F1050" s="192" t="inlineStr">
        <is>
          <t>aBalados@abalados.es</t>
        </is>
      </c>
      <c r="G1050" s="192" t="inlineStr">
        <is>
          <t>FP LUX REIO PV VALLADOLID, S.L.U.</t>
        </is>
      </c>
      <c r="H1050" s="192">
        <f>VLOOKUP($G1050,DATOS!$B:$E,2,FALSE)</f>
        <v/>
      </c>
      <c r="I1050" s="192">
        <f>VLOOKUP($G1050,DATOS!$B:$E,3,FALSE)</f>
        <v/>
      </c>
      <c r="J1050" s="192">
        <f>VLOOKUP($G1050,DATOS!$B:$E,4,FALSE)</f>
        <v/>
      </c>
      <c r="K1050" s="192" t="inlineStr">
        <is>
          <t>Asset Management 4Q2023 | 01.10 - 31.12</t>
        </is>
      </c>
      <c r="L1050" s="200">
        <f>'Tarifa 2025'!$D$29/4</f>
        <v/>
      </c>
      <c r="N1050" s="200" t="n"/>
      <c r="O1050" s="192" t="inlineStr">
        <is>
          <t>Gestión de Activos 3T2023 | 01.07 - 30.09</t>
        </is>
      </c>
      <c r="P1050" s="200" t="n"/>
      <c r="R1050" s="200" t="n"/>
      <c r="T1050" s="200" t="n"/>
      <c r="V1050" s="200" t="n"/>
      <c r="X1050" s="200" t="n"/>
      <c r="Z1050" s="200" t="n"/>
      <c r="AA1050" s="200" t="n"/>
      <c r="AB1050" s="201" t="inlineStr">
        <is>
          <t>ES11 0081 7069 2700 0122 7724</t>
        </is>
      </c>
      <c r="AC1050" s="192" t="inlineStr">
        <is>
          <t>pendiente</t>
        </is>
      </c>
      <c r="AD1050" s="200">
        <f>L1050+N1050+P1050+R1050+T1050+V1050+X1050+Z1050</f>
        <v/>
      </c>
      <c r="AE1050" s="200">
        <f>IF((LEFT(K1050,4))="Cont",N1050,0)</f>
        <v/>
      </c>
      <c r="AF1050" s="201">
        <f>VLOOKUP(G1050,CLIENTES!B:E,4,FALSE)</f>
        <v/>
      </c>
      <c r="AG1050" s="200">
        <f>AF1050*AE1050</f>
        <v/>
      </c>
      <c r="AH1050" s="200">
        <f>AD1050*1.21</f>
        <v/>
      </c>
      <c r="AI1050" s="283">
        <f>IF(AE1050&lt;&gt;0,AG1050/AD1050,"N/A")</f>
        <v/>
      </c>
      <c r="AJ1050" s="200">
        <f>IF(AC1050="pendiente",AD1050,0)</f>
        <v/>
      </c>
      <c r="AK1050" s="192">
        <f>VLOOKUP(G1050,CLIENTES!B:D,3,FALSE)</f>
        <v/>
      </c>
    </row>
    <row r="1051" ht="15" customFormat="1" customHeight="1" s="195">
      <c r="B1051" s="194" t="n"/>
      <c r="C1051" s="195" t="inlineStr">
        <is>
          <t>c/ Las Cruzadas 3A, local D</t>
        </is>
      </c>
      <c r="D1051" s="195" t="inlineStr">
        <is>
          <t>Sevilla 41004</t>
        </is>
      </c>
      <c r="E1051" s="195" t="inlineStr">
        <is>
          <t>CIF B91938662</t>
        </is>
      </c>
      <c r="F1051" s="195" t="inlineStr">
        <is>
          <t>aBalados@abalados.es</t>
        </is>
      </c>
      <c r="G1051" s="195" t="inlineStr">
        <is>
          <t>Dehesa Asomadilla Inversiones S.L.U.</t>
        </is>
      </c>
      <c r="H1051" s="195">
        <f>VLOOKUP($G1051,DATOS!$B:$E,2,FALSE)</f>
        <v/>
      </c>
      <c r="I1051" s="195">
        <f>VLOOKUP($G1051,DATOS!$B:$E,3,FALSE)</f>
        <v/>
      </c>
      <c r="J1051" s="195">
        <f>VLOOKUP($G1051,DATOS!$B:$E,4,FALSE)</f>
        <v/>
      </c>
      <c r="K1051" s="195" t="inlineStr">
        <is>
          <t>Honorarios - Contrato O&amp;M 4º Trimestre</t>
        </is>
      </c>
      <c r="L1051" s="196" t="n">
        <v>32464.30987340534</v>
      </c>
      <c r="N1051" s="196" t="n"/>
      <c r="P1051" s="196" t="n"/>
      <c r="R1051" s="196" t="n"/>
      <c r="T1051" s="196" t="n"/>
      <c r="V1051" s="196" t="n"/>
      <c r="X1051" s="196" t="n"/>
      <c r="Z1051" s="196" t="n"/>
      <c r="AA1051" s="196" t="n"/>
      <c r="AB1051" s="197" t="inlineStr">
        <is>
          <t>ES11 0081 7069 2700 0122 7724</t>
        </is>
      </c>
      <c r="AC1051" s="195" t="inlineStr">
        <is>
          <t>pendiente</t>
        </is>
      </c>
      <c r="AD1051" s="196">
        <f>L1051+N1051+P1051+R1051+T1051+V1051+X1051+Z1051</f>
        <v/>
      </c>
      <c r="AE1051" s="196">
        <f>IF((LEFT(K1051,6))="Contab",L1051,0)</f>
        <v/>
      </c>
      <c r="AF1051" s="197">
        <f>VLOOKUP(G1051,CLIENTES!B:E,4,FALSE)</f>
        <v/>
      </c>
      <c r="AG1051" s="196">
        <f>AF1051*AE1051</f>
        <v/>
      </c>
      <c r="AH1051" s="196">
        <f>AD1051*1.21</f>
        <v/>
      </c>
      <c r="AI1051" s="198">
        <f>IF(AE1051&lt;&gt;0,AG1051/AD1051,"N/A")</f>
        <v/>
      </c>
      <c r="AJ1051" s="196">
        <f>IF(AC1051="pendiente",AD1051,0)</f>
        <v/>
      </c>
      <c r="AK1051" s="195">
        <f>VLOOKUP(G1051,CLIENTES!B:D,3,FALSE)</f>
        <v/>
      </c>
    </row>
    <row r="1052" ht="15" customFormat="1" customHeight="1" s="278">
      <c r="B1052" s="279" t="n"/>
      <c r="C1052" s="278" t="inlineStr">
        <is>
          <t>c/ Las Cruzadas 3A, local D</t>
        </is>
      </c>
      <c r="D1052" s="278" t="inlineStr">
        <is>
          <t>Sevilla 41004</t>
        </is>
      </c>
      <c r="E1052" s="278" t="inlineStr">
        <is>
          <t>CIF B91938662</t>
        </is>
      </c>
      <c r="F1052" s="278" t="inlineStr">
        <is>
          <t>aBalados@abalados.es</t>
        </is>
      </c>
      <c r="G1052" s="278" t="inlineStr">
        <is>
          <t>Asomadilla Solar 2007 S.L.U.</t>
        </is>
      </c>
      <c r="H1052" s="278">
        <f>VLOOKUP($G1052,DATOS!$B:$E,2,FALSE)</f>
        <v/>
      </c>
      <c r="I1052" s="278">
        <f>VLOOKUP($G1052,DATOS!$B:$E,3,FALSE)</f>
        <v/>
      </c>
      <c r="J1052" s="278">
        <f>VLOOKUP($G1052,DATOS!$B:$E,4,FALSE)</f>
        <v/>
      </c>
      <c r="K1052" s="278" t="inlineStr">
        <is>
          <t>Honorarios - Contrato O&amp;M 4º Trimestre</t>
        </is>
      </c>
      <c r="L1052" s="280" t="n">
        <v>20777.15831897942</v>
      </c>
      <c r="N1052" s="280" t="n"/>
      <c r="P1052" s="280" t="n"/>
      <c r="R1052" s="280" t="n"/>
      <c r="T1052" s="280" t="n"/>
      <c r="V1052" s="280" t="n"/>
      <c r="X1052" s="280" t="n"/>
      <c r="Z1052" s="280" t="n"/>
      <c r="AA1052" s="280" t="n"/>
      <c r="AB1052" s="281" t="inlineStr">
        <is>
          <t>ES11 0081 7069 2700 0122 7724</t>
        </is>
      </c>
      <c r="AC1052" s="278" t="inlineStr">
        <is>
          <t>pendiente</t>
        </is>
      </c>
      <c r="AD1052" s="280">
        <f>L1052+N1052+P1052+R1052+T1052+V1052+X1052+Z1052</f>
        <v/>
      </c>
      <c r="AE1052" s="280">
        <f>IF((LEFT(K1052,6))="Contab",L1052,0)</f>
        <v/>
      </c>
      <c r="AF1052" s="281">
        <f>VLOOKUP(G1052,CLIENTES!B:E,4,FALSE)</f>
        <v/>
      </c>
      <c r="AG1052" s="280">
        <f>AF1052*AE1052</f>
        <v/>
      </c>
      <c r="AH1052" s="280">
        <f>AD1052*1.21</f>
        <v/>
      </c>
      <c r="AI1052" s="282">
        <f>IF(AE1052&lt;&gt;0,AG1052/AD1052,"N/A")</f>
        <v/>
      </c>
      <c r="AJ1052" s="280">
        <f>IF(AC1052="pendiente",AD1052,0)</f>
        <v/>
      </c>
      <c r="AK1052" s="278">
        <f>VLOOKUP(G1052,CLIENTES!B:D,3,FALSE)</f>
        <v/>
      </c>
    </row>
    <row r="1053" ht="15" customFormat="1" customHeight="1" s="278">
      <c r="B1053" s="279" t="n"/>
      <c r="C1053" s="278" t="inlineStr">
        <is>
          <t>c/ Las Cruzadas 3A, local D</t>
        </is>
      </c>
      <c r="D1053" s="278" t="inlineStr">
        <is>
          <t>Sevilla 41004</t>
        </is>
      </c>
      <c r="E1053" s="278" t="inlineStr">
        <is>
          <t>CIF B91938662</t>
        </is>
      </c>
      <c r="F1053" s="278" t="inlineStr">
        <is>
          <t>aBalados@abalados.es</t>
        </is>
      </c>
      <c r="G1053" s="278" t="inlineStr">
        <is>
          <t>ES Garrovers Energía Solar S.L.U.</t>
        </is>
      </c>
      <c r="H1053" s="278">
        <f>VLOOKUP($G1053,DATOS!$B:$E,2,FALSE)</f>
        <v/>
      </c>
      <c r="I1053" s="278">
        <f>VLOOKUP($G1053,DATOS!$B:$E,3,FALSE)</f>
        <v/>
      </c>
      <c r="J1053" s="278">
        <f>VLOOKUP($G1053,DATOS!$B:$E,4,FALSE)</f>
        <v/>
      </c>
      <c r="K1053" s="278" t="inlineStr">
        <is>
          <t>Honorarios - Contrato O&amp;M 4º Trimestre</t>
        </is>
      </c>
      <c r="L1053" s="280" t="n">
        <v>24472.94736835694</v>
      </c>
      <c r="N1053" s="280" t="n"/>
      <c r="P1053" s="280" t="n"/>
      <c r="R1053" s="280" t="n"/>
      <c r="T1053" s="280" t="n"/>
      <c r="V1053" s="280" t="n"/>
      <c r="X1053" s="280" t="n"/>
      <c r="Z1053" s="280" t="n"/>
      <c r="AA1053" s="280" t="n"/>
      <c r="AB1053" s="281" t="inlineStr">
        <is>
          <t>ES11 0081 7069 2700 0122 7724</t>
        </is>
      </c>
      <c r="AC1053" s="278" t="inlineStr">
        <is>
          <t>pendiente</t>
        </is>
      </c>
      <c r="AD1053" s="280">
        <f>L1053+N1053+P1053+R1053+T1053+V1053+X1053+Z1053</f>
        <v/>
      </c>
      <c r="AE1053" s="280">
        <f>IF((LEFT(K1053,6))="Contab",L1053,0)</f>
        <v/>
      </c>
      <c r="AF1053" s="281">
        <f>VLOOKUP(G1053,CLIENTES!B:E,4,FALSE)</f>
        <v/>
      </c>
      <c r="AG1053" s="280">
        <f>AF1053*AE1053</f>
        <v/>
      </c>
      <c r="AH1053" s="280">
        <f>AD1053*1.21</f>
        <v/>
      </c>
      <c r="AI1053" s="282">
        <f>IF(AE1053&lt;&gt;0,AG1053/AD1053,"N/A")</f>
        <v/>
      </c>
      <c r="AJ1053" s="280">
        <f>IF(AC1053="pendiente",AD1053,0)</f>
        <v/>
      </c>
      <c r="AK1053" s="278">
        <f>VLOOKUP(G1053,CLIENTES!B:D,3,FALSE)</f>
        <v/>
      </c>
    </row>
    <row r="1054" ht="15" customFormat="1" customHeight="1" s="278">
      <c r="B1054" s="279" t="n"/>
      <c r="C1054" s="278" t="inlineStr">
        <is>
          <t>c/ Las Cruzadas 3A, local D</t>
        </is>
      </c>
      <c r="D1054" s="278" t="inlineStr">
        <is>
          <t>Sevilla 41004</t>
        </is>
      </c>
      <c r="E1054" s="278" t="inlineStr">
        <is>
          <t>CIF B91938662</t>
        </is>
      </c>
      <c r="F1054" s="278" t="inlineStr">
        <is>
          <t>aBalados@abalados.es</t>
        </is>
      </c>
      <c r="G1054" s="278" t="inlineStr">
        <is>
          <t>WOC Fotovoltaica España Proyecto Sollana S.L.U.</t>
        </is>
      </c>
      <c r="H1054" s="278">
        <f>VLOOKUP($G1054,DATOS!$B:$E,2,FALSE)</f>
        <v/>
      </c>
      <c r="I1054" s="278">
        <f>VLOOKUP($G1054,DATOS!$B:$E,3,FALSE)</f>
        <v/>
      </c>
      <c r="J1054" s="278">
        <f>VLOOKUP($G1054,DATOS!$B:$E,4,FALSE)</f>
        <v/>
      </c>
      <c r="K1054" s="278" t="inlineStr">
        <is>
          <t>Honorarios - Contrato O&amp;M 4º Trimestre</t>
        </is>
      </c>
      <c r="L1054" s="280" t="n">
        <v>13468.98329756258</v>
      </c>
      <c r="N1054" s="280" t="n"/>
      <c r="P1054" s="280" t="n"/>
      <c r="R1054" s="280" t="n"/>
      <c r="T1054" s="280" t="n"/>
      <c r="V1054" s="280" t="n"/>
      <c r="X1054" s="280" t="n"/>
      <c r="Z1054" s="280" t="n"/>
      <c r="AA1054" s="280" t="n"/>
      <c r="AB1054" s="281" t="inlineStr">
        <is>
          <t>ES11 0081 7069 2700 0122 7724</t>
        </is>
      </c>
      <c r="AC1054" s="278" t="inlineStr">
        <is>
          <t>pendiente</t>
        </is>
      </c>
      <c r="AD1054" s="280">
        <f>L1054+N1054+P1054+R1054+T1054+V1054+X1054+Z1054</f>
        <v/>
      </c>
      <c r="AE1054" s="280">
        <f>IF((LEFT(K1054,6))="Contab",L1054,0)</f>
        <v/>
      </c>
      <c r="AF1054" s="281">
        <f>VLOOKUP(G1054,CLIENTES!B:E,4,FALSE)</f>
        <v/>
      </c>
      <c r="AG1054" s="280">
        <f>AF1054*AE1054</f>
        <v/>
      </c>
      <c r="AH1054" s="280">
        <f>AD1054*1.21</f>
        <v/>
      </c>
      <c r="AI1054" s="282">
        <f>IF(AE1054&lt;&gt;0,AG1054/AD1054,"N/A")</f>
        <v/>
      </c>
      <c r="AJ1054" s="280">
        <f>IF(AC1054="pendiente",AD1054,0)</f>
        <v/>
      </c>
      <c r="AK1054" s="278">
        <f>VLOOKUP(G1054,CLIENTES!B:D,3,FALSE)</f>
        <v/>
      </c>
    </row>
    <row r="1055" ht="15" customFormat="1" customHeight="1" s="278">
      <c r="B1055" s="279" t="n"/>
      <c r="C1055" s="278" t="inlineStr">
        <is>
          <t>c/ Las Cruzadas 3A, local D</t>
        </is>
      </c>
      <c r="D1055" s="278" t="inlineStr">
        <is>
          <t>Sevilla 41004</t>
        </is>
      </c>
      <c r="E1055" s="278" t="inlineStr">
        <is>
          <t>CIF B91938662</t>
        </is>
      </c>
      <c r="F1055" s="278" t="inlineStr">
        <is>
          <t>aBalados@abalados.es</t>
        </is>
      </c>
      <c r="G1055" s="278" t="inlineStr">
        <is>
          <t>Inversión Cubiertas Solares S.L.U.</t>
        </is>
      </c>
      <c r="H1055" s="278">
        <f>VLOOKUP($G1055,DATOS!$B:$E,2,FALSE)</f>
        <v/>
      </c>
      <c r="I1055" s="278">
        <f>VLOOKUP($G1055,DATOS!$B:$E,3,FALSE)</f>
        <v/>
      </c>
      <c r="J1055" s="278">
        <f>VLOOKUP($G1055,DATOS!$B:$E,4,FALSE)</f>
        <v/>
      </c>
      <c r="K1055" s="278" t="inlineStr">
        <is>
          <t>Honorarios - Contrato O&amp;M 4º Trimestre</t>
        </is>
      </c>
      <c r="L1055" s="280" t="n">
        <v>1437.136759606795</v>
      </c>
      <c r="N1055" s="280" t="n"/>
      <c r="P1055" s="280" t="n"/>
      <c r="R1055" s="280" t="n"/>
      <c r="T1055" s="280" t="n"/>
      <c r="V1055" s="280" t="n"/>
      <c r="X1055" s="280" t="n"/>
      <c r="Z1055" s="280" t="n"/>
      <c r="AA1055" s="280" t="n"/>
      <c r="AB1055" s="281" t="inlineStr">
        <is>
          <t>ES11 0081 7069 2700 0122 7724</t>
        </is>
      </c>
      <c r="AC1055" s="278" t="inlineStr">
        <is>
          <t>pendiente</t>
        </is>
      </c>
      <c r="AD1055" s="280">
        <f>L1055+N1055+P1055+R1055+T1055+V1055+X1055+Z1055</f>
        <v/>
      </c>
      <c r="AE1055" s="280">
        <f>IF((LEFT(K1055,6))="Contab",L1055,0)</f>
        <v/>
      </c>
      <c r="AF1055" s="281">
        <f>VLOOKUP(G1055,CLIENTES!B:E,4,FALSE)</f>
        <v/>
      </c>
      <c r="AG1055" s="280">
        <f>AF1055*AE1055</f>
        <v/>
      </c>
      <c r="AH1055" s="280">
        <f>AD1055*1.21</f>
        <v/>
      </c>
      <c r="AI1055" s="282">
        <f>IF(AE1055&lt;&gt;0,AG1055/AD1055,"N/A")</f>
        <v/>
      </c>
      <c r="AJ1055" s="280">
        <f>IF(AC1055="pendiente",AD1055,0)</f>
        <v/>
      </c>
      <c r="AK1055" s="278">
        <f>VLOOKUP(G1055,CLIENTES!B:D,3,FALSE)</f>
        <v/>
      </c>
    </row>
    <row r="1056" ht="15" customFormat="1" customHeight="1" s="278">
      <c r="B1056" s="279" t="n"/>
      <c r="C1056" s="278" t="inlineStr">
        <is>
          <t>c/ Las Cruzadas 3A, local D</t>
        </is>
      </c>
      <c r="D1056" s="278" t="inlineStr">
        <is>
          <t>Sevilla 41004</t>
        </is>
      </c>
      <c r="E1056" s="278" t="inlineStr">
        <is>
          <t>CIF B91938662</t>
        </is>
      </c>
      <c r="F1056" s="278" t="inlineStr">
        <is>
          <t>aBalados@abalados.es</t>
        </is>
      </c>
      <c r="G1056" s="278" t="inlineStr">
        <is>
          <t>Lugec Inversión Solar S.L.U.</t>
        </is>
      </c>
      <c r="H1056" s="278">
        <f>VLOOKUP($G1056,DATOS!$B:$E,2,FALSE)</f>
        <v/>
      </c>
      <c r="I1056" s="278">
        <f>VLOOKUP($G1056,DATOS!$B:$E,3,FALSE)</f>
        <v/>
      </c>
      <c r="J1056" s="278">
        <f>VLOOKUP($G1056,DATOS!$B:$E,4,FALSE)</f>
        <v/>
      </c>
      <c r="K1056" s="278" t="inlineStr">
        <is>
          <t>Honorarios - Contrato O&amp;M 4º Trimestre</t>
        </is>
      </c>
      <c r="L1056" s="280" t="n">
        <v>3881.792139533857</v>
      </c>
      <c r="N1056" s="280" t="n"/>
      <c r="P1056" s="280" t="n"/>
      <c r="R1056" s="280" t="n"/>
      <c r="T1056" s="280" t="n"/>
      <c r="V1056" s="280" t="n"/>
      <c r="X1056" s="280" t="n"/>
      <c r="Z1056" s="280" t="n"/>
      <c r="AA1056" s="280" t="n"/>
      <c r="AB1056" s="281" t="inlineStr">
        <is>
          <t>ES11 0081 7069 2700 0122 7724</t>
        </is>
      </c>
      <c r="AC1056" s="278" t="inlineStr">
        <is>
          <t>pendiente</t>
        </is>
      </c>
      <c r="AD1056" s="280">
        <f>L1056+N1056+P1056+R1056+T1056+V1056+X1056+Z1056</f>
        <v/>
      </c>
      <c r="AE1056" s="280">
        <f>IF((LEFT(K1056,6))="Contab",L1056,0)</f>
        <v/>
      </c>
      <c r="AF1056" s="281">
        <f>VLOOKUP(G1056,CLIENTES!B:E,4,FALSE)</f>
        <v/>
      </c>
      <c r="AG1056" s="280">
        <f>AF1056*AE1056</f>
        <v/>
      </c>
      <c r="AH1056" s="280">
        <f>AD1056*1.21</f>
        <v/>
      </c>
      <c r="AI1056" s="282">
        <f>IF(AE1056&lt;&gt;0,AG1056/AD1056,"N/A")</f>
        <v/>
      </c>
      <c r="AJ1056" s="280">
        <f>IF(AC1056="pendiente",AD1056,0)</f>
        <v/>
      </c>
      <c r="AK1056" s="278">
        <f>VLOOKUP(G1056,CLIENTES!B:D,3,FALSE)</f>
        <v/>
      </c>
    </row>
    <row r="1057" ht="15" customFormat="1" customHeight="1" s="278">
      <c r="B1057" s="279" t="n"/>
      <c r="C1057" s="278" t="inlineStr">
        <is>
          <t>c/ Las Cruzadas 3A, local D</t>
        </is>
      </c>
      <c r="D1057" s="278" t="inlineStr">
        <is>
          <t>Sevilla 41004</t>
        </is>
      </c>
      <c r="E1057" s="278" t="inlineStr">
        <is>
          <t>CIF B91938662</t>
        </is>
      </c>
      <c r="F1057" s="278" t="inlineStr">
        <is>
          <t>aBalados@abalados.es</t>
        </is>
      </c>
      <c r="G1057" s="278" t="inlineStr">
        <is>
          <t>Solar Photo Collect S.L.U.</t>
        </is>
      </c>
      <c r="H1057" s="278">
        <f>VLOOKUP($G1057,DATOS!$B:$E,2,FALSE)</f>
        <v/>
      </c>
      <c r="I1057" s="278">
        <f>VLOOKUP($G1057,DATOS!$B:$E,3,FALSE)</f>
        <v/>
      </c>
      <c r="J1057" s="278">
        <f>VLOOKUP($G1057,DATOS!$B:$E,4,FALSE)</f>
        <v/>
      </c>
      <c r="K1057" s="278" t="inlineStr">
        <is>
          <t>Honorarios - Contrato O&amp;M 4º Trimestre</t>
        </is>
      </c>
      <c r="L1057" s="280" t="n">
        <v>15799.25625916014</v>
      </c>
      <c r="N1057" s="280" t="n"/>
      <c r="P1057" s="280" t="n"/>
      <c r="R1057" s="280" t="n"/>
      <c r="T1057" s="280" t="n"/>
      <c r="V1057" s="280" t="n"/>
      <c r="X1057" s="280" t="n"/>
      <c r="Z1057" s="280" t="n"/>
      <c r="AA1057" s="280" t="n"/>
      <c r="AB1057" s="281" t="inlineStr">
        <is>
          <t>ES11 0081 7069 2700 0122 7724</t>
        </is>
      </c>
      <c r="AC1057" s="278" t="inlineStr">
        <is>
          <t>pendiente</t>
        </is>
      </c>
      <c r="AD1057" s="280">
        <f>L1057+N1057+P1057+R1057+T1057+V1057+X1057+Z1057</f>
        <v/>
      </c>
      <c r="AE1057" s="280">
        <f>IF((LEFT(K1057,6))="Contab",L1057,0)</f>
        <v/>
      </c>
      <c r="AF1057" s="281">
        <f>VLOOKUP(G1057,CLIENTES!B:E,4,FALSE)</f>
        <v/>
      </c>
      <c r="AG1057" s="280">
        <f>AF1057*AE1057</f>
        <v/>
      </c>
      <c r="AH1057" s="280">
        <f>AD1057*1.21</f>
        <v/>
      </c>
      <c r="AI1057" s="282">
        <f>IF(AE1057&lt;&gt;0,AG1057/AD1057,"N/A")</f>
        <v/>
      </c>
      <c r="AJ1057" s="280">
        <f>IF(AC1057="pendiente",AD1057,0)</f>
        <v/>
      </c>
      <c r="AK1057" s="278">
        <f>VLOOKUP(G1057,CLIENTES!B:D,3,FALSE)</f>
        <v/>
      </c>
    </row>
    <row r="1058" ht="15" customFormat="1" customHeight="1" s="278">
      <c r="B1058" s="279" t="n"/>
      <c r="C1058" s="278" t="inlineStr">
        <is>
          <t>c/ Las Cruzadas 3A, local D</t>
        </is>
      </c>
      <c r="D1058" s="278" t="inlineStr">
        <is>
          <t>Sevilla 41004</t>
        </is>
      </c>
      <c r="E1058" s="278" t="inlineStr">
        <is>
          <t>CIF B91938662</t>
        </is>
      </c>
      <c r="F1058" s="278" t="inlineStr">
        <is>
          <t>aBalados@abalados.es</t>
        </is>
      </c>
      <c r="G1058" s="278" t="inlineStr">
        <is>
          <t>Solar Photo Corp S.L.U.</t>
        </is>
      </c>
      <c r="H1058" s="278">
        <f>VLOOKUP($G1058,DATOS!$B:$E,2,FALSE)</f>
        <v/>
      </c>
      <c r="I1058" s="278">
        <f>VLOOKUP($G1058,DATOS!$B:$E,3,FALSE)</f>
        <v/>
      </c>
      <c r="J1058" s="278">
        <f>VLOOKUP($G1058,DATOS!$B:$E,4,FALSE)</f>
        <v/>
      </c>
      <c r="K1058" s="278" t="inlineStr">
        <is>
          <t>Honorarios - Contrato O&amp;M 4º Trimestre</t>
        </is>
      </c>
      <c r="L1058" s="280" t="n">
        <v>7021.859008345888</v>
      </c>
      <c r="N1058" s="280" t="n"/>
      <c r="P1058" s="280" t="n"/>
      <c r="R1058" s="280" t="n"/>
      <c r="T1058" s="280" t="n"/>
      <c r="V1058" s="280" t="n"/>
      <c r="X1058" s="280" t="n"/>
      <c r="Z1058" s="280" t="n"/>
      <c r="AA1058" s="280" t="n"/>
      <c r="AB1058" s="281" t="inlineStr">
        <is>
          <t>ES11 0081 7069 2700 0122 7724</t>
        </is>
      </c>
      <c r="AC1058" s="278" t="inlineStr">
        <is>
          <t>pendiente</t>
        </is>
      </c>
      <c r="AD1058" s="280">
        <f>L1058+N1058+P1058+R1058+T1058+V1058+X1058+Z1058</f>
        <v/>
      </c>
      <c r="AE1058" s="280">
        <f>IF((LEFT(K1058,6))="Contab",L1058,0)</f>
        <v/>
      </c>
      <c r="AF1058" s="281">
        <f>VLOOKUP(G1058,CLIENTES!B:E,4,FALSE)</f>
        <v/>
      </c>
      <c r="AG1058" s="280">
        <f>AF1058*AE1058</f>
        <v/>
      </c>
      <c r="AH1058" s="280">
        <f>AD1058*1.21</f>
        <v/>
      </c>
      <c r="AI1058" s="282">
        <f>IF(AE1058&lt;&gt;0,AG1058/AD1058,"N/A")</f>
        <v/>
      </c>
      <c r="AJ1058" s="280">
        <f>IF(AC1058="pendiente",AD1058,0)</f>
        <v/>
      </c>
      <c r="AK1058" s="278">
        <f>VLOOKUP(G1058,CLIENTES!B:D,3,FALSE)</f>
        <v/>
      </c>
    </row>
    <row r="1059" ht="15" customFormat="1" customHeight="1" s="278">
      <c r="B1059" s="279" t="n"/>
      <c r="C1059" s="278" t="inlineStr">
        <is>
          <t>c/ Las Cruzadas 3A, local D</t>
        </is>
      </c>
      <c r="D1059" s="278" t="inlineStr">
        <is>
          <t>Sevilla 41004</t>
        </is>
      </c>
      <c r="E1059" s="278" t="inlineStr">
        <is>
          <t>CIF B91938662</t>
        </is>
      </c>
      <c r="F1059" s="278" t="inlineStr">
        <is>
          <t>aBalados@abalados.es</t>
        </is>
      </c>
      <c r="G1059" s="278" t="inlineStr">
        <is>
          <t xml:space="preserve">Rasteding PV I, S.L.U. </t>
        </is>
      </c>
      <c r="H1059" s="278">
        <f>VLOOKUP($G1059,DATOS!$B:$E,2,FALSE)</f>
        <v/>
      </c>
      <c r="I1059" s="278">
        <f>VLOOKUP($G1059,DATOS!$B:$E,3,FALSE)</f>
        <v/>
      </c>
      <c r="J1059" s="278">
        <f>VLOOKUP($G1059,DATOS!$B:$E,4,FALSE)</f>
        <v/>
      </c>
      <c r="K1059" s="278" t="inlineStr">
        <is>
          <t>Honorarios - Contrato O&amp;M 4º Trimestre</t>
        </is>
      </c>
      <c r="L1059" s="280" t="n">
        <v>3624.936603398749</v>
      </c>
      <c r="N1059" s="280" t="n"/>
      <c r="P1059" s="280" t="n"/>
      <c r="R1059" s="280" t="n"/>
      <c r="T1059" s="280" t="n"/>
      <c r="V1059" s="280" t="n"/>
      <c r="X1059" s="280" t="n"/>
      <c r="Z1059" s="280" t="n"/>
      <c r="AA1059" s="280" t="n"/>
      <c r="AB1059" s="281" t="inlineStr">
        <is>
          <t>ES11 0081 7069 2700 0122 7724</t>
        </is>
      </c>
      <c r="AC1059" s="278" t="inlineStr">
        <is>
          <t>pendiente</t>
        </is>
      </c>
      <c r="AD1059" s="280">
        <f>L1059+N1059+P1059+R1059+T1059+V1059+X1059+Z1059</f>
        <v/>
      </c>
      <c r="AE1059" s="280">
        <f>IF((LEFT(K1059,6))="Contab",L1059,0)</f>
        <v/>
      </c>
      <c r="AF1059" s="281">
        <f>VLOOKUP(G1059,CLIENTES!B:E,4,FALSE)</f>
        <v/>
      </c>
      <c r="AG1059" s="280">
        <f>AF1059*AE1059</f>
        <v/>
      </c>
      <c r="AH1059" s="280">
        <f>AD1059*1.21</f>
        <v/>
      </c>
      <c r="AI1059" s="282">
        <f>IF(AE1059&lt;&gt;0,AG1059/AD1059,"N/A")</f>
        <v/>
      </c>
      <c r="AJ1059" s="280">
        <f>IF(AC1059="pendiente",AD1059,0)</f>
        <v/>
      </c>
      <c r="AK1059" s="278">
        <f>VLOOKUP(G1059,CLIENTES!B:D,3,FALSE)</f>
        <v/>
      </c>
    </row>
    <row r="1060" ht="15" customFormat="1" customHeight="1" s="278">
      <c r="B1060" s="279" t="n"/>
      <c r="C1060" s="278" t="inlineStr">
        <is>
          <t>c/ Las Cruzadas 3A, local D</t>
        </is>
      </c>
      <c r="D1060" s="278" t="inlineStr">
        <is>
          <t>Sevilla 41004</t>
        </is>
      </c>
      <c r="E1060" s="278" t="inlineStr">
        <is>
          <t>CIF B91938662</t>
        </is>
      </c>
      <c r="F1060" s="278" t="inlineStr">
        <is>
          <t>aBalados@abalados.es</t>
        </is>
      </c>
      <c r="G1060" s="278" t="inlineStr">
        <is>
          <t>Tiksi PV II S.L.U.</t>
        </is>
      </c>
      <c r="H1060" s="278">
        <f>VLOOKUP($G1060,DATOS!$B:$E,2,FALSE)</f>
        <v/>
      </c>
      <c r="I1060" s="278">
        <f>VLOOKUP($G1060,DATOS!$B:$E,3,FALSE)</f>
        <v/>
      </c>
      <c r="J1060" s="278">
        <f>VLOOKUP($G1060,DATOS!$B:$E,4,FALSE)</f>
        <v/>
      </c>
      <c r="K1060" s="278" t="inlineStr">
        <is>
          <t>Honorarios - Contrato O&amp;M 4º Trimestre</t>
        </is>
      </c>
      <c r="L1060" s="280" t="n">
        <v>4920.915971018136</v>
      </c>
      <c r="N1060" s="280" t="n"/>
      <c r="P1060" s="280" t="n"/>
      <c r="R1060" s="280" t="n"/>
      <c r="T1060" s="280" t="n"/>
      <c r="V1060" s="280" t="n"/>
      <c r="X1060" s="280" t="n"/>
      <c r="Z1060" s="280" t="n"/>
      <c r="AA1060" s="280" t="n"/>
      <c r="AB1060" s="281" t="inlineStr">
        <is>
          <t>ES11 0081 7069 2700 0122 7724</t>
        </is>
      </c>
      <c r="AC1060" s="278" t="inlineStr">
        <is>
          <t>pendiente</t>
        </is>
      </c>
      <c r="AD1060" s="280">
        <f>L1060+N1060+P1060+R1060+T1060+V1060+X1060+Z1060</f>
        <v/>
      </c>
      <c r="AE1060" s="280">
        <f>IF((LEFT(K1060,6))="Contab",L1060,0)</f>
        <v/>
      </c>
      <c r="AF1060" s="281">
        <f>VLOOKUP(G1060,CLIENTES!B:E,4,FALSE)</f>
        <v/>
      </c>
      <c r="AG1060" s="280">
        <f>AF1060*AE1060</f>
        <v/>
      </c>
      <c r="AH1060" s="280">
        <f>AD1060*1.21</f>
        <v/>
      </c>
      <c r="AI1060" s="282">
        <f>IF(AE1060&lt;&gt;0,AG1060/AD1060,"N/A")</f>
        <v/>
      </c>
      <c r="AJ1060" s="280">
        <f>IF(AC1060="pendiente",AD1060,0)</f>
        <v/>
      </c>
      <c r="AK1060" s="278">
        <f>VLOOKUP(G1060,CLIENTES!B:D,3,FALSE)</f>
        <v/>
      </c>
    </row>
    <row r="1061" ht="15" customFormat="1" customHeight="1" s="278">
      <c r="B1061" s="279" t="n"/>
      <c r="C1061" s="278" t="inlineStr">
        <is>
          <t>c/ Las Cruzadas 3A, local D</t>
        </is>
      </c>
      <c r="D1061" s="278" t="inlineStr">
        <is>
          <t>Sevilla 41004</t>
        </is>
      </c>
      <c r="E1061" s="278" t="inlineStr">
        <is>
          <t>CIF B91938662</t>
        </is>
      </c>
      <c r="F1061" s="278" t="inlineStr">
        <is>
          <t>aBalados@abalados.es</t>
        </is>
      </c>
      <c r="G1061" s="278" t="inlineStr">
        <is>
          <t>Amberg V S.L.U.</t>
        </is>
      </c>
      <c r="H1061" s="278">
        <f>VLOOKUP($G1061,DATOS!$B:$E,2,FALSE)</f>
        <v/>
      </c>
      <c r="I1061" s="278">
        <f>VLOOKUP($G1061,DATOS!$B:$E,3,FALSE)</f>
        <v/>
      </c>
      <c r="J1061" s="278">
        <f>VLOOKUP($G1061,DATOS!$B:$E,4,FALSE)</f>
        <v/>
      </c>
      <c r="K1061" s="278" t="inlineStr">
        <is>
          <t>Honorarios - Contrato O&amp;M 4º Trimestre</t>
        </is>
      </c>
      <c r="L1061" s="280" t="n">
        <v>6946.428480379149</v>
      </c>
      <c r="N1061" s="280" t="n"/>
      <c r="P1061" s="280" t="n"/>
      <c r="R1061" s="280" t="n"/>
      <c r="T1061" s="280" t="n"/>
      <c r="V1061" s="280" t="n"/>
      <c r="X1061" s="280" t="n"/>
      <c r="Z1061" s="280" t="n"/>
      <c r="AA1061" s="280" t="n"/>
      <c r="AB1061" s="281" t="inlineStr">
        <is>
          <t>ES11 0081 7069 2700 0122 7724</t>
        </is>
      </c>
      <c r="AC1061" s="278" t="inlineStr">
        <is>
          <t>pendiente</t>
        </is>
      </c>
      <c r="AD1061" s="280">
        <f>L1061+N1061+P1061+R1061+T1061+V1061+X1061+Z1061</f>
        <v/>
      </c>
      <c r="AE1061" s="280">
        <f>IF((LEFT(K1061,6))="Contab",L1061,0)</f>
        <v/>
      </c>
      <c r="AF1061" s="281">
        <f>VLOOKUP(G1061,CLIENTES!B:E,4,FALSE)</f>
        <v/>
      </c>
      <c r="AG1061" s="280">
        <f>AF1061*AE1061</f>
        <v/>
      </c>
      <c r="AH1061" s="280">
        <f>AD1061*1.21</f>
        <v/>
      </c>
      <c r="AI1061" s="282">
        <f>IF(AE1061&lt;&gt;0,AG1061/AD1061,"N/A")</f>
        <v/>
      </c>
      <c r="AJ1061" s="280">
        <f>IF(AC1061="pendiente",AD1061,0)</f>
        <v/>
      </c>
      <c r="AK1061" s="278">
        <f>VLOOKUP(G1061,CLIENTES!B:D,3,FALSE)</f>
        <v/>
      </c>
    </row>
    <row r="1062" ht="15" customFormat="1" customHeight="1" s="278">
      <c r="B1062" s="279" t="n"/>
      <c r="C1062" s="278" t="inlineStr">
        <is>
          <t>c/ Las Cruzadas 3A, local D</t>
        </is>
      </c>
      <c r="D1062" s="278" t="inlineStr">
        <is>
          <t>Sevilla 41004</t>
        </is>
      </c>
      <c r="E1062" s="278" t="inlineStr">
        <is>
          <t>CIF B91938662</t>
        </is>
      </c>
      <c r="F1062" s="278" t="inlineStr">
        <is>
          <t>aBalados@abalados.es</t>
        </is>
      </c>
      <c r="G1062" s="278" t="inlineStr">
        <is>
          <t>Amberg II S.L.U.</t>
        </is>
      </c>
      <c r="H1062" s="278">
        <f>VLOOKUP($G1062,DATOS!$B:$E,2,FALSE)</f>
        <v/>
      </c>
      <c r="I1062" s="278">
        <f>VLOOKUP($G1062,DATOS!$B:$E,3,FALSE)</f>
        <v/>
      </c>
      <c r="J1062" s="278">
        <f>VLOOKUP($G1062,DATOS!$B:$E,4,FALSE)</f>
        <v/>
      </c>
      <c r="K1062" s="278" t="inlineStr">
        <is>
          <t>Honorarios - Contrato O&amp;M 4º Trimestre</t>
        </is>
      </c>
      <c r="L1062" s="280" t="n">
        <v>3740.954399472926</v>
      </c>
      <c r="N1062" s="280" t="n"/>
      <c r="P1062" s="280" t="n"/>
      <c r="R1062" s="280" t="n"/>
      <c r="T1062" s="280" t="n"/>
      <c r="V1062" s="280" t="n"/>
      <c r="X1062" s="280" t="n"/>
      <c r="Z1062" s="280" t="n"/>
      <c r="AA1062" s="280" t="n"/>
      <c r="AB1062" s="281" t="inlineStr">
        <is>
          <t>ES11 0081 7069 2700 0122 7724</t>
        </is>
      </c>
      <c r="AC1062" s="278" t="inlineStr">
        <is>
          <t>pendiente</t>
        </is>
      </c>
      <c r="AD1062" s="280">
        <f>L1062+N1062+P1062+R1062+T1062+V1062+X1062+Z1062</f>
        <v/>
      </c>
      <c r="AE1062" s="280">
        <f>IF((LEFT(K1062,6))="Contab",L1062,0)</f>
        <v/>
      </c>
      <c r="AF1062" s="281">
        <f>VLOOKUP(G1062,CLIENTES!B:E,4,FALSE)</f>
        <v/>
      </c>
      <c r="AG1062" s="280">
        <f>AF1062*AE1062</f>
        <v/>
      </c>
      <c r="AH1062" s="280">
        <f>AD1062*1.21</f>
        <v/>
      </c>
      <c r="AI1062" s="282">
        <f>IF(AE1062&lt;&gt;0,AG1062/AD1062,"N/A")</f>
        <v/>
      </c>
      <c r="AJ1062" s="280">
        <f>IF(AC1062="pendiente",AD1062,0)</f>
        <v/>
      </c>
      <c r="AK1062" s="278">
        <f>VLOOKUP(G1062,CLIENTES!B:D,3,FALSE)</f>
        <v/>
      </c>
    </row>
    <row r="1063" ht="15" customFormat="1" customHeight="1" s="278">
      <c r="B1063" s="279" t="n"/>
      <c r="C1063" s="278" t="inlineStr">
        <is>
          <t>c/ Las Cruzadas 3A, local D</t>
        </is>
      </c>
      <c r="D1063" s="278" t="inlineStr">
        <is>
          <t>Sevilla 41004</t>
        </is>
      </c>
      <c r="E1063" s="278" t="inlineStr">
        <is>
          <t>CIF B91938662</t>
        </is>
      </c>
      <c r="F1063" s="278" t="inlineStr">
        <is>
          <t>aBalados@abalados.es</t>
        </is>
      </c>
      <c r="G1063" s="278" t="inlineStr">
        <is>
          <t>Agrupación Solar el Algarrobo I, S.L.U.</t>
        </is>
      </c>
      <c r="H1063" s="278">
        <f>VLOOKUP($G1063,DATOS!$B:$E,2,FALSE)</f>
        <v/>
      </c>
      <c r="I1063" s="278">
        <f>VLOOKUP($G1063,DATOS!$B:$E,3,FALSE)</f>
        <v/>
      </c>
      <c r="J1063" s="278">
        <f>VLOOKUP($G1063,DATOS!$B:$E,4,FALSE)</f>
        <v/>
      </c>
      <c r="K1063" s="278" t="inlineStr">
        <is>
          <t>Honorarios - Contrato O&amp;M 4º Trimestre</t>
        </is>
      </c>
      <c r="L1063" s="280" t="n">
        <v>11061.73579669515</v>
      </c>
      <c r="N1063" s="280" t="n"/>
      <c r="P1063" s="280" t="n"/>
      <c r="R1063" s="280" t="n"/>
      <c r="T1063" s="280" t="n"/>
      <c r="V1063" s="280" t="n"/>
      <c r="X1063" s="280" t="n"/>
      <c r="Z1063" s="280" t="n"/>
      <c r="AA1063" s="280" t="n"/>
      <c r="AB1063" s="281" t="inlineStr">
        <is>
          <t>ES11 0081 7069 2700 0122 7724</t>
        </is>
      </c>
      <c r="AC1063" s="278" t="inlineStr">
        <is>
          <t>pendiente</t>
        </is>
      </c>
      <c r="AD1063" s="280">
        <f>L1063+N1063+P1063+R1063+T1063+V1063+X1063+Z1063</f>
        <v/>
      </c>
      <c r="AE1063" s="280">
        <f>IF((LEFT(K1063,6))="Contab",L1063,0)</f>
        <v/>
      </c>
      <c r="AF1063" s="281">
        <f>VLOOKUP(G1063,CLIENTES!B:E,4,FALSE)</f>
        <v/>
      </c>
      <c r="AG1063" s="280">
        <f>AF1063*AE1063</f>
        <v/>
      </c>
      <c r="AH1063" s="280">
        <f>AD1063*1.21</f>
        <v/>
      </c>
      <c r="AI1063" s="282">
        <f>IF(AE1063&lt;&gt;0,AG1063/AD1063,"N/A")</f>
        <v/>
      </c>
      <c r="AJ1063" s="280">
        <f>IF(AC1063="pendiente",AD1063,0)</f>
        <v/>
      </c>
      <c r="AK1063" s="278">
        <f>VLOOKUP(G1063,CLIENTES!B:D,3,FALSE)</f>
        <v/>
      </c>
    </row>
    <row r="1064" ht="15" customFormat="1" customHeight="1" s="278">
      <c r="B1064" s="279" t="n"/>
      <c r="C1064" s="278" t="inlineStr">
        <is>
          <t>c/ Las Cruzadas 3A, local D</t>
        </is>
      </c>
      <c r="D1064" s="278" t="inlineStr">
        <is>
          <t>Sevilla 41004</t>
        </is>
      </c>
      <c r="E1064" s="278" t="inlineStr">
        <is>
          <t>CIF B91938662</t>
        </is>
      </c>
      <c r="F1064" s="278" t="inlineStr">
        <is>
          <t>aBalados@abalados.es</t>
        </is>
      </c>
      <c r="G1064" s="278" t="inlineStr">
        <is>
          <t>Agrupación Solar el Algarrobo II, S.L.U.</t>
        </is>
      </c>
      <c r="H1064" s="278">
        <f>VLOOKUP($G1064,DATOS!$B:$E,2,FALSE)</f>
        <v/>
      </c>
      <c r="I1064" s="278">
        <f>VLOOKUP($G1064,DATOS!$B:$E,3,FALSE)</f>
        <v/>
      </c>
      <c r="J1064" s="278">
        <f>VLOOKUP($G1064,DATOS!$B:$E,4,FALSE)</f>
        <v/>
      </c>
      <c r="K1064" s="278" t="inlineStr">
        <is>
          <t>Honorarios - Contrato O&amp;M 4º Trimestre</t>
        </is>
      </c>
      <c r="L1064" s="280" t="n">
        <v>11061.73579669515</v>
      </c>
      <c r="N1064" s="280" t="n"/>
      <c r="P1064" s="280" t="n"/>
      <c r="R1064" s="280" t="n"/>
      <c r="T1064" s="280" t="n"/>
      <c r="V1064" s="280" t="n"/>
      <c r="X1064" s="280" t="n"/>
      <c r="Z1064" s="280" t="n"/>
      <c r="AA1064" s="280" t="n"/>
      <c r="AB1064" s="281" t="inlineStr">
        <is>
          <t>ES11 0081 7069 2700 0122 7724</t>
        </is>
      </c>
      <c r="AC1064" s="278" t="inlineStr">
        <is>
          <t>pendiente</t>
        </is>
      </c>
      <c r="AD1064" s="280">
        <f>L1064+N1064+P1064+R1064+T1064+V1064+X1064+Z1064</f>
        <v/>
      </c>
      <c r="AE1064" s="280">
        <f>IF((LEFT(K1064,6))="Contab",L1064,0)</f>
        <v/>
      </c>
      <c r="AF1064" s="281">
        <f>VLOOKUP(G1064,CLIENTES!B:E,4,FALSE)</f>
        <v/>
      </c>
      <c r="AG1064" s="280">
        <f>AF1064*AE1064</f>
        <v/>
      </c>
      <c r="AH1064" s="280">
        <f>AD1064*1.21</f>
        <v/>
      </c>
      <c r="AI1064" s="282">
        <f>IF(AE1064&lt;&gt;0,AG1064/AD1064,"N/A")</f>
        <v/>
      </c>
      <c r="AJ1064" s="280">
        <f>IF(AC1064="pendiente",AD1064,0)</f>
        <v/>
      </c>
      <c r="AK1064" s="278">
        <f>VLOOKUP(G1064,CLIENTES!B:D,3,FALSE)</f>
        <v/>
      </c>
    </row>
    <row r="1065" ht="15" customFormat="1" customHeight="1" s="278">
      <c r="B1065" s="279" t="n"/>
      <c r="C1065" s="278" t="inlineStr">
        <is>
          <t>c/ Las Cruzadas 3A, local D</t>
        </is>
      </c>
      <c r="D1065" s="278" t="inlineStr">
        <is>
          <t>Sevilla 41004</t>
        </is>
      </c>
      <c r="E1065" s="278" t="inlineStr">
        <is>
          <t>CIF B91938662</t>
        </is>
      </c>
      <c r="F1065" s="278" t="inlineStr">
        <is>
          <t>aBalados@abalados.es</t>
        </is>
      </c>
      <c r="G1065" s="278" t="inlineStr">
        <is>
          <t>Agrupación Solar el Algarrobo III, S.L.U.</t>
        </is>
      </c>
      <c r="H1065" s="278">
        <f>VLOOKUP($G1065,DATOS!$B:$E,2,FALSE)</f>
        <v/>
      </c>
      <c r="I1065" s="278">
        <f>VLOOKUP($G1065,DATOS!$B:$E,3,FALSE)</f>
        <v/>
      </c>
      <c r="J1065" s="278">
        <f>VLOOKUP($G1065,DATOS!$B:$E,4,FALSE)</f>
        <v/>
      </c>
      <c r="K1065" s="278" t="inlineStr">
        <is>
          <t>Honorarios - Contrato O&amp;M 4º Trimestre</t>
        </is>
      </c>
      <c r="L1065" s="280" t="n">
        <v>10008.23714939085</v>
      </c>
      <c r="N1065" s="280" t="n"/>
      <c r="P1065" s="280" t="n"/>
      <c r="R1065" s="280" t="n"/>
      <c r="T1065" s="280" t="n"/>
      <c r="V1065" s="280" t="n"/>
      <c r="X1065" s="280" t="n"/>
      <c r="Z1065" s="280" t="n"/>
      <c r="AA1065" s="280" t="n"/>
      <c r="AB1065" s="281" t="inlineStr">
        <is>
          <t>ES11 0081 7069 2700 0122 7724</t>
        </is>
      </c>
      <c r="AC1065" s="278" t="inlineStr">
        <is>
          <t>pendiente</t>
        </is>
      </c>
      <c r="AD1065" s="280">
        <f>L1065+N1065+P1065+R1065+T1065+V1065+X1065+Z1065</f>
        <v/>
      </c>
      <c r="AE1065" s="280">
        <f>IF((LEFT(K1065,6))="Contab",L1065,0)</f>
        <v/>
      </c>
      <c r="AF1065" s="281">
        <f>VLOOKUP(G1065,CLIENTES!B:E,4,FALSE)</f>
        <v/>
      </c>
      <c r="AG1065" s="280">
        <f>AF1065*AE1065</f>
        <v/>
      </c>
      <c r="AH1065" s="280">
        <f>AD1065*1.21</f>
        <v/>
      </c>
      <c r="AI1065" s="282">
        <f>IF(AE1065&lt;&gt;0,AG1065/AD1065,"N/A")</f>
        <v/>
      </c>
      <c r="AJ1065" s="280">
        <f>IF(AC1065="pendiente",AD1065,0)</f>
        <v/>
      </c>
      <c r="AK1065" s="278">
        <f>VLOOKUP(G1065,CLIENTES!B:D,3,FALSE)</f>
        <v/>
      </c>
    </row>
    <row r="1066" ht="15" customFormat="1" customHeight="1" s="278">
      <c r="B1066" s="279" t="n"/>
      <c r="C1066" s="278" t="inlineStr">
        <is>
          <t>c/ Las Cruzadas 3A, local D</t>
        </is>
      </c>
      <c r="D1066" s="278" t="inlineStr">
        <is>
          <t>Sevilla 41004</t>
        </is>
      </c>
      <c r="E1066" s="278" t="inlineStr">
        <is>
          <t>CIF B91938662</t>
        </is>
      </c>
      <c r="F1066" s="278" t="inlineStr">
        <is>
          <t>aBalados@abalados.es</t>
        </is>
      </c>
      <c r="G1066" s="278" t="inlineStr">
        <is>
          <t>Locaba Solar S.L.U.</t>
        </is>
      </c>
      <c r="H1066" s="278">
        <f>VLOOKUP($G1066,DATOS!$B:$E,2,FALSE)</f>
        <v/>
      </c>
      <c r="I1066" s="278">
        <f>VLOOKUP($G1066,DATOS!$B:$E,3,FALSE)</f>
        <v/>
      </c>
      <c r="J1066" s="278">
        <f>VLOOKUP($G1066,DATOS!$B:$E,4,FALSE)</f>
        <v/>
      </c>
      <c r="K1066" s="278" t="inlineStr">
        <is>
          <t>Honorarios - Contrato O&amp;M 4º Trimestre</t>
        </is>
      </c>
      <c r="L1066" s="280" t="n">
        <v>22000.33538786123</v>
      </c>
      <c r="N1066" s="280" t="n"/>
      <c r="P1066" s="280" t="n"/>
      <c r="R1066" s="280" t="n"/>
      <c r="T1066" s="280" t="n"/>
      <c r="V1066" s="280" t="n"/>
      <c r="X1066" s="280" t="n"/>
      <c r="Z1066" s="280" t="n"/>
      <c r="AA1066" s="280" t="n"/>
      <c r="AB1066" s="281" t="inlineStr">
        <is>
          <t>ES11 0081 7069 2700 0122 7724</t>
        </is>
      </c>
      <c r="AC1066" s="278" t="inlineStr">
        <is>
          <t>pendiente</t>
        </is>
      </c>
      <c r="AD1066" s="280">
        <f>L1066+N1066+P1066+R1066+T1066+V1066+X1066+Z1066</f>
        <v/>
      </c>
      <c r="AE1066" s="280">
        <f>IF((LEFT(K1066,6))="Contab",L1066,0)</f>
        <v/>
      </c>
      <c r="AF1066" s="281">
        <f>VLOOKUP(G1066,CLIENTES!B:E,4,FALSE)</f>
        <v/>
      </c>
      <c r="AG1066" s="280">
        <f>AF1066*AE1066</f>
        <v/>
      </c>
      <c r="AH1066" s="280">
        <f>AD1066*1.21</f>
        <v/>
      </c>
      <c r="AI1066" s="282">
        <f>IF(AE1066&lt;&gt;0,AG1066/AD1066,"N/A")</f>
        <v/>
      </c>
      <c r="AJ1066" s="280">
        <f>IF(AC1066="pendiente",AD1066,0)</f>
        <v/>
      </c>
      <c r="AK1066" s="278">
        <f>VLOOKUP(G1066,CLIENTES!B:D,3,FALSE)</f>
        <v/>
      </c>
    </row>
    <row r="1067" ht="15" customFormat="1" customHeight="1" s="278">
      <c r="B1067" s="279" t="n"/>
      <c r="C1067" s="278" t="inlineStr">
        <is>
          <t>c/ Las Cruzadas 3A, local D</t>
        </is>
      </c>
      <c r="D1067" s="278" t="inlineStr">
        <is>
          <t>Sevilla 41004</t>
        </is>
      </c>
      <c r="E1067" s="278" t="inlineStr">
        <is>
          <t>CIF B91938662</t>
        </is>
      </c>
      <c r="F1067" s="278" t="inlineStr">
        <is>
          <t>aBalados@abalados.es</t>
        </is>
      </c>
      <c r="G1067" s="278" t="inlineStr">
        <is>
          <t>Lo Illán  Parque Solar S.L.U.</t>
        </is>
      </c>
      <c r="H1067" s="278">
        <f>VLOOKUP($G1067,DATOS!$B:$E,2,FALSE)</f>
        <v/>
      </c>
      <c r="I1067" s="278">
        <f>VLOOKUP($G1067,DATOS!$B:$E,3,FALSE)</f>
        <v/>
      </c>
      <c r="J1067" s="278">
        <f>VLOOKUP($G1067,DATOS!$B:$E,4,FALSE)</f>
        <v/>
      </c>
      <c r="K1067" s="278" t="inlineStr">
        <is>
          <t>Honorarios - Contrato O&amp;M 4º Trimestre</t>
        </is>
      </c>
      <c r="L1067" s="280" t="n">
        <v>10897.42004851115</v>
      </c>
      <c r="N1067" s="280" t="n"/>
      <c r="P1067" s="280" t="n"/>
      <c r="R1067" s="280" t="n"/>
      <c r="T1067" s="280" t="n"/>
      <c r="V1067" s="280" t="n"/>
      <c r="X1067" s="280" t="n"/>
      <c r="Z1067" s="280" t="n"/>
      <c r="AA1067" s="280" t="n"/>
      <c r="AB1067" s="281" t="inlineStr">
        <is>
          <t>ES11 0081 7069 2700 0122 7724</t>
        </is>
      </c>
      <c r="AC1067" s="278" t="inlineStr">
        <is>
          <t>pendiente</t>
        </is>
      </c>
      <c r="AD1067" s="280">
        <f>L1067+N1067+P1067+R1067+T1067+V1067+X1067+Z1067</f>
        <v/>
      </c>
      <c r="AE1067" s="280">
        <f>IF((LEFT(K1067,6))="Contab",L1067,0)</f>
        <v/>
      </c>
      <c r="AF1067" s="281">
        <f>VLOOKUP(G1067,CLIENTES!B:E,4,FALSE)</f>
        <v/>
      </c>
      <c r="AG1067" s="280">
        <f>AF1067*AE1067</f>
        <v/>
      </c>
      <c r="AH1067" s="280">
        <f>AD1067*1.21</f>
        <v/>
      </c>
      <c r="AI1067" s="282">
        <f>IF(AE1067&lt;&gt;0,AG1067/AD1067,"N/A")</f>
        <v/>
      </c>
      <c r="AJ1067" s="280">
        <f>IF(AC1067="pendiente",AD1067,0)</f>
        <v/>
      </c>
      <c r="AK1067" s="278">
        <f>VLOOKUP(G1067,CLIENTES!B:D,3,FALSE)</f>
        <v/>
      </c>
    </row>
    <row r="1068" ht="15" customFormat="1" customHeight="1" s="278">
      <c r="B1068" s="279" t="n"/>
      <c r="C1068" s="278" t="inlineStr">
        <is>
          <t>c/ Las Cruzadas 3A, local D</t>
        </is>
      </c>
      <c r="D1068" s="278" t="inlineStr">
        <is>
          <t>Sevilla 41004</t>
        </is>
      </c>
      <c r="E1068" s="278" t="inlineStr">
        <is>
          <t>CIF B91938662</t>
        </is>
      </c>
      <c r="F1068" s="278" t="inlineStr">
        <is>
          <t>aBalados@abalados.es</t>
        </is>
      </c>
      <c r="G1068" s="278" t="inlineStr">
        <is>
          <t>Contreras Parque Solar S.L.U.</t>
        </is>
      </c>
      <c r="H1068" s="278">
        <f>VLOOKUP($G1068,DATOS!$B:$E,2,FALSE)</f>
        <v/>
      </c>
      <c r="I1068" s="278">
        <f>VLOOKUP($G1068,DATOS!$B:$E,3,FALSE)</f>
        <v/>
      </c>
      <c r="J1068" s="278">
        <f>VLOOKUP($G1068,DATOS!$B:$E,4,FALSE)</f>
        <v/>
      </c>
      <c r="K1068" s="278" t="inlineStr">
        <is>
          <t>Honorarios - Contrato O&amp;M 4º Trimestre</t>
        </is>
      </c>
      <c r="L1068" s="280" t="n">
        <v>16604.5068382126</v>
      </c>
      <c r="N1068" s="280" t="n"/>
      <c r="P1068" s="280" t="n"/>
      <c r="R1068" s="280" t="n"/>
      <c r="T1068" s="280" t="n"/>
      <c r="V1068" s="280" t="n"/>
      <c r="X1068" s="280" t="n"/>
      <c r="Z1068" s="280" t="n"/>
      <c r="AA1068" s="280" t="n"/>
      <c r="AB1068" s="281" t="inlineStr">
        <is>
          <t>ES11 0081 7069 2700 0122 7724</t>
        </is>
      </c>
      <c r="AC1068" s="278" t="inlineStr">
        <is>
          <t>pendiente</t>
        </is>
      </c>
      <c r="AD1068" s="280">
        <f>L1068+N1068+P1068+R1068+T1068+V1068+X1068+Z1068</f>
        <v/>
      </c>
      <c r="AE1068" s="280">
        <f>IF((LEFT(K1068,6))="Contab",L1068,0)</f>
        <v/>
      </c>
      <c r="AF1068" s="281">
        <f>VLOOKUP(G1068,CLIENTES!B:E,4,FALSE)</f>
        <v/>
      </c>
      <c r="AG1068" s="280">
        <f>AF1068*AE1068</f>
        <v/>
      </c>
      <c r="AH1068" s="280">
        <f>AD1068*1.21</f>
        <v/>
      </c>
      <c r="AI1068" s="282">
        <f>IF(AE1068&lt;&gt;0,AG1068/AD1068,"N/A")</f>
        <v/>
      </c>
      <c r="AJ1068" s="280">
        <f>IF(AC1068="pendiente",AD1068,0)</f>
        <v/>
      </c>
      <c r="AK1068" s="278">
        <f>VLOOKUP(G1068,CLIENTES!B:D,3,FALSE)</f>
        <v/>
      </c>
    </row>
    <row r="1069" ht="15" customFormat="1" customHeight="1" s="278">
      <c r="B1069" s="279" t="n"/>
      <c r="C1069" s="278" t="inlineStr">
        <is>
          <t>c/ Las Cruzadas 3A, local D</t>
        </is>
      </c>
      <c r="D1069" s="278" t="inlineStr">
        <is>
          <t>Sevilla 41004</t>
        </is>
      </c>
      <c r="E1069" s="278" t="inlineStr">
        <is>
          <t>CIF B91938662</t>
        </is>
      </c>
      <c r="F1069" s="278" t="inlineStr">
        <is>
          <t>aBalados@abalados.es</t>
        </is>
      </c>
      <c r="G1069" s="278" t="inlineStr">
        <is>
          <t>Turbinto Parque Solar S.L.U.</t>
        </is>
      </c>
      <c r="H1069" s="278">
        <f>VLOOKUP($G1069,DATOS!$B:$E,2,FALSE)</f>
        <v/>
      </c>
      <c r="I1069" s="278">
        <f>VLOOKUP($G1069,DATOS!$B:$E,3,FALSE)</f>
        <v/>
      </c>
      <c r="J1069" s="278">
        <f>VLOOKUP($G1069,DATOS!$B:$E,4,FALSE)</f>
        <v/>
      </c>
      <c r="K1069" s="278" t="inlineStr">
        <is>
          <t>Honorarios - Contrato O&amp;M 4º Trimestre</t>
        </is>
      </c>
      <c r="L1069" s="280" t="n">
        <v>11831.1860795159</v>
      </c>
      <c r="N1069" s="280" t="n"/>
      <c r="P1069" s="280" t="n"/>
      <c r="R1069" s="280" t="n"/>
      <c r="T1069" s="280" t="n"/>
      <c r="V1069" s="280" t="n"/>
      <c r="X1069" s="280" t="n"/>
      <c r="Z1069" s="280" t="n"/>
      <c r="AA1069" s="280" t="n"/>
      <c r="AB1069" s="281" t="inlineStr">
        <is>
          <t>ES11 0081 7069 2700 0122 7724</t>
        </is>
      </c>
      <c r="AC1069" s="278" t="inlineStr">
        <is>
          <t>pendiente</t>
        </is>
      </c>
      <c r="AD1069" s="280">
        <f>L1069+N1069+P1069+R1069+T1069+V1069+X1069+Z1069</f>
        <v/>
      </c>
      <c r="AE1069" s="280">
        <f>IF((LEFT(K1069,6))="Contab",L1069,0)</f>
        <v/>
      </c>
      <c r="AF1069" s="281">
        <f>VLOOKUP(G1069,CLIENTES!B:E,4,FALSE)</f>
        <v/>
      </c>
      <c r="AG1069" s="280">
        <f>AF1069*AE1069</f>
        <v/>
      </c>
      <c r="AH1069" s="280">
        <f>AD1069*1.21</f>
        <v/>
      </c>
      <c r="AI1069" s="282">
        <f>IF(AE1069&lt;&gt;0,AG1069/AD1069,"N/A")</f>
        <v/>
      </c>
      <c r="AJ1069" s="280">
        <f>IF(AC1069="pendiente",AD1069,0)</f>
        <v/>
      </c>
      <c r="AK1069" s="278">
        <f>VLOOKUP(G1069,CLIENTES!B:D,3,FALSE)</f>
        <v/>
      </c>
    </row>
    <row r="1070" ht="15" customFormat="1" customHeight="1" s="192">
      <c r="B1070" s="199" t="n"/>
      <c r="C1070" s="192" t="inlineStr">
        <is>
          <t>c/ Las Cruzadas 3A, local D</t>
        </is>
      </c>
      <c r="D1070" s="192" t="inlineStr">
        <is>
          <t>Sevilla 41004</t>
        </is>
      </c>
      <c r="E1070" s="192" t="inlineStr">
        <is>
          <t>CIF B91938662</t>
        </is>
      </c>
      <c r="F1070" s="192" t="inlineStr">
        <is>
          <t>aBalados@abalados.es</t>
        </is>
      </c>
      <c r="G1070" s="192" t="inlineStr">
        <is>
          <t>FP LUX REIO PV ZARAGOZA SL.</t>
        </is>
      </c>
      <c r="H1070" s="192">
        <f>VLOOKUP($G1070,DATOS!$B:$E,2,FALSE)</f>
        <v/>
      </c>
      <c r="I1070" s="192">
        <f>VLOOKUP($G1070,DATOS!$B:$E,3,FALSE)</f>
        <v/>
      </c>
      <c r="J1070" s="192">
        <f>VLOOKUP($G1070,DATOS!$B:$E,4,FALSE)</f>
        <v/>
      </c>
      <c r="K1070" s="192" t="inlineStr">
        <is>
          <t>Proyecto El Marqués - Zaragoza</t>
        </is>
      </c>
      <c r="L1070" s="200" t="n"/>
      <c r="M1070" s="192" t="inlineStr">
        <is>
          <t>Honorarios - Contrato O&amp;M 4º Trimestre 2023</t>
        </is>
      </c>
      <c r="N1070" s="200" t="n">
        <v>22242.6607178916</v>
      </c>
      <c r="P1070" s="200" t="n"/>
      <c r="Q1070" s="192" t="inlineStr">
        <is>
          <t>O&amp;M Fee - 4Q2023</t>
        </is>
      </c>
      <c r="R1070" s="200" t="n"/>
      <c r="T1070" s="200" t="n"/>
      <c r="V1070" s="200" t="n"/>
      <c r="X1070" s="200" t="n"/>
      <c r="Z1070" s="200" t="n"/>
      <c r="AA1070" s="200" t="n"/>
      <c r="AB1070" s="201" t="inlineStr">
        <is>
          <t>ES11 0081 7069 2700 0122 7724</t>
        </is>
      </c>
      <c r="AC1070" s="192" t="inlineStr">
        <is>
          <t>pendiente</t>
        </is>
      </c>
      <c r="AD1070" s="200">
        <f>L1070+N1070+P1070+R1070+T1070+V1070+X1070+Z1070</f>
        <v/>
      </c>
      <c r="AE1070" s="200">
        <f>IF((LEFT(K1070,6))="Contab",L1070,0)</f>
        <v/>
      </c>
      <c r="AF1070" s="201">
        <f>VLOOKUP(G1070,CLIENTES!B:E,4,FALSE)</f>
        <v/>
      </c>
      <c r="AG1070" s="200">
        <f>AF1070*AE1070</f>
        <v/>
      </c>
      <c r="AH1070" s="200">
        <f>AD1070*1.21</f>
        <v/>
      </c>
      <c r="AI1070" s="283">
        <f>IF(AE1070&lt;&gt;0,AG1070/AD1070,"N/A")</f>
        <v/>
      </c>
      <c r="AJ1070" s="200">
        <f>IF(AC1070="pendiente",AD1070,0)</f>
        <v/>
      </c>
      <c r="AK1070" s="192">
        <f>VLOOKUP(G1070,CLIENTES!B:D,3,FALSE)</f>
        <v/>
      </c>
    </row>
    <row r="1071" ht="15" customFormat="1" customHeight="1" s="189">
      <c r="B1071" s="188" t="n"/>
      <c r="C1071" s="189" t="inlineStr">
        <is>
          <t>c/ Las Cruzadas 3A, local D</t>
        </is>
      </c>
      <c r="D1071" s="189" t="inlineStr">
        <is>
          <t>Sevilla 41004</t>
        </is>
      </c>
      <c r="E1071" s="189" t="inlineStr">
        <is>
          <t>CIF B91938662</t>
        </is>
      </c>
      <c r="F1071" s="189" t="inlineStr">
        <is>
          <t>aBalados@abalados.es</t>
        </is>
      </c>
      <c r="G1071" s="189" t="inlineStr">
        <is>
          <t>Arcadia Renovables, S.L.</t>
        </is>
      </c>
      <c r="H1071" s="189">
        <f>VLOOKUP($G1071,DATOS!$B:$E,2,FALSE)</f>
        <v/>
      </c>
      <c r="I1071" s="189">
        <f>VLOOKUP($G1071,DATOS!$B:$E,3,FALSE)</f>
        <v/>
      </c>
      <c r="J1071" s="189">
        <f>VLOOKUP($G1071,DATOS!$B:$E,4,FALSE)</f>
        <v/>
      </c>
      <c r="K1071" s="189" t="inlineStr">
        <is>
          <t>Legal&amp;Accounting Assistance</t>
        </is>
      </c>
      <c r="L1071" s="190" t="n"/>
      <c r="N1071" s="190" t="n"/>
      <c r="O1071" s="189" t="inlineStr">
        <is>
          <t>Update for the legal and economical analysis of AR1, AR2 and AR3 in each corresponding Grid Node,</t>
        </is>
      </c>
      <c r="P1071" s="190" t="n">
        <v>2550</v>
      </c>
      <c r="Q1071" s="189" t="inlineStr">
        <is>
          <t>identifying any updated potential obligation and risk that may have been recently suscribed.</t>
        </is>
      </c>
      <c r="R1071" s="190" t="n"/>
      <c r="T1071" s="190" t="n"/>
      <c r="U1071" s="189" t="inlineStr">
        <is>
          <t xml:space="preserve">  · Grid Node SET CARMONA 400 kV RENOVABLES, S.L.</t>
        </is>
      </c>
      <c r="V1071" s="190" t="n"/>
      <c r="W1071" s="189" t="inlineStr">
        <is>
          <t xml:space="preserve">  · Grid Node EVACUACIÓN CARMONA 400-220 kV RENOVABLES, S.L.</t>
        </is>
      </c>
      <c r="X1071" s="190" t="n"/>
      <c r="Y1071" s="189" t="inlineStr">
        <is>
          <t xml:space="preserve">  · Grid Node ENERGÍAS LIMPIAS DE CARMONA, S.L.</t>
        </is>
      </c>
      <c r="Z1071" s="190" t="n"/>
      <c r="AA1071" s="190" t="n"/>
      <c r="AB1071" s="191" t="inlineStr">
        <is>
          <t>ES11 0081 7069 2700 0122 7724</t>
        </is>
      </c>
      <c r="AC1071" s="189" t="inlineStr">
        <is>
          <t>pendiente</t>
        </is>
      </c>
      <c r="AD1071" s="190">
        <f>L1071+N1071+P1071+R1071+T1071+V1071+X1071+Z1071</f>
        <v/>
      </c>
      <c r="AE1071" s="190">
        <f>IF((LEFT(K1071,6))="Contab",L1071,0)</f>
        <v/>
      </c>
      <c r="AF1071" s="191">
        <f>VLOOKUP(G1071,CLIENTES!B:E,4,FALSE)</f>
        <v/>
      </c>
      <c r="AG1071" s="190">
        <f>AF1071*AE1071</f>
        <v/>
      </c>
      <c r="AH1071" s="190">
        <f>AD1071*1.21</f>
        <v/>
      </c>
      <c r="AI1071" s="289">
        <f>IF(AE1071&lt;&gt;0,AG1071/AD1071,"N/A")</f>
        <v/>
      </c>
      <c r="AJ1071" s="190">
        <f>IF(AC1071="pendiente",AD1071,0)</f>
        <v/>
      </c>
      <c r="AK1071" s="189">
        <f>VLOOKUP(G1071,CLIENTES!B:D,3,FALSE)</f>
        <v/>
      </c>
    </row>
    <row r="1072" ht="15" customFormat="1" customHeight="1" s="189">
      <c r="B1072" s="188" t="n"/>
      <c r="C1072" s="189" t="inlineStr">
        <is>
          <t>c/ Las Cruzadas 3A, local D</t>
        </is>
      </c>
      <c r="D1072" s="189" t="inlineStr">
        <is>
          <t>Sevilla 41004</t>
        </is>
      </c>
      <c r="E1072" s="189" t="inlineStr">
        <is>
          <t>CIF B91938662</t>
        </is>
      </c>
      <c r="F1072" s="189" t="inlineStr">
        <is>
          <t>aBalados@abalados.es</t>
        </is>
      </c>
      <c r="G1072" s="189" t="inlineStr">
        <is>
          <t>China Triumph International Engineering Co., LTD EP EN SPAIN</t>
        </is>
      </c>
      <c r="H1072" s="189">
        <f>VLOOKUP($G1072,DATOS!$B:$E,2,FALSE)</f>
        <v/>
      </c>
      <c r="I1072" s="189">
        <f>VLOOKUP($G1072,DATOS!$B:$E,3,FALSE)</f>
        <v/>
      </c>
      <c r="J1072" s="189">
        <f>VLOOKUP($G1072,DATOS!$B:$E,4,FALSE)</f>
        <v/>
      </c>
      <c r="K1072" s="189" t="inlineStr">
        <is>
          <t>O&amp;M Supervision and Management  -  Contract Novation (DoA July 20th 2023)</t>
        </is>
      </c>
      <c r="L1072" s="190" t="n"/>
      <c r="M1072" s="189" t="inlineStr">
        <is>
          <t>Puerto Real 1 PV - Cádiz | Spain</t>
        </is>
      </c>
      <c r="N1072" s="190" t="n"/>
      <c r="P1072" s="190" t="n"/>
      <c r="Q1072" s="189" t="inlineStr">
        <is>
          <t>Milestone 1 - FAC tests results submission to the Owner</t>
        </is>
      </c>
      <c r="R1072" s="190" t="n">
        <v>24678</v>
      </c>
      <c r="T1072" s="190" t="n"/>
      <c r="V1072" s="190" t="n"/>
      <c r="X1072" s="190" t="n"/>
      <c r="Z1072" s="190" t="n"/>
      <c r="AA1072" s="190" t="n"/>
      <c r="AB1072" s="191" t="inlineStr">
        <is>
          <t>ES11 0081 7069 2700 0122 7724</t>
        </is>
      </c>
      <c r="AC1072" s="189" t="inlineStr">
        <is>
          <t>pendiente</t>
        </is>
      </c>
      <c r="AD1072" s="190">
        <f>L1072+N1072+P1072+R1072+T1072+V1072+X1072+Z1072</f>
        <v/>
      </c>
      <c r="AE1072" s="190">
        <f>IF((LEFT(K1072,6))="Contab",L1072,0)</f>
        <v/>
      </c>
      <c r="AF1072" s="191">
        <f>VLOOKUP(G1072,CLIENTES!B:E,4,FALSE)</f>
        <v/>
      </c>
      <c r="AG1072" s="190">
        <f>AF1072*AE1072</f>
        <v/>
      </c>
      <c r="AH1072" s="190">
        <f>AD1072*1.21</f>
        <v/>
      </c>
      <c r="AI1072" s="289">
        <f>IF(AE1072&lt;&gt;0,AG1072/AD1072,"N/A")</f>
        <v/>
      </c>
      <c r="AJ1072" s="190">
        <f>IF(AC1072="pendiente",AD1072,0)</f>
        <v/>
      </c>
      <c r="AK1072" s="189">
        <f>VLOOKUP(G1072,CLIENTES!B:D,3,FALSE)</f>
        <v/>
      </c>
    </row>
    <row r="1073" ht="15" customFormat="1" customHeight="1" s="189">
      <c r="B1073" s="188" t="n"/>
      <c r="C1073" s="189" t="inlineStr">
        <is>
          <t>c/ Las Cruzadas 3A, local D</t>
        </is>
      </c>
      <c r="D1073" s="189" t="inlineStr">
        <is>
          <t>Sevilla 41004</t>
        </is>
      </c>
      <c r="E1073" s="189" t="inlineStr">
        <is>
          <t>CIF B91938662</t>
        </is>
      </c>
      <c r="F1073" s="189" t="inlineStr">
        <is>
          <t>aBalados@abalados.es</t>
        </is>
      </c>
      <c r="G1073" s="189" t="inlineStr">
        <is>
          <t>China Triumph International Engineering Co., LTD EP EN SPAIN</t>
        </is>
      </c>
      <c r="H1073" s="189">
        <f>VLOOKUP($G1073,DATOS!$B:$E,2,FALSE)</f>
        <v/>
      </c>
      <c r="I1073" s="189">
        <f>VLOOKUP($G1073,DATOS!$B:$E,3,FALSE)</f>
        <v/>
      </c>
      <c r="J1073" s="189">
        <f>VLOOKUP($G1073,DATOS!$B:$E,4,FALSE)</f>
        <v/>
      </c>
      <c r="K1073" s="189" t="inlineStr">
        <is>
          <t>INTERIM O&amp;M SERVICE AGREEMENT</t>
        </is>
      </c>
      <c r="L1073" s="190" t="n"/>
      <c r="M1073" s="189" t="inlineStr">
        <is>
          <t>Puerto Real 2 PV - Cádiz | Spain</t>
        </is>
      </c>
      <c r="N1073" s="190" t="n"/>
      <c r="P1073" s="190" t="n"/>
      <c r="Q1073" s="189" t="inlineStr">
        <is>
          <t>Monthly Services Price  -  October 2023</t>
        </is>
      </c>
      <c r="R1073" s="190">
        <f>22000</f>
        <v/>
      </c>
      <c r="T1073" s="190" t="n"/>
      <c r="V1073" s="190" t="n"/>
      <c r="X1073" s="190" t="n"/>
      <c r="Z1073" s="190" t="n"/>
      <c r="AA1073" s="190" t="n"/>
      <c r="AB1073" s="191" t="inlineStr">
        <is>
          <t>ES11 0081 7069 2700 0122 7724</t>
        </is>
      </c>
      <c r="AC1073" s="189" t="inlineStr">
        <is>
          <t>pendiente</t>
        </is>
      </c>
      <c r="AD1073" s="190">
        <f>L1073+N1073+P1073+R1073+T1073+V1073+X1073+Z1073</f>
        <v/>
      </c>
      <c r="AE1073" s="190">
        <f>IF((LEFT(K1073,6))="Contab",L1073,0)</f>
        <v/>
      </c>
      <c r="AF1073" s="191">
        <f>VLOOKUP(G1073,CLIENTES!B:E,4,FALSE)</f>
        <v/>
      </c>
      <c r="AG1073" s="190">
        <f>AF1073*AE1073</f>
        <v/>
      </c>
      <c r="AH1073" s="190">
        <f>AD1073*1.21</f>
        <v/>
      </c>
      <c r="AI1073" s="289">
        <f>IF(AE1073&lt;&gt;0,AG1073/AD1073,"N/A")</f>
        <v/>
      </c>
      <c r="AJ1073" s="190">
        <f>IF(AC1073="pendiente",AD1073,0)</f>
        <v/>
      </c>
      <c r="AK1073" s="189">
        <f>VLOOKUP(G1073,CLIENTES!B:D,3,FALSE)</f>
        <v/>
      </c>
    </row>
    <row r="1074" ht="15" customFormat="1" customHeight="1" s="189">
      <c r="B1074" s="188" t="n"/>
      <c r="C1074" s="189" t="inlineStr">
        <is>
          <t>c/ Las Cruzadas 3A, local D</t>
        </is>
      </c>
      <c r="D1074" s="189" t="inlineStr">
        <is>
          <t>Sevilla 41004</t>
        </is>
      </c>
      <c r="E1074" s="189" t="inlineStr">
        <is>
          <t>CIF B91938662</t>
        </is>
      </c>
      <c r="F1074" s="189" t="inlineStr">
        <is>
          <t>aBalados@abalados.es</t>
        </is>
      </c>
      <c r="G1074" s="189" t="inlineStr">
        <is>
          <t>China Triumph International Engineering Co., LTD EP EN SPAIN</t>
        </is>
      </c>
      <c r="H1074" s="189">
        <f>VLOOKUP($G1074,DATOS!$B:$E,2,FALSE)</f>
        <v/>
      </c>
      <c r="I1074" s="189">
        <f>VLOOKUP($G1074,DATOS!$B:$E,3,FALSE)</f>
        <v/>
      </c>
      <c r="J1074" s="189">
        <f>VLOOKUP($G1074,DATOS!$B:$E,4,FALSE)</f>
        <v/>
      </c>
      <c r="K1074" s="189" t="inlineStr">
        <is>
          <t>INTERIM O&amp;M SERVICE AGREEMENT</t>
        </is>
      </c>
      <c r="L1074" s="190" t="n"/>
      <c r="M1074" s="189" t="inlineStr">
        <is>
          <t>Puerto Real 2 PV - Cádiz | Spain</t>
        </is>
      </c>
      <c r="N1074" s="190" t="n"/>
      <c r="P1074" s="190" t="n"/>
      <c r="Q1074" s="189" t="inlineStr">
        <is>
          <t>Monthly Services Price  -  November 2023</t>
        </is>
      </c>
      <c r="R1074" s="190">
        <f>22000/2</f>
        <v/>
      </c>
      <c r="S1074" s="189" t="inlineStr">
        <is>
          <t>Service finished on November 15th, as informed in FN "SP067-Abalados-CTIEC-NS-20231115"</t>
        </is>
      </c>
      <c r="T1074" s="190" t="n"/>
      <c r="U1074" s="189" t="inlineStr">
        <is>
          <t xml:space="preserve"> </t>
        </is>
      </c>
      <c r="V1074" s="190" t="n"/>
      <c r="W1074" s="189" t="inlineStr">
        <is>
          <t>Adjusted fee, as agreed in DoA 2312_01, issued on December 11th</t>
        </is>
      </c>
      <c r="X1074" s="190" t="n">
        <v>-1674.19</v>
      </c>
      <c r="Y1074" s="189" t="inlineStr">
        <is>
          <t>(partial November, October, September, partial August)</t>
        </is>
      </c>
      <c r="Z1074" s="190" t="n"/>
      <c r="AA1074" s="190" t="n"/>
      <c r="AB1074" s="191" t="inlineStr">
        <is>
          <t>ES11 0081 7069 2700 0122 7724</t>
        </is>
      </c>
      <c r="AC1074" s="189" t="inlineStr">
        <is>
          <t>pendiente</t>
        </is>
      </c>
      <c r="AD1074" s="190">
        <f>L1074+N1074+P1074+R1074+T1074+V1074+X1074+Z1074</f>
        <v/>
      </c>
      <c r="AE1074" s="190">
        <f>IF((LEFT(K1074,6))="Contab",L1074,0)</f>
        <v/>
      </c>
      <c r="AF1074" s="191">
        <f>VLOOKUP(G1074,CLIENTES!B:E,4,FALSE)</f>
        <v/>
      </c>
      <c r="AG1074" s="190">
        <f>AF1074*AE1074</f>
        <v/>
      </c>
      <c r="AH1074" s="190">
        <f>AD1074*1.21</f>
        <v/>
      </c>
      <c r="AI1074" s="289">
        <f>IF(AE1074&lt;&gt;0,AG1074/AD1074,"N/A")</f>
        <v/>
      </c>
      <c r="AJ1074" s="190">
        <f>IF(AC1074="pendiente",AD1074,0)</f>
        <v/>
      </c>
      <c r="AK1074" s="189">
        <f>VLOOKUP(G1074,CLIENTES!B:D,3,FALSE)</f>
        <v/>
      </c>
    </row>
    <row r="1075" ht="15" customFormat="1" customHeight="1" s="189">
      <c r="B1075" s="188" t="n"/>
      <c r="C1075" s="189" t="inlineStr">
        <is>
          <t>c/ Las Cruzadas 3A, local D</t>
        </is>
      </c>
      <c r="D1075" s="189" t="inlineStr">
        <is>
          <t>Sevilla 41004</t>
        </is>
      </c>
      <c r="E1075" s="189" t="inlineStr">
        <is>
          <t>CIF B91938662</t>
        </is>
      </c>
      <c r="F1075" s="189" t="inlineStr">
        <is>
          <t>aBalados@abalados.es</t>
        </is>
      </c>
      <c r="G1075" s="189" t="inlineStr">
        <is>
          <t>China Triumph International Engineering Co., LTD EP EN SPAIN</t>
        </is>
      </c>
      <c r="H1075" s="189">
        <f>VLOOKUP($G1075,DATOS!$B:$E,2,FALSE)</f>
        <v/>
      </c>
      <c r="I1075" s="189">
        <f>VLOOKUP($G1075,DATOS!$B:$E,3,FALSE)</f>
        <v/>
      </c>
      <c r="J1075" s="189">
        <f>VLOOKUP($G1075,DATOS!$B:$E,4,FALSE)</f>
        <v/>
      </c>
      <c r="K1075" s="189" t="inlineStr">
        <is>
          <t>PUK Arbitration witness</t>
        </is>
      </c>
      <c r="L1075" s="190" t="n"/>
      <c r="M1075" s="189" t="inlineStr">
        <is>
          <t>Puerto Real 1 PV - Cádiz | Spain</t>
        </is>
      </c>
      <c r="N1075" s="190" t="n"/>
      <c r="P1075" s="190" t="n"/>
      <c r="Q1075" s="189" t="inlineStr">
        <is>
          <t>Service assistance (minimum service - 20h)</t>
        </is>
      </c>
      <c r="R1075" s="190" t="n">
        <v>7000</v>
      </c>
      <c r="S1075" s="189" t="inlineStr">
        <is>
          <t>Travel rate</t>
        </is>
      </c>
      <c r="T1075" s="190" t="n">
        <v>1100</v>
      </c>
      <c r="U1075" s="189" t="inlineStr">
        <is>
          <t>Pocket expenses</t>
        </is>
      </c>
      <c r="V1075" s="190" t="n">
        <v>178.99</v>
      </c>
      <c r="X1075" s="190" t="n"/>
      <c r="Z1075" s="190" t="n"/>
      <c r="AA1075" s="190" t="n"/>
      <c r="AB1075" s="191" t="inlineStr">
        <is>
          <t>ES11 0081 7069 2700 0122 7724</t>
        </is>
      </c>
      <c r="AC1075" s="189" t="inlineStr">
        <is>
          <t>pendiente</t>
        </is>
      </c>
      <c r="AD1075" s="190">
        <f>L1075+N1075+P1075+R1075+T1075+V1075+X1075+Z1075</f>
        <v/>
      </c>
      <c r="AE1075" s="190">
        <f>IF((LEFT(K1075,6))="Contab",L1075,0)</f>
        <v/>
      </c>
      <c r="AF1075" s="191">
        <f>VLOOKUP(G1075,CLIENTES!B:E,4,FALSE)</f>
        <v/>
      </c>
      <c r="AG1075" s="190">
        <f>AF1075*AE1075</f>
        <v/>
      </c>
      <c r="AH1075" s="190">
        <f>AD1075*1.21</f>
        <v/>
      </c>
      <c r="AI1075" s="289">
        <f>IF(AE1075&lt;&gt;0,AG1075/AD1075,"N/A")</f>
        <v/>
      </c>
      <c r="AJ1075" s="190">
        <f>IF(AC1075="pendiente",AD1075,0)</f>
        <v/>
      </c>
      <c r="AK1075" s="189">
        <f>VLOOKUP(G1075,CLIENTES!B:D,3,FALSE)</f>
        <v/>
      </c>
    </row>
    <row r="1076" ht="15" customFormat="1" customHeight="1" s="278">
      <c r="B1076" s="279" t="n"/>
      <c r="C1076" s="278" t="inlineStr">
        <is>
          <t>c/ Las Cruzadas 3A, local D</t>
        </is>
      </c>
      <c r="D1076" s="278" t="inlineStr">
        <is>
          <t>Sevilla 41004</t>
        </is>
      </c>
      <c r="E1076" s="278" t="inlineStr">
        <is>
          <t>CIF B91938662</t>
        </is>
      </c>
      <c r="F1076" s="278" t="inlineStr">
        <is>
          <t>aBalados@abalados.es</t>
        </is>
      </c>
      <c r="G1076" s="278" t="inlineStr">
        <is>
          <t>Valcabado Renovables 220 kV, S.L.</t>
        </is>
      </c>
      <c r="H1076" s="278">
        <f>VLOOKUP($G1076,DATOS!$B:$E,2,FALSE)</f>
        <v/>
      </c>
      <c r="I1076" s="278">
        <f>VLOOKUP($G1076,DATOS!$B:$E,3,FALSE)</f>
        <v/>
      </c>
      <c r="J1076" s="278">
        <f>VLOOKUP($G1076,DATOS!$B:$E,4,FALSE)</f>
        <v/>
      </c>
      <c r="K1076" s="278" t="inlineStr">
        <is>
          <t>Contrato de Asset Management - Subestación Valcabado</t>
        </is>
      </c>
      <c r="L1076" s="280" t="n"/>
      <c r="N1076" s="280" t="n"/>
      <c r="O1076" s="278" t="inlineStr">
        <is>
          <t>Fee Trimestral - 01Octubre/31Diciembre 2023</t>
        </is>
      </c>
      <c r="P1076" s="280">
        <f>2898*3 *1.098*1.033</f>
        <v/>
      </c>
      <c r="R1076" s="280" t="n"/>
      <c r="T1076" s="280" t="n"/>
      <c r="V1076" s="280" t="n"/>
      <c r="X1076" s="280" t="n"/>
      <c r="Z1076" s="280" t="n"/>
      <c r="AA1076" s="280" t="n"/>
      <c r="AB1076" s="281" t="inlineStr">
        <is>
          <t>ES11 0081 7069 2700 0122 7724</t>
        </is>
      </c>
      <c r="AC1076" s="278" t="inlineStr">
        <is>
          <t>pendiente</t>
        </is>
      </c>
      <c r="AD1076" s="280">
        <f>L1076+N1076+P1076+R1076+T1076+V1076+X1076+Z1076</f>
        <v/>
      </c>
      <c r="AE1076" s="280">
        <f>IF((LEFT(K1076,6))="Contab",L1076,0)</f>
        <v/>
      </c>
      <c r="AF1076" s="281">
        <f>VLOOKUP(G1076,CLIENTES!B:E,4,FALSE)</f>
        <v/>
      </c>
      <c r="AG1076" s="280">
        <f>AF1076*AE1076</f>
        <v/>
      </c>
      <c r="AH1076" s="280">
        <f>AD1076*1.21</f>
        <v/>
      </c>
      <c r="AI1076" s="284">
        <f>IF(AE1076&lt;&gt;0,AG1076/AD1076,"N/A")</f>
        <v/>
      </c>
      <c r="AJ1076" s="280">
        <f>IF(AC1076="pendiente",AD1076,0)</f>
        <v/>
      </c>
      <c r="AK1076" s="278">
        <f>VLOOKUP(G1076,CLIENTES!B:D,3,FALSE)</f>
        <v/>
      </c>
    </row>
    <row r="1077" ht="15" customFormat="1" customHeight="1" s="278">
      <c r="B1077" s="279" t="n"/>
      <c r="C1077" s="278" t="inlineStr">
        <is>
          <t>c/ Las Cruzadas 3A, local D</t>
        </is>
      </c>
      <c r="D1077" s="278" t="inlineStr">
        <is>
          <t>Sevilla 41004</t>
        </is>
      </c>
      <c r="E1077" s="278" t="inlineStr">
        <is>
          <t>CIF B91938662</t>
        </is>
      </c>
      <c r="F1077" s="278" t="inlineStr">
        <is>
          <t>aBalados@abalados.es</t>
        </is>
      </c>
      <c r="G1077" s="278" t="inlineStr">
        <is>
          <t>Grijota Renovables, S.L.</t>
        </is>
      </c>
      <c r="H1077" s="278">
        <f>VLOOKUP($G1077,DATOS!$B:$E,2,FALSE)</f>
        <v/>
      </c>
      <c r="I1077" s="278">
        <f>VLOOKUP($G1077,DATOS!$B:$E,3,FALSE)</f>
        <v/>
      </c>
      <c r="J1077" s="278">
        <f>VLOOKUP($G1077,DATOS!$B:$E,4,FALSE)</f>
        <v/>
      </c>
      <c r="K1077" s="278" t="inlineStr">
        <is>
          <t>Contrato de Asset Management - Subestación Grijota</t>
        </is>
      </c>
      <c r="L1077" s="280" t="n"/>
      <c r="N1077" s="280" t="n"/>
      <c r="O1077" s="278" t="inlineStr">
        <is>
          <t>Fee Trimestral - 01Octubre/31Diciembre 2023</t>
        </is>
      </c>
      <c r="P1077" s="280">
        <f>3* 1035 * 1.108*1.023</f>
        <v/>
      </c>
      <c r="R1077" s="280" t="n"/>
      <c r="S1077" s="280" t="n"/>
      <c r="T1077" s="280" t="n"/>
      <c r="V1077" s="280" t="n"/>
      <c r="X1077" s="280" t="n"/>
      <c r="Z1077" s="280" t="n"/>
      <c r="AA1077" s="280" t="n"/>
      <c r="AB1077" s="281" t="inlineStr">
        <is>
          <t>ES11 0081 7069 2700 0122 7724</t>
        </is>
      </c>
      <c r="AC1077" s="278" t="inlineStr">
        <is>
          <t>pendiente</t>
        </is>
      </c>
      <c r="AD1077" s="280">
        <f>L1077+N1077+P1077+R1077+T1077+V1077+X1077+Z1077</f>
        <v/>
      </c>
      <c r="AE1077" s="280">
        <f>IF((LEFT(K1077,6))="Contab",L1077,0)</f>
        <v/>
      </c>
      <c r="AF1077" s="281">
        <f>VLOOKUP(G1077,CLIENTES!B:E,4,FALSE)</f>
        <v/>
      </c>
      <c r="AG1077" s="280">
        <f>AF1077*AE1077</f>
        <v/>
      </c>
      <c r="AH1077" s="280">
        <f>AD1077*1.21</f>
        <v/>
      </c>
      <c r="AI1077" s="284">
        <f>IF(AE1077&lt;&gt;0,AG1077/AD1077,"N/A")</f>
        <v/>
      </c>
      <c r="AJ1077" s="280">
        <f>IF(AC1077="pendiente",AD1077,0)</f>
        <v/>
      </c>
      <c r="AK1077" s="278">
        <f>VLOOKUP(G1077,CLIENTES!B:D,3,FALSE)</f>
        <v/>
      </c>
    </row>
    <row r="1078" ht="15" customFormat="1" customHeight="1" s="278">
      <c r="B1078" s="279" t="n"/>
      <c r="C1078" s="278" t="inlineStr">
        <is>
          <t>c/ Las Cruzadas 3A, local D</t>
        </is>
      </c>
      <c r="D1078" s="278" t="inlineStr">
        <is>
          <t>Sevilla 41004</t>
        </is>
      </c>
      <c r="E1078" s="278" t="inlineStr">
        <is>
          <t>CIF B91938662</t>
        </is>
      </c>
      <c r="F1078" s="278" t="inlineStr">
        <is>
          <t>aBalados@abalados.es</t>
        </is>
      </c>
      <c r="G1078" s="278" t="inlineStr">
        <is>
          <t>Cubillos Renovables, S.L.</t>
        </is>
      </c>
      <c r="H1078" s="278">
        <f>VLOOKUP($G1078,DATOS!$B:$E,2,FALSE)</f>
        <v/>
      </c>
      <c r="I1078" s="278">
        <f>VLOOKUP($G1078,DATOS!$B:$E,3,FALSE)</f>
        <v/>
      </c>
      <c r="J1078" s="278">
        <f>VLOOKUP($G1078,DATOS!$B:$E,4,FALSE)</f>
        <v/>
      </c>
      <c r="K1078" s="278" t="inlineStr">
        <is>
          <t>Contrato de Asset Management - Subestación Majuelo</t>
        </is>
      </c>
      <c r="L1078" s="280" t="n"/>
      <c r="N1078" s="280" t="n"/>
      <c r="O1078" s="278" t="inlineStr">
        <is>
          <t>Fee Trimestral - 01Octubre/31Diciembre 2023</t>
        </is>
      </c>
      <c r="P1078" s="280">
        <f>1173*1.105*1.026*(12/31) + 2898*1.105*1.026*(19/31) + 2*2898*1.105*1.026</f>
        <v/>
      </c>
      <c r="Q1078" s="278" t="inlineStr">
        <is>
          <t>Fee aplicable PreCod (1.329,87€/mes): 1 Octubre - 12 Octubre 2023</t>
        </is>
      </c>
      <c r="R1078" s="280" t="n"/>
      <c r="S1078" s="278" t="inlineStr">
        <is>
          <t>Fee aplicable Explotación (3.285,55€/mes): 13 Octubre - 31 Diciembre 2023</t>
        </is>
      </c>
      <c r="T1078" s="280" t="n"/>
      <c r="V1078" s="280" t="n"/>
      <c r="X1078" s="280" t="n"/>
      <c r="Z1078" s="280" t="n"/>
      <c r="AA1078" s="280" t="n"/>
      <c r="AB1078" s="281" t="inlineStr">
        <is>
          <t>ES11 0081 7069 2700 0122 7724</t>
        </is>
      </c>
      <c r="AC1078" s="278" t="inlineStr">
        <is>
          <t>pendiente</t>
        </is>
      </c>
      <c r="AD1078" s="280">
        <f>L1078+N1078+P1078+R1078+T1078+V1078+X1078+Z1078</f>
        <v/>
      </c>
      <c r="AE1078" s="280">
        <f>IF((LEFT(K1078,6))="Contab",L1078,0)</f>
        <v/>
      </c>
      <c r="AF1078" s="281">
        <f>VLOOKUP(G1078,CLIENTES!B:E,4,FALSE)</f>
        <v/>
      </c>
      <c r="AG1078" s="280">
        <f>AF1078*AE1078</f>
        <v/>
      </c>
      <c r="AH1078" s="280">
        <f>AD1078*1.21</f>
        <v/>
      </c>
      <c r="AI1078" s="284">
        <f>IF(AE1078&lt;&gt;0,AG1078/AD1078,"N/A")</f>
        <v/>
      </c>
      <c r="AJ1078" s="280">
        <f>IF(AC1078="pendiente",AD1078,0)</f>
        <v/>
      </c>
      <c r="AK1078" s="278">
        <f>VLOOKUP(G1078,CLIENTES!B:D,3,FALSE)</f>
        <v/>
      </c>
    </row>
    <row r="1079" ht="15" customFormat="1" customHeight="1" s="278">
      <c r="B1079" s="279" t="n"/>
      <c r="C1079" s="278" t="inlineStr">
        <is>
          <t>c/ Las Cruzadas 3A, local D</t>
        </is>
      </c>
      <c r="D1079" s="278" t="inlineStr">
        <is>
          <t>Sevilla 41004</t>
        </is>
      </c>
      <c r="E1079" s="278" t="inlineStr">
        <is>
          <t>CIF B91938662</t>
        </is>
      </c>
      <c r="F1079" s="278" t="inlineStr">
        <is>
          <t>aBalados@abalados.es</t>
        </is>
      </c>
      <c r="G1079" s="278" t="inlineStr">
        <is>
          <t>Tordesillas Renovables, S.L.</t>
        </is>
      </c>
      <c r="H1079" s="278">
        <f>VLOOKUP($G1079,DATOS!$B:$E,2,FALSE)</f>
        <v/>
      </c>
      <c r="I1079" s="278">
        <f>VLOOKUP($G1079,DATOS!$B:$E,3,FALSE)</f>
        <v/>
      </c>
      <c r="J1079" s="278">
        <f>VLOOKUP($G1079,DATOS!$B:$E,4,FALSE)</f>
        <v/>
      </c>
      <c r="K1079" s="278" t="inlineStr">
        <is>
          <t>Contrato de Asset Management - Subestación Tordesillas</t>
        </is>
      </c>
      <c r="L1079" s="280" t="n"/>
      <c r="N1079" s="280" t="n"/>
      <c r="O1079" s="278" t="inlineStr">
        <is>
          <t>Fee Trimestral - 01Octubre/31Diciembre 2023</t>
        </is>
      </c>
      <c r="P1079" s="280">
        <f>1200*1.073*(7/31) + 1200*1.073*1.035*(24/31) + 2*1200*1.073*1.035</f>
        <v/>
      </c>
      <c r="Q1079" s="278" t="inlineStr">
        <is>
          <t>Tasa actualización IPC General (Octubre 2022 - Octubre 2023): 3,5%</t>
        </is>
      </c>
      <c r="R1079" s="280" t="n"/>
      <c r="S1079" s="280" t="inlineStr">
        <is>
          <t>Fecha actualización: 08 Octubre</t>
        </is>
      </c>
      <c r="T1079" s="280" t="n"/>
      <c r="V1079" s="280" t="n"/>
      <c r="X1079" s="280" t="n"/>
      <c r="Z1079" s="280" t="n"/>
      <c r="AA1079" s="280" t="n"/>
      <c r="AB1079" s="281" t="inlineStr">
        <is>
          <t>ES11 0081 7069 2700 0122 7724</t>
        </is>
      </c>
      <c r="AC1079" s="278" t="inlineStr">
        <is>
          <t>pendiente</t>
        </is>
      </c>
      <c r="AD1079" s="280">
        <f>L1079+N1079+P1079+R1079+T1079+V1079+X1079+Z1079</f>
        <v/>
      </c>
      <c r="AE1079" s="280">
        <f>IF((LEFT(K1079,6))="Contab",L1079,0)</f>
        <v/>
      </c>
      <c r="AF1079" s="281">
        <f>VLOOKUP(G1079,CLIENTES!B:E,4,FALSE)</f>
        <v/>
      </c>
      <c r="AG1079" s="280">
        <f>AF1079*AE1079</f>
        <v/>
      </c>
      <c r="AH1079" s="280">
        <f>AD1079*1.21</f>
        <v/>
      </c>
      <c r="AI1079" s="284">
        <f>IF(AE1079&lt;&gt;0,AG1079/AD1079,"N/A")</f>
        <v/>
      </c>
      <c r="AJ1079" s="280">
        <f>IF(AC1079="pendiente",AD1079,0)</f>
        <v/>
      </c>
      <c r="AK1079" s="278">
        <f>VLOOKUP(G1079,CLIENTES!B:D,3,FALSE)</f>
        <v/>
      </c>
    </row>
    <row r="1080" ht="15" customFormat="1" customHeight="1" s="278">
      <c r="B1080" s="279" t="n"/>
      <c r="C1080" s="278" t="inlineStr">
        <is>
          <t>c/ Las Cruzadas 3A, local D</t>
        </is>
      </c>
      <c r="D1080" s="278" t="inlineStr">
        <is>
          <t>Sevilla 41004</t>
        </is>
      </c>
      <c r="E1080" s="278" t="inlineStr">
        <is>
          <t>CIF B91938662</t>
        </is>
      </c>
      <c r="F1080" s="278" t="inlineStr">
        <is>
          <t>aBalados@abalados.es</t>
        </is>
      </c>
      <c r="G1080" s="278" t="inlineStr">
        <is>
          <t>Monte Reina Renovables, S.L.</t>
        </is>
      </c>
      <c r="H1080" s="278">
        <f>VLOOKUP($G1080,DATOS!$B:$E,2,FALSE)</f>
        <v/>
      </c>
      <c r="I1080" s="278">
        <f>VLOOKUP($G1080,DATOS!$B:$E,3,FALSE)</f>
        <v/>
      </c>
      <c r="J1080" s="278">
        <f>VLOOKUP($G1080,DATOS!$B:$E,4,FALSE)</f>
        <v/>
      </c>
      <c r="K1080" s="278" t="inlineStr">
        <is>
          <t>Contrato de Asset Management - Subestación Valdecarretas</t>
        </is>
      </c>
      <c r="L1080" s="280" t="n"/>
      <c r="N1080" s="280" t="n"/>
      <c r="O1080" s="278" t="inlineStr">
        <is>
          <t>Fee Trimestral - 01Octubre/31Diciembre 2023</t>
        </is>
      </c>
      <c r="P1080" s="280">
        <f>1380*1.073*(9/31) + 1380*1.073*1.035*(22/31) + 2*1380*1.073*1.035</f>
        <v/>
      </c>
      <c r="Q1080" s="278" t="inlineStr">
        <is>
          <t>Tasa actualización IPC General (Octubre 2022 - Octubre 2023): 3,5%</t>
        </is>
      </c>
      <c r="R1080" s="280" t="n"/>
      <c r="S1080" s="280" t="inlineStr">
        <is>
          <t>Fecha actualización: 10 Octubre</t>
        </is>
      </c>
      <c r="T1080" s="280" t="n"/>
      <c r="V1080" s="280" t="n"/>
      <c r="X1080" s="280" t="n"/>
      <c r="Z1080" s="280" t="n"/>
      <c r="AA1080" s="280" t="n"/>
      <c r="AB1080" s="281" t="inlineStr">
        <is>
          <t>ES11 0081 7069 2700 0122 7724</t>
        </is>
      </c>
      <c r="AC1080" s="278" t="inlineStr">
        <is>
          <t>pendiente</t>
        </is>
      </c>
      <c r="AD1080" s="280">
        <f>L1080+N1080+P1080+R1080+T1080+V1080+X1080+Z1080</f>
        <v/>
      </c>
      <c r="AE1080" s="280">
        <f>IF((LEFT(K1080,6))="Contab",L1080,0)</f>
        <v/>
      </c>
      <c r="AF1080" s="281">
        <f>VLOOKUP(G1080,CLIENTES!B:E,4,FALSE)</f>
        <v/>
      </c>
      <c r="AG1080" s="280">
        <f>AF1080*AE1080</f>
        <v/>
      </c>
      <c r="AH1080" s="280">
        <f>AD1080*1.21</f>
        <v/>
      </c>
      <c r="AI1080" s="284">
        <f>IF(AE1080&lt;&gt;0,AG1080/AD1080,"N/A")</f>
        <v/>
      </c>
      <c r="AJ1080" s="280">
        <f>IF(AC1080="pendiente",AD1080,0)</f>
        <v/>
      </c>
      <c r="AK1080" s="278">
        <f>VLOOKUP(G1080,CLIENTES!B:D,3,FALSE)</f>
        <v/>
      </c>
    </row>
    <row r="1081" ht="15" customFormat="1" customHeight="1" s="278">
      <c r="B1081" s="279" t="n"/>
      <c r="C1081" s="278" t="inlineStr">
        <is>
          <t>c/ Las Cruzadas 3A, local D</t>
        </is>
      </c>
      <c r="D1081" s="278" t="inlineStr">
        <is>
          <t>Sevilla 41004</t>
        </is>
      </c>
      <c r="E1081" s="278" t="inlineStr">
        <is>
          <t>CIF B91938662</t>
        </is>
      </c>
      <c r="F1081" s="278" t="inlineStr">
        <is>
          <t>aBalados@abalados.es</t>
        </is>
      </c>
      <c r="G1081" s="278" t="inlineStr">
        <is>
          <t>Herrera Renovables 400, A.I.E.</t>
        </is>
      </c>
      <c r="H1081" s="278">
        <f>VLOOKUP($G1081,DATOS!$B:$E,2,FALSE)</f>
        <v/>
      </c>
      <c r="I1081" s="278">
        <f>VLOOKUP($G1081,DATOS!$B:$E,3,FALSE)</f>
        <v/>
      </c>
      <c r="J1081" s="278">
        <f>VLOOKUP($G1081,DATOS!$B:$E,4,FALSE)</f>
        <v/>
      </c>
      <c r="K1081" s="278" t="inlineStr">
        <is>
          <t>Contrato de Asset Management - Subestación Herrera</t>
        </is>
      </c>
      <c r="L1081" s="280" t="n"/>
      <c r="N1081" s="280" t="n"/>
      <c r="O1081" s="278" t="inlineStr">
        <is>
          <t>Fee Trimestral - 01Octubre/31Diciembre 2023</t>
        </is>
      </c>
      <c r="P1081" s="280">
        <f>1250*1.068 + 1250*1.068*(23/30)+1250*1.068*1.032*(7/30) + 1250*1.068*1.032</f>
        <v/>
      </c>
      <c r="Q1081" s="278" t="inlineStr">
        <is>
          <t>Tasa actualización IPC General (Noviembre 2022 - Noviembre 2023): 3,2%</t>
        </is>
      </c>
      <c r="R1081" s="280" t="n"/>
      <c r="S1081" s="280" t="inlineStr">
        <is>
          <t>Fecha actualización: 24 Noviembre</t>
        </is>
      </c>
      <c r="T1081" s="280" t="n"/>
      <c r="V1081" s="280" t="n"/>
      <c r="X1081" s="280" t="n"/>
      <c r="Z1081" s="280" t="n"/>
      <c r="AA1081" s="280" t="n"/>
      <c r="AB1081" s="281" t="inlineStr">
        <is>
          <t>ES11 0081 7069 2700 0122 7724</t>
        </is>
      </c>
      <c r="AC1081" s="278" t="inlineStr">
        <is>
          <t>pendiente</t>
        </is>
      </c>
      <c r="AD1081" s="280">
        <f>L1081+N1081+P1081+R1081+T1081+V1081+X1081+Z1081</f>
        <v/>
      </c>
      <c r="AE1081" s="280">
        <f>IF((LEFT(K1081,6))="Contab",L1081,0)</f>
        <v/>
      </c>
      <c r="AF1081" s="281">
        <f>VLOOKUP(G1081,CLIENTES!B:E,4,FALSE)</f>
        <v/>
      </c>
      <c r="AG1081" s="280">
        <f>AF1081*AE1081</f>
        <v/>
      </c>
      <c r="AH1081" s="280">
        <f>AD1081*1.21</f>
        <v/>
      </c>
      <c r="AI1081" s="284">
        <f>IF(AE1081&lt;&gt;0,AG1081/AD1081,"N/A")</f>
        <v/>
      </c>
      <c r="AJ1081" s="280">
        <f>IF(AC1081="pendiente",AD1081,0)</f>
        <v/>
      </c>
      <c r="AK1081" s="278">
        <f>VLOOKUP(G1081,CLIENTES!B:D,3,FALSE)</f>
        <v/>
      </c>
    </row>
    <row r="1082" ht="15" customFormat="1" customHeight="1" s="278">
      <c r="B1082" s="279" t="n"/>
      <c r="C1082" s="278" t="inlineStr">
        <is>
          <t>c/ Las Cruzadas 3A, local D</t>
        </is>
      </c>
      <c r="D1082" s="278" t="inlineStr">
        <is>
          <t>Sevilla 41004</t>
        </is>
      </c>
      <c r="E1082" s="278" t="inlineStr">
        <is>
          <t>CIF B91938662</t>
        </is>
      </c>
      <c r="F1082" s="278" t="inlineStr">
        <is>
          <t>aBalados@abalados.es</t>
        </is>
      </c>
      <c r="G1082" s="278" t="inlineStr">
        <is>
          <t>Gazules Renovables, S.L.</t>
        </is>
      </c>
      <c r="H1082" s="278">
        <f>VLOOKUP($G1082,DATOS!$B:$E,2,FALSE)</f>
        <v/>
      </c>
      <c r="I1082" s="278">
        <f>VLOOKUP($G1082,DATOS!$B:$E,3,FALSE)</f>
        <v/>
      </c>
      <c r="J1082" s="278">
        <f>VLOOKUP($G1082,DATOS!$B:$E,4,FALSE)</f>
        <v/>
      </c>
      <c r="K1082" s="278" t="inlineStr">
        <is>
          <t>Contrato de Asset Management - Subestación Gazules</t>
        </is>
      </c>
      <c r="L1082" s="280" t="n"/>
      <c r="N1082" s="280" t="n"/>
      <c r="O1082" s="278" t="inlineStr">
        <is>
          <t>Fee Trimestral - 01Octubre/31Diciembre 2023</t>
        </is>
      </c>
      <c r="P1082" s="280">
        <f>2900*1.068 + 2900*1.068*(17/30)+2900*1.068*1.032*(13/30) + 2900*1.068*1.032</f>
        <v/>
      </c>
      <c r="Q1082" s="278" t="inlineStr">
        <is>
          <t>Tasa actualización IPC General (Noviembre 2022 - Noviembre 2023): 3,2%</t>
        </is>
      </c>
      <c r="R1082" s="280" t="n"/>
      <c r="S1082" s="280" t="inlineStr">
        <is>
          <t>Fecha actualización: 18 Noviembre</t>
        </is>
      </c>
      <c r="T1082" s="280" t="n"/>
      <c r="V1082" s="280" t="n"/>
      <c r="X1082" s="280" t="n"/>
      <c r="Z1082" s="280" t="n"/>
      <c r="AA1082" s="280" t="n"/>
      <c r="AB1082" s="281" t="inlineStr">
        <is>
          <t>ES11 0081 7069 2700 0122 7724</t>
        </is>
      </c>
      <c r="AC1082" s="278" t="inlineStr">
        <is>
          <t>pendiente</t>
        </is>
      </c>
      <c r="AD1082" s="280">
        <f>L1082+N1082+P1082+R1082+T1082+V1082+X1082+Z1082</f>
        <v/>
      </c>
      <c r="AE1082" s="280">
        <f>IF((LEFT(K1082,6))="Contab",L1082,0)</f>
        <v/>
      </c>
      <c r="AF1082" s="281">
        <f>VLOOKUP(G1082,CLIENTES!B:E,4,FALSE)</f>
        <v/>
      </c>
      <c r="AG1082" s="280">
        <f>AF1082*AE1082</f>
        <v/>
      </c>
      <c r="AH1082" s="280">
        <f>AD1082*1.21</f>
        <v/>
      </c>
      <c r="AI1082" s="284">
        <f>IF(AE1082&lt;&gt;0,AG1082/AD1082,"N/A")</f>
        <v/>
      </c>
      <c r="AJ1082" s="280">
        <f>IF(AC1082="pendiente",AD1082,0)</f>
        <v/>
      </c>
      <c r="AK1082" s="278">
        <f>VLOOKUP(G1082,CLIENTES!B:D,3,FALSE)</f>
        <v/>
      </c>
    </row>
    <row r="1083" ht="15" customFormat="1" customHeight="1" s="278">
      <c r="B1083" s="279" t="n"/>
      <c r="C1083" s="278" t="inlineStr">
        <is>
          <t>c/ Las Cruzadas 3A, local D</t>
        </is>
      </c>
      <c r="D1083" s="278" t="inlineStr">
        <is>
          <t>Sevilla 41004</t>
        </is>
      </c>
      <c r="E1083" s="278" t="inlineStr">
        <is>
          <t>CIF B91938662</t>
        </is>
      </c>
      <c r="F1083" s="278" t="inlineStr">
        <is>
          <t>aBalados@abalados.es</t>
        </is>
      </c>
      <c r="G1083" s="278" t="inlineStr">
        <is>
          <t>Evacuación Tordesillas 400 kV, S.L.</t>
        </is>
      </c>
      <c r="H1083" s="278">
        <f>VLOOKUP($G1083,DATOS!$B:$E,2,FALSE)</f>
        <v/>
      </c>
      <c r="I1083" s="278">
        <f>VLOOKUP($G1083,DATOS!$B:$E,3,FALSE)</f>
        <v/>
      </c>
      <c r="J1083" s="278">
        <f>VLOOKUP($G1083,DATOS!$B:$E,4,FALSE)</f>
        <v/>
      </c>
      <c r="K1083" s="278" t="inlineStr">
        <is>
          <t>Contrato de Asset Management - LAAT T2 (Tordesillas)</t>
        </is>
      </c>
      <c r="L1083" s="280" t="n"/>
      <c r="N1083" s="280" t="n"/>
      <c r="O1083" s="278" t="inlineStr">
        <is>
          <t>Fee Trimestral - 01Octubre/31Diciembre 2023</t>
        </is>
      </c>
      <c r="P1083" s="280">
        <f>1200*3*1.059</f>
        <v/>
      </c>
      <c r="R1083" s="280" t="n"/>
      <c r="S1083" s="280" t="n"/>
      <c r="T1083" s="280" t="n"/>
      <c r="V1083" s="280" t="n"/>
      <c r="X1083" s="280" t="n"/>
      <c r="Z1083" s="280" t="n"/>
      <c r="AA1083" s="280" t="n"/>
      <c r="AB1083" s="281" t="inlineStr">
        <is>
          <t>ES11 0081 7069 2700 0122 7724</t>
        </is>
      </c>
      <c r="AC1083" s="278" t="inlineStr">
        <is>
          <t>pendiente</t>
        </is>
      </c>
      <c r="AD1083" s="280">
        <f>L1083+N1083+P1083+R1083+T1083+V1083+X1083+Z1083</f>
        <v/>
      </c>
      <c r="AE1083" s="280">
        <f>IF((LEFT(K1083,6))="Contab",L1083,0)</f>
        <v/>
      </c>
      <c r="AF1083" s="281">
        <f>VLOOKUP(G1083,CLIENTES!B:E,4,FALSE)</f>
        <v/>
      </c>
      <c r="AG1083" s="280">
        <f>AF1083*AE1083</f>
        <v/>
      </c>
      <c r="AH1083" s="280">
        <f>AD1083*1.21</f>
        <v/>
      </c>
      <c r="AI1083" s="284">
        <f>IF(AE1083&lt;&gt;0,AG1083/AD1083,"N/A")</f>
        <v/>
      </c>
      <c r="AJ1083" s="280">
        <f>IF(AC1083="pendiente",AD1083,0)</f>
        <v/>
      </c>
      <c r="AK1083" s="278">
        <f>VLOOKUP(G1083,CLIENTES!B:D,3,FALSE)</f>
        <v/>
      </c>
    </row>
    <row r="1084" ht="15" customFormat="1" customHeight="1" s="278">
      <c r="B1084" s="279" t="n"/>
      <c r="C1084" s="278" t="inlineStr">
        <is>
          <t>c/ Las Cruzadas 3A, local D</t>
        </is>
      </c>
      <c r="D1084" s="278" t="inlineStr">
        <is>
          <t>Sevilla 41004</t>
        </is>
      </c>
      <c r="E1084" s="278" t="inlineStr">
        <is>
          <t>CIF B91938662</t>
        </is>
      </c>
      <c r="F1084" s="278" t="inlineStr">
        <is>
          <t>aBalados@abalados.es</t>
        </is>
      </c>
      <c r="G1084" s="278" t="inlineStr">
        <is>
          <t>Energías Limpias de Carmona, S.L.</t>
        </is>
      </c>
      <c r="H1084" s="278">
        <f>VLOOKUP($G1084,DATOS!$B:$E,2,FALSE)</f>
        <v/>
      </c>
      <c r="I1084" s="278">
        <f>VLOOKUP($G1084,DATOS!$B:$E,3,FALSE)</f>
        <v/>
      </c>
      <c r="J1084" s="278">
        <f>VLOOKUP($G1084,DATOS!$B:$E,4,FALSE)</f>
        <v/>
      </c>
      <c r="K1084" s="278" t="inlineStr">
        <is>
          <t>Contrato de Asset Management - Subestación Carmona220</t>
        </is>
      </c>
      <c r="L1084" s="280" t="n"/>
      <c r="N1084" s="280" t="n"/>
      <c r="O1084" s="278" t="inlineStr">
        <is>
          <t>Fee Trimestral - 01Octubre/31Diciembre 2023</t>
        </is>
      </c>
      <c r="P1084" s="280">
        <f>1250*3*1.06</f>
        <v/>
      </c>
      <c r="R1084" s="280" t="n"/>
      <c r="S1084" s="280" t="n"/>
      <c r="T1084" s="280" t="n"/>
      <c r="V1084" s="280" t="n"/>
      <c r="X1084" s="280" t="n"/>
      <c r="Z1084" s="280" t="n"/>
      <c r="AA1084" s="280" t="n"/>
      <c r="AB1084" s="281" t="inlineStr">
        <is>
          <t>ES11 0081 7069 2700 0122 7724</t>
        </is>
      </c>
      <c r="AC1084" s="278" t="inlineStr">
        <is>
          <t>pendiente</t>
        </is>
      </c>
      <c r="AD1084" s="280">
        <f>L1084+N1084+P1084+R1084+T1084+V1084+X1084+Z1084</f>
        <v/>
      </c>
      <c r="AE1084" s="280">
        <f>IF((LEFT(K1084,6))="Contab",L1084,0)</f>
        <v/>
      </c>
      <c r="AF1084" s="281">
        <f>VLOOKUP(G1084,CLIENTES!B:E,4,FALSE)</f>
        <v/>
      </c>
      <c r="AG1084" s="280">
        <f>AF1084*AE1084</f>
        <v/>
      </c>
      <c r="AH1084" s="280">
        <f>AD1084*1.21</f>
        <v/>
      </c>
      <c r="AI1084" s="284">
        <f>IF(AE1084&lt;&gt;0,AG1084/AD1084,"N/A")</f>
        <v/>
      </c>
      <c r="AJ1084" s="280">
        <f>IF(AC1084="pendiente",AD1084,0)</f>
        <v/>
      </c>
      <c r="AK1084" s="278">
        <f>VLOOKUP(G1084,CLIENTES!B:D,3,FALSE)</f>
        <v/>
      </c>
    </row>
    <row r="1085" ht="15" customFormat="1" customHeight="1" s="278">
      <c r="B1085" s="279" t="n"/>
      <c r="C1085" s="278" t="inlineStr">
        <is>
          <t>c/ Las Cruzadas 3A, local D</t>
        </is>
      </c>
      <c r="D1085" s="278" t="inlineStr">
        <is>
          <t>Sevilla 41004</t>
        </is>
      </c>
      <c r="E1085" s="278" t="inlineStr">
        <is>
          <t>CIF B91938662</t>
        </is>
      </c>
      <c r="F1085" s="278" t="inlineStr">
        <is>
          <t>aBalados@abalados.es</t>
        </is>
      </c>
      <c r="G1085" s="278" t="inlineStr">
        <is>
          <t>Martinez Montes Tordesillas, S.L. (Antigua LAAT 132 kV Doble Circuito-Tordesillas 400 kV, S.L.)</t>
        </is>
      </c>
      <c r="H1085" s="278">
        <f>VLOOKUP($G1085,DATOS!$B:$E,2,FALSE)</f>
        <v/>
      </c>
      <c r="I1085" s="278">
        <f>VLOOKUP($G1085,DATOS!$B:$E,3,FALSE)</f>
        <v/>
      </c>
      <c r="J1085" s="278">
        <f>VLOOKUP($G1085,DATOS!$B:$E,4,FALSE)</f>
        <v/>
      </c>
      <c r="K1085" s="278" t="inlineStr">
        <is>
          <t>Contrato de Asset Management - LAAT T3 (Tordesillas)</t>
        </is>
      </c>
      <c r="L1085" s="280" t="n"/>
      <c r="N1085" s="280" t="n"/>
      <c r="O1085" s="278" t="inlineStr">
        <is>
          <t>Fee Trimestral - 01Octubre/31Diciembre 2023</t>
        </is>
      </c>
      <c r="P1085" s="280">
        <f>1200*3*1.06</f>
        <v/>
      </c>
      <c r="R1085" s="280" t="n"/>
      <c r="S1085" s="280" t="n"/>
      <c r="T1085" s="280" t="n"/>
      <c r="V1085" s="280" t="n"/>
      <c r="X1085" s="280" t="n"/>
      <c r="Z1085" s="280" t="n"/>
      <c r="AA1085" s="280" t="n"/>
      <c r="AB1085" s="281" t="inlineStr">
        <is>
          <t>ES11 0081 7069 2700 0122 7724</t>
        </is>
      </c>
      <c r="AC1085" s="278" t="inlineStr">
        <is>
          <t>pendiente</t>
        </is>
      </c>
      <c r="AD1085" s="280">
        <f>L1085+N1085+P1085+R1085+T1085+V1085+X1085+Z1085</f>
        <v/>
      </c>
      <c r="AE1085" s="280">
        <f>IF((LEFT(K1085,6))="Contab",L1085,0)</f>
        <v/>
      </c>
      <c r="AF1085" s="281">
        <f>VLOOKUP(G1085,CLIENTES!B:E,4,FALSE)</f>
        <v/>
      </c>
      <c r="AG1085" s="280">
        <f>AF1085*AE1085</f>
        <v/>
      </c>
      <c r="AH1085" s="280">
        <f>AD1085*1.21</f>
        <v/>
      </c>
      <c r="AI1085" s="284">
        <f>IF(AE1085&lt;&gt;0,AG1085/AD1085,"N/A")</f>
        <v/>
      </c>
      <c r="AJ1085" s="280">
        <f>IF(AC1085="pendiente",AD1085,0)</f>
        <v/>
      </c>
      <c r="AK1085" s="278">
        <f>VLOOKUP(G1085,CLIENTES!B:D,3,FALSE)</f>
        <v/>
      </c>
    </row>
    <row r="1086" ht="15" customFormat="1" customHeight="1" s="278">
      <c r="B1086" s="279" t="n"/>
      <c r="C1086" s="278" t="inlineStr">
        <is>
          <t>c/ Las Cruzadas 3A, local D</t>
        </is>
      </c>
      <c r="D1086" s="278" t="inlineStr">
        <is>
          <t>Sevilla 41004</t>
        </is>
      </c>
      <c r="E1086" s="278" t="inlineStr">
        <is>
          <t>CIF B91938662</t>
        </is>
      </c>
      <c r="F1086" s="278" t="inlineStr">
        <is>
          <t>aBalados@abalados.es</t>
        </is>
      </c>
      <c r="G1086" s="278" t="inlineStr">
        <is>
          <t>SET Carmona 400 kV Renovables, S.L.</t>
        </is>
      </c>
      <c r="H1086" s="278">
        <f>VLOOKUP($G1086,DATOS!$B:$E,2,FALSE)</f>
        <v/>
      </c>
      <c r="I1086" s="278">
        <f>VLOOKUP($G1086,DATOS!$B:$E,3,FALSE)</f>
        <v/>
      </c>
      <c r="J1086" s="278">
        <f>VLOOKUP($G1086,DATOS!$B:$E,4,FALSE)</f>
        <v/>
      </c>
      <c r="K1086" s="278" t="inlineStr">
        <is>
          <t>Contrato de Asset Management - Subestación Carmona400</t>
        </is>
      </c>
      <c r="L1086" s="280" t="n"/>
      <c r="N1086" s="280" t="n"/>
      <c r="O1086" s="278" t="inlineStr">
        <is>
          <t>Fee Trimestral - 01Octubre/31Diciembre 2023</t>
        </is>
      </c>
      <c r="P1086" s="280">
        <f>1250*1.06*(30/31)+2950*1.06*(1/31) + 2*2950*1.06</f>
        <v/>
      </c>
      <c r="Q1086" s="278" t="inlineStr">
        <is>
          <t>Fee aplicable PreCod (1.325€/mes): 1 Octubre - 30 Ocubre 2023</t>
        </is>
      </c>
      <c r="R1086" s="280" t="n"/>
      <c r="S1086" s="278" t="inlineStr">
        <is>
          <t>Fee aplicable Explotación (3.127€/mes): 31 Octubre - 31 Diciembre 2023</t>
        </is>
      </c>
      <c r="T1086" s="280" t="n"/>
      <c r="V1086" s="280" t="n"/>
      <c r="X1086" s="280" t="n"/>
      <c r="Z1086" s="280" t="n"/>
      <c r="AA1086" s="280" t="n"/>
      <c r="AB1086" s="281" t="inlineStr">
        <is>
          <t>ES11 0081 7069 2700 0122 7724</t>
        </is>
      </c>
      <c r="AC1086" s="278" t="inlineStr">
        <is>
          <t>pendiente</t>
        </is>
      </c>
      <c r="AD1086" s="280">
        <f>L1086+N1086+P1086+R1086+T1086+V1086+X1086+Z1086</f>
        <v/>
      </c>
      <c r="AE1086" s="280">
        <f>IF((LEFT(K1086,6))="Contab",L1086,0)</f>
        <v/>
      </c>
      <c r="AF1086" s="281">
        <f>VLOOKUP(G1086,CLIENTES!B:E,4,FALSE)</f>
        <v/>
      </c>
      <c r="AG1086" s="280">
        <f>AF1086*AE1086</f>
        <v/>
      </c>
      <c r="AH1086" s="280">
        <f>AD1086*1.21</f>
        <v/>
      </c>
      <c r="AI1086" s="284">
        <f>IF(AE1086&lt;&gt;0,AG1086/AD1086,"N/A")</f>
        <v/>
      </c>
      <c r="AJ1086" s="280">
        <f>IF(AC1086="pendiente",AD1086,0)</f>
        <v/>
      </c>
      <c r="AK1086" s="278">
        <f>VLOOKUP(G1086,CLIENTES!B:D,3,FALSE)</f>
        <v/>
      </c>
    </row>
    <row r="1087" ht="15" customFormat="1" customHeight="1" s="278">
      <c r="B1087" s="279" t="n"/>
      <c r="C1087" s="278" t="inlineStr">
        <is>
          <t>c/ Las Cruzadas 3A, local D</t>
        </is>
      </c>
      <c r="D1087" s="278" t="inlineStr">
        <is>
          <t>Sevilla 41004</t>
        </is>
      </c>
      <c r="E1087" s="278" t="inlineStr">
        <is>
          <t>CIF B91938662</t>
        </is>
      </c>
      <c r="F1087" s="278" t="inlineStr">
        <is>
          <t>aBalados@abalados.es</t>
        </is>
      </c>
      <c r="G1087" s="278" t="inlineStr">
        <is>
          <t>Evacuación Carmona 400-220 kV Renovables, S.L.</t>
        </is>
      </c>
      <c r="H1087" s="278">
        <f>VLOOKUP($G1087,DATOS!$B:$E,2,FALSE)</f>
        <v/>
      </c>
      <c r="I1087" s="278">
        <f>VLOOKUP($G1087,DATOS!$B:$E,3,FALSE)</f>
        <v/>
      </c>
      <c r="J1087" s="278">
        <f>VLOOKUP($G1087,DATOS!$B:$E,4,FALSE)</f>
        <v/>
      </c>
      <c r="K1087" s="278" t="inlineStr">
        <is>
          <t>Contrato de Asset Management - LAAT 220/400kV</t>
        </is>
      </c>
      <c r="L1087" s="280" t="n"/>
      <c r="N1087" s="280" t="n"/>
      <c r="O1087" s="278" t="inlineStr">
        <is>
          <t>Fee Trimestral - 01Octubre/31Diciembre 2023</t>
        </is>
      </c>
      <c r="P1087" s="280">
        <f>1200*3*1.059</f>
        <v/>
      </c>
      <c r="Q1087" s="280" t="n"/>
      <c r="R1087" s="280" t="n"/>
      <c r="S1087" s="280" t="n"/>
      <c r="T1087" s="280" t="n"/>
      <c r="V1087" s="280" t="n"/>
      <c r="X1087" s="280" t="n"/>
      <c r="Z1087" s="280" t="n"/>
      <c r="AA1087" s="280" t="n"/>
      <c r="AB1087" s="281" t="inlineStr">
        <is>
          <t>ES11 0081 7069 2700 0122 7724</t>
        </is>
      </c>
      <c r="AC1087" s="278" t="inlineStr">
        <is>
          <t>pendiente</t>
        </is>
      </c>
      <c r="AD1087" s="280">
        <f>L1087+N1087+P1087+R1087+T1087+V1087+X1087+Z1087</f>
        <v/>
      </c>
      <c r="AE1087" s="280">
        <f>IF((LEFT(K1087,6))="Contab",L1087,0)</f>
        <v/>
      </c>
      <c r="AF1087" s="281">
        <f>VLOOKUP(G1087,CLIENTES!B:E,4,FALSE)</f>
        <v/>
      </c>
      <c r="AG1087" s="280">
        <f>AF1087*AE1087</f>
        <v/>
      </c>
      <c r="AH1087" s="280">
        <f>AD1087*1.21</f>
        <v/>
      </c>
      <c r="AI1087" s="284">
        <f>IF(AE1087&lt;&gt;0,AG1087/AD1087,"N/A")</f>
        <v/>
      </c>
      <c r="AJ1087" s="280">
        <f>IF(AC1087="pendiente",AD1087,0)</f>
        <v/>
      </c>
      <c r="AK1087" s="278">
        <f>VLOOKUP(G1087,CLIENTES!B:D,3,FALSE)</f>
        <v/>
      </c>
    </row>
    <row r="1088" ht="15" customFormat="1" customHeight="1" s="278">
      <c r="B1088" s="279" t="n"/>
      <c r="C1088" s="278" t="inlineStr">
        <is>
          <t>c/ Las Cruzadas 3A, local D</t>
        </is>
      </c>
      <c r="D1088" s="278" t="inlineStr">
        <is>
          <t>Sevilla 41004</t>
        </is>
      </c>
      <c r="E1088" s="278" t="inlineStr">
        <is>
          <t>CIF B91938662</t>
        </is>
      </c>
      <c r="F1088" s="278" t="inlineStr">
        <is>
          <t>aBalados@abalados.es</t>
        </is>
      </c>
      <c r="G1088" s="278" t="inlineStr">
        <is>
          <t>La Serranilla Renovables 132 kV, A.I.E.</t>
        </is>
      </c>
      <c r="H1088" s="278">
        <f>VLOOKUP($G1088,DATOS!$B:$E,2,FALSE)</f>
        <v/>
      </c>
      <c r="I1088" s="278">
        <f>VLOOKUP($G1088,DATOS!$B:$E,3,FALSE)</f>
        <v/>
      </c>
      <c r="J1088" s="278">
        <f>VLOOKUP($G1088,DATOS!$B:$E,4,FALSE)</f>
        <v/>
      </c>
      <c r="K1088" s="278" t="inlineStr">
        <is>
          <t>Contrato de Asset Management - Subestación María Castro</t>
        </is>
      </c>
      <c r="L1088" s="280" t="n"/>
      <c r="N1088" s="280" t="n"/>
      <c r="O1088" s="278" t="inlineStr">
        <is>
          <t>Fee Trimestral - 01Octubre/31Diciembre 2023</t>
        </is>
      </c>
      <c r="P1088" s="280">
        <f>1275*3*1.041</f>
        <v/>
      </c>
      <c r="R1088" s="280" t="n"/>
      <c r="S1088" s="280" t="n"/>
      <c r="T1088" s="280" t="n"/>
      <c r="V1088" s="280" t="n"/>
      <c r="X1088" s="280" t="n"/>
      <c r="Z1088" s="280" t="n"/>
      <c r="AA1088" s="280" t="n"/>
      <c r="AB1088" s="281" t="inlineStr">
        <is>
          <t>ES11 0081 7069 2700 0122 7724</t>
        </is>
      </c>
      <c r="AC1088" s="278" t="inlineStr">
        <is>
          <t>pendiente</t>
        </is>
      </c>
      <c r="AD1088" s="280">
        <f>L1088+N1088+P1088+R1088+T1088+V1088+X1088+Z1088</f>
        <v/>
      </c>
      <c r="AE1088" s="280">
        <f>IF((LEFT(K1088,6))="Contab",L1088,0)</f>
        <v/>
      </c>
      <c r="AF1088" s="281">
        <f>VLOOKUP(G1088,CLIENTES!B:E,4,FALSE)</f>
        <v/>
      </c>
      <c r="AG1088" s="280">
        <f>AF1088*AE1088</f>
        <v/>
      </c>
      <c r="AH1088" s="280">
        <f>AD1088*1.21</f>
        <v/>
      </c>
      <c r="AI1088" s="284">
        <f>IF(AE1088&lt;&gt;0,AG1088/AD1088,"N/A")</f>
        <v/>
      </c>
      <c r="AJ1088" s="280">
        <f>IF(AC1088="pendiente",AD1088,0)</f>
        <v/>
      </c>
      <c r="AK1088" s="278">
        <f>VLOOKUP(G1088,CLIENTES!B:D,3,FALSE)</f>
        <v/>
      </c>
    </row>
    <row r="1089" ht="15" customFormat="1" customHeight="1" s="278">
      <c r="B1089" s="279" t="n"/>
      <c r="C1089" s="278" t="inlineStr">
        <is>
          <t>c/ Las Cruzadas 3A, local D</t>
        </is>
      </c>
      <c r="D1089" s="278" t="inlineStr">
        <is>
          <t>Sevilla 41004</t>
        </is>
      </c>
      <c r="E1089" s="278" t="inlineStr">
        <is>
          <t>CIF B91938662</t>
        </is>
      </c>
      <c r="F1089" s="278" t="inlineStr">
        <is>
          <t>aBalados@abalados.es</t>
        </is>
      </c>
      <c r="G1089" s="278" t="inlineStr">
        <is>
          <t>Línea Covatillas, A.I.E.</t>
        </is>
      </c>
      <c r="H1089" s="278">
        <f>VLOOKUP($G1089,DATOS!$B:$E,2,FALSE)</f>
        <v/>
      </c>
      <c r="I1089" s="278">
        <f>VLOOKUP($G1089,DATOS!$B:$E,3,FALSE)</f>
        <v/>
      </c>
      <c r="J1089" s="278">
        <f>VLOOKUP($G1089,DATOS!$B:$E,4,FALSE)</f>
        <v/>
      </c>
      <c r="K1089" s="278" t="inlineStr">
        <is>
          <t>Contrato de Asset Management - LAAT 132kV</t>
        </is>
      </c>
      <c r="L1089" s="280" t="n"/>
      <c r="N1089" s="280" t="n"/>
      <c r="O1089" s="278" t="inlineStr">
        <is>
          <t>Fee Trimestral - 01Octubre/31Diciembre 2023</t>
        </is>
      </c>
      <c r="P1089" s="280">
        <f>1275*3*1.032</f>
        <v/>
      </c>
      <c r="R1089" s="280" t="n"/>
      <c r="S1089" s="280" t="n"/>
      <c r="T1089" s="280" t="n"/>
      <c r="V1089" s="280" t="n"/>
      <c r="X1089" s="280" t="n"/>
      <c r="Z1089" s="280" t="n"/>
      <c r="AA1089" s="280" t="n"/>
      <c r="AB1089" s="281" t="inlineStr">
        <is>
          <t>ES11 0081 7069 2700 0122 7724</t>
        </is>
      </c>
      <c r="AC1089" s="278" t="inlineStr">
        <is>
          <t>pendiente</t>
        </is>
      </c>
      <c r="AD1089" s="280">
        <f>L1089+N1089+P1089+R1089+T1089+V1089+X1089+Z1089</f>
        <v/>
      </c>
      <c r="AE1089" s="280">
        <f>IF((LEFT(K1089,6))="Contab",L1089,0)</f>
        <v/>
      </c>
      <c r="AF1089" s="281">
        <f>VLOOKUP(G1089,CLIENTES!B:E,4,FALSE)</f>
        <v/>
      </c>
      <c r="AG1089" s="280">
        <f>AF1089*AE1089</f>
        <v/>
      </c>
      <c r="AH1089" s="280">
        <f>AD1089*1.21</f>
        <v/>
      </c>
      <c r="AI1089" s="284">
        <f>IF(AE1089&lt;&gt;0,AG1089/AD1089,"N/A")</f>
        <v/>
      </c>
      <c r="AJ1089" s="280">
        <f>IF(AC1089="pendiente",AD1089,0)</f>
        <v/>
      </c>
      <c r="AK1089" s="278">
        <f>VLOOKUP(G1089,CLIENTES!B:D,3,FALSE)</f>
        <v/>
      </c>
    </row>
    <row r="1090" ht="15" customFormat="1" customHeight="1" s="278">
      <c r="B1090" s="279" t="n"/>
      <c r="C1090" s="278" t="inlineStr">
        <is>
          <t>c/ Las Cruzadas 3A, local D</t>
        </is>
      </c>
      <c r="D1090" s="278" t="inlineStr">
        <is>
          <t>Sevilla 41004</t>
        </is>
      </c>
      <c r="E1090" s="278" t="inlineStr">
        <is>
          <t>CIF B91938662</t>
        </is>
      </c>
      <c r="F1090" s="278" t="inlineStr">
        <is>
          <t>aBalados@abalados.es</t>
        </is>
      </c>
      <c r="G1090" s="278" t="inlineStr">
        <is>
          <t>Herrera Sotillo Renovables, A.I.E.</t>
        </is>
      </c>
      <c r="H1090" s="278">
        <f>VLOOKUP($G1090,DATOS!$B:$E,2,FALSE)</f>
        <v/>
      </c>
      <c r="I1090" s="278">
        <f>VLOOKUP($G1090,DATOS!$B:$E,3,FALSE)</f>
        <v/>
      </c>
      <c r="J1090" s="278">
        <f>VLOOKUP($G1090,DATOS!$B:$E,4,FALSE)</f>
        <v/>
      </c>
      <c r="K1090" s="278" t="inlineStr">
        <is>
          <t>Contrato de Asset Management - Subestación Sotillo</t>
        </is>
      </c>
      <c r="L1090" s="280" t="n"/>
      <c r="N1090" s="280" t="n"/>
      <c r="O1090" s="278" t="inlineStr">
        <is>
          <t>Fee Trimestral - 01Octubre/31Diciembre 2023</t>
        </is>
      </c>
      <c r="P1090" s="280">
        <f>1250*3*1.019</f>
        <v/>
      </c>
      <c r="R1090" s="280" t="n"/>
      <c r="T1090" s="280" t="n"/>
      <c r="V1090" s="280" t="n"/>
      <c r="X1090" s="280" t="n"/>
      <c r="Z1090" s="280" t="n"/>
      <c r="AA1090" s="280" t="n"/>
      <c r="AB1090" s="281" t="inlineStr">
        <is>
          <t>ES11 0081 7069 2700 0122 7724</t>
        </is>
      </c>
      <c r="AC1090" s="278" t="inlineStr">
        <is>
          <t>pendiente</t>
        </is>
      </c>
      <c r="AD1090" s="280">
        <f>L1090+N1090+P1090+R1090+T1090+V1090+X1090+Z1090</f>
        <v/>
      </c>
      <c r="AE1090" s="280">
        <f>IF((LEFT(K1090,6))="Contab",L1090,0)</f>
        <v/>
      </c>
      <c r="AF1090" s="281">
        <f>VLOOKUP(G1090,CLIENTES!B:E,4,FALSE)</f>
        <v/>
      </c>
      <c r="AG1090" s="280">
        <f>AF1090*AE1090</f>
        <v/>
      </c>
      <c r="AH1090" s="280">
        <f>AD1090*1.21</f>
        <v/>
      </c>
      <c r="AI1090" s="284">
        <f>IF(AE1090&lt;&gt;0,AG1090/AD1090,"N/A")</f>
        <v/>
      </c>
      <c r="AJ1090" s="280">
        <f>IF(AC1090="pendiente",AD1090,0)</f>
        <v/>
      </c>
      <c r="AK1090" s="278">
        <f>VLOOKUP(G1090,CLIENTES!B:D,3,FALSE)</f>
        <v/>
      </c>
    </row>
    <row r="1091" ht="15" customFormat="1" customHeight="1" s="278">
      <c r="B1091" s="279" t="n"/>
      <c r="C1091" s="278" t="inlineStr">
        <is>
          <t>c/ Las Cruzadas 3A, local D</t>
        </is>
      </c>
      <c r="D1091" s="278" t="inlineStr">
        <is>
          <t>Sevilla 41004</t>
        </is>
      </c>
      <c r="E1091" s="278" t="inlineStr">
        <is>
          <t>CIF B91938662</t>
        </is>
      </c>
      <c r="F1091" s="278" t="inlineStr">
        <is>
          <t>aBalados@abalados.es</t>
        </is>
      </c>
      <c r="G1091" s="278" t="inlineStr">
        <is>
          <t>Cuádruple Belinchón, S.L.</t>
        </is>
      </c>
      <c r="H1091" s="278">
        <f>VLOOKUP($G1091,DATOS!$B:$E,2,FALSE)</f>
        <v/>
      </c>
      <c r="I1091" s="278">
        <f>VLOOKUP($G1091,DATOS!$B:$E,3,FALSE)</f>
        <v/>
      </c>
      <c r="J1091" s="278">
        <f>VLOOKUP($G1091,DATOS!$B:$E,4,FALSE)</f>
        <v/>
      </c>
      <c r="K1091" s="278" t="inlineStr">
        <is>
          <t>Contrato de Asset Management - LAAT 132kV</t>
        </is>
      </c>
      <c r="L1091" s="280" t="n"/>
      <c r="N1091" s="280" t="n"/>
      <c r="O1091" s="278" t="inlineStr">
        <is>
          <t>Fee Trimestral - 01Octubre/31Diciembre 2023</t>
        </is>
      </c>
      <c r="P1091" s="280">
        <f>2675 + 2675*(21/30)+2675*1.032*(9/30) + 2675*1.032</f>
        <v/>
      </c>
      <c r="Q1091" s="278" t="inlineStr">
        <is>
          <t>Tasa actualización IPC General (Noviembre 2022 - Noviembre 2023): 3,2%</t>
        </is>
      </c>
      <c r="R1091" s="280" t="n"/>
      <c r="S1091" s="280" t="inlineStr">
        <is>
          <t>Fecha actualización: 22 Noviembre</t>
        </is>
      </c>
      <c r="T1091" s="280" t="n"/>
      <c r="V1091" s="280" t="n"/>
      <c r="X1091" s="280" t="n"/>
      <c r="Z1091" s="280" t="n"/>
      <c r="AA1091" s="280" t="n"/>
      <c r="AB1091" s="281" t="inlineStr">
        <is>
          <t>ES11 0081 7069 2700 0122 7724</t>
        </is>
      </c>
      <c r="AC1091" s="278" t="inlineStr">
        <is>
          <t>pendiente</t>
        </is>
      </c>
      <c r="AD1091" s="280">
        <f>L1091+N1091+P1091+R1091+T1091+V1091+X1091+Z1091</f>
        <v/>
      </c>
      <c r="AE1091" s="280">
        <f>IF((LEFT(K1091,6))="Contab",L1091,0)</f>
        <v/>
      </c>
      <c r="AF1091" s="281">
        <f>VLOOKUP(G1091,CLIENTES!B:E,4,FALSE)</f>
        <v/>
      </c>
      <c r="AG1091" s="280">
        <f>AF1091*AE1091</f>
        <v/>
      </c>
      <c r="AH1091" s="280">
        <f>AD1091*1.21</f>
        <v/>
      </c>
      <c r="AI1091" s="284">
        <f>IF(AE1091&lt;&gt;0,AG1091/AD1091,"N/A")</f>
        <v/>
      </c>
      <c r="AJ1091" s="280">
        <f>IF(AC1091="pendiente",AD1091,0)</f>
        <v/>
      </c>
      <c r="AK1091" s="278">
        <f>VLOOKUP(G1091,CLIENTES!B:D,3,FALSE)</f>
        <v/>
      </c>
    </row>
    <row r="1092" ht="15" customFormat="1" customHeight="1" s="278">
      <c r="B1092" s="279" t="n"/>
      <c r="C1092" s="278" t="inlineStr">
        <is>
          <t>c/ Las Cruzadas 3A, local D</t>
        </is>
      </c>
      <c r="D1092" s="278" t="inlineStr">
        <is>
          <t>Sevilla 41004</t>
        </is>
      </c>
      <c r="E1092" s="278" t="inlineStr">
        <is>
          <t>CIF B91938662</t>
        </is>
      </c>
      <c r="F1092" s="278" t="inlineStr">
        <is>
          <t>aBalados@abalados.es</t>
        </is>
      </c>
      <c r="G1092" s="278" t="inlineStr">
        <is>
          <t>Renovables Brovales 400 kV, S.L.</t>
        </is>
      </c>
      <c r="H1092" s="278">
        <f>VLOOKUP($G1092,DATOS!$B:$E,2,FALSE)</f>
        <v/>
      </c>
      <c r="I1092" s="278">
        <f>VLOOKUP($G1092,DATOS!$B:$E,3,FALSE)</f>
        <v/>
      </c>
      <c r="J1092" s="278">
        <f>VLOOKUP($G1092,DATOS!$B:$E,4,FALSE)</f>
        <v/>
      </c>
      <c r="K1092" s="278" t="inlineStr">
        <is>
          <t>Contrato de Asset Management - Subestación BrovalesF1</t>
        </is>
      </c>
      <c r="L1092" s="280" t="n"/>
      <c r="N1092" s="280" t="n"/>
      <c r="O1092" s="278" t="inlineStr">
        <is>
          <t>Fee Trimestral - 01Octubre/31Diciembre 2023</t>
        </is>
      </c>
      <c r="P1092" s="280">
        <f>3*1665*1.035</f>
        <v/>
      </c>
      <c r="Q1092" s="278" t="inlineStr">
        <is>
          <t>Tasa actualización IPC General (Septiembre 2022 - Septiembre 2023): 3,5%</t>
        </is>
      </c>
      <c r="R1092" s="280" t="n"/>
      <c r="T1092" s="280" t="n"/>
      <c r="U1092" s="278" t="inlineStr">
        <is>
          <t>Regularización IPC trimestre anterior (19Septiembre-30Septiembre 2023)</t>
        </is>
      </c>
      <c r="V1092" s="280">
        <f>1665*0.035*(12/30)</f>
        <v/>
      </c>
      <c r="X1092" s="280" t="n"/>
      <c r="Z1092" s="280" t="n"/>
      <c r="AA1092" s="280" t="n"/>
      <c r="AB1092" s="281" t="inlineStr">
        <is>
          <t>ES11 0081 7069 2700 0122 7724</t>
        </is>
      </c>
      <c r="AC1092" s="278" t="inlineStr">
        <is>
          <t>pendiente</t>
        </is>
      </c>
      <c r="AD1092" s="280">
        <f>L1092+N1092+P1092+R1092+T1092+V1092+X1092+Z1092</f>
        <v/>
      </c>
      <c r="AE1092" s="280">
        <f>IF((LEFT(K1092,6))="Contab",L1092,0)</f>
        <v/>
      </c>
      <c r="AF1092" s="281">
        <f>VLOOKUP(G1092,CLIENTES!B:E,4,FALSE)</f>
        <v/>
      </c>
      <c r="AG1092" s="280">
        <f>AF1092*AE1092</f>
        <v/>
      </c>
      <c r="AH1092" s="280">
        <f>AD1092*1.21</f>
        <v/>
      </c>
      <c r="AI1092" s="284">
        <f>IF(AE1092&lt;&gt;0,AG1092/AD1092,"N/A")</f>
        <v/>
      </c>
      <c r="AJ1092" s="280">
        <f>IF(AC1092="pendiente",AD1092,0)</f>
        <v/>
      </c>
      <c r="AK1092" s="278">
        <f>VLOOKUP(G1092,CLIENTES!B:D,3,FALSE)</f>
        <v/>
      </c>
    </row>
    <row r="1093" ht="15" customFormat="1" customHeight="1" s="278">
      <c r="B1093" s="279" t="n"/>
      <c r="C1093" s="278" t="inlineStr">
        <is>
          <t>c/ Las Cruzadas 3A, local D</t>
        </is>
      </c>
      <c r="D1093" s="278" t="inlineStr">
        <is>
          <t>Sevilla 41004</t>
        </is>
      </c>
      <c r="E1093" s="278" t="inlineStr">
        <is>
          <t>CIF B91938662</t>
        </is>
      </c>
      <c r="F1093" s="278" t="inlineStr">
        <is>
          <t>aBalados@abalados.es</t>
        </is>
      </c>
      <c r="G1093" s="278" t="inlineStr">
        <is>
          <t>Huerta Sevilla Renovables, S.L.</t>
        </is>
      </c>
      <c r="H1093" s="278">
        <f>VLOOKUP($G1093,DATOS!$B:$E,2,FALSE)</f>
        <v/>
      </c>
      <c r="I1093" s="278">
        <f>VLOOKUP($G1093,DATOS!$B:$E,3,FALSE)</f>
        <v/>
      </c>
      <c r="J1093" s="278">
        <f>VLOOKUP($G1093,DATOS!$B:$E,4,FALSE)</f>
        <v/>
      </c>
      <c r="K1093" s="278" t="inlineStr">
        <is>
          <t>Contrato de Asset Management - Subestación BrovalesF3</t>
        </is>
      </c>
      <c r="L1093" s="280" t="n"/>
      <c r="N1093" s="280" t="n"/>
      <c r="O1093" s="278" t="inlineStr">
        <is>
          <t>Fee Trimestral - 01Octubre/31Diciembre 2023</t>
        </is>
      </c>
      <c r="P1093" s="280">
        <f>1665 + 1665*(7/30)+1665*1.032*(23/30) + 1665*1.032*(10/31)+2960*1.032*(21/31)</f>
        <v/>
      </c>
      <c r="Q1093" s="278" t="inlineStr">
        <is>
          <t>Fee aplicable PreCod (1.665€/mes): 1 Octubre - 10 Diciembre 2023</t>
        </is>
      </c>
      <c r="R1093" s="280" t="n"/>
      <c r="S1093" s="278" t="inlineStr">
        <is>
          <t>Fee aplicable Explotación (2.960€/mes): 11 Diciembre - 31 Diciembre 2023</t>
        </is>
      </c>
      <c r="T1093" s="280" t="n"/>
      <c r="V1093" s="280" t="n"/>
      <c r="W1093" s="278" t="inlineStr">
        <is>
          <t>Tasa actualización IPC General (Noviembre 2022 - Noviembre 2023): 3,2%</t>
        </is>
      </c>
      <c r="X1093" s="280" t="n"/>
      <c r="Y1093" s="280" t="inlineStr">
        <is>
          <t>Fecha actualización: 08 Noviembre</t>
        </is>
      </c>
      <c r="Z1093" s="280" t="n"/>
      <c r="AA1093" s="280" t="n"/>
      <c r="AB1093" s="281" t="inlineStr">
        <is>
          <t>ES11 0081 7069 2700 0122 7724</t>
        </is>
      </c>
      <c r="AC1093" s="278" t="inlineStr">
        <is>
          <t>pendiente</t>
        </is>
      </c>
      <c r="AD1093" s="280">
        <f>L1093+N1093+P1093+R1093+T1093+V1093+X1093+Z1093</f>
        <v/>
      </c>
      <c r="AE1093" s="280">
        <f>IF((LEFT(K1093,6))="Contab",L1093,0)</f>
        <v/>
      </c>
      <c r="AF1093" s="281">
        <f>VLOOKUP(G1093,CLIENTES!B:E,4,FALSE)</f>
        <v/>
      </c>
      <c r="AG1093" s="280">
        <f>AF1093*AE1093</f>
        <v/>
      </c>
      <c r="AH1093" s="280">
        <f>AD1093*1.21</f>
        <v/>
      </c>
      <c r="AI1093" s="284">
        <f>IF(AE1093&lt;&gt;0,AG1093/AD1093,"N/A")</f>
        <v/>
      </c>
      <c r="AJ1093" s="280">
        <f>IF(AC1093="pendiente",AD1093,0)</f>
        <v/>
      </c>
      <c r="AK1093" s="278">
        <f>VLOOKUP(G1093,CLIENTES!B:D,3,FALSE)</f>
        <v/>
      </c>
    </row>
    <row r="1094" ht="15" customFormat="1" customHeight="1" s="278">
      <c r="B1094" s="279" t="n"/>
      <c r="C1094" s="278" t="inlineStr">
        <is>
          <t>c/ Las Cruzadas 3A, local D</t>
        </is>
      </c>
      <c r="D1094" s="278" t="inlineStr">
        <is>
          <t>Sevilla 41004</t>
        </is>
      </c>
      <c r="E1094" s="278" t="inlineStr">
        <is>
          <t>CIF B91938662</t>
        </is>
      </c>
      <c r="F1094" s="278" t="inlineStr">
        <is>
          <t>aBalados@abalados.es</t>
        </is>
      </c>
      <c r="G1094" s="278" t="inlineStr">
        <is>
          <t>Belisol 132 kV, S.L.</t>
        </is>
      </c>
      <c r="H1094" s="278">
        <f>VLOOKUP($G1094,DATOS!$B:$E,2,FALSE)</f>
        <v/>
      </c>
      <c r="I1094" s="278">
        <f>VLOOKUP($G1094,DATOS!$B:$E,3,FALSE)</f>
        <v/>
      </c>
      <c r="J1094" s="278">
        <f>VLOOKUP($G1094,DATOS!$B:$E,4,FALSE)</f>
        <v/>
      </c>
      <c r="K1094" s="278" t="inlineStr">
        <is>
          <t>Contrato de Asset Management - Subestación Belisol</t>
        </is>
      </c>
      <c r="L1094" s="280" t="n"/>
      <c r="N1094" s="280" t="n"/>
      <c r="O1094" s="278" t="inlineStr">
        <is>
          <t>Fee Trimestral - 01Octubre/31Diciembre 2023</t>
        </is>
      </c>
      <c r="P1094" s="280">
        <f>1350*3</f>
        <v/>
      </c>
      <c r="R1094" s="280" t="n"/>
      <c r="T1094" s="280" t="n"/>
      <c r="V1094" s="280" t="n"/>
      <c r="X1094" s="280" t="n"/>
      <c r="Z1094" s="280" t="n"/>
      <c r="AA1094" s="280" t="n"/>
      <c r="AB1094" s="281" t="inlineStr">
        <is>
          <t>ES11 0081 7069 2700 0122 7724</t>
        </is>
      </c>
      <c r="AC1094" s="278" t="inlineStr">
        <is>
          <t>pendiente</t>
        </is>
      </c>
      <c r="AD1094" s="280">
        <f>L1094+N1094+P1094+R1094+T1094+V1094+X1094+Z1094</f>
        <v/>
      </c>
      <c r="AE1094" s="280">
        <f>IF((LEFT(K1094,6))="Contab",L1094,0)</f>
        <v/>
      </c>
      <c r="AF1094" s="281">
        <f>VLOOKUP(G1094,CLIENTES!B:E,4,FALSE)</f>
        <v/>
      </c>
      <c r="AG1094" s="280">
        <f>AF1094*AE1094</f>
        <v/>
      </c>
      <c r="AH1094" s="280">
        <f>AD1094*1.21</f>
        <v/>
      </c>
      <c r="AI1094" s="284">
        <f>IF(AE1094&lt;&gt;0,AG1094/AD1094,"N/A")</f>
        <v/>
      </c>
      <c r="AJ1094" s="280">
        <f>IF(AC1094="pendiente",AD1094,0)</f>
        <v/>
      </c>
      <c r="AK1094" s="278">
        <f>VLOOKUP(G1094,CLIENTES!B:D,3,FALSE)</f>
        <v/>
      </c>
    </row>
    <row r="1095" ht="15" customFormat="1" customHeight="1" s="278">
      <c r="B1095" s="279" t="n"/>
      <c r="C1095" s="278" t="inlineStr">
        <is>
          <t>c/ Las Cruzadas 3A, local D</t>
        </is>
      </c>
      <c r="D1095" s="278" t="inlineStr">
        <is>
          <t>Sevilla 41004</t>
        </is>
      </c>
      <c r="E1095" s="278" t="inlineStr">
        <is>
          <t>CIF B91938662</t>
        </is>
      </c>
      <c r="F1095" s="278" t="inlineStr">
        <is>
          <t>aBalados@abalados.es</t>
        </is>
      </c>
      <c r="G1095" s="278" t="inlineStr">
        <is>
          <t>Brazatortas 220 Renovables, S.L.</t>
        </is>
      </c>
      <c r="H1095" s="278">
        <f>VLOOKUP($G1095,DATOS!$B:$E,2,FALSE)</f>
        <v/>
      </c>
      <c r="I1095" s="278">
        <f>VLOOKUP($G1095,DATOS!$B:$E,3,FALSE)</f>
        <v/>
      </c>
      <c r="J1095" s="278">
        <f>VLOOKUP($G1095,DATOS!$B:$E,4,FALSE)</f>
        <v/>
      </c>
      <c r="K1095" s="278" t="inlineStr">
        <is>
          <t>Contrato de Asset Management - Subestación Brazatortas220</t>
        </is>
      </c>
      <c r="L1095" s="280" t="n"/>
      <c r="N1095" s="280" t="n"/>
      <c r="O1095" s="278" t="inlineStr">
        <is>
          <t>Fee Trimestral - 01Octubre/31Diciembre 2023</t>
        </is>
      </c>
      <c r="P1095" s="280">
        <f>2*1350 + 1350*(3/31)+3015*(28/31)</f>
        <v/>
      </c>
      <c r="Q1095" s="278" t="inlineStr">
        <is>
          <t>Fee aplicable PreCod (1.350€/mes): 1 Octubre - 3 Diciembre 2023</t>
        </is>
      </c>
      <c r="R1095" s="280" t="n"/>
      <c r="S1095" s="278" t="inlineStr">
        <is>
          <t>Fee aplicable Explotación (3.015€/mes): 04 Diciembre - 31 Diciembre 2023</t>
        </is>
      </c>
      <c r="T1095" s="280" t="n"/>
      <c r="V1095" s="280" t="n"/>
      <c r="W1095" s="278" t="inlineStr">
        <is>
          <t>Tasa actualización IPC General (Diciembre 2022 - Diciembre 2023): No disponible</t>
        </is>
      </c>
      <c r="X1095" s="280" t="n"/>
      <c r="Z1095" s="280" t="n"/>
      <c r="AA1095" s="280" t="n"/>
      <c r="AB1095" s="281" t="inlineStr">
        <is>
          <t>ES11 0081 7069 2700 0122 7724</t>
        </is>
      </c>
      <c r="AC1095" s="278" t="inlineStr">
        <is>
          <t>pendiente</t>
        </is>
      </c>
      <c r="AD1095" s="280">
        <f>L1095+N1095+P1095+R1095+T1095+V1095+X1095+Z1095</f>
        <v/>
      </c>
      <c r="AE1095" s="280">
        <f>IF((LEFT(K1095,6))="Contab",L1095,0)</f>
        <v/>
      </c>
      <c r="AF1095" s="281">
        <f>VLOOKUP(G1095,CLIENTES!B:E,4,FALSE)</f>
        <v/>
      </c>
      <c r="AG1095" s="280">
        <f>AF1095*AE1095</f>
        <v/>
      </c>
      <c r="AH1095" s="280">
        <f>AD1095*1.21</f>
        <v/>
      </c>
      <c r="AI1095" s="284">
        <f>IF(AE1095&lt;&gt;0,AG1095/AD1095,"N/A")</f>
        <v/>
      </c>
      <c r="AJ1095" s="280">
        <f>IF(AC1095="pendiente",AD1095,0)</f>
        <v/>
      </c>
      <c r="AK1095" s="278">
        <f>VLOOKUP(G1095,CLIENTES!B:D,3,FALSE)</f>
        <v/>
      </c>
    </row>
    <row r="1096" ht="15" customFormat="1" customHeight="1" s="278">
      <c r="B1096" s="279" t="n"/>
      <c r="C1096" s="278" t="inlineStr">
        <is>
          <t>c/ Las Cruzadas 3A, local D</t>
        </is>
      </c>
      <c r="D1096" s="278" t="inlineStr">
        <is>
          <t>Sevilla 41004</t>
        </is>
      </c>
      <c r="E1096" s="278" t="inlineStr">
        <is>
          <t>CIF B91938662</t>
        </is>
      </c>
      <c r="F1096" s="278" t="inlineStr">
        <is>
          <t>aBalados@abalados.es</t>
        </is>
      </c>
      <c r="G1096" s="278" t="inlineStr">
        <is>
          <t>Evacuación Liquesun, S.L.</t>
        </is>
      </c>
      <c r="H1096" s="278">
        <f>VLOOKUP($G1096,DATOS!$B:$E,2,FALSE)</f>
        <v/>
      </c>
      <c r="I1096" s="278">
        <f>VLOOKUP($G1096,DATOS!$B:$E,3,FALSE)</f>
        <v/>
      </c>
      <c r="J1096" s="278">
        <f>VLOOKUP($G1096,DATOS!$B:$E,4,FALSE)</f>
        <v/>
      </c>
      <c r="K1096" s="278" t="inlineStr">
        <is>
          <t>Contrato de Asset Management - LSAT 30kV</t>
        </is>
      </c>
      <c r="L1096" s="280" t="n"/>
      <c r="N1096" s="280" t="n"/>
      <c r="O1096" s="278" t="inlineStr">
        <is>
          <t>Fee Trimestral - 01Octubre/31Diciembre 2023</t>
        </is>
      </c>
      <c r="P1096" s="280">
        <f>750*3</f>
        <v/>
      </c>
      <c r="R1096" s="280" t="n"/>
      <c r="T1096" s="280" t="n"/>
      <c r="V1096" s="280" t="n"/>
      <c r="X1096" s="280" t="n"/>
      <c r="Z1096" s="280" t="n"/>
      <c r="AA1096" s="280" t="n"/>
      <c r="AB1096" s="281" t="inlineStr">
        <is>
          <t>ES11 0081 7069 2700 0122 7724</t>
        </is>
      </c>
      <c r="AC1096" s="278" t="inlineStr">
        <is>
          <t>pendiente</t>
        </is>
      </c>
      <c r="AD1096" s="280">
        <f>L1096+N1096+P1096+R1096+T1096+V1096+X1096+Z1096</f>
        <v/>
      </c>
      <c r="AE1096" s="280">
        <f>IF((LEFT(K1096,6))="Contab",L1096,0)</f>
        <v/>
      </c>
      <c r="AF1096" s="281">
        <f>VLOOKUP(G1096,CLIENTES!B:E,4,FALSE)</f>
        <v/>
      </c>
      <c r="AG1096" s="280">
        <f>AF1096*AE1096</f>
        <v/>
      </c>
      <c r="AH1096" s="280">
        <f>AD1096*1.21</f>
        <v/>
      </c>
      <c r="AI1096" s="284">
        <f>IF(AE1096&lt;&gt;0,AG1096/AD1096,"N/A")</f>
        <v/>
      </c>
      <c r="AJ1096" s="280">
        <f>IF(AC1096="pendiente",AD1096,0)</f>
        <v/>
      </c>
      <c r="AK1096" s="278">
        <f>VLOOKUP(G1096,CLIENTES!B:D,3,FALSE)</f>
        <v/>
      </c>
    </row>
    <row r="1097" ht="15" customFormat="1" customHeight="1" s="278">
      <c r="B1097" s="279" t="n"/>
      <c r="C1097" s="278" t="inlineStr">
        <is>
          <t>c/ Las Cruzadas 3A, local D</t>
        </is>
      </c>
      <c r="D1097" s="278" t="inlineStr">
        <is>
          <t>Sevilla 41004</t>
        </is>
      </c>
      <c r="E1097" s="278" t="inlineStr">
        <is>
          <t>CIF B91938662</t>
        </is>
      </c>
      <c r="F1097" s="278" t="inlineStr">
        <is>
          <t>aBalados@abalados.es</t>
        </is>
      </c>
      <c r="G1097" s="278" t="inlineStr">
        <is>
          <t>Colectora Carmona, S.L.</t>
        </is>
      </c>
      <c r="H1097" s="278">
        <f>VLOOKUP($G1097,DATOS!$B:$E,2,FALSE)</f>
        <v/>
      </c>
      <c r="I1097" s="278">
        <f>VLOOKUP($G1097,DATOS!$B:$E,3,FALSE)</f>
        <v/>
      </c>
      <c r="J1097" s="278">
        <f>VLOOKUP($G1097,DATOS!$B:$E,4,FALSE)</f>
        <v/>
      </c>
      <c r="K1097" s="278" t="inlineStr">
        <is>
          <t>Contrato de Asset Management - Subestación Colectora Carmona</t>
        </is>
      </c>
      <c r="L1097" s="280" t="n"/>
      <c r="N1097" s="280" t="n"/>
      <c r="O1097" s="278" t="inlineStr">
        <is>
          <t>Fee Trimestral - 01Octubre/31Diciembre 2023</t>
        </is>
      </c>
      <c r="P1097" s="280">
        <f>1250 + 1250*(23/30)+1250*1.032*(7/30) + 1250*1.032</f>
        <v/>
      </c>
      <c r="Q1097" s="278" t="inlineStr">
        <is>
          <t>Tasa actualización IPC General (Noviembre 2022 - Noviembre 2023): 3,2%</t>
        </is>
      </c>
      <c r="R1097" s="280" t="n"/>
      <c r="S1097" s="280" t="inlineStr">
        <is>
          <t>Fecha actualización: 24 Noviembre</t>
        </is>
      </c>
      <c r="T1097" s="280" t="n"/>
      <c r="V1097" s="280" t="n"/>
      <c r="X1097" s="280" t="n"/>
      <c r="Z1097" s="280" t="n"/>
      <c r="AA1097" s="280" t="n"/>
      <c r="AB1097" s="281" t="inlineStr">
        <is>
          <t>ES11 0081 7069 2700 0122 7724</t>
        </is>
      </c>
      <c r="AC1097" s="278" t="inlineStr">
        <is>
          <t>pendiente</t>
        </is>
      </c>
      <c r="AD1097" s="280">
        <f>L1097+N1097+P1097+R1097+T1097+V1097+X1097+Z1097</f>
        <v/>
      </c>
      <c r="AE1097" s="280">
        <f>IF((LEFT(K1097,6))="Contab",L1097,0)</f>
        <v/>
      </c>
      <c r="AF1097" s="281">
        <f>VLOOKUP(G1097,CLIENTES!B:E,4,FALSE)</f>
        <v/>
      </c>
      <c r="AG1097" s="280">
        <f>AF1097*AE1097</f>
        <v/>
      </c>
      <c r="AH1097" s="280">
        <f>AD1097*1.21</f>
        <v/>
      </c>
      <c r="AI1097" s="284">
        <f>IF(AE1097&lt;&gt;0,AG1097/AD1097,"N/A")</f>
        <v/>
      </c>
      <c r="AJ1097" s="280">
        <f>IF(AC1097="pendiente",AD1097,0)</f>
        <v/>
      </c>
      <c r="AK1097" s="278">
        <f>VLOOKUP(G1097,CLIENTES!B:D,3,FALSE)</f>
        <v/>
      </c>
    </row>
    <row r="1098" ht="15" customFormat="1" customHeight="1" s="278">
      <c r="B1098" s="279" t="n"/>
      <c r="C1098" s="278" t="inlineStr">
        <is>
          <t>c/ Las Cruzadas 3A, local D</t>
        </is>
      </c>
      <c r="D1098" s="278" t="inlineStr">
        <is>
          <t>Sevilla 41004</t>
        </is>
      </c>
      <c r="E1098" s="278" t="inlineStr">
        <is>
          <t>CIF B91938662</t>
        </is>
      </c>
      <c r="F1098" s="278" t="inlineStr">
        <is>
          <t>aBalados@abalados.es</t>
        </is>
      </c>
      <c r="G1098" s="278" t="inlineStr">
        <is>
          <t>Toro Renovables, S.L.</t>
        </is>
      </c>
      <c r="H1098" s="278">
        <f>VLOOKUP($G1098,DATOS!$B:$E,2,FALSE)</f>
        <v/>
      </c>
      <c r="I1098" s="278">
        <f>VLOOKUP($G1098,DATOS!$B:$E,3,FALSE)</f>
        <v/>
      </c>
      <c r="J1098" s="278">
        <f>VLOOKUP($G1098,DATOS!$B:$E,4,FALSE)</f>
        <v/>
      </c>
      <c r="K1098" s="278" t="inlineStr">
        <is>
          <t>Contrato de Asset Management - Subestación Toro400</t>
        </is>
      </c>
      <c r="L1098" s="280" t="n"/>
      <c r="N1098" s="280" t="n"/>
      <c r="O1098" s="278" t="inlineStr">
        <is>
          <t>Fee Trimestral - 01Octubre/31Diciembre 2023</t>
        </is>
      </c>
      <c r="P1098" s="280">
        <f>3*2800</f>
        <v/>
      </c>
      <c r="R1098" s="280" t="n"/>
      <c r="T1098" s="280" t="n"/>
      <c r="V1098" s="280" t="n"/>
      <c r="X1098" s="280" t="n"/>
      <c r="Z1098" s="280" t="n"/>
      <c r="AA1098" s="280" t="n"/>
      <c r="AB1098" s="281" t="inlineStr">
        <is>
          <t>ES11 0081 7069 2700 0122 7724</t>
        </is>
      </c>
      <c r="AC1098" s="278" t="inlineStr">
        <is>
          <t>pendiente</t>
        </is>
      </c>
      <c r="AD1098" s="280">
        <f>L1098+N1098+P1098+R1098+T1098+V1098+X1098+Z1098</f>
        <v/>
      </c>
      <c r="AE1098" s="280">
        <f>IF((LEFT(K1098,6))="Contab",L1098,0)</f>
        <v/>
      </c>
      <c r="AF1098" s="281">
        <f>VLOOKUP(G1098,CLIENTES!B:E,4,FALSE)</f>
        <v/>
      </c>
      <c r="AG1098" s="280">
        <f>AF1098*AE1098</f>
        <v/>
      </c>
      <c r="AH1098" s="280">
        <f>AD1098*1.21</f>
        <v/>
      </c>
      <c r="AI1098" s="284">
        <f>IF(AE1098&lt;&gt;0,AG1098/AD1098,"N/A")</f>
        <v/>
      </c>
      <c r="AJ1098" s="280">
        <f>IF(AC1098="pendiente",AD1098,0)</f>
        <v/>
      </c>
      <c r="AK1098" s="278">
        <f>VLOOKUP(G1098,CLIENTES!B:D,3,FALSE)</f>
        <v/>
      </c>
    </row>
    <row r="1099" ht="15" customFormat="1" customHeight="1" s="278">
      <c r="B1099" s="279" t="n"/>
      <c r="C1099" s="278" t="inlineStr">
        <is>
          <t>c/ Las Cruzadas 3A, local D</t>
        </is>
      </c>
      <c r="D1099" s="278" t="inlineStr">
        <is>
          <t>Sevilla 41004</t>
        </is>
      </c>
      <c r="E1099" s="278" t="inlineStr">
        <is>
          <t>CIF B91938662</t>
        </is>
      </c>
      <c r="F1099" s="278" t="inlineStr">
        <is>
          <t>aBalados@abalados.es</t>
        </is>
      </c>
      <c r="G1099" s="278" t="inlineStr">
        <is>
          <t>Renovables Brovales Segura de León 400 kV, S.L.</t>
        </is>
      </c>
      <c r="H1099" s="278">
        <f>VLOOKUP($G1099,DATOS!$B:$E,2,FALSE)</f>
        <v/>
      </c>
      <c r="I1099" s="278">
        <f>VLOOKUP($G1099,DATOS!$B:$E,3,FALSE)</f>
        <v/>
      </c>
      <c r="J1099" s="278">
        <f>VLOOKUP($G1099,DATOS!$B:$E,4,FALSE)</f>
        <v/>
      </c>
      <c r="K1099" s="278" t="inlineStr">
        <is>
          <t>Contrato de Asset Management - Subestación BrovalesF2</t>
        </is>
      </c>
      <c r="L1099" s="280" t="n"/>
      <c r="N1099" s="280" t="n"/>
      <c r="O1099" s="278" t="inlineStr">
        <is>
          <t>Fee Trimestral - 01Octubre/31Diciembre 2023</t>
        </is>
      </c>
      <c r="P1099" s="280">
        <f>1665 + 1665*(6/30)+1665*1.032*(24/30) + 1665*1.032</f>
        <v/>
      </c>
      <c r="Q1099" s="278" t="inlineStr">
        <is>
          <t>Tasa actualización IPC General (Noviembre 2022 - Noviembre 2023): 3,2%</t>
        </is>
      </c>
      <c r="R1099" s="280" t="n"/>
      <c r="S1099" s="280" t="inlineStr">
        <is>
          <t>Fecha actualización: 07 Noviembre</t>
        </is>
      </c>
      <c r="T1099" s="280" t="n"/>
      <c r="V1099" s="280" t="n"/>
      <c r="X1099" s="280" t="n"/>
      <c r="Z1099" s="280" t="n"/>
      <c r="AA1099" s="280" t="n"/>
      <c r="AB1099" s="281" t="inlineStr">
        <is>
          <t>ES11 0081 7069 2700 0122 7724</t>
        </is>
      </c>
      <c r="AC1099" s="278" t="inlineStr">
        <is>
          <t>pendiente</t>
        </is>
      </c>
      <c r="AD1099" s="280">
        <f>L1099+N1099+P1099+R1099+T1099+V1099+X1099+Z1099</f>
        <v/>
      </c>
      <c r="AE1099" s="280">
        <f>IF((LEFT(K1099,6))="Contab",L1099,0)</f>
        <v/>
      </c>
      <c r="AF1099" s="281">
        <f>VLOOKUP(G1099,CLIENTES!B:E,4,FALSE)</f>
        <v/>
      </c>
      <c r="AG1099" s="280">
        <f>AF1099*AE1099</f>
        <v/>
      </c>
      <c r="AH1099" s="280">
        <f>AD1099*1.21</f>
        <v/>
      </c>
      <c r="AI1099" s="284">
        <f>IF(AE1099&lt;&gt;0,AG1099/AD1099,"N/A")</f>
        <v/>
      </c>
      <c r="AJ1099" s="280">
        <f>IF(AC1099="pendiente",AD1099,0)</f>
        <v/>
      </c>
      <c r="AK1099" s="278">
        <f>VLOOKUP(G1099,CLIENTES!B:D,3,FALSE)</f>
        <v/>
      </c>
    </row>
    <row r="1100" ht="15" customFormat="1" customHeight="1" s="278">
      <c r="B1100" s="279" t="n"/>
      <c r="C1100" s="278" t="inlineStr">
        <is>
          <t>c/ Las Cruzadas 3A, local D</t>
        </is>
      </c>
      <c r="D1100" s="278" t="inlineStr">
        <is>
          <t>Sevilla 41004</t>
        </is>
      </c>
      <c r="E1100" s="278" t="inlineStr">
        <is>
          <t>CIF B91938662</t>
        </is>
      </c>
      <c r="F1100" s="278" t="inlineStr">
        <is>
          <t>aBalados@abalados.es</t>
        </is>
      </c>
      <c r="G1100" s="278" t="inlineStr">
        <is>
          <t>Promotores Benejama Generación, S.L.</t>
        </is>
      </c>
      <c r="H1100" s="278">
        <f>VLOOKUP($G1100,DATOS!$B:$E,2,FALSE)</f>
        <v/>
      </c>
      <c r="I1100" s="278">
        <f>VLOOKUP($G1100,DATOS!$B:$E,3,FALSE)</f>
        <v/>
      </c>
      <c r="J1100" s="278">
        <f>VLOOKUP($G1100,DATOS!$B:$E,4,FALSE)</f>
        <v/>
      </c>
      <c r="K1100" s="278" t="inlineStr">
        <is>
          <t>Contrato de Asset Management - Subestación Benejama Generación</t>
        </is>
      </c>
      <c r="L1100" s="280" t="n"/>
      <c r="N1100" s="280" t="n"/>
      <c r="O1100" s="278" t="inlineStr">
        <is>
          <t>Fee Trimestral - 01Octubre/31Diciembre 2023</t>
        </is>
      </c>
      <c r="P1100" s="280">
        <f>3*1350</f>
        <v/>
      </c>
      <c r="Q1100" s="356" t="n"/>
      <c r="R1100" s="280" t="n"/>
      <c r="T1100" s="280" t="n"/>
      <c r="V1100" s="280" t="n"/>
      <c r="X1100" s="280" t="n"/>
      <c r="Z1100" s="280" t="n"/>
      <c r="AA1100" s="280" t="n"/>
      <c r="AB1100" s="281" t="inlineStr">
        <is>
          <t>ES11 0081 7069 2700 0122 7724</t>
        </is>
      </c>
      <c r="AC1100" s="278" t="inlineStr">
        <is>
          <t>pendiente</t>
        </is>
      </c>
      <c r="AD1100" s="280">
        <f>L1100+N1100+P1100+R1100+T1100+V1100+X1100+Z1100</f>
        <v/>
      </c>
      <c r="AE1100" s="280">
        <f>IF((LEFT(K1100,6))="Contab",L1100,0)</f>
        <v/>
      </c>
      <c r="AF1100" s="281">
        <f>VLOOKUP(G1100,CLIENTES!B:E,4,FALSE)</f>
        <v/>
      </c>
      <c r="AG1100" s="280">
        <f>AF1100*AE1100</f>
        <v/>
      </c>
      <c r="AH1100" s="280">
        <f>AD1100*1.21</f>
        <v/>
      </c>
      <c r="AI1100" s="284">
        <f>IF(AE1100&lt;&gt;0,AG1100/AD1100,"N/A")</f>
        <v/>
      </c>
      <c r="AJ1100" s="280">
        <f>IF(AC1100="pendiente",AD1100,0)</f>
        <v/>
      </c>
      <c r="AK1100" s="278">
        <f>VLOOKUP(G1100,CLIENTES!B:D,3,FALSE)</f>
        <v/>
      </c>
    </row>
    <row r="1101" ht="15" customFormat="1" customHeight="1" s="278">
      <c r="B1101" s="279" t="n"/>
      <c r="C1101" s="278" t="inlineStr">
        <is>
          <t>c/ Las Cruzadas 3A, local D</t>
        </is>
      </c>
      <c r="D1101" s="278" t="inlineStr">
        <is>
          <t>Sevilla 41004</t>
        </is>
      </c>
      <c r="E1101" s="278" t="inlineStr">
        <is>
          <t>CIF B91938662</t>
        </is>
      </c>
      <c r="F1101" s="278" t="inlineStr">
        <is>
          <t>aBalados@abalados.es</t>
        </is>
      </c>
      <c r="G1101" s="278" t="inlineStr">
        <is>
          <t>ICE Santa Engracia, S.L.</t>
        </is>
      </c>
      <c r="H1101" s="278">
        <f>VLOOKUP($G1101,DATOS!$B:$E,2,FALSE)</f>
        <v/>
      </c>
      <c r="I1101" s="278">
        <f>VLOOKUP($G1101,DATOS!$B:$E,3,FALSE)</f>
        <v/>
      </c>
      <c r="J1101" s="278">
        <f>VLOOKUP($G1101,DATOS!$B:$E,4,FALSE)</f>
        <v/>
      </c>
      <c r="K1101" s="278" t="inlineStr">
        <is>
          <t>Contrato de Asset Management - Subestación Santa Engracia</t>
        </is>
      </c>
      <c r="L1101" s="280" t="n"/>
      <c r="N1101" s="280" t="n"/>
      <c r="O1101" s="278" t="inlineStr">
        <is>
          <t>Fee Trimestral - 01Octubre/31Diciembre 2023</t>
        </is>
      </c>
      <c r="P1101" s="280">
        <f>3*1350</f>
        <v/>
      </c>
      <c r="R1101" s="280" t="n"/>
      <c r="T1101" s="280" t="n"/>
      <c r="V1101" s="280" t="n"/>
      <c r="X1101" s="280" t="n"/>
      <c r="Z1101" s="280" t="n"/>
      <c r="AA1101" s="280" t="n"/>
      <c r="AB1101" s="281" t="inlineStr">
        <is>
          <t>ES11 0081 7069 2700 0122 7724</t>
        </is>
      </c>
      <c r="AC1101" s="278" t="inlineStr">
        <is>
          <t>pendiente</t>
        </is>
      </c>
      <c r="AD1101" s="280">
        <f>L1101+N1101+P1101+R1101+T1101+V1101+X1101+Z1101</f>
        <v/>
      </c>
      <c r="AE1101" s="280">
        <f>IF((LEFT(K1101,6))="Contab",L1101,0)</f>
        <v/>
      </c>
      <c r="AF1101" s="281">
        <f>VLOOKUP(G1101,CLIENTES!B:E,4,FALSE)</f>
        <v/>
      </c>
      <c r="AG1101" s="280">
        <f>AF1101*AE1101</f>
        <v/>
      </c>
      <c r="AH1101" s="280">
        <f>AD1101*1.21</f>
        <v/>
      </c>
      <c r="AI1101" s="284">
        <f>IF(AE1101&lt;&gt;0,AG1101/AD1101,"N/A")</f>
        <v/>
      </c>
      <c r="AJ1101" s="280">
        <f>IF(AC1101="pendiente",AD1101,0)</f>
        <v/>
      </c>
      <c r="AK1101" s="278">
        <f>VLOOKUP(G1101,CLIENTES!B:D,3,FALSE)</f>
        <v/>
      </c>
    </row>
    <row r="1102" ht="15" customFormat="1" customHeight="1" s="278">
      <c r="B1102" s="279" t="n"/>
      <c r="C1102" s="278" t="inlineStr">
        <is>
          <t>c/ Las Cruzadas 3A, local D</t>
        </is>
      </c>
      <c r="D1102" s="278" t="inlineStr">
        <is>
          <t>Sevilla 41004</t>
        </is>
      </c>
      <c r="E1102" s="278" t="inlineStr">
        <is>
          <t>CIF B91938662</t>
        </is>
      </c>
      <c r="F1102" s="278" t="inlineStr">
        <is>
          <t>aBalados@abalados.es</t>
        </is>
      </c>
      <c r="G1102" s="278" t="inlineStr">
        <is>
          <t>Becerril Renovables, S.L.</t>
        </is>
      </c>
      <c r="H1102" s="278">
        <f>VLOOKUP($G1102,DATOS!$B:$E,2,FALSE)</f>
        <v/>
      </c>
      <c r="I1102" s="278">
        <f>VLOOKUP($G1102,DATOS!$B:$E,3,FALSE)</f>
        <v/>
      </c>
      <c r="J1102" s="278">
        <f>VLOOKUP($G1102,DATOS!$B:$E,4,FALSE)</f>
        <v/>
      </c>
      <c r="K1102" s="278" t="inlineStr">
        <is>
          <t>Contrato de Asset Management - Subestación Becerril</t>
        </is>
      </c>
      <c r="L1102" s="280" t="n"/>
      <c r="N1102" s="280" t="n"/>
      <c r="O1102" s="278" t="inlineStr">
        <is>
          <t>Fee Trimestral - 01Octubre/31Diciembre 2023</t>
        </is>
      </c>
      <c r="P1102" s="280">
        <f>3*1350</f>
        <v/>
      </c>
      <c r="R1102" s="280" t="n"/>
      <c r="T1102" s="280" t="n"/>
      <c r="V1102" s="280" t="n"/>
      <c r="X1102" s="280" t="n"/>
      <c r="Z1102" s="280" t="n"/>
      <c r="AA1102" s="280" t="n"/>
      <c r="AB1102" s="281" t="inlineStr">
        <is>
          <t>ES11 0081 7069 2700 0122 7724</t>
        </is>
      </c>
      <c r="AC1102" s="278" t="inlineStr">
        <is>
          <t>pendiente</t>
        </is>
      </c>
      <c r="AD1102" s="280">
        <f>L1102+N1102+P1102+R1102+T1102+V1102+X1102+Z1102</f>
        <v/>
      </c>
      <c r="AE1102" s="280">
        <f>IF((LEFT(K1102,6))="Contab",L1102,0)</f>
        <v/>
      </c>
      <c r="AF1102" s="281">
        <f>VLOOKUP(G1102,CLIENTES!B:E,4,FALSE)</f>
        <v/>
      </c>
      <c r="AG1102" s="280">
        <f>AF1102*AE1102</f>
        <v/>
      </c>
      <c r="AH1102" s="280">
        <f>AD1102*1.21</f>
        <v/>
      </c>
      <c r="AI1102" s="284">
        <f>IF(AE1102&lt;&gt;0,AG1102/AD1102,"N/A")</f>
        <v/>
      </c>
      <c r="AJ1102" s="280">
        <f>IF(AC1102="pendiente",AD1102,0)</f>
        <v/>
      </c>
      <c r="AK1102" s="278">
        <f>VLOOKUP(G1102,CLIENTES!B:D,3,FALSE)</f>
        <v/>
      </c>
    </row>
    <row r="1103" ht="15" customFormat="1" customHeight="1" s="278">
      <c r="B1103" s="279" t="n"/>
      <c r="C1103" s="278" t="inlineStr">
        <is>
          <t>c/ Las Cruzadas 3A, local D</t>
        </is>
      </c>
      <c r="D1103" s="278" t="inlineStr">
        <is>
          <t>Sevilla 41004</t>
        </is>
      </c>
      <c r="E1103" s="278" t="inlineStr">
        <is>
          <t>CIF B91938662</t>
        </is>
      </c>
      <c r="F1103" s="278" t="inlineStr">
        <is>
          <t>aBalados@abalados.es</t>
        </is>
      </c>
      <c r="G1103" s="278" t="inlineStr">
        <is>
          <t>Transformadora Almodóvar Renovables, S.L.</t>
        </is>
      </c>
      <c r="H1103" s="278">
        <f>VLOOKUP($G1103,DATOS!$B:$E,2,FALSE)</f>
        <v/>
      </c>
      <c r="I1103" s="278">
        <f>VLOOKUP($G1103,DATOS!$B:$E,3,FALSE)</f>
        <v/>
      </c>
      <c r="J1103" s="278">
        <f>VLOOKUP($G1103,DATOS!$B:$E,4,FALSE)</f>
        <v/>
      </c>
      <c r="K1103" s="278" t="inlineStr">
        <is>
          <t>Contrato de Asset Management - Subestación Almodóvar</t>
        </is>
      </c>
      <c r="L1103" s="280" t="n"/>
      <c r="N1103" s="280" t="n"/>
      <c r="O1103" s="278" t="inlineStr">
        <is>
          <t>Fee Trimestral - 01Octubre/31Diciembre 2023</t>
        </is>
      </c>
      <c r="P1103" s="280">
        <f>1350 + 1350*(16/30)+1350*1.032*(14/30) + 1350*1.032</f>
        <v/>
      </c>
      <c r="Q1103" s="278" t="inlineStr">
        <is>
          <t>Tasa actualización IPC General (Noviembre 2022 - Noviembre 2023): 3,2%</t>
        </is>
      </c>
      <c r="R1103" s="280" t="n"/>
      <c r="S1103" s="280" t="inlineStr">
        <is>
          <t>Fecha actualización: 17 Noviembre</t>
        </is>
      </c>
      <c r="T1103" s="280" t="n"/>
      <c r="V1103" s="280" t="n"/>
      <c r="X1103" s="280" t="n"/>
      <c r="Z1103" s="280" t="n"/>
      <c r="AA1103" s="280" t="n"/>
      <c r="AB1103" s="281" t="inlineStr">
        <is>
          <t>ES11 0081 7069 2700 0122 7724</t>
        </is>
      </c>
      <c r="AC1103" s="278" t="inlineStr">
        <is>
          <t>pendiente</t>
        </is>
      </c>
      <c r="AD1103" s="280">
        <f>L1103+N1103+P1103+R1103+T1103+V1103+X1103+Z1103</f>
        <v/>
      </c>
      <c r="AE1103" s="280">
        <f>IF((LEFT(K1103,6))="Contab",L1103,0)</f>
        <v/>
      </c>
      <c r="AF1103" s="281">
        <f>VLOOKUP(G1103,CLIENTES!B:E,4,FALSE)</f>
        <v/>
      </c>
      <c r="AG1103" s="280">
        <f>AF1103*AE1103</f>
        <v/>
      </c>
      <c r="AH1103" s="280">
        <f>AD1103*1.21</f>
        <v/>
      </c>
      <c r="AI1103" s="284">
        <f>IF(AE1103&lt;&gt;0,AG1103/AD1103,"N/A")</f>
        <v/>
      </c>
      <c r="AJ1103" s="280">
        <f>IF(AC1103="pendiente",AD1103,0)</f>
        <v/>
      </c>
      <c r="AK1103" s="278">
        <f>VLOOKUP(G1103,CLIENTES!B:D,3,FALSE)</f>
        <v/>
      </c>
    </row>
    <row r="1104" ht="15" customFormat="1" customHeight="1" s="278">
      <c r="B1104" s="279" t="n"/>
      <c r="C1104" s="278" t="inlineStr">
        <is>
          <t>c/ Las Cruzadas 3A, local D</t>
        </is>
      </c>
      <c r="D1104" s="278" t="inlineStr">
        <is>
          <t>Sevilla 41004</t>
        </is>
      </c>
      <c r="E1104" s="278" t="inlineStr">
        <is>
          <t>CIF B91938662</t>
        </is>
      </c>
      <c r="F1104" s="278" t="inlineStr">
        <is>
          <t>aBalados@abalados.es</t>
        </is>
      </c>
      <c r="G1104" s="278" t="inlineStr">
        <is>
          <t>Teodomiro Renovables, S.L.</t>
        </is>
      </c>
      <c r="H1104" s="278">
        <f>VLOOKUP($G1104,DATOS!$B:$E,2,FALSE)</f>
        <v/>
      </c>
      <c r="I1104" s="278">
        <f>VLOOKUP($G1104,DATOS!$B:$E,3,FALSE)</f>
        <v/>
      </c>
      <c r="J1104" s="278">
        <f>VLOOKUP($G1104,DATOS!$B:$E,4,FALSE)</f>
        <v/>
      </c>
      <c r="K1104" s="278" t="inlineStr">
        <is>
          <t>Contrato de Asset Management - Subestación Teodomiro</t>
        </is>
      </c>
      <c r="L1104" s="280" t="n"/>
      <c r="N1104" s="280" t="n"/>
      <c r="O1104" s="278" t="inlineStr">
        <is>
          <t>Fee Trimestral - Inicio contrato (01 Marzo 2023) / 31 Diciembre 2023</t>
        </is>
      </c>
      <c r="P1104" s="280">
        <f>10*1350</f>
        <v/>
      </c>
      <c r="R1104" s="280" t="n"/>
      <c r="S1104" s="280" t="n"/>
      <c r="T1104" s="280" t="n"/>
      <c r="V1104" s="280" t="n"/>
      <c r="X1104" s="280" t="n"/>
      <c r="Z1104" s="280" t="n"/>
      <c r="AA1104" s="280" t="n"/>
      <c r="AB1104" s="281" t="inlineStr">
        <is>
          <t>ES11 0081 7069 2700 0122 7724</t>
        </is>
      </c>
      <c r="AC1104" s="278" t="inlineStr">
        <is>
          <t>pendiente</t>
        </is>
      </c>
      <c r="AD1104" s="280">
        <f>L1104+N1104+P1104+R1104+T1104+V1104+X1104+Z1104</f>
        <v/>
      </c>
      <c r="AE1104" s="280">
        <f>IF((LEFT(K1104,6))="Contab",L1104,0)</f>
        <v/>
      </c>
      <c r="AF1104" s="281">
        <f>VLOOKUP(G1104,CLIENTES!B:E,4,FALSE)</f>
        <v/>
      </c>
      <c r="AG1104" s="280">
        <f>AF1104*AE1104</f>
        <v/>
      </c>
      <c r="AH1104" s="280">
        <f>AD1104*1.21</f>
        <v/>
      </c>
      <c r="AI1104" s="284">
        <f>IF(AE1104&lt;&gt;0,AG1104/AD1104,"N/A")</f>
        <v/>
      </c>
      <c r="AJ1104" s="280">
        <f>IF(AC1104="pendiente",AD1104,0)</f>
        <v/>
      </c>
      <c r="AK1104" s="278">
        <f>VLOOKUP(G1104,CLIENTES!B:D,3,FALSE)</f>
        <v/>
      </c>
    </row>
    <row r="1105" ht="15" customFormat="1" customHeight="1" s="278">
      <c r="B1105" s="279" t="n"/>
      <c r="C1105" s="278" t="inlineStr">
        <is>
          <t>c/ Las Cruzadas 3A, local D</t>
        </is>
      </c>
      <c r="D1105" s="278" t="inlineStr">
        <is>
          <t>Sevilla 41004</t>
        </is>
      </c>
      <c r="E1105" s="278" t="inlineStr">
        <is>
          <t>CIF B91938662</t>
        </is>
      </c>
      <c r="F1105" s="278" t="inlineStr">
        <is>
          <t>aBalados@abalados.es</t>
        </is>
      </c>
      <c r="G1105" s="278" t="inlineStr">
        <is>
          <t>Nudo SE Zaratan 220 kV, S.L.</t>
        </is>
      </c>
      <c r="H1105" s="278">
        <f>VLOOKUP($G1105,DATOS!$B:$E,2,FALSE)</f>
        <v/>
      </c>
      <c r="I1105" s="278">
        <f>VLOOKUP($G1105,DATOS!$B:$E,3,FALSE)</f>
        <v/>
      </c>
      <c r="J1105" s="278">
        <f>VLOOKUP($G1105,DATOS!$B:$E,4,FALSE)</f>
        <v/>
      </c>
      <c r="K1105" s="278" t="inlineStr">
        <is>
          <t>Contrato de Asset Management - Subestación Ciguñuela</t>
        </is>
      </c>
      <c r="L1105" s="280" t="n"/>
      <c r="N1105" s="280" t="n"/>
      <c r="O1105" s="278" t="inlineStr">
        <is>
          <t>Fee Trimestral - Inicio contrato (27 Junio 2023) / 31 Diciembre 2023</t>
        </is>
      </c>
      <c r="P1105" s="280">
        <f>1350*(4/30)+6*1350</f>
        <v/>
      </c>
      <c r="R1105" s="280" t="n"/>
      <c r="S1105" s="280" t="n"/>
      <c r="T1105" s="280" t="n"/>
      <c r="V1105" s="280" t="n"/>
      <c r="X1105" s="280" t="n"/>
      <c r="Z1105" s="280" t="n"/>
      <c r="AA1105" s="280" t="n"/>
      <c r="AB1105" s="281" t="inlineStr">
        <is>
          <t>ES11 0081 7069 2700 0122 7724</t>
        </is>
      </c>
      <c r="AC1105" s="278" t="inlineStr">
        <is>
          <t>pendiente</t>
        </is>
      </c>
      <c r="AD1105" s="280">
        <f>L1105+N1105+P1105+R1105+T1105+V1105+X1105+Z1105</f>
        <v/>
      </c>
      <c r="AE1105" s="280">
        <f>IF((LEFT(K1105,6))="Contab",L1105,0)</f>
        <v/>
      </c>
      <c r="AF1105" s="281">
        <f>VLOOKUP(G1105,CLIENTES!B:E,4,FALSE)</f>
        <v/>
      </c>
      <c r="AG1105" s="280">
        <f>AF1105*AE1105</f>
        <v/>
      </c>
      <c r="AH1105" s="280">
        <f>AD1105*1.21</f>
        <v/>
      </c>
      <c r="AI1105" s="284">
        <f>IF(AE1105&lt;&gt;0,AG1105/AD1105,"N/A")</f>
        <v/>
      </c>
      <c r="AJ1105" s="280">
        <f>IF(AC1105="pendiente",AD1105,0)</f>
        <v/>
      </c>
      <c r="AK1105" s="278">
        <f>VLOOKUP(G1105,CLIENTES!B:D,3,FALSE)</f>
        <v/>
      </c>
    </row>
    <row r="1106" ht="15" customFormat="1" customHeight="1" s="278">
      <c r="B1106" s="279" t="n"/>
      <c r="C1106" s="278" t="inlineStr">
        <is>
          <t>c/ Las Cruzadas 3A, local D</t>
        </is>
      </c>
      <c r="D1106" s="278" t="inlineStr">
        <is>
          <t>Sevilla 41004</t>
        </is>
      </c>
      <c r="E1106" s="278" t="inlineStr">
        <is>
          <t>CIF B91938662</t>
        </is>
      </c>
      <c r="F1106" s="278" t="inlineStr">
        <is>
          <t>aBalados@abalados.es</t>
        </is>
      </c>
      <c r="G1106" s="278" t="inlineStr">
        <is>
          <t>Promotores Benejama Colectora, S.L.</t>
        </is>
      </c>
      <c r="H1106" s="278">
        <f>VLOOKUP($G1106,DATOS!$B:$E,2,FALSE)</f>
        <v/>
      </c>
      <c r="I1106" s="278">
        <f>VLOOKUP($G1106,DATOS!$B:$E,3,FALSE)</f>
        <v/>
      </c>
      <c r="J1106" s="278">
        <f>VLOOKUP($G1106,DATOS!$B:$E,4,FALSE)</f>
        <v/>
      </c>
      <c r="K1106" s="278" t="inlineStr">
        <is>
          <t>Contrato de Asset Management - Subestación Benejama Colectora</t>
        </is>
      </c>
      <c r="L1106" s="280" t="n"/>
      <c r="N1106" s="280" t="n"/>
      <c r="O1106" s="278" t="inlineStr">
        <is>
          <t>Fee Trimestral - Inicio contrato (11 Abril 2023) / 31 Diciembre 2023</t>
        </is>
      </c>
      <c r="P1106" s="280">
        <f>1350*(20/30) + 8*1350</f>
        <v/>
      </c>
      <c r="R1106" s="280" t="n"/>
      <c r="S1106" s="280" t="n"/>
      <c r="T1106" s="280" t="n"/>
      <c r="V1106" s="280" t="n"/>
      <c r="X1106" s="280" t="n"/>
      <c r="Z1106" s="280" t="n"/>
      <c r="AA1106" s="280" t="n"/>
      <c r="AB1106" s="281" t="inlineStr">
        <is>
          <t>ES11 0081 7069 2700 0122 7724</t>
        </is>
      </c>
      <c r="AC1106" s="278" t="inlineStr">
        <is>
          <t>pendiente</t>
        </is>
      </c>
      <c r="AD1106" s="280">
        <f>L1106+N1106+P1106+R1106+T1106+V1106+X1106+Z1106</f>
        <v/>
      </c>
      <c r="AE1106" s="280">
        <f>IF((LEFT(K1106,6))="Contab",L1106,0)</f>
        <v/>
      </c>
      <c r="AF1106" s="281">
        <f>VLOOKUP(G1106,CLIENTES!B:E,4,FALSE)</f>
        <v/>
      </c>
      <c r="AG1106" s="280">
        <f>AF1106*AE1106</f>
        <v/>
      </c>
      <c r="AH1106" s="280">
        <f>AD1106*1.21</f>
        <v/>
      </c>
      <c r="AI1106" s="284">
        <f>IF(AE1106&lt;&gt;0,AG1106/AD1106,"N/A")</f>
        <v/>
      </c>
      <c r="AJ1106" s="280">
        <f>IF(AC1106="pendiente",AD1106,0)</f>
        <v/>
      </c>
      <c r="AK1106" s="278">
        <f>VLOOKUP(G1106,CLIENTES!B:D,3,FALSE)</f>
        <v/>
      </c>
    </row>
    <row r="1107" ht="15" customFormat="1" customHeight="1" s="278">
      <c r="B1107" s="279" t="n"/>
      <c r="C1107" s="278" t="inlineStr">
        <is>
          <t>c/ Las Cruzadas 3A, local D</t>
        </is>
      </c>
      <c r="D1107" s="278" t="inlineStr">
        <is>
          <t>Sevilla 41004</t>
        </is>
      </c>
      <c r="E1107" s="278" t="inlineStr">
        <is>
          <t>CIF B91938662</t>
        </is>
      </c>
      <c r="F1107" s="278" t="inlineStr">
        <is>
          <t>aBalados@abalados.es</t>
        </is>
      </c>
      <c r="G1107" s="278" t="inlineStr">
        <is>
          <t>Las Monas Gallego, A.I.E.</t>
        </is>
      </c>
      <c r="H1107" s="278">
        <f>VLOOKUP($G1107,DATOS!$B:$E,2,FALSE)</f>
        <v/>
      </c>
      <c r="I1107" s="278">
        <f>VLOOKUP($G1107,DATOS!$B:$E,3,FALSE)</f>
        <v/>
      </c>
      <c r="J1107" s="278">
        <f>VLOOKUP($G1107,DATOS!$B:$E,4,FALSE)</f>
        <v/>
      </c>
      <c r="K1107" s="278" t="inlineStr">
        <is>
          <t>Contrato de Asset Management - Subestación Las Monas</t>
        </is>
      </c>
      <c r="L1107" s="280" t="n"/>
      <c r="N1107" s="280" t="n"/>
      <c r="O1107" s="278" t="inlineStr">
        <is>
          <t>Fee Trimestral - Inicio contrato (11 Septiembre 2023) / 31 Diciembre 2023</t>
        </is>
      </c>
      <c r="P1107" s="280">
        <f>1350*(20/30) + 3*1350</f>
        <v/>
      </c>
      <c r="R1107" s="280" t="n"/>
      <c r="S1107" s="280" t="n"/>
      <c r="T1107" s="280" t="n"/>
      <c r="V1107" s="280" t="n"/>
      <c r="X1107" s="280" t="n"/>
      <c r="Z1107" s="280" t="n"/>
      <c r="AA1107" s="280" t="n"/>
      <c r="AB1107" s="281" t="inlineStr">
        <is>
          <t>ES11 0081 7069 2700 0122 7724</t>
        </is>
      </c>
      <c r="AC1107" s="278" t="inlineStr">
        <is>
          <t>pendiente</t>
        </is>
      </c>
      <c r="AD1107" s="280">
        <f>L1107+N1107+P1107+R1107+T1107+V1107+X1107+Z1107</f>
        <v/>
      </c>
      <c r="AE1107" s="280">
        <f>IF((LEFT(K1107,6))="Contab",L1107,0)</f>
        <v/>
      </c>
      <c r="AF1107" s="281">
        <f>VLOOKUP(G1107,CLIENTES!B:E,4,FALSE)</f>
        <v/>
      </c>
      <c r="AG1107" s="280">
        <f>AF1107*AE1107</f>
        <v/>
      </c>
      <c r="AH1107" s="280">
        <f>AD1107*1.21</f>
        <v/>
      </c>
      <c r="AI1107" s="284">
        <f>IF(AE1107&lt;&gt;0,AG1107/AD1107,"N/A")</f>
        <v/>
      </c>
      <c r="AJ1107" s="280">
        <f>IF(AC1107="pendiente",AD1107,0)</f>
        <v/>
      </c>
      <c r="AK1107" s="278">
        <f>VLOOKUP(G1107,CLIENTES!B:D,3,FALSE)</f>
        <v/>
      </c>
    </row>
    <row r="1108" ht="15" customFormat="1" customHeight="1" s="278">
      <c r="B1108" s="279" t="n"/>
      <c r="C1108" s="278" t="inlineStr">
        <is>
          <t>c/ Las Cruzadas 3A, local D</t>
        </is>
      </c>
      <c r="D1108" s="278" t="inlineStr">
        <is>
          <t>Sevilla 41004</t>
        </is>
      </c>
      <c r="E1108" s="278" t="inlineStr">
        <is>
          <t>CIF B91938662</t>
        </is>
      </c>
      <c r="F1108" s="278" t="inlineStr">
        <is>
          <t>aBalados@abalados.es</t>
        </is>
      </c>
      <c r="G1108" s="278" t="inlineStr">
        <is>
          <t>Maria Renovables, S.L.</t>
        </is>
      </c>
      <c r="H1108" s="278">
        <f>VLOOKUP($G1108,DATOS!$B:$E,2,FALSE)</f>
        <v/>
      </c>
      <c r="I1108" s="278">
        <f>VLOOKUP($G1108,DATOS!$B:$E,3,FALSE)</f>
        <v/>
      </c>
      <c r="J1108" s="278">
        <f>VLOOKUP($G1108,DATOS!$B:$E,4,FALSE)</f>
        <v/>
      </c>
      <c r="K1108" s="278" t="inlineStr">
        <is>
          <t>Contrato de Asset Management - Subestación María</t>
        </is>
      </c>
      <c r="L1108" s="280" t="n"/>
      <c r="N1108" s="280" t="n"/>
      <c r="O1108" s="278" t="inlineStr">
        <is>
          <t>Fee Trimestral - Inicio contrato (19 Enero 2023) / 31 Diciembre 2023</t>
        </is>
      </c>
      <c r="P1108" s="280">
        <f>1350*(13/31) + 11*1350</f>
        <v/>
      </c>
      <c r="R1108" s="280" t="n"/>
      <c r="S1108" s="280" t="n"/>
      <c r="T1108" s="280" t="n"/>
      <c r="V1108" s="280" t="n"/>
      <c r="X1108" s="280" t="n"/>
      <c r="Z1108" s="280" t="n"/>
      <c r="AA1108" s="280" t="n"/>
      <c r="AB1108" s="281" t="inlineStr">
        <is>
          <t>ES11 0081 7069 2700 0122 7724</t>
        </is>
      </c>
      <c r="AC1108" s="278" t="inlineStr">
        <is>
          <t>pendiente</t>
        </is>
      </c>
      <c r="AD1108" s="280">
        <f>L1108+N1108+P1108+R1108+T1108+V1108+X1108+Z1108</f>
        <v/>
      </c>
      <c r="AE1108" s="280">
        <f>IF((LEFT(K1108,6))="Contab",L1108,0)</f>
        <v/>
      </c>
      <c r="AF1108" s="281">
        <f>VLOOKUP(G1108,CLIENTES!B:E,4,FALSE)</f>
        <v/>
      </c>
      <c r="AG1108" s="280">
        <f>AF1108*AE1108</f>
        <v/>
      </c>
      <c r="AH1108" s="280">
        <f>AD1108*1.21</f>
        <v/>
      </c>
      <c r="AI1108" s="284">
        <f>IF(AE1108&lt;&gt;0,AG1108/AD1108,"N/A")</f>
        <v/>
      </c>
      <c r="AJ1108" s="280">
        <f>IF(AC1108="pendiente",AD1108,0)</f>
        <v/>
      </c>
      <c r="AK1108" s="278">
        <f>VLOOKUP(G1108,CLIENTES!B:D,3,FALSE)</f>
        <v/>
      </c>
    </row>
    <row r="1109" ht="15" customFormat="1" customHeight="1" s="278">
      <c r="B1109" s="279" t="n"/>
      <c r="C1109" s="278" t="inlineStr">
        <is>
          <t>c/ Las Cruzadas 3A, local D</t>
        </is>
      </c>
      <c r="D1109" s="278" t="inlineStr">
        <is>
          <t>Sevilla 41004</t>
        </is>
      </c>
      <c r="E1109" s="278" t="inlineStr">
        <is>
          <t>CIF B91938662</t>
        </is>
      </c>
      <c r="F1109" s="278" t="inlineStr">
        <is>
          <t>aBalados@abalados.es</t>
        </is>
      </c>
      <c r="G1109" s="278" t="inlineStr">
        <is>
          <t>Escatrón Promotores 400 y 220, S.L.</t>
        </is>
      </c>
      <c r="H1109" s="278">
        <f>VLOOKUP($G1109,DATOS!$B:$E,2,FALSE)</f>
        <v/>
      </c>
      <c r="I1109" s="278">
        <f>VLOOKUP($G1109,DATOS!$B:$E,3,FALSE)</f>
        <v/>
      </c>
      <c r="J1109" s="278">
        <f>VLOOKUP($G1109,DATOS!$B:$E,4,FALSE)</f>
        <v/>
      </c>
      <c r="K1109" s="278" t="inlineStr">
        <is>
          <t>Contrato de Asset Management - Subestación Escatrón</t>
        </is>
      </c>
      <c r="L1109" s="280" t="n"/>
      <c r="N1109" s="280" t="n"/>
      <c r="O1109" s="278" t="inlineStr">
        <is>
          <t>Fee Trimestral - Inicio contrato (23 Marzo 2023) / 31 Diciembre 2023</t>
        </is>
      </c>
      <c r="P1109" s="280">
        <f>1350*(9/31) + 9*1350</f>
        <v/>
      </c>
      <c r="R1109" s="280" t="n"/>
      <c r="S1109" s="280" t="n"/>
      <c r="T1109" s="280" t="n"/>
      <c r="V1109" s="280" t="n"/>
      <c r="X1109" s="280" t="n"/>
      <c r="Z1109" s="280" t="n"/>
      <c r="AA1109" s="280" t="n"/>
      <c r="AB1109" s="281" t="inlineStr">
        <is>
          <t>ES11 0081 7069 2700 0122 7724</t>
        </is>
      </c>
      <c r="AC1109" s="278" t="inlineStr">
        <is>
          <t>pendiente</t>
        </is>
      </c>
      <c r="AD1109" s="280">
        <f>L1109+N1109+P1109+R1109+T1109+V1109+X1109+Z1109</f>
        <v/>
      </c>
      <c r="AE1109" s="280">
        <f>IF((LEFT(K1109,6))="Contab",L1109,0)</f>
        <v/>
      </c>
      <c r="AF1109" s="281">
        <f>VLOOKUP(G1109,CLIENTES!B:E,4,FALSE)</f>
        <v/>
      </c>
      <c r="AG1109" s="280">
        <f>AF1109*AE1109</f>
        <v/>
      </c>
      <c r="AH1109" s="280">
        <f>AD1109*1.21</f>
        <v/>
      </c>
      <c r="AI1109" s="284">
        <f>IF(AE1109&lt;&gt;0,AG1109/AD1109,"N/A")</f>
        <v/>
      </c>
      <c r="AJ1109" s="280">
        <f>IF(AC1109="pendiente",AD1109,0)</f>
        <v/>
      </c>
      <c r="AK1109" s="278">
        <f>VLOOKUP(G1109,CLIENTES!B:D,3,FALSE)</f>
        <v/>
      </c>
    </row>
    <row r="1110" ht="15" customFormat="1" customHeight="1" s="278">
      <c r="B1110" s="279" t="n"/>
      <c r="C1110" s="278" t="inlineStr">
        <is>
          <t>c/ Las Cruzadas 3A, local D</t>
        </is>
      </c>
      <c r="D1110" s="278" t="inlineStr">
        <is>
          <t>Sevilla 41004</t>
        </is>
      </c>
      <c r="E1110" s="278" t="inlineStr">
        <is>
          <t>CIF B91938662</t>
        </is>
      </c>
      <c r="F1110" s="278" t="inlineStr">
        <is>
          <t>aBalados@abalados.es</t>
        </is>
      </c>
      <c r="G1110" s="278" t="inlineStr">
        <is>
          <t>Comunidad de Bienes Grupotec Rotonda</t>
        </is>
      </c>
      <c r="H1110" s="278">
        <f>VLOOKUP($G1110,DATOS!$B:$E,2,FALSE)</f>
        <v/>
      </c>
      <c r="I1110" s="278">
        <f>VLOOKUP($G1110,DATOS!$B:$E,3,FALSE)</f>
        <v/>
      </c>
      <c r="J1110" s="278">
        <f>VLOOKUP($G1110,DATOS!$B:$E,4,FALSE)</f>
        <v/>
      </c>
      <c r="K1110" s="278" t="inlineStr">
        <is>
          <t>Contrato de Asset Management - Subestación Almansol</t>
        </is>
      </c>
      <c r="L1110" s="280" t="n"/>
      <c r="N1110" s="280" t="n"/>
      <c r="O1110" s="278" t="inlineStr">
        <is>
          <t>Fee Trimestral - Inicio contrato (14 Noviembre 2023) / 31 Diciembre 2023</t>
        </is>
      </c>
      <c r="P1110" s="280">
        <f>1350*(17/30) + 1350*(19/31)+2960*(12/31)</f>
        <v/>
      </c>
      <c r="Q1110" s="278" t="inlineStr">
        <is>
          <t>Fee aplicable PreCod (1.350€/mes): 14 Noviembre - 19 Diciembre 2023</t>
        </is>
      </c>
      <c r="R1110" s="280" t="n"/>
      <c r="S1110" s="278" t="inlineStr">
        <is>
          <t>Fee aplicable Explotación (2.960€/mes): 20 Diciembre - 31 Diciembre 2023</t>
        </is>
      </c>
      <c r="T1110" s="280" t="n"/>
      <c r="V1110" s="280" t="n"/>
      <c r="X1110" s="280" t="n"/>
      <c r="Z1110" s="280" t="n"/>
      <c r="AA1110" s="280" t="n"/>
      <c r="AB1110" s="281" t="inlineStr">
        <is>
          <t>ES11 0081 7069 2700 0122 7724</t>
        </is>
      </c>
      <c r="AC1110" s="278" t="inlineStr">
        <is>
          <t>pendiente</t>
        </is>
      </c>
      <c r="AD1110" s="280">
        <f>L1110+N1110+P1110+R1110+T1110+V1110+X1110+Z1110</f>
        <v/>
      </c>
      <c r="AE1110" s="280">
        <f>IF((LEFT(K1110,6))="Contab",L1110,0)</f>
        <v/>
      </c>
      <c r="AF1110" s="281">
        <f>VLOOKUP(G1110,CLIENTES!B:E,4,FALSE)</f>
        <v/>
      </c>
      <c r="AG1110" s="280">
        <f>AF1110*AE1110</f>
        <v/>
      </c>
      <c r="AH1110" s="280">
        <f>AD1110*1.21</f>
        <v/>
      </c>
      <c r="AI1110" s="284">
        <f>IF(AE1110&lt;&gt;0,AG1110/AD1110,"N/A")</f>
        <v/>
      </c>
      <c r="AJ1110" s="280">
        <f>IF(AC1110="pendiente",AD1110,0)</f>
        <v/>
      </c>
      <c r="AK1110" s="278">
        <f>VLOOKUP(G1110,CLIENTES!B:D,3,FALSE)</f>
        <v/>
      </c>
    </row>
    <row r="1111" ht="15" customFormat="1" customHeight="1" s="278">
      <c r="B1111" s="279" t="n"/>
      <c r="C1111" s="278" t="inlineStr">
        <is>
          <t>c/ Las Cruzadas 3A, local D</t>
        </is>
      </c>
      <c r="D1111" s="278" t="inlineStr">
        <is>
          <t>Sevilla 41004</t>
        </is>
      </c>
      <c r="E1111" s="278" t="inlineStr">
        <is>
          <t>CIF B91938662</t>
        </is>
      </c>
      <c r="F1111" s="278" t="inlineStr">
        <is>
          <t>aBalados@abalados.es</t>
        </is>
      </c>
      <c r="G1111" s="278" t="inlineStr">
        <is>
          <t>OTRAS PRODUCCIONES DE ENERGÍA FOTOVOLTAICA, S.A.</t>
        </is>
      </c>
      <c r="H1111" s="278">
        <f>VLOOKUP($G1111,DATOS!$B:$E,2,FALSE)</f>
        <v/>
      </c>
      <c r="I1111" s="278">
        <f>VLOOKUP($G1111,DATOS!$B:$E,3,FALSE)</f>
        <v/>
      </c>
      <c r="J1111" s="278">
        <f>VLOOKUP($G1111,DATOS!$B:$E,4,FALSE)</f>
        <v/>
      </c>
      <c r="K1111" s="278" t="inlineStr">
        <is>
          <t>Servicios de gestión - (11)SPVs en desarrollo</t>
        </is>
      </c>
      <c r="L1111" s="280" t="n"/>
      <c r="N1111" s="280" t="n"/>
      <c r="O1111" s="278" t="inlineStr">
        <is>
          <t>Fee Trimestral - 01Octubre / Fin de los servicios (13Diciembre 2023)</t>
        </is>
      </c>
      <c r="P1111" s="280">
        <f>11*(6835/12) * 2  +  11*(6835/12)*(13/31)</f>
        <v/>
      </c>
      <c r="Q1111" s="278" t="inlineStr">
        <is>
          <t>Terminación de los servicios según notificación electrónica recibida a fecha 13Diciembre</t>
        </is>
      </c>
      <c r="R1111" s="280" t="n"/>
      <c r="T1111" s="280" t="n"/>
      <c r="U1111" s="278" t="inlineStr">
        <is>
          <t>SPVs de instalaciones de generación de Cliente:</t>
        </is>
      </c>
      <c r="V1111" s="280" t="n"/>
      <c r="W1111" s="278" t="inlineStr">
        <is>
          <t>Ormode46, Ormonde47, OPDE33, Ormonde34, Ormonde37</t>
        </is>
      </c>
      <c r="X1111" s="280" t="n"/>
      <c r="Y1111" s="278" t="inlineStr">
        <is>
          <t>OPDE44, OPDE45, OPDE46, OPDE38, OPDE18, OPDE22</t>
        </is>
      </c>
      <c r="Z1111" s="280" t="n"/>
      <c r="AA1111" s="280" t="n"/>
      <c r="AB1111" s="281" t="inlineStr">
        <is>
          <t>ES11 0081 7069 2700 0122 7724</t>
        </is>
      </c>
      <c r="AC1111" s="278" t="inlineStr">
        <is>
          <t>pendiente</t>
        </is>
      </c>
      <c r="AD1111" s="280">
        <f>L1111+N1111+P1111+R1111+T1111+V1111+X1111+Z1111</f>
        <v/>
      </c>
      <c r="AE1111" s="280">
        <f>IF((LEFT(K1111,6))="Contab",L1111,0)</f>
        <v/>
      </c>
      <c r="AF1111" s="281">
        <f>VLOOKUP(G1111,CLIENTES!B:E,4,FALSE)</f>
        <v/>
      </c>
      <c r="AG1111" s="280">
        <f>AF1111*AE1111</f>
        <v/>
      </c>
      <c r="AH1111" s="280">
        <f>AD1111*1.21</f>
        <v/>
      </c>
      <c r="AI1111" s="284">
        <f>IF(AE1111&lt;&gt;0,AG1111/AD1111,"N/A")</f>
        <v/>
      </c>
      <c r="AJ1111" s="280">
        <f>IF(AC1111="pendiente",AD1111,0)</f>
        <v/>
      </c>
      <c r="AK1111" s="278">
        <f>VLOOKUP(G1111,CLIENTES!B:D,3,FALSE)</f>
        <v/>
      </c>
    </row>
    <row r="1112" ht="15" customFormat="1" customHeight="1" s="278">
      <c r="B1112" s="279" t="n"/>
      <c r="C1112" s="278" t="inlineStr">
        <is>
          <t>c/ Las Cruzadas 3A, local D</t>
        </is>
      </c>
      <c r="D1112" s="278" t="inlineStr">
        <is>
          <t>Sevilla 41004</t>
        </is>
      </c>
      <c r="E1112" s="278" t="inlineStr">
        <is>
          <t>CIF B91938662</t>
        </is>
      </c>
      <c r="F1112" s="278" t="inlineStr">
        <is>
          <t>aBalados@abalados.es</t>
        </is>
      </c>
      <c r="G1112" s="278" t="inlineStr">
        <is>
          <t>Monte Reina Renovables, S.L.</t>
        </is>
      </c>
      <c r="H1112" s="278">
        <f>VLOOKUP($G1112,DATOS!$B:$E,2,FALSE)</f>
        <v/>
      </c>
      <c r="I1112" s="278">
        <f>VLOOKUP($G1112,DATOS!$B:$E,3,FALSE)</f>
        <v/>
      </c>
      <c r="J1112" s="278">
        <f>VLOOKUP($G1112,DATOS!$B:$E,4,FALSE)</f>
        <v/>
      </c>
      <c r="K1112" s="278" t="inlineStr">
        <is>
          <t>Servicios extraordinarios - Asset Management (subestación Valdecarretas)</t>
        </is>
      </c>
      <c r="L1112" s="280" t="n"/>
      <c r="M1112" s="278" t="inlineStr">
        <is>
          <t>Redacción del Acuerdo ITACyL</t>
        </is>
      </c>
      <c r="N1112" s="280" t="n">
        <v>675</v>
      </c>
      <c r="P1112" s="280" t="n"/>
      <c r="R1112" s="280" t="n"/>
      <c r="S1112" s="280" t="n"/>
      <c r="T1112" s="280" t="n"/>
      <c r="V1112" s="280" t="n"/>
      <c r="X1112" s="280" t="n"/>
      <c r="Z1112" s="280" t="n"/>
      <c r="AA1112" s="280" t="n"/>
      <c r="AB1112" s="281" t="inlineStr">
        <is>
          <t>ES11 0081 7069 2700 0122 7724</t>
        </is>
      </c>
      <c r="AC1112" s="278" t="inlineStr">
        <is>
          <t>pendiente</t>
        </is>
      </c>
      <c r="AD1112" s="280">
        <f>L1112+N1112+P1112+R1112+T1112+V1112+X1112+Z1112</f>
        <v/>
      </c>
      <c r="AE1112" s="280">
        <f>IF((LEFT(K1112,6))="Contab",L1112,0)</f>
        <v/>
      </c>
      <c r="AF1112" s="281">
        <f>VLOOKUP(G1112,CLIENTES!B:E,4,FALSE)</f>
        <v/>
      </c>
      <c r="AG1112" s="280">
        <f>AF1112*AE1112</f>
        <v/>
      </c>
      <c r="AH1112" s="280">
        <f>AD1112*1.21</f>
        <v/>
      </c>
      <c r="AI1112" s="284">
        <f>IF(AE1112&lt;&gt;0,AG1112/AD1112,"N/A")</f>
        <v/>
      </c>
      <c r="AJ1112" s="280">
        <f>IF(AC1112="pendiente",AD1112,0)</f>
        <v/>
      </c>
      <c r="AK1112" s="278">
        <f>VLOOKUP(G1112,CLIENTES!B:D,3,FALSE)</f>
        <v/>
      </c>
    </row>
    <row r="1113" ht="15" customFormat="1" customHeight="1" s="278">
      <c r="B1113" s="279" t="n"/>
      <c r="C1113" s="278" t="inlineStr">
        <is>
          <t>c/ Las Cruzadas 3A, local D</t>
        </is>
      </c>
      <c r="D1113" s="278" t="inlineStr">
        <is>
          <t>Sevilla 41004</t>
        </is>
      </c>
      <c r="E1113" s="278" t="inlineStr">
        <is>
          <t>CIF B91938662</t>
        </is>
      </c>
      <c r="F1113" s="278" t="inlineStr">
        <is>
          <t>aBalados@abalados.es</t>
        </is>
      </c>
      <c r="G1113" s="278" t="inlineStr">
        <is>
          <t>Gazules Renovables, S.L.</t>
        </is>
      </c>
      <c r="H1113" s="278">
        <f>VLOOKUP($G1113,DATOS!$B:$E,2,FALSE)</f>
        <v/>
      </c>
      <c r="I1113" s="278">
        <f>VLOOKUP($G1113,DATOS!$B:$E,3,FALSE)</f>
        <v/>
      </c>
      <c r="J1113" s="278">
        <f>VLOOKUP($G1113,DATOS!$B:$E,4,FALSE)</f>
        <v/>
      </c>
      <c r="K1113" s="278" t="inlineStr">
        <is>
          <t>Servicios extraordinarios - Asset Management (subestación Gazules)</t>
        </is>
      </c>
      <c r="L1113" s="280" t="n"/>
      <c r="M1113" s="278" t="inlineStr">
        <is>
          <t>Redacción Acuerdo de Promotores autorizando a TYPSA para la PEM de las IICC</t>
        </is>
      </c>
      <c r="N1113" s="280" t="n">
        <v>585</v>
      </c>
      <c r="O1113" s="278" t="inlineStr">
        <is>
          <t>Modificación y negociación Contrato de cesión de uso con ABEI</t>
        </is>
      </c>
      <c r="P1113" s="280" t="n">
        <v>2500</v>
      </c>
      <c r="R1113" s="280" t="n"/>
      <c r="S1113" s="280" t="n"/>
      <c r="T1113" s="280" t="n"/>
      <c r="V1113" s="280" t="n"/>
      <c r="X1113" s="280" t="n"/>
      <c r="Z1113" s="280" t="n"/>
      <c r="AA1113" s="280" t="n"/>
      <c r="AB1113" s="281" t="inlineStr">
        <is>
          <t>ES11 0081 7069 2700 0122 7724</t>
        </is>
      </c>
      <c r="AC1113" s="278" t="inlineStr">
        <is>
          <t>pendiente</t>
        </is>
      </c>
      <c r="AD1113" s="280">
        <f>L1113+N1113+P1113+R1113+T1113+V1113+X1113+Z1113</f>
        <v/>
      </c>
      <c r="AE1113" s="280">
        <f>IF((LEFT(K1113,6))="Contab",L1113,0)</f>
        <v/>
      </c>
      <c r="AF1113" s="281">
        <f>VLOOKUP(G1113,CLIENTES!B:E,4,FALSE)</f>
        <v/>
      </c>
      <c r="AG1113" s="280">
        <f>AF1113*AE1113</f>
        <v/>
      </c>
      <c r="AH1113" s="280">
        <f>AD1113*1.21</f>
        <v/>
      </c>
      <c r="AI1113" s="284">
        <f>IF(AE1113&lt;&gt;0,AG1113/AD1113,"N/A")</f>
        <v/>
      </c>
      <c r="AJ1113" s="280">
        <f>IF(AC1113="pendiente",AD1113,0)</f>
        <v/>
      </c>
      <c r="AK1113" s="278">
        <f>VLOOKUP(G1113,CLIENTES!B:D,3,FALSE)</f>
        <v/>
      </c>
    </row>
    <row r="1114" ht="15" customFormat="1" customHeight="1" s="278">
      <c r="B1114" s="279" t="n"/>
      <c r="C1114" s="278" t="inlineStr">
        <is>
          <t>c/ Las Cruzadas 3A, local D</t>
        </is>
      </c>
      <c r="D1114" s="278" t="inlineStr">
        <is>
          <t>Sevilla 41004</t>
        </is>
      </c>
      <c r="E1114" s="278" t="inlineStr">
        <is>
          <t>CIF B91938662</t>
        </is>
      </c>
      <c r="F1114" s="278" t="inlineStr">
        <is>
          <t>aBalados@abalados.es</t>
        </is>
      </c>
      <c r="G1114" s="278" t="inlineStr">
        <is>
          <t>Energías Limpias de Carmona, S.L.</t>
        </is>
      </c>
      <c r="H1114" s="278">
        <f>VLOOKUP($G1114,DATOS!$B:$E,2,FALSE)</f>
        <v/>
      </c>
      <c r="I1114" s="278">
        <f>VLOOKUP($G1114,DATOS!$B:$E,3,FALSE)</f>
        <v/>
      </c>
      <c r="J1114" s="278">
        <f>VLOOKUP($G1114,DATOS!$B:$E,4,FALSE)</f>
        <v/>
      </c>
      <c r="K1114" s="278" t="inlineStr">
        <is>
          <t>Servicios extraordinarios - Asset Management (subestación Carmona220)</t>
        </is>
      </c>
      <c r="L1114" s="280" t="n"/>
      <c r="M1114" s="278" t="inlineStr">
        <is>
          <t>Licitación para la adjudicación de los seguros correspondientes a fase construcción</t>
        </is>
      </c>
      <c r="N1114" s="280" t="n">
        <v>850</v>
      </c>
      <c r="P1114" s="280" t="n"/>
      <c r="R1114" s="280" t="n"/>
      <c r="S1114" s="280" t="n"/>
      <c r="T1114" s="280" t="n"/>
      <c r="V1114" s="280" t="n"/>
      <c r="X1114" s="280" t="n"/>
      <c r="Z1114" s="280" t="n"/>
      <c r="AA1114" s="280" t="n"/>
      <c r="AB1114" s="281" t="inlineStr">
        <is>
          <t>ES11 0081 7069 2700 0122 7724</t>
        </is>
      </c>
      <c r="AC1114" s="278" t="inlineStr">
        <is>
          <t>pendiente</t>
        </is>
      </c>
      <c r="AD1114" s="280">
        <f>L1114+N1114+P1114+R1114+T1114+V1114+X1114+Z1114</f>
        <v/>
      </c>
      <c r="AE1114" s="280">
        <f>IF((LEFT(K1114,6))="Contab",L1114,0)</f>
        <v/>
      </c>
      <c r="AF1114" s="281">
        <f>VLOOKUP(G1114,CLIENTES!B:E,4,FALSE)</f>
        <v/>
      </c>
      <c r="AG1114" s="280">
        <f>AF1114*AE1114</f>
        <v/>
      </c>
      <c r="AH1114" s="280">
        <f>AD1114*1.21</f>
        <v/>
      </c>
      <c r="AI1114" s="284">
        <f>IF(AE1114&lt;&gt;0,AG1114/AD1114,"N/A")</f>
        <v/>
      </c>
      <c r="AJ1114" s="280">
        <f>IF(AC1114="pendiente",AD1114,0)</f>
        <v/>
      </c>
      <c r="AK1114" s="278">
        <f>VLOOKUP(G1114,CLIENTES!B:D,3,FALSE)</f>
        <v/>
      </c>
    </row>
    <row r="1115" ht="15" customFormat="1" customHeight="1" s="278">
      <c r="B1115" s="279" t="n"/>
      <c r="C1115" s="278" t="inlineStr">
        <is>
          <t>c/ Las Cruzadas 3A, local D</t>
        </is>
      </c>
      <c r="D1115" s="278" t="inlineStr">
        <is>
          <t>Sevilla 41004</t>
        </is>
      </c>
      <c r="E1115" s="278" t="inlineStr">
        <is>
          <t>CIF B91938662</t>
        </is>
      </c>
      <c r="F1115" s="278" t="inlineStr">
        <is>
          <t>aBalados@abalados.es</t>
        </is>
      </c>
      <c r="G1115" s="278" t="inlineStr">
        <is>
          <t>Evacuación Carmona 400-220 kV Renovables, S.L.</t>
        </is>
      </c>
      <c r="H1115" s="278">
        <f>VLOOKUP($G1115,DATOS!$B:$E,2,FALSE)</f>
        <v/>
      </c>
      <c r="I1115" s="278">
        <f>VLOOKUP($G1115,DATOS!$B:$E,3,FALSE)</f>
        <v/>
      </c>
      <c r="J1115" s="278">
        <f>VLOOKUP($G1115,DATOS!$B:$E,4,FALSE)</f>
        <v/>
      </c>
      <c r="K1115" s="278" t="inlineStr">
        <is>
          <t>Servicios extraordinarios - Asset Management (LAAT 220/400kV)</t>
        </is>
      </c>
      <c r="L1115" s="280" t="n"/>
      <c r="M1115" s="278" t="inlineStr">
        <is>
          <t>Licitación para la adjudicación de los seguros correspondientes a fase construcción</t>
        </is>
      </c>
      <c r="N1115" s="280" t="n">
        <v>660</v>
      </c>
      <c r="P1115" s="280" t="n"/>
      <c r="Q1115" s="280" t="n"/>
      <c r="R1115" s="280" t="n"/>
      <c r="S1115" s="280" t="n"/>
      <c r="T1115" s="280" t="n"/>
      <c r="V1115" s="280" t="n"/>
      <c r="X1115" s="280" t="n"/>
      <c r="Z1115" s="280" t="n"/>
      <c r="AA1115" s="280" t="n"/>
      <c r="AB1115" s="281" t="inlineStr">
        <is>
          <t>ES11 0081 7069 2700 0122 7724</t>
        </is>
      </c>
      <c r="AC1115" s="278" t="inlineStr">
        <is>
          <t>pendiente</t>
        </is>
      </c>
      <c r="AD1115" s="280">
        <f>L1115+N1115+P1115+R1115+T1115+V1115+X1115+Z1115</f>
        <v/>
      </c>
      <c r="AE1115" s="280">
        <f>IF((LEFT(K1115,6))="Contab",L1115,0)</f>
        <v/>
      </c>
      <c r="AF1115" s="281">
        <f>VLOOKUP(G1115,CLIENTES!B:E,4,FALSE)</f>
        <v/>
      </c>
      <c r="AG1115" s="280">
        <f>AF1115*AE1115</f>
        <v/>
      </c>
      <c r="AH1115" s="280">
        <f>AD1115*1.21</f>
        <v/>
      </c>
      <c r="AI1115" s="284">
        <f>IF(AE1115&lt;&gt;0,AG1115/AD1115,"N/A")</f>
        <v/>
      </c>
      <c r="AJ1115" s="280">
        <f>IF(AC1115="pendiente",AD1115,0)</f>
        <v/>
      </c>
      <c r="AK1115" s="278">
        <f>VLOOKUP(G1115,CLIENTES!B:D,3,FALSE)</f>
        <v/>
      </c>
    </row>
    <row r="1116" ht="15" customFormat="1" customHeight="1" s="278">
      <c r="B1116" s="279" t="n"/>
      <c r="C1116" s="278" t="inlineStr">
        <is>
          <t>c/ Las Cruzadas 3A, local D</t>
        </is>
      </c>
      <c r="D1116" s="278" t="inlineStr">
        <is>
          <t>Sevilla 41004</t>
        </is>
      </c>
      <c r="E1116" s="278" t="inlineStr">
        <is>
          <t>CIF B91938662</t>
        </is>
      </c>
      <c r="F1116" s="278" t="inlineStr">
        <is>
          <t>aBalados@abalados.es</t>
        </is>
      </c>
      <c r="G1116" s="278" t="inlineStr">
        <is>
          <t>Renovables Brovales 400 kV, S.L.</t>
        </is>
      </c>
      <c r="H1116" s="278">
        <f>VLOOKUP($G1116,DATOS!$B:$E,2,FALSE)</f>
        <v/>
      </c>
      <c r="I1116" s="278">
        <f>VLOOKUP($G1116,DATOS!$B:$E,3,FALSE)</f>
        <v/>
      </c>
      <c r="J1116" s="278">
        <f>VLOOKUP($G1116,DATOS!$B:$E,4,FALSE)</f>
        <v/>
      </c>
      <c r="K1116" s="278" t="inlineStr">
        <is>
          <t>Servicios extraordinarios - Asset Management (subestación BrovalesF1)</t>
        </is>
      </c>
      <c r="L1116" s="280" t="n"/>
      <c r="M1116" s="278" t="inlineStr">
        <is>
          <t>Finalización del procedimiento judicial</t>
        </is>
      </c>
      <c r="N1116" s="280" t="n">
        <v>1375</v>
      </c>
      <c r="P1116" s="280" t="n"/>
      <c r="Q1116" s="278" t="inlineStr">
        <is>
          <t xml:space="preserve">i) Negociación con la parte demandante, D. MANUEL MATAMOROS RUBIO. </t>
        </is>
      </c>
      <c r="R1116" s="280" t="n"/>
      <c r="S1116" s="278" t="inlineStr">
        <is>
          <t>ii) Elaboración y redacción de la contestación de la demanda, en sinergia con</t>
        </is>
      </c>
      <c r="T1116" s="280" t="n"/>
      <c r="U1116" s="278" t="inlineStr">
        <is>
          <t xml:space="preserve">     las posiciones de los Promotores. </t>
        </is>
      </c>
      <c r="V1116" s="280" t="n"/>
      <c r="W1116" s="278" t="inlineStr">
        <is>
          <t xml:space="preserve">iii) Asistencia a la celebración de la vista. </t>
        </is>
      </c>
      <c r="X1116" s="280" t="n"/>
      <c r="Z1116" s="280" t="n"/>
      <c r="AA1116" s="280" t="n"/>
      <c r="AB1116" s="281" t="inlineStr">
        <is>
          <t>ES11 0081 7069 2700 0122 7724</t>
        </is>
      </c>
      <c r="AC1116" s="278" t="inlineStr">
        <is>
          <t>pendiente</t>
        </is>
      </c>
      <c r="AD1116" s="280">
        <f>L1116+N1116+P1116+R1116+T1116+V1116+X1116+Z1116</f>
        <v/>
      </c>
      <c r="AE1116" s="280">
        <f>IF((LEFT(K1116,6))="Contab",L1116,0)</f>
        <v/>
      </c>
      <c r="AF1116" s="281">
        <f>VLOOKUP(G1116,CLIENTES!B:E,4,FALSE)</f>
        <v/>
      </c>
      <c r="AG1116" s="280">
        <f>AF1116*AE1116</f>
        <v/>
      </c>
      <c r="AH1116" s="280">
        <f>AD1116*1.21</f>
        <v/>
      </c>
      <c r="AI1116" s="284">
        <f>IF(AE1116&lt;&gt;0,AG1116/AD1116,"N/A")</f>
        <v/>
      </c>
      <c r="AJ1116" s="280">
        <f>IF(AC1116="pendiente",AD1116,0)</f>
        <v/>
      </c>
      <c r="AK1116" s="278">
        <f>VLOOKUP(G1116,CLIENTES!B:D,3,FALSE)</f>
        <v/>
      </c>
    </row>
    <row r="1117" ht="15" customFormat="1" customHeight="1" s="278">
      <c r="B1117" s="279" t="n"/>
      <c r="C1117" s="278" t="inlineStr">
        <is>
          <t>c/ Las Cruzadas 3A, local D</t>
        </is>
      </c>
      <c r="D1117" s="278" t="inlineStr">
        <is>
          <t>Sevilla 41004</t>
        </is>
      </c>
      <c r="E1117" s="278" t="inlineStr">
        <is>
          <t>CIF B91938662</t>
        </is>
      </c>
      <c r="F1117" s="278" t="inlineStr">
        <is>
          <t>aBalados@abalados.es</t>
        </is>
      </c>
      <c r="G1117" s="278" t="inlineStr">
        <is>
          <t>Valcabado Renovables 220 kV, S.L.</t>
        </is>
      </c>
      <c r="H1117" s="278">
        <f>VLOOKUP($G1117,DATOS!$B:$E,2,FALSE)</f>
        <v/>
      </c>
      <c r="I1117" s="278">
        <f>VLOOKUP($G1117,DATOS!$B:$E,3,FALSE)</f>
        <v/>
      </c>
      <c r="J1117" s="278">
        <f>VLOOKUP($G1117,DATOS!$B:$E,4,FALSE)</f>
        <v/>
      </c>
      <c r="K1117" s="278" t="inlineStr">
        <is>
          <t>Servicios extraordinarios - Asset Management (subestación Valcabado)</t>
        </is>
      </c>
      <c r="L1117" s="280" t="n"/>
      <c r="M1117" s="278" t="inlineStr">
        <is>
          <t>Entrega versión definitiva Contrato Cesión Uso</t>
        </is>
      </c>
      <c r="N1117" s="280" t="n">
        <v>5206.25</v>
      </c>
      <c r="P1117" s="280" t="n"/>
      <c r="Q1117" s="278" t="inlineStr">
        <is>
          <t>Redacción y negociación de un contrato de cesión de uso que comprenda la cesión de las ICE desde la</t>
        </is>
      </c>
      <c r="R1117" s="280" t="n"/>
      <c r="S1117" s="278" t="inlineStr">
        <is>
          <t xml:space="preserve">Sociedad a cada una de las SPV`s y las obligaciones económicas de estas últimas con la Sociedad, </t>
        </is>
      </c>
      <c r="T1117" s="280" t="n"/>
      <c r="U1117" s="278" t="inlineStr">
        <is>
          <t>tanto en fase de construcción como de explotación.</t>
        </is>
      </c>
      <c r="V1117" s="280" t="n"/>
      <c r="X1117" s="280" t="n"/>
      <c r="Z1117" s="280" t="n"/>
      <c r="AA1117" s="280" t="n"/>
      <c r="AB1117" s="281" t="inlineStr">
        <is>
          <t>ES11 0081 7069 2700 0122 7724</t>
        </is>
      </c>
      <c r="AC1117" s="278" t="inlineStr">
        <is>
          <t>pendiente</t>
        </is>
      </c>
      <c r="AD1117" s="280">
        <f>L1117+N1117+P1117+R1117+T1117+V1117+X1117+Z1117</f>
        <v/>
      </c>
      <c r="AE1117" s="280">
        <f>IF((LEFT(K1117,6))="Contab",L1117,0)</f>
        <v/>
      </c>
      <c r="AF1117" s="281">
        <f>VLOOKUP(G1117,CLIENTES!B:E,4,FALSE)</f>
        <v/>
      </c>
      <c r="AG1117" s="280">
        <f>AF1117*AE1117</f>
        <v/>
      </c>
      <c r="AH1117" s="280">
        <f>AD1117*1.21</f>
        <v/>
      </c>
      <c r="AI1117" s="284">
        <f>IF(AE1117&lt;&gt;0,AG1117/AD1117,"N/A")</f>
        <v/>
      </c>
      <c r="AJ1117" s="280">
        <f>IF(AC1117="pendiente",AD1117,0)</f>
        <v/>
      </c>
      <c r="AK1117" s="278">
        <f>VLOOKUP(G1117,CLIENTES!B:D,3,FALSE)</f>
        <v/>
      </c>
    </row>
    <row r="1118" ht="15" customFormat="1" customHeight="1" s="278">
      <c r="B1118" s="279" t="n"/>
      <c r="C1118" s="278" t="inlineStr">
        <is>
          <t>c/ Las Cruzadas 3A, local D</t>
        </is>
      </c>
      <c r="D1118" s="278" t="inlineStr">
        <is>
          <t>Sevilla 41004</t>
        </is>
      </c>
      <c r="E1118" s="278" t="inlineStr">
        <is>
          <t>CIF B91938662</t>
        </is>
      </c>
      <c r="F1118" s="278" t="inlineStr">
        <is>
          <t>aBalados@abalados.es</t>
        </is>
      </c>
      <c r="G1118" s="278" t="inlineStr">
        <is>
          <t>Cubillos Renovables, S.L.</t>
        </is>
      </c>
      <c r="H1118" s="278">
        <f>VLOOKUP($G1118,DATOS!$B:$E,2,FALSE)</f>
        <v/>
      </c>
      <c r="I1118" s="278">
        <f>VLOOKUP($G1118,DATOS!$B:$E,3,FALSE)</f>
        <v/>
      </c>
      <c r="J1118" s="278">
        <f>VLOOKUP($G1118,DATOS!$B:$E,4,FALSE)</f>
        <v/>
      </c>
      <c r="K1118" s="278" t="inlineStr">
        <is>
          <t>Servicios extraordinarios - Asset Management (subestación Majuelo)</t>
        </is>
      </c>
      <c r="L1118" s="280" t="n"/>
      <c r="M1118" s="278" t="inlineStr">
        <is>
          <t>Redacción Adenda al Pacto de Socios de la Sociedad</t>
        </is>
      </c>
      <c r="N1118" s="280" t="n">
        <v>675</v>
      </c>
      <c r="P1118" s="280" t="n"/>
      <c r="Q1118" s="278" t="inlineStr">
        <is>
          <t>i) Redacción de la Adenda</t>
        </is>
      </c>
      <c r="R1118" s="280" t="n"/>
      <c r="S1118" s="278" t="inlineStr">
        <is>
          <t>ii) Introducción o modificación de la Adenda de conformidad con los comentarios de los Socios.</t>
        </is>
      </c>
      <c r="T1118" s="280" t="n"/>
      <c r="U1118" s="278" t="inlineStr">
        <is>
          <t>iii) Asesoramiento y resolución de las posibles consultas que pudieran surgir de la Adenda.</t>
        </is>
      </c>
      <c r="V1118" s="280" t="n"/>
      <c r="X1118" s="280" t="n"/>
      <c r="Z1118" s="280" t="n"/>
      <c r="AA1118" s="280" t="n"/>
      <c r="AB1118" s="281" t="inlineStr">
        <is>
          <t>ES11 0081 7069 2700 0122 7724</t>
        </is>
      </c>
      <c r="AC1118" s="278" t="inlineStr">
        <is>
          <t>pendiente</t>
        </is>
      </c>
      <c r="AD1118" s="280">
        <f>L1118+N1118+P1118+R1118+T1118+V1118+X1118+Z1118</f>
        <v/>
      </c>
      <c r="AE1118" s="280">
        <f>IF((LEFT(K1118,6))="Contab",L1118,0)</f>
        <v/>
      </c>
      <c r="AF1118" s="281">
        <f>VLOOKUP(G1118,CLIENTES!B:E,4,FALSE)</f>
        <v/>
      </c>
      <c r="AG1118" s="280">
        <f>AF1118*AE1118</f>
        <v/>
      </c>
      <c r="AH1118" s="280">
        <f>AD1118*1.21</f>
        <v/>
      </c>
      <c r="AI1118" s="284">
        <f>IF(AE1118&lt;&gt;0,AG1118/AD1118,"N/A")</f>
        <v/>
      </c>
      <c r="AJ1118" s="280">
        <f>IF(AC1118="pendiente",AD1118,0)</f>
        <v/>
      </c>
      <c r="AK1118" s="278">
        <f>VLOOKUP(G1118,CLIENTES!B:D,3,FALSE)</f>
        <v/>
      </c>
    </row>
    <row r="1119" ht="15" customFormat="1" customHeight="1" s="192">
      <c r="B1119" s="199" t="n"/>
      <c r="C1119" s="192" t="inlineStr">
        <is>
          <t>c/ Las Cruzadas 3A, local D</t>
        </is>
      </c>
      <c r="D1119" s="192" t="inlineStr">
        <is>
          <t>Sevilla 41004</t>
        </is>
      </c>
      <c r="E1119" s="192" t="inlineStr">
        <is>
          <t>CIF B91938662</t>
        </is>
      </c>
      <c r="F1119" s="192" t="inlineStr">
        <is>
          <t>aBalados@abalados.es</t>
        </is>
      </c>
      <c r="G1119" s="192" t="inlineStr">
        <is>
          <t>Escatrón Promotores 400 y 220, S.L.</t>
        </is>
      </c>
      <c r="H1119" s="192">
        <f>VLOOKUP($G1119,DATOS!$B:$E,2,FALSE)</f>
        <v/>
      </c>
      <c r="I1119" s="192">
        <f>VLOOKUP($G1119,DATOS!$B:$E,3,FALSE)</f>
        <v/>
      </c>
      <c r="J1119" s="192">
        <f>VLOOKUP($G1119,DATOS!$B:$E,4,FALSE)</f>
        <v/>
      </c>
      <c r="K1119" s="192" t="inlineStr">
        <is>
          <t>Servicios extraordinarios - Asset Management (subestación Escatrón)</t>
        </is>
      </c>
      <c r="L1119" s="200" t="n"/>
      <c r="M1119" s="192" t="inlineStr">
        <is>
          <t>Revisión e implementación comentarios Contrato EPC</t>
        </is>
      </c>
      <c r="N1119" s="200" t="n">
        <v>975</v>
      </c>
      <c r="P1119" s="200" t="n"/>
      <c r="R1119" s="200" t="n"/>
      <c r="S1119" s="200" t="n"/>
      <c r="T1119" s="200" t="n"/>
      <c r="V1119" s="200" t="n"/>
      <c r="X1119" s="200" t="n"/>
      <c r="Z1119" s="200" t="n"/>
      <c r="AA1119" s="200" t="n"/>
      <c r="AB1119" s="201" t="inlineStr">
        <is>
          <t>ES11 0081 7069 2700 0122 7724</t>
        </is>
      </c>
      <c r="AC1119" s="192" t="inlineStr">
        <is>
          <t>pendiente</t>
        </is>
      </c>
      <c r="AD1119" s="200">
        <f>L1119+N1119+P1119+R1119+T1119+V1119+X1119+Z1119</f>
        <v/>
      </c>
      <c r="AE1119" s="200">
        <f>IF((LEFT(K1119,6))="Contab",L1119,0)</f>
        <v/>
      </c>
      <c r="AF1119" s="201">
        <f>VLOOKUP(G1119,CLIENTES!B:E,4,FALSE)</f>
        <v/>
      </c>
      <c r="AG1119" s="200">
        <f>AF1119*AE1119</f>
        <v/>
      </c>
      <c r="AH1119" s="200">
        <f>AD1119*1.21</f>
        <v/>
      </c>
      <c r="AI1119" s="283">
        <f>IF(AE1119&lt;&gt;0,AG1119/AD1119,"N/A")</f>
        <v/>
      </c>
      <c r="AJ1119" s="200">
        <f>IF(AC1119="pendiente",AD1119,0)</f>
        <v/>
      </c>
      <c r="AK1119" s="192">
        <f>VLOOKUP(G1119,CLIENTES!B:D,3,FALSE)</f>
        <v/>
      </c>
    </row>
    <row r="1120" ht="15" customFormat="1" customHeight="1" s="278">
      <c r="B1120" s="279" t="n"/>
      <c r="C1120" s="278" t="inlineStr">
        <is>
          <t>c/ Las Cruzadas 3A, local D</t>
        </is>
      </c>
      <c r="D1120" s="278" t="inlineStr">
        <is>
          <t>Sevilla 41004</t>
        </is>
      </c>
      <c r="E1120" s="278" t="inlineStr">
        <is>
          <t>CIF B91938662</t>
        </is>
      </c>
      <c r="F1120" s="278" t="inlineStr">
        <is>
          <t>aBalados@abalados.es</t>
        </is>
      </c>
      <c r="G1120" s="278" t="inlineStr">
        <is>
          <t>WOC Fotovoltaica España Proyecto Sollana S.L.U.</t>
        </is>
      </c>
      <c r="H1120" s="278">
        <f>VLOOKUP($G1120,DATOS!$B:$E,2,FALSE)</f>
        <v/>
      </c>
      <c r="I1120" s="278">
        <f>VLOOKUP($G1120,DATOS!$B:$E,3,FALSE)</f>
        <v/>
      </c>
      <c r="J1120" s="278">
        <f>VLOOKUP($G1120,DATOS!$B:$E,4,FALSE)</f>
        <v/>
      </c>
      <c r="K1120" s="195" t="inlineStr">
        <is>
          <t>Refacturación gastos y/o servicios prestados a nombre de la sociedad</t>
        </is>
      </c>
      <c r="L1120" s="196" t="n"/>
      <c r="M1120" s="195" t="inlineStr">
        <is>
          <t>Burofax - Merlin Properties - Contrato arrendamiento</t>
        </is>
      </c>
      <c r="N1120" s="196" t="n">
        <v>27.22</v>
      </c>
      <c r="O1120" s="195" t="inlineStr">
        <is>
          <t>Gastos derivados de Gestión (3,5%)</t>
        </is>
      </c>
      <c r="P1120" s="196">
        <f>N1120*0.035</f>
        <v/>
      </c>
      <c r="Q1120" s="195" t="n"/>
      <c r="R1120" s="196" t="n"/>
      <c r="S1120" s="195" t="n"/>
      <c r="T1120" s="196" t="n"/>
      <c r="U1120" s="195" t="n"/>
      <c r="V1120" s="196" t="n"/>
      <c r="X1120" s="280" t="n"/>
      <c r="Z1120" s="280" t="n"/>
      <c r="AA1120" s="280" t="n"/>
      <c r="AB1120" s="281" t="inlineStr">
        <is>
          <t>ES11 0081 7069 2700 0122 7724</t>
        </is>
      </c>
      <c r="AC1120" s="278" t="inlineStr">
        <is>
          <t>pendiente</t>
        </is>
      </c>
      <c r="AD1120" s="280">
        <f>L1120+N1120+P1120+R1120+T1120+V1120+X1120+Z1120</f>
        <v/>
      </c>
      <c r="AE1120" s="280">
        <f>IF((LEFT(K1120,6))="Contab",L1120,0)</f>
        <v/>
      </c>
      <c r="AF1120" s="281">
        <f>VLOOKUP(G1120,CLIENTES!B:E,4,FALSE)</f>
        <v/>
      </c>
      <c r="AG1120" s="280">
        <f>AF1120*AE1120</f>
        <v/>
      </c>
      <c r="AH1120" s="280">
        <f>AD1120*1.21</f>
        <v/>
      </c>
      <c r="AI1120" s="284">
        <f>IF(AE1120&lt;&gt;0,AG1120/AD1120,"N/A")</f>
        <v/>
      </c>
      <c r="AJ1120" s="280">
        <f>IF(AC1120="pendiente",AD1120,0)</f>
        <v/>
      </c>
      <c r="AK1120" s="278">
        <f>VLOOKUP(G1120,CLIENTES!B:D,3,FALSE)</f>
        <v/>
      </c>
    </row>
    <row r="1121" ht="15" customFormat="1" customHeight="1" s="278">
      <c r="B1121" s="279" t="n"/>
      <c r="C1121" s="278" t="inlineStr">
        <is>
          <t>c/ Las Cruzadas 3A, local D</t>
        </is>
      </c>
      <c r="D1121" s="278" t="inlineStr">
        <is>
          <t>Sevilla 41004</t>
        </is>
      </c>
      <c r="E1121" s="278" t="inlineStr">
        <is>
          <t>CIF B91938662</t>
        </is>
      </c>
      <c r="F1121" s="278" t="inlineStr">
        <is>
          <t>aBalados@abalados.es</t>
        </is>
      </c>
      <c r="G1121" s="278" t="inlineStr">
        <is>
          <t>Inversión Cubiertas Solares S.L.U.</t>
        </is>
      </c>
      <c r="H1121" s="278">
        <f>VLOOKUP($G1121,DATOS!$B:$E,2,FALSE)</f>
        <v/>
      </c>
      <c r="I1121" s="278">
        <f>VLOOKUP($G1121,DATOS!$B:$E,3,FALSE)</f>
        <v/>
      </c>
      <c r="J1121" s="278">
        <f>VLOOKUP($G1121,DATOS!$B:$E,4,FALSE)</f>
        <v/>
      </c>
      <c r="K1121" s="278" t="inlineStr">
        <is>
          <t>Refacturación gastos y/o servicios prestados a nombre de la sociedad</t>
        </is>
      </c>
      <c r="L1121" s="280" t="n"/>
      <c r="M1121" s="278" t="inlineStr">
        <is>
          <t>Evaluación de riesgos - Actualización</t>
        </is>
      </c>
      <c r="N1121" s="280" t="n">
        <v>1000</v>
      </c>
      <c r="O1121" s="278" t="inlineStr">
        <is>
          <t>Nuevo inversor Huawei (30kW)</t>
        </is>
      </c>
      <c r="P1121" s="280" t="n">
        <v>2211.18</v>
      </c>
      <c r="Q1121" s="278" t="inlineStr">
        <is>
          <t>Gastos derivados de Gestión (3,5%)</t>
        </is>
      </c>
      <c r="R1121" s="280">
        <f>(N1121+P1121)*0.035</f>
        <v/>
      </c>
      <c r="T1121" s="280" t="n"/>
      <c r="V1121" s="280" t="n"/>
      <c r="X1121" s="280" t="n"/>
      <c r="Z1121" s="280" t="n"/>
      <c r="AA1121" s="280" t="n"/>
      <c r="AB1121" s="281" t="inlineStr">
        <is>
          <t>ES11 0081 7069 2700 0122 7724</t>
        </is>
      </c>
      <c r="AC1121" s="278" t="inlineStr">
        <is>
          <t>pendiente</t>
        </is>
      </c>
      <c r="AD1121" s="280">
        <f>L1121+N1121+P1121+R1121+T1121+V1121+X1121+Z1121</f>
        <v/>
      </c>
      <c r="AE1121" s="280">
        <f>IF((LEFT(K1121,6))="Contab",L1121,0)</f>
        <v/>
      </c>
      <c r="AF1121" s="281">
        <f>VLOOKUP(G1121,CLIENTES!B:E,4,FALSE)</f>
        <v/>
      </c>
      <c r="AG1121" s="280">
        <f>AF1121*AE1121</f>
        <v/>
      </c>
      <c r="AH1121" s="280">
        <f>AD1121*1.21</f>
        <v/>
      </c>
      <c r="AI1121" s="284">
        <f>IF(AE1121&lt;&gt;0,AG1121/AD1121,"N/A")</f>
        <v/>
      </c>
      <c r="AJ1121" s="280">
        <f>IF(AC1121="pendiente",AD1121,0)</f>
        <v/>
      </c>
      <c r="AK1121" s="278">
        <f>VLOOKUP(G1121,CLIENTES!B:D,3,FALSE)</f>
        <v/>
      </c>
    </row>
    <row r="1122" ht="15" customFormat="1" customHeight="1" s="278">
      <c r="B1122" s="279" t="n"/>
      <c r="C1122" s="278" t="inlineStr">
        <is>
          <t>c/ Las Cruzadas 3A, local D</t>
        </is>
      </c>
      <c r="D1122" s="278" t="inlineStr">
        <is>
          <t>Sevilla 41004</t>
        </is>
      </c>
      <c r="E1122" s="278" t="inlineStr">
        <is>
          <t>CIF B91938662</t>
        </is>
      </c>
      <c r="F1122" s="278" t="inlineStr">
        <is>
          <t>aBalados@abalados.es</t>
        </is>
      </c>
      <c r="G1122" s="278" t="inlineStr">
        <is>
          <t>Solar Photo Corp S.L.U.</t>
        </is>
      </c>
      <c r="H1122" s="278">
        <f>VLOOKUP($G1122,DATOS!$B:$E,2,FALSE)</f>
        <v/>
      </c>
      <c r="I1122" s="278">
        <f>VLOOKUP($G1122,DATOS!$B:$E,3,FALSE)</f>
        <v/>
      </c>
      <c r="J1122" s="278">
        <f>VLOOKUP($G1122,DATOS!$B:$E,4,FALSE)</f>
        <v/>
      </c>
      <c r="K1122" s="278" t="inlineStr">
        <is>
          <t>Refacturación gastos y/o servicios prestados a nombre de la sociedad</t>
        </is>
      </c>
      <c r="L1122" s="280" t="n"/>
      <c r="M1122" s="278" t="inlineStr">
        <is>
          <t>Avería contador - Extracción de medidas y reset</t>
        </is>
      </c>
      <c r="N1122" s="280" t="n">
        <v>228</v>
      </c>
      <c r="O1122" s="278" t="inlineStr">
        <is>
          <t>Conversor de medios - Adecuación normativa REE</t>
        </is>
      </c>
      <c r="P1122" s="280" t="n">
        <v>443.6</v>
      </c>
      <c r="Q1122" s="278" t="inlineStr">
        <is>
          <t>OCA BT</t>
        </is>
      </c>
      <c r="R1122" s="280" t="n">
        <v>472</v>
      </c>
      <c r="S1122" s="278" t="inlineStr">
        <is>
          <t>Gastos derivados de Gestión (3,5%)</t>
        </is>
      </c>
      <c r="T1122" s="280">
        <f>(N1122+P1122+R1122)*0.035</f>
        <v/>
      </c>
      <c r="V1122" s="280" t="n"/>
      <c r="X1122" s="280" t="n"/>
      <c r="Z1122" s="280" t="n"/>
      <c r="AA1122" s="280" t="n"/>
      <c r="AB1122" s="281" t="inlineStr">
        <is>
          <t>ES11 0081 7069 2700 0122 7724</t>
        </is>
      </c>
      <c r="AC1122" s="278" t="inlineStr">
        <is>
          <t>pendiente</t>
        </is>
      </c>
      <c r="AD1122" s="280">
        <f>L1122+N1122+P1122+R1122+T1122+V1122+X1122+Z1122</f>
        <v/>
      </c>
      <c r="AE1122" s="280">
        <f>IF((LEFT(K1122,6))="Contab",L1122,0)</f>
        <v/>
      </c>
      <c r="AF1122" s="281">
        <f>VLOOKUP(G1122,CLIENTES!B:E,4,FALSE)</f>
        <v/>
      </c>
      <c r="AG1122" s="280">
        <f>AF1122*AE1122</f>
        <v/>
      </c>
      <c r="AH1122" s="280">
        <f>AD1122*1.21</f>
        <v/>
      </c>
      <c r="AI1122" s="284">
        <f>IF(AE1122&lt;&gt;0,AG1122/AD1122,"N/A")</f>
        <v/>
      </c>
      <c r="AJ1122" s="280">
        <f>IF(AC1122="pendiente",AD1122,0)</f>
        <v/>
      </c>
      <c r="AK1122" s="278">
        <f>VLOOKUP(G1122,CLIENTES!B:D,3,FALSE)</f>
        <v/>
      </c>
    </row>
    <row r="1123" ht="15" customFormat="1" customHeight="1" s="278">
      <c r="B1123" s="279" t="n"/>
      <c r="C1123" s="278" t="inlineStr">
        <is>
          <t>c/ Las Cruzadas 3A, local D</t>
        </is>
      </c>
      <c r="D1123" s="278" t="inlineStr">
        <is>
          <t>Sevilla 41005</t>
        </is>
      </c>
      <c r="E1123" s="278" t="inlineStr">
        <is>
          <t>CIF B91938663</t>
        </is>
      </c>
      <c r="F1123" s="278" t="inlineStr">
        <is>
          <t>aBalados@abalados.es</t>
        </is>
      </c>
      <c r="G1123" s="278" t="inlineStr">
        <is>
          <t>Solar Photo Collect S.L.U.</t>
        </is>
      </c>
      <c r="H1123" s="278">
        <f>VLOOKUP($G1123,DATOS!$B:$E,2,FALSE)</f>
        <v/>
      </c>
      <c r="I1123" s="278">
        <f>VLOOKUP($G1123,DATOS!$B:$E,3,FALSE)</f>
        <v/>
      </c>
      <c r="J1123" s="278">
        <f>VLOOKUP($G1123,DATOS!$B:$E,4,FALSE)</f>
        <v/>
      </c>
      <c r="K1123" s="278" t="inlineStr">
        <is>
          <t>Refacturación gastos y/o servicios prestados a nombre de la sociedad</t>
        </is>
      </c>
      <c r="L1123" s="280" t="n"/>
      <c r="M1123" s="278" t="inlineStr">
        <is>
          <t>OCA MT</t>
        </is>
      </c>
      <c r="N1123" s="280" t="n">
        <v>940</v>
      </c>
      <c r="O1123" s="278" t="inlineStr">
        <is>
          <t>(2x) Conversor de medios - Adecuación normativa REE</t>
        </is>
      </c>
      <c r="P1123" s="280" t="n">
        <v>887.2</v>
      </c>
      <c r="Q1123" s="278" t="inlineStr">
        <is>
          <t>Gastos derivados de Gestión (3,5%)</t>
        </is>
      </c>
      <c r="R1123" s="280">
        <f>(N1123+P1123)*0.035</f>
        <v/>
      </c>
      <c r="T1123" s="280" t="n"/>
      <c r="V1123" s="280" t="n"/>
      <c r="X1123" s="280" t="n"/>
      <c r="Z1123" s="280" t="n"/>
      <c r="AA1123" s="280" t="n"/>
      <c r="AB1123" s="281" t="inlineStr">
        <is>
          <t>ES11 0081 7069 2700 0122 7724</t>
        </is>
      </c>
      <c r="AC1123" s="278" t="inlineStr">
        <is>
          <t>pendiente</t>
        </is>
      </c>
      <c r="AD1123" s="280">
        <f>L1123+N1123+P1123+R1123+T1123+V1123+X1123+Z1123</f>
        <v/>
      </c>
      <c r="AE1123" s="280">
        <f>IF((LEFT(K1123,6))="Contab",L1123,0)</f>
        <v/>
      </c>
      <c r="AF1123" s="281">
        <f>VLOOKUP(G1123,CLIENTES!B:E,4,FALSE)</f>
        <v/>
      </c>
      <c r="AG1123" s="280">
        <f>AF1123*AE1123</f>
        <v/>
      </c>
      <c r="AH1123" s="280">
        <f>AD1123*1.21</f>
        <v/>
      </c>
      <c r="AI1123" s="284">
        <f>IF(AE1123&lt;&gt;0,AG1123/AD1123,"N/A")</f>
        <v/>
      </c>
      <c r="AJ1123" s="280">
        <f>IF(AC1123="pendiente",AD1123,0)</f>
        <v/>
      </c>
      <c r="AK1123" s="278">
        <f>VLOOKUP(G1123,CLIENTES!B:D,3,FALSE)</f>
        <v/>
      </c>
    </row>
    <row r="1124" ht="15" customFormat="1" customHeight="1" s="278">
      <c r="B1124" s="279" t="n"/>
      <c r="C1124" s="278" t="inlineStr">
        <is>
          <t>c/ Las Cruzadas 3A, local D</t>
        </is>
      </c>
      <c r="D1124" s="278" t="inlineStr">
        <is>
          <t>Sevilla 41006</t>
        </is>
      </c>
      <c r="E1124" s="278" t="inlineStr">
        <is>
          <t>CIF B91938664</t>
        </is>
      </c>
      <c r="F1124" s="278" t="inlineStr">
        <is>
          <t>aBalados@abalados.es</t>
        </is>
      </c>
      <c r="G1124" s="278" t="inlineStr">
        <is>
          <t>Amberg V S.L.U.</t>
        </is>
      </c>
      <c r="H1124" s="278">
        <f>VLOOKUP($G1124,DATOS!$B:$E,2,FALSE)</f>
        <v/>
      </c>
      <c r="I1124" s="278">
        <f>VLOOKUP($G1124,DATOS!$B:$E,3,FALSE)</f>
        <v/>
      </c>
      <c r="J1124" s="278">
        <f>VLOOKUP($G1124,DATOS!$B:$E,4,FALSE)</f>
        <v/>
      </c>
      <c r="K1124" s="278" t="inlineStr">
        <is>
          <t>Refacturación gastos y/o servicios prestados a nombre de la sociedad</t>
        </is>
      </c>
      <c r="L1124" s="280" t="n"/>
      <c r="M1124" s="278" t="inlineStr">
        <is>
          <t>OCA MT - Subsanación defectos (2ª visita)</t>
        </is>
      </c>
      <c r="N1124" s="280" t="n">
        <v>177</v>
      </c>
      <c r="O1124" s="278" t="inlineStr">
        <is>
          <t>Conversor de medios - Adecuación normativa REE</t>
        </is>
      </c>
      <c r="P1124" s="280" t="n">
        <v>443.6</v>
      </c>
      <c r="Q1124" s="278" t="inlineStr">
        <is>
          <t>Gastos derivados de Gestión (3,5%)</t>
        </is>
      </c>
      <c r="R1124" s="280">
        <f>(N1124+P1124)*0.035</f>
        <v/>
      </c>
      <c r="T1124" s="280" t="n"/>
      <c r="V1124" s="280" t="n"/>
      <c r="X1124" s="280" t="n"/>
      <c r="Z1124" s="280" t="n"/>
      <c r="AA1124" s="280" t="n"/>
      <c r="AB1124" s="281" t="inlineStr">
        <is>
          <t>ES11 0081 7069 2700 0122 7724</t>
        </is>
      </c>
      <c r="AC1124" s="278" t="inlineStr">
        <is>
          <t>pendiente</t>
        </is>
      </c>
      <c r="AD1124" s="280">
        <f>L1124+N1124+P1124+R1124+T1124+V1124+X1124+Z1124</f>
        <v/>
      </c>
      <c r="AE1124" s="280">
        <f>IF((LEFT(K1124,6))="Contab",L1124,0)</f>
        <v/>
      </c>
      <c r="AF1124" s="281">
        <f>VLOOKUP(G1124,CLIENTES!B:E,4,FALSE)</f>
        <v/>
      </c>
      <c r="AG1124" s="280">
        <f>AF1124*AE1124</f>
        <v/>
      </c>
      <c r="AH1124" s="280">
        <f>AD1124*1.21</f>
        <v/>
      </c>
      <c r="AI1124" s="284">
        <f>IF(AE1124&lt;&gt;0,AG1124/AD1124,"N/A")</f>
        <v/>
      </c>
      <c r="AJ1124" s="280">
        <f>IF(AC1124="pendiente",AD1124,0)</f>
        <v/>
      </c>
      <c r="AK1124" s="278">
        <f>VLOOKUP(G1124,CLIENTES!B:D,3,FALSE)</f>
        <v/>
      </c>
    </row>
    <row r="1125" ht="15" customFormat="1" customHeight="1" s="278">
      <c r="B1125" s="279" t="n"/>
      <c r="C1125" s="278" t="inlineStr">
        <is>
          <t>c/ Las Cruzadas 3A, local D</t>
        </is>
      </c>
      <c r="D1125" s="278" t="inlineStr">
        <is>
          <t>Sevilla 41004</t>
        </is>
      </c>
      <c r="E1125" s="278" t="inlineStr">
        <is>
          <t>CIF B91938662</t>
        </is>
      </c>
      <c r="F1125" s="278" t="inlineStr">
        <is>
          <t>aBalados@abalados.es</t>
        </is>
      </c>
      <c r="G1125" s="278" t="inlineStr">
        <is>
          <t>Asomadilla Solar 2007 S.L.U.</t>
        </is>
      </c>
      <c r="H1125" s="278">
        <f>VLOOKUP($G1125,DATOS!$B:$E,2,FALSE)</f>
        <v/>
      </c>
      <c r="I1125" s="278">
        <f>VLOOKUP($G1125,DATOS!$B:$E,3,FALSE)</f>
        <v/>
      </c>
      <c r="J1125" s="278">
        <f>VLOOKUP($G1125,DATOS!$B:$E,4,FALSE)</f>
        <v/>
      </c>
      <c r="K1125" s="278" t="inlineStr">
        <is>
          <t>Refacturación gastos y/o servicios prestados a nombre de la sociedad</t>
        </is>
      </c>
      <c r="L1125" s="280" t="n"/>
      <c r="M1125" s="278" t="inlineStr">
        <is>
          <t>Sustitución inversores (SMA 7000HV)</t>
        </is>
      </c>
      <c r="N1125" s="280">
        <f>108.6*2</f>
        <v/>
      </c>
      <c r="O1125" s="278" t="inlineStr">
        <is>
          <t>Gestión stock SMA 7000HV (2H2023)</t>
        </is>
      </c>
      <c r="P1125" s="280" t="n">
        <v>250</v>
      </c>
      <c r="Q1125" s="278" t="inlineStr">
        <is>
          <t xml:space="preserve">Correctivos comunicaciones </t>
        </is>
      </c>
      <c r="R1125" s="280" t="n">
        <v>66</v>
      </c>
      <c r="S1125" s="278" t="inlineStr">
        <is>
          <t>Gastos derivados de Gestión (3,5%)</t>
        </is>
      </c>
      <c r="T1125" s="280">
        <f>(N1125+P1125+R1125)*0.035</f>
        <v/>
      </c>
      <c r="V1125" s="280" t="n"/>
      <c r="X1125" s="280" t="n"/>
      <c r="Z1125" s="280" t="n"/>
      <c r="AA1125" s="280" t="n"/>
      <c r="AB1125" s="281" t="inlineStr">
        <is>
          <t>ES11 0081 7069 2700 0122 7724</t>
        </is>
      </c>
      <c r="AC1125" s="278" t="inlineStr">
        <is>
          <t>pendiente</t>
        </is>
      </c>
      <c r="AD1125" s="280">
        <f>L1125+N1125+P1125+R1125+T1125+V1125+X1125+Z1125</f>
        <v/>
      </c>
      <c r="AE1125" s="280">
        <f>IF((LEFT(K1125,6))="Contab",L1125,0)</f>
        <v/>
      </c>
      <c r="AF1125" s="281">
        <f>VLOOKUP(G1125,CLIENTES!B:E,4,FALSE)</f>
        <v/>
      </c>
      <c r="AG1125" s="280">
        <f>AF1125*AE1125</f>
        <v/>
      </c>
      <c r="AH1125" s="280">
        <f>AD1125*1.21</f>
        <v/>
      </c>
      <c r="AI1125" s="284">
        <f>IF(AE1125&lt;&gt;0,AG1125/AD1125,"N/A")</f>
        <v/>
      </c>
      <c r="AJ1125" s="280">
        <f>IF(AC1125="pendiente",AD1125,0)</f>
        <v/>
      </c>
      <c r="AK1125" s="278">
        <f>VLOOKUP(G1125,CLIENTES!B:D,3,FALSE)</f>
        <v/>
      </c>
    </row>
    <row r="1126" ht="15" customFormat="1" customHeight="1" s="278">
      <c r="B1126" s="279" t="n"/>
      <c r="C1126" s="278" t="inlineStr">
        <is>
          <t>c/ Las Cruzadas 3A, local D</t>
        </is>
      </c>
      <c r="D1126" s="278" t="inlineStr">
        <is>
          <t>Sevilla 41004</t>
        </is>
      </c>
      <c r="E1126" s="278" t="inlineStr">
        <is>
          <t>CIF B91938662</t>
        </is>
      </c>
      <c r="F1126" s="278" t="inlineStr">
        <is>
          <t>aBalados@abalados.es</t>
        </is>
      </c>
      <c r="G1126" s="278" t="inlineStr">
        <is>
          <t>Dehesa Asomadilla Inversiones S.L.U.</t>
        </is>
      </c>
      <c r="H1126" s="278">
        <f>VLOOKUP($G1126,DATOS!$B:$E,2,FALSE)</f>
        <v/>
      </c>
      <c r="I1126" s="278">
        <f>VLOOKUP($G1126,DATOS!$B:$E,3,FALSE)</f>
        <v/>
      </c>
      <c r="J1126" s="278">
        <f>VLOOKUP($G1126,DATOS!$B:$E,4,FALSE)</f>
        <v/>
      </c>
      <c r="K1126" s="278" t="inlineStr">
        <is>
          <t>Refacturación gastos y/o servicios prestados a nombre de la sociedad</t>
        </is>
      </c>
      <c r="L1126" s="280" t="n"/>
      <c r="M1126" s="278" t="inlineStr">
        <is>
          <t>Sustitución inversores (SMA 7000HV)</t>
        </is>
      </c>
      <c r="N1126" s="280">
        <f>108.6*5</f>
        <v/>
      </c>
      <c r="O1126" s="278" t="inlineStr">
        <is>
          <t>Gestión stock SMA 7000HV (2H2023)</t>
        </is>
      </c>
      <c r="P1126" s="280" t="n">
        <v>250</v>
      </c>
      <c r="Q1126" s="278" t="inlineStr">
        <is>
          <t>5x conversor de medios - Lectura medida y TTR</t>
        </is>
      </c>
      <c r="R1126" s="280" t="n">
        <v>1055.5</v>
      </c>
      <c r="S1126" s="278" t="inlineStr">
        <is>
          <t>Gastos derivados de Gestión (3,5%)</t>
        </is>
      </c>
      <c r="T1126" s="280">
        <f>(N1126+P1126+R1126)*0.035</f>
        <v/>
      </c>
      <c r="V1126" s="280" t="n"/>
      <c r="X1126" s="280" t="n"/>
      <c r="Z1126" s="280" t="n"/>
      <c r="AA1126" s="280" t="n"/>
      <c r="AB1126" s="281" t="inlineStr">
        <is>
          <t>ES11 0081 7069 2700 0122 7724</t>
        </is>
      </c>
      <c r="AC1126" s="278" t="inlineStr">
        <is>
          <t>pendiente</t>
        </is>
      </c>
      <c r="AD1126" s="280">
        <f>L1126+N1126+P1126+R1126+T1126+V1126+X1126+Z1126</f>
        <v/>
      </c>
      <c r="AE1126" s="280">
        <f>IF((LEFT(K1126,6))="Contab",L1126,0)</f>
        <v/>
      </c>
      <c r="AF1126" s="281">
        <f>VLOOKUP(G1126,CLIENTES!B:E,4,FALSE)</f>
        <v/>
      </c>
      <c r="AG1126" s="280">
        <f>AF1126*AE1126</f>
        <v/>
      </c>
      <c r="AH1126" s="280">
        <f>AD1126*1.21</f>
        <v/>
      </c>
      <c r="AI1126" s="284">
        <f>IF(AE1126&lt;&gt;0,AG1126/AD1126,"N/A")</f>
        <v/>
      </c>
      <c r="AJ1126" s="280">
        <f>IF(AC1126="pendiente",AD1126,0)</f>
        <v/>
      </c>
      <c r="AK1126" s="278">
        <f>VLOOKUP(G1126,CLIENTES!B:D,3,FALSE)</f>
        <v/>
      </c>
    </row>
    <row r="1127" ht="15" customFormat="1" customHeight="1" s="278">
      <c r="B1127" s="279" t="n"/>
      <c r="C1127" s="278" t="inlineStr">
        <is>
          <t>c/ Las Cruzadas 3A, local D</t>
        </is>
      </c>
      <c r="D1127" s="278" t="inlineStr">
        <is>
          <t>Sevilla 41004</t>
        </is>
      </c>
      <c r="E1127" s="278" t="inlineStr">
        <is>
          <t>CIF B91938662</t>
        </is>
      </c>
      <c r="F1127" s="278" t="inlineStr">
        <is>
          <t>aBalados@abalados.es</t>
        </is>
      </c>
      <c r="G1127" s="278" t="inlineStr">
        <is>
          <t>Turbinto Parque Solar S.L.U.</t>
        </is>
      </c>
      <c r="H1127" s="278">
        <f>VLOOKUP($G1127,DATOS!$B:$E,2,FALSE)</f>
        <v/>
      </c>
      <c r="I1127" s="278">
        <f>VLOOKUP($G1127,DATOS!$B:$E,3,FALSE)</f>
        <v/>
      </c>
      <c r="J1127" s="278">
        <f>VLOOKUP($G1127,DATOS!$B:$E,4,FALSE)</f>
        <v/>
      </c>
      <c r="K1127" s="278" t="inlineStr">
        <is>
          <t>Refacturación gastos y/o servicios prestados a nombre de la sociedad</t>
        </is>
      </c>
      <c r="L1127" s="280" t="n"/>
      <c r="M1127" s="278" t="inlineStr">
        <is>
          <t>Burofax - Yingli - Reclamación garantía módulos</t>
        </is>
      </c>
      <c r="N1127" s="280" t="n">
        <v>32.1</v>
      </c>
      <c r="O1127" s="278" t="inlineStr">
        <is>
          <t>OCA MT</t>
        </is>
      </c>
      <c r="P1127" s="280" t="n">
        <v>527.4</v>
      </c>
      <c r="Q1127" s="278" t="inlineStr">
        <is>
          <t>Implementación nuevo sistema TTR</t>
        </is>
      </c>
      <c r="R1127" s="280" t="n">
        <v>216</v>
      </c>
      <c r="S1127" s="278" t="inlineStr">
        <is>
          <t>Gastos derivados de Gestión (3,5%)</t>
        </is>
      </c>
      <c r="T1127" s="280">
        <f>(N1127+P1127+R1127)*0.035</f>
        <v/>
      </c>
      <c r="V1127" s="280" t="n"/>
      <c r="X1127" s="280" t="n"/>
      <c r="Z1127" s="280" t="n"/>
      <c r="AA1127" s="280" t="n"/>
      <c r="AB1127" s="281" t="inlineStr">
        <is>
          <t>ES11 0081 7069 2700 0122 7724</t>
        </is>
      </c>
      <c r="AC1127" s="278" t="inlineStr">
        <is>
          <t>pendiente</t>
        </is>
      </c>
      <c r="AD1127" s="280">
        <f>L1127+N1127+P1127+R1127+T1127+V1127+X1127+Z1127</f>
        <v/>
      </c>
      <c r="AE1127" s="280">
        <f>IF((LEFT(K1127,6))="Contab",L1127,0)</f>
        <v/>
      </c>
      <c r="AF1127" s="281">
        <f>VLOOKUP(G1127,CLIENTES!B:E,4,FALSE)</f>
        <v/>
      </c>
      <c r="AG1127" s="280">
        <f>AF1127*AE1127</f>
        <v/>
      </c>
      <c r="AH1127" s="280">
        <f>AD1127*1.21</f>
        <v/>
      </c>
      <c r="AI1127" s="284">
        <f>IF(AE1127&lt;&gt;0,AG1127/AD1127,"N/A")</f>
        <v/>
      </c>
      <c r="AJ1127" s="280">
        <f>IF(AC1127="pendiente",AD1127,0)</f>
        <v/>
      </c>
      <c r="AK1127" s="278">
        <f>VLOOKUP(G1127,CLIENTES!B:D,3,FALSE)</f>
        <v/>
      </c>
    </row>
    <row r="1128" ht="15" customFormat="1" customHeight="1" s="278">
      <c r="B1128" s="279" t="n"/>
      <c r="C1128" s="278" t="inlineStr">
        <is>
          <t>c/ Las Cruzadas 3A, local D</t>
        </is>
      </c>
      <c r="D1128" s="278" t="inlineStr">
        <is>
          <t>Sevilla 41004</t>
        </is>
      </c>
      <c r="E1128" s="278" t="inlineStr">
        <is>
          <t>CIF B91938662</t>
        </is>
      </c>
      <c r="F1128" s="278" t="inlineStr">
        <is>
          <t>aBalados@abalados.es</t>
        </is>
      </c>
      <c r="G1128" s="278" t="inlineStr">
        <is>
          <t>Contreras Parque Solar S.L.U.</t>
        </is>
      </c>
      <c r="H1128" s="278">
        <f>VLOOKUP($G1128,DATOS!$B:$E,2,FALSE)</f>
        <v/>
      </c>
      <c r="I1128" s="278">
        <f>VLOOKUP($G1128,DATOS!$B:$E,3,FALSE)</f>
        <v/>
      </c>
      <c r="J1128" s="278">
        <f>VLOOKUP($G1128,DATOS!$B:$E,4,FALSE)</f>
        <v/>
      </c>
      <c r="K1128" s="278" t="inlineStr">
        <is>
          <t>Refacturación gastos y/o servicios prestados a nombre de la sociedad</t>
        </is>
      </c>
      <c r="L1128" s="280" t="n"/>
      <c r="M1128" s="278" t="inlineStr">
        <is>
          <t>Burofax - Reclamación Ingeteam</t>
        </is>
      </c>
      <c r="N1128" s="280" t="n">
        <v>25.32</v>
      </c>
      <c r="O1128" s="278" t="inlineStr">
        <is>
          <t>OCA MT</t>
        </is>
      </c>
      <c r="P1128" s="280" t="n">
        <v>703.2</v>
      </c>
      <c r="Q1128" s="278" t="inlineStr">
        <is>
          <t>Implementación nuevo sistema TTR</t>
        </is>
      </c>
      <c r="R1128" s="280" t="n">
        <v>216</v>
      </c>
      <c r="S1128" s="278" t="inlineStr">
        <is>
          <t>Verificación extraordinaria - Medición de tierras</t>
        </is>
      </c>
      <c r="T1128" s="280" t="n">
        <v>450</v>
      </c>
      <c r="U1128" s="278" t="inlineStr">
        <is>
          <t>Gastos derivados de Gestión (3,5%)</t>
        </is>
      </c>
      <c r="V1128" s="280">
        <f>(N1128+P1128+R1128+T1128)*0.035</f>
        <v/>
      </c>
      <c r="X1128" s="280" t="n"/>
      <c r="Z1128" s="280" t="n"/>
      <c r="AA1128" s="280" t="n"/>
      <c r="AB1128" s="281" t="inlineStr">
        <is>
          <t>ES11 0081 7069 2700 0122 7724</t>
        </is>
      </c>
      <c r="AC1128" s="278" t="inlineStr">
        <is>
          <t>pendiente</t>
        </is>
      </c>
      <c r="AD1128" s="280">
        <f>L1128+N1128+P1128+R1128+T1128+V1128+X1128+Z1128</f>
        <v/>
      </c>
      <c r="AE1128" s="280">
        <f>IF((LEFT(K1128,6))="Contab",L1128,0)</f>
        <v/>
      </c>
      <c r="AF1128" s="281">
        <f>VLOOKUP(G1128,CLIENTES!B:E,4,FALSE)</f>
        <v/>
      </c>
      <c r="AG1128" s="280">
        <f>AF1128*AE1128</f>
        <v/>
      </c>
      <c r="AH1128" s="280">
        <f>AD1128*1.21</f>
        <v/>
      </c>
      <c r="AI1128" s="284">
        <f>IF(AE1128&lt;&gt;0,AG1128/AD1128,"N/A")</f>
        <v/>
      </c>
      <c r="AJ1128" s="280">
        <f>IF(AC1128="pendiente",AD1128,0)</f>
        <v/>
      </c>
      <c r="AK1128" s="278">
        <f>VLOOKUP(G1128,CLIENTES!B:D,3,FALSE)</f>
        <v/>
      </c>
    </row>
    <row r="1129" ht="15" customFormat="1" customHeight="1" s="278">
      <c r="B1129" s="279" t="n"/>
      <c r="C1129" s="278" t="inlineStr">
        <is>
          <t>c/ Las Cruzadas 3A, local D</t>
        </is>
      </c>
      <c r="D1129" s="278" t="inlineStr">
        <is>
          <t>Sevilla 41004</t>
        </is>
      </c>
      <c r="E1129" s="278" t="inlineStr">
        <is>
          <t>CIF B91938662</t>
        </is>
      </c>
      <c r="F1129" s="278" t="inlineStr">
        <is>
          <t>aBalados@abalados.es</t>
        </is>
      </c>
      <c r="G1129" s="278" t="inlineStr">
        <is>
          <t>Lo Illán  Parque Solar S.L.U.</t>
        </is>
      </c>
      <c r="H1129" s="278">
        <f>VLOOKUP($G1129,DATOS!$B:$E,2,FALSE)</f>
        <v/>
      </c>
      <c r="I1129" s="278">
        <f>VLOOKUP($G1129,DATOS!$B:$E,3,FALSE)</f>
        <v/>
      </c>
      <c r="J1129" s="278">
        <f>VLOOKUP($G1129,DATOS!$B:$E,4,FALSE)</f>
        <v/>
      </c>
      <c r="K1129" s="278" t="inlineStr">
        <is>
          <t>Refacturación gastos y/o servicios prestados a nombre de la sociedad</t>
        </is>
      </c>
      <c r="L1129" s="280" t="n"/>
      <c r="M1129" s="278" t="inlineStr">
        <is>
          <t>OCA MT</t>
        </is>
      </c>
      <c r="N1129" s="280" t="n">
        <v>527.4</v>
      </c>
      <c r="O1129" s="278" t="inlineStr">
        <is>
          <t>Implementación nuevo sistema TTR</t>
        </is>
      </c>
      <c r="P1129" s="280" t="n">
        <v>532.1</v>
      </c>
      <c r="Q1129" s="278" t="inlineStr">
        <is>
          <t>Gastos derivados de Gestión (3,5%)</t>
        </is>
      </c>
      <c r="R1129" s="280">
        <f>(N1129+P1129)*0.035</f>
        <v/>
      </c>
      <c r="T1129" s="280" t="n"/>
      <c r="V1129" s="280" t="n"/>
      <c r="X1129" s="280" t="n"/>
      <c r="Z1129" s="280" t="n"/>
      <c r="AA1129" s="280" t="n"/>
      <c r="AB1129" s="281" t="inlineStr">
        <is>
          <t>ES11 0081 7069 2700 0122 7724</t>
        </is>
      </c>
      <c r="AC1129" s="278" t="inlineStr">
        <is>
          <t>pendiente</t>
        </is>
      </c>
      <c r="AD1129" s="280">
        <f>L1129+N1129+P1129+R1129+T1129+V1129+X1129+Z1129</f>
        <v/>
      </c>
      <c r="AE1129" s="280">
        <f>IF((LEFT(K1129,6))="Contab",L1129,0)</f>
        <v/>
      </c>
      <c r="AF1129" s="281">
        <f>VLOOKUP(G1129,CLIENTES!B:E,4,FALSE)</f>
        <v/>
      </c>
      <c r="AG1129" s="280">
        <f>AF1129*AE1129</f>
        <v/>
      </c>
      <c r="AH1129" s="280">
        <f>AD1129*1.21</f>
        <v/>
      </c>
      <c r="AI1129" s="284">
        <f>IF(AE1129&lt;&gt;0,AG1129/AD1129,"N/A")</f>
        <v/>
      </c>
      <c r="AJ1129" s="280">
        <f>IF(AC1129="pendiente",AD1129,0)</f>
        <v/>
      </c>
      <c r="AK1129" s="278">
        <f>VLOOKUP(G1129,CLIENTES!B:D,3,FALSE)</f>
        <v/>
      </c>
    </row>
    <row r="1130" ht="15" customFormat="1" customHeight="1" s="278">
      <c r="B1130" s="279" t="n"/>
      <c r="C1130" s="278" t="inlineStr">
        <is>
          <t>c/ Las Cruzadas 3A, local D</t>
        </is>
      </c>
      <c r="D1130" s="278" t="inlineStr">
        <is>
          <t>Sevilla 41004</t>
        </is>
      </c>
      <c r="E1130" s="278" t="inlineStr">
        <is>
          <t>CIF B91938662</t>
        </is>
      </c>
      <c r="F1130" s="278" t="inlineStr">
        <is>
          <t>aBalados@abalados.es</t>
        </is>
      </c>
      <c r="G1130" s="278" t="inlineStr">
        <is>
          <t>ES Garrovers Energía Solar S.L.U.</t>
        </is>
      </c>
      <c r="H1130" s="278">
        <f>VLOOKUP($G1130,DATOS!$B:$E,2,FALSE)</f>
        <v/>
      </c>
      <c r="I1130" s="278">
        <f>VLOOKUP($G1130,DATOS!$B:$E,3,FALSE)</f>
        <v/>
      </c>
      <c r="J1130" s="278">
        <f>VLOOKUP($G1130,DATOS!$B:$E,4,FALSE)</f>
        <v/>
      </c>
      <c r="K1130" s="278" t="inlineStr">
        <is>
          <t>Refacturación gastos y/o servicios prestados a nombre de la sociedad</t>
        </is>
      </c>
      <c r="L1130" s="280" t="n"/>
      <c r="M1130" s="278" t="inlineStr">
        <is>
          <t>Maniobras MT por trabajos de Endesa</t>
        </is>
      </c>
      <c r="N1130" s="280">
        <f>551.5+722.4</f>
        <v/>
      </c>
      <c r="O1130" s="278" t="inlineStr">
        <is>
          <t>Gastos derivados de Gestión (3,5%)</t>
        </is>
      </c>
      <c r="P1130" s="280">
        <f>N1130*0.035</f>
        <v/>
      </c>
      <c r="R1130" s="280" t="n"/>
      <c r="T1130" s="280" t="n"/>
      <c r="V1130" s="280" t="n"/>
      <c r="X1130" s="280" t="n"/>
      <c r="Z1130" s="280" t="n"/>
      <c r="AA1130" s="280" t="n"/>
      <c r="AB1130" s="281" t="inlineStr">
        <is>
          <t>ES11 0081 7069 2700 0122 7724</t>
        </is>
      </c>
      <c r="AC1130" s="278" t="inlineStr">
        <is>
          <t>pendiente</t>
        </is>
      </c>
      <c r="AD1130" s="280">
        <f>L1130+N1130+P1130+R1130+T1130+V1130+X1130+Z1130</f>
        <v/>
      </c>
      <c r="AE1130" s="280">
        <f>IF((LEFT(K1130,6))="Contab",L1130,0)</f>
        <v/>
      </c>
      <c r="AF1130" s="281">
        <f>VLOOKUP(G1130,CLIENTES!B:E,4,FALSE)</f>
        <v/>
      </c>
      <c r="AG1130" s="280">
        <f>AF1130*AE1130</f>
        <v/>
      </c>
      <c r="AH1130" s="280">
        <f>AD1130*1.21</f>
        <v/>
      </c>
      <c r="AI1130" s="284">
        <f>IF(AE1130&lt;&gt;0,AG1130/AD1130,"N/A")</f>
        <v/>
      </c>
      <c r="AJ1130" s="280">
        <f>IF(AC1130="pendiente",AD1130,0)</f>
        <v/>
      </c>
      <c r="AK1130" s="278">
        <f>VLOOKUP(G1130,CLIENTES!B:D,3,FALSE)</f>
        <v/>
      </c>
    </row>
    <row r="1131" ht="15" customFormat="1" customHeight="1" s="278">
      <c r="B1131" s="279" t="n"/>
      <c r="C1131" s="278" t="inlineStr">
        <is>
          <t>c/ Las Cruzadas 3A, local D</t>
        </is>
      </c>
      <c r="D1131" s="278" t="inlineStr">
        <is>
          <t>Sevilla 41004</t>
        </is>
      </c>
      <c r="E1131" s="278" t="inlineStr">
        <is>
          <t>CIF B91938662</t>
        </is>
      </c>
      <c r="F1131" s="278" t="inlineStr">
        <is>
          <t>aBalados@abalados.es</t>
        </is>
      </c>
      <c r="G1131" s="278" t="inlineStr">
        <is>
          <t>Tiksi PV II S.L.U.</t>
        </is>
      </c>
      <c r="H1131" s="278">
        <f>VLOOKUP($G1131,DATOS!$B:$E,2,FALSE)</f>
        <v/>
      </c>
      <c r="I1131" s="278">
        <f>VLOOKUP($G1131,DATOS!$B:$E,3,FALSE)</f>
        <v/>
      </c>
      <c r="J1131" s="278">
        <f>VLOOKUP($G1131,DATOS!$B:$E,4,FALSE)</f>
        <v/>
      </c>
      <c r="K1131" s="278" t="inlineStr">
        <is>
          <t>Refacturación gastos y/o servicios prestados a nombre de la sociedad</t>
        </is>
      </c>
      <c r="L1131" s="280" t="n"/>
      <c r="M1131" s="278" t="inlineStr">
        <is>
          <t>Conversor de medios - Adecuación normativa REE</t>
        </is>
      </c>
      <c r="N1131" s="280" t="n">
        <v>443.6</v>
      </c>
      <c r="O1131" s="278" t="inlineStr">
        <is>
          <t>Gastos derivados de Gestión (3,5%)</t>
        </is>
      </c>
      <c r="P1131" s="280">
        <f>N1131*0.035</f>
        <v/>
      </c>
      <c r="R1131" s="280" t="n"/>
      <c r="T1131" s="280" t="n"/>
      <c r="V1131" s="280" t="n"/>
      <c r="X1131" s="280" t="n"/>
      <c r="Z1131" s="280" t="n"/>
      <c r="AA1131" s="280" t="n"/>
      <c r="AB1131" s="281" t="inlineStr">
        <is>
          <t>ES11 0081 7069 2700 0122 7724</t>
        </is>
      </c>
      <c r="AC1131" s="278" t="inlineStr">
        <is>
          <t>pendiente</t>
        </is>
      </c>
      <c r="AD1131" s="280">
        <f>L1131+N1131+P1131+R1131+T1131+V1131+X1131+Z1131</f>
        <v/>
      </c>
      <c r="AE1131" s="280">
        <f>IF((LEFT(K1131,6))="Contab",L1131,0)</f>
        <v/>
      </c>
      <c r="AF1131" s="281">
        <f>VLOOKUP(G1131,CLIENTES!B:E,4,FALSE)</f>
        <v/>
      </c>
      <c r="AG1131" s="280">
        <f>AF1131*AE1131</f>
        <v/>
      </c>
      <c r="AH1131" s="280">
        <f>AD1131*1.21</f>
        <v/>
      </c>
      <c r="AI1131" s="284">
        <f>IF(AE1131&lt;&gt;0,AG1131/AD1131,"N/A")</f>
        <v/>
      </c>
      <c r="AJ1131" s="280">
        <f>IF(AC1131="pendiente",AD1131,0)</f>
        <v/>
      </c>
      <c r="AK1131" s="278">
        <f>VLOOKUP(G1131,CLIENTES!B:D,3,FALSE)</f>
        <v/>
      </c>
    </row>
    <row r="1132" ht="15" customFormat="1" customHeight="1" s="278">
      <c r="B1132" s="279" t="n"/>
      <c r="C1132" s="278" t="inlineStr">
        <is>
          <t>c/ Las Cruzadas 3A, local D</t>
        </is>
      </c>
      <c r="D1132" s="278" t="inlineStr">
        <is>
          <t>Sevilla 41004</t>
        </is>
      </c>
      <c r="E1132" s="278" t="inlineStr">
        <is>
          <t>CIF B91938662</t>
        </is>
      </c>
      <c r="F1132" s="278" t="inlineStr">
        <is>
          <t>aBalados@abalados.es</t>
        </is>
      </c>
      <c r="G1132" s="278" t="inlineStr">
        <is>
          <t>FP LUX REIO PV ZARAGOZA SL.</t>
        </is>
      </c>
      <c r="H1132" s="278">
        <f>VLOOKUP($G1132,DATOS!$B:$E,2,FALSE)</f>
        <v/>
      </c>
      <c r="I1132" s="278">
        <f>VLOOKUP($G1132,DATOS!$B:$E,3,FALSE)</f>
        <v/>
      </c>
      <c r="J1132" s="278">
        <f>VLOOKUP($G1132,DATOS!$B:$E,4,FALSE)</f>
        <v/>
      </c>
      <c r="K1132" s="278" t="inlineStr">
        <is>
          <t>Refacturación gastos y/o servicios prestados a nombre de la sociedad</t>
        </is>
      </c>
      <c r="L1132" s="280" t="n"/>
      <c r="M1132" s="278" t="inlineStr">
        <is>
          <t>Configuración del relé para adaptación a normativa (NTS)</t>
        </is>
      </c>
      <c r="N1132" s="280" t="n">
        <v>1137.5</v>
      </c>
      <c r="O1132" s="278" t="inlineStr">
        <is>
          <t>Reparación extraordinaria de trackers (según oferta 27/09/2023)</t>
        </is>
      </c>
      <c r="P1132" s="280" t="n">
        <v>7594</v>
      </c>
      <c r="Q1132" s="278" t="inlineStr">
        <is>
          <t>Adquisición contenedor marítimo</t>
        </is>
      </c>
      <c r="R1132" s="280" t="n">
        <v>1725</v>
      </c>
      <c r="S1132" s="278" t="inlineStr">
        <is>
          <t>Subsanación daños por inundación</t>
        </is>
      </c>
      <c r="T1132" s="280" t="n">
        <v>3289.15</v>
      </c>
      <c r="V1132" s="280" t="n"/>
      <c r="X1132" s="280" t="n"/>
      <c r="Z1132" s="280" t="n"/>
      <c r="AA1132" s="280" t="n"/>
      <c r="AB1132" s="281" t="inlineStr">
        <is>
          <t>ES11 0081 7069 2700 0122 7724</t>
        </is>
      </c>
      <c r="AC1132" s="278" t="inlineStr">
        <is>
          <t>pendiente</t>
        </is>
      </c>
      <c r="AD1132" s="280">
        <f>L1132+N1132+P1132+R1132+T1132+V1132+X1132+Z1132</f>
        <v/>
      </c>
      <c r="AE1132" s="280">
        <f>IF((LEFT(K1132,6))="Contab",L1132,0)</f>
        <v/>
      </c>
      <c r="AF1132" s="281">
        <f>VLOOKUP(G1132,CLIENTES!B:E,4,FALSE)</f>
        <v/>
      </c>
      <c r="AG1132" s="280">
        <f>AF1132*AE1132</f>
        <v/>
      </c>
      <c r="AH1132" s="280">
        <f>AD1132*1.21</f>
        <v/>
      </c>
      <c r="AI1132" s="284">
        <f>IF(AE1132&lt;&gt;0,AG1132/AD1132,"N/A")</f>
        <v/>
      </c>
      <c r="AJ1132" s="280">
        <f>IF(AC1132="pendiente",AD1132,0)</f>
        <v/>
      </c>
      <c r="AK1132" s="278">
        <f>VLOOKUP(G1132,CLIENTES!B:D,3,FALSE)</f>
        <v/>
      </c>
    </row>
    <row r="1133" ht="15" customFormat="1" customHeight="1" s="189">
      <c r="B1133" s="188" t="n"/>
      <c r="C1133" s="189" t="inlineStr">
        <is>
          <t>c/ Las Cruzadas 3A, local D</t>
        </is>
      </c>
      <c r="D1133" s="189" t="inlineStr">
        <is>
          <t>Sevilla 41004</t>
        </is>
      </c>
      <c r="E1133" s="189" t="inlineStr">
        <is>
          <t>CIF B91938662</t>
        </is>
      </c>
      <c r="F1133" s="189" t="inlineStr">
        <is>
          <t>aBalados@abalados.es</t>
        </is>
      </c>
      <c r="G1133" s="189" t="inlineStr">
        <is>
          <t>ICE Sequero, S.L.</t>
        </is>
      </c>
      <c r="H1133" s="189">
        <f>VLOOKUP($G1133,DATOS!$B:$E,2,FALSE)</f>
        <v/>
      </c>
      <c r="I1133" s="189">
        <f>VLOOKUP($G1133,DATOS!$B:$E,3,FALSE)</f>
        <v/>
      </c>
      <c r="J1133" s="189">
        <f>VLOOKUP($G1133,DATOS!$B:$E,4,FALSE)</f>
        <v/>
      </c>
      <c r="K1133" s="189" t="inlineStr">
        <is>
          <t>Contrato de Asset Management - Subestación Colectora Sequero</t>
        </is>
      </c>
      <c r="L1133" s="190" t="n"/>
      <c r="N1133" s="190" t="n"/>
      <c r="O1133" s="189" t="inlineStr">
        <is>
          <t>Fee Trimestral - Inicio contrato (13 Septiembre 2023) / 31 Diciembre 2023</t>
        </is>
      </c>
      <c r="P1133" s="190">
        <f>1350*(18/30) + 3*1350</f>
        <v/>
      </c>
      <c r="R1133" s="190" t="n"/>
      <c r="T1133" s="190" t="n"/>
      <c r="V1133" s="190" t="n"/>
      <c r="X1133" s="190" t="n"/>
      <c r="Z1133" s="190" t="n"/>
      <c r="AA1133" s="190" t="n"/>
      <c r="AB1133" s="191" t="inlineStr">
        <is>
          <t>ES11 0081 7069 2700 0122 7724</t>
        </is>
      </c>
      <c r="AC1133" s="189" t="inlineStr">
        <is>
          <t>pendiente</t>
        </is>
      </c>
      <c r="AD1133" s="190">
        <f>L1133+N1133+P1133+R1133+T1133+V1133+X1133+Z1133</f>
        <v/>
      </c>
      <c r="AE1133" s="190">
        <f>IF((LEFT(K1133,6))="Contab",L1133,0)</f>
        <v/>
      </c>
      <c r="AF1133" s="191">
        <f>VLOOKUP(G1133,CLIENTES!B:E,4,FALSE)</f>
        <v/>
      </c>
      <c r="AG1133" s="190">
        <f>AF1133*AE1133</f>
        <v/>
      </c>
      <c r="AH1133" s="190">
        <f>AD1133*1.21</f>
        <v/>
      </c>
      <c r="AI1133" s="289">
        <f>IF(AE1133&lt;&gt;0,AG1133/AD1133,"N/A")</f>
        <v/>
      </c>
      <c r="AJ1133" s="190">
        <f>IF(AC1133="pendiente",AD1133,0)</f>
        <v/>
      </c>
      <c r="AK1133" s="189">
        <f>VLOOKUP(G1133,CLIENTES!B:D,3,FALSE)</f>
        <v/>
      </c>
    </row>
    <row r="1134" ht="15" customFormat="1" customHeight="1" s="278">
      <c r="B1134" s="279" t="n"/>
      <c r="C1134" s="278" t="inlineStr">
        <is>
          <t>c/ Las Cruzadas 3A, local D</t>
        </is>
      </c>
      <c r="D1134" s="278" t="inlineStr">
        <is>
          <t>Sevilla 41004</t>
        </is>
      </c>
      <c r="E1134" s="278" t="inlineStr">
        <is>
          <t>CIF B91938662</t>
        </is>
      </c>
      <c r="F1134" s="278" t="inlineStr">
        <is>
          <t>aBalados@abalados.es</t>
        </is>
      </c>
      <c r="G1134" s="278" t="inlineStr">
        <is>
          <t>Asociación Molinos de Guadaíra</t>
        </is>
      </c>
      <c r="H1134" s="278">
        <f>VLOOKUP($G1134,DATOS!$B:$E,2,FALSE)</f>
        <v/>
      </c>
      <c r="I1134" s="278">
        <f>VLOOKUP($G1134,DATOS!$B:$E,3,FALSE)</f>
        <v/>
      </c>
      <c r="J1134" s="278">
        <f>VLOOKUP($G1134,DATOS!$B:$E,4,FALSE)</f>
        <v/>
      </c>
      <c r="K1134" s="278" t="inlineStr">
        <is>
          <t>Servicios Contabilidad 4T2023</t>
        </is>
      </c>
      <c r="L1134" s="280">
        <f>200*2</f>
        <v/>
      </c>
      <c r="M1134" s="278" t="inlineStr">
        <is>
          <t>Inicio contrato (01 Noviembre 2023) / 31 Diciembre 2023</t>
        </is>
      </c>
      <c r="N1134" s="280" t="n"/>
      <c r="P1134" s="280" t="n"/>
      <c r="R1134" s="280" t="n"/>
      <c r="T1134" s="280" t="n"/>
      <c r="V1134" s="280" t="n"/>
      <c r="X1134" s="280" t="n"/>
      <c r="Z1134" s="280" t="n"/>
      <c r="AA1134" s="280" t="n"/>
      <c r="AB1134" s="281" t="inlineStr">
        <is>
          <t>ES11 0081 7069 2700 0122 7724</t>
        </is>
      </c>
      <c r="AC1134" s="278" t="inlineStr">
        <is>
          <t>pendiente</t>
        </is>
      </c>
      <c r="AD1134" s="280">
        <f>L1134+N1134+P1134+R1134+T1134+V1134+X1134+Z1134</f>
        <v/>
      </c>
      <c r="AE1134" s="280">
        <f>IF((LEFT(K1134,6))="Contab",L1134,0)</f>
        <v/>
      </c>
      <c r="AF1134" s="281">
        <f>VLOOKUP(G1134,CLIENTES!B:E,4,FALSE)</f>
        <v/>
      </c>
      <c r="AG1134" s="280">
        <f>AF1134*AE1134</f>
        <v/>
      </c>
      <c r="AH1134" s="280">
        <f>AD1134*1.21</f>
        <v/>
      </c>
      <c r="AI1134" s="284">
        <f>IF(AE1134&lt;&gt;0,AG1134/AD1134,"N/A")</f>
        <v/>
      </c>
      <c r="AJ1134" s="280">
        <f>IF(AC1134="pendiente",AD1134,0)</f>
        <v/>
      </c>
      <c r="AK1134" s="278">
        <f>VLOOKUP(G1134,CLIENTES!B:D,3,FALSE)</f>
        <v/>
      </c>
    </row>
    <row r="1135" ht="15" customFormat="1" customHeight="1" s="278">
      <c r="B1135" s="279" t="n"/>
      <c r="C1135" s="278" t="inlineStr">
        <is>
          <t>c/ Las Cruzadas 3A, local D</t>
        </is>
      </c>
      <c r="D1135" s="278" t="inlineStr">
        <is>
          <t>Sevilla 41004</t>
        </is>
      </c>
      <c r="E1135" s="278" t="inlineStr">
        <is>
          <t>CIF B91938662</t>
        </is>
      </c>
      <c r="F1135" s="278" t="inlineStr">
        <is>
          <t>aBalados@abalados.es</t>
        </is>
      </c>
      <c r="G1135" s="192" t="inlineStr">
        <is>
          <t>China Triumph International Engineering Co., LTD EP EN SPAIN</t>
        </is>
      </c>
      <c r="H1135" s="192">
        <f>VLOOKUP($G1135,DATOS!$B:$E,2,FALSE)</f>
        <v/>
      </c>
      <c r="I1135" s="192">
        <f>VLOOKUP($G1135,DATOS!$B:$E,3,FALSE)</f>
        <v/>
      </c>
      <c r="J1135" s="192">
        <f>VLOOKUP($G1135,DATOS!$B:$E,4,FALSE)</f>
        <v/>
      </c>
      <c r="K1135" s="192" t="inlineStr">
        <is>
          <t>O&amp;M Supervision and Management  -  DoA No.2305_04</t>
        </is>
      </c>
      <c r="L1135" s="200" t="n"/>
      <c r="M1135" s="192" t="inlineStr">
        <is>
          <t>Puerto Real 1 PV - Cádiz | Spain</t>
        </is>
      </c>
      <c r="N1135" s="200" t="n"/>
      <c r="O1135" s="192" t="n"/>
      <c r="P1135" s="200" t="n"/>
      <c r="Q1135" s="192" t="inlineStr">
        <is>
          <t>Advance the second milestone payment</t>
        </is>
      </c>
      <c r="R1135" s="200" t="n">
        <v>6500</v>
      </c>
      <c r="S1135" s="192" t="n"/>
      <c r="T1135" s="200" t="n"/>
      <c r="V1135" s="280" t="n"/>
      <c r="X1135" s="280" t="n"/>
      <c r="Z1135" s="280" t="n"/>
      <c r="AA1135" s="280" t="n"/>
      <c r="AB1135" s="281" t="inlineStr">
        <is>
          <t>ES11 0081 7069 2700 0122 7724</t>
        </is>
      </c>
      <c r="AC1135" s="278" t="inlineStr">
        <is>
          <t>pendiente</t>
        </is>
      </c>
      <c r="AD1135" s="280">
        <f>L1135+N1135+P1135+R1135+T1135+V1135+X1135+Z1135</f>
        <v/>
      </c>
      <c r="AE1135" s="280">
        <f>IF((LEFT(K1135,6))="Contab",L1135,0)</f>
        <v/>
      </c>
      <c r="AF1135" s="281">
        <f>VLOOKUP(G1135,CLIENTES!B:E,4,FALSE)</f>
        <v/>
      </c>
      <c r="AG1135" s="280">
        <f>AF1135*AE1135</f>
        <v/>
      </c>
      <c r="AH1135" s="280">
        <f>AD1135*1.21</f>
        <v/>
      </c>
      <c r="AI1135" s="284">
        <f>IF(AE1135&lt;&gt;0,AG1135/AD1135,"N/A")</f>
        <v/>
      </c>
      <c r="AJ1135" s="280">
        <f>IF(AC1135="pendiente",AD1135,0)</f>
        <v/>
      </c>
      <c r="AK1135" s="278">
        <f>VLOOKUP(G1135,CLIENTES!B:D,3,FALSE)</f>
        <v/>
      </c>
    </row>
    <row r="1136" ht="15" customFormat="1" customHeight="1" s="278">
      <c r="B1136" s="279" t="n"/>
      <c r="C1136" s="278" t="inlineStr">
        <is>
          <t>c/ Las Cruzadas 3A, local D</t>
        </is>
      </c>
      <c r="D1136" s="278" t="inlineStr">
        <is>
          <t>Sevilla 41004</t>
        </is>
      </c>
      <c r="E1136" s="278" t="inlineStr">
        <is>
          <t>CIF B91938662</t>
        </is>
      </c>
      <c r="F1136" s="278" t="inlineStr">
        <is>
          <t>aBalados@abalados.es</t>
        </is>
      </c>
      <c r="G1136" s="278" t="inlineStr">
        <is>
          <t>Locaba Solar S.L.U.</t>
        </is>
      </c>
      <c r="H1136" s="278">
        <f>VLOOKUP($G1136,[1]Datos!$B:$E,2,FALSE)</f>
        <v/>
      </c>
      <c r="I1136" s="278">
        <f>VLOOKUP($G1136,[1]Datos!$B:$E,3,FALSE)</f>
        <v/>
      </c>
      <c r="J1136" s="278">
        <f>VLOOKUP($G1136,[1]Datos!$B:$E,4,FALSE)</f>
        <v/>
      </c>
      <c r="K1136" s="278" t="inlineStr">
        <is>
          <t>O&amp;M - Correctivo / Refacturación y/o servicios prestados</t>
        </is>
      </c>
      <c r="L1136" s="280" t="n"/>
      <c r="M1136" s="278" t="inlineStr">
        <is>
          <t>Gastos derivados del contrato (3.5%)</t>
        </is>
      </c>
      <c r="N1136" s="280" t="n"/>
      <c r="O1136" s="278" t="inlineStr">
        <is>
          <t>Pendiente 2T'2022</t>
        </is>
      </c>
      <c r="P1136" s="280" t="n">
        <v>177.8</v>
      </c>
      <c r="Q1136" s="278" t="inlineStr">
        <is>
          <t>Pendiente 2T'2023</t>
        </is>
      </c>
      <c r="R1136" s="280" t="n">
        <v>220.84651575</v>
      </c>
      <c r="T1136" s="280" t="n"/>
      <c r="V1136" s="280" t="n"/>
      <c r="X1136" s="280" t="n"/>
      <c r="Z1136" s="280" t="n"/>
      <c r="AA1136" s="280" t="n"/>
      <c r="AB1136" s="281" t="inlineStr">
        <is>
          <t>ES11 0081 7069 2700 0122 7724</t>
        </is>
      </c>
      <c r="AC1136" s="278" t="inlineStr">
        <is>
          <t>pendiente</t>
        </is>
      </c>
      <c r="AD1136" s="280">
        <f>L1136+N1136+P1136+R1136+T1136+V1136+X1136+Z1136</f>
        <v/>
      </c>
      <c r="AE1136" s="280">
        <f>IF((LEFT(K1136,6))="Contab",L1136,0)</f>
        <v/>
      </c>
      <c r="AF1136" s="281">
        <f>VLOOKUP(G1136,[1]Clientes!A:D,4,FALSE)</f>
        <v/>
      </c>
      <c r="AG1136" s="280">
        <f>AF1136*AE1136</f>
        <v/>
      </c>
      <c r="AH1136" s="280">
        <f>AD1136*1.21</f>
        <v/>
      </c>
      <c r="AI1136" s="282">
        <f>IF(AE1136&lt;&gt;0,AG1136/AD1136,"N/A")</f>
        <v/>
      </c>
      <c r="AJ1136" s="280">
        <f>IF(AC1136="pendiente",AD1136,0)</f>
        <v/>
      </c>
      <c r="AK1136" s="278">
        <f>VLOOKUP(G1136,[1]Clientes!A:C,3,FALSE)</f>
        <v/>
      </c>
    </row>
    <row r="1137" ht="15" customFormat="1" customHeight="1" s="278">
      <c r="B1137" s="279" t="n"/>
      <c r="C1137" s="278" t="inlineStr">
        <is>
          <t>c/ Las Cruzadas 3A, local D</t>
        </is>
      </c>
      <c r="D1137" s="278" t="inlineStr">
        <is>
          <t>Sevilla 41004</t>
        </is>
      </c>
      <c r="E1137" s="278" t="inlineStr">
        <is>
          <t>CIF B91938662</t>
        </is>
      </c>
      <c r="F1137" s="278" t="inlineStr">
        <is>
          <t>aBalados@abalados.es</t>
        </is>
      </c>
      <c r="G1137" s="278" t="inlineStr">
        <is>
          <t>Agrupación Solar el Algarrobo I, S.L.U.</t>
        </is>
      </c>
      <c r="H1137" s="278">
        <f>VLOOKUP($G1137,[1]Datos!$B:$E,2,FALSE)</f>
        <v/>
      </c>
      <c r="I1137" s="278">
        <f>VLOOKUP($G1137,[1]Datos!$B:$E,3,FALSE)</f>
        <v/>
      </c>
      <c r="J1137" s="278">
        <f>VLOOKUP($G1137,[1]Datos!$B:$E,4,FALSE)</f>
        <v/>
      </c>
      <c r="K1137" s="278" t="inlineStr">
        <is>
          <t>O&amp;M - Correctivo / Refacturación y/o servicios prestados</t>
        </is>
      </c>
      <c r="L1137" s="280" t="n"/>
      <c r="M1137" s="278" t="inlineStr">
        <is>
          <t>Gastos derivados del contrato (3.5%)</t>
        </is>
      </c>
      <c r="N1137" s="280" t="n"/>
      <c r="O1137" s="278" t="inlineStr">
        <is>
          <t>Pendiente 2T'2022</t>
        </is>
      </c>
      <c r="P1137" s="280" t="n">
        <v>2.65125</v>
      </c>
      <c r="Q1137" s="278" t="inlineStr">
        <is>
          <t>Pendiente 2T'2023</t>
        </is>
      </c>
      <c r="R1137" s="280" t="n">
        <v>12.95818241666667</v>
      </c>
      <c r="T1137" s="280" t="n"/>
      <c r="V1137" s="280" t="n"/>
      <c r="X1137" s="280" t="n"/>
      <c r="Z1137" s="280" t="n"/>
      <c r="AA1137" s="280" t="n"/>
      <c r="AB1137" s="281" t="inlineStr">
        <is>
          <t>ES11 0081 7069 2700 0122 7724</t>
        </is>
      </c>
      <c r="AC1137" s="278" t="inlineStr">
        <is>
          <t>pendiente</t>
        </is>
      </c>
      <c r="AD1137" s="280">
        <f>L1137+N1137+P1137+R1137+T1137+V1137+X1137+Z1137</f>
        <v/>
      </c>
      <c r="AE1137" s="280">
        <f>IF((LEFT(K1137,6))="Contab",L1137,0)</f>
        <v/>
      </c>
      <c r="AF1137" s="281">
        <f>VLOOKUP(G1137,[1]Clientes!A:D,4,FALSE)</f>
        <v/>
      </c>
      <c r="AG1137" s="280">
        <f>AF1137*AE1137</f>
        <v/>
      </c>
      <c r="AH1137" s="280">
        <f>AD1137*1.21</f>
        <v/>
      </c>
      <c r="AI1137" s="282">
        <f>IF(AE1137&lt;&gt;0,AG1137/AD1137,"N/A")</f>
        <v/>
      </c>
      <c r="AJ1137" s="280">
        <f>IF(AC1137="pendiente",AD1137,0)</f>
        <v/>
      </c>
      <c r="AK1137" s="278">
        <f>VLOOKUP(G1137,[1]Clientes!A:C,3,FALSE)</f>
        <v/>
      </c>
    </row>
    <row r="1138" ht="15" customFormat="1" customHeight="1" s="278">
      <c r="B1138" s="279" t="n"/>
      <c r="C1138" s="278" t="inlineStr">
        <is>
          <t>c/ Las Cruzadas 3A, local D</t>
        </is>
      </c>
      <c r="D1138" s="278" t="inlineStr">
        <is>
          <t>Sevilla 41004</t>
        </is>
      </c>
      <c r="E1138" s="278" t="inlineStr">
        <is>
          <t>CIF B91938662</t>
        </is>
      </c>
      <c r="F1138" s="278" t="inlineStr">
        <is>
          <t>aBalados@abalados.es</t>
        </is>
      </c>
      <c r="G1138" s="278" t="inlineStr">
        <is>
          <t>Agrupación Solar el Algarrobo II, S.L.U.</t>
        </is>
      </c>
      <c r="H1138" s="278">
        <f>VLOOKUP($G1138,[1]Datos!$B:$E,2,FALSE)</f>
        <v/>
      </c>
      <c r="I1138" s="278">
        <f>VLOOKUP($G1138,[1]Datos!$B:$E,3,FALSE)</f>
        <v/>
      </c>
      <c r="J1138" s="278">
        <f>VLOOKUP($G1138,[1]Datos!$B:$E,4,FALSE)</f>
        <v/>
      </c>
      <c r="K1138" s="278" t="inlineStr">
        <is>
          <t>O&amp;M - Correctivo / Refacturación y/o servicios prestados</t>
        </is>
      </c>
      <c r="L1138" s="280" t="n"/>
      <c r="M1138" s="278" t="inlineStr">
        <is>
          <t>Gastos derivados del contrato (3.5%)</t>
        </is>
      </c>
      <c r="N1138" s="280" t="n"/>
      <c r="O1138" s="278" t="inlineStr">
        <is>
          <t>Pendiente 2T'2022</t>
        </is>
      </c>
      <c r="P1138" s="280" t="n">
        <v>2.65125</v>
      </c>
      <c r="Q1138" s="278" t="inlineStr">
        <is>
          <t>Pendiente 2T'2023</t>
        </is>
      </c>
      <c r="R1138" s="280" t="n">
        <v>12.95818241666667</v>
      </c>
      <c r="T1138" s="280" t="n"/>
      <c r="V1138" s="280" t="n"/>
      <c r="X1138" s="280" t="n"/>
      <c r="Z1138" s="280" t="n"/>
      <c r="AA1138" s="280" t="n"/>
      <c r="AB1138" s="281" t="inlineStr">
        <is>
          <t>ES11 0081 7069 2700 0122 7724</t>
        </is>
      </c>
      <c r="AC1138" s="278" t="inlineStr">
        <is>
          <t>pendiente</t>
        </is>
      </c>
      <c r="AD1138" s="280">
        <f>L1138+N1138+P1138+R1138+T1138+V1138+X1138+Z1138</f>
        <v/>
      </c>
      <c r="AE1138" s="280">
        <f>IF((LEFT(K1138,6))="Contab",L1138,0)</f>
        <v/>
      </c>
      <c r="AF1138" s="281">
        <f>VLOOKUP(G1138,[1]Clientes!A:D,4,FALSE)</f>
        <v/>
      </c>
      <c r="AG1138" s="280">
        <f>AF1138*AE1138</f>
        <v/>
      </c>
      <c r="AH1138" s="280">
        <f>AD1138*1.21</f>
        <v/>
      </c>
      <c r="AI1138" s="282">
        <f>IF(AE1138&lt;&gt;0,AG1138/AD1138,"N/A")</f>
        <v/>
      </c>
      <c r="AJ1138" s="280">
        <f>IF(AC1138="pendiente",AD1138,0)</f>
        <v/>
      </c>
      <c r="AK1138" s="278">
        <f>VLOOKUP(G1138,[1]Clientes!A:C,3,FALSE)</f>
        <v/>
      </c>
    </row>
    <row r="1139" ht="15" customFormat="1" customHeight="1" s="278">
      <c r="B1139" s="279" t="n"/>
      <c r="C1139" s="278" t="inlineStr">
        <is>
          <t>c/ Las Cruzadas 3A, local D</t>
        </is>
      </c>
      <c r="D1139" s="278" t="inlineStr">
        <is>
          <t>Sevilla 41004</t>
        </is>
      </c>
      <c r="E1139" s="278" t="inlineStr">
        <is>
          <t>CIF B91938662</t>
        </is>
      </c>
      <c r="F1139" s="278" t="inlineStr">
        <is>
          <t>aBalados@abalados.es</t>
        </is>
      </c>
      <c r="G1139" s="278" t="inlineStr">
        <is>
          <t>Agrupación Solar el Algarrobo III, S.L.U.</t>
        </is>
      </c>
      <c r="H1139" s="278">
        <f>VLOOKUP($G1139,[1]Datos!$B:$E,2,FALSE)</f>
        <v/>
      </c>
      <c r="I1139" s="278">
        <f>VLOOKUP($G1139,[1]Datos!$B:$E,3,FALSE)</f>
        <v/>
      </c>
      <c r="J1139" s="278">
        <f>VLOOKUP($G1139,[1]Datos!$B:$E,4,FALSE)</f>
        <v/>
      </c>
      <c r="K1139" s="278" t="inlineStr">
        <is>
          <t>O&amp;M - Correctivo / Refacturación y/o servicios prestados</t>
        </is>
      </c>
      <c r="L1139" s="280" t="n"/>
      <c r="M1139" s="278" t="inlineStr">
        <is>
          <t>Gastos derivados del contrato (3.5%)</t>
        </is>
      </c>
      <c r="N1139" s="280" t="n"/>
      <c r="O1139" s="278" t="inlineStr">
        <is>
          <t>Pendiente 2T'2022</t>
        </is>
      </c>
      <c r="P1139" s="280" t="n">
        <v>54.89750000000001</v>
      </c>
      <c r="Q1139" s="278" t="inlineStr">
        <is>
          <t>Pendiente 2T'2023</t>
        </is>
      </c>
      <c r="R1139" s="280" t="n">
        <v>12.95818241666667</v>
      </c>
      <c r="T1139" s="280" t="n"/>
      <c r="V1139" s="280" t="n"/>
      <c r="X1139" s="280" t="n"/>
      <c r="Z1139" s="280" t="n"/>
      <c r="AA1139" s="280" t="n"/>
      <c r="AB1139" s="281" t="inlineStr">
        <is>
          <t>ES11 0081 7069 2700 0122 7724</t>
        </is>
      </c>
      <c r="AC1139" s="278" t="inlineStr">
        <is>
          <t>pendiente</t>
        </is>
      </c>
      <c r="AD1139" s="280">
        <f>L1139+N1139+P1139+R1139+T1139+V1139+X1139+Z1139</f>
        <v/>
      </c>
      <c r="AE1139" s="280">
        <f>IF((LEFT(K1139,6))="Contab",L1139,0)</f>
        <v/>
      </c>
      <c r="AF1139" s="281">
        <f>VLOOKUP(G1139,[1]Clientes!A:D,4,FALSE)</f>
        <v/>
      </c>
      <c r="AG1139" s="280">
        <f>AF1139*AE1139</f>
        <v/>
      </c>
      <c r="AH1139" s="280">
        <f>AD1139*1.21</f>
        <v/>
      </c>
      <c r="AI1139" s="282">
        <f>IF(AE1139&lt;&gt;0,AG1139/AD1139,"N/A")</f>
        <v/>
      </c>
      <c r="AJ1139" s="280">
        <f>IF(AC1139="pendiente",AD1139,0)</f>
        <v/>
      </c>
      <c r="AK1139" s="278">
        <f>VLOOKUP(G1139,[1]Clientes!A:C,3,FALSE)</f>
        <v/>
      </c>
    </row>
    <row r="1140" ht="15" customFormat="1" customHeight="1" s="278">
      <c r="B1140" s="279" t="n"/>
      <c r="C1140" s="278" t="inlineStr">
        <is>
          <t>c/ Las Cruzadas 3A, local D</t>
        </is>
      </c>
      <c r="D1140" s="278" t="inlineStr">
        <is>
          <t>Sevilla 41004</t>
        </is>
      </c>
      <c r="E1140" s="278" t="inlineStr">
        <is>
          <t>CIF B91938662</t>
        </is>
      </c>
      <c r="F1140" s="278" t="inlineStr">
        <is>
          <t>aBalados@abalados.es</t>
        </is>
      </c>
      <c r="G1140" s="278" t="inlineStr">
        <is>
          <t>WOC Fotovoltaica España Proyecto Sollana S.L.U.</t>
        </is>
      </c>
      <c r="H1140" s="278">
        <f>VLOOKUP($G1140,[1]Datos!$B:$E,2,FALSE)</f>
        <v/>
      </c>
      <c r="I1140" s="278">
        <f>VLOOKUP($G1140,[1]Datos!$B:$E,3,FALSE)</f>
        <v/>
      </c>
      <c r="J1140" s="278">
        <f>VLOOKUP($G1140,[1]Datos!$B:$E,4,FALSE)</f>
        <v/>
      </c>
      <c r="K1140" s="278" t="inlineStr">
        <is>
          <t>O&amp;M - Correctivo / Refacturación y/o servicios prestados</t>
        </is>
      </c>
      <c r="L1140" s="280" t="n"/>
      <c r="M1140" s="278" t="inlineStr">
        <is>
          <t>Gastos derivados del contrato (3.5%)</t>
        </is>
      </c>
      <c r="N1140" s="280" t="n"/>
      <c r="O1140" s="278" t="inlineStr">
        <is>
          <t>Pendiente 2T'2022</t>
        </is>
      </c>
      <c r="P1140" s="280" t="n">
        <v>42.00000000000001</v>
      </c>
      <c r="R1140" s="280" t="n"/>
      <c r="T1140" s="280" t="n"/>
      <c r="V1140" s="280" t="n"/>
      <c r="X1140" s="280" t="n"/>
      <c r="Z1140" s="280" t="n"/>
      <c r="AA1140" s="280" t="n"/>
      <c r="AB1140" s="281" t="inlineStr">
        <is>
          <t>ES11 0081 7069 2700 0122 7724</t>
        </is>
      </c>
      <c r="AC1140" s="278" t="inlineStr">
        <is>
          <t>pendiente</t>
        </is>
      </c>
      <c r="AD1140" s="280">
        <f>L1140+N1140+P1140+R1140+T1140+V1140+X1140+Z1140</f>
        <v/>
      </c>
      <c r="AE1140" s="280">
        <f>IF((LEFT(K1140,6))="Contab",L1140,0)</f>
        <v/>
      </c>
      <c r="AF1140" s="281">
        <f>VLOOKUP(G1140,[1]Clientes!A:D,4,FALSE)</f>
        <v/>
      </c>
      <c r="AG1140" s="280">
        <f>AF1140*AE1140</f>
        <v/>
      </c>
      <c r="AH1140" s="280">
        <f>AD1140*1.21</f>
        <v/>
      </c>
      <c r="AI1140" s="282">
        <f>IF(AE1140&lt;&gt;0,AG1140/AD1140,"N/A")</f>
        <v/>
      </c>
      <c r="AJ1140" s="280">
        <f>IF(AC1140="pendiente",AD1140,0)</f>
        <v/>
      </c>
      <c r="AK1140" s="278">
        <f>VLOOKUP(G1140,[1]Clientes!A:C,3,FALSE)</f>
        <v/>
      </c>
    </row>
    <row r="1141" ht="15" customFormat="1" customHeight="1" s="278">
      <c r="B1141" s="279" t="n"/>
      <c r="C1141" s="278" t="inlineStr">
        <is>
          <t>c/ Las Cruzadas 3A, local D</t>
        </is>
      </c>
      <c r="D1141" s="278" t="inlineStr">
        <is>
          <t>Sevilla 41004</t>
        </is>
      </c>
      <c r="E1141" s="278" t="inlineStr">
        <is>
          <t>CIF B91938662</t>
        </is>
      </c>
      <c r="F1141" s="278" t="inlineStr">
        <is>
          <t>aBalados@abalados.es</t>
        </is>
      </c>
      <c r="G1141" s="278" t="inlineStr">
        <is>
          <t>Lo Illán  Parque Solar S.L.U.</t>
        </is>
      </c>
      <c r="H1141" s="278">
        <f>VLOOKUP($G1141,[1]Datos!$B:$E,2,FALSE)</f>
        <v/>
      </c>
      <c r="I1141" s="278">
        <f>VLOOKUP($G1141,[1]Datos!$B:$E,3,FALSE)</f>
        <v/>
      </c>
      <c r="J1141" s="278">
        <f>VLOOKUP($G1141,[1]Datos!$B:$E,4,FALSE)</f>
        <v/>
      </c>
      <c r="K1141" s="278" t="inlineStr">
        <is>
          <t>O&amp;M - Correctivo / Refacturación y/o servicios prestados</t>
        </is>
      </c>
      <c r="L1141" s="280" t="n"/>
      <c r="M1141" s="278" t="inlineStr">
        <is>
          <t>Gastos derivados del contrato (3.5%)</t>
        </is>
      </c>
      <c r="N1141" s="280" t="n"/>
      <c r="O1141" s="278" t="inlineStr">
        <is>
          <t>Pendiente 2T'2022</t>
        </is>
      </c>
      <c r="P1141" s="280" t="n">
        <v>60.53250000000001</v>
      </c>
      <c r="R1141" s="280" t="n"/>
      <c r="T1141" s="280" t="n"/>
      <c r="V1141" s="280" t="n"/>
      <c r="X1141" s="280" t="n"/>
      <c r="Z1141" s="280" t="n"/>
      <c r="AA1141" s="280" t="n"/>
      <c r="AB1141" s="281" t="inlineStr">
        <is>
          <t>ES11 0081 7069 2700 0122 7724</t>
        </is>
      </c>
      <c r="AC1141" s="278" t="inlineStr">
        <is>
          <t>pendiente</t>
        </is>
      </c>
      <c r="AD1141" s="280">
        <f>L1141+N1141+P1141+R1141+T1141+V1141+X1141+Z1141</f>
        <v/>
      </c>
      <c r="AE1141" s="280">
        <f>IF((LEFT(K1141,6))="Contab",L1141,0)</f>
        <v/>
      </c>
      <c r="AF1141" s="281">
        <f>VLOOKUP(G1141,[1]Clientes!A:D,4,FALSE)</f>
        <v/>
      </c>
      <c r="AG1141" s="280">
        <f>AF1141*AE1141</f>
        <v/>
      </c>
      <c r="AH1141" s="280">
        <f>AD1141*1.21</f>
        <v/>
      </c>
      <c r="AI1141" s="282">
        <f>IF(AE1141&lt;&gt;0,AG1141/AD1141,"N/A")</f>
        <v/>
      </c>
      <c r="AJ1141" s="280">
        <f>IF(AC1141="pendiente",AD1141,0)</f>
        <v/>
      </c>
      <c r="AK1141" s="278">
        <f>VLOOKUP(G1141,[1]Clientes!A:C,3,FALSE)</f>
        <v/>
      </c>
    </row>
    <row r="1142" ht="15" customFormat="1" customHeight="1" s="278">
      <c r="B1142" s="279" t="n"/>
      <c r="C1142" s="278" t="inlineStr">
        <is>
          <t>c/ Las Cruzadas 3A, local D</t>
        </is>
      </c>
      <c r="D1142" s="278" t="inlineStr">
        <is>
          <t>Sevilla 41004</t>
        </is>
      </c>
      <c r="E1142" s="278" t="inlineStr">
        <is>
          <t>CIF B91938662</t>
        </is>
      </c>
      <c r="F1142" s="278" t="inlineStr">
        <is>
          <t>aBalados@abalados.es</t>
        </is>
      </c>
      <c r="G1142" s="278" t="inlineStr">
        <is>
          <t>Turbinto Parque Solar S.L.U.</t>
        </is>
      </c>
      <c r="H1142" s="278">
        <f>VLOOKUP($G1142,[1]Datos!$B:$E,2,FALSE)</f>
        <v/>
      </c>
      <c r="I1142" s="278">
        <f>VLOOKUP($G1142,[1]Datos!$B:$E,3,FALSE)</f>
        <v/>
      </c>
      <c r="J1142" s="278">
        <f>VLOOKUP($G1142,[1]Datos!$B:$E,4,FALSE)</f>
        <v/>
      </c>
      <c r="K1142" s="278" t="inlineStr">
        <is>
          <t>O&amp;M - Correctivo / Refacturación y/o servicios prestados</t>
        </is>
      </c>
      <c r="L1142" s="280" t="n"/>
      <c r="M1142" s="278" t="inlineStr">
        <is>
          <t>Gastos derivados del contrato (3.5%)</t>
        </is>
      </c>
      <c r="N1142" s="280" t="n"/>
      <c r="O1142" s="278" t="inlineStr">
        <is>
          <t>Pendiente 2T'2022</t>
        </is>
      </c>
      <c r="P1142" s="280" t="n">
        <v>52.13250000000001</v>
      </c>
      <c r="Q1142" s="278" t="inlineStr">
        <is>
          <t>Pendiente 2T'2023</t>
        </is>
      </c>
      <c r="R1142" s="280" t="n">
        <v>0.9527000000000001</v>
      </c>
      <c r="T1142" s="280" t="n"/>
      <c r="V1142" s="280" t="n"/>
      <c r="X1142" s="280" t="n"/>
      <c r="Z1142" s="280" t="n"/>
      <c r="AA1142" s="280" t="n"/>
      <c r="AB1142" s="281" t="inlineStr">
        <is>
          <t>ES11 0081 7069 2700 0122 7724</t>
        </is>
      </c>
      <c r="AC1142" s="278" t="inlineStr">
        <is>
          <t>pendiente</t>
        </is>
      </c>
      <c r="AD1142" s="280">
        <f>L1142+N1142+P1142+R1142+T1142+V1142+X1142+Z1142</f>
        <v/>
      </c>
      <c r="AE1142" s="280">
        <f>IF((LEFT(K1142,6))="Contab",L1142,0)</f>
        <v/>
      </c>
      <c r="AF1142" s="281">
        <f>VLOOKUP(G1142,[1]Clientes!A:D,4,FALSE)</f>
        <v/>
      </c>
      <c r="AG1142" s="280">
        <f>AF1142*AE1142</f>
        <v/>
      </c>
      <c r="AH1142" s="280">
        <f>AD1142*1.21</f>
        <v/>
      </c>
      <c r="AI1142" s="284">
        <f>IF(AE1142&lt;&gt;0,AG1142/AD1142,"N/A")</f>
        <v/>
      </c>
      <c r="AJ1142" s="280">
        <f>IF(AC1142="pendiente",AD1142,0)</f>
        <v/>
      </c>
      <c r="AK1142" s="278">
        <f>VLOOKUP(G1142,[1]Clientes!A:C,3,FALSE)</f>
        <v/>
      </c>
    </row>
    <row r="1143" ht="15" customFormat="1" customHeight="1" s="278">
      <c r="B1143" s="279" t="n"/>
      <c r="C1143" s="278" t="inlineStr">
        <is>
          <t>c/ Las Cruzadas 3A, local D</t>
        </is>
      </c>
      <c r="D1143" s="278" t="inlineStr">
        <is>
          <t>Sevilla 41004</t>
        </is>
      </c>
      <c r="E1143" s="278" t="inlineStr">
        <is>
          <t>CIF B91938662</t>
        </is>
      </c>
      <c r="F1143" s="278" t="inlineStr">
        <is>
          <t>aBalados@abalados.es</t>
        </is>
      </c>
      <c r="G1143" s="278" t="inlineStr">
        <is>
          <t>Contreras Parque Solar S.L.U.</t>
        </is>
      </c>
      <c r="H1143" s="278">
        <f>VLOOKUP($G1143,[1]Datos!$B:$E,2,FALSE)</f>
        <v/>
      </c>
      <c r="I1143" s="278">
        <f>VLOOKUP($G1143,[1]Datos!$B:$E,3,FALSE)</f>
        <v/>
      </c>
      <c r="J1143" s="278">
        <f>VLOOKUP($G1143,[1]Datos!$B:$E,4,FALSE)</f>
        <v/>
      </c>
      <c r="K1143" s="278" t="inlineStr">
        <is>
          <t>O&amp;M - Correctivo / Refacturación y/o servicios prestados</t>
        </is>
      </c>
      <c r="L1143" s="280" t="n"/>
      <c r="M1143" s="278" t="inlineStr">
        <is>
          <t>Gastos derivados del contrato (3.5%)</t>
        </is>
      </c>
      <c r="N1143" s="280" t="n"/>
      <c r="O1143" s="278" t="inlineStr">
        <is>
          <t>Pendiente 2T'2022</t>
        </is>
      </c>
      <c r="P1143" s="280" t="n">
        <v>6.370000000000001</v>
      </c>
      <c r="R1143" s="280" t="n"/>
      <c r="T1143" s="280" t="n"/>
      <c r="V1143" s="280" t="n"/>
      <c r="X1143" s="280" t="n"/>
      <c r="Z1143" s="280" t="n"/>
      <c r="AA1143" s="280" t="n"/>
      <c r="AB1143" s="281" t="inlineStr">
        <is>
          <t>ES11 0081 7069 2700 0122 7724</t>
        </is>
      </c>
      <c r="AC1143" s="278" t="inlineStr">
        <is>
          <t>pendiente</t>
        </is>
      </c>
      <c r="AD1143" s="280">
        <f>L1143+N1143+P1143+R1143+T1143+V1143+X1143+Z1143</f>
        <v/>
      </c>
      <c r="AE1143" s="280">
        <f>IF((LEFT(K1143,6))="Contab",L1143,0)</f>
        <v/>
      </c>
      <c r="AF1143" s="281">
        <f>VLOOKUP(G1143,[1]Clientes!A:D,4,FALSE)</f>
        <v/>
      </c>
      <c r="AG1143" s="280">
        <f>AF1143*AE1143</f>
        <v/>
      </c>
      <c r="AH1143" s="280">
        <f>AD1143*1.21</f>
        <v/>
      </c>
      <c r="AI1143" s="282">
        <f>IF(AE1143&lt;&gt;0,AG1143/AD1143,"N/A")</f>
        <v/>
      </c>
      <c r="AJ1143" s="280">
        <f>IF(AC1143="pendiente",AD1143,0)</f>
        <v/>
      </c>
      <c r="AK1143" s="278">
        <f>VLOOKUP(G1143,[1]Clientes!A:C,3,FALSE)</f>
        <v/>
      </c>
    </row>
    <row r="1144" ht="15" customFormat="1" customHeight="1" s="278">
      <c r="B1144" s="279" t="n"/>
      <c r="C1144" s="278" t="inlineStr">
        <is>
          <t>c/ Las Cruzadas 3A, local D</t>
        </is>
      </c>
      <c r="D1144" s="278" t="inlineStr">
        <is>
          <t>Sevilla 41004</t>
        </is>
      </c>
      <c r="E1144" s="278" t="inlineStr">
        <is>
          <t>CIF B91938662</t>
        </is>
      </c>
      <c r="G1144" s="278" t="inlineStr">
        <is>
          <t xml:space="preserve">Rasteding PV I, S.L.U. </t>
        </is>
      </c>
      <c r="H1144" s="278">
        <f>VLOOKUP($G1144,DATOS!$B:$E,2,FALSE)</f>
        <v/>
      </c>
      <c r="I1144" s="278">
        <f>VLOOKUP($G1144,DATOS!$B:$E,3,FALSE)</f>
        <v/>
      </c>
      <c r="J1144" s="278">
        <f>VLOOKUP($G1144,DATOS!$B:$E,4,FALSE)</f>
        <v/>
      </c>
      <c r="K1144" s="278" t="inlineStr">
        <is>
          <t>O&amp;M - Correctivo / Refacturación y/o servicios prestados</t>
        </is>
      </c>
      <c r="L1144" s="280" t="n"/>
      <c r="M1144" s="278" t="inlineStr">
        <is>
          <t>Gastos derivados del contrato (3.5%)</t>
        </is>
      </c>
      <c r="N1144" s="280" t="n"/>
      <c r="O1144" s="278" t="inlineStr">
        <is>
          <t>Pendiente 2T'2023</t>
        </is>
      </c>
      <c r="P1144" s="280" t="n">
        <v>15.22</v>
      </c>
      <c r="R1144" s="280" t="n"/>
      <c r="T1144" s="280" t="n"/>
      <c r="V1144" s="280" t="n"/>
      <c r="X1144" s="280" t="n"/>
      <c r="Z1144" s="280" t="n"/>
      <c r="AA1144" s="280" t="n"/>
      <c r="AB1144" s="281" t="inlineStr">
        <is>
          <t>ES11 0081 7069 2700 0122 7724</t>
        </is>
      </c>
      <c r="AC1144" s="278" t="inlineStr">
        <is>
          <t>pendiente</t>
        </is>
      </c>
      <c r="AD1144" s="280">
        <f>L1144+N1144+P1144+R1144+T1144+V1144+X1144+Z1144</f>
        <v/>
      </c>
      <c r="AE1144" s="280">
        <f>IF((LEFT(K1144,6))="Contab",L1144,0)</f>
        <v/>
      </c>
      <c r="AF1144" s="281">
        <f>VLOOKUP(G1144,CLIENTES!B:E,4,FALSE)</f>
        <v/>
      </c>
      <c r="AG1144" s="280">
        <f>AF1144*AE1144</f>
        <v/>
      </c>
      <c r="AH1144" s="280">
        <f>AD1144*1.21</f>
        <v/>
      </c>
      <c r="AI1144" s="284">
        <f>IF(AE1144&lt;&gt;0,AG1144/AD1144,"N/A")</f>
        <v/>
      </c>
      <c r="AJ1144" s="280">
        <f>IF(AC1144="pendiente",AD1144,0)</f>
        <v/>
      </c>
      <c r="AK1144" s="278">
        <f>VLOOKUP(G1144,CLIENTES!B:D,3,FALSE)</f>
        <v/>
      </c>
    </row>
    <row r="1145" ht="15" customFormat="1" customHeight="1" s="278">
      <c r="B1145" s="279" t="n"/>
      <c r="C1145" s="278" t="inlineStr">
        <is>
          <t>c/ Las Cruzadas 3A, local D</t>
        </is>
      </c>
      <c r="D1145" s="278" t="inlineStr">
        <is>
          <t>Sevilla 41004</t>
        </is>
      </c>
      <c r="E1145" s="278" t="inlineStr">
        <is>
          <t>CIF B91938662</t>
        </is>
      </c>
      <c r="G1145" s="278" t="inlineStr">
        <is>
          <t>ES Garrovers Energía Solar S.L.U.</t>
        </is>
      </c>
      <c r="H1145" s="278">
        <f>VLOOKUP($G1145,DATOS!$B:$E,2,FALSE)</f>
        <v/>
      </c>
      <c r="I1145" s="278">
        <f>VLOOKUP($G1145,DATOS!$B:$E,3,FALSE)</f>
        <v/>
      </c>
      <c r="J1145" s="278">
        <f>VLOOKUP($G1145,DATOS!$B:$E,4,FALSE)</f>
        <v/>
      </c>
      <c r="K1145" s="278" t="inlineStr">
        <is>
          <t>O&amp;M - Correctivo / Refacturación y/o servicios prestados</t>
        </is>
      </c>
      <c r="L1145" s="280" t="n"/>
      <c r="M1145" s="278" t="inlineStr">
        <is>
          <t>Gastos derivados del contrato (3.5%)</t>
        </is>
      </c>
      <c r="N1145" s="280" t="n"/>
      <c r="O1145" s="278" t="inlineStr">
        <is>
          <t>Pendiente 2T'2023</t>
        </is>
      </c>
      <c r="P1145" s="280" t="n">
        <v>281.3744657500001</v>
      </c>
      <c r="R1145" s="280" t="n"/>
      <c r="T1145" s="280" t="n"/>
      <c r="V1145" s="280" t="n"/>
      <c r="X1145" s="280" t="n"/>
      <c r="Z1145" s="280" t="n"/>
      <c r="AA1145" s="280" t="n"/>
      <c r="AB1145" s="281" t="inlineStr">
        <is>
          <t>ES11 0081 7069 2700 0122 7724</t>
        </is>
      </c>
      <c r="AC1145" s="278" t="inlineStr">
        <is>
          <t>pendiente</t>
        </is>
      </c>
      <c r="AD1145" s="280">
        <f>L1145+N1145+P1145+R1145+T1145+V1145+X1145+Z1145</f>
        <v/>
      </c>
      <c r="AE1145" s="280">
        <f>IF((LEFT(K1145,6))="Contab",L1145,0)</f>
        <v/>
      </c>
      <c r="AF1145" s="281">
        <f>VLOOKUP(G1145,CLIENTES!B:E,4,FALSE)</f>
        <v/>
      </c>
      <c r="AG1145" s="280">
        <f>AF1145*AE1145</f>
        <v/>
      </c>
      <c r="AH1145" s="280">
        <f>AD1145*1.21</f>
        <v/>
      </c>
      <c r="AI1145" s="284">
        <f>IF(AE1145&lt;&gt;0,AG1145/AD1145,"N/A")</f>
        <v/>
      </c>
      <c r="AJ1145" s="280">
        <f>IF(AC1145="pendiente",AD1145,0)</f>
        <v/>
      </c>
      <c r="AK1145" s="278">
        <f>VLOOKUP(G1145,CLIENTES!B:D,3,FALSE)</f>
        <v/>
      </c>
    </row>
    <row r="1146" ht="15" customFormat="1" customHeight="1" s="278">
      <c r="B1146" s="279" t="n"/>
      <c r="C1146" s="278" t="inlineStr">
        <is>
          <t>c/ Las Cruzadas 3A, local D</t>
        </is>
      </c>
      <c r="D1146" s="278" t="inlineStr">
        <is>
          <t>Sevilla 41004</t>
        </is>
      </c>
      <c r="E1146" s="278" t="inlineStr">
        <is>
          <t>CIF B91938662</t>
        </is>
      </c>
      <c r="F1146" s="278" t="inlineStr">
        <is>
          <t>aBalados@abalados.es</t>
        </is>
      </c>
      <c r="G1146" s="278" t="inlineStr">
        <is>
          <t>Dehesa Asomadilla Inversiones S.L.U.</t>
        </is>
      </c>
      <c r="H1146" s="278">
        <f>VLOOKUP($G1146,[1]Datos!$B:$E,2,FALSE)</f>
        <v/>
      </c>
      <c r="I1146" s="278">
        <f>VLOOKUP($G1146,[1]Datos!$B:$E,3,FALSE)</f>
        <v/>
      </c>
      <c r="J1146" s="288">
        <f>VLOOKUP($G1146,[1]Datos!$B:$E,4,FALSE)</f>
        <v/>
      </c>
      <c r="K1146" s="278" t="inlineStr">
        <is>
          <t>O&amp;M - Correctivo / Refacturación y/o servicios prestados</t>
        </is>
      </c>
      <c r="L1146" s="280" t="n"/>
      <c r="M1146" s="278" t="inlineStr">
        <is>
          <t>Gastos derivados del contrato (3.5%)</t>
        </is>
      </c>
      <c r="N1146" s="280" t="n"/>
      <c r="O1146" s="278" t="inlineStr">
        <is>
          <t>Pendiente 2T'2022</t>
        </is>
      </c>
      <c r="P1146" s="280" t="n">
        <v>42.343</v>
      </c>
      <c r="Q1146" s="278" t="inlineStr">
        <is>
          <t>Pendiente 2T'2023</t>
        </is>
      </c>
      <c r="R1146" s="280" t="n">
        <v>30.79651575</v>
      </c>
      <c r="T1146" s="280" t="n"/>
      <c r="V1146" s="280" t="n"/>
      <c r="X1146" s="280" t="n"/>
      <c r="Z1146" s="280" t="n"/>
      <c r="AA1146" s="280" t="n"/>
      <c r="AB1146" s="281" t="inlineStr">
        <is>
          <t>ES11 0081 7069 2700 0122 7724</t>
        </is>
      </c>
      <c r="AC1146" s="281" t="inlineStr">
        <is>
          <t>pendiente</t>
        </is>
      </c>
      <c r="AD1146" s="280">
        <f>L1146+N1146+P1146+R1146+T1146+V1146+X1146+Z1146</f>
        <v/>
      </c>
      <c r="AE1146" s="278">
        <f>IF((LEFT(K1146,6))="Contab",L1146,0)</f>
        <v/>
      </c>
      <c r="AF1146" s="281">
        <f>VLOOKUP(G1146,[1]Clientes!A:D,4,FALSE)</f>
        <v/>
      </c>
      <c r="AG1146" s="278">
        <f>AF1146*AE1146</f>
        <v/>
      </c>
      <c r="AH1146" s="278">
        <f>AD1146*1.21</f>
        <v/>
      </c>
      <c r="AI1146" s="278">
        <f>IF(AE1146&lt;&gt;0,AG1146/AD1146,"N/A")</f>
        <v/>
      </c>
      <c r="AJ1146" s="278">
        <f>IF(AC1146="pendiente",AD1146,0)</f>
        <v/>
      </c>
      <c r="AK1146" s="278">
        <f>VLOOKUP(G1146,[1]Clientes!A:C,3,FALSE)</f>
        <v/>
      </c>
    </row>
    <row r="1147" ht="15" customFormat="1" customHeight="1" s="278">
      <c r="B1147" s="279" t="n"/>
      <c r="C1147" s="278" t="inlineStr">
        <is>
          <t>c/ Las Cruzadas 3A, local D</t>
        </is>
      </c>
      <c r="D1147" s="278" t="inlineStr">
        <is>
          <t>Sevilla 41004</t>
        </is>
      </c>
      <c r="E1147" s="278" t="inlineStr">
        <is>
          <t>CIF B91938662</t>
        </is>
      </c>
      <c r="F1147" s="278" t="inlineStr">
        <is>
          <t>aBalados@abalados.es</t>
        </is>
      </c>
      <c r="G1147" s="278" t="inlineStr">
        <is>
          <t>Asomadilla Solar 2007 S.L.U.</t>
        </is>
      </c>
      <c r="H1147" s="278">
        <f>VLOOKUP($G1147,[1]Datos!$B:$E,2,FALSE)</f>
        <v/>
      </c>
      <c r="I1147" s="278">
        <f>VLOOKUP($G1147,[1]Datos!$B:$E,3,FALSE)</f>
        <v/>
      </c>
      <c r="J1147" s="288">
        <f>VLOOKUP($G1147,[1]Datos!$B:$E,4,FALSE)</f>
        <v/>
      </c>
      <c r="K1147" s="278" t="inlineStr">
        <is>
          <t>O&amp;M - Correctivo / Refacturación y/o servicios prestados</t>
        </is>
      </c>
      <c r="L1147" s="280" t="n"/>
      <c r="M1147" s="278" t="inlineStr">
        <is>
          <t>Gastos derivados del contrato (3.5%)</t>
        </is>
      </c>
      <c r="N1147" s="280" t="n"/>
      <c r="O1147" s="278" t="inlineStr">
        <is>
          <t>Pendiente 2T'2022</t>
        </is>
      </c>
      <c r="P1147" s="280" t="n">
        <v>142.6047</v>
      </c>
      <c r="Q1147" s="278" t="inlineStr">
        <is>
          <t>Pendiente 2T'2023</t>
        </is>
      </c>
      <c r="R1147" s="280" t="n">
        <v>64.67721575</v>
      </c>
      <c r="T1147" s="280" t="n"/>
      <c r="V1147" s="280" t="n"/>
      <c r="X1147" s="280" t="n"/>
      <c r="Z1147" s="280" t="n"/>
      <c r="AA1147" s="280" t="n"/>
      <c r="AB1147" s="281" t="inlineStr">
        <is>
          <t>ES11 0081 7069 2700 0122 7724</t>
        </is>
      </c>
      <c r="AC1147" s="281" t="inlineStr">
        <is>
          <t>pendiente</t>
        </is>
      </c>
      <c r="AD1147" s="280">
        <f>L1147+N1147+P1147+R1147+T1147+V1147+X1147+Z1147</f>
        <v/>
      </c>
      <c r="AE1147" s="278">
        <f>IF((LEFT(K1147,6))="Contab",L1147,0)</f>
        <v/>
      </c>
      <c r="AF1147" s="281">
        <f>VLOOKUP(G1147,[1]Clientes!A:D,4,FALSE)</f>
        <v/>
      </c>
      <c r="AG1147" s="278">
        <f>AF1147*AE1147</f>
        <v/>
      </c>
      <c r="AH1147" s="278">
        <f>AD1147*1.21</f>
        <v/>
      </c>
      <c r="AI1147" s="278">
        <f>IF(AE1147&lt;&gt;0,AG1147/AD1147,"N/A")</f>
        <v/>
      </c>
      <c r="AJ1147" s="278">
        <f>IF(AC1147="pendiente",AD1147,0)</f>
        <v/>
      </c>
      <c r="AK1147" s="278">
        <f>VLOOKUP(G1147,[1]Clientes!A:C,3,FALSE)</f>
        <v/>
      </c>
    </row>
    <row r="1148" ht="15" customFormat="1" customHeight="1" s="278">
      <c r="B1148" s="279" t="n"/>
      <c r="C1148" s="278" t="inlineStr">
        <is>
          <t>c/ Las Cruzadas 3A, local D</t>
        </is>
      </c>
      <c r="D1148" s="278" t="inlineStr">
        <is>
          <t>Sevilla 41004</t>
        </is>
      </c>
      <c r="E1148" s="278" t="inlineStr">
        <is>
          <t>CIF B91938662</t>
        </is>
      </c>
      <c r="F1148" s="278" t="inlineStr">
        <is>
          <t>aBalados@abalados.es</t>
        </is>
      </c>
      <c r="G1148" s="278" t="inlineStr">
        <is>
          <t>Lugec Inversión Solar S.L.U.</t>
        </is>
      </c>
      <c r="H1148" s="278">
        <f>VLOOKUP($G1148,[1]Datos!$B:$E,2,FALSE)</f>
        <v/>
      </c>
      <c r="I1148" s="278">
        <f>VLOOKUP($G1148,[1]Datos!$B:$E,3,FALSE)</f>
        <v/>
      </c>
      <c r="J1148" s="278">
        <f>VLOOKUP($G1148,[1]Datos!$B:$E,4,FALSE)</f>
        <v/>
      </c>
      <c r="K1148" s="278" t="inlineStr">
        <is>
          <t>O&amp;M - Correctivo / Refacturación y/o servicios prestados</t>
        </is>
      </c>
      <c r="L1148" s="280" t="n"/>
      <c r="M1148" s="278" t="inlineStr">
        <is>
          <t>Gastos derivados del contrato (3.5%)</t>
        </is>
      </c>
      <c r="N1148" s="280" t="n"/>
      <c r="O1148" s="278" t="inlineStr">
        <is>
          <t>Pendiente 2T'2022</t>
        </is>
      </c>
      <c r="P1148" s="280" t="n">
        <v>8.4</v>
      </c>
      <c r="R1148" s="280" t="n"/>
      <c r="T1148" s="280" t="n"/>
      <c r="V1148" s="280" t="n"/>
      <c r="X1148" s="280" t="n"/>
      <c r="Z1148" s="280" t="n"/>
      <c r="AA1148" s="280" t="n"/>
      <c r="AB1148" s="281" t="inlineStr">
        <is>
          <t>ES11 0081 7069 2700 0122 7724</t>
        </is>
      </c>
      <c r="AC1148" s="278" t="inlineStr">
        <is>
          <t>pendiente</t>
        </is>
      </c>
      <c r="AD1148" s="280">
        <f>L1148+N1148+P1148+R1148+T1148+V1148+X1148+Z1148</f>
        <v/>
      </c>
      <c r="AE1148" s="280">
        <f>IF((LEFT(K1148,6))="Contab",L1148,0)</f>
        <v/>
      </c>
      <c r="AF1148" s="281">
        <f>VLOOKUP(G1148,[1]Clientes!A:D,4,FALSE)</f>
        <v/>
      </c>
      <c r="AG1148" s="280">
        <f>AF1148*AE1148</f>
        <v/>
      </c>
      <c r="AH1148" s="280">
        <f>AD1148*1.21</f>
        <v/>
      </c>
      <c r="AI1148" s="282">
        <f>IF(AE1148&lt;&gt;0,AG1148/AD1148,"N/A")</f>
        <v/>
      </c>
      <c r="AJ1148" s="280">
        <f>IF(AC1148="pendiente",AD1148,0)</f>
        <v/>
      </c>
      <c r="AK1148" s="278">
        <f>VLOOKUP(G1148,[1]Clientes!A:C,3,FALSE)</f>
        <v/>
      </c>
    </row>
    <row r="1149" ht="15" customFormat="1" customHeight="1" s="192">
      <c r="B1149" s="199" t="n"/>
      <c r="C1149" s="192" t="inlineStr">
        <is>
          <t>c/ Las Cruzadas 3A, local D</t>
        </is>
      </c>
      <c r="D1149" s="192" t="inlineStr">
        <is>
          <t>Sevilla 41004</t>
        </is>
      </c>
      <c r="E1149" s="192" t="inlineStr">
        <is>
          <t>CIF B91938662</t>
        </is>
      </c>
      <c r="F1149" s="192" t="inlineStr">
        <is>
          <t>aBalados@abalados.es</t>
        </is>
      </c>
      <c r="G1149" s="192" t="inlineStr">
        <is>
          <t>Inversión Cubiertas Solares S.L.U.</t>
        </is>
      </c>
      <c r="H1149" s="192">
        <f>VLOOKUP($G1149,[1]Datos!$B:$E,2,FALSE)</f>
        <v/>
      </c>
      <c r="I1149" s="192">
        <f>VLOOKUP($G1149,[1]Datos!$B:$E,3,FALSE)</f>
        <v/>
      </c>
      <c r="J1149" s="192">
        <f>VLOOKUP($G1149,[1]Datos!$B:$E,4,FALSE)</f>
        <v/>
      </c>
      <c r="K1149" s="192" t="inlineStr">
        <is>
          <t>O&amp;M - Correctivo / Refacturación y/o servicios prestados</t>
        </is>
      </c>
      <c r="L1149" s="200" t="n"/>
      <c r="M1149" s="192" t="inlineStr">
        <is>
          <t>Gastos derivados del contrato (3.5%)</t>
        </is>
      </c>
      <c r="N1149" s="200" t="n"/>
      <c r="O1149" s="192" t="inlineStr">
        <is>
          <t>Pendiente 2T'2022</t>
        </is>
      </c>
      <c r="P1149" s="200" t="n">
        <v>86.90045000000001</v>
      </c>
      <c r="R1149" s="200" t="n"/>
      <c r="T1149" s="200" t="n"/>
      <c r="V1149" s="200" t="n"/>
      <c r="X1149" s="200" t="n"/>
      <c r="Z1149" s="200" t="n"/>
      <c r="AA1149" s="200" t="n"/>
      <c r="AB1149" s="201" t="inlineStr">
        <is>
          <t>ES11 0081 7069 2700 0122 7724</t>
        </is>
      </c>
      <c r="AC1149" s="192" t="inlineStr">
        <is>
          <t>pendiente</t>
        </is>
      </c>
      <c r="AD1149" s="200">
        <f>L1149+N1149+P1149+R1149+T1149+V1149+X1149+Z1149</f>
        <v/>
      </c>
      <c r="AE1149" s="200">
        <f>IF((LEFT(K1149,6))="Contab",L1149,0)</f>
        <v/>
      </c>
      <c r="AF1149" s="201">
        <f>VLOOKUP(G1149,[1]Clientes!A:D,4,FALSE)</f>
        <v/>
      </c>
      <c r="AG1149" s="200">
        <f>AF1149*AE1149</f>
        <v/>
      </c>
      <c r="AH1149" s="200">
        <f>AD1149*1.21</f>
        <v/>
      </c>
      <c r="AI1149" s="202">
        <f>IF(AE1149&lt;&gt;0,AG1149/AD1149,"N/A")</f>
        <v/>
      </c>
      <c r="AJ1149" s="200">
        <f>IF(AC1149="pendiente",AD1149,0)</f>
        <v/>
      </c>
      <c r="AK1149" s="192">
        <f>VLOOKUP(G1149,[1]Clientes!A:C,3,FALSE)</f>
        <v/>
      </c>
      <c r="AL1149" s="278" t="n"/>
      <c r="AM1149" s="278" t="n"/>
    </row>
    <row r="1150" ht="15" customFormat="1" customHeight="1" s="195">
      <c r="B1150" s="194" t="n"/>
      <c r="C1150" s="195" t="inlineStr">
        <is>
          <t>c/ Las Cruzadas 3A, local D</t>
        </is>
      </c>
      <c r="D1150" s="195" t="inlineStr">
        <is>
          <t>Sevilla 41004</t>
        </is>
      </c>
      <c r="E1150" s="195" t="inlineStr">
        <is>
          <t>CIF B91938662</t>
        </is>
      </c>
      <c r="F1150" s="195" t="inlineStr">
        <is>
          <t>aBalados@abalados.es</t>
        </is>
      </c>
      <c r="G1150" s="195" t="inlineStr">
        <is>
          <t>aBalados Recycling, S.L.</t>
        </is>
      </c>
      <c r="H1150" s="195">
        <f>VLOOKUP($G1150,DATOS!$B:$E,2,FALSE)</f>
        <v/>
      </c>
      <c r="I1150" s="195">
        <f>VLOOKUP($G1150,DATOS!$B:$E,3,FALSE)</f>
        <v/>
      </c>
      <c r="J1150" s="195">
        <f>VLOOKUP($G1150,DATOS!$B:$E,4,FALSE)</f>
        <v/>
      </c>
      <c r="K1150" s="195" t="inlineStr">
        <is>
          <t>Asistencia técnica - Soporte para la organización de procesos</t>
        </is>
      </c>
      <c r="L1150" s="196" t="n"/>
      <c r="M1150" s="195" t="inlineStr">
        <is>
          <t>Puerto Real - Asistencia para contratos tratamiento Junio/Julio 2023</t>
        </is>
      </c>
      <c r="N1150" s="196" t="n"/>
      <c r="P1150" s="196" t="n"/>
      <c r="Q1150" s="195" t="inlineStr">
        <is>
          <t>Soporte para acreditación y acceso a planta</t>
        </is>
      </c>
      <c r="R1150" s="196">
        <f>4*45 + 23*(10/60*45)</f>
        <v/>
      </c>
      <c r="S1150" s="195" t="inlineStr">
        <is>
          <t>Asistencia para contratación terceros</t>
        </is>
      </c>
      <c r="T1150" s="196">
        <f>8*60</f>
        <v/>
      </c>
      <c r="U1150" s="195" t="inlineStr">
        <is>
          <t>Supervisión in situ</t>
        </is>
      </c>
      <c r="V1150" s="196">
        <f>2 * 0.5*95</f>
        <v/>
      </c>
      <c r="W1150" s="195" t="inlineStr">
        <is>
          <t>Recepción y descarga en almacén</t>
        </is>
      </c>
      <c r="X1150" s="196">
        <f>14*6*40</f>
        <v/>
      </c>
      <c r="Z1150" s="196" t="n"/>
      <c r="AA1150" s="196" t="n"/>
      <c r="AB1150" s="197" t="inlineStr">
        <is>
          <t>ES11 0081 7069 2700 0122 7724</t>
        </is>
      </c>
      <c r="AC1150" s="195" t="inlineStr">
        <is>
          <t>pendiente</t>
        </is>
      </c>
      <c r="AD1150" s="196">
        <f>L1150+N1150+P1150+R1150+T1150+V1150+X1150+Z1150</f>
        <v/>
      </c>
      <c r="AE1150" s="196">
        <f>IF((LEFT(K1150,6))="Contab",L1150,0)</f>
        <v/>
      </c>
      <c r="AF1150" s="197">
        <f>VLOOKUP(G1150,CLIENTES!B:E,4,FALSE)</f>
        <v/>
      </c>
      <c r="AG1150" s="196">
        <f>AF1150*AE1150</f>
        <v/>
      </c>
      <c r="AH1150" s="196">
        <f>AD1150*1.21</f>
        <v/>
      </c>
      <c r="AI1150" s="285">
        <f>IF(AE1150&lt;&gt;0,AG1150/AD1150,"N/A")</f>
        <v/>
      </c>
      <c r="AJ1150" s="196">
        <f>IF(AC1150="pendiente",AD1150,0)</f>
        <v/>
      </c>
      <c r="AK1150" s="195">
        <f>VLOOKUP(G1150,CLIENTES!B:D,3,FALSE)</f>
        <v/>
      </c>
    </row>
    <row r="1151" ht="15" customFormat="1" customHeight="1" s="192">
      <c r="B1151" s="199" t="n"/>
      <c r="C1151" s="192" t="inlineStr">
        <is>
          <t>c/ Las Cruzadas 3A, local D</t>
        </is>
      </c>
      <c r="D1151" s="192" t="inlineStr">
        <is>
          <t>Sevilla 41004</t>
        </is>
      </c>
      <c r="E1151" s="192" t="inlineStr">
        <is>
          <t>CIF B91938662</t>
        </is>
      </c>
      <c r="F1151" s="192" t="inlineStr">
        <is>
          <t>aBalados@abalados.es</t>
        </is>
      </c>
      <c r="G1151" s="192" t="inlineStr">
        <is>
          <t>aBalados Recycling, S.L.</t>
        </is>
      </c>
      <c r="H1151" s="192">
        <f>VLOOKUP($G1151,DATOS!$B:$E,2,FALSE)</f>
        <v/>
      </c>
      <c r="I1151" s="192">
        <f>VLOOKUP($G1151,DATOS!$B:$E,3,FALSE)</f>
        <v/>
      </c>
      <c r="J1151" s="192">
        <f>VLOOKUP($G1151,DATOS!$B:$E,4,FALSE)</f>
        <v/>
      </c>
      <c r="K1151" s="192" t="inlineStr">
        <is>
          <t>Asistencia técnica - Soporte para la organización de procesos</t>
        </is>
      </c>
      <c r="L1151" s="200" t="n"/>
      <c r="M1151" s="192" t="inlineStr">
        <is>
          <t>Valladolid - Asistencia para contratos tratamiento Agosto 2023</t>
        </is>
      </c>
      <c r="N1151" s="200" t="n"/>
      <c r="P1151" s="200" t="n"/>
      <c r="Q1151" s="192" t="inlineStr">
        <is>
          <t>Soporte para acreditación y acceso a planta</t>
        </is>
      </c>
      <c r="R1151" s="200">
        <f>3*45</f>
        <v/>
      </c>
      <c r="S1151" s="192" t="inlineStr">
        <is>
          <t>Asistencia para contratación terceros</t>
        </is>
      </c>
      <c r="T1151" s="200">
        <f>2*60</f>
        <v/>
      </c>
      <c r="U1151" s="192" t="inlineStr">
        <is>
          <t>Recepción y descarga en almacén</t>
        </is>
      </c>
      <c r="V1151" s="200">
        <f>2*4*40</f>
        <v/>
      </c>
      <c r="X1151" s="200" t="n"/>
      <c r="Z1151" s="200" t="n"/>
      <c r="AA1151" s="200" t="n"/>
      <c r="AB1151" s="201" t="inlineStr">
        <is>
          <t>ES11 0081 7069 2700 0122 7724</t>
        </is>
      </c>
      <c r="AC1151" s="192" t="inlineStr">
        <is>
          <t>pendiente</t>
        </is>
      </c>
      <c r="AD1151" s="200">
        <f>L1151+N1151+P1151+R1151+T1151+V1151+X1151+Z1151</f>
        <v/>
      </c>
      <c r="AE1151" s="200">
        <f>IF((LEFT(K1151,6))="Contab",L1151,0)</f>
        <v/>
      </c>
      <c r="AF1151" s="201">
        <f>VLOOKUP(G1151,CLIENTES!B:E,4,FALSE)</f>
        <v/>
      </c>
      <c r="AG1151" s="200">
        <f>AF1151*AE1151</f>
        <v/>
      </c>
      <c r="AH1151" s="200">
        <f>AD1151*1.21</f>
        <v/>
      </c>
      <c r="AI1151" s="283">
        <f>IF(AE1151&lt;&gt;0,AG1151/AD1151,"N/A")</f>
        <v/>
      </c>
      <c r="AJ1151" s="200">
        <f>IF(AC1151="pendiente",AD1151,0)</f>
        <v/>
      </c>
      <c r="AK1151" s="192">
        <f>VLOOKUP(G1151,CLIENTES!B:D,3,FALSE)</f>
        <v/>
      </c>
    </row>
    <row r="1167" ht="15" customFormat="1" customHeight="1" s="195">
      <c r="B1167" s="194" t="n"/>
      <c r="C1167" s="195" t="inlineStr">
        <is>
          <t>c/ Las Cruzadas 3A, local D</t>
        </is>
      </c>
      <c r="D1167" s="195" t="inlineStr">
        <is>
          <t>Sevilla 41004</t>
        </is>
      </c>
      <c r="E1167" s="195" t="inlineStr">
        <is>
          <t>CIF B91938662</t>
        </is>
      </c>
      <c r="F1167" s="195" t="inlineStr">
        <is>
          <t>aBalados@abalados.es</t>
        </is>
      </c>
      <c r="G1167" s="195" t="inlineStr">
        <is>
          <t>Dehesa Asomadilla Inversiones S.L.U.</t>
        </is>
      </c>
      <c r="H1167" s="195">
        <f>VLOOKUP($G1167,DATOS!$B:$E,2,FALSE)</f>
        <v/>
      </c>
      <c r="I1167" s="195">
        <f>VLOOKUP($G1167,DATOS!$B:$E,3,FALSE)</f>
        <v/>
      </c>
      <c r="J1167" s="195">
        <f>VLOOKUP($G1167,DATOS!$B:$E,4,FALSE)</f>
        <v/>
      </c>
      <c r="K1167" s="195" t="inlineStr">
        <is>
          <t>Contabilidad y Fiscalidad de proyecto Valverde - 3º Trimestre</t>
        </is>
      </c>
      <c r="L1167" s="196">
        <f>ROUND('Tarifa 2025'!$D$5/4,2)</f>
        <v/>
      </c>
      <c r="M1167" s="195" t="inlineStr">
        <is>
          <t>SPV Management  Proyecto Valverde - 3º Trimestre</t>
        </is>
      </c>
      <c r="N1167" s="196">
        <f>ROUND('Tarifa 2025'!$E$5/4,2)</f>
        <v/>
      </c>
      <c r="O1167" s="195" t="inlineStr">
        <is>
          <t>O&amp;M Management Proyecto Valverde - 3º Trimestre</t>
        </is>
      </c>
      <c r="P1167" s="196">
        <f>ROUND('Tarifa 2025'!$G$5/4,2)</f>
        <v/>
      </c>
      <c r="Q1167" s="195" t="inlineStr">
        <is>
          <t>Consultoría - 3º Trimestre</t>
        </is>
      </c>
      <c r="R1167" s="196">
        <f>ROUND('Tarifa 2025'!$I$5/4,2)</f>
        <v/>
      </c>
      <c r="T1167" s="196" t="n"/>
      <c r="V1167" s="196" t="n"/>
      <c r="X1167" s="196" t="n"/>
      <c r="Y1167" s="195" t="inlineStr">
        <is>
          <t>Gastos derivados de contrato (3,5%)</t>
        </is>
      </c>
      <c r="Z1167" s="196">
        <f>(L1167+N1167+P1167+R1167+T1167+V1167+X1167)*0.035</f>
        <v/>
      </c>
      <c r="AA1167" s="196" t="n"/>
      <c r="AB1167" s="197" t="inlineStr">
        <is>
          <t>ES11 0081 7069 2700 0122 7724</t>
        </is>
      </c>
      <c r="AC1167" s="195" t="inlineStr">
        <is>
          <t>pagado</t>
        </is>
      </c>
      <c r="AD1167" s="196">
        <f>L1167+N1167+P1167+R1167+T1167+V1167+X1167+Z1167</f>
        <v/>
      </c>
      <c r="AE1167" s="196">
        <f>IF((LEFT(K1167,6))="Contab",L1167,0)</f>
        <v/>
      </c>
      <c r="AF1167" s="197">
        <f>VLOOKUP(G1167,CLIENTES!B:E,4,FALSE)</f>
        <v/>
      </c>
      <c r="AG1167" s="196">
        <f>AF1167*AE1167</f>
        <v/>
      </c>
      <c r="AH1167" s="196">
        <f>AD1167*1.21</f>
        <v/>
      </c>
      <c r="AI1167" s="285">
        <f>IF(AE1167&lt;&gt;0,AG1167/AD1167,"N/A")</f>
        <v/>
      </c>
      <c r="AJ1167" s="196">
        <f>IF(AC1167="pendiente",AD1167,0)</f>
        <v/>
      </c>
      <c r="AK1167" s="195">
        <f>VLOOKUP(G1167,CLIENTES!B:D,3,FALSE)</f>
        <v/>
      </c>
    </row>
    <row r="1168" ht="15" customFormat="1" customHeight="1" s="278">
      <c r="B1168" s="279" t="n"/>
      <c r="C1168" s="278" t="inlineStr">
        <is>
          <t>c/ Las Cruzadas 3A, local D</t>
        </is>
      </c>
      <c r="D1168" s="278" t="inlineStr">
        <is>
          <t>Sevilla 41004</t>
        </is>
      </c>
      <c r="E1168" s="278" t="inlineStr">
        <is>
          <t>CIF B91938662</t>
        </is>
      </c>
      <c r="F1168" s="278" t="inlineStr">
        <is>
          <t>aBalados@abalados.es</t>
        </is>
      </c>
      <c r="G1168" s="278" t="inlineStr">
        <is>
          <t>Asomadilla Solar 2007 S.L.U.</t>
        </is>
      </c>
      <c r="H1168" s="278">
        <f>VLOOKUP($G1168,DATOS!$B:$E,2,FALSE)</f>
        <v/>
      </c>
      <c r="I1168" s="278">
        <f>VLOOKUP($G1168,DATOS!$B:$E,3,FALSE)</f>
        <v/>
      </c>
      <c r="J1168" s="278">
        <f>VLOOKUP($G1168,DATOS!$B:$E,4,FALSE)</f>
        <v/>
      </c>
      <c r="K1168" s="278" t="inlineStr">
        <is>
          <t>Contabilidad y Fiscalidad de proyecto Castuera - 3º Trimestre</t>
        </is>
      </c>
      <c r="L1168" s="280">
        <f>ROUND('Tarifa 2025'!$D$6/4,2)</f>
        <v/>
      </c>
      <c r="M1168" s="278" t="inlineStr">
        <is>
          <t>SPV Management  Proyecto Castuera - 3º Trimestre</t>
        </is>
      </c>
      <c r="N1168" s="280">
        <f>ROUND('Tarifa 2025'!$E$6/4,2)</f>
        <v/>
      </c>
      <c r="O1168" s="278" t="inlineStr">
        <is>
          <t>O&amp;M Management Proyecto Castuera - 3º Trimestre</t>
        </is>
      </c>
      <c r="P1168" s="280">
        <f>ROUND('Tarifa 2025'!$G$6/4,2)</f>
        <v/>
      </c>
      <c r="Q1168" s="278" t="inlineStr">
        <is>
          <t>Consultoría - 3º Trimestre</t>
        </is>
      </c>
      <c r="R1168" s="280">
        <f>ROUND('Tarifa 2025'!$I$6/4,2)</f>
        <v/>
      </c>
      <c r="T1168" s="280" t="n"/>
      <c r="V1168" s="280" t="n"/>
      <c r="X1168" s="280" t="n"/>
      <c r="Y1168" s="278" t="inlineStr">
        <is>
          <t>Gastos derivados de contrato (3,5%)</t>
        </is>
      </c>
      <c r="Z1168" s="280">
        <f>(L1168+N1168+P1168+R1168+T1168+V1168+X1168)*0.035</f>
        <v/>
      </c>
      <c r="AA1168" s="280" t="n"/>
      <c r="AB1168" s="281" t="inlineStr">
        <is>
          <t>ES11 0081 7069 2700 0122 7724</t>
        </is>
      </c>
      <c r="AC1168" s="278" t="inlineStr">
        <is>
          <t>pagado</t>
        </is>
      </c>
      <c r="AD1168" s="280">
        <f>L1168+N1168+P1168+R1168+T1168+V1168+X1168+Z1168</f>
        <v/>
      </c>
      <c r="AE1168" s="280">
        <f>IF((LEFT(K1168,6))="Contab",L1168,0)</f>
        <v/>
      </c>
      <c r="AF1168" s="281">
        <f>VLOOKUP(G1168,CLIENTES!B:E,4,FALSE)</f>
        <v/>
      </c>
      <c r="AG1168" s="280">
        <f>AF1168*AE1168</f>
        <v/>
      </c>
      <c r="AH1168" s="280">
        <f>AD1168*1.21</f>
        <v/>
      </c>
      <c r="AI1168" s="284">
        <f>IF(AE1168&lt;&gt;0,AG1168/AD1168,"N/A")</f>
        <v/>
      </c>
      <c r="AJ1168" s="280">
        <f>IF(AC1168="pendiente",AD1168,0)</f>
        <v/>
      </c>
      <c r="AK1168" s="278">
        <f>VLOOKUP(G1168,CLIENTES!B:D,3,FALSE)</f>
        <v/>
      </c>
    </row>
    <row r="1169" ht="15" customFormat="1" customHeight="1" s="278">
      <c r="B1169" s="279" t="n"/>
      <c r="C1169" s="278" t="inlineStr">
        <is>
          <t>c/ Las Cruzadas 3A, local D</t>
        </is>
      </c>
      <c r="D1169" s="278" t="inlineStr">
        <is>
          <t>Sevilla 41004</t>
        </is>
      </c>
      <c r="E1169" s="278" t="inlineStr">
        <is>
          <t>CIF B91938662</t>
        </is>
      </c>
      <c r="F1169" s="278" t="inlineStr">
        <is>
          <t>aBalados@abalados.es</t>
        </is>
      </c>
      <c r="G1169" s="278" t="inlineStr">
        <is>
          <t>Inversión Cubiertas Solares S.L.U.</t>
        </is>
      </c>
      <c r="H1169" s="278">
        <f>VLOOKUP($G1169,DATOS!$B:$E,2,FALSE)</f>
        <v/>
      </c>
      <c r="I1169" s="278">
        <f>VLOOKUP($G1169,DATOS!$B:$E,3,FALSE)</f>
        <v/>
      </c>
      <c r="J1169" s="278">
        <f>VLOOKUP($G1169,DATOS!$B:$E,4,FALSE)</f>
        <v/>
      </c>
      <c r="K1169" s="278" t="inlineStr">
        <is>
          <t>Contabilidad y Fiscalidad de proyecto Paiporta - 3º Trimestre</t>
        </is>
      </c>
      <c r="L1169" s="280">
        <f>ROUND('Tarifa 2025'!$D$7/4,2)</f>
        <v/>
      </c>
      <c r="M1169" s="278" t="inlineStr">
        <is>
          <t>SPV Management  Proyecto Paiporta - 3º Trimestre</t>
        </is>
      </c>
      <c r="N1169" s="280">
        <f>ROUND('Tarifa 2025'!$E$7/4,2)</f>
        <v/>
      </c>
      <c r="O1169" s="278" t="inlineStr">
        <is>
          <t>O&amp;M Management Proyecto Paiporta - 3º Trimestre</t>
        </is>
      </c>
      <c r="P1169" s="280">
        <f>ROUND('Tarifa 2025'!$G$7/4,2)</f>
        <v/>
      </c>
      <c r="Q1169" s="278" t="inlineStr">
        <is>
          <t>Consultoría - 3º Trimestre</t>
        </is>
      </c>
      <c r="R1169" s="280">
        <f>ROUND('Tarifa 2025'!$I$7/4,2)</f>
        <v/>
      </c>
      <c r="T1169" s="280" t="n"/>
      <c r="V1169" s="280" t="n"/>
      <c r="X1169" s="280" t="n"/>
      <c r="Y1169" s="278" t="inlineStr">
        <is>
          <t>Gastos derivados de contrato (3,5%)</t>
        </is>
      </c>
      <c r="Z1169" s="280">
        <f>(L1169+N1169+P1169+R1169+T1169+V1169+X1169)*0.035</f>
        <v/>
      </c>
      <c r="AA1169" s="280" t="n"/>
      <c r="AB1169" s="281" t="inlineStr">
        <is>
          <t>ES11 0081 7069 2700 0122 7724</t>
        </is>
      </c>
      <c r="AC1169" s="278" t="inlineStr">
        <is>
          <t>pagado</t>
        </is>
      </c>
      <c r="AD1169" s="280">
        <f>L1169+N1169+P1169+R1169+T1169+V1169+X1169+Z1169</f>
        <v/>
      </c>
      <c r="AE1169" s="280">
        <f>IF((LEFT(K1169,6))="Contab",L1169,0)</f>
        <v/>
      </c>
      <c r="AF1169" s="281">
        <f>VLOOKUP(G1169,CLIENTES!B:E,4,FALSE)</f>
        <v/>
      </c>
      <c r="AG1169" s="280">
        <f>AF1169*AE1169</f>
        <v/>
      </c>
      <c r="AH1169" s="280">
        <f>AD1169*1.21</f>
        <v/>
      </c>
      <c r="AI1169" s="284">
        <f>IF(AE1169&lt;&gt;0,AG1169/AD1169,"N/A")</f>
        <v/>
      </c>
      <c r="AJ1169" s="280">
        <f>IF(AC1169="pendiente",AD1169,0)</f>
        <v/>
      </c>
      <c r="AK1169" s="278">
        <f>VLOOKUP(G1169,CLIENTES!B:D,3,FALSE)</f>
        <v/>
      </c>
    </row>
    <row r="1170" ht="15" customFormat="1" customHeight="1" s="278">
      <c r="B1170" s="279" t="n"/>
      <c r="C1170" s="278" t="inlineStr">
        <is>
          <t>c/ Las Cruzadas 3A, local D</t>
        </is>
      </c>
      <c r="D1170" s="278" t="inlineStr">
        <is>
          <t>Sevilla 41004</t>
        </is>
      </c>
      <c r="E1170" s="278" t="inlineStr">
        <is>
          <t>CIF B91938662</t>
        </is>
      </c>
      <c r="F1170" s="278" t="inlineStr">
        <is>
          <t>aBalados@abalados.es</t>
        </is>
      </c>
      <c r="G1170" s="278" t="inlineStr">
        <is>
          <t>Lugec Inversión Solar S.L.U.</t>
        </is>
      </c>
      <c r="H1170" s="278">
        <f>VLOOKUP($G1170,DATOS!$B:$E,2,FALSE)</f>
        <v/>
      </c>
      <c r="I1170" s="278">
        <f>VLOOKUP($G1170,DATOS!$B:$E,3,FALSE)</f>
        <v/>
      </c>
      <c r="J1170" s="278">
        <f>VLOOKUP($G1170,DATOS!$B:$E,4,FALSE)</f>
        <v/>
      </c>
      <c r="K1170" s="278" t="inlineStr">
        <is>
          <t>Contabilidad y Fiscalidad de proyecto Bonaire - 3º Trimestre</t>
        </is>
      </c>
      <c r="L1170" s="280">
        <f>ROUND('Tarifa 2025'!$D$8/4,2)</f>
        <v/>
      </c>
      <c r="M1170" s="278" t="inlineStr">
        <is>
          <t>SPV Management  Proyecto Bonaire - 3º Trimestre</t>
        </is>
      </c>
      <c r="N1170" s="280">
        <f>ROUND('Tarifa 2025'!$E$8/4,2)</f>
        <v/>
      </c>
      <c r="O1170" s="278" t="inlineStr">
        <is>
          <t>O&amp;M Management Proyecto Bonaire - 3º Trimestre</t>
        </is>
      </c>
      <c r="P1170" s="280">
        <f>ROUND('Tarifa 2025'!$G$8/4,2)</f>
        <v/>
      </c>
      <c r="Q1170" s="278" t="inlineStr">
        <is>
          <t>Consultoría - 3º Trimestre</t>
        </is>
      </c>
      <c r="R1170" s="280">
        <f>ROUND('Tarifa 2025'!$I$8/4,2)</f>
        <v/>
      </c>
      <c r="T1170" s="280" t="n"/>
      <c r="V1170" s="280" t="n"/>
      <c r="X1170" s="280" t="n"/>
      <c r="Y1170" s="278" t="inlineStr">
        <is>
          <t>Gastos derivados de contrato (3,5%)</t>
        </is>
      </c>
      <c r="Z1170" s="280">
        <f>(L1170+N1170+P1170+R1170+T1170+V1170+X1170)*0.035</f>
        <v/>
      </c>
      <c r="AA1170" s="280" t="n"/>
      <c r="AB1170" s="281" t="inlineStr">
        <is>
          <t>ES11 0081 7069 2700 0122 7724</t>
        </is>
      </c>
      <c r="AC1170" s="278" t="inlineStr">
        <is>
          <t>pagado</t>
        </is>
      </c>
      <c r="AD1170" s="280">
        <f>L1170+N1170+P1170+R1170+T1170+V1170+X1170+Z1170</f>
        <v/>
      </c>
      <c r="AE1170" s="280">
        <f>IF((LEFT(K1170,6))="Contab",L1170,0)</f>
        <v/>
      </c>
      <c r="AF1170" s="281">
        <f>VLOOKUP(G1170,CLIENTES!B:E,4,FALSE)</f>
        <v/>
      </c>
      <c r="AG1170" s="280">
        <f>AF1170*AE1170</f>
        <v/>
      </c>
      <c r="AH1170" s="280">
        <f>AD1170*1.21</f>
        <v/>
      </c>
      <c r="AI1170" s="284">
        <f>IF(AE1170&lt;&gt;0,AG1170/AD1170,"N/A")</f>
        <v/>
      </c>
      <c r="AJ1170" s="280">
        <f>IF(AC1170="pendiente",AD1170,0)</f>
        <v/>
      </c>
      <c r="AK1170" s="278">
        <f>VLOOKUP(G1170,CLIENTES!B:D,3,FALSE)</f>
        <v/>
      </c>
    </row>
    <row r="1171" ht="15" customFormat="1" customHeight="1" s="278">
      <c r="B1171" s="279" t="n"/>
      <c r="C1171" s="278" t="inlineStr">
        <is>
          <t>c/ Las Cruzadas 3A, local D</t>
        </is>
      </c>
      <c r="D1171" s="278" t="inlineStr">
        <is>
          <t>Sevilla 41004</t>
        </is>
      </c>
      <c r="E1171" s="278" t="inlineStr">
        <is>
          <t>CIF B91938662</t>
        </is>
      </c>
      <c r="F1171" s="278" t="inlineStr">
        <is>
          <t>aBalados@abalados.es</t>
        </is>
      </c>
      <c r="G1171" s="278" t="inlineStr">
        <is>
          <t>LOCABA SOLAR S.L.U.</t>
        </is>
      </c>
      <c r="H1171" s="278">
        <f>VLOOKUP($G1171,DATOS!$B:$E,2,FALSE)</f>
        <v/>
      </c>
      <c r="I1171" s="278">
        <f>VLOOKUP($G1171,DATOS!$B:$E,3,FALSE)</f>
        <v/>
      </c>
      <c r="J1171" s="278">
        <f>VLOOKUP($G1171,DATOS!$B:$E,4,FALSE)</f>
        <v/>
      </c>
      <c r="K1171" s="278" t="inlineStr">
        <is>
          <t>Contabilidad y Fiscalidad de proyecto Coreses - 3º Trimestre</t>
        </is>
      </c>
      <c r="L1171" s="280">
        <f>ROUND('Tarifa 2025'!$D$9/4,2)</f>
        <v/>
      </c>
      <c r="M1171" s="278" t="inlineStr">
        <is>
          <t>SPV Management  Proyecto Coreses - 3º Trimestre</t>
        </is>
      </c>
      <c r="N1171" s="280">
        <f>ROUND('Tarifa 2025'!$E$9/4,2)</f>
        <v/>
      </c>
      <c r="O1171" s="278" t="inlineStr">
        <is>
          <t>O&amp;M Management Proyecto Coreses - 3º Trimestre</t>
        </is>
      </c>
      <c r="P1171" s="280">
        <f>ROUND('Tarifa 2025'!$G$9/4,2)</f>
        <v/>
      </c>
      <c r="Q1171" s="278" t="inlineStr">
        <is>
          <t>Consultoría - 3º Trimestre</t>
        </is>
      </c>
      <c r="R1171" s="280">
        <f>ROUND('Tarifa 2025'!$I$9/4,2)</f>
        <v/>
      </c>
      <c r="T1171" s="280" t="n"/>
      <c r="V1171" s="280" t="n"/>
      <c r="X1171" s="280" t="n"/>
      <c r="Y1171" s="278" t="inlineStr">
        <is>
          <t>Gastos derivados de contrato (3,5%)</t>
        </is>
      </c>
      <c r="Z1171" s="280">
        <f>(L1171+N1171+P1171+R1171+T1171+V1171+X1171)*0.035</f>
        <v/>
      </c>
      <c r="AA1171" s="280" t="n"/>
      <c r="AB1171" s="281" t="inlineStr">
        <is>
          <t>ES11 0081 7069 2700 0122 7724</t>
        </is>
      </c>
      <c r="AC1171" s="278" t="inlineStr">
        <is>
          <t>pagado</t>
        </is>
      </c>
      <c r="AD1171" s="280">
        <f>L1171+N1171+P1171+R1171+T1171+V1171+X1171+Z1171</f>
        <v/>
      </c>
      <c r="AE1171" s="280">
        <f>IF((LEFT(K1171,6))="Contab",L1171,0)</f>
        <v/>
      </c>
      <c r="AF1171" s="281">
        <f>VLOOKUP(G1171,CLIENTES!B:E,4,FALSE)</f>
        <v/>
      </c>
      <c r="AG1171" s="280">
        <f>AF1171*AE1171</f>
        <v/>
      </c>
      <c r="AH1171" s="280">
        <f>AD1171*1.21</f>
        <v/>
      </c>
      <c r="AI1171" s="284">
        <f>IF(AE1171&lt;&gt;0,AG1171/AD1171,"N/A")</f>
        <v/>
      </c>
      <c r="AJ1171" s="280">
        <f>IF(AC1171="pendiente",AD1171,0)</f>
        <v/>
      </c>
      <c r="AK1171" s="278">
        <f>VLOOKUP(G1171,CLIENTES!B:D,3,FALSE)</f>
        <v/>
      </c>
    </row>
    <row r="1172" ht="15" customFormat="1" customHeight="1" s="278">
      <c r="B1172" s="279" t="n"/>
      <c r="C1172" s="278" t="inlineStr">
        <is>
          <t>c/ Las Cruzadas 3A, local D</t>
        </is>
      </c>
      <c r="D1172" s="278" t="inlineStr">
        <is>
          <t>Sevilla 41004</t>
        </is>
      </c>
      <c r="E1172" s="278" t="inlineStr">
        <is>
          <t>CIF B91938662</t>
        </is>
      </c>
      <c r="F1172" s="278" t="inlineStr">
        <is>
          <t>aBalados@abalados.es</t>
        </is>
      </c>
      <c r="G1172" s="278" t="inlineStr">
        <is>
          <t>Agrupación Solar el Algarrobo I, S.L.U.</t>
        </is>
      </c>
      <c r="H1172" s="278">
        <f>VLOOKUP($G1172,DATOS!$B:$E,2,FALSE)</f>
        <v/>
      </c>
      <c r="I1172" s="278">
        <f>VLOOKUP($G1172,DATOS!$B:$E,3,FALSE)</f>
        <v/>
      </c>
      <c r="J1172" s="278">
        <f>VLOOKUP($G1172,DATOS!$B:$E,4,FALSE)</f>
        <v/>
      </c>
      <c r="K1172" s="278" t="inlineStr">
        <is>
          <t>Contabilidad y Fiscalidad de proyecto Algarrobo I - 3º Trimestre</t>
        </is>
      </c>
      <c r="L1172" s="280">
        <f>ROUND('Tarifa 2025'!$D$12*1.89/5.49/4,2)</f>
        <v/>
      </c>
      <c r="M1172" s="278" t="inlineStr">
        <is>
          <t>SPV Management  Proyecto Algarrobo I -  3º Trimestre</t>
        </is>
      </c>
      <c r="N1172" s="280">
        <f>ROUND('Tarifa 2025'!$E$12*1.89/5.49/4,2)</f>
        <v/>
      </c>
      <c r="O1172" s="278" t="inlineStr">
        <is>
          <t>O&amp;M Management Proyecto Algarrobo I - 3º Trimestre</t>
        </is>
      </c>
      <c r="P1172" s="280">
        <f>ROUND('Tarifa 2025'!$G$12*1.89/5.49/4,2)</f>
        <v/>
      </c>
      <c r="Q1172" s="278" t="inlineStr">
        <is>
          <t>Consultoría - 3º Trimestre</t>
        </is>
      </c>
      <c r="R1172" s="280">
        <f>ROUND('Tarifas 2016'!$K$12*3*(1.89/(1.89+1.89+1.71)),2)</f>
        <v/>
      </c>
      <c r="T1172" s="280" t="n"/>
      <c r="V1172" s="280" t="n"/>
      <c r="X1172" s="280" t="n"/>
      <c r="Y1172" s="278" t="inlineStr">
        <is>
          <t>Gastos derivados de contrato (3,5%)</t>
        </is>
      </c>
      <c r="Z1172" s="280">
        <f>(L1172+N1172+P1172+R1172+T1172+V1172+X1172)*0.035</f>
        <v/>
      </c>
      <c r="AA1172" s="280" t="n"/>
      <c r="AB1172" s="281" t="inlineStr">
        <is>
          <t>ES11 0081 7069 2700 0122 7724</t>
        </is>
      </c>
      <c r="AC1172" s="278" t="inlineStr">
        <is>
          <t>pagado</t>
        </is>
      </c>
      <c r="AD1172" s="280">
        <f>L1172+N1172+P1172+R1172+T1172+V1172+X1172+Z1172</f>
        <v/>
      </c>
      <c r="AE1172" s="280">
        <f>IF((LEFT(K1172,6))="Contab",L1172,0)</f>
        <v/>
      </c>
      <c r="AF1172" s="281">
        <f>VLOOKUP(G1172,CLIENTES!B:E,4,FALSE)</f>
        <v/>
      </c>
      <c r="AG1172" s="280">
        <f>AF1172*AE1172</f>
        <v/>
      </c>
      <c r="AH1172" s="280">
        <f>AD1172*1.21</f>
        <v/>
      </c>
      <c r="AI1172" s="284">
        <f>IF(AE1172&lt;&gt;0,AG1172/AD1172,"N/A")</f>
        <v/>
      </c>
      <c r="AJ1172" s="280">
        <f>IF(AC1172="pendiente",AD1172,0)</f>
        <v/>
      </c>
      <c r="AK1172" s="278">
        <f>VLOOKUP(G1172,CLIENTES!B:D,3,FALSE)</f>
        <v/>
      </c>
    </row>
    <row r="1173" ht="15" customFormat="1" customHeight="1" s="278">
      <c r="B1173" s="279" t="n"/>
      <c r="C1173" s="278" t="inlineStr">
        <is>
          <t>c/ Las Cruzadas 3A, local D</t>
        </is>
      </c>
      <c r="D1173" s="278" t="inlineStr">
        <is>
          <t>Sevilla 41004</t>
        </is>
      </c>
      <c r="E1173" s="278" t="inlineStr">
        <is>
          <t>CIF B91938662</t>
        </is>
      </c>
      <c r="F1173" s="278" t="inlineStr">
        <is>
          <t>aBalados@abalados.es</t>
        </is>
      </c>
      <c r="G1173" s="278" t="inlineStr">
        <is>
          <t>Agrupación Solar el Algarrobo II, S.L.U.</t>
        </is>
      </c>
      <c r="H1173" s="278">
        <f>VLOOKUP($G1173,DATOS!$B:$E,2,FALSE)</f>
        <v/>
      </c>
      <c r="I1173" s="278">
        <f>VLOOKUP($G1173,DATOS!$B:$E,3,FALSE)</f>
        <v/>
      </c>
      <c r="J1173" s="278">
        <f>VLOOKUP($G1173,DATOS!$B:$E,4,FALSE)</f>
        <v/>
      </c>
      <c r="K1173" s="278" t="inlineStr">
        <is>
          <t>Contabilidad y Fiscalidad de proyecto Algarrobo II - 3º Trimestre</t>
        </is>
      </c>
      <c r="L1173" s="280">
        <f>ROUND('Tarifa 2025'!$D$12*1.89/5.49/4,2)</f>
        <v/>
      </c>
      <c r="M1173" s="278" t="inlineStr">
        <is>
          <t>SPV Management  Proyecto Algarrobo II -  3º Trimestre</t>
        </is>
      </c>
      <c r="N1173" s="280">
        <f>ROUND('Tarifa 2025'!$E$12*1.89/5.49/4,2)</f>
        <v/>
      </c>
      <c r="O1173" s="278" t="inlineStr">
        <is>
          <t>O&amp;M Management Proyecto Algarrobo II - 3º Trimestre</t>
        </is>
      </c>
      <c r="P1173" s="280">
        <f>ROUND('Tarifa 2025'!$G$12*1.89/5.49/4,2)</f>
        <v/>
      </c>
      <c r="Q1173" s="278" t="inlineStr">
        <is>
          <t>Consultoría - 3º Trimestre</t>
        </is>
      </c>
      <c r="R1173" s="280">
        <f>ROUND('Tarifas 2016'!$K$12*3*(1.89/(1.89+1.89+1.71)),2)</f>
        <v/>
      </c>
      <c r="T1173" s="280" t="n"/>
      <c r="V1173" s="280" t="n"/>
      <c r="X1173" s="280" t="n"/>
      <c r="Y1173" s="278" t="inlineStr">
        <is>
          <t>Gastos derivados de contrato (3,5%)</t>
        </is>
      </c>
      <c r="Z1173" s="280">
        <f>(L1173+N1173+P1173+R1173+T1173+V1173+X1173)*0.035</f>
        <v/>
      </c>
      <c r="AA1173" s="280" t="n"/>
      <c r="AB1173" s="281" t="inlineStr">
        <is>
          <t>ES11 0081 7069 2700 0122 7724</t>
        </is>
      </c>
      <c r="AC1173" s="278" t="inlineStr">
        <is>
          <t>pagado</t>
        </is>
      </c>
      <c r="AD1173" s="280">
        <f>L1173+N1173+P1173+R1173+T1173+V1173+X1173+Z1173</f>
        <v/>
      </c>
      <c r="AE1173" s="280">
        <f>IF((LEFT(K1173,6))="Contab",L1173,0)</f>
        <v/>
      </c>
      <c r="AF1173" s="281">
        <f>VLOOKUP(G1173,CLIENTES!B:E,4,FALSE)</f>
        <v/>
      </c>
      <c r="AG1173" s="280">
        <f>AF1173*AE1173</f>
        <v/>
      </c>
      <c r="AH1173" s="280">
        <f>AD1173*1.21</f>
        <v/>
      </c>
      <c r="AI1173" s="284">
        <f>IF(AE1173&lt;&gt;0,AG1173/AD1173,"N/A")</f>
        <v/>
      </c>
      <c r="AJ1173" s="280">
        <f>IF(AC1173="pendiente",AD1173,0)</f>
        <v/>
      </c>
      <c r="AK1173" s="278">
        <f>VLOOKUP(G1173,CLIENTES!B:D,3,FALSE)</f>
        <v/>
      </c>
    </row>
    <row r="1174" ht="15" customFormat="1" customHeight="1" s="278">
      <c r="B1174" s="279" t="n"/>
      <c r="C1174" s="278" t="inlineStr">
        <is>
          <t>c/ Las Cruzadas 3A, local D</t>
        </is>
      </c>
      <c r="D1174" s="278" t="inlineStr">
        <is>
          <t>Sevilla 41004</t>
        </is>
      </c>
      <c r="E1174" s="278" t="inlineStr">
        <is>
          <t>CIF B91938662</t>
        </is>
      </c>
      <c r="F1174" s="278" t="inlineStr">
        <is>
          <t>aBalados@abalados.es</t>
        </is>
      </c>
      <c r="G1174" s="278" t="inlineStr">
        <is>
          <t>Agrupación Solar el Algarrobo III, S.L.U.</t>
        </is>
      </c>
      <c r="H1174" s="278">
        <f>VLOOKUP($G1174,DATOS!$B:$E,2,FALSE)</f>
        <v/>
      </c>
      <c r="I1174" s="278">
        <f>VLOOKUP($G1174,DATOS!$B:$E,3,FALSE)</f>
        <v/>
      </c>
      <c r="J1174" s="278">
        <f>VLOOKUP($G1174,DATOS!$B:$E,4,FALSE)</f>
        <v/>
      </c>
      <c r="K1174" s="278" t="inlineStr">
        <is>
          <t>Contabilidad y Fiscalidad de proyecto Algarrobo III - 3º Trimestre</t>
        </is>
      </c>
      <c r="L1174" s="280">
        <f>ROUND('Tarifa 2025'!$D$12*1.71/5.49/4,2)</f>
        <v/>
      </c>
      <c r="M1174" s="278" t="inlineStr">
        <is>
          <t>SPV Management  Proyecto Algarrobo III -  3º Trimestre</t>
        </is>
      </c>
      <c r="N1174" s="280">
        <f>ROUND('Tarifa 2025'!$E$12*1.71/5.49/4,2)</f>
        <v/>
      </c>
      <c r="O1174" s="278" t="inlineStr">
        <is>
          <t>O&amp;M Management Proyecto Algarrobo III - 3º Trimestre</t>
        </is>
      </c>
      <c r="P1174" s="280">
        <f>ROUND('Tarifa 2025'!$G$12*1.71/5.49/4,2)</f>
        <v/>
      </c>
      <c r="Q1174" s="278" t="inlineStr">
        <is>
          <t>Consultoría - 3º Trimestre</t>
        </is>
      </c>
      <c r="R1174" s="280">
        <f>ROUND('Tarifas 2016'!$K$12*3*(1.71/(1.89+1.89+1.71)),2)</f>
        <v/>
      </c>
      <c r="T1174" s="280" t="n"/>
      <c r="V1174" s="280" t="n"/>
      <c r="X1174" s="280" t="n"/>
      <c r="Y1174" s="278" t="inlineStr">
        <is>
          <t>Gastos derivados de contrato (3,5%)</t>
        </is>
      </c>
      <c r="Z1174" s="280">
        <f>(L1174+N1174+P1174+R1174+T1174+V1174+X1174)*0.035</f>
        <v/>
      </c>
      <c r="AA1174" s="280" t="n"/>
      <c r="AB1174" s="281" t="inlineStr">
        <is>
          <t>ES11 0081 7069 2700 0122 7724</t>
        </is>
      </c>
      <c r="AC1174" s="278" t="inlineStr">
        <is>
          <t>pagado</t>
        </is>
      </c>
      <c r="AD1174" s="280">
        <f>L1174+N1174+P1174+R1174+T1174+V1174+X1174+Z1174</f>
        <v/>
      </c>
      <c r="AE1174" s="280">
        <f>IF((LEFT(K1174,6))="Contab",L1174,0)</f>
        <v/>
      </c>
      <c r="AF1174" s="281">
        <f>VLOOKUP(G1174,CLIENTES!B:E,4,FALSE)</f>
        <v/>
      </c>
      <c r="AG1174" s="280">
        <f>AF1174*AE1174</f>
        <v/>
      </c>
      <c r="AH1174" s="280">
        <f>AD1174*1.21</f>
        <v/>
      </c>
      <c r="AI1174" s="284">
        <f>IF(AE1174&lt;&gt;0,AG1174/AD1174,"N/A")</f>
        <v/>
      </c>
      <c r="AJ1174" s="280">
        <f>IF(AC1174="pendiente",AD1174,0)</f>
        <v/>
      </c>
      <c r="AK1174" s="278">
        <f>VLOOKUP(G1174,CLIENTES!B:D,3,FALSE)</f>
        <v/>
      </c>
    </row>
    <row r="1175" ht="15" customFormat="1" customHeight="1" s="278">
      <c r="B1175" s="279" t="n"/>
      <c r="C1175" s="278" t="inlineStr">
        <is>
          <t>c/ Las Cruzadas 3A, local D</t>
        </is>
      </c>
      <c r="D1175" s="278" t="inlineStr">
        <is>
          <t>Sevilla 41004</t>
        </is>
      </c>
      <c r="E1175" s="278" t="inlineStr">
        <is>
          <t>CIF B91938662</t>
        </is>
      </c>
      <c r="F1175" s="278" t="inlineStr">
        <is>
          <t>aBalados@abalados.es</t>
        </is>
      </c>
      <c r="G1175" s="278" t="inlineStr">
        <is>
          <t>WOC Fotovoltaica España Proyecto Sollana S.L.U.</t>
        </is>
      </c>
      <c r="H1175" s="278">
        <f>VLOOKUP($G1175,DATOS!$B:$E,2,FALSE)</f>
        <v/>
      </c>
      <c r="I1175" s="278">
        <f>VLOOKUP($G1175,DATOS!$B:$E,3,FALSE)</f>
        <v/>
      </c>
      <c r="J1175" s="278">
        <f>VLOOKUP($G1175,DATOS!$B:$E,4,FALSE)</f>
        <v/>
      </c>
      <c r="K1175" s="278" t="inlineStr">
        <is>
          <t>Contabilidad y Fiscalidad de proyecto Sollana - 3º Trimestre</t>
        </is>
      </c>
      <c r="L1175" s="280">
        <f>ROUND('Tarifa 2025'!$D$13/4,2)</f>
        <v/>
      </c>
      <c r="M1175" s="278" t="inlineStr">
        <is>
          <t>SPV Management  Proyecto Sollana - 3º Trimestre</t>
        </is>
      </c>
      <c r="N1175" s="280">
        <f>ROUND('Tarifa 2025'!$E$13/4,2)</f>
        <v/>
      </c>
      <c r="O1175" s="278" t="inlineStr">
        <is>
          <t>O&amp;M Management Proyecto Sollana - 3º Trimestre</t>
        </is>
      </c>
      <c r="P1175" s="280">
        <f>ROUND('Tarifa 2025'!$G$13/4,2)</f>
        <v/>
      </c>
      <c r="Q1175" s="278" t="inlineStr">
        <is>
          <t>Consultoría - 3º Trimestre</t>
        </is>
      </c>
      <c r="R1175" s="280">
        <f>ROUND('Tarifa 2025'!$I$13/4,2)</f>
        <v/>
      </c>
      <c r="T1175" s="280" t="n"/>
      <c r="V1175" s="280" t="n"/>
      <c r="X1175" s="280" t="n"/>
      <c r="Y1175" s="278" t="inlineStr">
        <is>
          <t>Gastos derivados de contrato (3,5%)</t>
        </is>
      </c>
      <c r="Z1175" s="280">
        <f>(L1175+N1175+P1175+R1175+T1175+V1175+X1175)*0.035</f>
        <v/>
      </c>
      <c r="AA1175" s="280" t="n"/>
      <c r="AB1175" s="281" t="inlineStr">
        <is>
          <t>ES11 0081 7069 2700 0122 7724</t>
        </is>
      </c>
      <c r="AC1175" s="278" t="inlineStr">
        <is>
          <t>pagado</t>
        </is>
      </c>
      <c r="AD1175" s="280">
        <f>L1175+N1175+P1175+R1175+T1175+V1175+X1175+Z1175</f>
        <v/>
      </c>
      <c r="AE1175" s="280">
        <f>IF((LEFT(K1175,6))="Contab",L1175,0)</f>
        <v/>
      </c>
      <c r="AF1175" s="281">
        <f>VLOOKUP(G1175,CLIENTES!B:E,4,FALSE)</f>
        <v/>
      </c>
      <c r="AG1175" s="280">
        <f>AF1175*AE1175</f>
        <v/>
      </c>
      <c r="AH1175" s="280">
        <f>AD1175*1.21</f>
        <v/>
      </c>
      <c r="AI1175" s="284">
        <f>IF(AE1175&lt;&gt;0,AG1175/AD1175,"N/A")</f>
        <v/>
      </c>
      <c r="AJ1175" s="280">
        <f>IF(AC1175="pendiente",AD1175,0)</f>
        <v/>
      </c>
      <c r="AK1175" s="278">
        <f>VLOOKUP(G1175,CLIENTES!B:D,3,FALSE)</f>
        <v/>
      </c>
    </row>
    <row r="1176" ht="15" customFormat="1" customHeight="1" s="278">
      <c r="B1176" s="279" t="n"/>
      <c r="C1176" s="278" t="inlineStr">
        <is>
          <t>c/ Las Cruzadas 3A, local D</t>
        </is>
      </c>
      <c r="D1176" s="278" t="inlineStr">
        <is>
          <t>Sevilla 41004</t>
        </is>
      </c>
      <c r="E1176" s="278" t="inlineStr">
        <is>
          <t>CIF B91938662</t>
        </is>
      </c>
      <c r="F1176" s="278" t="inlineStr">
        <is>
          <t>aBalados@abalados.es</t>
        </is>
      </c>
      <c r="G1176" s="278" t="inlineStr">
        <is>
          <t>ES Garrovers Energía Solar S.L.U.</t>
        </is>
      </c>
      <c r="H1176" s="278">
        <f>VLOOKUP($G1176,DATOS!$B:$E,2,FALSE)</f>
        <v/>
      </c>
      <c r="I1176" s="278">
        <f>VLOOKUP($G1176,DATOS!$B:$E,3,FALSE)</f>
        <v/>
      </c>
      <c r="J1176" s="278">
        <f>VLOOKUP($G1176,DATOS!$B:$E,4,FALSE)</f>
        <v/>
      </c>
      <c r="K1176" s="278" t="inlineStr">
        <is>
          <t>Contabilidad y Fiscalidad de proyecto Artà - 3º Trimestre</t>
        </is>
      </c>
      <c r="L1176" s="280">
        <f>ROUND('Tarifa 2025'!$D$14/4,2)</f>
        <v/>
      </c>
      <c r="M1176" s="278" t="inlineStr">
        <is>
          <t>SPV Management  Proyecto Artà - 3º Trimestre</t>
        </is>
      </c>
      <c r="N1176" s="280">
        <f>ROUND('Tarifa 2025'!$E$14/4,2)</f>
        <v/>
      </c>
      <c r="O1176" s="278" t="inlineStr">
        <is>
          <t>O&amp;M Management Proyecto Artà - 3º Trimestre</t>
        </is>
      </c>
      <c r="P1176" s="280">
        <f>ROUND('Tarifa 2025'!$G$14/4,2)</f>
        <v/>
      </c>
      <c r="Q1176" s="278" t="inlineStr">
        <is>
          <t>Consultoría - 3º Trimestre</t>
        </is>
      </c>
      <c r="R1176" s="280">
        <f>ROUND('Tarifa 2025'!$I$14/4,2)</f>
        <v/>
      </c>
      <c r="T1176" s="280" t="n"/>
      <c r="V1176" s="280" t="n"/>
      <c r="X1176" s="280" t="n"/>
      <c r="Y1176" s="278" t="inlineStr">
        <is>
          <t>Gastos derivados de contrato (3,5%)</t>
        </is>
      </c>
      <c r="Z1176" s="280">
        <f>(L1176+N1176+P1176+R1176+T1176+V1176+X1176)*0.035</f>
        <v/>
      </c>
      <c r="AA1176" s="280" t="n"/>
      <c r="AB1176" s="281" t="inlineStr">
        <is>
          <t>ES11 0081 7069 2700 0122 7724</t>
        </is>
      </c>
      <c r="AC1176" s="278" t="inlineStr">
        <is>
          <t>pagado</t>
        </is>
      </c>
      <c r="AD1176" s="280">
        <f>L1176+N1176+P1176+R1176+T1176+V1176+X1176+Z1176</f>
        <v/>
      </c>
      <c r="AE1176" s="280">
        <f>IF((LEFT(K1176,6))="Contab",L1176,0)</f>
        <v/>
      </c>
      <c r="AF1176" s="281">
        <f>VLOOKUP(G1176,CLIENTES!B:E,4,FALSE)</f>
        <v/>
      </c>
      <c r="AG1176" s="280">
        <f>AF1176*AE1176</f>
        <v/>
      </c>
      <c r="AH1176" s="280">
        <f>AD1176*1.21</f>
        <v/>
      </c>
      <c r="AI1176" s="284">
        <f>IF(AE1176&lt;&gt;0,AG1176/AD1176,"N/A")</f>
        <v/>
      </c>
      <c r="AJ1176" s="280">
        <f>IF(AC1176="pendiente",AD1176,0)</f>
        <v/>
      </c>
      <c r="AK1176" s="278">
        <f>VLOOKUP(G1176,CLIENTES!B:D,3,FALSE)</f>
        <v/>
      </c>
    </row>
    <row r="1177" ht="15" customFormat="1" customHeight="1" s="278">
      <c r="B1177" s="279" t="n"/>
      <c r="C1177" s="278" t="inlineStr">
        <is>
          <t>c/ Las Cruzadas 3A, local D</t>
        </is>
      </c>
      <c r="D1177" s="278" t="inlineStr">
        <is>
          <t>Sevilla 41004</t>
        </is>
      </c>
      <c r="E1177" s="278" t="inlineStr">
        <is>
          <t>CIF B91938662</t>
        </is>
      </c>
      <c r="F1177" s="278" t="inlineStr">
        <is>
          <t>aBalados@abalados.es</t>
        </is>
      </c>
      <c r="G1177" s="278" t="inlineStr">
        <is>
          <t>Contreras Parque Solar S.L.U.</t>
        </is>
      </c>
      <c r="H1177" s="278">
        <f>VLOOKUP($G1177,DATOS!$B:$E,2,FALSE)</f>
        <v/>
      </c>
      <c r="I1177" s="278">
        <f>VLOOKUP($G1177,DATOS!$B:$E,3,FALSE)</f>
        <v/>
      </c>
      <c r="J1177" s="278">
        <f>VLOOKUP($G1177,DATOS!$B:$E,4,FALSE)</f>
        <v/>
      </c>
      <c r="K1177" s="278" t="inlineStr">
        <is>
          <t>Contabilidad y Fiscalidad de proyecto Casa Roja - 3º Trimestre</t>
        </is>
      </c>
      <c r="L1177" s="280">
        <f>ROUND('Tarifa 2025'!$D$15/4,2)</f>
        <v/>
      </c>
      <c r="M1177" s="278" t="inlineStr">
        <is>
          <t>SPV Management  Proyecto Contreras - 3º Trimestre</t>
        </is>
      </c>
      <c r="N1177" s="280">
        <f>ROUND('Tarifa 2025'!$E$15/4,2)</f>
        <v/>
      </c>
      <c r="O1177" s="278" t="inlineStr">
        <is>
          <t>O&amp;M Management Proyecto Contreras - 3º Trimestre</t>
        </is>
      </c>
      <c r="P1177" s="280">
        <f>ROUND('Tarifa 2025'!$G$15/4,2)</f>
        <v/>
      </c>
      <c r="Q1177" s="278" t="inlineStr">
        <is>
          <t>Consultoría - 3º Trimestre</t>
        </is>
      </c>
      <c r="R1177" s="280">
        <f>ROUND('Tarifa 2025'!$I$15/4,2)</f>
        <v/>
      </c>
      <c r="T1177" s="280" t="n"/>
      <c r="V1177" s="280" t="n"/>
      <c r="X1177" s="280" t="n"/>
      <c r="Y1177" s="278" t="inlineStr">
        <is>
          <t>Gastos derivados de contrato (3,5%)</t>
        </is>
      </c>
      <c r="Z1177" s="280">
        <f>(L1177+N1177+P1177+R1177+T1177+V1177+X1177)*0.035</f>
        <v/>
      </c>
      <c r="AA1177" s="280" t="n"/>
      <c r="AB1177" s="281" t="inlineStr">
        <is>
          <t>ES11 0081 7069 2700 0122 7724</t>
        </is>
      </c>
      <c r="AC1177" s="278" t="inlineStr">
        <is>
          <t>pagado</t>
        </is>
      </c>
      <c r="AD1177" s="280">
        <f>L1177+N1177+P1177+R1177+T1177+V1177+X1177+Z1177</f>
        <v/>
      </c>
      <c r="AE1177" s="280">
        <f>IF((LEFT(K1177,6))="Contab",L1177,0)</f>
        <v/>
      </c>
      <c r="AF1177" s="281">
        <f>VLOOKUP(G1177,CLIENTES!B:E,4,FALSE)</f>
        <v/>
      </c>
      <c r="AG1177" s="280">
        <f>AF1177*AE1177</f>
        <v/>
      </c>
      <c r="AH1177" s="280">
        <f>AD1177*1.21</f>
        <v/>
      </c>
      <c r="AI1177" s="284">
        <f>IF(AE1177&lt;&gt;0,AG1177/AD1177,"N/A")</f>
        <v/>
      </c>
      <c r="AJ1177" s="280">
        <f>IF(AC1177="pendiente",AD1177,0)</f>
        <v/>
      </c>
      <c r="AK1177" s="278">
        <f>VLOOKUP(G1177,CLIENTES!B:D,3,FALSE)</f>
        <v/>
      </c>
    </row>
    <row r="1178" ht="15" customFormat="1" customHeight="1" s="278">
      <c r="B1178" s="279" t="n"/>
      <c r="C1178" s="278" t="inlineStr">
        <is>
          <t>c/ Las Cruzadas 3A, local D</t>
        </is>
      </c>
      <c r="D1178" s="278" t="inlineStr">
        <is>
          <t>Sevilla 41004</t>
        </is>
      </c>
      <c r="E1178" s="278" t="inlineStr">
        <is>
          <t>CIF B91938662</t>
        </is>
      </c>
      <c r="F1178" s="278" t="inlineStr">
        <is>
          <t>aBalados@abalados.es</t>
        </is>
      </c>
      <c r="G1178" s="278" t="inlineStr">
        <is>
          <t>Lo Illán  Parque Solar S.L.U.</t>
        </is>
      </c>
      <c r="H1178" s="278">
        <f>VLOOKUP($G1178,DATOS!$B:$E,2,FALSE)</f>
        <v/>
      </c>
      <c r="I1178" s="278">
        <f>VLOOKUP($G1178,DATOS!$B:$E,3,FALSE)</f>
        <v/>
      </c>
      <c r="J1178" s="278">
        <f>VLOOKUP($G1178,DATOS!$B:$E,4,FALSE)</f>
        <v/>
      </c>
      <c r="K1178" s="278" t="inlineStr">
        <is>
          <t>Contabilidad y Fiscalidad de proyecto Casa Roja - 3º Trimestre</t>
        </is>
      </c>
      <c r="L1178" s="280">
        <f>ROUND('Tarifa 2025'!$D$16/4,2)</f>
        <v/>
      </c>
      <c r="M1178" s="278" t="inlineStr">
        <is>
          <t>SPV Management  Proyecto Lo Illán - 3º Trimestre</t>
        </is>
      </c>
      <c r="N1178" s="280">
        <f>ROUND('Tarifa 2025'!$E$16/4,2)</f>
        <v/>
      </c>
      <c r="O1178" s="278" t="inlineStr">
        <is>
          <t>O&amp;M Management Proyecto Lo Illán - 3º Trimestre</t>
        </is>
      </c>
      <c r="P1178" s="280">
        <f>ROUND('Tarifa 2025'!$G$16/4,2)</f>
        <v/>
      </c>
      <c r="Q1178" s="278" t="inlineStr">
        <is>
          <t>Consultoría - 3º Trimestre</t>
        </is>
      </c>
      <c r="R1178" s="280">
        <f>ROUND('Tarifa 2025'!$I$16/4,2)</f>
        <v/>
      </c>
      <c r="T1178" s="280" t="n"/>
      <c r="V1178" s="280" t="n"/>
      <c r="X1178" s="280" t="n"/>
      <c r="Y1178" s="278" t="inlineStr">
        <is>
          <t>Gastos derivados de contrato (3,5%)</t>
        </is>
      </c>
      <c r="Z1178" s="280">
        <f>(L1178+N1178+P1178+R1178+T1178+V1178+X1178)*0.035</f>
        <v/>
      </c>
      <c r="AA1178" s="280" t="n"/>
      <c r="AB1178" s="281" t="inlineStr">
        <is>
          <t>ES11 0081 7069 2700 0122 7724</t>
        </is>
      </c>
      <c r="AC1178" s="278" t="inlineStr">
        <is>
          <t>pagado</t>
        </is>
      </c>
      <c r="AD1178" s="280">
        <f>L1178+N1178+P1178+R1178+T1178+V1178+X1178+Z1178</f>
        <v/>
      </c>
      <c r="AE1178" s="280">
        <f>IF((LEFT(K1178,6))="Contab",L1178,0)</f>
        <v/>
      </c>
      <c r="AF1178" s="281">
        <f>VLOOKUP(G1178,CLIENTES!B:E,4,FALSE)</f>
        <v/>
      </c>
      <c r="AG1178" s="280">
        <f>AF1178*AE1178</f>
        <v/>
      </c>
      <c r="AH1178" s="280">
        <f>AD1178*1.21</f>
        <v/>
      </c>
      <c r="AI1178" s="284">
        <f>IF(AE1178&lt;&gt;0,AG1178/AD1178,"N/A")</f>
        <v/>
      </c>
      <c r="AJ1178" s="280">
        <f>IF(AC1178="pendiente",AD1178,0)</f>
        <v/>
      </c>
      <c r="AK1178" s="278">
        <f>VLOOKUP(G1178,CLIENTES!B:D,3,FALSE)</f>
        <v/>
      </c>
    </row>
    <row r="1179" ht="15" customFormat="1" customHeight="1" s="278">
      <c r="B1179" s="279" t="n"/>
      <c r="C1179" s="278" t="inlineStr">
        <is>
          <t>c/ Las Cruzadas 3A, local D</t>
        </is>
      </c>
      <c r="D1179" s="278" t="inlineStr">
        <is>
          <t>Sevilla 41004</t>
        </is>
      </c>
      <c r="E1179" s="278" t="inlineStr">
        <is>
          <t>CIF B91938662</t>
        </is>
      </c>
      <c r="F1179" s="278" t="inlineStr">
        <is>
          <t>aBalados@abalados.es</t>
        </is>
      </c>
      <c r="G1179" s="278" t="inlineStr">
        <is>
          <t>Turbinto Parque Solar S.L.U.</t>
        </is>
      </c>
      <c r="H1179" s="278">
        <f>VLOOKUP($G1179,DATOS!$B:$E,2,FALSE)</f>
        <v/>
      </c>
      <c r="I1179" s="278">
        <f>VLOOKUP($G1179,DATOS!$B:$E,3,FALSE)</f>
        <v/>
      </c>
      <c r="J1179" s="278">
        <f>VLOOKUP($G1179,DATOS!$B:$E,4,FALSE)</f>
        <v/>
      </c>
      <c r="K1179" s="278" t="inlineStr">
        <is>
          <t>Contabilidad y Fiscalidad de proyecto Casa Roja - 3º Trimestre</t>
        </is>
      </c>
      <c r="L1179" s="280">
        <f>ROUND('Tarifa 2025'!$D$17/4,2)</f>
        <v/>
      </c>
      <c r="M1179" s="278" t="inlineStr">
        <is>
          <t>SPV Management  Proyecto Turbinto - 3º Trimestre</t>
        </is>
      </c>
      <c r="N1179" s="280">
        <f>ROUND('Tarifa 2025'!$E$17/4,2)</f>
        <v/>
      </c>
      <c r="O1179" s="278" t="inlineStr">
        <is>
          <t>O&amp;M Management Proyecto Turbinto - 3º Trimestre</t>
        </is>
      </c>
      <c r="P1179" s="280">
        <f>ROUND('Tarifa 2025'!$G$17/4,2)</f>
        <v/>
      </c>
      <c r="Q1179" s="278" t="inlineStr">
        <is>
          <t>Consultoría - 3º Trimestre</t>
        </is>
      </c>
      <c r="R1179" s="280">
        <f>ROUND('Tarifa 2025'!$I$17/4,2)</f>
        <v/>
      </c>
      <c r="T1179" s="280" t="n"/>
      <c r="V1179" s="280" t="n"/>
      <c r="X1179" s="280" t="n"/>
      <c r="Y1179" s="278" t="inlineStr">
        <is>
          <t>Gastos derivados de contrato (3,5%)</t>
        </is>
      </c>
      <c r="Z1179" s="280">
        <f>(L1179+N1179+P1179+R1179+T1179+V1179+X1179)*0.035</f>
        <v/>
      </c>
      <c r="AA1179" s="280" t="n"/>
      <c r="AB1179" s="281" t="inlineStr">
        <is>
          <t>ES11 0081 7069 2700 0122 7724</t>
        </is>
      </c>
      <c r="AC1179" s="278" t="inlineStr">
        <is>
          <t>pagado</t>
        </is>
      </c>
      <c r="AD1179" s="280">
        <f>L1179+N1179+P1179+R1179+T1179+V1179+X1179+Z1179</f>
        <v/>
      </c>
      <c r="AE1179" s="280">
        <f>IF((LEFT(K1179,6))="Contab",L1179,0)</f>
        <v/>
      </c>
      <c r="AF1179" s="281">
        <f>VLOOKUP(G1179,CLIENTES!B:E,4,FALSE)</f>
        <v/>
      </c>
      <c r="AG1179" s="280">
        <f>AF1179*AE1179</f>
        <v/>
      </c>
      <c r="AH1179" s="280">
        <f>AD1179*1.21</f>
        <v/>
      </c>
      <c r="AI1179" s="284">
        <f>IF(AE1179&lt;&gt;0,AG1179/AD1179,"N/A")</f>
        <v/>
      </c>
      <c r="AJ1179" s="280">
        <f>IF(AC1179="pendiente",AD1179,0)</f>
        <v/>
      </c>
      <c r="AK1179" s="278">
        <f>VLOOKUP(G1179,CLIENTES!B:D,3,FALSE)</f>
        <v/>
      </c>
    </row>
    <row r="1180" ht="15" customFormat="1" customHeight="1" s="278">
      <c r="B1180" s="279" t="n"/>
      <c r="C1180" s="278" t="inlineStr">
        <is>
          <t>c/ Las Cruzadas 3A, local D</t>
        </is>
      </c>
      <c r="D1180" s="278" t="inlineStr">
        <is>
          <t>Sevilla 41004</t>
        </is>
      </c>
      <c r="E1180" s="278" t="inlineStr">
        <is>
          <t>CIF B91938662</t>
        </is>
      </c>
      <c r="F1180" s="278" t="inlineStr">
        <is>
          <t>aBalados@abalados.es</t>
        </is>
      </c>
      <c r="G1180" s="278" t="inlineStr">
        <is>
          <t>Amberg V S.L.U.</t>
        </is>
      </c>
      <c r="H1180" s="278">
        <f>VLOOKUP($G1180,DATOS!$B:$E,2,FALSE)</f>
        <v/>
      </c>
      <c r="I1180" s="278">
        <f>VLOOKUP($G1180,DATOS!$B:$E,3,FALSE)</f>
        <v/>
      </c>
      <c r="J1180" s="278">
        <f>VLOOKUP($G1180,DATOS!$B:$E,4,FALSE)</f>
        <v/>
      </c>
      <c r="K1180" s="278" t="inlineStr">
        <is>
          <t>Contabilidad y Fiscalidad de proyecto - 3º Trimestre</t>
        </is>
      </c>
      <c r="L1180" s="280">
        <f>ROUND('Tarifa 2025'!$D$18/4/6,2)</f>
        <v/>
      </c>
      <c r="M1180" s="278" t="inlineStr">
        <is>
          <t>SPV Management de Proyecto - 3º Trimestre</t>
        </is>
      </c>
      <c r="N1180" s="280">
        <f>ROUND('Tarifa 2025'!$E$18/6/4,2)</f>
        <v/>
      </c>
      <c r="O1180" s="278" t="inlineStr">
        <is>
          <t>O&amp;M Management de Proyecto - 3º Trimestre</t>
        </is>
      </c>
      <c r="P1180" s="280">
        <f>ROUND('Tarifa 2025'!$G$18/6/4,2)</f>
        <v/>
      </c>
      <c r="R1180" s="280" t="n"/>
      <c r="T1180" s="280" t="n"/>
      <c r="V1180" s="280" t="n"/>
      <c r="X1180" s="280" t="n"/>
      <c r="Y1180" s="278" t="inlineStr">
        <is>
          <t>Gastos derivados de contrato (3,5%)</t>
        </is>
      </c>
      <c r="Z1180" s="280">
        <f>(L1180+N1180+P1180+R1180+T1180+V1180+X1180)*0.035</f>
        <v/>
      </c>
      <c r="AA1180" s="280" t="n"/>
      <c r="AB1180" s="281" t="inlineStr">
        <is>
          <t>ES11 0081 7069 2700 0122 7724</t>
        </is>
      </c>
      <c r="AC1180" s="278" t="inlineStr">
        <is>
          <t>pagado</t>
        </is>
      </c>
      <c r="AD1180" s="280">
        <f>L1180+N1180+P1180+R1180+T1180+V1180+X1180+Z1180</f>
        <v/>
      </c>
      <c r="AE1180" s="280">
        <f>IF((LEFT(K1180,6))="Contab",L1180,0)</f>
        <v/>
      </c>
      <c r="AF1180" s="281">
        <f>VLOOKUP(G1180,CLIENTES!B:E,4,FALSE)</f>
        <v/>
      </c>
      <c r="AG1180" s="280">
        <f>AF1180*AE1180</f>
        <v/>
      </c>
      <c r="AH1180" s="280">
        <f>AD1180*1.21</f>
        <v/>
      </c>
      <c r="AI1180" s="284">
        <f>IF(AE1180&lt;&gt;0,AG1180/AD1180,"N/A")</f>
        <v/>
      </c>
      <c r="AJ1180" s="280">
        <f>IF(AC1180="pendiente",AD1180,0)</f>
        <v/>
      </c>
      <c r="AK1180" s="278">
        <f>VLOOKUP(G1180,CLIENTES!B:D,3,FALSE)</f>
        <v/>
      </c>
    </row>
    <row r="1181" ht="15" customFormat="1" customHeight="1" s="278">
      <c r="B1181" s="279" t="n"/>
      <c r="C1181" s="278" t="inlineStr">
        <is>
          <t>c/ Las Cruzadas 3A, local D</t>
        </is>
      </c>
      <c r="D1181" s="278" t="inlineStr">
        <is>
          <t>Sevilla 41004</t>
        </is>
      </c>
      <c r="E1181" s="278" t="inlineStr">
        <is>
          <t>CIF B91938662</t>
        </is>
      </c>
      <c r="F1181" s="278" t="inlineStr">
        <is>
          <t>aBalados@abalados.es</t>
        </is>
      </c>
      <c r="G1181" s="278" t="inlineStr">
        <is>
          <t>Solar Photo Collect S.L.U.</t>
        </is>
      </c>
      <c r="H1181" s="278">
        <f>VLOOKUP($G1181,DATOS!$B:$E,2,FALSE)</f>
        <v/>
      </c>
      <c r="I1181" s="278">
        <f>VLOOKUP($G1181,DATOS!$B:$E,3,FALSE)</f>
        <v/>
      </c>
      <c r="J1181" s="278">
        <f>VLOOKUP($G1181,DATOS!$B:$E,4,FALSE)</f>
        <v/>
      </c>
      <c r="K1181" s="278" t="inlineStr">
        <is>
          <t>Contabilidad y Fiscalidad de proyecto - 3º Trimestre</t>
        </is>
      </c>
      <c r="L1181" s="280">
        <f>ROUND('Tarifa 2025'!$D$18/4/6,2)</f>
        <v/>
      </c>
      <c r="M1181" s="278" t="inlineStr">
        <is>
          <t>SPV Management de Proyecto - 3º Trimestre</t>
        </is>
      </c>
      <c r="N1181" s="280">
        <f>ROUND('Tarifa 2025'!$E$18/6/4,2)</f>
        <v/>
      </c>
      <c r="O1181" s="278" t="inlineStr">
        <is>
          <t>O&amp;M Management de Proyecto - 3º Trimestre</t>
        </is>
      </c>
      <c r="P1181" s="280">
        <f>ROUND('Tarifa 2025'!$G$18/6/4,2)</f>
        <v/>
      </c>
      <c r="R1181" s="280" t="n"/>
      <c r="T1181" s="280" t="n"/>
      <c r="V1181" s="280" t="n"/>
      <c r="X1181" s="280" t="n"/>
      <c r="Y1181" s="278" t="inlineStr">
        <is>
          <t>Gastos derivados de contrato (3,5%)</t>
        </is>
      </c>
      <c r="Z1181" s="280">
        <f>(L1181+N1181+P1181+R1181+T1181+V1181+X1181)*0.035</f>
        <v/>
      </c>
      <c r="AA1181" s="280" t="n"/>
      <c r="AB1181" s="281" t="inlineStr">
        <is>
          <t>ES11 0081 7069 2700 0122 7724</t>
        </is>
      </c>
      <c r="AC1181" s="278" t="inlineStr">
        <is>
          <t>pagado</t>
        </is>
      </c>
      <c r="AD1181" s="280">
        <f>L1181+N1181+P1181+R1181+T1181+V1181+X1181+Z1181</f>
        <v/>
      </c>
      <c r="AE1181" s="280">
        <f>IF((LEFT(K1181,6))="Contab",L1181,0)</f>
        <v/>
      </c>
      <c r="AF1181" s="281">
        <f>VLOOKUP(G1181,CLIENTES!B:E,4,FALSE)</f>
        <v/>
      </c>
      <c r="AG1181" s="280">
        <f>AF1181*AE1181</f>
        <v/>
      </c>
      <c r="AH1181" s="280">
        <f>AD1181*1.21</f>
        <v/>
      </c>
      <c r="AI1181" s="284">
        <f>IF(AE1181&lt;&gt;0,AG1181/AD1181,"N/A")</f>
        <v/>
      </c>
      <c r="AJ1181" s="280">
        <f>IF(AC1181="pendiente",AD1181,0)</f>
        <v/>
      </c>
      <c r="AK1181" s="278">
        <f>VLOOKUP(G1181,CLIENTES!B:D,3,FALSE)</f>
        <v/>
      </c>
    </row>
    <row r="1182" ht="15" customFormat="1" customHeight="1" s="278">
      <c r="B1182" s="279" t="n"/>
      <c r="C1182" s="278" t="inlineStr">
        <is>
          <t>c/ Las Cruzadas 3A, local D</t>
        </is>
      </c>
      <c r="D1182" s="278" t="inlineStr">
        <is>
          <t>Sevilla 41004</t>
        </is>
      </c>
      <c r="E1182" s="278" t="inlineStr">
        <is>
          <t>CIF B91938662</t>
        </is>
      </c>
      <c r="F1182" s="278" t="inlineStr">
        <is>
          <t>aBalados@abalados.es</t>
        </is>
      </c>
      <c r="G1182" s="278" t="inlineStr">
        <is>
          <t xml:space="preserve">Rasteding PV I, S.L.U. </t>
        </is>
      </c>
      <c r="H1182" s="278">
        <f>VLOOKUP($G1182,DATOS!$B:$E,2,FALSE)</f>
        <v/>
      </c>
      <c r="I1182" s="278">
        <f>VLOOKUP($G1182,DATOS!$B:$E,3,FALSE)</f>
        <v/>
      </c>
      <c r="J1182" s="278">
        <f>VLOOKUP($G1182,DATOS!$B:$E,4,FALSE)</f>
        <v/>
      </c>
      <c r="K1182" s="278" t="inlineStr">
        <is>
          <t>Contabilidad y Fiscalidad de proyecto - 3º Trimestre</t>
        </is>
      </c>
      <c r="L1182" s="280">
        <f>ROUND('Tarifa 2025'!$D$18/4/6,2)</f>
        <v/>
      </c>
      <c r="M1182" s="278" t="inlineStr">
        <is>
          <t>SPV Management de Proyecto - 3º Trimestre</t>
        </is>
      </c>
      <c r="N1182" s="280">
        <f>ROUND('Tarifa 2025'!$E$18/6/4,2)</f>
        <v/>
      </c>
      <c r="O1182" s="278" t="inlineStr">
        <is>
          <t>O&amp;M Management de Proyecto - 3º Trimestre</t>
        </is>
      </c>
      <c r="P1182" s="280">
        <f>ROUND('Tarifa 2025'!$G$18/6/4,2)</f>
        <v/>
      </c>
      <c r="R1182" s="280" t="n"/>
      <c r="T1182" s="280" t="n"/>
      <c r="V1182" s="280" t="n"/>
      <c r="X1182" s="280" t="n"/>
      <c r="Y1182" s="278" t="inlineStr">
        <is>
          <t>Gastos derivados de contrato (3,5%)</t>
        </is>
      </c>
      <c r="Z1182" s="280">
        <f>(L1182+N1182+P1182+R1182+T1182+V1182+X1182)*0.035</f>
        <v/>
      </c>
      <c r="AA1182" s="280" t="n"/>
      <c r="AB1182" s="281" t="inlineStr">
        <is>
          <t>ES11 0081 7069 2700 0122 7724</t>
        </is>
      </c>
      <c r="AC1182" s="278" t="inlineStr">
        <is>
          <t>pagado</t>
        </is>
      </c>
      <c r="AD1182" s="280">
        <f>L1182+N1182+P1182+R1182+T1182+V1182+X1182+Z1182</f>
        <v/>
      </c>
      <c r="AE1182" s="280">
        <f>IF((LEFT(K1182,6))="Contab",L1182,0)</f>
        <v/>
      </c>
      <c r="AF1182" s="281">
        <f>VLOOKUP(G1182,CLIENTES!B:E,4,FALSE)</f>
        <v/>
      </c>
      <c r="AG1182" s="280">
        <f>AF1182*AE1182</f>
        <v/>
      </c>
      <c r="AH1182" s="280">
        <f>AD1182*1.21</f>
        <v/>
      </c>
      <c r="AI1182" s="284">
        <f>IF(AE1182&lt;&gt;0,AG1182/AD1182,"N/A")</f>
        <v/>
      </c>
      <c r="AJ1182" s="280">
        <f>IF(AC1182="pendiente",AD1182,0)</f>
        <v/>
      </c>
      <c r="AK1182" s="278">
        <f>VLOOKUP(G1182,CLIENTES!B:D,3,FALSE)</f>
        <v/>
      </c>
    </row>
    <row r="1183" ht="15" customFormat="1" customHeight="1" s="278">
      <c r="B1183" s="279" t="n"/>
      <c r="C1183" s="278" t="inlineStr">
        <is>
          <t>c/ Las Cruzadas 3A, local D</t>
        </is>
      </c>
      <c r="D1183" s="278" t="inlineStr">
        <is>
          <t>Sevilla 41004</t>
        </is>
      </c>
      <c r="E1183" s="278" t="inlineStr">
        <is>
          <t>CIF B91938662</t>
        </is>
      </c>
      <c r="F1183" s="278" t="inlineStr">
        <is>
          <t>aBalados@abalados.es</t>
        </is>
      </c>
      <c r="G1183" s="278" t="inlineStr">
        <is>
          <t>Amberg II S.L.U.</t>
        </is>
      </c>
      <c r="H1183" s="278">
        <f>VLOOKUP($G1183,DATOS!$B:$E,2,FALSE)</f>
        <v/>
      </c>
      <c r="I1183" s="278">
        <f>VLOOKUP($G1183,DATOS!$B:$E,3,FALSE)</f>
        <v/>
      </c>
      <c r="J1183" s="278">
        <f>VLOOKUP($G1183,DATOS!$B:$E,4,FALSE)</f>
        <v/>
      </c>
      <c r="K1183" s="278" t="inlineStr">
        <is>
          <t>Contabilidad y Fiscalidad de proyecto - 3º Trimestre</t>
        </is>
      </c>
      <c r="L1183" s="280">
        <f>ROUND('Tarifa 2025'!$D$18/4/6,2)</f>
        <v/>
      </c>
      <c r="M1183" s="278" t="inlineStr">
        <is>
          <t>SPV Management de Proyecto - 3º Trimestre</t>
        </is>
      </c>
      <c r="N1183" s="280">
        <f>ROUND('Tarifa 2025'!$E$18/6/4,2)</f>
        <v/>
      </c>
      <c r="O1183" s="278" t="inlineStr">
        <is>
          <t>O&amp;M Management de Proyecto - 3º Trimestre</t>
        </is>
      </c>
      <c r="P1183" s="280">
        <f>ROUND('Tarifa 2025'!$G$18/6/4,2)</f>
        <v/>
      </c>
      <c r="R1183" s="280" t="n"/>
      <c r="T1183" s="280" t="n"/>
      <c r="V1183" s="280" t="n"/>
      <c r="X1183" s="280" t="n"/>
      <c r="Y1183" s="278" t="inlineStr">
        <is>
          <t>Gastos derivados de contrato (3,5%)</t>
        </is>
      </c>
      <c r="Z1183" s="280">
        <f>(L1183+N1183+P1183+R1183+T1183+V1183+X1183)*0.035</f>
        <v/>
      </c>
      <c r="AA1183" s="280" t="n"/>
      <c r="AB1183" s="281" t="inlineStr">
        <is>
          <t>ES11 0081 7069 2700 0122 7724</t>
        </is>
      </c>
      <c r="AC1183" s="278" t="inlineStr">
        <is>
          <t>pagado</t>
        </is>
      </c>
      <c r="AD1183" s="280">
        <f>L1183+N1183+P1183+R1183+T1183+V1183+X1183+Z1183</f>
        <v/>
      </c>
      <c r="AE1183" s="280">
        <f>IF((LEFT(K1183,6))="Contab",L1183,0)</f>
        <v/>
      </c>
      <c r="AF1183" s="281">
        <f>VLOOKUP(G1183,CLIENTES!B:E,4,FALSE)</f>
        <v/>
      </c>
      <c r="AG1183" s="280">
        <f>AF1183*AE1183</f>
        <v/>
      </c>
      <c r="AH1183" s="280">
        <f>AD1183*1.21</f>
        <v/>
      </c>
      <c r="AI1183" s="284">
        <f>IF(AE1183&lt;&gt;0,AG1183/AD1183,"N/A")</f>
        <v/>
      </c>
      <c r="AJ1183" s="280">
        <f>IF(AC1183="pendiente",AD1183,0)</f>
        <v/>
      </c>
      <c r="AK1183" s="278">
        <f>VLOOKUP(G1183,CLIENTES!B:D,3,FALSE)</f>
        <v/>
      </c>
    </row>
    <row r="1184" ht="15" customFormat="1" customHeight="1" s="278">
      <c r="B1184" s="279" t="n"/>
      <c r="C1184" s="278" t="inlineStr">
        <is>
          <t>c/ Las Cruzadas 3A, local D</t>
        </is>
      </c>
      <c r="D1184" s="278" t="inlineStr">
        <is>
          <t>Sevilla 41004</t>
        </is>
      </c>
      <c r="E1184" s="278" t="inlineStr">
        <is>
          <t>CIF B91938662</t>
        </is>
      </c>
      <c r="F1184" s="278" t="inlineStr">
        <is>
          <t>aBalados@abalados.es</t>
        </is>
      </c>
      <c r="G1184" s="278" t="inlineStr">
        <is>
          <t>Tiksi PV II S.L.U.</t>
        </is>
      </c>
      <c r="H1184" s="278">
        <f>VLOOKUP($G1184,DATOS!$B:$E,2,FALSE)</f>
        <v/>
      </c>
      <c r="I1184" s="278">
        <f>VLOOKUP($G1184,DATOS!$B:$E,3,FALSE)</f>
        <v/>
      </c>
      <c r="J1184" s="278">
        <f>VLOOKUP($G1184,DATOS!$B:$E,4,FALSE)</f>
        <v/>
      </c>
      <c r="K1184" s="278" t="inlineStr">
        <is>
          <t>Contabilidad y Fiscalidad de proyecto - 3º Trimestre</t>
        </is>
      </c>
      <c r="L1184" s="280">
        <f>ROUND('Tarifa 2025'!$D$18/4/6,2)</f>
        <v/>
      </c>
      <c r="M1184" s="278" t="inlineStr">
        <is>
          <t>SPV Management de Proyecto - 3º Trimestre</t>
        </is>
      </c>
      <c r="N1184" s="280">
        <f>ROUND('Tarifa 2025'!$E$18/6/4,2)</f>
        <v/>
      </c>
      <c r="O1184" s="278" t="inlineStr">
        <is>
          <t>O&amp;M Management de Proyecto - 3º Trimestre</t>
        </is>
      </c>
      <c r="P1184" s="280">
        <f>ROUND('Tarifa 2025'!$G$18/6/4,2)</f>
        <v/>
      </c>
      <c r="R1184" s="280" t="n"/>
      <c r="T1184" s="280" t="n"/>
      <c r="V1184" s="280" t="n"/>
      <c r="X1184" s="280" t="n"/>
      <c r="Y1184" s="278" t="inlineStr">
        <is>
          <t>Gastos derivados de contrato (3,5%)</t>
        </is>
      </c>
      <c r="Z1184" s="280">
        <f>(L1184+N1184+P1184+R1184+T1184+V1184+X1184)*0.035</f>
        <v/>
      </c>
      <c r="AA1184" s="280" t="n"/>
      <c r="AB1184" s="281" t="inlineStr">
        <is>
          <t>ES11 0081 7069 2700 0122 7724</t>
        </is>
      </c>
      <c r="AC1184" s="278" t="inlineStr">
        <is>
          <t>pagado</t>
        </is>
      </c>
      <c r="AD1184" s="280">
        <f>L1184+N1184+P1184+R1184+T1184+V1184+X1184+Z1184</f>
        <v/>
      </c>
      <c r="AE1184" s="280">
        <f>IF((LEFT(K1184,6))="Contab",L1184,0)</f>
        <v/>
      </c>
      <c r="AF1184" s="281">
        <f>VLOOKUP(G1184,CLIENTES!B:E,4,FALSE)</f>
        <v/>
      </c>
      <c r="AG1184" s="280">
        <f>AF1184*AE1184</f>
        <v/>
      </c>
      <c r="AH1184" s="280">
        <f>AD1184*1.21</f>
        <v/>
      </c>
      <c r="AI1184" s="284">
        <f>IF(AE1184&lt;&gt;0,AG1184/AD1184,"N/A")</f>
        <v/>
      </c>
      <c r="AJ1184" s="280">
        <f>IF(AC1184="pendiente",AD1184,0)</f>
        <v/>
      </c>
      <c r="AK1184" s="278">
        <f>VLOOKUP(G1184,CLIENTES!B:D,3,FALSE)</f>
        <v/>
      </c>
    </row>
    <row r="1185" ht="15" customFormat="1" customHeight="1" s="192">
      <c r="B1185" s="199" t="n"/>
      <c r="C1185" s="192" t="inlineStr">
        <is>
          <t>c/ Las Cruzadas 3A, local D</t>
        </is>
      </c>
      <c r="D1185" s="192" t="inlineStr">
        <is>
          <t>Sevilla 41004</t>
        </is>
      </c>
      <c r="E1185" s="192" t="inlineStr">
        <is>
          <t>CIF B91938662</t>
        </is>
      </c>
      <c r="F1185" s="192" t="inlineStr">
        <is>
          <t>aBalados@abalados.es</t>
        </is>
      </c>
      <c r="G1185" s="192" t="inlineStr">
        <is>
          <t>Solar Photo Corp S.L.U.</t>
        </is>
      </c>
      <c r="H1185" s="192">
        <f>VLOOKUP($G1185,DATOS!$B:$E,2,FALSE)</f>
        <v/>
      </c>
      <c r="I1185" s="192">
        <f>VLOOKUP($G1185,DATOS!$B:$E,3,FALSE)</f>
        <v/>
      </c>
      <c r="J1185" s="192">
        <f>VLOOKUP($G1185,DATOS!$B:$E,4,FALSE)</f>
        <v/>
      </c>
      <c r="K1185" s="192" t="inlineStr">
        <is>
          <t>Contabilidad y Fiscalidad de proyecto - 3º Trimestre</t>
        </is>
      </c>
      <c r="L1185" s="200">
        <f>ROUND('Tarifa 2025'!$D$18/4/6,2)</f>
        <v/>
      </c>
      <c r="M1185" s="192" t="inlineStr">
        <is>
          <t>SPV Management de Proyecto - 3º Trimestre</t>
        </is>
      </c>
      <c r="N1185" s="200">
        <f>ROUND('Tarifa 2025'!$E$18/6/4,2)</f>
        <v/>
      </c>
      <c r="O1185" s="192" t="inlineStr">
        <is>
          <t>O&amp;M Management de Proyecto - 3º Trimestre</t>
        </is>
      </c>
      <c r="P1185" s="200">
        <f>ROUND('Tarifa 2025'!$G$18/6/4,2)</f>
        <v/>
      </c>
      <c r="R1185" s="200" t="n"/>
      <c r="T1185" s="200" t="n"/>
      <c r="V1185" s="200" t="n"/>
      <c r="X1185" s="200" t="n"/>
      <c r="Y1185" s="192" t="inlineStr">
        <is>
          <t>Gastos derivados de contrato (3,5%)</t>
        </is>
      </c>
      <c r="Z1185" s="200">
        <f>(L1185+N1185+P1185+R1185+T1185+V1185+X1185)*0.035</f>
        <v/>
      </c>
      <c r="AA1185" s="200" t="n"/>
      <c r="AB1185" s="201" t="inlineStr">
        <is>
          <t>ES11 0081 7069 2700 0122 7724</t>
        </is>
      </c>
      <c r="AC1185" s="192" t="inlineStr">
        <is>
          <t>pagado</t>
        </is>
      </c>
      <c r="AD1185" s="200">
        <f>L1185+N1185+P1185+R1185+T1185+V1185+X1185+Z1185</f>
        <v/>
      </c>
      <c r="AE1185" s="200">
        <f>IF((LEFT(K1185,6))="Contab",L1185,0)</f>
        <v/>
      </c>
      <c r="AF1185" s="201">
        <f>VLOOKUP(G1185,CLIENTES!B:E,4,FALSE)</f>
        <v/>
      </c>
      <c r="AG1185" s="200">
        <f>AF1185*AE1185</f>
        <v/>
      </c>
      <c r="AH1185" s="200">
        <f>AD1185*1.21</f>
        <v/>
      </c>
      <c r="AI1185" s="283">
        <f>IF(AE1185&lt;&gt;0,AG1185/AD1185,"N/A")</f>
        <v/>
      </c>
      <c r="AJ1185" s="200">
        <f>IF(AC1185="pendiente",AD1185,0)</f>
        <v/>
      </c>
      <c r="AK1185" s="192">
        <f>VLOOKUP(G1185,CLIENTES!B:D,3,FALSE)</f>
        <v/>
      </c>
    </row>
    <row r="1186" ht="15" customFormat="1" customHeight="1" s="278">
      <c r="B1186" s="279" t="n"/>
      <c r="L1186" s="280" t="n"/>
      <c r="N1186" s="280" t="n"/>
      <c r="P1186" s="280" t="n"/>
      <c r="R1186" s="280" t="n"/>
      <c r="T1186" s="280" t="n"/>
      <c r="V1186" s="280" t="n"/>
      <c r="X1186" s="280" t="n"/>
      <c r="Z1186" s="280" t="n"/>
      <c r="AA1186" s="280" t="n"/>
      <c r="AB1186" s="281" t="n"/>
      <c r="AD1186" s="280" t="n"/>
      <c r="AE1186" s="280" t="n"/>
      <c r="AF1186" s="281" t="n"/>
      <c r="AG1186" s="280" t="n"/>
      <c r="AH1186" s="280" t="n"/>
      <c r="AI1186" s="282" t="n"/>
      <c r="AJ1186" s="280" t="n"/>
    </row>
    <row r="1187" ht="15" customFormat="1" customHeight="1" s="278">
      <c r="B1187" s="279" t="n"/>
      <c r="L1187" s="280" t="n"/>
      <c r="N1187" s="280" t="n"/>
      <c r="P1187" s="280" t="n"/>
      <c r="R1187" s="280" t="n"/>
      <c r="T1187" s="280" t="n"/>
      <c r="V1187" s="280" t="n"/>
      <c r="X1187" s="280" t="n"/>
      <c r="Z1187" s="280" t="n"/>
      <c r="AA1187" s="280" t="n"/>
      <c r="AB1187" s="281" t="n"/>
      <c r="AD1187" s="280" t="n"/>
      <c r="AE1187" s="280" t="n"/>
      <c r="AF1187" s="281" t="n"/>
      <c r="AG1187" s="280" t="n"/>
      <c r="AH1187" s="280" t="n"/>
      <c r="AI1187" s="282" t="n"/>
      <c r="AJ1187" s="280" t="n"/>
    </row>
    <row r="1188" ht="15" customFormat="1" customHeight="1" s="278">
      <c r="B1188" s="279" t="n"/>
      <c r="L1188" s="280" t="n"/>
      <c r="N1188" s="280" t="n"/>
      <c r="P1188" s="280" t="n"/>
      <c r="R1188" s="280" t="n"/>
      <c r="T1188" s="280" t="n"/>
      <c r="V1188" s="280" t="n"/>
      <c r="X1188" s="280" t="n"/>
      <c r="Z1188" s="280" t="n"/>
      <c r="AA1188" s="280" t="n"/>
      <c r="AB1188" s="281" t="n"/>
      <c r="AD1188" s="280" t="n"/>
      <c r="AE1188" s="280" t="n"/>
      <c r="AF1188" s="281" t="n"/>
      <c r="AG1188" s="280" t="n"/>
      <c r="AH1188" s="280" t="n"/>
      <c r="AI1188" s="282" t="n"/>
      <c r="AJ1188" s="280" t="n"/>
    </row>
    <row r="1189" ht="15" customFormat="1" customHeight="1" s="278">
      <c r="B1189" s="279" t="n"/>
      <c r="L1189" s="280" t="n"/>
      <c r="N1189" s="280" t="n"/>
      <c r="P1189" s="280" t="n"/>
      <c r="R1189" s="280" t="n"/>
      <c r="T1189" s="280" t="n"/>
      <c r="V1189" s="280" t="n"/>
      <c r="X1189" s="280" t="n"/>
      <c r="Z1189" s="280" t="n"/>
      <c r="AA1189" s="280" t="n"/>
      <c r="AB1189" s="281" t="n"/>
      <c r="AD1189" s="280" t="n"/>
      <c r="AE1189" s="280" t="n"/>
      <c r="AF1189" s="281" t="n"/>
      <c r="AG1189" s="280" t="n"/>
      <c r="AH1189" s="280" t="n"/>
      <c r="AI1189" s="282" t="n"/>
      <c r="AJ1189" s="280" t="n"/>
    </row>
    <row r="1190" ht="15" customFormat="1" customHeight="1" s="278">
      <c r="B1190" s="279" t="n"/>
      <c r="L1190" s="280" t="n"/>
      <c r="N1190" s="280" t="n"/>
      <c r="P1190" s="280" t="n"/>
      <c r="R1190" s="280" t="n"/>
      <c r="T1190" s="280" t="n"/>
      <c r="V1190" s="280" t="n"/>
      <c r="X1190" s="280" t="n"/>
      <c r="Z1190" s="280" t="n"/>
      <c r="AA1190" s="280" t="n"/>
      <c r="AB1190" s="281" t="n"/>
      <c r="AD1190" s="280" t="n"/>
      <c r="AE1190" s="280" t="n"/>
      <c r="AF1190" s="281" t="n"/>
      <c r="AG1190" s="280" t="n"/>
      <c r="AH1190" s="280" t="n"/>
      <c r="AI1190" s="282" t="n"/>
      <c r="AJ1190" s="280" t="n"/>
    </row>
    <row r="1191" ht="15" customFormat="1" customHeight="1" s="278">
      <c r="B1191" s="279" t="n"/>
      <c r="L1191" s="280" t="n"/>
      <c r="N1191" s="280" t="n"/>
      <c r="P1191" s="280" t="n"/>
      <c r="R1191" s="280" t="n"/>
      <c r="T1191" s="280" t="n"/>
      <c r="V1191" s="280" t="n"/>
      <c r="X1191" s="280" t="n"/>
      <c r="Z1191" s="280" t="n"/>
      <c r="AA1191" s="280" t="n"/>
      <c r="AB1191" s="281" t="n"/>
      <c r="AD1191" s="280" t="n"/>
      <c r="AE1191" s="280" t="n"/>
      <c r="AF1191" s="281" t="n"/>
      <c r="AG1191" s="280" t="n"/>
      <c r="AH1191" s="280" t="n"/>
      <c r="AI1191" s="282" t="n"/>
      <c r="AJ1191" s="280" t="n"/>
    </row>
    <row r="1192" ht="15" customFormat="1" customHeight="1" s="192">
      <c r="B1192" s="199" t="n"/>
      <c r="C1192" s="192" t="inlineStr">
        <is>
          <t>c/ Las Cruzadas 3A, local D</t>
        </is>
      </c>
      <c r="D1192" s="192" t="inlineStr">
        <is>
          <t>Sevilla 41004</t>
        </is>
      </c>
      <c r="E1192" s="192" t="inlineStr">
        <is>
          <t>CIF B91938662</t>
        </is>
      </c>
      <c r="F1192" s="192" t="inlineStr">
        <is>
          <t>aBalados@abalados.es</t>
        </is>
      </c>
      <c r="G1192" s="192" t="inlineStr">
        <is>
          <t>PLANTA SOLAR EL CALAVERÓN A.I.E.</t>
        </is>
      </c>
      <c r="H1192" s="192">
        <f>VLOOKUP($G1192,[2]Datos!$B:$E,2,FALSE)</f>
        <v/>
      </c>
      <c r="I1192" s="192">
        <f>VLOOKUP($G1192,[2]Datos!$B:$E,3,FALSE)</f>
        <v/>
      </c>
      <c r="J1192" s="192">
        <f>VLOOKUP($G1192,[2]Datos!$B:$E,4,FALSE)</f>
        <v/>
      </c>
      <c r="K1192" s="192" t="inlineStr">
        <is>
          <t>Auditoría Global - 10 años de operación</t>
        </is>
      </c>
      <c r="L1192" s="200" t="n"/>
      <c r="M1192" s="192" t="inlineStr">
        <is>
          <t>70% . Entrega informes (BT &amp; MT)</t>
        </is>
      </c>
      <c r="N1192" s="200" t="n">
        <v>5180.53</v>
      </c>
      <c r="O1192" s="192" t="inlineStr">
        <is>
          <t>Oferta v05 de 30/10/2019</t>
        </is>
      </c>
      <c r="P1192" s="200" t="n"/>
      <c r="R1192" s="200" t="n"/>
      <c r="T1192" s="200" t="n"/>
      <c r="V1192" s="200" t="n"/>
      <c r="X1192" s="200" t="n"/>
      <c r="Z1192" s="200" t="n"/>
      <c r="AA1192" s="200" t="n"/>
      <c r="AB1192" s="201" t="inlineStr">
        <is>
          <t>ES11 0081 7069 2700 0122 7724</t>
        </is>
      </c>
      <c r="AC1192" s="192" t="inlineStr">
        <is>
          <t>pendiente</t>
        </is>
      </c>
      <c r="AD1192" s="200">
        <f>L1192+N1192+P1192+R1192+T1192+V1192+X1192+Z1192</f>
        <v/>
      </c>
      <c r="AE1192" s="200">
        <f>IF((LEFT(K1192,6))="Contab",L1192,0)</f>
        <v/>
      </c>
      <c r="AF1192" s="201">
        <f>VLOOKUP(G1192,[2]Clientes!A:D,4,FALSE)</f>
        <v/>
      </c>
      <c r="AG1192" s="200">
        <f>AF1192*AE1192</f>
        <v/>
      </c>
      <c r="AH1192" s="200">
        <f>AD1192*1.21</f>
        <v/>
      </c>
      <c r="AI1192" s="202">
        <f>IF(AE1192&lt;&gt;0,AG1192/AD1192,"N/A")</f>
        <v/>
      </c>
      <c r="AJ1192" s="200">
        <f>IF(AC1192="pendiente",AD1192,0)</f>
        <v/>
      </c>
      <c r="AK1192" s="192">
        <f>VLOOKUP(G1192,[2]Clientes!A:C,3,FALSE)</f>
        <v/>
      </c>
    </row>
    <row r="1193" ht="15" customFormat="1" customHeight="1" s="189">
      <c r="B1193" s="188" t="n"/>
      <c r="C1193" s="192" t="inlineStr">
        <is>
          <t>c/ Las Cruzadas 3A, local D</t>
        </is>
      </c>
      <c r="D1193" s="192" t="inlineStr">
        <is>
          <t>Sevilla 41004</t>
        </is>
      </c>
      <c r="E1193" s="192" t="inlineStr">
        <is>
          <t>CIF B91938662</t>
        </is>
      </c>
      <c r="F1193" s="192" t="inlineStr">
        <is>
          <t>aBalados@abalados.es</t>
        </is>
      </c>
      <c r="G1193" s="189" t="inlineStr">
        <is>
          <t>China Triumph International Engineering Co., LTD EP EN SPAIN</t>
        </is>
      </c>
      <c r="H1193" s="192">
        <f>VLOOKUP($G1193,DATOS!$B:$E,2,FALSE)</f>
        <v/>
      </c>
      <c r="I1193" s="192" t="inlineStr">
        <is>
          <t>c/ Cristobal Bordiú 35, 1st floor 108</t>
        </is>
      </c>
      <c r="J1193" s="192" t="inlineStr">
        <is>
          <t>28003 Madrid</t>
        </is>
      </c>
      <c r="K1193" s="189" t="inlineStr">
        <is>
          <t>O&amp;M Supervision and Management</t>
        </is>
      </c>
      <c r="L1193" s="190" t="n"/>
      <c r="N1193" s="190" t="n"/>
      <c r="O1193" s="189" t="inlineStr">
        <is>
          <t>Puerto Real 1 PV - Cádiz | Spain</t>
        </is>
      </c>
      <c r="P1193" s="190" t="n">
        <v>15430</v>
      </c>
      <c r="Q1193" s="189" t="inlineStr">
        <is>
          <t>O&amp;M Management services provided on January 2022</t>
        </is>
      </c>
      <c r="R1193" s="190" t="n"/>
      <c r="T1193" s="190" t="n"/>
      <c r="V1193" s="190" t="n"/>
      <c r="X1193" s="190" t="n"/>
      <c r="Z1193" s="190" t="n"/>
      <c r="AA1193" s="190" t="n"/>
      <c r="AB1193" s="201" t="inlineStr">
        <is>
          <t>ES11 0081 7069 2700 0122 7724</t>
        </is>
      </c>
      <c r="AC1193" s="192" t="inlineStr">
        <is>
          <t>pendiente</t>
        </is>
      </c>
      <c r="AD1193" s="200">
        <f>L1193+N1193+P1193+R1193+T1193+V1193+X1193+Z1193</f>
        <v/>
      </c>
      <c r="AE1193" s="200">
        <f>IF((LEFT(K1193,6))="Contab",L1193,0)</f>
        <v/>
      </c>
      <c r="AF1193" s="201">
        <f>VLOOKUP(G1193,CLIENTES!B:E,4,FALSE)</f>
        <v/>
      </c>
      <c r="AG1193" s="200">
        <f>AF1193*AE1193</f>
        <v/>
      </c>
      <c r="AH1193" s="200">
        <f>AD1193*1.21</f>
        <v/>
      </c>
      <c r="AI1193" s="283">
        <f>IF(AE1193&lt;&gt;0,AG1193/AD1193,"N/A")</f>
        <v/>
      </c>
      <c r="AJ1193" s="200">
        <f>IF(AC1193="pendiente",AD1193,0)</f>
        <v/>
      </c>
      <c r="AK1193" s="192">
        <f>VLOOKUP(G1193,CLIENTES!B:D,3,FALSE)</f>
        <v/>
      </c>
      <c r="AL1193" s="192" t="n"/>
    </row>
    <row r="1194" ht="15" customFormat="1" customHeight="1" s="189">
      <c r="B1194" s="188" t="n"/>
      <c r="C1194" s="192" t="inlineStr">
        <is>
          <t>c/ Las Cruzadas 3A, local D</t>
        </is>
      </c>
      <c r="D1194" s="192" t="inlineStr">
        <is>
          <t>Sevilla 41004</t>
        </is>
      </c>
      <c r="E1194" s="192" t="inlineStr">
        <is>
          <t>CIF B91938662</t>
        </is>
      </c>
      <c r="F1194" s="192" t="inlineStr">
        <is>
          <t>aBalados@abalados.es</t>
        </is>
      </c>
      <c r="G1194" s="189" t="inlineStr">
        <is>
          <t>FP LUX REIO PV ZARAGOZA SL.</t>
        </is>
      </c>
      <c r="H1194" s="192">
        <f>VLOOKUP($G1194,DATOS!$B:$E,2,FALSE)</f>
        <v/>
      </c>
      <c r="I1194" s="192">
        <f>VLOOKUP($G1194,DATOS!$B:$E,3,FALSE)</f>
        <v/>
      </c>
      <c r="J1194" s="192">
        <f>VLOOKUP($G1194,DATOS!$B:$E,4,FALSE)</f>
        <v/>
      </c>
      <c r="K1194" s="189" t="inlineStr">
        <is>
          <t>Proyecto El Marqués - Zaragoza</t>
        </is>
      </c>
      <c r="L1194" s="190" t="n"/>
      <c r="M1194" s="189" t="inlineStr">
        <is>
          <t>Additional Service - CNMC dispute</t>
        </is>
      </c>
      <c r="N1194" s="190">
        <f>75%*8500</f>
        <v/>
      </c>
      <c r="O1194" s="189" t="inlineStr">
        <is>
          <t>(75% at file issuance)</t>
        </is>
      </c>
      <c r="P1194" s="190" t="n"/>
      <c r="R1194" s="190" t="n"/>
      <c r="T1194" s="190" t="n"/>
      <c r="V1194" s="190" t="n"/>
      <c r="X1194" s="190" t="n"/>
      <c r="Z1194" s="190" t="n"/>
      <c r="AA1194" s="190" t="n"/>
      <c r="AB1194" s="201" t="inlineStr">
        <is>
          <t>ES11 0081 7069 2700 0122 7724</t>
        </is>
      </c>
      <c r="AC1194" s="192" t="inlineStr">
        <is>
          <t>pendiente</t>
        </is>
      </c>
      <c r="AD1194" s="200">
        <f>L1194+N1194+P1194+R1194+T1194+V1194+X1194+Z1194</f>
        <v/>
      </c>
      <c r="AE1194" s="200">
        <f>IF((LEFT(K1194,6))="Contab",L1194,0)</f>
        <v/>
      </c>
      <c r="AF1194" s="201">
        <f>VLOOKUP(G1194,CLIENTES!B:E,4,FALSE)</f>
        <v/>
      </c>
      <c r="AG1194" s="200">
        <f>AF1194*AE1194</f>
        <v/>
      </c>
      <c r="AH1194" s="200">
        <f>AD1194*1.21</f>
        <v/>
      </c>
      <c r="AI1194" s="283">
        <f>IF(AE1194&lt;&gt;0,AG1194/AD1194,"N/A")</f>
        <v/>
      </c>
      <c r="AJ1194" s="200">
        <f>IF(AC1194="pendiente",AD1194,0)</f>
        <v/>
      </c>
      <c r="AK1194" s="192">
        <f>VLOOKUP(G1194,CLIENTES!B:D,3,FALSE)</f>
        <v/>
      </c>
      <c r="AL1194" s="192" t="n"/>
    </row>
    <row r="1195" ht="15" customFormat="1" customHeight="1" s="189">
      <c r="B1195" s="188" t="n"/>
      <c r="C1195" s="192" t="inlineStr">
        <is>
          <t>c/ Las Cruzadas 3A, local D</t>
        </is>
      </c>
      <c r="D1195" s="192" t="inlineStr">
        <is>
          <t>Sevilla 41004</t>
        </is>
      </c>
      <c r="E1195" s="192" t="inlineStr">
        <is>
          <t>CIF B91938662</t>
        </is>
      </c>
      <c r="F1195" s="192" t="inlineStr">
        <is>
          <t>aBalados@abalados.es</t>
        </is>
      </c>
      <c r="G1195" s="189" t="inlineStr">
        <is>
          <t>China Triumph International Engineering Co., LTD EP EN SPAIN</t>
        </is>
      </c>
      <c r="H1195" s="192">
        <f>VLOOKUP($G1195,DATOS!$B:$E,2,FALSE)</f>
        <v/>
      </c>
      <c r="I1195" s="192" t="inlineStr">
        <is>
          <t>c/ Cristobal Bordiú 35, 1st floor 108</t>
        </is>
      </c>
      <c r="J1195" s="192" t="inlineStr">
        <is>
          <t>28003 Madrid</t>
        </is>
      </c>
      <c r="K1195" s="189" t="inlineStr">
        <is>
          <t>O&amp;M Supervision and Management</t>
        </is>
      </c>
      <c r="L1195" s="190" t="n"/>
      <c r="N1195" s="190" t="n"/>
      <c r="O1195" s="189" t="inlineStr">
        <is>
          <t>Puerto Real 1 PV - Cádiz | Spain</t>
        </is>
      </c>
      <c r="P1195" s="190" t="n">
        <v>15430</v>
      </c>
      <c r="Q1195" s="189" t="inlineStr">
        <is>
          <t>O&amp;M Management services provided on February 2022</t>
        </is>
      </c>
      <c r="R1195" s="190" t="n"/>
      <c r="T1195" s="190" t="n"/>
      <c r="V1195" s="190" t="n"/>
      <c r="X1195" s="190" t="n"/>
      <c r="Z1195" s="190" t="n"/>
      <c r="AA1195" s="190" t="n"/>
      <c r="AB1195" s="201" t="inlineStr">
        <is>
          <t>ES11 0081 7069 2700 0122 7724</t>
        </is>
      </c>
      <c r="AC1195" s="192" t="inlineStr">
        <is>
          <t>pendiente</t>
        </is>
      </c>
      <c r="AD1195" s="200">
        <f>L1195+N1195+P1195+R1195+T1195+V1195+X1195+Z1195</f>
        <v/>
      </c>
      <c r="AE1195" s="200">
        <f>IF((LEFT(K1195,6))="Contab",L1195,0)</f>
        <v/>
      </c>
      <c r="AF1195" s="201">
        <f>VLOOKUP(G1195,CLIENTES!B:E,4,FALSE)</f>
        <v/>
      </c>
      <c r="AG1195" s="200">
        <f>AF1195*AE1195</f>
        <v/>
      </c>
      <c r="AH1195" s="200">
        <f>AD1195*1.21</f>
        <v/>
      </c>
      <c r="AI1195" s="283">
        <f>IF(AE1195&lt;&gt;0,AG1195/AD1195,"N/A")</f>
        <v/>
      </c>
      <c r="AJ1195" s="200">
        <f>IF(AC1195="pendiente",AD1195,0)</f>
        <v/>
      </c>
      <c r="AK1195" s="192">
        <f>VLOOKUP(G1195,CLIENTES!B:D,3,FALSE)</f>
        <v/>
      </c>
      <c r="AL1195" s="192" t="n"/>
    </row>
    <row r="1196" ht="15" customFormat="1" customHeight="1" s="195">
      <c r="B1196" s="194" t="n"/>
      <c r="C1196" s="195" t="inlineStr">
        <is>
          <t>c/ Las Cruzadas 3A, local D</t>
        </is>
      </c>
      <c r="D1196" s="195" t="inlineStr">
        <is>
          <t>Sevilla 41004</t>
        </is>
      </c>
      <c r="E1196" s="195" t="inlineStr">
        <is>
          <t>CIF B91938662</t>
        </is>
      </c>
      <c r="F1196" s="195" t="inlineStr">
        <is>
          <t>aBalados@abalados.es</t>
        </is>
      </c>
      <c r="G1196" s="195" t="inlineStr">
        <is>
          <t>Valcabado Renovables 220 kV, S.L.</t>
        </is>
      </c>
      <c r="H1196" s="195">
        <f>VLOOKUP($G1196,DATOS!$B:$E,2,FALSE)</f>
        <v/>
      </c>
      <c r="I1196" s="195">
        <f>VLOOKUP($G1196,DATOS!$B:$E,3,FALSE)</f>
        <v/>
      </c>
      <c r="J1196" s="195">
        <f>VLOOKUP($G1196,DATOS!$B:$E,4,FALSE)</f>
        <v/>
      </c>
      <c r="K1196" s="195" t="inlineStr">
        <is>
          <t>Contrato de Asset Management - Subestación Valcabado</t>
        </is>
      </c>
      <c r="L1196" s="196" t="n"/>
      <c r="N1196" s="196" t="n"/>
      <c r="O1196" s="195" t="inlineStr">
        <is>
          <t>Fee Trimestral - 1Enero/31Marzo 2022</t>
        </is>
      </c>
      <c r="P1196" s="196">
        <f>1173*3</f>
        <v/>
      </c>
      <c r="Q1196" s="195" t="inlineStr">
        <is>
          <t>Tasa actualización IPC General (Marzo 2021 - Marzo 2022) no disponible</t>
        </is>
      </c>
      <c r="R1196" s="196" t="n"/>
      <c r="T1196" s="196" t="n"/>
      <c r="V1196" s="196" t="n"/>
      <c r="X1196" s="196" t="n"/>
      <c r="Z1196" s="196" t="n"/>
      <c r="AA1196" s="196" t="n"/>
      <c r="AB1196" s="197" t="inlineStr">
        <is>
          <t>ES11 0081 7069 2700 0122 7724</t>
        </is>
      </c>
      <c r="AC1196" s="195" t="inlineStr">
        <is>
          <t>pendiente</t>
        </is>
      </c>
      <c r="AD1196" s="196">
        <f>L1196+N1196+P1196+R1196+T1196+V1196+X1196+Z1196</f>
        <v/>
      </c>
      <c r="AE1196" s="196">
        <f>IF((LEFT(K1196,6))="Contab",L1196,0)</f>
        <v/>
      </c>
      <c r="AF1196" s="197">
        <f>VLOOKUP(G1196,CLIENTES!B:E,4,FALSE)</f>
        <v/>
      </c>
      <c r="AG1196" s="196">
        <f>AF1196*AE1196</f>
        <v/>
      </c>
      <c r="AH1196" s="196">
        <f>AD1196*1.21</f>
        <v/>
      </c>
      <c r="AI1196" s="285">
        <f>IF(AE1196&lt;&gt;0,AG1196/AD1196,"N/A")</f>
        <v/>
      </c>
      <c r="AJ1196" s="196">
        <f>IF(AC1196="pendiente",AD1196,0)</f>
        <v/>
      </c>
      <c r="AK1196" s="195">
        <f>VLOOKUP(G1196,CLIENTES!B:D,3,FALSE)</f>
        <v/>
      </c>
    </row>
    <row r="1197" ht="15" customFormat="1" customHeight="1" s="278">
      <c r="B1197" s="279" t="n"/>
      <c r="C1197" s="278" t="inlineStr">
        <is>
          <t>c/ Las Cruzadas 3A, local D</t>
        </is>
      </c>
      <c r="D1197" s="278" t="inlineStr">
        <is>
          <t>Sevilla 41004</t>
        </is>
      </c>
      <c r="E1197" s="278" t="inlineStr">
        <is>
          <t>CIF B91938662</t>
        </is>
      </c>
      <c r="F1197" s="278" t="inlineStr">
        <is>
          <t>aBalados@abalados.es</t>
        </is>
      </c>
      <c r="G1197" s="278" t="inlineStr">
        <is>
          <t>Grijota Renovables, S.L.</t>
        </is>
      </c>
      <c r="H1197" s="278">
        <f>VLOOKUP($G1197,DATOS!$B:$E,2,FALSE)</f>
        <v/>
      </c>
      <c r="I1197" s="278">
        <f>VLOOKUP($G1197,DATOS!$B:$E,3,FALSE)</f>
        <v/>
      </c>
      <c r="J1197" s="278">
        <f>VLOOKUP($G1197,DATOS!$B:$E,4,FALSE)</f>
        <v/>
      </c>
      <c r="K1197" s="278" t="inlineStr">
        <is>
          <t>Contrato de Asset Management - Subestación Grijota</t>
        </is>
      </c>
      <c r="L1197" s="280" t="n"/>
      <c r="N1197" s="280" t="n"/>
      <c r="O1197" s="278" t="inlineStr">
        <is>
          <t>Fee Trimestral - 1Enero/31Marzo 2022</t>
        </is>
      </c>
      <c r="P1197" s="280">
        <f>1035*3</f>
        <v/>
      </c>
      <c r="R1197" s="280" t="n"/>
      <c r="T1197" s="280" t="n"/>
      <c r="V1197" s="280" t="n"/>
      <c r="X1197" s="280" t="n"/>
      <c r="Z1197" s="280" t="n"/>
      <c r="AA1197" s="280" t="n"/>
      <c r="AB1197" s="281" t="inlineStr">
        <is>
          <t>ES11 0081 7069 2700 0122 7724</t>
        </is>
      </c>
      <c r="AC1197" s="278" t="inlineStr">
        <is>
          <t>pendiente</t>
        </is>
      </c>
      <c r="AD1197" s="280">
        <f>L1197+N1197+P1197+R1197+T1197+V1197+X1197+Z1197</f>
        <v/>
      </c>
      <c r="AE1197" s="280">
        <f>IF((LEFT(K1197,6))="Contab",L1197,0)</f>
        <v/>
      </c>
      <c r="AF1197" s="281">
        <f>VLOOKUP(G1197,CLIENTES!B:E,4,FALSE)</f>
        <v/>
      </c>
      <c r="AG1197" s="280">
        <f>AF1197*AE1197</f>
        <v/>
      </c>
      <c r="AH1197" s="280">
        <f>AD1197*1.21</f>
        <v/>
      </c>
      <c r="AI1197" s="284">
        <f>IF(AE1197&lt;&gt;0,AG1197/AD1197,"N/A")</f>
        <v/>
      </c>
      <c r="AJ1197" s="280">
        <f>IF(AC1197="pendiente",AD1197,0)</f>
        <v/>
      </c>
      <c r="AK1197" s="278">
        <f>VLOOKUP(G1197,CLIENTES!B:D,3,FALSE)</f>
        <v/>
      </c>
    </row>
    <row r="1198" ht="15" customFormat="1" customHeight="1" s="278">
      <c r="B1198" s="279" t="n"/>
      <c r="C1198" s="278" t="inlineStr">
        <is>
          <t>c/ Las Cruzadas 3A, local D</t>
        </is>
      </c>
      <c r="D1198" s="278" t="inlineStr">
        <is>
          <t>Sevilla 41004</t>
        </is>
      </c>
      <c r="E1198" s="278" t="inlineStr">
        <is>
          <t>CIF B91938662</t>
        </is>
      </c>
      <c r="F1198" s="278" t="inlineStr">
        <is>
          <t>aBalados@abalados.es</t>
        </is>
      </c>
      <c r="G1198" s="278" t="inlineStr">
        <is>
          <t>Cubillos Renovables, S.L.</t>
        </is>
      </c>
      <c r="H1198" s="278">
        <f>VLOOKUP($G1198,DATOS!$B:$E,2,FALSE)</f>
        <v/>
      </c>
      <c r="I1198" s="278">
        <f>VLOOKUP($G1198,DATOS!$B:$E,3,FALSE)</f>
        <v/>
      </c>
      <c r="J1198" s="278">
        <f>VLOOKUP($G1198,DATOS!$B:$E,4,FALSE)</f>
        <v/>
      </c>
      <c r="K1198" s="278" t="inlineStr">
        <is>
          <t>Contrato de Asset Management - Subestación Majuelo</t>
        </is>
      </c>
      <c r="L1198" s="280" t="n"/>
      <c r="N1198" s="280" t="n"/>
      <c r="O1198" s="278" t="inlineStr">
        <is>
          <t>Fee Trimestral - 1Enero/31Marzo 2022</t>
        </is>
      </c>
      <c r="P1198" s="280">
        <f>1173*3</f>
        <v/>
      </c>
      <c r="R1198" s="280" t="n"/>
      <c r="T1198" s="280" t="n"/>
      <c r="V1198" s="280" t="n"/>
      <c r="X1198" s="280" t="n"/>
      <c r="Z1198" s="280" t="n"/>
      <c r="AA1198" s="280" t="n"/>
      <c r="AB1198" s="281" t="inlineStr">
        <is>
          <t>ES11 0081 7069 2700 0122 7724</t>
        </is>
      </c>
      <c r="AC1198" s="278" t="inlineStr">
        <is>
          <t>pendiente</t>
        </is>
      </c>
      <c r="AD1198" s="280">
        <f>L1198+N1198+P1198+R1198+T1198+V1198+X1198+Z1198</f>
        <v/>
      </c>
      <c r="AE1198" s="280">
        <f>IF((LEFT(K1198,6))="Contab",L1198,0)</f>
        <v/>
      </c>
      <c r="AF1198" s="281">
        <f>VLOOKUP(G1198,CLIENTES!B:E,4,FALSE)</f>
        <v/>
      </c>
      <c r="AG1198" s="280">
        <f>AF1198*AE1198</f>
        <v/>
      </c>
      <c r="AH1198" s="280">
        <f>AD1198*1.21</f>
        <v/>
      </c>
      <c r="AI1198" s="284">
        <f>IF(AE1198&lt;&gt;0,AG1198/AD1198,"N/A")</f>
        <v/>
      </c>
      <c r="AJ1198" s="280">
        <f>IF(AC1198="pendiente",AD1198,0)</f>
        <v/>
      </c>
      <c r="AK1198" s="278">
        <f>VLOOKUP(G1198,CLIENTES!B:D,3,FALSE)</f>
        <v/>
      </c>
    </row>
    <row r="1199" ht="15" customFormat="1" customHeight="1" s="278">
      <c r="B1199" s="279" t="n"/>
      <c r="C1199" s="278" t="inlineStr">
        <is>
          <t>c/ Las Cruzadas 3A, local D</t>
        </is>
      </c>
      <c r="D1199" s="278" t="inlineStr">
        <is>
          <t>Sevilla 41004</t>
        </is>
      </c>
      <c r="E1199" s="278" t="inlineStr">
        <is>
          <t>CIF B91938662</t>
        </is>
      </c>
      <c r="F1199" s="278" t="inlineStr">
        <is>
          <t>aBalados@abalados.es</t>
        </is>
      </c>
      <c r="G1199" s="278" t="inlineStr">
        <is>
          <t>Tordesillas Renovables, S.L.</t>
        </is>
      </c>
      <c r="H1199" s="278">
        <f>VLOOKUP($G1199,DATOS!$B:$E,2,FALSE)</f>
        <v/>
      </c>
      <c r="I1199" s="278">
        <f>VLOOKUP($G1199,DATOS!$B:$E,3,FALSE)</f>
        <v/>
      </c>
      <c r="J1199" s="278">
        <f>VLOOKUP($G1199,DATOS!$B:$E,4,FALSE)</f>
        <v/>
      </c>
      <c r="K1199" s="278" t="inlineStr">
        <is>
          <t>Contrato de Asset Management - Subestación Tordesillas</t>
        </is>
      </c>
      <c r="L1199" s="280" t="n"/>
      <c r="N1199" s="280" t="n"/>
      <c r="O1199" s="278" t="inlineStr">
        <is>
          <t>Fee Trimestral - 1Enero/31Marzo 2022</t>
        </is>
      </c>
      <c r="P1199" s="280">
        <f>1200*3</f>
        <v/>
      </c>
      <c r="R1199" s="280" t="n"/>
      <c r="T1199" s="280" t="n"/>
      <c r="V1199" s="280" t="n"/>
      <c r="X1199" s="280" t="n"/>
      <c r="Z1199" s="280" t="n"/>
      <c r="AA1199" s="280" t="n"/>
      <c r="AB1199" s="281" t="inlineStr">
        <is>
          <t>ES11 0081 7069 2700 0122 7724</t>
        </is>
      </c>
      <c r="AC1199" s="278" t="inlineStr">
        <is>
          <t>pendiente</t>
        </is>
      </c>
      <c r="AD1199" s="280">
        <f>L1199+N1199+P1199+R1199+T1199+V1199+X1199+Z1199</f>
        <v/>
      </c>
      <c r="AE1199" s="280">
        <f>IF((LEFT(K1199,6))="Contab",L1199,0)</f>
        <v/>
      </c>
      <c r="AF1199" s="281">
        <f>VLOOKUP(G1199,CLIENTES!B:E,4,FALSE)</f>
        <v/>
      </c>
      <c r="AG1199" s="280">
        <f>AF1199*AE1199</f>
        <v/>
      </c>
      <c r="AH1199" s="280">
        <f>AD1199*1.21</f>
        <v/>
      </c>
      <c r="AI1199" s="284">
        <f>IF(AE1199&lt;&gt;0,AG1199/AD1199,"N/A")</f>
        <v/>
      </c>
      <c r="AJ1199" s="280">
        <f>IF(AC1199="pendiente",AD1199,0)</f>
        <v/>
      </c>
      <c r="AK1199" s="278">
        <f>VLOOKUP(G1199,CLIENTES!B:D,3,FALSE)</f>
        <v/>
      </c>
    </row>
    <row r="1200" ht="15" customFormat="1" customHeight="1" s="278">
      <c r="B1200" s="279" t="n"/>
      <c r="C1200" s="278" t="inlineStr">
        <is>
          <t>c/ Las Cruzadas 3A, local D</t>
        </is>
      </c>
      <c r="D1200" s="278" t="inlineStr">
        <is>
          <t>Sevilla 41004</t>
        </is>
      </c>
      <c r="E1200" s="278" t="inlineStr">
        <is>
          <t>CIF B91938662</t>
        </is>
      </c>
      <c r="F1200" s="278" t="inlineStr">
        <is>
          <t>aBalados@abalados.es</t>
        </is>
      </c>
      <c r="G1200" s="278" t="inlineStr">
        <is>
          <t>Monte Reina Renovables, S.L.</t>
        </is>
      </c>
      <c r="H1200" s="278">
        <f>VLOOKUP($G1200,DATOS!$B:$E,2,FALSE)</f>
        <v/>
      </c>
      <c r="I1200" s="278">
        <f>VLOOKUP($G1200,DATOS!$B:$E,3,FALSE)</f>
        <v/>
      </c>
      <c r="J1200" s="278">
        <f>VLOOKUP($G1200,DATOS!$B:$E,4,FALSE)</f>
        <v/>
      </c>
      <c r="K1200" s="278" t="inlineStr">
        <is>
          <t>Contrato de Asset Management - Subestación Valdecarretas</t>
        </is>
      </c>
      <c r="L1200" s="280" t="n"/>
      <c r="N1200" s="280" t="n"/>
      <c r="O1200" s="278" t="inlineStr">
        <is>
          <t>Fee Trimestral - Inicio contrato/31Marzo 2022</t>
        </is>
      </c>
      <c r="P1200" s="280">
        <f>(1380*(22/31) + 1380*2)  +  1380*3</f>
        <v/>
      </c>
      <c r="R1200" s="280" t="n"/>
      <c r="T1200" s="280" t="n"/>
      <c r="V1200" s="280" t="n"/>
      <c r="X1200" s="280" t="n"/>
      <c r="Z1200" s="280" t="n"/>
      <c r="AA1200" s="280" t="n"/>
      <c r="AB1200" s="281" t="inlineStr">
        <is>
          <t>ES11 0081 7069 2700 0122 7724</t>
        </is>
      </c>
      <c r="AC1200" s="278" t="inlineStr">
        <is>
          <t>pendiente</t>
        </is>
      </c>
      <c r="AD1200" s="280">
        <f>L1200+N1200+P1200+R1200+T1200+V1200+X1200+Z1200</f>
        <v/>
      </c>
      <c r="AE1200" s="280">
        <f>IF((LEFT(K1200,6))="Contab",L1200,0)</f>
        <v/>
      </c>
      <c r="AF1200" s="281">
        <f>VLOOKUP(G1200,CLIENTES!B:E,4,FALSE)</f>
        <v/>
      </c>
      <c r="AG1200" s="280">
        <f>AF1200*AE1200</f>
        <v/>
      </c>
      <c r="AH1200" s="280">
        <f>AD1200*1.21</f>
        <v/>
      </c>
      <c r="AI1200" s="284">
        <f>IF(AE1200&lt;&gt;0,AG1200/AD1200,"N/A")</f>
        <v/>
      </c>
      <c r="AJ1200" s="280">
        <f>IF(AC1200="pendiente",AD1200,0)</f>
        <v/>
      </c>
      <c r="AK1200" s="278">
        <f>VLOOKUP(G1200,CLIENTES!B:D,3,FALSE)</f>
        <v/>
      </c>
    </row>
    <row r="1201" ht="15" customFormat="1" customHeight="1" s="278">
      <c r="B1201" s="279" t="n"/>
      <c r="C1201" s="278" t="inlineStr">
        <is>
          <t>c/ Las Cruzadas 3A, local D</t>
        </is>
      </c>
      <c r="D1201" s="278" t="inlineStr">
        <is>
          <t>Sevilla 41004</t>
        </is>
      </c>
      <c r="E1201" s="278" t="inlineStr">
        <is>
          <t>CIF B91938662</t>
        </is>
      </c>
      <c r="F1201" s="278" t="inlineStr">
        <is>
          <t>aBalados@abalados.es</t>
        </is>
      </c>
      <c r="G1201" s="278" t="inlineStr">
        <is>
          <t>Herrera Renovables 400, A.I.E.</t>
        </is>
      </c>
      <c r="H1201" s="278">
        <f>VLOOKUP($G1201,DATOS!$B:$E,2,FALSE)</f>
        <v/>
      </c>
      <c r="I1201" s="286" t="inlineStr">
        <is>
          <t>Avda. de la Carrera 31, Oficina 1</t>
        </is>
      </c>
      <c r="J1201" s="286" t="inlineStr">
        <is>
          <t>28223 Madrid</t>
        </is>
      </c>
      <c r="K1201" s="278" t="inlineStr">
        <is>
          <t>Contrato de Asset Management - Subestación Herrera</t>
        </is>
      </c>
      <c r="L1201" s="280" t="n"/>
      <c r="N1201" s="280" t="n"/>
      <c r="O1201" s="278" t="inlineStr">
        <is>
          <t>Fee Trimestral - Inicio contrato/31Marzo 2022</t>
        </is>
      </c>
      <c r="P1201" s="280">
        <f>(1250*(7/30) + 1250)  +  1250*3</f>
        <v/>
      </c>
      <c r="R1201" s="280" t="n"/>
      <c r="T1201" s="280" t="n"/>
      <c r="V1201" s="280" t="n"/>
      <c r="X1201" s="280" t="n"/>
      <c r="Z1201" s="280" t="n"/>
      <c r="AA1201" s="280" t="n"/>
      <c r="AB1201" s="281" t="inlineStr">
        <is>
          <t>ES11 0081 7069 2700 0122 7724</t>
        </is>
      </c>
      <c r="AC1201" s="278" t="inlineStr">
        <is>
          <t>pendiente</t>
        </is>
      </c>
      <c r="AD1201" s="280">
        <f>L1201+N1201+P1201+R1201+T1201+V1201+X1201+Z1201</f>
        <v/>
      </c>
      <c r="AE1201" s="280">
        <f>IF((LEFT(K1201,6))="Contab",L1201,0)</f>
        <v/>
      </c>
      <c r="AF1201" s="281">
        <f>VLOOKUP(G1201,CLIENTES!B:E,4,FALSE)</f>
        <v/>
      </c>
      <c r="AG1201" s="280">
        <f>AF1201*AE1201</f>
        <v/>
      </c>
      <c r="AH1201" s="280">
        <f>AD1201*1.21</f>
        <v/>
      </c>
      <c r="AI1201" s="284">
        <f>IF(AE1201&lt;&gt;0,AG1201/AD1201,"N/A")</f>
        <v/>
      </c>
      <c r="AJ1201" s="280">
        <f>IF(AC1201="pendiente",AD1201,0)</f>
        <v/>
      </c>
      <c r="AK1201" s="278">
        <f>VLOOKUP(G1201,CLIENTES!B:D,3,FALSE)</f>
        <v/>
      </c>
      <c r="AL1201" s="286" t="n"/>
    </row>
    <row r="1202" ht="15" customFormat="1" customHeight="1" s="278">
      <c r="B1202" s="279" t="n"/>
      <c r="C1202" s="278" t="inlineStr">
        <is>
          <t>c/ Las Cruzadas 3A, local D</t>
        </is>
      </c>
      <c r="D1202" s="278" t="inlineStr">
        <is>
          <t>Sevilla 41004</t>
        </is>
      </c>
      <c r="E1202" s="278" t="inlineStr">
        <is>
          <t>CIF B91938662</t>
        </is>
      </c>
      <c r="F1202" s="278" t="inlineStr">
        <is>
          <t>aBalados@abalados.es</t>
        </is>
      </c>
      <c r="G1202" s="278" t="inlineStr">
        <is>
          <t>Gazules Renovables, S.L.</t>
        </is>
      </c>
      <c r="H1202" s="278">
        <f>VLOOKUP($G1202,DATOS!$B:$E,2,FALSE)</f>
        <v/>
      </c>
      <c r="I1202" s="278">
        <f>VLOOKUP($G1202,DATOS!$B:$E,3,FALSE)</f>
        <v/>
      </c>
      <c r="J1202" s="278">
        <f>VLOOKUP($G1202,DATOS!$B:$E,4,FALSE)</f>
        <v/>
      </c>
      <c r="K1202" s="278" t="inlineStr">
        <is>
          <t>Contrato de Asset Management - Subestación Gazules</t>
        </is>
      </c>
      <c r="L1202" s="280" t="n"/>
      <c r="N1202" s="280" t="n"/>
      <c r="O1202" s="278" t="inlineStr">
        <is>
          <t>Fee Trimestral - Inicio contrato/31Marzo 2022</t>
        </is>
      </c>
      <c r="P1202" s="280">
        <f>(1200*(13/30) + 1200)  +  1200*3</f>
        <v/>
      </c>
      <c r="R1202" s="280" t="n"/>
      <c r="T1202" s="280" t="n"/>
      <c r="V1202" s="280" t="n"/>
      <c r="X1202" s="280" t="n"/>
      <c r="Z1202" s="280" t="n"/>
      <c r="AA1202" s="280" t="n"/>
      <c r="AB1202" s="281" t="inlineStr">
        <is>
          <t>ES11 0081 7069 2700 0122 7724</t>
        </is>
      </c>
      <c r="AC1202" s="278" t="inlineStr">
        <is>
          <t>pendiente</t>
        </is>
      </c>
      <c r="AD1202" s="280">
        <f>L1202+N1202+P1202+R1202+T1202+V1202+X1202+Z1202</f>
        <v/>
      </c>
      <c r="AE1202" s="280">
        <f>IF((LEFT(K1202,6))="Contab",L1202,0)</f>
        <v/>
      </c>
      <c r="AF1202" s="281">
        <f>VLOOKUP(G1202,CLIENTES!B:E,4,FALSE)</f>
        <v/>
      </c>
      <c r="AG1202" s="280">
        <f>AF1202*AE1202</f>
        <v/>
      </c>
      <c r="AH1202" s="280">
        <f>AD1202*1.21</f>
        <v/>
      </c>
      <c r="AI1202" s="284">
        <f>IF(AE1202&lt;&gt;0,AG1202/AD1202,"N/A")</f>
        <v/>
      </c>
      <c r="AJ1202" s="280">
        <f>IF(AC1202="pendiente",AD1202,0)</f>
        <v/>
      </c>
      <c r="AK1202" s="278">
        <f>VLOOKUP(G1202,CLIENTES!B:D,3,FALSE)</f>
        <v/>
      </c>
    </row>
    <row r="1203" ht="15" customFormat="1" customHeight="1" s="278">
      <c r="B1203" s="279" t="n"/>
      <c r="C1203" s="278" t="inlineStr">
        <is>
          <t>c/ Las Cruzadas 3A, local D</t>
        </is>
      </c>
      <c r="D1203" s="278" t="inlineStr">
        <is>
          <t>Sevilla 41004</t>
        </is>
      </c>
      <c r="E1203" s="278" t="inlineStr">
        <is>
          <t>CIF B91938662</t>
        </is>
      </c>
      <c r="F1203" s="278" t="inlineStr">
        <is>
          <t>aBalados@abalados.es</t>
        </is>
      </c>
      <c r="G1203" s="278" t="inlineStr">
        <is>
          <t>Evacuación Tordesillas 400 kV, S.L.</t>
        </is>
      </c>
      <c r="H1203" s="278">
        <f>VLOOKUP($G1203,DATOS!$B:$E,2,FALSE)</f>
        <v/>
      </c>
      <c r="I1203" s="278">
        <f>VLOOKUP($G1203,DATOS!$B:$E,3,FALSE)</f>
        <v/>
      </c>
      <c r="J1203" s="278">
        <f>VLOOKUP($G1203,DATOS!$B:$E,4,FALSE)</f>
        <v/>
      </c>
      <c r="K1203" s="278" t="inlineStr">
        <is>
          <t>Contrato de Asset Management - LAAT T2 (Tordesillas)</t>
        </is>
      </c>
      <c r="L1203" s="280" t="n"/>
      <c r="N1203" s="280" t="n"/>
      <c r="O1203" s="278" t="inlineStr">
        <is>
          <t>Fee Trimestral - 20Enero/31Marzo 2022</t>
        </is>
      </c>
      <c r="P1203" s="280">
        <f>1200*(12/31) + 1200*2</f>
        <v/>
      </c>
      <c r="R1203" s="280" t="n"/>
      <c r="T1203" s="280" t="n"/>
      <c r="V1203" s="280" t="n"/>
      <c r="X1203" s="280" t="n"/>
      <c r="Z1203" s="280" t="n"/>
      <c r="AA1203" s="280" t="n"/>
      <c r="AB1203" s="281" t="inlineStr">
        <is>
          <t>ES11 0081 7069 2700 0122 7724</t>
        </is>
      </c>
      <c r="AC1203" s="278" t="inlineStr">
        <is>
          <t>pendiente</t>
        </is>
      </c>
      <c r="AD1203" s="280">
        <f>L1203+N1203+P1203+R1203+T1203+V1203+X1203+Z1203</f>
        <v/>
      </c>
      <c r="AE1203" s="280">
        <f>IF((LEFT(K1203,6))="Contab",L1203,0)</f>
        <v/>
      </c>
      <c r="AF1203" s="281">
        <f>VLOOKUP(G1203,CLIENTES!B:E,4,FALSE)</f>
        <v/>
      </c>
      <c r="AG1203" s="280">
        <f>AF1203*AE1203</f>
        <v/>
      </c>
      <c r="AH1203" s="280">
        <f>AD1203*1.21</f>
        <v/>
      </c>
      <c r="AI1203" s="284">
        <f>IF(AE1203&lt;&gt;0,AG1203/AD1203,"N/A")</f>
        <v/>
      </c>
      <c r="AJ1203" s="280">
        <f>IF(AC1203="pendiente",AD1203,0)</f>
        <v/>
      </c>
      <c r="AK1203" s="278">
        <f>VLOOKUP(G1203,CLIENTES!B:D,3,FALSE)</f>
        <v/>
      </c>
    </row>
    <row r="1204" ht="15" customFormat="1" customHeight="1" s="278">
      <c r="B1204" s="279" t="n"/>
      <c r="C1204" s="278" t="inlineStr">
        <is>
          <t>c/ Las Cruzadas 3A, local D</t>
        </is>
      </c>
      <c r="D1204" s="278" t="inlineStr">
        <is>
          <t>Sevilla 41004</t>
        </is>
      </c>
      <c r="E1204" s="278" t="inlineStr">
        <is>
          <t>CIF B91938662</t>
        </is>
      </c>
      <c r="F1204" s="278" t="inlineStr">
        <is>
          <t>aBalados@abalados.es</t>
        </is>
      </c>
      <c r="G1204" s="278" t="inlineStr">
        <is>
          <t>Energías Limpias de Carmona, S.L.</t>
        </is>
      </c>
      <c r="H1204" s="278">
        <f>VLOOKUP($G1204,DATOS!$B:$E,2,FALSE)</f>
        <v/>
      </c>
      <c r="I1204" s="278">
        <f>VLOOKUP($G1204,DATOS!$B:$E,3,FALSE)</f>
        <v/>
      </c>
      <c r="J1204" s="278">
        <f>VLOOKUP($G1204,DATOS!$B:$E,4,FALSE)</f>
        <v/>
      </c>
      <c r="K1204" s="278" t="inlineStr">
        <is>
          <t>Contrato de Asset Management - Subestación Carmona220</t>
        </is>
      </c>
      <c r="L1204" s="280" t="n"/>
      <c r="N1204" s="280" t="n"/>
      <c r="O1204" s="278" t="inlineStr">
        <is>
          <t>Fee Trimestral - 2Febrero/31Marzo 2022</t>
        </is>
      </c>
      <c r="P1204" s="280">
        <f>1250*(27/28) + 1250</f>
        <v/>
      </c>
      <c r="R1204" s="280" t="n"/>
      <c r="T1204" s="280" t="n"/>
      <c r="V1204" s="280" t="n"/>
      <c r="X1204" s="280" t="n"/>
      <c r="Z1204" s="280" t="n"/>
      <c r="AA1204" s="280" t="n"/>
      <c r="AB1204" s="281" t="inlineStr">
        <is>
          <t>ES11 0081 7069 2700 0122 7724</t>
        </is>
      </c>
      <c r="AC1204" s="278" t="inlineStr">
        <is>
          <t>pendiente</t>
        </is>
      </c>
      <c r="AD1204" s="280">
        <f>L1204+N1204+P1204+R1204+T1204+V1204+X1204+Z1204</f>
        <v/>
      </c>
      <c r="AE1204" s="280">
        <f>IF((LEFT(K1204,6))="Contab",L1204,0)</f>
        <v/>
      </c>
      <c r="AF1204" s="281">
        <f>VLOOKUP(G1204,CLIENTES!B:E,4,FALSE)</f>
        <v/>
      </c>
      <c r="AG1204" s="280">
        <f>AF1204*AE1204</f>
        <v/>
      </c>
      <c r="AH1204" s="280">
        <f>AD1204*1.21</f>
        <v/>
      </c>
      <c r="AI1204" s="284">
        <f>IF(AE1204&lt;&gt;0,AG1204/AD1204,"N/A")</f>
        <v/>
      </c>
      <c r="AJ1204" s="280">
        <f>IF(AC1204="pendiente",AD1204,0)</f>
        <v/>
      </c>
      <c r="AK1204" s="278">
        <f>VLOOKUP(G1204,CLIENTES!B:D,3,FALSE)</f>
        <v/>
      </c>
    </row>
    <row r="1205" ht="15" customFormat="1" customHeight="1" s="192">
      <c r="B1205" s="199" t="n"/>
      <c r="C1205" s="192" t="inlineStr">
        <is>
          <t>c/ Las Cruzadas 3A, local D</t>
        </is>
      </c>
      <c r="D1205" s="192" t="inlineStr">
        <is>
          <t>Sevilla 41004</t>
        </is>
      </c>
      <c r="E1205" s="192" t="inlineStr">
        <is>
          <t>CIF B91938662</t>
        </is>
      </c>
      <c r="F1205" s="192" t="inlineStr">
        <is>
          <t>aBalados@abalados.es</t>
        </is>
      </c>
      <c r="G1205" s="192" t="inlineStr">
        <is>
          <t>LAAT 132 kV Doble Circuito-Tordesillas 400 kV, S.L.</t>
        </is>
      </c>
      <c r="H1205" s="192">
        <f>VLOOKUP($G1205,DATOS!$B:$E,2,FALSE)</f>
        <v/>
      </c>
      <c r="I1205" s="192">
        <f>VLOOKUP($G1205,DATOS!$B:$E,3,FALSE)</f>
        <v/>
      </c>
      <c r="J1205" s="192">
        <f>VLOOKUP($G1205,DATOS!$B:$E,4,FALSE)</f>
        <v/>
      </c>
      <c r="K1205" s="278" t="inlineStr">
        <is>
          <t>Contrato de Asset Management - LAAT T3 (Tordesillas)</t>
        </is>
      </c>
      <c r="L1205" s="200" t="n"/>
      <c r="N1205" s="200" t="n"/>
      <c r="O1205" s="192" t="inlineStr">
        <is>
          <t>Fee Trimestral - 8Febrero/31Marzo 2022</t>
        </is>
      </c>
      <c r="P1205" s="200">
        <f>1200*(21/28) + 1200</f>
        <v/>
      </c>
      <c r="R1205" s="200" t="n"/>
      <c r="T1205" s="200" t="n"/>
      <c r="V1205" s="200" t="n"/>
      <c r="X1205" s="200" t="n"/>
      <c r="Z1205" s="200" t="n"/>
      <c r="AA1205" s="200" t="n"/>
      <c r="AB1205" s="201" t="inlineStr">
        <is>
          <t>ES11 0081 7069 2700 0122 7724</t>
        </is>
      </c>
      <c r="AC1205" s="192" t="inlineStr">
        <is>
          <t>pendiente</t>
        </is>
      </c>
      <c r="AD1205" s="200">
        <f>L1205+N1205+P1205+R1205+T1205+V1205+X1205+Z1205</f>
        <v/>
      </c>
      <c r="AE1205" s="200">
        <f>IF((LEFT(K1205,6))="Contab",L1205,0)</f>
        <v/>
      </c>
      <c r="AF1205" s="201">
        <f>VLOOKUP(G1205,CLIENTES!B:E,4,FALSE)</f>
        <v/>
      </c>
      <c r="AG1205" s="200">
        <f>AF1205*AE1205</f>
        <v/>
      </c>
      <c r="AH1205" s="200">
        <f>AD1205*1.21</f>
        <v/>
      </c>
      <c r="AI1205" s="283">
        <f>IF(AE1205&lt;&gt;0,AG1205/AD1205,"N/A")</f>
        <v/>
      </c>
      <c r="AJ1205" s="200">
        <f>IF(AC1205="pendiente",AD1205,0)</f>
        <v/>
      </c>
      <c r="AK1205" s="192">
        <f>VLOOKUP(G1205,CLIENTES!B:D,3,FALSE)</f>
        <v/>
      </c>
      <c r="AL1205" s="278" t="n"/>
    </row>
    <row r="1206" ht="15" customFormat="1" customHeight="1" s="189">
      <c r="B1206" s="188" t="n"/>
      <c r="C1206" s="192" t="inlineStr">
        <is>
          <t>c/ Las Cruzadas 3A, local D</t>
        </is>
      </c>
      <c r="D1206" s="192" t="inlineStr">
        <is>
          <t>Sevilla 41004</t>
        </is>
      </c>
      <c r="E1206" s="192" t="inlineStr">
        <is>
          <t>CIF B91938662</t>
        </is>
      </c>
      <c r="F1206" s="192" t="inlineStr">
        <is>
          <t>aBalados@abalados.es</t>
        </is>
      </c>
      <c r="G1206" s="189" t="inlineStr">
        <is>
          <t>China Triumph International Engineering Co., LTD EP EN SPAIN</t>
        </is>
      </c>
      <c r="H1206" s="192">
        <f>VLOOKUP($G1206,DATOS!$B:$E,2,FALSE)</f>
        <v/>
      </c>
      <c r="I1206" s="192" t="inlineStr">
        <is>
          <t>c/ Cristobal Bordiú 35, 1st floor 108</t>
        </is>
      </c>
      <c r="J1206" s="192" t="inlineStr">
        <is>
          <t>28003 Madrid</t>
        </is>
      </c>
      <c r="K1206" s="189" t="inlineStr">
        <is>
          <t>O&amp;M Supervision and Management</t>
        </is>
      </c>
      <c r="L1206" s="190" t="n"/>
      <c r="N1206" s="190" t="n"/>
      <c r="O1206" s="189" t="inlineStr">
        <is>
          <t>Puerto Real 1 PV - Cádiz | Spain</t>
        </is>
      </c>
      <c r="P1206" s="190" t="n">
        <v>15430</v>
      </c>
      <c r="Q1206" s="189" t="inlineStr">
        <is>
          <t>O&amp;M Management services provided on March 2022</t>
        </is>
      </c>
      <c r="R1206" s="190" t="n"/>
      <c r="T1206" s="190" t="n"/>
      <c r="V1206" s="190" t="n"/>
      <c r="X1206" s="190" t="n"/>
      <c r="Z1206" s="190" t="n"/>
      <c r="AA1206" s="190" t="n"/>
      <c r="AB1206" s="201" t="inlineStr">
        <is>
          <t>ES11 0081 7069 2700 0122 7724</t>
        </is>
      </c>
      <c r="AC1206" s="192" t="inlineStr">
        <is>
          <t>pendiente</t>
        </is>
      </c>
      <c r="AD1206" s="200">
        <f>L1206+N1206+P1206+R1206+T1206+V1206+X1206+Z1206</f>
        <v/>
      </c>
      <c r="AE1206" s="200">
        <f>IF((LEFT(K1206,6))="Contab",L1206,0)</f>
        <v/>
      </c>
      <c r="AF1206" s="201">
        <f>VLOOKUP(G1206,CLIENTES!B:E,4,FALSE)</f>
        <v/>
      </c>
      <c r="AG1206" s="200">
        <f>AF1206*AE1206</f>
        <v/>
      </c>
      <c r="AH1206" s="200">
        <f>AD1206*1.21</f>
        <v/>
      </c>
      <c r="AI1206" s="283">
        <f>IF(AE1206&lt;&gt;0,AG1206/AD1206,"N/A")</f>
        <v/>
      </c>
      <c r="AJ1206" s="200">
        <f>IF(AC1206="pendiente",AD1206,0)</f>
        <v/>
      </c>
      <c r="AK1206" s="192">
        <f>VLOOKUP(G1206,CLIENTES!B:D,3,FALSE)</f>
        <v/>
      </c>
      <c r="AL1206" s="192" t="n"/>
    </row>
    <row r="1208" ht="15" customFormat="1" customHeight="1" s="195">
      <c r="A1208" t="n"/>
      <c r="B1208" s="194" t="n"/>
      <c r="C1208" s="195" t="inlineStr">
        <is>
          <t>c/ Las Cruzadas 3A, local D</t>
        </is>
      </c>
      <c r="D1208" s="195" t="inlineStr">
        <is>
          <t>Sevilla 41004</t>
        </is>
      </c>
      <c r="E1208" s="195" t="inlineStr">
        <is>
          <t>CIF B91938662</t>
        </is>
      </c>
      <c r="F1208" s="195" t="inlineStr">
        <is>
          <t>aBalados@abalados.es</t>
        </is>
      </c>
      <c r="G1208" s="195" t="inlineStr">
        <is>
          <t>FP LUX REIO PV ZARAGOZA SL.</t>
        </is>
      </c>
      <c r="H1208" s="195">
        <f>VLOOKUP($G1208,DATOS!$B:$E,2,FALSE)</f>
        <v/>
      </c>
      <c r="I1208" s="195">
        <f>VLOOKUP($G1208,DATOS!$B:$E,3,FALSE)</f>
        <v/>
      </c>
      <c r="J1208" s="195">
        <f>VLOOKUP($G1208,DATOS!$B:$E,4,FALSE)</f>
        <v/>
      </c>
      <c r="K1208" s="195" t="inlineStr">
        <is>
          <t>Proyecto El Marqués - Zaragoza</t>
        </is>
      </c>
      <c r="L1208" s="196" t="n"/>
      <c r="M1208" s="195" t="inlineStr">
        <is>
          <t>Honorarios - Contrato O&amp;M 1º Trimestre</t>
        </is>
      </c>
      <c r="N1208" s="196" t="n">
        <v>20963.8649556</v>
      </c>
      <c r="P1208" s="196" t="n"/>
      <c r="R1208" s="196" t="n"/>
      <c r="T1208" s="196" t="n"/>
      <c r="V1208" s="196" t="n"/>
      <c r="X1208" s="196" t="n"/>
      <c r="Z1208" s="196" t="n"/>
      <c r="AA1208" s="196" t="n"/>
      <c r="AB1208" s="197" t="inlineStr">
        <is>
          <t>ES11 0081 7069 2700 0122 7724</t>
        </is>
      </c>
      <c r="AC1208" s="195" t="inlineStr">
        <is>
          <t>pendiente</t>
        </is>
      </c>
      <c r="AD1208" s="196">
        <f>L1208+N1208+P1208+R1208+T1208+V1208+X1208+Z1208</f>
        <v/>
      </c>
      <c r="AE1208" s="196">
        <f>IF((LEFT(K1208,6))="Contab",L1208,0)</f>
        <v/>
      </c>
      <c r="AF1208" s="197">
        <f>VLOOKUP(G1208,CLIENTES!B:E,4,FALSE)</f>
        <v/>
      </c>
      <c r="AG1208" s="196">
        <f>AF1208*AE1208</f>
        <v/>
      </c>
      <c r="AH1208" s="196">
        <f>AD1208*1.21</f>
        <v/>
      </c>
      <c r="AI1208" s="285">
        <f>IF(AE1208&lt;&gt;0,AG1208/AD1208,"N/A")</f>
        <v/>
      </c>
      <c r="AJ1208" s="196">
        <f>IF(AC1208="pendiente",AD1208,0)</f>
        <v/>
      </c>
      <c r="AK1208" s="195">
        <f>VLOOKUP(G1208,CLIENTES!B:D,3,FALSE)</f>
        <v/>
      </c>
    </row>
    <row r="1209" ht="15" customFormat="1" customHeight="1" s="192">
      <c r="B1209" s="199" t="n"/>
      <c r="C1209" s="192" t="inlineStr">
        <is>
          <t>c/ Las Cruzadas 3A, local D</t>
        </is>
      </c>
      <c r="D1209" s="192" t="inlineStr">
        <is>
          <t>Sevilla 41004</t>
        </is>
      </c>
      <c r="E1209" s="192" t="inlineStr">
        <is>
          <t>CIF B91938662</t>
        </is>
      </c>
      <c r="F1209" s="192" t="inlineStr">
        <is>
          <t>aBalados@abalados.es</t>
        </is>
      </c>
      <c r="G1209" s="192" t="inlineStr">
        <is>
          <t>China Triumph International Engineering Co., LTD EP EN SPAIN</t>
        </is>
      </c>
      <c r="H1209" s="192">
        <f>VLOOKUP($G1209,DATOS!$B:$E,2,FALSE)</f>
        <v/>
      </c>
      <c r="I1209" s="192" t="inlineStr">
        <is>
          <t>c/ Cristobal Bordiú 35, 1st floor 108</t>
        </is>
      </c>
      <c r="J1209" s="192" t="inlineStr">
        <is>
          <t>28003 Madrid</t>
        </is>
      </c>
      <c r="K1209" s="192" t="inlineStr">
        <is>
          <t>ASSISTANCE FOR MODULE RETENTION</t>
        </is>
      </c>
      <c r="L1209" s="200" t="n"/>
      <c r="N1209" s="200" t="n"/>
      <c r="O1209" s="192" t="inlineStr">
        <is>
          <t>Puerto Real 1 PV - Cádiz | Spain</t>
        </is>
      </c>
      <c r="P1209" s="200" t="n">
        <v>10350</v>
      </c>
      <c r="Q1209" s="192" t="inlineStr">
        <is>
          <t>Technical Advisory for module defect remediation</t>
        </is>
      </c>
      <c r="R1209" s="200" t="n"/>
      <c r="T1209" s="200" t="n"/>
      <c r="V1209" s="200" t="n"/>
      <c r="X1209" s="200" t="n"/>
      <c r="Z1209" s="200" t="n"/>
      <c r="AA1209" s="200" t="n"/>
      <c r="AB1209" s="201" t="inlineStr">
        <is>
          <t>ES11 0081 7069 2700 0122 7724</t>
        </is>
      </c>
      <c r="AC1209" s="192" t="inlineStr">
        <is>
          <t>pendiente</t>
        </is>
      </c>
      <c r="AD1209" s="200">
        <f>L1209+N1209+P1209+R1209+T1209+V1209+X1209+Z1209</f>
        <v/>
      </c>
      <c r="AE1209" s="200">
        <f>IF((LEFT(K1209,6))="Contab",L1209,0)</f>
        <v/>
      </c>
      <c r="AF1209" s="201">
        <f>VLOOKUP(G1209,CLIENTES!B:E,4,FALSE)</f>
        <v/>
      </c>
      <c r="AG1209" s="200">
        <f>AF1209*AE1209</f>
        <v/>
      </c>
      <c r="AH1209" s="200">
        <f>AD1209*1.21</f>
        <v/>
      </c>
      <c r="AI1209" s="283">
        <f>IF(AE1209&lt;&gt;0,AG1209/AD1209,"N/A")</f>
        <v/>
      </c>
      <c r="AJ1209" s="200">
        <f>IF(AC1209="pendiente",AD1209,0)</f>
        <v/>
      </c>
      <c r="AK1209" s="192">
        <f>VLOOKUP(G1209,CLIENTES!B:D,3,FALSE)</f>
        <v/>
      </c>
    </row>
    <row r="1210" ht="15" customFormat="1" customHeight="1" s="189">
      <c r="B1210" s="188" t="n"/>
      <c r="C1210" s="192" t="inlineStr">
        <is>
          <t>c/ Las Cruzadas 3A, local D</t>
        </is>
      </c>
      <c r="D1210" s="192" t="inlineStr">
        <is>
          <t>Sevilla 41004</t>
        </is>
      </c>
      <c r="E1210" s="192" t="inlineStr">
        <is>
          <t>CIF B91938662</t>
        </is>
      </c>
      <c r="F1210" s="192" t="inlineStr">
        <is>
          <t>aBalados@abalados.es</t>
        </is>
      </c>
      <c r="G1210" s="189" t="inlineStr">
        <is>
          <t>Cubillos Renovables, S.L.</t>
        </is>
      </c>
      <c r="H1210" s="192">
        <f>VLOOKUP($G1210,DATOS!$B:$E,2,FALSE)</f>
        <v/>
      </c>
      <c r="I1210" s="192">
        <f>VLOOKUP($G1210,DATOS!$B:$E,3,FALSE)</f>
        <v/>
      </c>
      <c r="J1210" s="192">
        <f>VLOOKUP($G1210,DATOS!$B:$E,4,FALSE)</f>
        <v/>
      </c>
      <c r="K1210" s="189" t="inlineStr">
        <is>
          <t>Servicios extraordinarios - Asset Management (subestación Majuelo)</t>
        </is>
      </c>
      <c r="L1210" s="190" t="n">
        <v>500</v>
      </c>
      <c r="M1210" s="287" t="inlineStr">
        <is>
          <t>Adenda modificativa del Pacto de Socios suscrito con fecha de 05/05/21</t>
        </is>
      </c>
      <c r="N1210" s="190" t="n"/>
      <c r="P1210" s="190" t="n"/>
      <c r="R1210" s="190" t="n"/>
      <c r="T1210" s="190" t="n"/>
      <c r="V1210" s="190" t="n"/>
      <c r="X1210" s="190" t="n"/>
      <c r="Z1210" s="190" t="n"/>
      <c r="AA1210" s="190" t="n"/>
      <c r="AB1210" s="201" t="inlineStr">
        <is>
          <t>ES11 0081 7069 2700 0122 7724</t>
        </is>
      </c>
      <c r="AC1210" s="192" t="inlineStr">
        <is>
          <t>pendiente</t>
        </is>
      </c>
      <c r="AD1210" s="200">
        <f>L1210+N1210+P1210+R1210+T1210+V1210+X1210+Z1210</f>
        <v/>
      </c>
      <c r="AE1210" s="200">
        <f>IF((LEFT(K1210,6))="Contab",L1210,0)</f>
        <v/>
      </c>
      <c r="AF1210" s="201">
        <f>VLOOKUP(G1210,CLIENTES!B:E,4,FALSE)</f>
        <v/>
      </c>
      <c r="AG1210" s="200">
        <f>AF1210*AE1210</f>
        <v/>
      </c>
      <c r="AH1210" s="200">
        <f>AD1210*1.21</f>
        <v/>
      </c>
      <c r="AI1210" s="283">
        <f>IF(AE1210&lt;&gt;0,AG1210/AD1210,"N/A")</f>
        <v/>
      </c>
      <c r="AJ1210" s="200">
        <f>IF(AC1210="pendiente",AD1210,0)</f>
        <v/>
      </c>
      <c r="AK1210" s="192">
        <f>VLOOKUP(G1210,CLIENTES!B:D,3,FALSE)</f>
        <v/>
      </c>
      <c r="AL1210" s="192" t="n"/>
    </row>
    <row r="1211" ht="15" customFormat="1" customHeight="1" s="278">
      <c r="B1211" s="279" t="n"/>
      <c r="C1211" s="278" t="inlineStr">
        <is>
          <t>c/ Las Cruzadas 3A, local D</t>
        </is>
      </c>
      <c r="D1211" s="278" t="inlineStr">
        <is>
          <t>Sevilla 41004</t>
        </is>
      </c>
      <c r="E1211" s="278" t="inlineStr">
        <is>
          <t>CIF B91938662</t>
        </is>
      </c>
      <c r="F1211" s="278" t="inlineStr">
        <is>
          <t>aBalados@abalados.es</t>
        </is>
      </c>
      <c r="G1211" s="278" t="inlineStr">
        <is>
          <t>Soluciones Aeconova S.L.</t>
        </is>
      </c>
      <c r="H1211" s="278">
        <f>VLOOKUP($G1211,DATOS!$B:$E,2,FALSE)</f>
        <v/>
      </c>
      <c r="I1211" s="278">
        <f>VLOOKUP($G1211,DATOS!$B:$E,3,FALSE)</f>
        <v/>
      </c>
      <c r="J1211" s="278">
        <f>VLOOKUP($G1211,DATOS!$B:$E,4,FALSE)</f>
        <v/>
      </c>
      <c r="K1211" s="278" t="inlineStr">
        <is>
          <t>Servicios Contabilidad 2T2021</t>
        </is>
      </c>
      <c r="L1211" s="280">
        <f>110.25</f>
        <v/>
      </c>
      <c r="N1211" s="280" t="n"/>
      <c r="P1211" s="280" t="n"/>
      <c r="R1211" s="280" t="n"/>
      <c r="T1211" s="280" t="n"/>
      <c r="V1211" s="280" t="n"/>
      <c r="X1211" s="280" t="n"/>
      <c r="Z1211" s="280" t="n"/>
      <c r="AA1211" s="280" t="n"/>
      <c r="AB1211" s="281" t="inlineStr">
        <is>
          <t>ES11 0081 7069 2700 0122 7724</t>
        </is>
      </c>
      <c r="AC1211" s="278" t="inlineStr">
        <is>
          <t>pendiente</t>
        </is>
      </c>
      <c r="AD1211" s="280">
        <f>L1211+N1211+P1211+R1211+T1211+V1211+X1211+Z1211</f>
        <v/>
      </c>
      <c r="AE1211" s="280">
        <f>IF((LEFT(K1211,6))="Contab",L1211,0)</f>
        <v/>
      </c>
      <c r="AF1211" s="281">
        <f>VLOOKUP(G1211,CLIENTES!B:E,4,FALSE)</f>
        <v/>
      </c>
      <c r="AG1211" s="280">
        <f>AF1211*AE1211</f>
        <v/>
      </c>
      <c r="AH1211" s="280">
        <f>AD1211*1.21</f>
        <v/>
      </c>
      <c r="AI1211" s="282">
        <f>IF(AE1211&lt;&gt;0,AG1211/AD1211,"N/A")</f>
        <v/>
      </c>
      <c r="AJ1211" s="280">
        <f>IF(AC1211="pendiente",AD1211,0)</f>
        <v/>
      </c>
      <c r="AK1211" s="278">
        <f>VLOOKUP(G1211,CLIENTES!B:D,3,FALSE)</f>
        <v/>
      </c>
    </row>
    <row r="1212" ht="15" customFormat="1" customHeight="1" s="192">
      <c r="B1212" s="199" t="n"/>
      <c r="C1212" s="192" t="inlineStr">
        <is>
          <t>c/ Las Cruzadas 3A, local D</t>
        </is>
      </c>
      <c r="D1212" s="192" t="inlineStr">
        <is>
          <t>Sevilla 41004</t>
        </is>
      </c>
      <c r="E1212" s="192" t="inlineStr">
        <is>
          <t>CIF B91938662</t>
        </is>
      </c>
      <c r="F1212" s="192" t="inlineStr">
        <is>
          <t>aBalados@abalados.es</t>
        </is>
      </c>
      <c r="G1212" s="192" t="inlineStr">
        <is>
          <t>White Summit Capital Asesores, S.L.</t>
        </is>
      </c>
      <c r="H1212" s="192">
        <f>VLOOKUP($G1212,DATOS!$B:$E,2,FALSE)</f>
        <v/>
      </c>
      <c r="I1212" s="192">
        <f>VLOOKUP($G1212,DATOS!$B:$E,3,FALSE)</f>
        <v/>
      </c>
      <c r="J1212" s="192">
        <f>VLOOKUP($G1212,DATOS!$B:$E,4,FALSE)</f>
        <v/>
      </c>
      <c r="K1212" s="192" t="inlineStr">
        <is>
          <t>Contrato de Asset Management- Proyecto La Isla</t>
        </is>
      </c>
      <c r="L1212" s="200" t="n"/>
      <c r="M1212" s="192" t="inlineStr">
        <is>
          <t>Fee trimestral 2T'2022</t>
        </is>
      </c>
      <c r="N1212" s="200">
        <f>'Tarifa 2025'!$D$32/12*3</f>
        <v/>
      </c>
      <c r="O1212" s="192" t="inlineStr">
        <is>
          <t>Quarterly fee - 2Q2022</t>
        </is>
      </c>
      <c r="P1212" s="200" t="n"/>
      <c r="R1212" s="200" t="n"/>
      <c r="T1212" s="200" t="n"/>
      <c r="V1212" s="200" t="n"/>
      <c r="X1212" s="200" t="n"/>
      <c r="Z1212" s="200" t="n"/>
      <c r="AA1212" s="200" t="n"/>
      <c r="AB1212" s="201" t="inlineStr">
        <is>
          <t>ES11 0081 7069 2700 0122 7724</t>
        </is>
      </c>
      <c r="AC1212" s="192" t="inlineStr">
        <is>
          <t>pendiente</t>
        </is>
      </c>
      <c r="AD1212" s="200">
        <f>L1212+N1212+P1212+R1212+T1212+V1212+X1212+Z1212</f>
        <v/>
      </c>
      <c r="AE1212" s="200">
        <f>IF((LEFT(K1212,4))="Cont",N1212,0)</f>
        <v/>
      </c>
      <c r="AF1212" s="201">
        <f>VLOOKUP(G1212,CLIENTES!B:E,4,FALSE)</f>
        <v/>
      </c>
      <c r="AG1212" s="200">
        <f>AF1212*AE1212</f>
        <v/>
      </c>
      <c r="AH1212" s="200">
        <f>AD1212*1.21</f>
        <v/>
      </c>
      <c r="AI1212" s="202">
        <f>IF(AE1212&lt;&gt;0,AG1212/AD1212,"N/A")</f>
        <v/>
      </c>
      <c r="AJ1212" s="200">
        <f>IF(AC1212="pendiente",AD1212,0)</f>
        <v/>
      </c>
      <c r="AK1212" s="192">
        <f>VLOOKUP(G1212,CLIENTES!B:D,3,FALSE)</f>
        <v/>
      </c>
    </row>
    <row r="1213" ht="15" customFormat="1" customHeight="1" s="192">
      <c r="B1213" s="199" t="n"/>
      <c r="C1213" s="192" t="inlineStr">
        <is>
          <t>c/ Las Cruzadas 3A, local D</t>
        </is>
      </c>
      <c r="D1213" s="192" t="inlineStr">
        <is>
          <t>Sevilla 41004</t>
        </is>
      </c>
      <c r="E1213" s="192" t="inlineStr">
        <is>
          <t>CIF B91938662</t>
        </is>
      </c>
      <c r="F1213" s="192" t="inlineStr">
        <is>
          <t>aBalados@abalados.es</t>
        </is>
      </c>
      <c r="G1213" s="192" t="inlineStr">
        <is>
          <t>FP LUX REIO PV ZARAGOZA SL.</t>
        </is>
      </c>
      <c r="H1213" s="192">
        <f>VLOOKUP($G1213,DATOS!$B:$E,2,FALSE)</f>
        <v/>
      </c>
      <c r="I1213" s="192">
        <f>VLOOKUP($G1213,DATOS!$B:$E,3,FALSE)</f>
        <v/>
      </c>
      <c r="J1213" s="192">
        <f>VLOOKUP($G1213,DATOS!$B:$E,4,FALSE)</f>
        <v/>
      </c>
      <c r="K1213" s="192" t="inlineStr">
        <is>
          <t>Proyecto El Marqués - Zaragoza</t>
        </is>
      </c>
      <c r="L1213" s="200" t="n"/>
      <c r="M1213" s="192" t="inlineStr">
        <is>
          <t>Honorarios - Contrato O&amp;M 2º Trimestre</t>
        </is>
      </c>
      <c r="N1213" s="200" t="n">
        <v>20963.8649556</v>
      </c>
      <c r="P1213" s="200" t="n"/>
      <c r="R1213" s="200" t="n"/>
      <c r="T1213" s="200" t="n"/>
      <c r="V1213" s="200" t="n"/>
      <c r="X1213" s="200" t="n"/>
      <c r="Z1213" s="200" t="n"/>
      <c r="AA1213" s="200" t="n"/>
      <c r="AB1213" s="201" t="inlineStr">
        <is>
          <t>ES11 0081 7069 2700 0122 7724</t>
        </is>
      </c>
      <c r="AC1213" s="192" t="inlineStr">
        <is>
          <t>pendiente</t>
        </is>
      </c>
      <c r="AD1213" s="200">
        <f>L1213+N1213+P1213+R1213+T1213+V1213+X1213+Z1213</f>
        <v/>
      </c>
      <c r="AE1213" s="200">
        <f>IF((LEFT(K1213,6))="Contab",L1213,0)</f>
        <v/>
      </c>
      <c r="AF1213" s="201" t="n">
        <v>0.1</v>
      </c>
      <c r="AG1213" s="200">
        <f>AF1213*AE1213</f>
        <v/>
      </c>
      <c r="AH1213" s="200">
        <f>AD1213*1.21</f>
        <v/>
      </c>
      <c r="AI1213" s="202">
        <f>IF(AE1213&lt;&gt;0,AG1213/AD1213,"N/A")</f>
        <v/>
      </c>
      <c r="AJ1213" s="200">
        <f>IF(AC1213="pendiente",AD1213,0)</f>
        <v/>
      </c>
      <c r="AK1213" s="192">
        <f>VLOOKUP(G1213,CLIENTES!B:D,3,FALSE)</f>
        <v/>
      </c>
    </row>
    <row r="1214" ht="15" customFormat="1" customHeight="1" s="192">
      <c r="A1214" t="n"/>
      <c r="B1214" s="199" t="n"/>
      <c r="C1214" s="192" t="inlineStr">
        <is>
          <t>c/ Las Cruzadas 3A, local D</t>
        </is>
      </c>
      <c r="D1214" s="192" t="inlineStr">
        <is>
          <t>Sevilla 41004</t>
        </is>
      </c>
      <c r="E1214" s="192" t="inlineStr">
        <is>
          <t>CIF B91938662</t>
        </is>
      </c>
      <c r="F1214" s="192" t="inlineStr">
        <is>
          <t>aBalados@abalados.es</t>
        </is>
      </c>
      <c r="G1214" s="192" t="inlineStr">
        <is>
          <t>FP LUX REIO PV ZARAGOZA SL.</t>
        </is>
      </c>
      <c r="H1214" s="192">
        <f>VLOOKUP($G1214,DATOS!$B:$E,2,FALSE)</f>
        <v/>
      </c>
      <c r="I1214" s="192">
        <f>VLOOKUP($G1214,DATOS!$B:$E,3,FALSE)</f>
        <v/>
      </c>
      <c r="J1214" s="192">
        <f>VLOOKUP($G1214,DATOS!$B:$E,4,FALSE)</f>
        <v/>
      </c>
      <c r="K1214" s="192" t="inlineStr">
        <is>
          <t>Proyecto El Marqués - Zaragoza</t>
        </is>
      </c>
      <c r="L1214" s="200" t="n"/>
      <c r="M1214" s="192" t="inlineStr">
        <is>
          <t>Honorarios - Contrato O&amp;M 2º Trimestre</t>
        </is>
      </c>
      <c r="N1214" s="200" t="n">
        <v>20963.8649556</v>
      </c>
      <c r="P1214" s="200" t="n"/>
      <c r="R1214" s="200" t="n"/>
      <c r="T1214" s="200" t="n"/>
      <c r="V1214" s="200" t="n"/>
      <c r="X1214" s="200" t="n"/>
      <c r="Z1214" s="200" t="n"/>
      <c r="AA1214" s="200" t="n"/>
      <c r="AB1214" s="201" t="inlineStr">
        <is>
          <t>ES11 0081 7069 2700 0122 7724</t>
        </is>
      </c>
      <c r="AC1214" s="192" t="inlineStr">
        <is>
          <t>pendiente</t>
        </is>
      </c>
      <c r="AD1214" s="200">
        <f>L1214+N1214+P1214+R1214+T1214+V1214+X1214+Z1214</f>
        <v/>
      </c>
      <c r="AE1214" s="200">
        <f>IF((LEFT(K1214,6))="Contab",L1214,0)</f>
        <v/>
      </c>
      <c r="AF1214" s="201" t="n">
        <v>0.1</v>
      </c>
      <c r="AG1214" s="200">
        <f>AF1214*AE1214</f>
        <v/>
      </c>
      <c r="AH1214" s="200">
        <f>AD1214*1.21</f>
        <v/>
      </c>
      <c r="AI1214" s="202">
        <f>IF(AE1214&lt;&gt;0,AG1214/AD1214,"N/A")</f>
        <v/>
      </c>
      <c r="AJ1214" s="200">
        <f>IF(AC1214="pendiente",AD1214,0)</f>
        <v/>
      </c>
      <c r="AK1214" s="192">
        <f>VLOOKUP(G1214,CLIENTES!B:D,3,FALSE)</f>
        <v/>
      </c>
    </row>
    <row r="1215" ht="15" customFormat="1" customHeight="1" s="192">
      <c r="B1215" s="199" t="n"/>
      <c r="C1215" s="192" t="inlineStr">
        <is>
          <t>c/ Las Cruzadas 3A, local D</t>
        </is>
      </c>
      <c r="D1215" s="192" t="inlineStr">
        <is>
          <t>Sevilla 41004</t>
        </is>
      </c>
      <c r="E1215" s="192" t="inlineStr">
        <is>
          <t>CIF B91938662</t>
        </is>
      </c>
      <c r="F1215" s="192" t="inlineStr">
        <is>
          <t>aBalados@abalados.es</t>
        </is>
      </c>
      <c r="G1215" s="192" t="inlineStr">
        <is>
          <t>Jerez Motor S.A.</t>
        </is>
      </c>
      <c r="H1215" s="192">
        <f>VLOOKUP($G1215,DATOS!$B:$E,2,FALSE)</f>
        <v/>
      </c>
      <c r="I1215" s="192">
        <f>VLOOKUP($G1215,DATOS!$B:$E,3,FALSE)</f>
        <v/>
      </c>
      <c r="J1215" s="192">
        <f>VLOOKUP($G1215,DATOS!$B:$E,4,FALSE)</f>
        <v/>
      </c>
      <c r="K1215" s="192" t="inlineStr">
        <is>
          <t>Venta de vehículo Ford Transit - 8373JVY</t>
        </is>
      </c>
      <c r="L1215" s="200">
        <f>6500/1.21</f>
        <v/>
      </c>
      <c r="M1215" s="192" t="inlineStr">
        <is>
          <t>Según contrato de compraventa de vehículo usado</t>
        </is>
      </c>
      <c r="N1215" s="200" t="n"/>
      <c r="O1215" s="192" t="inlineStr">
        <is>
          <t>Celebrado a fecha 27 de Abril de 2022</t>
        </is>
      </c>
      <c r="P1215" s="200" t="n"/>
      <c r="R1215" s="200" t="n"/>
      <c r="T1215" s="200" t="n"/>
      <c r="V1215" s="200" t="n"/>
      <c r="X1215" s="200" t="n"/>
      <c r="Z1215" s="200" t="n"/>
      <c r="AA1215" s="200" t="n"/>
      <c r="AB1215" s="201" t="inlineStr">
        <is>
          <t>ES11 0081 7069 2700 0122 7724</t>
        </is>
      </c>
      <c r="AC1215" s="192" t="inlineStr">
        <is>
          <t>pendiente</t>
        </is>
      </c>
      <c r="AD1215" s="200">
        <f>L1215+N1215+P1215+R1215+T1215+V1215+X1215+Z1215</f>
        <v/>
      </c>
      <c r="AE1215" s="200">
        <f>IF((LEFT(K1215,6))="Contab",L1215,0)</f>
        <v/>
      </c>
      <c r="AF1215" s="201">
        <f>VLOOKUP(G1215,CLIENTES!B:E,4,FALSE)</f>
        <v/>
      </c>
      <c r="AG1215" s="200">
        <f>AF1215*AE1215</f>
        <v/>
      </c>
      <c r="AH1215" s="200">
        <f>AD1215*1.21</f>
        <v/>
      </c>
      <c r="AI1215" s="202">
        <f>IF(AE1215&lt;&gt;0,AG1215/AD1215,"N/A")</f>
        <v/>
      </c>
      <c r="AJ1215" s="200">
        <f>IF(AC1215="pendiente",AD1215,0)</f>
        <v/>
      </c>
      <c r="AK1215" s="192">
        <f>VLOOKUP(G1215,CLIENTES!B:D,3,FALSE)</f>
        <v/>
      </c>
    </row>
    <row r="1216" ht="15" customFormat="1" customHeight="1" s="195">
      <c r="B1216" s="194" t="n"/>
      <c r="C1216" s="278" t="inlineStr">
        <is>
          <t>c/ Las Cruzadas 3A, local D</t>
        </is>
      </c>
      <c r="D1216" s="278" t="inlineStr">
        <is>
          <t>Sevilla 41004</t>
        </is>
      </c>
      <c r="E1216" s="278" t="inlineStr">
        <is>
          <t>CIF B91938662</t>
        </is>
      </c>
      <c r="F1216" s="278" t="inlineStr">
        <is>
          <t>aBalados@abalados.es</t>
        </is>
      </c>
      <c r="G1216" s="195" t="inlineStr">
        <is>
          <t>China Triumph International Engineering Co., LTD EP EN SPAIN</t>
        </is>
      </c>
      <c r="H1216" s="278">
        <f>VLOOKUP($G1216,DATOS!$B:$E,2,FALSE)</f>
        <v/>
      </c>
      <c r="I1216" s="278" t="inlineStr">
        <is>
          <t>c/ Cristobal Bordiú 35, 1st floor 108</t>
        </is>
      </c>
      <c r="J1216" s="278" t="inlineStr">
        <is>
          <t>28003 Madrid</t>
        </is>
      </c>
      <c r="K1216" s="195" t="inlineStr">
        <is>
          <t>O&amp;M Supervision and Management</t>
        </is>
      </c>
      <c r="L1216" s="196" t="n"/>
      <c r="N1216" s="196" t="n"/>
      <c r="O1216" s="195" t="inlineStr">
        <is>
          <t>Puerto Real 1 PV - Cádiz | Spain</t>
        </is>
      </c>
      <c r="P1216" s="196" t="n">
        <v>15430</v>
      </c>
      <c r="Q1216" s="195" t="inlineStr">
        <is>
          <t>O&amp;M Management services provided on April 2022</t>
        </is>
      </c>
      <c r="R1216" s="196" t="n"/>
      <c r="T1216" s="196" t="n"/>
      <c r="V1216" s="196" t="n"/>
      <c r="X1216" s="196" t="n"/>
      <c r="Z1216" s="196" t="n"/>
      <c r="AA1216" s="196" t="n"/>
      <c r="AB1216" s="281" t="inlineStr">
        <is>
          <t>ES11 0081 7069 2700 0122 7724</t>
        </is>
      </c>
      <c r="AC1216" s="278" t="inlineStr">
        <is>
          <t>pendiente</t>
        </is>
      </c>
      <c r="AD1216" s="280">
        <f>L1216+N1216+P1216+R1216+T1216+V1216+X1216+Z1216</f>
        <v/>
      </c>
      <c r="AE1216" s="280">
        <f>IF((LEFT(K1216,6))="Contab",L1216,0)</f>
        <v/>
      </c>
      <c r="AF1216" s="281">
        <f>VLOOKUP(G1216,CLIENTES!B:E,4,FALSE)</f>
        <v/>
      </c>
      <c r="AG1216" s="280">
        <f>AF1216*AE1216</f>
        <v/>
      </c>
      <c r="AH1216" s="280">
        <f>AD1216*1.21</f>
        <v/>
      </c>
      <c r="AI1216" s="284">
        <f>IF(AE1216&lt;&gt;0,AG1216/AD1216,"N/A")</f>
        <v/>
      </c>
      <c r="AJ1216" s="280">
        <f>IF(AC1216="pendiente",AD1216,0)</f>
        <v/>
      </c>
      <c r="AK1216" s="278">
        <f>VLOOKUP(G1216,CLIENTES!B:D,3,FALSE)</f>
        <v/>
      </c>
      <c r="AL1216" s="278" t="n"/>
    </row>
    <row r="1217" ht="15" customFormat="1" customHeight="1" s="192">
      <c r="B1217" s="199" t="n"/>
      <c r="C1217" s="192" t="inlineStr">
        <is>
          <t>c/ Las Cruzadas 3A, local D</t>
        </is>
      </c>
      <c r="D1217" s="192" t="inlineStr">
        <is>
          <t>Sevilla 41004</t>
        </is>
      </c>
      <c r="E1217" s="192" t="inlineStr">
        <is>
          <t>CIF B91938662</t>
        </is>
      </c>
      <c r="F1217" s="192" t="inlineStr">
        <is>
          <t>aBalados@abalados.es</t>
        </is>
      </c>
      <c r="G1217" s="192" t="inlineStr">
        <is>
          <t>Planta Solar Niebla I, S.L.</t>
        </is>
      </c>
      <c r="H1217" s="192">
        <f>VLOOKUP($G1217,DATOS!$B:$E,2,FALSE)</f>
        <v/>
      </c>
      <c r="I1217" s="192">
        <f>VLOOKUP($G1217,DATOS!$B:$E,3,FALSE)</f>
        <v/>
      </c>
      <c r="J1217" s="192">
        <f>VLOOKUP($G1217,DATOS!$B:$E,4,FALSE)</f>
        <v/>
      </c>
      <c r="K1217" s="192" t="inlineStr">
        <is>
          <t>Technical Advisory - Support in Permitting &amp; Commissioning</t>
        </is>
      </c>
      <c r="L1217" s="200" t="n"/>
      <c r="N1217" s="200" t="n"/>
      <c r="O1217" s="192" t="inlineStr">
        <is>
          <t>Niebla I PV - Huelva | Spain</t>
        </is>
      </c>
      <c r="P1217" s="200">
        <f>0.4*7950</f>
        <v/>
      </c>
      <c r="Q1217" s="192" t="inlineStr">
        <is>
          <t>First invoice (40%) at Service Agreement signature</t>
        </is>
      </c>
      <c r="R1217" s="200" t="n"/>
      <c r="T1217" s="200" t="n"/>
      <c r="V1217" s="200" t="n"/>
      <c r="X1217" s="200" t="n"/>
      <c r="Z1217" s="200" t="n"/>
      <c r="AA1217" s="200" t="n"/>
      <c r="AB1217" s="201" t="inlineStr">
        <is>
          <t>ES11 0081 7069 2700 0122 7724</t>
        </is>
      </c>
      <c r="AC1217" s="192" t="inlineStr">
        <is>
          <t>pendiente</t>
        </is>
      </c>
      <c r="AD1217" s="200">
        <f>L1217+N1217+P1217+R1217+T1217+V1217+X1217+Z1217</f>
        <v/>
      </c>
      <c r="AE1217" s="200">
        <f>IF((LEFT(K1217,6))="Contab",L1217,0)</f>
        <v/>
      </c>
      <c r="AF1217" s="201">
        <f>VLOOKUP(G1217,CLIENTES!B:E,4,FALSE)</f>
        <v/>
      </c>
      <c r="AG1217" s="200">
        <f>AF1217*AE1217</f>
        <v/>
      </c>
      <c r="AH1217" s="200">
        <f>AD1217*1.21</f>
        <v/>
      </c>
      <c r="AI1217" s="283">
        <f>IF(AE1217&lt;&gt;0,AG1217/AD1217,"N/A")</f>
        <v/>
      </c>
      <c r="AJ1217" s="200">
        <f>IF(AC1217="pendiente",AD1217,0)</f>
        <v/>
      </c>
      <c r="AK1217" s="192">
        <f>VLOOKUP(G1217,CLIENTES!B:D,3,FALSE)</f>
        <v/>
      </c>
    </row>
    <row r="1218" ht="15" customFormat="1" customHeight="1" s="278">
      <c r="B1218" s="279" t="n"/>
      <c r="C1218" s="278" t="inlineStr">
        <is>
          <t>c/ Las Cruzadas 3A, local D</t>
        </is>
      </c>
      <c r="D1218" s="278" t="inlineStr">
        <is>
          <t>Sevilla 41004</t>
        </is>
      </c>
      <c r="E1218" s="278" t="inlineStr">
        <is>
          <t>CIF B91938662</t>
        </is>
      </c>
      <c r="F1218" s="278" t="inlineStr">
        <is>
          <t>aBalados@abalados.es</t>
        </is>
      </c>
      <c r="G1218" s="278" t="inlineStr">
        <is>
          <t>Locaba Solar S.L.U.</t>
        </is>
      </c>
      <c r="H1218" s="278">
        <f>VLOOKUP($G1218,DATOS!$B:$E,2,FALSE)</f>
        <v/>
      </c>
      <c r="I1218" s="278">
        <f>VLOOKUP($G1218,DATOS!$B:$E,3,FALSE)</f>
        <v/>
      </c>
      <c r="J1218" s="278">
        <f>VLOOKUP($G1218,DATOS!$B:$E,4,FALSE)</f>
        <v/>
      </c>
      <c r="K1218" s="278" t="inlineStr">
        <is>
          <t>O&amp;M - Correctivo</t>
        </is>
      </c>
      <c r="L1218" s="280">
        <f>1260+600+3000+220</f>
        <v/>
      </c>
      <c r="M1218" s="278" t="inlineStr">
        <is>
          <t>pvXchange - Sustitución y gestión garantía (21x)</t>
        </is>
      </c>
      <c r="N1218" s="280" t="n"/>
      <c r="O1218" s="278" t="inlineStr">
        <is>
          <t>Adaptación Nueva Normativa REE 2021 - ARM. Resistencias de carga</t>
        </is>
      </c>
      <c r="P1218" s="280" t="n"/>
      <c r="Q1218" s="278" t="inlineStr">
        <is>
          <t>pvXchange - Sustitución y gestión garantía (50x)</t>
        </is>
      </c>
      <c r="R1218" s="280" t="n"/>
      <c r="S1218" s="278" t="inlineStr">
        <is>
          <t>Geónica - Mejora instalación: Soporte inclinado piranómetro</t>
        </is>
      </c>
      <c r="T1218" s="280" t="n"/>
      <c r="V1218" s="280" t="n"/>
      <c r="X1218" s="280" t="n"/>
      <c r="Z1218" s="280" t="n"/>
      <c r="AA1218" s="280" t="n"/>
      <c r="AB1218" s="281" t="inlineStr">
        <is>
          <t>ES11 0081 7069 2700 0122 7724</t>
        </is>
      </c>
      <c r="AC1218" s="278" t="inlineStr">
        <is>
          <t>pendiente</t>
        </is>
      </c>
      <c r="AD1218" s="280">
        <f>L1218+N1218+P1218+R1218+T1218+V1218+X1218+Z1218</f>
        <v/>
      </c>
      <c r="AE1218" s="280">
        <f>IF((LEFT(K1218,6))="Contab",L1218,0)</f>
        <v/>
      </c>
      <c r="AF1218" s="281">
        <f>VLOOKUP(G1218,CLIENTES!B:E,4,FALSE)</f>
        <v/>
      </c>
      <c r="AG1218" s="280">
        <f>AF1218*AE1218</f>
        <v/>
      </c>
      <c r="AH1218" s="280">
        <f>AD1218*1.21</f>
        <v/>
      </c>
      <c r="AI1218" s="282">
        <f>IF(AE1218&lt;&gt;0,AG1218/AD1218,"N/A")</f>
        <v/>
      </c>
      <c r="AJ1218" s="280">
        <f>IF(AC1218="pendiente",AD1218,0)</f>
        <v/>
      </c>
      <c r="AK1218" s="278">
        <f>VLOOKUP(G1218,CLIENTES!B:D,3,FALSE)</f>
        <v/>
      </c>
    </row>
    <row r="1219" ht="15" customFormat="1" customHeight="1" s="278">
      <c r="B1219" s="279" t="n"/>
      <c r="C1219" s="278" t="inlineStr">
        <is>
          <t>c/ Las Cruzadas 3A, local D</t>
        </is>
      </c>
      <c r="D1219" s="278" t="inlineStr">
        <is>
          <t>Sevilla 41004</t>
        </is>
      </c>
      <c r="E1219" s="278" t="inlineStr">
        <is>
          <t>CIF B91938662</t>
        </is>
      </c>
      <c r="F1219" s="278" t="inlineStr">
        <is>
          <t>aBalados@abalados.es</t>
        </is>
      </c>
      <c r="G1219" s="278" t="inlineStr">
        <is>
          <t>Agrupación Solar el Algarrobo I, S.L.U.</t>
        </is>
      </c>
      <c r="H1219" s="278">
        <f>VLOOKUP($G1219,DATOS!$B:$E,2,FALSE)</f>
        <v/>
      </c>
      <c r="I1219" s="278">
        <f>VLOOKUP($G1219,DATOS!$B:$E,3,FALSE)</f>
        <v/>
      </c>
      <c r="J1219" s="278">
        <f>VLOOKUP($G1219,DATOS!$B:$E,4,FALSE)</f>
        <v/>
      </c>
      <c r="K1219" s="278" t="inlineStr">
        <is>
          <t>O&amp;M - Correctivo</t>
        </is>
      </c>
      <c r="L1219" s="280">
        <f>75.75</f>
        <v/>
      </c>
      <c r="M1219" s="278" t="inlineStr">
        <is>
          <t>Geónica - Mejora instalación: Soporte inclinado piranómetro</t>
        </is>
      </c>
      <c r="N1219" s="280" t="n"/>
      <c r="P1219" s="280" t="n"/>
      <c r="R1219" s="280" t="n"/>
      <c r="T1219" s="280" t="n"/>
      <c r="V1219" s="280" t="n"/>
      <c r="X1219" s="280" t="n"/>
      <c r="Z1219" s="280" t="n"/>
      <c r="AA1219" s="280" t="n"/>
      <c r="AB1219" s="281" t="inlineStr">
        <is>
          <t>ES11 0081 7069 2700 0122 7724</t>
        </is>
      </c>
      <c r="AC1219" s="278" t="inlineStr">
        <is>
          <t>pendiente</t>
        </is>
      </c>
      <c r="AD1219" s="280">
        <f>L1219+N1219+P1219+R1219+T1219+V1219+X1219+Z1219</f>
        <v/>
      </c>
      <c r="AE1219" s="280">
        <f>IF((LEFT(K1219,6))="Contab",L1219,0)</f>
        <v/>
      </c>
      <c r="AF1219" s="281">
        <f>VLOOKUP(G1219,CLIENTES!B:E,4,FALSE)</f>
        <v/>
      </c>
      <c r="AG1219" s="280">
        <f>AF1219*AE1219</f>
        <v/>
      </c>
      <c r="AH1219" s="280">
        <f>AD1219*1.21</f>
        <v/>
      </c>
      <c r="AI1219" s="282">
        <f>IF(AE1219&lt;&gt;0,AG1219/AD1219,"N/A")</f>
        <v/>
      </c>
      <c r="AJ1219" s="280">
        <f>IF(AC1219="pendiente",AD1219,0)</f>
        <v/>
      </c>
      <c r="AK1219" s="278">
        <f>VLOOKUP(G1219,CLIENTES!B:D,3,FALSE)</f>
        <v/>
      </c>
    </row>
    <row r="1220" ht="15" customFormat="1" customHeight="1" s="278">
      <c r="B1220" s="279" t="n"/>
      <c r="C1220" s="278" t="inlineStr">
        <is>
          <t>c/ Las Cruzadas 3A, local D</t>
        </is>
      </c>
      <c r="D1220" s="278" t="inlineStr">
        <is>
          <t>Sevilla 41004</t>
        </is>
      </c>
      <c r="E1220" s="278" t="inlineStr">
        <is>
          <t>CIF B91938662</t>
        </is>
      </c>
      <c r="F1220" s="278" t="inlineStr">
        <is>
          <t>aBalados@abalados.es</t>
        </is>
      </c>
      <c r="G1220" s="278" t="inlineStr">
        <is>
          <t>Agrupación Solar el Algarrobo II, S.L.U.</t>
        </is>
      </c>
      <c r="H1220" s="278">
        <f>VLOOKUP($G1220,DATOS!$B:$E,2,FALSE)</f>
        <v/>
      </c>
      <c r="I1220" s="278">
        <f>VLOOKUP($G1220,DATOS!$B:$E,3,FALSE)</f>
        <v/>
      </c>
      <c r="J1220" s="278">
        <f>VLOOKUP($G1220,DATOS!$B:$E,4,FALSE)</f>
        <v/>
      </c>
      <c r="K1220" s="278" t="inlineStr">
        <is>
          <t>O&amp;M - Correctivo</t>
        </is>
      </c>
      <c r="L1220" s="280">
        <f>75.75</f>
        <v/>
      </c>
      <c r="M1220" s="278" t="inlineStr">
        <is>
          <t>Geónica - Mejora instalación: Soporte inclinado piranómetro</t>
        </is>
      </c>
      <c r="N1220" s="280" t="n"/>
      <c r="P1220" s="280" t="n"/>
      <c r="R1220" s="280" t="n"/>
      <c r="T1220" s="280" t="n"/>
      <c r="V1220" s="280" t="n"/>
      <c r="X1220" s="280" t="n"/>
      <c r="Z1220" s="280" t="n"/>
      <c r="AA1220" s="280" t="n"/>
      <c r="AB1220" s="281" t="inlineStr">
        <is>
          <t>ES11 0081 7069 2700 0122 7724</t>
        </is>
      </c>
      <c r="AC1220" s="278" t="inlineStr">
        <is>
          <t>pendiente</t>
        </is>
      </c>
      <c r="AD1220" s="280">
        <f>L1220+N1220+P1220+R1220+T1220+V1220+X1220+Z1220</f>
        <v/>
      </c>
      <c r="AE1220" s="280">
        <f>IF((LEFT(K1220,6))="Contab",L1220,0)</f>
        <v/>
      </c>
      <c r="AF1220" s="281">
        <f>VLOOKUP(G1220,CLIENTES!B:E,4,FALSE)</f>
        <v/>
      </c>
      <c r="AG1220" s="280">
        <f>AF1220*AE1220</f>
        <v/>
      </c>
      <c r="AH1220" s="280">
        <f>AD1220*1.21</f>
        <v/>
      </c>
      <c r="AI1220" s="282">
        <f>IF(AE1220&lt;&gt;0,AG1220/AD1220,"N/A")</f>
        <v/>
      </c>
      <c r="AJ1220" s="280">
        <f>IF(AC1220="pendiente",AD1220,0)</f>
        <v/>
      </c>
      <c r="AK1220" s="278">
        <f>VLOOKUP(G1220,CLIENTES!B:D,3,FALSE)</f>
        <v/>
      </c>
    </row>
    <row r="1221" ht="15" customFormat="1" customHeight="1" s="278">
      <c r="B1221" s="279" t="n"/>
      <c r="C1221" s="278" t="inlineStr">
        <is>
          <t>c/ Las Cruzadas 3A, local D</t>
        </is>
      </c>
      <c r="D1221" s="278" t="inlineStr">
        <is>
          <t>Sevilla 41004</t>
        </is>
      </c>
      <c r="E1221" s="278" t="inlineStr">
        <is>
          <t>CIF B91938662</t>
        </is>
      </c>
      <c r="F1221" s="278" t="inlineStr">
        <is>
          <t>aBalados@abalados.es</t>
        </is>
      </c>
      <c r="G1221" s="278" t="inlineStr">
        <is>
          <t>Agrupación Solar el Algarrobo III, S.L.U.</t>
        </is>
      </c>
      <c r="H1221" s="278">
        <f>VLOOKUP($G1221,DATOS!$B:$E,2,FALSE)</f>
        <v/>
      </c>
      <c r="I1221" s="278">
        <f>VLOOKUP($G1221,DATOS!$B:$E,3,FALSE)</f>
        <v/>
      </c>
      <c r="J1221" s="278">
        <f>VLOOKUP($G1221,DATOS!$B:$E,4,FALSE)</f>
        <v/>
      </c>
      <c r="K1221" s="278" t="inlineStr">
        <is>
          <t>O&amp;M - Correctivo</t>
        </is>
      </c>
      <c r="L1221" s="280">
        <f>1500+68.5</f>
        <v/>
      </c>
      <c r="M1221" s="278" t="inlineStr">
        <is>
          <t>pvXchange - Sustitución y gestión garantía (25x)</t>
        </is>
      </c>
      <c r="N1221" s="280" t="n"/>
      <c r="O1221" s="278" t="inlineStr">
        <is>
          <t>Geónica - Mejora instalación: Soporte inclinado piranómetro</t>
        </is>
      </c>
      <c r="P1221" s="280" t="n"/>
      <c r="R1221" s="280" t="n"/>
      <c r="T1221" s="280" t="n"/>
      <c r="V1221" s="280" t="n"/>
      <c r="X1221" s="280" t="n"/>
      <c r="Z1221" s="280" t="n"/>
      <c r="AA1221" s="280" t="n"/>
      <c r="AB1221" s="281" t="inlineStr">
        <is>
          <t>ES11 0081 7069 2700 0122 7724</t>
        </is>
      </c>
      <c r="AC1221" s="278" t="inlineStr">
        <is>
          <t>pendiente</t>
        </is>
      </c>
      <c r="AD1221" s="280">
        <f>L1221+N1221+P1221+R1221+T1221+V1221+X1221+Z1221</f>
        <v/>
      </c>
      <c r="AE1221" s="280">
        <f>IF((LEFT(K1221,6))="Contab",L1221,0)</f>
        <v/>
      </c>
      <c r="AF1221" s="281">
        <f>VLOOKUP(G1221,CLIENTES!B:E,4,FALSE)</f>
        <v/>
      </c>
      <c r="AG1221" s="280">
        <f>AF1221*AE1221</f>
        <v/>
      </c>
      <c r="AH1221" s="280">
        <f>AD1221*1.21</f>
        <v/>
      </c>
      <c r="AI1221" s="282">
        <f>IF(AE1221&lt;&gt;0,AG1221/AD1221,"N/A")</f>
        <v/>
      </c>
      <c r="AJ1221" s="280">
        <f>IF(AC1221="pendiente",AD1221,0)</f>
        <v/>
      </c>
      <c r="AK1221" s="278">
        <f>VLOOKUP(G1221,CLIENTES!B:D,3,FALSE)</f>
        <v/>
      </c>
    </row>
    <row r="1222" ht="15" customFormat="1" customHeight="1" s="278">
      <c r="B1222" s="279" t="n"/>
      <c r="C1222" s="278" t="inlineStr">
        <is>
          <t>c/ Las Cruzadas 3A, local D</t>
        </is>
      </c>
      <c r="D1222" s="278" t="inlineStr">
        <is>
          <t>Sevilla 41004</t>
        </is>
      </c>
      <c r="E1222" s="278" t="inlineStr">
        <is>
          <t>CIF B91938662</t>
        </is>
      </c>
      <c r="F1222" s="278" t="inlineStr">
        <is>
          <t>aBalados@abalados.es</t>
        </is>
      </c>
      <c r="G1222" s="278" t="inlineStr">
        <is>
          <t>WOC Fotovoltaica España Proyecto Sollana S.L.U.</t>
        </is>
      </c>
      <c r="H1222" s="278">
        <f>VLOOKUP($G1222,DATOS!$B:$E,2,FALSE)</f>
        <v/>
      </c>
      <c r="I1222" s="278">
        <f>VLOOKUP($G1222,DATOS!$B:$E,3,FALSE)</f>
        <v/>
      </c>
      <c r="J1222" s="278">
        <f>VLOOKUP($G1222,DATOS!$B:$E,4,FALSE)</f>
        <v/>
      </c>
      <c r="K1222" s="278" t="inlineStr">
        <is>
          <t>O&amp;M - Correctivo</t>
        </is>
      </c>
      <c r="L1222" s="280" t="n">
        <v>1200</v>
      </c>
      <c r="M1222" s="278" t="inlineStr">
        <is>
          <t>Adaptación Nueva Normativa REE 2021 - ARM. Resistencias de carga</t>
        </is>
      </c>
      <c r="N1222" s="280" t="n"/>
      <c r="P1222" s="280" t="n"/>
      <c r="R1222" s="280" t="n"/>
      <c r="T1222" s="280" t="n"/>
      <c r="V1222" s="280" t="n"/>
      <c r="X1222" s="280" t="n"/>
      <c r="Z1222" s="280" t="n"/>
      <c r="AA1222" s="280" t="n"/>
      <c r="AB1222" s="281" t="inlineStr">
        <is>
          <t>ES11 0081 7069 2700 0122 7724</t>
        </is>
      </c>
      <c r="AC1222" s="278" t="inlineStr">
        <is>
          <t>pendiente</t>
        </is>
      </c>
      <c r="AD1222" s="280">
        <f>L1222+N1222+P1222+R1222+T1222+V1222+X1222+Z1222</f>
        <v/>
      </c>
      <c r="AE1222" s="280">
        <f>IF((LEFT(K1222,6))="Contab",L1222,0)</f>
        <v/>
      </c>
      <c r="AF1222" s="281">
        <f>VLOOKUP(G1222,CLIENTES!B:E,4,FALSE)</f>
        <v/>
      </c>
      <c r="AG1222" s="280">
        <f>AF1222*AE1222</f>
        <v/>
      </c>
      <c r="AH1222" s="280">
        <f>AD1222*1.21</f>
        <v/>
      </c>
      <c r="AI1222" s="282">
        <f>IF(AE1222&lt;&gt;0,AG1222/AD1222,"N/A")</f>
        <v/>
      </c>
      <c r="AJ1222" s="280">
        <f>IF(AC1222="pendiente",AD1222,0)</f>
        <v/>
      </c>
      <c r="AK1222" s="278">
        <f>VLOOKUP(G1222,CLIENTES!B:D,3,FALSE)</f>
        <v/>
      </c>
    </row>
    <row r="1223" ht="15" customFormat="1" customHeight="1" s="278">
      <c r="B1223" s="279" t="n"/>
      <c r="C1223" s="278" t="inlineStr">
        <is>
          <t>c/ Las Cruzadas 3A, local D</t>
        </is>
      </c>
      <c r="D1223" s="278" t="inlineStr">
        <is>
          <t>Sevilla 41004</t>
        </is>
      </c>
      <c r="E1223" s="278" t="inlineStr">
        <is>
          <t>CIF B91938662</t>
        </is>
      </c>
      <c r="F1223" s="278" t="inlineStr">
        <is>
          <t>aBalados@abalados.es</t>
        </is>
      </c>
      <c r="G1223" s="278" t="inlineStr">
        <is>
          <t>Lo Illán  Parque Solar S.L.U.</t>
        </is>
      </c>
      <c r="H1223" s="278">
        <f>VLOOKUP($G1223,DATOS!$B:$E,2,FALSE)</f>
        <v/>
      </c>
      <c r="I1223" s="278">
        <f>VLOOKUP($G1223,DATOS!$B:$E,3,FALSE)</f>
        <v/>
      </c>
      <c r="J1223" s="278">
        <f>VLOOKUP($G1223,DATOS!$B:$E,4,FALSE)</f>
        <v/>
      </c>
      <c r="K1223" s="278" t="inlineStr">
        <is>
          <t>O&amp;M - Correctivo</t>
        </is>
      </c>
      <c r="L1223" s="280">
        <f>1307.5+240+182</f>
        <v/>
      </c>
      <c r="M1223" s="278" t="inlineStr">
        <is>
          <t>Geónica SA - Mejora Instalación 2021: Nuevo Piranómetro</t>
        </is>
      </c>
      <c r="N1223" s="280" t="n"/>
      <c r="O1223" s="278" t="inlineStr">
        <is>
          <t>Geónica - Mejora instalación: Soporte inclinado piranómetro</t>
        </is>
      </c>
      <c r="P1223" s="280" t="n"/>
      <c r="Q1223" s="278" t="inlineStr">
        <is>
          <t>pvXchange - Sustitución y gestión garantía (4x)</t>
        </is>
      </c>
      <c r="R1223" s="280" t="n"/>
      <c r="T1223" s="280" t="n"/>
      <c r="V1223" s="280" t="n"/>
      <c r="X1223" s="280" t="n"/>
      <c r="Z1223" s="280" t="n"/>
      <c r="AA1223" s="280" t="n"/>
      <c r="AB1223" s="281" t="inlineStr">
        <is>
          <t>ES11 0081 7069 2700 0122 7724</t>
        </is>
      </c>
      <c r="AC1223" s="278" t="inlineStr">
        <is>
          <t>pendiente</t>
        </is>
      </c>
      <c r="AD1223" s="280">
        <f>L1223+N1223+P1223+R1223+T1223+V1223+X1223+Z1223</f>
        <v/>
      </c>
      <c r="AE1223" s="280">
        <f>IF((LEFT(K1223,6))="Contab",L1223,0)</f>
        <v/>
      </c>
      <c r="AF1223" s="281">
        <f>VLOOKUP(G1223,CLIENTES!B:E,4,FALSE)</f>
        <v/>
      </c>
      <c r="AG1223" s="280">
        <f>AF1223*AE1223</f>
        <v/>
      </c>
      <c r="AH1223" s="280">
        <f>AD1223*1.21</f>
        <v/>
      </c>
      <c r="AI1223" s="282">
        <f>IF(AE1223&lt;&gt;0,AG1223/AD1223,"N/A")</f>
        <v/>
      </c>
      <c r="AJ1223" s="280">
        <f>IF(AC1223="pendiente",AD1223,0)</f>
        <v/>
      </c>
      <c r="AK1223" s="278">
        <f>VLOOKUP(G1223,CLIENTES!B:D,3,FALSE)</f>
        <v/>
      </c>
    </row>
    <row r="1224" ht="15" customFormat="1" customHeight="1" s="278">
      <c r="B1224" s="279" t="n"/>
      <c r="C1224" s="278" t="inlineStr">
        <is>
          <t>c/ Las Cruzadas 3A, local D</t>
        </is>
      </c>
      <c r="D1224" s="278" t="inlineStr">
        <is>
          <t>Sevilla 41004</t>
        </is>
      </c>
      <c r="E1224" s="278" t="inlineStr">
        <is>
          <t>CIF B91938662</t>
        </is>
      </c>
      <c r="F1224" s="278" t="inlineStr">
        <is>
          <t>aBalados@abalados.es</t>
        </is>
      </c>
      <c r="G1224" s="278" t="inlineStr">
        <is>
          <t>Turbinto Parque Solar S.L.U.</t>
        </is>
      </c>
      <c r="H1224" s="278">
        <f>VLOOKUP($G1224,DATOS!$B:$E,2,FALSE)</f>
        <v/>
      </c>
      <c r="I1224" s="278">
        <f>VLOOKUP($G1224,DATOS!$B:$E,3,FALSE)</f>
        <v/>
      </c>
      <c r="J1224" s="278">
        <f>VLOOKUP($G1224,DATOS!$B:$E,4,FALSE)</f>
        <v/>
      </c>
      <c r="K1224" s="278" t="inlineStr">
        <is>
          <t>O&amp;M - Correctivo</t>
        </is>
      </c>
      <c r="L1224" s="280">
        <f>1307.5+182</f>
        <v/>
      </c>
      <c r="M1224" s="278" t="inlineStr">
        <is>
          <t>Geónica SA - Mejora Instalación 2021: Nuevo Piranómetro</t>
        </is>
      </c>
      <c r="N1224" s="280" t="n"/>
      <c r="O1224" s="278" t="inlineStr">
        <is>
          <t>Geónica - Mejora instalación: Soporte inclinado piranómetro</t>
        </is>
      </c>
      <c r="P1224" s="280" t="n"/>
      <c r="R1224" s="280" t="n"/>
      <c r="T1224" s="280" t="n"/>
      <c r="V1224" s="280" t="n"/>
      <c r="X1224" s="280" t="n"/>
      <c r="Z1224" s="280" t="n"/>
      <c r="AA1224" s="280" t="n"/>
      <c r="AB1224" s="281" t="inlineStr">
        <is>
          <t>ES11 0081 7069 2700 0122 7724</t>
        </is>
      </c>
      <c r="AC1224" s="278" t="inlineStr">
        <is>
          <t>pendiente</t>
        </is>
      </c>
      <c r="AD1224" s="280">
        <f>L1224+N1224+P1224+R1224+T1224+V1224+X1224+Z1224</f>
        <v/>
      </c>
      <c r="AE1224" s="280">
        <f>IF((LEFT(K1224,6))="Contab",L1224,0)</f>
        <v/>
      </c>
      <c r="AF1224" s="281">
        <f>VLOOKUP(G1224,CLIENTES!B:E,4,FALSE)</f>
        <v/>
      </c>
      <c r="AG1224" s="280">
        <f>AF1224*AE1224</f>
        <v/>
      </c>
      <c r="AH1224" s="280">
        <f>AD1224*1.21</f>
        <v/>
      </c>
      <c r="AI1224" s="284">
        <f>IF(AE1224&lt;&gt;0,AG1224/AD1224,"N/A")</f>
        <v/>
      </c>
      <c r="AJ1224" s="280">
        <f>IF(AC1224="pendiente",AD1224,0)</f>
        <v/>
      </c>
      <c r="AK1224" s="278">
        <f>VLOOKUP(G1224,CLIENTES!B:D,3,FALSE)</f>
        <v/>
      </c>
    </row>
    <row r="1225" ht="15" customFormat="1" customHeight="1" s="278">
      <c r="B1225" s="279" t="n"/>
      <c r="C1225" s="278" t="inlineStr">
        <is>
          <t>c/ Las Cruzadas 3A, local D</t>
        </is>
      </c>
      <c r="D1225" s="278" t="inlineStr">
        <is>
          <t>Sevilla 41004</t>
        </is>
      </c>
      <c r="E1225" s="278" t="inlineStr">
        <is>
          <t>CIF B91938662</t>
        </is>
      </c>
      <c r="F1225" s="278" t="inlineStr">
        <is>
          <t>aBalados@abalados.es</t>
        </is>
      </c>
      <c r="G1225" s="278" t="inlineStr">
        <is>
          <t>Contreras Parque Solar S.L.U.</t>
        </is>
      </c>
      <c r="H1225" s="278">
        <f>VLOOKUP($G1225,DATOS!$B:$E,2,FALSE)</f>
        <v/>
      </c>
      <c r="I1225" s="278">
        <f>VLOOKUP($G1225,DATOS!$B:$E,3,FALSE)</f>
        <v/>
      </c>
      <c r="J1225" s="278">
        <f>VLOOKUP($G1225,DATOS!$B:$E,4,FALSE)</f>
        <v/>
      </c>
      <c r="K1225" s="278" t="inlineStr">
        <is>
          <t>O&amp;M - Correctivo</t>
        </is>
      </c>
      <c r="L1225" s="280" t="n">
        <v>182</v>
      </c>
      <c r="M1225" s="278" t="inlineStr">
        <is>
          <t>Geónica - Mejora instalación: Soporte inclinado piranómetro</t>
        </is>
      </c>
      <c r="N1225" s="280" t="n"/>
      <c r="P1225" s="280" t="n"/>
      <c r="R1225" s="280" t="n"/>
      <c r="T1225" s="280" t="n"/>
      <c r="V1225" s="280" t="n"/>
      <c r="X1225" s="280" t="n"/>
      <c r="Z1225" s="280" t="n"/>
      <c r="AA1225" s="280" t="n"/>
      <c r="AB1225" s="281" t="inlineStr">
        <is>
          <t>ES11 0081 7069 2700 0122 7724</t>
        </is>
      </c>
      <c r="AC1225" s="278" t="inlineStr">
        <is>
          <t>pendiente</t>
        </is>
      </c>
      <c r="AD1225" s="280">
        <f>L1225+N1225+P1225+R1225+T1225+V1225+X1225+Z1225</f>
        <v/>
      </c>
      <c r="AE1225" s="280">
        <f>IF((LEFT(K1225,6))="Contab",L1225,0)</f>
        <v/>
      </c>
      <c r="AF1225" s="281">
        <f>VLOOKUP(G1225,CLIENTES!B:E,4,FALSE)</f>
        <v/>
      </c>
      <c r="AG1225" s="280">
        <f>AF1225*AE1225</f>
        <v/>
      </c>
      <c r="AH1225" s="280">
        <f>AD1225*1.21</f>
        <v/>
      </c>
      <c r="AI1225" s="282">
        <f>IF(AE1225&lt;&gt;0,AG1225/AD1225,"N/A")</f>
        <v/>
      </c>
      <c r="AJ1225" s="280">
        <f>IF(AC1225="pendiente",AD1225,0)</f>
        <v/>
      </c>
      <c r="AK1225" s="278">
        <f>VLOOKUP(G1225,CLIENTES!B:D,3,FALSE)</f>
        <v/>
      </c>
    </row>
    <row r="1226" ht="15" customFormat="1" customHeight="1" s="278">
      <c r="B1226" s="279" t="n"/>
      <c r="C1226" s="278" t="inlineStr">
        <is>
          <t>c/ Las Cruzadas 3A, local D</t>
        </is>
      </c>
      <c r="D1226" s="278" t="inlineStr">
        <is>
          <t>Sevilla 41004</t>
        </is>
      </c>
      <c r="E1226" s="278" t="inlineStr">
        <is>
          <t>CIF B91938662</t>
        </is>
      </c>
      <c r="F1226" s="278" t="inlineStr">
        <is>
          <t>aBalados@abalados.es</t>
        </is>
      </c>
      <c r="G1226" s="278" t="inlineStr">
        <is>
          <t>Dehesa Asomadilla Inversiones S.L.U.</t>
        </is>
      </c>
      <c r="H1226" s="278">
        <f>VLOOKUP($G1226,DATOS!$B:$E,2,FALSE)</f>
        <v/>
      </c>
      <c r="I1226" s="278">
        <f>VLOOKUP($G1226,DATOS!$B:$E,3,FALSE)</f>
        <v/>
      </c>
      <c r="J1226" s="288">
        <f>VLOOKUP($G1226,DATOS!$B:$E,4,FALSE)</f>
        <v/>
      </c>
      <c r="K1226" s="278" t="inlineStr">
        <is>
          <t>O&amp;M - Correctivo</t>
        </is>
      </c>
      <c r="L1226" s="280">
        <f>5*108.6+180+236.8+250</f>
        <v/>
      </c>
      <c r="M1226" s="278" t="inlineStr">
        <is>
          <t>Sustitución inversores</t>
        </is>
      </c>
      <c r="N1226" s="280" t="n"/>
      <c r="O1226" s="278" t="inlineStr">
        <is>
          <t>CIEMAT - Calibración sensor radiación</t>
        </is>
      </c>
      <c r="P1226" s="280" t="n"/>
      <c r="Q1226" s="278" t="inlineStr">
        <is>
          <t>Gestión equipos en stock (de garantía)</t>
        </is>
      </c>
      <c r="R1226" s="280" t="n"/>
      <c r="S1226" s="278" t="inlineStr">
        <is>
          <t>Módem comunicación TTR</t>
        </is>
      </c>
      <c r="T1226" s="280" t="n"/>
      <c r="V1226" s="280" t="n"/>
      <c r="X1226" s="280" t="n"/>
      <c r="Z1226" s="280" t="n"/>
      <c r="AA1226" s="280" t="n"/>
      <c r="AB1226" s="281" t="inlineStr">
        <is>
          <t>ES11 0081 7069 2700 0122 7724</t>
        </is>
      </c>
      <c r="AC1226" s="281" t="inlineStr">
        <is>
          <t>pendiente</t>
        </is>
      </c>
      <c r="AD1226" s="278">
        <f>L1226+N1226+P1226+R1226+T1226+V1226+X1226+Z1226</f>
        <v/>
      </c>
      <c r="AE1226" s="278">
        <f>IF((LEFT(K1226,6))="Contab",L1226,0)</f>
        <v/>
      </c>
      <c r="AF1226" s="281">
        <f>VLOOKUP(G1226,CLIENTES!B:E,4,FALSE)</f>
        <v/>
      </c>
      <c r="AG1226" s="278">
        <f>AF1226*AE1226</f>
        <v/>
      </c>
      <c r="AH1226" s="278">
        <f>AD1226*1.21</f>
        <v/>
      </c>
      <c r="AI1226" s="278">
        <f>IF(AE1226&lt;&gt;0,AG1226/AD1226,"N/A")</f>
        <v/>
      </c>
      <c r="AJ1226" s="278">
        <f>IF(AC1226="pendiente",AD1226,0)</f>
        <v/>
      </c>
      <c r="AK1226" s="278">
        <f>VLOOKUP(G1226,CLIENTES!B:D,3,FALSE)</f>
        <v/>
      </c>
      <c r="AL1226" s="288" t="n"/>
    </row>
    <row r="1227" ht="15" customFormat="1" customHeight="1" s="278">
      <c r="B1227" s="279" t="n"/>
      <c r="C1227" s="278" t="inlineStr">
        <is>
          <t>c/ Las Cruzadas 3A, local D</t>
        </is>
      </c>
      <c r="D1227" s="278" t="inlineStr">
        <is>
          <t>Sevilla 41004</t>
        </is>
      </c>
      <c r="E1227" s="278" t="inlineStr">
        <is>
          <t>CIF B91938662</t>
        </is>
      </c>
      <c r="F1227" s="278" t="inlineStr">
        <is>
          <t>aBalados@abalados.es</t>
        </is>
      </c>
      <c r="G1227" s="278" t="inlineStr">
        <is>
          <t>Asomadilla Solar 2007 S.L.U.</t>
        </is>
      </c>
      <c r="H1227" s="278">
        <f>VLOOKUP($G1227,DATOS!$B:$E,2,FALSE)</f>
        <v/>
      </c>
      <c r="I1227" s="278">
        <f>VLOOKUP($G1227,DATOS!$B:$E,3,FALSE)</f>
        <v/>
      </c>
      <c r="J1227" s="288">
        <f>VLOOKUP($G1227,DATOS!$B:$E,4,FALSE)</f>
        <v/>
      </c>
      <c r="K1227" s="278" t="inlineStr">
        <is>
          <t>O&amp;M - Correctivo</t>
        </is>
      </c>
      <c r="L1227" s="280">
        <f>3*108.6+86.12+1182.5+2230+250</f>
        <v/>
      </c>
      <c r="M1227" s="278" t="inlineStr">
        <is>
          <t>Sustitución inversores</t>
        </is>
      </c>
      <c r="N1227" s="280" t="n"/>
      <c r="O1227" s="278" t="inlineStr">
        <is>
          <t>Router MikroTik</t>
        </is>
      </c>
      <c r="P1227" s="280" t="n"/>
      <c r="Q1227" s="278" t="inlineStr">
        <is>
          <t>Tratamiento terreno con herbicidas</t>
        </is>
      </c>
      <c r="R1227" s="280" t="n"/>
      <c r="S1227" s="278" t="inlineStr">
        <is>
          <t>Gestión equipos en stock (de garantía)</t>
        </is>
      </c>
      <c r="T1227" s="280" t="n"/>
      <c r="U1227" s="278" t="inlineStr">
        <is>
          <t>SCI - OCA MT &amp; LSMT</t>
        </is>
      </c>
      <c r="V1227" s="280" t="n"/>
      <c r="X1227" s="280" t="n"/>
      <c r="Z1227" s="280" t="n"/>
      <c r="AA1227" s="280" t="n"/>
      <c r="AB1227" s="281" t="inlineStr">
        <is>
          <t>ES11 0081 7069 2700 0122 7724</t>
        </is>
      </c>
      <c r="AC1227" s="281" t="inlineStr">
        <is>
          <t>pendiente</t>
        </is>
      </c>
      <c r="AD1227" s="278">
        <f>L1227+N1227+P1227+R1227+T1227+V1227+X1227+Z1227</f>
        <v/>
      </c>
      <c r="AE1227" s="278">
        <f>IF((LEFT(K1227,6))="Contab",L1227,0)</f>
        <v/>
      </c>
      <c r="AF1227" s="281">
        <f>VLOOKUP(G1227,CLIENTES!B:E,4,FALSE)</f>
        <v/>
      </c>
      <c r="AG1227" s="278">
        <f>AF1227*AE1227</f>
        <v/>
      </c>
      <c r="AH1227" s="278">
        <f>AD1227*1.21</f>
        <v/>
      </c>
      <c r="AI1227" s="278">
        <f>IF(AE1227&lt;&gt;0,AG1227/AD1227,"N/A")</f>
        <v/>
      </c>
      <c r="AJ1227" s="278">
        <f>IF(AC1227="pendiente",AD1227,0)</f>
        <v/>
      </c>
      <c r="AK1227" s="278">
        <f>VLOOKUP(G1227,CLIENTES!B:D,3,FALSE)</f>
        <v/>
      </c>
      <c r="AL1227" s="288" t="n"/>
    </row>
    <row r="1228" ht="15" customFormat="1" customHeight="1" s="278">
      <c r="B1228" s="279" t="n"/>
      <c r="C1228" s="278" t="inlineStr">
        <is>
          <t>c/ Las Cruzadas 3A, local D</t>
        </is>
      </c>
      <c r="D1228" s="278" t="inlineStr">
        <is>
          <t>Sevilla 41004</t>
        </is>
      </c>
      <c r="E1228" s="278" t="inlineStr">
        <is>
          <t>CIF B91938662</t>
        </is>
      </c>
      <c r="F1228" s="278" t="inlineStr">
        <is>
          <t>aBalados@abalados.es</t>
        </is>
      </c>
      <c r="G1228" s="278" t="inlineStr">
        <is>
          <t>Lugec Inversión Solar S.L.U.</t>
        </is>
      </c>
      <c r="H1228" s="278">
        <f>VLOOKUP($G1228,DATOS!$B:$E,2,FALSE)</f>
        <v/>
      </c>
      <c r="I1228" s="278">
        <f>VLOOKUP($G1228,DATOS!$B:$E,3,FALSE)</f>
        <v/>
      </c>
      <c r="J1228" s="278">
        <f>VLOOKUP($G1228,DATOS!$B:$E,4,FALSE)</f>
        <v/>
      </c>
      <c r="K1228" s="278" t="inlineStr">
        <is>
          <t>O&amp;M - Correctivo</t>
        </is>
      </c>
      <c r="L1228" s="280" t="n">
        <v>240</v>
      </c>
      <c r="M1228" s="278" t="inlineStr">
        <is>
          <t>Instación de Etapa de Potencia (2x)</t>
        </is>
      </c>
      <c r="N1228" s="280" t="n"/>
      <c r="P1228" s="280" t="n"/>
      <c r="R1228" s="280" t="n"/>
      <c r="T1228" s="280" t="n"/>
      <c r="V1228" s="280" t="n"/>
      <c r="X1228" s="280" t="n"/>
      <c r="Z1228" s="280" t="n"/>
      <c r="AA1228" s="280" t="n"/>
      <c r="AB1228" s="281" t="inlineStr">
        <is>
          <t>ES11 0081 7069 2700 0122 7724</t>
        </is>
      </c>
      <c r="AC1228" s="278" t="inlineStr">
        <is>
          <t>pendiente</t>
        </is>
      </c>
      <c r="AD1228" s="280">
        <f>L1228+N1228+P1228+R1228+T1228+V1228+X1228+Z1228</f>
        <v/>
      </c>
      <c r="AE1228" s="280">
        <f>IF((LEFT(K1228,6))="Contab",L1228,0)</f>
        <v/>
      </c>
      <c r="AF1228" s="281">
        <f>VLOOKUP(G1228,CLIENTES!B:E,4,FALSE)</f>
        <v/>
      </c>
      <c r="AG1228" s="280">
        <f>AF1228*AE1228</f>
        <v/>
      </c>
      <c r="AH1228" s="280">
        <f>AD1228*1.21</f>
        <v/>
      </c>
      <c r="AI1228" s="282">
        <f>IF(AE1228&lt;&gt;0,AG1228/AD1228,"N/A")</f>
        <v/>
      </c>
      <c r="AJ1228" s="280">
        <f>IF(AC1228="pendiente",AD1228,0)</f>
        <v/>
      </c>
      <c r="AK1228" s="278">
        <f>VLOOKUP(G1228,CLIENTES!B:D,3,FALSE)</f>
        <v/>
      </c>
    </row>
    <row r="1229" ht="15" customFormat="1" customHeight="1" s="192">
      <c r="B1229" s="199" t="n"/>
      <c r="C1229" s="192" t="inlineStr">
        <is>
          <t>c/ Las Cruzadas 3A, local D</t>
        </is>
      </c>
      <c r="D1229" s="192" t="inlineStr">
        <is>
          <t>Sevilla 41004</t>
        </is>
      </c>
      <c r="E1229" s="192" t="inlineStr">
        <is>
          <t>CIF B91938662</t>
        </is>
      </c>
      <c r="F1229" s="192" t="inlineStr">
        <is>
          <t>aBalados@abalados.es</t>
        </is>
      </c>
      <c r="G1229" s="192" t="inlineStr">
        <is>
          <t>Inversión Cubiertas Solares S.L.U.</t>
        </is>
      </c>
      <c r="H1229" s="192">
        <f>VLOOKUP($G1229,DATOS!$B:$E,2,FALSE)</f>
        <v/>
      </c>
      <c r="I1229" s="192">
        <f>VLOOKUP($G1229,DATOS!$B:$E,3,FALSE)</f>
        <v/>
      </c>
      <c r="J1229" s="192">
        <f>VLOOKUP($G1229,DATOS!$B:$E,4,FALSE)</f>
        <v/>
      </c>
      <c r="K1229" s="192" t="inlineStr">
        <is>
          <t>O&amp;M - Correctivo</t>
        </is>
      </c>
      <c r="L1229" s="200" t="n">
        <v>2482.87</v>
      </c>
      <c r="M1229" s="192" t="inlineStr">
        <is>
          <t>Baywa - Nuevo inversor Huawei</t>
        </is>
      </c>
      <c r="N1229" s="200" t="n"/>
      <c r="O1229" s="192" t="inlineStr">
        <is>
          <t>Baywa - Datalogger</t>
        </is>
      </c>
      <c r="P1229" s="200" t="n"/>
      <c r="Q1229" s="192" t="inlineStr">
        <is>
          <t>P.J. Ballesteros - Alquiler grúa</t>
        </is>
      </c>
      <c r="R1229" s="200" t="n"/>
      <c r="T1229" s="200" t="n"/>
      <c r="V1229" s="200" t="n"/>
      <c r="X1229" s="200" t="n"/>
      <c r="Z1229" s="200" t="n"/>
      <c r="AA1229" s="200" t="n"/>
      <c r="AB1229" s="201" t="inlineStr">
        <is>
          <t>ES11 0081 7069 2700 0122 7724</t>
        </is>
      </c>
      <c r="AC1229" s="192" t="inlineStr">
        <is>
          <t>pendiente</t>
        </is>
      </c>
      <c r="AD1229" s="200">
        <f>L1229+N1229+P1229+R1229+T1229+V1229+X1229+Z1229</f>
        <v/>
      </c>
      <c r="AE1229" s="200">
        <f>IF((LEFT(K1229,6))="Contab",L1229,0)</f>
        <v/>
      </c>
      <c r="AF1229" s="201">
        <f>VLOOKUP(G1229,CLIENTES!B:E,4,FALSE)</f>
        <v/>
      </c>
      <c r="AG1229" s="200">
        <f>AF1229*AE1229</f>
        <v/>
      </c>
      <c r="AH1229" s="200">
        <f>AD1229*1.21</f>
        <v/>
      </c>
      <c r="AI1229" s="202">
        <f>IF(AE1229&lt;&gt;0,AG1229/AD1229,"N/A")</f>
        <v/>
      </c>
      <c r="AJ1229" s="200">
        <f>IF(AC1229="pendiente",AD1229,0)</f>
        <v/>
      </c>
      <c r="AK1229" s="192">
        <f>VLOOKUP(G1229,CLIENTES!B:D,3,FALSE)</f>
        <v/>
      </c>
    </row>
    <row r="1230" ht="15" customFormat="1" customHeight="1" s="195">
      <c r="B1230" s="194" t="n"/>
      <c r="C1230" s="195" t="inlineStr">
        <is>
          <t>c/ Las Cruzadas 3A, local D</t>
        </is>
      </c>
      <c r="D1230" s="195" t="inlineStr">
        <is>
          <t>Sevilla 41004</t>
        </is>
      </c>
      <c r="E1230" s="195" t="inlineStr">
        <is>
          <t>CIF B91938662</t>
        </is>
      </c>
      <c r="F1230" s="195" t="inlineStr">
        <is>
          <t>aBalados@abalados.es</t>
        </is>
      </c>
      <c r="G1230" s="195" t="inlineStr">
        <is>
          <t>SET Carmona 400 kV Renovables, S.L.</t>
        </is>
      </c>
      <c r="H1230" s="195">
        <f>VLOOKUP($G1230,DATOS!$B:$E,2,FALSE)</f>
        <v/>
      </c>
      <c r="I1230" s="195">
        <f>VLOOKUP($G1230,DATOS!$B:$E,3,FALSE)</f>
        <v/>
      </c>
      <c r="J1230" s="195">
        <f>VLOOKUP($G1230,DATOS!$B:$E,4,FALSE)</f>
        <v/>
      </c>
      <c r="K1230" s="195" t="inlineStr">
        <is>
          <t>Refacturación gastos y/o servicios prestados a nombre de la sociedad</t>
        </is>
      </c>
      <c r="L1230" s="196" t="n"/>
      <c r="M1230" s="195" t="inlineStr">
        <is>
          <t>Jofran Mensajeros S.L. - Envíos de documentación</t>
        </is>
      </c>
      <c r="N1230" s="196" t="n">
        <v>10.94</v>
      </c>
      <c r="P1230" s="196" t="n"/>
      <c r="R1230" s="196" t="n"/>
      <c r="T1230" s="196" t="n"/>
      <c r="V1230" s="196" t="n"/>
      <c r="X1230" s="196" t="n"/>
      <c r="Z1230" s="196" t="n"/>
      <c r="AA1230" s="196" t="n"/>
      <c r="AB1230" s="197" t="inlineStr">
        <is>
          <t>ES11 0081 7069 2700 0122 7724</t>
        </is>
      </c>
      <c r="AC1230" s="195" t="inlineStr">
        <is>
          <t>pendiente</t>
        </is>
      </c>
      <c r="AD1230" s="196">
        <f>L1230+N1230+P1230+R1230+T1230+V1230+X1230+Z1230</f>
        <v/>
      </c>
      <c r="AE1230" s="196">
        <f>IF((LEFT(K1230,6))="Contab",L1230,0)</f>
        <v/>
      </c>
      <c r="AF1230" s="197">
        <f>VLOOKUP(G1230,CLIENTES!B:E,4,FALSE)</f>
        <v/>
      </c>
      <c r="AG1230" s="196">
        <f>AF1230*AE1230</f>
        <v/>
      </c>
      <c r="AH1230" s="196">
        <f>AD1230*1.21</f>
        <v/>
      </c>
      <c r="AI1230" s="285">
        <f>IF(AE1230&lt;&gt;0,AG1230/AD1230,"N/A")</f>
        <v/>
      </c>
      <c r="AJ1230" s="196">
        <f>IF(AC1230="pendiente",AD1230,0)</f>
        <v/>
      </c>
      <c r="AK1230" s="195">
        <f>VLOOKUP(G1230,CLIENTES!B:D,3,FALSE)</f>
        <v/>
      </c>
    </row>
    <row r="1231" ht="15" customFormat="1" customHeight="1" s="278">
      <c r="B1231" s="279" t="n"/>
      <c r="C1231" s="278" t="inlineStr">
        <is>
          <t>c/ Las Cruzadas 3A, local D</t>
        </is>
      </c>
      <c r="D1231" s="278" t="inlineStr">
        <is>
          <t>Sevilla 41004</t>
        </is>
      </c>
      <c r="E1231" s="278" t="inlineStr">
        <is>
          <t>CIF B91938662</t>
        </is>
      </c>
      <c r="F1231" s="278" t="inlineStr">
        <is>
          <t>aBalados@abalados.es</t>
        </is>
      </c>
      <c r="G1231" s="278" t="inlineStr">
        <is>
          <t>Grijota Renovables, S.L.</t>
        </is>
      </c>
      <c r="H1231" s="278">
        <f>VLOOKUP($G1231,DATOS!$B:$E,2,FALSE)</f>
        <v/>
      </c>
      <c r="I1231" s="278">
        <f>VLOOKUP($G1231,DATOS!$B:$E,3,FALSE)</f>
        <v/>
      </c>
      <c r="J1231" s="278">
        <f>VLOOKUP($G1231,DATOS!$B:$E,4,FALSE)</f>
        <v/>
      </c>
      <c r="K1231" s="278" t="inlineStr">
        <is>
          <t>Refacturación gastos y/o servicios prestados a nombre de la sociedad</t>
        </is>
      </c>
      <c r="L1231" s="280" t="n"/>
      <c r="M1231" s="278" t="inlineStr">
        <is>
          <t>Registro Mercantil - Depósito de cuentas I</t>
        </is>
      </c>
      <c r="N1231" s="280" t="n">
        <v>26.75</v>
      </c>
      <c r="O1231" s="278" t="inlineStr">
        <is>
          <t>Registro Mercantil - Depósito de cuentas II</t>
        </is>
      </c>
      <c r="P1231" s="280" t="n">
        <v>26.75</v>
      </c>
      <c r="R1231" s="280" t="n"/>
      <c r="T1231" s="280" t="n"/>
      <c r="V1231" s="280" t="n"/>
      <c r="X1231" s="280" t="n"/>
      <c r="Z1231" s="280" t="n"/>
      <c r="AA1231" s="280" t="n"/>
      <c r="AB1231" s="281" t="inlineStr">
        <is>
          <t>ES11 0081 7069 2700 0122 7724</t>
        </is>
      </c>
      <c r="AC1231" s="278" t="inlineStr">
        <is>
          <t>pendiente</t>
        </is>
      </c>
      <c r="AD1231" s="280">
        <f>L1231+N1231+P1231+R1231+T1231+V1231+X1231+Z1231</f>
        <v/>
      </c>
      <c r="AE1231" s="280">
        <f>IF((LEFT(K1231,6))="Contab",L1231,0)</f>
        <v/>
      </c>
      <c r="AF1231" s="281">
        <f>VLOOKUP(G1231,CLIENTES!B:E,4,FALSE)</f>
        <v/>
      </c>
      <c r="AG1231" s="280">
        <f>AF1231*AE1231</f>
        <v/>
      </c>
      <c r="AH1231" s="280">
        <f>AD1231*1.21</f>
        <v/>
      </c>
      <c r="AI1231" s="284">
        <f>IF(AE1231&lt;&gt;0,AG1231/AD1231,"N/A")</f>
        <v/>
      </c>
      <c r="AJ1231" s="280">
        <f>IF(AC1231="pendiente",AD1231,0)</f>
        <v/>
      </c>
      <c r="AK1231" s="278">
        <f>VLOOKUP(G1231,CLIENTES!B:D,3,FALSE)</f>
        <v/>
      </c>
    </row>
    <row r="1232" ht="15" customFormat="1" customHeight="1" s="278">
      <c r="B1232" s="279" t="n"/>
      <c r="C1232" s="278" t="inlineStr">
        <is>
          <t>c/ Las Cruzadas 3A, local D</t>
        </is>
      </c>
      <c r="D1232" s="278" t="inlineStr">
        <is>
          <t>Sevilla 41004</t>
        </is>
      </c>
      <c r="E1232" s="278" t="inlineStr">
        <is>
          <t>CIF B91938662</t>
        </is>
      </c>
      <c r="F1232" s="278" t="inlineStr">
        <is>
          <t>aBalados@abalados.es</t>
        </is>
      </c>
      <c r="G1232" s="278" t="inlineStr">
        <is>
          <t>Evacuación Carmona 400-220 kV Renovables, S.L.</t>
        </is>
      </c>
      <c r="H1232" s="278">
        <f>VLOOKUP($G1232,DATOS!$B:$E,2,FALSE)</f>
        <v/>
      </c>
      <c r="I1232" s="278">
        <f>VLOOKUP($G1232,DATOS!$B:$E,3,FALSE)</f>
        <v/>
      </c>
      <c r="J1232" s="278">
        <f>VLOOKUP($G1232,DATOS!$B:$E,4,FALSE)</f>
        <v/>
      </c>
      <c r="K1232" s="278" t="inlineStr">
        <is>
          <t>Refacturación gastos y/o servicios prestados a nombre de la sociedad</t>
        </is>
      </c>
      <c r="L1232" s="280" t="n"/>
      <c r="M1232" s="278" t="inlineStr">
        <is>
          <t>Jofran Mensajeros S.L. - Envíos de documentación</t>
        </is>
      </c>
      <c r="N1232" s="280" t="n">
        <v>26.99</v>
      </c>
      <c r="P1232" s="280" t="n"/>
      <c r="R1232" s="280" t="n"/>
      <c r="T1232" s="280" t="n"/>
      <c r="V1232" s="280" t="n"/>
      <c r="X1232" s="280" t="n"/>
      <c r="Z1232" s="280" t="n"/>
      <c r="AA1232" s="280" t="n"/>
      <c r="AB1232" s="281" t="inlineStr">
        <is>
          <t>ES11 0081 7069 2700 0122 7724</t>
        </is>
      </c>
      <c r="AC1232" s="278" t="inlineStr">
        <is>
          <t>pendiente</t>
        </is>
      </c>
      <c r="AD1232" s="280">
        <f>L1232+N1232+P1232+R1232+T1232+V1232+X1232+Z1232</f>
        <v/>
      </c>
      <c r="AE1232" s="280">
        <f>IF((LEFT(K1232,6))="Contab",L1232,0)</f>
        <v/>
      </c>
      <c r="AF1232" s="281">
        <f>VLOOKUP(G1232,CLIENTES!B:E,4,FALSE)</f>
        <v/>
      </c>
      <c r="AG1232" s="280">
        <f>AF1232*AE1232</f>
        <v/>
      </c>
      <c r="AH1232" s="280">
        <f>AD1232*1.21</f>
        <v/>
      </c>
      <c r="AI1232" s="284">
        <f>IF(AE1232&lt;&gt;0,AG1232/AD1232,"N/A")</f>
        <v/>
      </c>
      <c r="AJ1232" s="280">
        <f>IF(AC1232="pendiente",AD1232,0)</f>
        <v/>
      </c>
      <c r="AK1232" s="278">
        <f>VLOOKUP(G1232,CLIENTES!B:D,3,FALSE)</f>
        <v/>
      </c>
    </row>
    <row r="1233" ht="15" customFormat="1" customHeight="1" s="278">
      <c r="B1233" s="279" t="n"/>
      <c r="C1233" s="278" t="inlineStr">
        <is>
          <t>c/ Las Cruzadas 3A, local D</t>
        </is>
      </c>
      <c r="D1233" s="278" t="inlineStr">
        <is>
          <t>Sevilla 41004</t>
        </is>
      </c>
      <c r="E1233" s="278" t="inlineStr">
        <is>
          <t>CIF B91938662</t>
        </is>
      </c>
      <c r="F1233" s="278" t="inlineStr">
        <is>
          <t>aBalados@abalados.es</t>
        </is>
      </c>
      <c r="G1233" s="278" t="inlineStr">
        <is>
          <t>Tordesillas Renovables, S.L.</t>
        </is>
      </c>
      <c r="H1233" s="278">
        <f>VLOOKUP($G1233,DATOS!$B:$E,2,FALSE)</f>
        <v/>
      </c>
      <c r="I1233" s="278">
        <f>VLOOKUP($G1233,DATOS!$B:$E,3,FALSE)</f>
        <v/>
      </c>
      <c r="J1233" s="278">
        <f>VLOOKUP($G1233,DATOS!$B:$E,4,FALSE)</f>
        <v/>
      </c>
      <c r="K1233" s="278" t="inlineStr">
        <is>
          <t>Refacturación gastos y/o servicios prestados a nombre de la sociedad</t>
        </is>
      </c>
      <c r="L1233" s="280" t="n"/>
      <c r="M1233" s="278" t="inlineStr">
        <is>
          <t>Jofran Mensajeros S.L. - Envíos de documentación</t>
        </is>
      </c>
      <c r="N1233" s="280" t="n">
        <v>122.69</v>
      </c>
      <c r="O1233" s="278" t="inlineStr">
        <is>
          <t>Jofran Mensajeros S.L. - Envíos de documentación</t>
        </is>
      </c>
      <c r="P1233" s="280" t="n">
        <v>26.74</v>
      </c>
      <c r="Q1233" s="278" t="inlineStr">
        <is>
          <t>Correos - Burofax</t>
        </is>
      </c>
      <c r="R1233" s="280" t="n">
        <v>27.36</v>
      </c>
      <c r="T1233" s="280" t="n"/>
      <c r="V1233" s="280" t="n"/>
      <c r="X1233" s="280" t="n"/>
      <c r="Z1233" s="280" t="n"/>
      <c r="AA1233" s="280" t="n"/>
      <c r="AB1233" s="281" t="inlineStr">
        <is>
          <t>ES11 0081 7069 2700 0122 7724</t>
        </is>
      </c>
      <c r="AC1233" s="278" t="inlineStr">
        <is>
          <t>pendiente</t>
        </is>
      </c>
      <c r="AD1233" s="280">
        <f>L1233+N1233+P1233+R1233+T1233+V1233+X1233+Z1233</f>
        <v/>
      </c>
      <c r="AE1233" s="280">
        <f>IF((LEFT(K1233,6))="Contab",L1233,0)</f>
        <v/>
      </c>
      <c r="AF1233" s="281">
        <f>VLOOKUP(G1233,CLIENTES!B:E,4,FALSE)</f>
        <v/>
      </c>
      <c r="AG1233" s="280">
        <f>AF1233*AE1233</f>
        <v/>
      </c>
      <c r="AH1233" s="280">
        <f>AD1233*1.21</f>
        <v/>
      </c>
      <c r="AI1233" s="284">
        <f>IF(AE1233&lt;&gt;0,AG1233/AD1233,"N/A")</f>
        <v/>
      </c>
      <c r="AJ1233" s="280">
        <f>IF(AC1233="pendiente",AD1233,0)</f>
        <v/>
      </c>
      <c r="AK1233" s="278">
        <f>VLOOKUP(G1233,CLIENTES!B:D,3,FALSE)</f>
        <v/>
      </c>
    </row>
    <row r="1234" ht="15" customFormat="1" customHeight="1" s="278">
      <c r="B1234" s="279" t="n"/>
      <c r="C1234" s="278" t="inlineStr">
        <is>
          <t>c/ Las Cruzadas 3A, local D</t>
        </is>
      </c>
      <c r="D1234" s="278" t="inlineStr">
        <is>
          <t>Sevilla 41004</t>
        </is>
      </c>
      <c r="E1234" s="278" t="inlineStr">
        <is>
          <t>CIF B91938662</t>
        </is>
      </c>
      <c r="F1234" s="278" t="inlineStr">
        <is>
          <t>aBalados@abalados.es</t>
        </is>
      </c>
      <c r="G1234" s="278" t="inlineStr">
        <is>
          <t>Monte Reina Renovables, S.L.</t>
        </is>
      </c>
      <c r="H1234" s="278">
        <f>VLOOKUP($G1234,DATOS!$B:$E,2,FALSE)</f>
        <v/>
      </c>
      <c r="I1234" s="278">
        <f>VLOOKUP($G1234,DATOS!$B:$E,3,FALSE)</f>
        <v/>
      </c>
      <c r="J1234" s="278">
        <f>VLOOKUP($G1234,DATOS!$B:$E,4,FALSE)</f>
        <v/>
      </c>
      <c r="K1234" s="278" t="inlineStr">
        <is>
          <t>Refacturación gastos y/o servicios prestados a nombre de la sociedad</t>
        </is>
      </c>
      <c r="L1234" s="280" t="n"/>
      <c r="M1234" s="278" t="inlineStr">
        <is>
          <t>Jofran Mensajeros S.L. - Envíos de documentación</t>
        </is>
      </c>
      <c r="N1234" s="280" t="n">
        <v>5.88</v>
      </c>
      <c r="P1234" s="280" t="n"/>
      <c r="R1234" s="280" t="n"/>
      <c r="T1234" s="280" t="n"/>
      <c r="V1234" s="280" t="n"/>
      <c r="X1234" s="280" t="n"/>
      <c r="Z1234" s="280" t="n"/>
      <c r="AA1234" s="280" t="n"/>
      <c r="AB1234" s="281" t="inlineStr">
        <is>
          <t>ES11 0081 7069 2700 0122 7724</t>
        </is>
      </c>
      <c r="AC1234" s="278" t="inlineStr">
        <is>
          <t>pendiente</t>
        </is>
      </c>
      <c r="AD1234" s="280">
        <f>L1234+N1234+P1234+R1234+T1234+V1234+X1234+Z1234</f>
        <v/>
      </c>
      <c r="AE1234" s="280">
        <f>IF((LEFT(K1234,6))="Contab",L1234,0)</f>
        <v/>
      </c>
      <c r="AF1234" s="281">
        <f>VLOOKUP(G1234,CLIENTES!B:E,4,FALSE)</f>
        <v/>
      </c>
      <c r="AG1234" s="280">
        <f>AF1234*AE1234</f>
        <v/>
      </c>
      <c r="AH1234" s="280">
        <f>AD1234*1.21</f>
        <v/>
      </c>
      <c r="AI1234" s="284">
        <f>IF(AE1234&lt;&gt;0,AG1234/AD1234,"N/A")</f>
        <v/>
      </c>
      <c r="AJ1234" s="280">
        <f>IF(AC1234="pendiente",AD1234,0)</f>
        <v/>
      </c>
      <c r="AK1234" s="278">
        <f>VLOOKUP(G1234,CLIENTES!B:D,3,FALSE)</f>
        <v/>
      </c>
    </row>
    <row r="1235" ht="15" customFormat="1" customHeight="1" s="278">
      <c r="B1235" s="279" t="n"/>
      <c r="C1235" s="278" t="inlineStr">
        <is>
          <t>c/ Las Cruzadas 3A, local D</t>
        </is>
      </c>
      <c r="D1235" s="278" t="inlineStr">
        <is>
          <t>Sevilla 41004</t>
        </is>
      </c>
      <c r="E1235" s="278" t="inlineStr">
        <is>
          <t>CIF B91938662</t>
        </is>
      </c>
      <c r="F1235" s="278" t="inlineStr">
        <is>
          <t>aBalados@abalados.es</t>
        </is>
      </c>
      <c r="G1235" s="278" t="inlineStr">
        <is>
          <t>Herrera Renovables 400, A.I.E.</t>
        </is>
      </c>
      <c r="H1235" s="278">
        <f>VLOOKUP($G1235,DATOS!$B:$E,2,FALSE)</f>
        <v/>
      </c>
      <c r="I1235" s="286" t="inlineStr">
        <is>
          <t>Avda. de la Carrera 31, Oficina 1</t>
        </is>
      </c>
      <c r="J1235" s="286" t="inlineStr">
        <is>
          <t>28223 Madrid</t>
        </is>
      </c>
      <c r="K1235" s="278" t="inlineStr">
        <is>
          <t>Refacturación gastos y/o servicios prestados a nombre de la sociedad</t>
        </is>
      </c>
      <c r="L1235" s="280" t="n"/>
      <c r="M1235" s="278" t="inlineStr">
        <is>
          <t>Jofran Mensajeros S.L. - Envíos de documentación</t>
        </is>
      </c>
      <c r="N1235" s="280" t="n">
        <v>47.06</v>
      </c>
      <c r="P1235" s="280" t="n"/>
      <c r="R1235" s="280" t="n"/>
      <c r="T1235" s="280" t="n"/>
      <c r="V1235" s="280" t="n"/>
      <c r="X1235" s="280" t="n"/>
      <c r="Z1235" s="280" t="n"/>
      <c r="AA1235" s="280" t="n"/>
      <c r="AB1235" s="281" t="inlineStr">
        <is>
          <t>ES11 0081 7069 2700 0122 7724</t>
        </is>
      </c>
      <c r="AC1235" s="278" t="inlineStr">
        <is>
          <t>pendiente</t>
        </is>
      </c>
      <c r="AD1235" s="280">
        <f>L1235+N1235+P1235+R1235+T1235+V1235+X1235+Z1235</f>
        <v/>
      </c>
      <c r="AE1235" s="280">
        <f>IF((LEFT(K1235,6))="Contab",L1235,0)</f>
        <v/>
      </c>
      <c r="AF1235" s="281">
        <f>VLOOKUP(G1235,CLIENTES!B:E,4,FALSE)</f>
        <v/>
      </c>
      <c r="AG1235" s="280">
        <f>AF1235*AE1235</f>
        <v/>
      </c>
      <c r="AH1235" s="280">
        <f>AD1235*1.21</f>
        <v/>
      </c>
      <c r="AI1235" s="284">
        <f>IF(AE1235&lt;&gt;0,AG1235/AD1235,"N/A")</f>
        <v/>
      </c>
      <c r="AJ1235" s="280">
        <f>IF(AC1235="pendiente",AD1235,0)</f>
        <v/>
      </c>
      <c r="AK1235" s="278">
        <f>VLOOKUP(G1235,CLIENTES!B:D,3,FALSE)</f>
        <v/>
      </c>
      <c r="AL1235" s="286" t="n"/>
    </row>
    <row r="1236" ht="15" customFormat="1" customHeight="1" s="278">
      <c r="B1236" s="279" t="n"/>
      <c r="C1236" s="278" t="inlineStr">
        <is>
          <t>c/ Las Cruzadas 3A, local D</t>
        </is>
      </c>
      <c r="D1236" s="278" t="inlineStr">
        <is>
          <t>Sevilla 41004</t>
        </is>
      </c>
      <c r="E1236" s="278" t="inlineStr">
        <is>
          <t>CIF B91938662</t>
        </is>
      </c>
      <c r="F1236" s="278" t="inlineStr">
        <is>
          <t>aBalados@abalados.es</t>
        </is>
      </c>
      <c r="G1236" s="278" t="inlineStr">
        <is>
          <t>Gazules Renovables, S.L.</t>
        </is>
      </c>
      <c r="H1236" s="278">
        <f>VLOOKUP($G1236,DATOS!$B:$E,2,FALSE)</f>
        <v/>
      </c>
      <c r="I1236" s="278">
        <f>VLOOKUP($G1236,DATOS!$B:$E,3,FALSE)</f>
        <v/>
      </c>
      <c r="J1236" s="278">
        <f>VLOOKUP($G1236,DATOS!$B:$E,4,FALSE)</f>
        <v/>
      </c>
      <c r="K1236" s="278" t="inlineStr">
        <is>
          <t>Refacturación gastos y/o servicios prestados a nombre de la sociedad</t>
        </is>
      </c>
      <c r="L1236" s="280" t="n"/>
      <c r="M1236" s="278" t="inlineStr">
        <is>
          <t>Correos burofax (2x)</t>
        </is>
      </c>
      <c r="N1236" s="280">
        <f>26.14+37.12</f>
        <v/>
      </c>
      <c r="O1236" s="278" t="inlineStr">
        <is>
          <t>Correos burofax</t>
        </is>
      </c>
      <c r="P1236" s="280" t="n">
        <v>43.22</v>
      </c>
      <c r="Q1236" s="278" t="inlineStr">
        <is>
          <t>Correos burofax</t>
        </is>
      </c>
      <c r="R1236" s="280" t="n">
        <v>27.36</v>
      </c>
      <c r="S1236" s="278" t="inlineStr">
        <is>
          <t>Correos burofax</t>
        </is>
      </c>
      <c r="T1236" s="280" t="n">
        <v>25.19</v>
      </c>
      <c r="U1236" s="278" t="inlineStr">
        <is>
          <t>Jofran Mensajeros S.L. - Envíos de documentación</t>
        </is>
      </c>
      <c r="V1236" s="280" t="n">
        <v>16.33</v>
      </c>
      <c r="W1236" s="278" t="inlineStr">
        <is>
          <t>Jofran Mensajeros S.L. - Envíos de documentación</t>
        </is>
      </c>
      <c r="X1236" s="280" t="n">
        <v>67</v>
      </c>
      <c r="Z1236" s="280" t="n"/>
      <c r="AA1236" s="280" t="n"/>
      <c r="AB1236" s="281" t="inlineStr">
        <is>
          <t>ES11 0081 7069 2700 0122 7724</t>
        </is>
      </c>
      <c r="AC1236" s="278" t="inlineStr">
        <is>
          <t>pendiente</t>
        </is>
      </c>
      <c r="AD1236" s="280">
        <f>L1236+N1236+P1236+R1236+T1236+V1236+X1236+Z1236</f>
        <v/>
      </c>
      <c r="AE1236" s="280">
        <f>IF((LEFT(K1236,6))="Contab",L1236,0)</f>
        <v/>
      </c>
      <c r="AF1236" s="281">
        <f>VLOOKUP(G1236,CLIENTES!B:E,4,FALSE)</f>
        <v/>
      </c>
      <c r="AG1236" s="280">
        <f>AF1236*AE1236</f>
        <v/>
      </c>
      <c r="AH1236" s="280">
        <f>AD1236*1.21</f>
        <v/>
      </c>
      <c r="AI1236" s="284">
        <f>IF(AE1236&lt;&gt;0,AG1236/AD1236,"N/A")</f>
        <v/>
      </c>
      <c r="AJ1236" s="280">
        <f>IF(AC1236="pendiente",AD1236,0)</f>
        <v/>
      </c>
      <c r="AK1236" s="278">
        <f>VLOOKUP(G1236,CLIENTES!B:D,3,FALSE)</f>
        <v/>
      </c>
    </row>
    <row r="1237" ht="15" customFormat="1" customHeight="1" s="278">
      <c r="B1237" s="279" t="n"/>
      <c r="C1237" s="278" t="inlineStr">
        <is>
          <t>c/ Las Cruzadas 3A, local D</t>
        </is>
      </c>
      <c r="D1237" s="278" t="inlineStr">
        <is>
          <t>Sevilla 41004</t>
        </is>
      </c>
      <c r="E1237" s="278" t="inlineStr">
        <is>
          <t>CIF B91938662</t>
        </is>
      </c>
      <c r="F1237" s="278" t="inlineStr">
        <is>
          <t>aBalados@abalados.es</t>
        </is>
      </c>
      <c r="G1237" s="278" t="inlineStr">
        <is>
          <t>Evacuación Tordesillas 400 kV, S.L.</t>
        </is>
      </c>
      <c r="H1237" s="278">
        <f>VLOOKUP($G1237,DATOS!$B:$E,2,FALSE)</f>
        <v/>
      </c>
      <c r="I1237" s="278">
        <f>VLOOKUP($G1237,DATOS!$B:$E,3,FALSE)</f>
        <v/>
      </c>
      <c r="J1237" s="278">
        <f>VLOOKUP($G1237,DATOS!$B:$E,4,FALSE)</f>
        <v/>
      </c>
      <c r="K1237" s="278" t="inlineStr">
        <is>
          <t>Refacturación gastos y/o servicios prestados a nombre de la sociedad</t>
        </is>
      </c>
      <c r="L1237" s="280" t="n"/>
      <c r="M1237" s="278" t="inlineStr">
        <is>
          <t>Registro Mercantil - Nota Simple</t>
        </is>
      </c>
      <c r="N1237" s="280" t="n">
        <v>5.38</v>
      </c>
      <c r="O1237" s="278" t="inlineStr">
        <is>
          <t>Jofran Mensajeros S.L. - Envíos de documentación</t>
        </is>
      </c>
      <c r="P1237" s="280" t="n">
        <v>41.3</v>
      </c>
      <c r="R1237" s="280" t="n"/>
      <c r="T1237" s="280" t="n"/>
      <c r="V1237" s="280" t="n"/>
      <c r="X1237" s="280" t="n"/>
      <c r="Z1237" s="280" t="n"/>
      <c r="AA1237" s="280" t="n"/>
      <c r="AB1237" s="281" t="inlineStr">
        <is>
          <t>ES11 0081 7069 2700 0122 7724</t>
        </is>
      </c>
      <c r="AC1237" s="278" t="inlineStr">
        <is>
          <t>pendiente</t>
        </is>
      </c>
      <c r="AD1237" s="280">
        <f>L1237+N1237+P1237+R1237+T1237+V1237+X1237+Z1237</f>
        <v/>
      </c>
      <c r="AE1237" s="280">
        <f>IF((LEFT(K1237,6))="Contab",L1237,0)</f>
        <v/>
      </c>
      <c r="AF1237" s="281">
        <f>VLOOKUP(G1237,CLIENTES!B:E,4,FALSE)</f>
        <v/>
      </c>
      <c r="AG1237" s="280">
        <f>AF1237*AE1237</f>
        <v/>
      </c>
      <c r="AH1237" s="280">
        <f>AD1237*1.21</f>
        <v/>
      </c>
      <c r="AI1237" s="284">
        <f>IF(AE1237&lt;&gt;0,AG1237/AD1237,"N/A")</f>
        <v/>
      </c>
      <c r="AJ1237" s="280">
        <f>IF(AC1237="pendiente",AD1237,0)</f>
        <v/>
      </c>
      <c r="AK1237" s="278">
        <f>VLOOKUP(G1237,CLIENTES!B:D,3,FALSE)</f>
        <v/>
      </c>
    </row>
    <row r="1238" ht="15" customFormat="1" customHeight="1" s="278">
      <c r="B1238" s="279" t="n"/>
      <c r="C1238" s="278" t="inlineStr">
        <is>
          <t>c/ Las Cruzadas 3A, local D</t>
        </is>
      </c>
      <c r="D1238" s="278" t="inlineStr">
        <is>
          <t>Sevilla 41004</t>
        </is>
      </c>
      <c r="E1238" s="278" t="inlineStr">
        <is>
          <t>CIF B91938662</t>
        </is>
      </c>
      <c r="F1238" s="278" t="inlineStr">
        <is>
          <t>aBalados@abalados.es</t>
        </is>
      </c>
      <c r="G1238" s="278" t="inlineStr">
        <is>
          <t>Energías Limpias de Carmona, S.L.</t>
        </is>
      </c>
      <c r="H1238" s="278">
        <f>VLOOKUP($G1238,DATOS!$B:$E,2,FALSE)</f>
        <v/>
      </c>
      <c r="I1238" s="278">
        <f>VLOOKUP($G1238,DATOS!$B:$E,3,FALSE)</f>
        <v/>
      </c>
      <c r="J1238" s="278">
        <f>VLOOKUP($G1238,DATOS!$B:$E,4,FALSE)</f>
        <v/>
      </c>
      <c r="K1238" s="278" t="inlineStr">
        <is>
          <t>Refacturación gastos y/o servicios prestados a nombre de la sociedad</t>
        </is>
      </c>
      <c r="L1238" s="280" t="n"/>
      <c r="M1238" s="278" t="inlineStr">
        <is>
          <t>Jofran Mensajeros S.L. - Envíos de documentación</t>
        </is>
      </c>
      <c r="N1238" s="280" t="n">
        <v>13.86</v>
      </c>
      <c r="P1238" s="280" t="n"/>
      <c r="R1238" s="280" t="n"/>
      <c r="T1238" s="280" t="n"/>
      <c r="V1238" s="280" t="n"/>
      <c r="X1238" s="280" t="n"/>
      <c r="Z1238" s="280" t="n"/>
      <c r="AA1238" s="280" t="n"/>
      <c r="AB1238" s="281" t="inlineStr">
        <is>
          <t>ES11 0081 7069 2700 0122 7724</t>
        </is>
      </c>
      <c r="AC1238" s="278" t="inlineStr">
        <is>
          <t>pendiente</t>
        </is>
      </c>
      <c r="AD1238" s="280">
        <f>L1238+N1238+P1238+R1238+T1238+V1238+X1238+Z1238</f>
        <v/>
      </c>
      <c r="AE1238" s="280">
        <f>IF((LEFT(K1238,6))="Contab",L1238,0)</f>
        <v/>
      </c>
      <c r="AF1238" s="281">
        <f>VLOOKUP(G1238,CLIENTES!B:E,4,FALSE)</f>
        <v/>
      </c>
      <c r="AG1238" s="280">
        <f>AF1238*AE1238</f>
        <v/>
      </c>
      <c r="AH1238" s="280">
        <f>AD1238*1.21</f>
        <v/>
      </c>
      <c r="AI1238" s="284">
        <f>IF(AE1238&lt;&gt;0,AG1238/AD1238,"N/A")</f>
        <v/>
      </c>
      <c r="AJ1238" s="280">
        <f>IF(AC1238="pendiente",AD1238,0)</f>
        <v/>
      </c>
      <c r="AK1238" s="278">
        <f>VLOOKUP(G1238,CLIENTES!B:D,3,FALSE)</f>
        <v/>
      </c>
    </row>
    <row r="1239" ht="15" customFormat="1" customHeight="1" s="278">
      <c r="B1239" s="279" t="n"/>
      <c r="C1239" s="278" t="inlineStr">
        <is>
          <t>c/ Las Cruzadas 3A, local D</t>
        </is>
      </c>
      <c r="D1239" s="278" t="inlineStr">
        <is>
          <t>Sevilla 41004</t>
        </is>
      </c>
      <c r="E1239" s="278" t="inlineStr">
        <is>
          <t>CIF B91938662</t>
        </is>
      </c>
      <c r="F1239" s="278" t="inlineStr">
        <is>
          <t>aBalados@abalados.es</t>
        </is>
      </c>
      <c r="G1239" s="278" t="inlineStr">
        <is>
          <t>Valcabado Renovables 220 kV, S.L.</t>
        </is>
      </c>
      <c r="H1239" s="278">
        <f>VLOOKUP($G1239,DATOS!$B:$E,2,FALSE)</f>
        <v/>
      </c>
      <c r="I1239" s="278">
        <f>VLOOKUP($G1239,DATOS!$B:$E,3,FALSE)</f>
        <v/>
      </c>
      <c r="J1239" s="278">
        <f>VLOOKUP($G1239,DATOS!$B:$E,4,FALSE)</f>
        <v/>
      </c>
      <c r="K1239" s="278" t="inlineStr">
        <is>
          <t>Refacturación gastos y/o servicios prestados a nombre de la sociedad</t>
        </is>
      </c>
      <c r="L1239" s="280" t="n"/>
      <c r="M1239" s="278" t="inlineStr">
        <is>
          <t>Jofran Mensajeros S.L. - Envíos de documentación</t>
        </is>
      </c>
      <c r="N1239" s="280" t="n">
        <v>5.06</v>
      </c>
      <c r="P1239" s="280" t="n"/>
      <c r="R1239" s="280" t="n"/>
      <c r="T1239" s="280" t="n"/>
      <c r="V1239" s="280" t="n"/>
      <c r="X1239" s="280" t="n"/>
      <c r="Z1239" s="280" t="n"/>
      <c r="AA1239" s="280" t="n"/>
      <c r="AB1239" s="281" t="inlineStr">
        <is>
          <t>ES11 0081 7069 2700 0122 7724</t>
        </is>
      </c>
      <c r="AC1239" s="278" t="inlineStr">
        <is>
          <t>pendiente</t>
        </is>
      </c>
      <c r="AD1239" s="280">
        <f>L1239+N1239+P1239+R1239+T1239+V1239+X1239+Z1239</f>
        <v/>
      </c>
      <c r="AE1239" s="280">
        <f>IF((LEFT(K1239,6))="Contab",L1239,0)</f>
        <v/>
      </c>
      <c r="AF1239" s="281">
        <f>VLOOKUP(G1239,CLIENTES!B:E,4,FALSE)</f>
        <v/>
      </c>
      <c r="AG1239" s="280">
        <f>AF1239*AE1239</f>
        <v/>
      </c>
      <c r="AH1239" s="280">
        <f>AD1239*1.21</f>
        <v/>
      </c>
      <c r="AI1239" s="284">
        <f>IF(AE1239&lt;&gt;0,AG1239/AD1239,"N/A")</f>
        <v/>
      </c>
      <c r="AJ1239" s="280">
        <f>IF(AC1239="pendiente",AD1239,0)</f>
        <v/>
      </c>
      <c r="AK1239" s="278">
        <f>VLOOKUP(G1239,CLIENTES!B:D,3,FALSE)</f>
        <v/>
      </c>
    </row>
    <row r="1240" ht="15" customFormat="1" customHeight="1" s="192">
      <c r="B1240" s="199" t="n"/>
      <c r="C1240" s="192" t="inlineStr">
        <is>
          <t>c/ Las Cruzadas 3A, local D</t>
        </is>
      </c>
      <c r="D1240" s="192" t="inlineStr">
        <is>
          <t>Sevilla 41004</t>
        </is>
      </c>
      <c r="E1240" s="192" t="inlineStr">
        <is>
          <t>CIF B91938662</t>
        </is>
      </c>
      <c r="F1240" s="192" t="inlineStr">
        <is>
          <t>aBalados@abalados.es</t>
        </is>
      </c>
      <c r="G1240" s="192" t="inlineStr">
        <is>
          <t>LAAT 132 kV Doble Circuito-Tordesillas 400 kV, S.L.</t>
        </is>
      </c>
      <c r="H1240" s="192">
        <f>VLOOKUP($G1240,DATOS!$B:$E,2,FALSE)</f>
        <v/>
      </c>
      <c r="I1240" s="192">
        <f>VLOOKUP($G1240,DATOS!$B:$E,3,FALSE)</f>
        <v/>
      </c>
      <c r="J1240" s="192">
        <f>VLOOKUP($G1240,DATOS!$B:$E,4,FALSE)</f>
        <v/>
      </c>
      <c r="K1240" s="192" t="inlineStr">
        <is>
          <t>Refacturación gastos y/o servicios prestados a nombre de la sociedad</t>
        </is>
      </c>
      <c r="L1240" s="200" t="n"/>
      <c r="M1240" s="192" t="inlineStr">
        <is>
          <t>Jofran Mensajeros S.L. - Envíos de documentación</t>
        </is>
      </c>
      <c r="N1240" s="200" t="n">
        <v>50.57</v>
      </c>
      <c r="P1240" s="200" t="n"/>
      <c r="R1240" s="200" t="n"/>
      <c r="T1240" s="200" t="n"/>
      <c r="V1240" s="200" t="n"/>
      <c r="X1240" s="200" t="n"/>
      <c r="Z1240" s="200" t="n"/>
      <c r="AA1240" s="200" t="n"/>
      <c r="AB1240" s="201" t="inlineStr">
        <is>
          <t>ES11 0081 7069 2700 0122 7724</t>
        </is>
      </c>
      <c r="AC1240" s="192" t="inlineStr">
        <is>
          <t>pendiente</t>
        </is>
      </c>
      <c r="AD1240" s="200">
        <f>L1240+N1240+P1240+R1240+T1240+V1240+X1240+Z1240</f>
        <v/>
      </c>
      <c r="AE1240" s="200">
        <f>IF((LEFT(K1240,6))="Contab",L1240,0)</f>
        <v/>
      </c>
      <c r="AF1240" s="201">
        <f>VLOOKUP(G1240,CLIENTES!B:E,4,FALSE)</f>
        <v/>
      </c>
      <c r="AG1240" s="200">
        <f>AF1240*AE1240</f>
        <v/>
      </c>
      <c r="AH1240" s="200">
        <f>AD1240*1.21</f>
        <v/>
      </c>
      <c r="AI1240" s="283">
        <f>IF(AE1240&lt;&gt;0,AG1240/AD1240,"N/A")</f>
        <v/>
      </c>
      <c r="AJ1240" s="200">
        <f>IF(AC1240="pendiente",AD1240,0)</f>
        <v/>
      </c>
      <c r="AK1240" s="192">
        <f>VLOOKUP(G1240,CLIENTES!B:D,3,FALSE)</f>
        <v/>
      </c>
    </row>
    <row r="1241" ht="15" customFormat="1" customHeight="1" s="195">
      <c r="A1241" s="278" t="n"/>
      <c r="B1241" s="194" t="n"/>
      <c r="C1241" s="278" t="inlineStr">
        <is>
          <t>c/ Las Cruzadas 3A, local D</t>
        </is>
      </c>
      <c r="D1241" s="278" t="inlineStr">
        <is>
          <t>Sevilla 41004</t>
        </is>
      </c>
      <c r="E1241" s="278" t="inlineStr">
        <is>
          <t>CIF B91938662</t>
        </is>
      </c>
      <c r="F1241" s="278" t="inlineStr">
        <is>
          <t>aBalados@abalados.es</t>
        </is>
      </c>
      <c r="G1241" s="195" t="inlineStr">
        <is>
          <t>FP LUX REIO PV ZARAGOZA SL.</t>
        </is>
      </c>
      <c r="H1241" s="278">
        <f>VLOOKUP($G1241,DATOS!$B:$E,2,FALSE)</f>
        <v/>
      </c>
      <c r="I1241" s="278">
        <f>VLOOKUP($G1241,DATOS!$B:$E,3,FALSE)</f>
        <v/>
      </c>
      <c r="J1241" s="278">
        <f>VLOOKUP($G1241,DATOS!$B:$E,4,FALSE)</f>
        <v/>
      </c>
      <c r="K1241" s="195" t="inlineStr">
        <is>
          <t>Proyecto El Marqués - Zaragoza</t>
        </is>
      </c>
      <c r="L1241" s="196" t="n"/>
      <c r="M1241" s="195" t="inlineStr">
        <is>
          <t>Additional Service - CNMC dispute</t>
        </is>
      </c>
      <c r="N1241" s="196">
        <f>25%*8500</f>
        <v/>
      </c>
      <c r="O1241" s="195" t="inlineStr">
        <is>
          <t>(25% at service completion)</t>
        </is>
      </c>
      <c r="P1241" s="196" t="n"/>
      <c r="R1241" s="196" t="n"/>
      <c r="T1241" s="196" t="n"/>
      <c r="V1241" s="196" t="n"/>
      <c r="X1241" s="196" t="n"/>
      <c r="Z1241" s="196" t="n"/>
      <c r="AA1241" s="196" t="n"/>
      <c r="AB1241" s="281" t="inlineStr">
        <is>
          <t>ES11 0081 7069 2700 0122 7724</t>
        </is>
      </c>
      <c r="AC1241" s="278" t="inlineStr">
        <is>
          <t>pendiente</t>
        </is>
      </c>
      <c r="AD1241" s="280">
        <f>L1241+N1241+P1241+R1241+T1241+V1241+X1241+Z1241</f>
        <v/>
      </c>
      <c r="AE1241" s="280">
        <f>IF((LEFT(K1241,6))="Contab",L1241,0)</f>
        <v/>
      </c>
      <c r="AF1241" s="281">
        <f>VLOOKUP(G1241,CLIENTES!B:E,4,FALSE)</f>
        <v/>
      </c>
      <c r="AG1241" s="280">
        <f>AF1241*AE1241</f>
        <v/>
      </c>
      <c r="AH1241" s="280">
        <f>AD1241*1.21</f>
        <v/>
      </c>
      <c r="AI1241" s="284">
        <f>IF(AE1241&lt;&gt;0,AG1241/AD1241,"N/A")</f>
        <v/>
      </c>
      <c r="AJ1241" s="280">
        <f>IF(AC1241="pendiente",AD1241,0)</f>
        <v/>
      </c>
      <c r="AK1241" s="278">
        <f>VLOOKUP(G1241,CLIENTES!B:D,3,FALSE)</f>
        <v/>
      </c>
      <c r="AL1241" s="278" t="n"/>
    </row>
    <row r="1242" ht="15" customFormat="1" customHeight="1" s="192">
      <c r="B1242" s="199" t="n"/>
      <c r="C1242" s="192" t="inlineStr">
        <is>
          <t>c/ Las Cruzadas 3A, local D</t>
        </is>
      </c>
      <c r="D1242" s="192" t="inlineStr">
        <is>
          <t>Sevilla 41004</t>
        </is>
      </c>
      <c r="E1242" s="192" t="inlineStr">
        <is>
          <t>CIF B91938662</t>
        </is>
      </c>
      <c r="F1242" s="192" t="inlineStr">
        <is>
          <t>aBalados@abalados.es</t>
        </is>
      </c>
      <c r="G1242" s="192" t="inlineStr">
        <is>
          <t>China Triumph International Engineering Co., LTD EP EN SPAIN</t>
        </is>
      </c>
      <c r="H1242" s="192">
        <f>VLOOKUP($G1242,DATOS!$B:$E,2,FALSE)</f>
        <v/>
      </c>
      <c r="I1242" s="192">
        <f>VLOOKUP($G1242,DATOS!$B:$E,3,FALSE)</f>
        <v/>
      </c>
      <c r="J1242" s="192">
        <f>VLOOKUP($G1242,DATOS!$B:$E,4,FALSE)</f>
        <v/>
      </c>
      <c r="K1242" s="192" t="inlineStr">
        <is>
          <t>O&amp;M Supervision and Management</t>
        </is>
      </c>
      <c r="L1242" s="200" t="n"/>
      <c r="N1242" s="200" t="n"/>
      <c r="O1242" s="192" t="inlineStr">
        <is>
          <t>Puerto Real 1 PV - Cádiz | Spain</t>
        </is>
      </c>
      <c r="P1242" s="200" t="n">
        <v>15430</v>
      </c>
      <c r="Q1242" s="192" t="inlineStr">
        <is>
          <t>O&amp;M Management services provided on May 2022</t>
        </is>
      </c>
      <c r="R1242" s="200" t="n"/>
      <c r="T1242" s="200" t="n"/>
      <c r="V1242" s="200" t="n"/>
      <c r="X1242" s="200" t="n"/>
      <c r="Z1242" s="200" t="n"/>
      <c r="AA1242" s="200" t="n"/>
      <c r="AB1242" s="201" t="inlineStr">
        <is>
          <t>ES11 0081 7069 2700 0122 7724</t>
        </is>
      </c>
      <c r="AC1242" s="192" t="inlineStr">
        <is>
          <t>pendiente</t>
        </is>
      </c>
      <c r="AD1242" s="200">
        <f>L1242+N1242+P1242+R1242+T1242+V1242+X1242+Z1242</f>
        <v/>
      </c>
      <c r="AE1242" s="200">
        <f>IF((LEFT(K1242,6))="Contab",L1242,0)</f>
        <v/>
      </c>
      <c r="AF1242" s="201">
        <f>VLOOKUP(G1242,CLIENTES!B:E,4,FALSE)</f>
        <v/>
      </c>
      <c r="AG1242" s="200">
        <f>AF1242*AE1242</f>
        <v/>
      </c>
      <c r="AH1242" s="200">
        <f>AD1242*1.21</f>
        <v/>
      </c>
      <c r="AI1242" s="283">
        <f>IF(AE1242&lt;&gt;0,AG1242/AD1242,"N/A")</f>
        <v/>
      </c>
      <c r="AJ1242" s="200">
        <f>IF(AC1242="pendiente",AD1242,0)</f>
        <v/>
      </c>
      <c r="AK1242" s="192">
        <f>VLOOKUP(G1242,CLIENTES!B:D,3,FALSE)</f>
        <v/>
      </c>
    </row>
    <row r="1243" ht="15" customFormat="1" customHeight="1" s="278">
      <c r="B1243" s="279" t="n"/>
      <c r="C1243" s="278" t="inlineStr">
        <is>
          <t>c/ Las Cruzadas 3A, local D</t>
        </is>
      </c>
      <c r="D1243" s="278" t="inlineStr">
        <is>
          <t>Sevilla 41004</t>
        </is>
      </c>
      <c r="E1243" s="278" t="inlineStr">
        <is>
          <t>CIF B91938662</t>
        </is>
      </c>
      <c r="F1243" s="278" t="inlineStr">
        <is>
          <t>aBalados@abalados.es</t>
        </is>
      </c>
      <c r="G1243" s="278" t="inlineStr">
        <is>
          <t>China Triumph International Engineering Co., LTD EP EN SPAIN</t>
        </is>
      </c>
      <c r="H1243" s="278">
        <f>VLOOKUP($G1243,DATOS!$B:$E,2,FALSE)</f>
        <v/>
      </c>
      <c r="I1243" s="278">
        <f>VLOOKUP($G1243,DATOS!$B:$E,3,FALSE)</f>
        <v/>
      </c>
      <c r="J1243" s="278">
        <f>VLOOKUP($G1243,DATOS!$B:$E,4,FALSE)</f>
        <v/>
      </c>
      <c r="K1243" s="278" t="inlineStr">
        <is>
          <t>O&amp;M Supervision and Management  -  Additional Service</t>
        </is>
      </c>
      <c r="L1243" s="280" t="n"/>
      <c r="N1243" s="280" t="n"/>
      <c r="O1243" s="278" t="inlineStr">
        <is>
          <t>Puerto Real 1 PV - Cádiz | Spain</t>
        </is>
      </c>
      <c r="P1243" s="280">
        <f>0.5*37592</f>
        <v/>
      </c>
      <c r="Q1243" s="278" t="inlineStr">
        <is>
          <t>Module Replacement Management (50% at service acceptance)</t>
        </is>
      </c>
      <c r="R1243" s="280" t="n"/>
      <c r="T1243" s="280" t="n"/>
      <c r="V1243" s="280" t="n"/>
      <c r="X1243" s="280" t="n"/>
      <c r="Z1243" s="280" t="n"/>
      <c r="AA1243" s="280" t="n"/>
      <c r="AB1243" s="281" t="inlineStr">
        <is>
          <t>ES11 0081 7069 2700 0122 7724</t>
        </is>
      </c>
      <c r="AC1243" s="278" t="inlineStr">
        <is>
          <t>pendiente</t>
        </is>
      </c>
      <c r="AD1243" s="280">
        <f>L1243+N1243+P1243+R1243+T1243+V1243+X1243+Z1243</f>
        <v/>
      </c>
      <c r="AE1243" s="280">
        <f>IF((LEFT(K1243,6))="Contab",L1243,0)</f>
        <v/>
      </c>
      <c r="AF1243" s="281">
        <f>VLOOKUP(G1243,CLIENTES!B:E,4,FALSE)</f>
        <v/>
      </c>
      <c r="AG1243" s="280">
        <f>AF1243*AE1243</f>
        <v/>
      </c>
      <c r="AH1243" s="280">
        <f>AD1243*1.21</f>
        <v/>
      </c>
      <c r="AI1243" s="284">
        <f>IF(AE1243&lt;&gt;0,AG1243/AD1243,"N/A")</f>
        <v/>
      </c>
      <c r="AJ1243" s="280">
        <f>IF(AC1243="pendiente",AD1243,0)</f>
        <v/>
      </c>
      <c r="AK1243" s="278">
        <f>VLOOKUP(G1243,CLIENTES!B:D,3,FALSE)</f>
        <v/>
      </c>
    </row>
    <row r="1244" ht="15" customFormat="1" customHeight="1" s="192">
      <c r="B1244" s="199" t="n"/>
      <c r="C1244" s="192" t="inlineStr">
        <is>
          <t>c/ Las Cruzadas 3A, local D</t>
        </is>
      </c>
      <c r="D1244" s="192" t="inlineStr">
        <is>
          <t>Sevilla 41004</t>
        </is>
      </c>
      <c r="E1244" s="192" t="inlineStr">
        <is>
          <t>CIF B91938662</t>
        </is>
      </c>
      <c r="F1244" s="192" t="inlineStr">
        <is>
          <t>aBalados@abalados.es</t>
        </is>
      </c>
      <c r="G1244" s="192" t="inlineStr">
        <is>
          <t>Valcabado Renovables 220 kV, S.L.</t>
        </is>
      </c>
      <c r="H1244" s="192">
        <f>VLOOKUP($G1244,DATOS!$B:$E,2,FALSE)</f>
        <v/>
      </c>
      <c r="I1244" s="192">
        <f>VLOOKUP($G1244,DATOS!$B:$E,3,FALSE)</f>
        <v/>
      </c>
      <c r="J1244" s="192">
        <f>VLOOKUP($G1244,DATOS!$B:$E,4,FALSE)</f>
        <v/>
      </c>
      <c r="K1244" s="192" t="inlineStr">
        <is>
          <t>Servicios extraordinarios - Asset Management (subestación Valcabado)</t>
        </is>
      </c>
      <c r="L1244" s="200" t="n"/>
      <c r="M1244" s="192" t="inlineStr">
        <is>
          <t>Elaboración del Reglamento de Explotación para las IICC</t>
        </is>
      </c>
      <c r="N1244" s="200" t="n">
        <v>2500</v>
      </c>
      <c r="P1244" s="200" t="n"/>
      <c r="R1244" s="200" t="n"/>
      <c r="T1244" s="200" t="n"/>
      <c r="V1244" s="200" t="n"/>
      <c r="X1244" s="200" t="n"/>
      <c r="Z1244" s="200" t="n"/>
      <c r="AA1244" s="200" t="n"/>
      <c r="AB1244" s="201" t="inlineStr">
        <is>
          <t>ES11 0081 7069 2700 0122 7724</t>
        </is>
      </c>
      <c r="AC1244" s="192" t="inlineStr">
        <is>
          <t>pendiente</t>
        </is>
      </c>
      <c r="AD1244" s="200">
        <f>L1244+N1244+P1244+R1244+T1244+V1244+X1244+Z1244</f>
        <v/>
      </c>
      <c r="AE1244" s="200">
        <f>IF((LEFT(K1244,6))="Contab",L1244,0)</f>
        <v/>
      </c>
      <c r="AF1244" s="201">
        <f>VLOOKUP(G1244,CLIENTES!B:E,4,FALSE)</f>
        <v/>
      </c>
      <c r="AG1244" s="200">
        <f>AF1244*AE1244</f>
        <v/>
      </c>
      <c r="AH1244" s="200">
        <f>AD1244*1.21</f>
        <v/>
      </c>
      <c r="AI1244" s="283">
        <f>IF(AE1244&lt;&gt;0,AG1244/AD1244,"N/A")</f>
        <v/>
      </c>
      <c r="AJ1244" s="200">
        <f>IF(AC1244="pendiente",AD1244,0)</f>
        <v/>
      </c>
      <c r="AK1244" s="192">
        <f>VLOOKUP(G1244,CLIENTES!B:D,3,FALSE)</f>
        <v/>
      </c>
    </row>
    <row r="1245" ht="15" customFormat="1" customHeight="1" s="278">
      <c r="B1245" s="279" t="n"/>
      <c r="C1245" s="278" t="inlineStr">
        <is>
          <t>c/ Las Cruzadas 3A, local D</t>
        </is>
      </c>
      <c r="D1245" s="278" t="inlineStr">
        <is>
          <t>Sevilla 41004</t>
        </is>
      </c>
      <c r="E1245" s="278" t="inlineStr">
        <is>
          <t>CIF B91938662</t>
        </is>
      </c>
      <c r="F1245" s="278" t="inlineStr">
        <is>
          <t>aBalados@abalados.es</t>
        </is>
      </c>
      <c r="G1245" s="278" t="inlineStr">
        <is>
          <t>Valcabado Renovables 220 kV, S.L.</t>
        </is>
      </c>
      <c r="H1245" s="278">
        <f>VLOOKUP($G1245,DATOS!$B:$E,2,FALSE)</f>
        <v/>
      </c>
      <c r="I1245" s="278">
        <f>VLOOKUP($G1245,DATOS!$B:$E,3,FALSE)</f>
        <v/>
      </c>
      <c r="J1245" s="278">
        <f>VLOOKUP($G1245,DATOS!$B:$E,4,FALSE)</f>
        <v/>
      </c>
      <c r="K1245" s="278" t="inlineStr">
        <is>
          <t>Contrato de Asset Management - Subestación Valcabado</t>
        </is>
      </c>
      <c r="L1245" s="280" t="n"/>
      <c r="N1245" s="280" t="n"/>
      <c r="O1245" s="278" t="inlineStr">
        <is>
          <t>Fee Trimestral - 1Abril/30Junio 2022</t>
        </is>
      </c>
      <c r="P1245" s="280">
        <f>1173*3*1.098</f>
        <v/>
      </c>
      <c r="Q1245" s="278" t="inlineStr">
        <is>
          <t>Tasa actualización IPC General (Marzo 2021 - Marzo 2022): 9,8%</t>
        </is>
      </c>
      <c r="R1245" s="280" t="n"/>
      <c r="T1245" s="280" t="n"/>
      <c r="U1245" s="278" t="inlineStr">
        <is>
          <t>Regularización IPC trimestre anterior (22Marzo-31Marzo 2022)</t>
        </is>
      </c>
      <c r="V1245" s="280">
        <f>1173*(10/31)*0.098</f>
        <v/>
      </c>
      <c r="X1245" s="280" t="n"/>
      <c r="Z1245" s="280" t="n"/>
      <c r="AA1245" s="280" t="n"/>
      <c r="AB1245" s="281" t="inlineStr">
        <is>
          <t>ES11 0081 7069 2700 0122 7724</t>
        </is>
      </c>
      <c r="AC1245" s="278" t="inlineStr">
        <is>
          <t>pendiente</t>
        </is>
      </c>
      <c r="AD1245" s="280">
        <f>L1245+N1245+P1245+R1245+T1245+V1245+X1245+Z1245</f>
        <v/>
      </c>
      <c r="AE1245" s="280">
        <f>IF((LEFT(K1245,6))="Contab",L1245,0)</f>
        <v/>
      </c>
      <c r="AF1245" s="281">
        <f>VLOOKUP(G1245,CLIENTES!B:E,4,FALSE)</f>
        <v/>
      </c>
      <c r="AG1245" s="280">
        <f>AF1245*AE1245</f>
        <v/>
      </c>
      <c r="AH1245" s="280">
        <f>AD1245*1.21</f>
        <v/>
      </c>
      <c r="AI1245" s="284">
        <f>IF(AE1245&lt;&gt;0,AG1245/AD1245,"N/A")</f>
        <v/>
      </c>
      <c r="AJ1245" s="280">
        <f>IF(AC1245="pendiente",AD1245,0)</f>
        <v/>
      </c>
      <c r="AK1245" s="278">
        <f>VLOOKUP(G1245,CLIENTES!B:D,3,FALSE)</f>
        <v/>
      </c>
    </row>
    <row r="1246" ht="15" customFormat="1" customHeight="1" s="278">
      <c r="B1246" s="279" t="n"/>
      <c r="C1246" s="278" t="inlineStr">
        <is>
          <t>c/ Las Cruzadas 3A, local D</t>
        </is>
      </c>
      <c r="D1246" s="278" t="inlineStr">
        <is>
          <t>Sevilla 41004</t>
        </is>
      </c>
      <c r="E1246" s="278" t="inlineStr">
        <is>
          <t>CIF B91938662</t>
        </is>
      </c>
      <c r="F1246" s="278" t="inlineStr">
        <is>
          <t>aBalados@abalados.es</t>
        </is>
      </c>
      <c r="G1246" s="278" t="inlineStr">
        <is>
          <t>Grijota Renovables, S.L.</t>
        </is>
      </c>
      <c r="H1246" s="278">
        <f>VLOOKUP($G1246,DATOS!$B:$E,2,FALSE)</f>
        <v/>
      </c>
      <c r="I1246" s="278">
        <f>VLOOKUP($G1246,DATOS!$B:$E,3,FALSE)</f>
        <v/>
      </c>
      <c r="J1246" s="278">
        <f>VLOOKUP($G1246,DATOS!$B:$E,4,FALSE)</f>
        <v/>
      </c>
      <c r="K1246" s="278" t="inlineStr">
        <is>
          <t>Contrato de Asset Management - Subestación Grijota</t>
        </is>
      </c>
      <c r="L1246" s="280" t="n"/>
      <c r="N1246" s="280" t="n"/>
      <c r="O1246" s="278" t="inlineStr">
        <is>
          <t>Fee Trimestral - 1Abril/30Junio 2022</t>
        </is>
      </c>
      <c r="P1246" s="280">
        <f>1035*3</f>
        <v/>
      </c>
      <c r="R1246" s="280" t="n"/>
      <c r="T1246" s="280" t="n"/>
      <c r="V1246" s="280" t="n"/>
      <c r="X1246" s="280" t="n"/>
      <c r="Z1246" s="280" t="n"/>
      <c r="AA1246" s="280" t="n"/>
      <c r="AB1246" s="281" t="inlineStr">
        <is>
          <t>ES11 0081 7069 2700 0122 7724</t>
        </is>
      </c>
      <c r="AC1246" s="278" t="inlineStr">
        <is>
          <t>pendiente</t>
        </is>
      </c>
      <c r="AD1246" s="280">
        <f>L1246+N1246+P1246+R1246+T1246+V1246+X1246+Z1246</f>
        <v/>
      </c>
      <c r="AE1246" s="280">
        <f>IF((LEFT(K1246,6))="Contab",L1246,0)</f>
        <v/>
      </c>
      <c r="AF1246" s="281">
        <f>VLOOKUP(G1246,CLIENTES!B:E,4,FALSE)</f>
        <v/>
      </c>
      <c r="AG1246" s="280">
        <f>AF1246*AE1246</f>
        <v/>
      </c>
      <c r="AH1246" s="280">
        <f>AD1246*1.21</f>
        <v/>
      </c>
      <c r="AI1246" s="284">
        <f>IF(AE1246&lt;&gt;0,AG1246/AD1246,"N/A")</f>
        <v/>
      </c>
      <c r="AJ1246" s="280">
        <f>IF(AC1246="pendiente",AD1246,0)</f>
        <v/>
      </c>
      <c r="AK1246" s="278">
        <f>VLOOKUP(G1246,CLIENTES!B:D,3,FALSE)</f>
        <v/>
      </c>
    </row>
    <row r="1247" ht="15" customFormat="1" customHeight="1" s="278">
      <c r="B1247" s="279" t="n"/>
      <c r="C1247" s="278" t="inlineStr">
        <is>
          <t>c/ Las Cruzadas 3A, local D</t>
        </is>
      </c>
      <c r="D1247" s="278" t="inlineStr">
        <is>
          <t>Sevilla 41004</t>
        </is>
      </c>
      <c r="E1247" s="278" t="inlineStr">
        <is>
          <t>CIF B91938662</t>
        </is>
      </c>
      <c r="F1247" s="278" t="inlineStr">
        <is>
          <t>aBalados@abalados.es</t>
        </is>
      </c>
      <c r="G1247" s="278" t="inlineStr">
        <is>
          <t>Cubillos Renovables, S.L.</t>
        </is>
      </c>
      <c r="H1247" s="278">
        <f>VLOOKUP($G1247,DATOS!$B:$E,2,FALSE)</f>
        <v/>
      </c>
      <c r="I1247" s="278">
        <f>VLOOKUP($G1247,DATOS!$B:$E,3,FALSE)</f>
        <v/>
      </c>
      <c r="J1247" s="278">
        <f>VLOOKUP($G1247,DATOS!$B:$E,4,FALSE)</f>
        <v/>
      </c>
      <c r="K1247" s="278" t="inlineStr">
        <is>
          <t>Contrato de Asset Management - Subestación Majuelo</t>
        </is>
      </c>
      <c r="L1247" s="280" t="n"/>
      <c r="N1247" s="280" t="n"/>
      <c r="O1247" s="278" t="inlineStr">
        <is>
          <t>Fee Trimestral - 1Abril/30Junio 2022</t>
        </is>
      </c>
      <c r="P1247" s="280">
        <f>1173*3</f>
        <v/>
      </c>
      <c r="R1247" s="280" t="n"/>
      <c r="T1247" s="280" t="n"/>
      <c r="V1247" s="280" t="n"/>
      <c r="X1247" s="280" t="n"/>
      <c r="Z1247" s="280" t="n"/>
      <c r="AA1247" s="280" t="n"/>
      <c r="AB1247" s="281" t="inlineStr">
        <is>
          <t>ES11 0081 7069 2700 0122 7724</t>
        </is>
      </c>
      <c r="AC1247" s="278" t="inlineStr">
        <is>
          <t>pendiente</t>
        </is>
      </c>
      <c r="AD1247" s="280">
        <f>L1247+N1247+P1247+R1247+T1247+V1247+X1247+Z1247</f>
        <v/>
      </c>
      <c r="AE1247" s="280">
        <f>IF((LEFT(K1247,6))="Contab",L1247,0)</f>
        <v/>
      </c>
      <c r="AF1247" s="281">
        <f>VLOOKUP(G1247,CLIENTES!B:E,4,FALSE)</f>
        <v/>
      </c>
      <c r="AG1247" s="280">
        <f>AF1247*AE1247</f>
        <v/>
      </c>
      <c r="AH1247" s="280">
        <f>AD1247*1.21</f>
        <v/>
      </c>
      <c r="AI1247" s="284">
        <f>IF(AE1247&lt;&gt;0,AG1247/AD1247,"N/A")</f>
        <v/>
      </c>
      <c r="AJ1247" s="280">
        <f>IF(AC1247="pendiente",AD1247,0)</f>
        <v/>
      </c>
      <c r="AK1247" s="278">
        <f>VLOOKUP(G1247,CLIENTES!B:D,3,FALSE)</f>
        <v/>
      </c>
    </row>
    <row r="1248" ht="15" customFormat="1" customHeight="1" s="278">
      <c r="B1248" s="279" t="n"/>
      <c r="C1248" s="278" t="inlineStr">
        <is>
          <t>c/ Las Cruzadas 3A, local D</t>
        </is>
      </c>
      <c r="D1248" s="278" t="inlineStr">
        <is>
          <t>Sevilla 41004</t>
        </is>
      </c>
      <c r="E1248" s="278" t="inlineStr">
        <is>
          <t>CIF B91938662</t>
        </is>
      </c>
      <c r="F1248" s="278" t="inlineStr">
        <is>
          <t>aBalados@abalados.es</t>
        </is>
      </c>
      <c r="G1248" s="278" t="inlineStr">
        <is>
          <t>Tordesillas Renovables, S.L.</t>
        </is>
      </c>
      <c r="H1248" s="278">
        <f>VLOOKUP($G1248,DATOS!$B:$E,2,FALSE)</f>
        <v/>
      </c>
      <c r="I1248" s="278">
        <f>VLOOKUP($G1248,DATOS!$B:$E,3,FALSE)</f>
        <v/>
      </c>
      <c r="J1248" s="278">
        <f>VLOOKUP($G1248,DATOS!$B:$E,4,FALSE)</f>
        <v/>
      </c>
      <c r="K1248" s="278" t="inlineStr">
        <is>
          <t>Contrato de Asset Management - Subestación Tordesillas</t>
        </is>
      </c>
      <c r="L1248" s="280" t="n"/>
      <c r="N1248" s="280" t="n"/>
      <c r="O1248" s="278" t="inlineStr">
        <is>
          <t>Fee Trimestral - 1Abril/30Junio 2022</t>
        </is>
      </c>
      <c r="P1248" s="280">
        <f>1200*3</f>
        <v/>
      </c>
      <c r="R1248" s="280" t="n"/>
      <c r="T1248" s="280" t="n"/>
      <c r="V1248" s="280" t="n"/>
      <c r="X1248" s="280" t="n"/>
      <c r="Z1248" s="280" t="n"/>
      <c r="AA1248" s="280" t="n"/>
      <c r="AB1248" s="281" t="inlineStr">
        <is>
          <t>ES11 0081 7069 2700 0122 7724</t>
        </is>
      </c>
      <c r="AC1248" s="278" t="inlineStr">
        <is>
          <t>pendiente</t>
        </is>
      </c>
      <c r="AD1248" s="280">
        <f>L1248+N1248+P1248+R1248+T1248+V1248+X1248+Z1248</f>
        <v/>
      </c>
      <c r="AE1248" s="280">
        <f>IF((LEFT(K1248,6))="Contab",L1248,0)</f>
        <v/>
      </c>
      <c r="AF1248" s="281">
        <f>VLOOKUP(G1248,CLIENTES!B:E,4,FALSE)</f>
        <v/>
      </c>
      <c r="AG1248" s="280">
        <f>AF1248*AE1248</f>
        <v/>
      </c>
      <c r="AH1248" s="280">
        <f>AD1248*1.21</f>
        <v/>
      </c>
      <c r="AI1248" s="284">
        <f>IF(AE1248&lt;&gt;0,AG1248/AD1248,"N/A")</f>
        <v/>
      </c>
      <c r="AJ1248" s="280">
        <f>IF(AC1248="pendiente",AD1248,0)</f>
        <v/>
      </c>
      <c r="AK1248" s="278">
        <f>VLOOKUP(G1248,CLIENTES!B:D,3,FALSE)</f>
        <v/>
      </c>
    </row>
    <row r="1249" ht="15" customFormat="1" customHeight="1" s="278">
      <c r="B1249" s="279" t="n"/>
      <c r="C1249" s="278" t="inlineStr">
        <is>
          <t>c/ Las Cruzadas 3A, local D</t>
        </is>
      </c>
      <c r="D1249" s="278" t="inlineStr">
        <is>
          <t>Sevilla 41004</t>
        </is>
      </c>
      <c r="E1249" s="278" t="inlineStr">
        <is>
          <t>CIF B91938662</t>
        </is>
      </c>
      <c r="F1249" s="278" t="inlineStr">
        <is>
          <t>aBalados@abalados.es</t>
        </is>
      </c>
      <c r="G1249" s="278" t="inlineStr">
        <is>
          <t>Monte Reina Renovables, S.L.</t>
        </is>
      </c>
      <c r="H1249" s="278">
        <f>VLOOKUP($G1249,DATOS!$B:$E,2,FALSE)</f>
        <v/>
      </c>
      <c r="I1249" s="278">
        <f>VLOOKUP($G1249,DATOS!$B:$E,3,FALSE)</f>
        <v/>
      </c>
      <c r="J1249" s="278">
        <f>VLOOKUP($G1249,DATOS!$B:$E,4,FALSE)</f>
        <v/>
      </c>
      <c r="K1249" s="278" t="inlineStr">
        <is>
          <t>Contrato de Asset Management - Subestación Valdecarretas</t>
        </is>
      </c>
      <c r="L1249" s="280" t="n"/>
      <c r="N1249" s="280" t="n"/>
      <c r="O1249" s="278" t="inlineStr">
        <is>
          <t>Fee Trimestral - 1Abril/30Junio 2022</t>
        </is>
      </c>
      <c r="P1249" s="280">
        <f>1380*3</f>
        <v/>
      </c>
      <c r="R1249" s="280" t="n"/>
      <c r="T1249" s="280" t="n"/>
      <c r="V1249" s="280" t="n"/>
      <c r="X1249" s="280" t="n"/>
      <c r="Z1249" s="280" t="n"/>
      <c r="AA1249" s="280" t="n"/>
      <c r="AB1249" s="281" t="inlineStr">
        <is>
          <t>ES11 0081 7069 2700 0122 7724</t>
        </is>
      </c>
      <c r="AC1249" s="278" t="inlineStr">
        <is>
          <t>pendiente</t>
        </is>
      </c>
      <c r="AD1249" s="280">
        <f>L1249+N1249+P1249+R1249+T1249+V1249+X1249+Z1249</f>
        <v/>
      </c>
      <c r="AE1249" s="280">
        <f>IF((LEFT(K1249,6))="Contab",L1249,0)</f>
        <v/>
      </c>
      <c r="AF1249" s="281">
        <f>VLOOKUP(G1249,CLIENTES!B:E,4,FALSE)</f>
        <v/>
      </c>
      <c r="AG1249" s="280">
        <f>AF1249*AE1249</f>
        <v/>
      </c>
      <c r="AH1249" s="280">
        <f>AD1249*1.21</f>
        <v/>
      </c>
      <c r="AI1249" s="284">
        <f>IF(AE1249&lt;&gt;0,AG1249/AD1249,"N/A")</f>
        <v/>
      </c>
      <c r="AJ1249" s="280">
        <f>IF(AC1249="pendiente",AD1249,0)</f>
        <v/>
      </c>
      <c r="AK1249" s="278">
        <f>VLOOKUP(G1249,CLIENTES!B:D,3,FALSE)</f>
        <v/>
      </c>
    </row>
    <row r="1250" ht="15" customFormat="1" customHeight="1" s="278">
      <c r="B1250" s="279" t="n"/>
      <c r="C1250" s="278" t="inlineStr">
        <is>
          <t>c/ Las Cruzadas 3A, local D</t>
        </is>
      </c>
      <c r="D1250" s="278" t="inlineStr">
        <is>
          <t>Sevilla 41004</t>
        </is>
      </c>
      <c r="E1250" s="278" t="inlineStr">
        <is>
          <t>CIF B91938662</t>
        </is>
      </c>
      <c r="F1250" s="278" t="inlineStr">
        <is>
          <t>aBalados@abalados.es</t>
        </is>
      </c>
      <c r="G1250" s="278" t="inlineStr">
        <is>
          <t>Herrera Renovables 400, A.I.E.</t>
        </is>
      </c>
      <c r="H1250" s="278">
        <f>VLOOKUP($G1250,DATOS!$B:$E,2,FALSE)</f>
        <v/>
      </c>
      <c r="I1250" s="286" t="inlineStr">
        <is>
          <t>Avda. de la Carrera 31, Oficina 1</t>
        </is>
      </c>
      <c r="J1250" s="286" t="inlineStr">
        <is>
          <t>28223 Madrid</t>
        </is>
      </c>
      <c r="K1250" s="278" t="inlineStr">
        <is>
          <t>Contrato de Asset Management - Subestación Herrera</t>
        </is>
      </c>
      <c r="L1250" s="280" t="n"/>
      <c r="N1250" s="280" t="n"/>
      <c r="O1250" s="278" t="inlineStr">
        <is>
          <t>Fee Trimestral - 1Abril/30Junio 2022</t>
        </is>
      </c>
      <c r="P1250" s="280">
        <f>1250*3</f>
        <v/>
      </c>
      <c r="R1250" s="280" t="n"/>
      <c r="T1250" s="280" t="n"/>
      <c r="V1250" s="280" t="n"/>
      <c r="X1250" s="280" t="n"/>
      <c r="Z1250" s="280" t="n"/>
      <c r="AA1250" s="280" t="n"/>
      <c r="AB1250" s="281" t="inlineStr">
        <is>
          <t>ES11 0081 7069 2700 0122 7724</t>
        </is>
      </c>
      <c r="AC1250" s="278" t="inlineStr">
        <is>
          <t>pendiente</t>
        </is>
      </c>
      <c r="AD1250" s="280">
        <f>L1250+N1250+P1250+R1250+T1250+V1250+X1250+Z1250</f>
        <v/>
      </c>
      <c r="AE1250" s="280">
        <f>IF((LEFT(K1250,6))="Contab",L1250,0)</f>
        <v/>
      </c>
      <c r="AF1250" s="281">
        <f>VLOOKUP(G1250,CLIENTES!B:E,4,FALSE)</f>
        <v/>
      </c>
      <c r="AG1250" s="280">
        <f>AF1250*AE1250</f>
        <v/>
      </c>
      <c r="AH1250" s="280">
        <f>AD1250*1.21</f>
        <v/>
      </c>
      <c r="AI1250" s="284">
        <f>IF(AE1250&lt;&gt;0,AG1250/AD1250,"N/A")</f>
        <v/>
      </c>
      <c r="AJ1250" s="280">
        <f>IF(AC1250="pendiente",AD1250,0)</f>
        <v/>
      </c>
      <c r="AK1250" s="278">
        <f>VLOOKUP(G1250,CLIENTES!B:D,3,FALSE)</f>
        <v/>
      </c>
      <c r="AL1250" s="286" t="n"/>
    </row>
    <row r="1251" ht="15" customFormat="1" customHeight="1" s="278">
      <c r="B1251" s="279" t="n"/>
      <c r="C1251" s="278" t="inlineStr">
        <is>
          <t>c/ Las Cruzadas 3A, local D</t>
        </is>
      </c>
      <c r="D1251" s="278" t="inlineStr">
        <is>
          <t>Sevilla 41004</t>
        </is>
      </c>
      <c r="E1251" s="278" t="inlineStr">
        <is>
          <t>CIF B91938662</t>
        </is>
      </c>
      <c r="F1251" s="278" t="inlineStr">
        <is>
          <t>aBalados@abalados.es</t>
        </is>
      </c>
      <c r="G1251" s="278" t="inlineStr">
        <is>
          <t>Gazules Renovables, S.L.</t>
        </is>
      </c>
      <c r="H1251" s="278">
        <f>VLOOKUP($G1251,DATOS!$B:$E,2,FALSE)</f>
        <v/>
      </c>
      <c r="I1251" s="278">
        <f>VLOOKUP($G1251,DATOS!$B:$E,3,FALSE)</f>
        <v/>
      </c>
      <c r="J1251" s="278">
        <f>VLOOKUP($G1251,DATOS!$B:$E,4,FALSE)</f>
        <v/>
      </c>
      <c r="K1251" s="278" t="inlineStr">
        <is>
          <t>Contrato de Asset Management - Subestación Gazules</t>
        </is>
      </c>
      <c r="L1251" s="280" t="n"/>
      <c r="N1251" s="280" t="n"/>
      <c r="O1251" s="278" t="inlineStr">
        <is>
          <t>Fee Trimestral - 1Abril/30Junio 2022</t>
        </is>
      </c>
      <c r="P1251" s="280">
        <f>1200*3</f>
        <v/>
      </c>
      <c r="R1251" s="280" t="n"/>
      <c r="T1251" s="280" t="n"/>
      <c r="V1251" s="280" t="n"/>
      <c r="X1251" s="280" t="n"/>
      <c r="Z1251" s="280" t="n"/>
      <c r="AA1251" s="280" t="n"/>
      <c r="AB1251" s="281" t="inlineStr">
        <is>
          <t>ES11 0081 7069 2700 0122 7724</t>
        </is>
      </c>
      <c r="AC1251" s="278" t="inlineStr">
        <is>
          <t>pendiente</t>
        </is>
      </c>
      <c r="AD1251" s="280">
        <f>L1251+N1251+P1251+R1251+T1251+V1251+X1251+Z1251</f>
        <v/>
      </c>
      <c r="AE1251" s="280">
        <f>IF((LEFT(K1251,6))="Contab",L1251,0)</f>
        <v/>
      </c>
      <c r="AF1251" s="281">
        <f>VLOOKUP(G1251,CLIENTES!B:E,4,FALSE)</f>
        <v/>
      </c>
      <c r="AG1251" s="280">
        <f>AF1251*AE1251</f>
        <v/>
      </c>
      <c r="AH1251" s="280">
        <f>AD1251*1.21</f>
        <v/>
      </c>
      <c r="AI1251" s="284">
        <f>IF(AE1251&lt;&gt;0,AG1251/AD1251,"N/A")</f>
        <v/>
      </c>
      <c r="AJ1251" s="280">
        <f>IF(AC1251="pendiente",AD1251,0)</f>
        <v/>
      </c>
      <c r="AK1251" s="278">
        <f>VLOOKUP(G1251,CLIENTES!B:D,3,FALSE)</f>
        <v/>
      </c>
    </row>
    <row r="1252" ht="15" customFormat="1" customHeight="1" s="278">
      <c r="B1252" s="279" t="n"/>
      <c r="C1252" s="278" t="inlineStr">
        <is>
          <t>c/ Las Cruzadas 3A, local D</t>
        </is>
      </c>
      <c r="D1252" s="278" t="inlineStr">
        <is>
          <t>Sevilla 41004</t>
        </is>
      </c>
      <c r="E1252" s="278" t="inlineStr">
        <is>
          <t>CIF B91938662</t>
        </is>
      </c>
      <c r="F1252" s="278" t="inlineStr">
        <is>
          <t>aBalados@abalados.es</t>
        </is>
      </c>
      <c r="G1252" s="278" t="inlineStr">
        <is>
          <t>Evacuación Tordesillas 400 kV, S.L.</t>
        </is>
      </c>
      <c r="H1252" s="278">
        <f>VLOOKUP($G1252,DATOS!$B:$E,2,FALSE)</f>
        <v/>
      </c>
      <c r="I1252" s="278">
        <f>VLOOKUP($G1252,DATOS!$B:$E,3,FALSE)</f>
        <v/>
      </c>
      <c r="J1252" s="278">
        <f>VLOOKUP($G1252,DATOS!$B:$E,4,FALSE)</f>
        <v/>
      </c>
      <c r="K1252" s="278" t="inlineStr">
        <is>
          <t>Contrato de Asset Management - LAAT T2 (Tordesillas)</t>
        </is>
      </c>
      <c r="L1252" s="280" t="n"/>
      <c r="N1252" s="280" t="n"/>
      <c r="O1252" s="278" t="inlineStr">
        <is>
          <t>Fee Trimestral - 1Abril/30Junio 2022</t>
        </is>
      </c>
      <c r="P1252" s="280">
        <f>1200*3</f>
        <v/>
      </c>
      <c r="R1252" s="280" t="n"/>
      <c r="T1252" s="280" t="n"/>
      <c r="V1252" s="280" t="n"/>
      <c r="X1252" s="280" t="n"/>
      <c r="Z1252" s="280" t="n"/>
      <c r="AA1252" s="280" t="n"/>
      <c r="AB1252" s="281" t="inlineStr">
        <is>
          <t>ES11 0081 7069 2700 0122 7724</t>
        </is>
      </c>
      <c r="AC1252" s="278" t="inlineStr">
        <is>
          <t>pendiente</t>
        </is>
      </c>
      <c r="AD1252" s="280">
        <f>L1252+N1252+P1252+R1252+T1252+V1252+X1252+Z1252</f>
        <v/>
      </c>
      <c r="AE1252" s="280">
        <f>IF((LEFT(K1252,6))="Contab",L1252,0)</f>
        <v/>
      </c>
      <c r="AF1252" s="281">
        <f>VLOOKUP(G1252,CLIENTES!B:E,4,FALSE)</f>
        <v/>
      </c>
      <c r="AG1252" s="280">
        <f>AF1252*AE1252</f>
        <v/>
      </c>
      <c r="AH1252" s="280">
        <f>AD1252*1.21</f>
        <v/>
      </c>
      <c r="AI1252" s="284">
        <f>IF(AE1252&lt;&gt;0,AG1252/AD1252,"N/A")</f>
        <v/>
      </c>
      <c r="AJ1252" s="280">
        <f>IF(AC1252="pendiente",AD1252,0)</f>
        <v/>
      </c>
      <c r="AK1252" s="278">
        <f>VLOOKUP(G1252,CLIENTES!B:D,3,FALSE)</f>
        <v/>
      </c>
    </row>
    <row r="1253" ht="15" customFormat="1" customHeight="1" s="278">
      <c r="B1253" s="279" t="n"/>
      <c r="C1253" s="278" t="inlineStr">
        <is>
          <t>c/ Las Cruzadas 3A, local D</t>
        </is>
      </c>
      <c r="D1253" s="278" t="inlineStr">
        <is>
          <t>Sevilla 41004</t>
        </is>
      </c>
      <c r="E1253" s="278" t="inlineStr">
        <is>
          <t>CIF B91938662</t>
        </is>
      </c>
      <c r="F1253" s="278" t="inlineStr">
        <is>
          <t>aBalados@abalados.es</t>
        </is>
      </c>
      <c r="G1253" s="278" t="inlineStr">
        <is>
          <t>Energías Limpias de Carmona, S.L.</t>
        </is>
      </c>
      <c r="H1253" s="278">
        <f>VLOOKUP($G1253,DATOS!$B:$E,2,FALSE)</f>
        <v/>
      </c>
      <c r="I1253" s="278">
        <f>VLOOKUP($G1253,DATOS!$B:$E,3,FALSE)</f>
        <v/>
      </c>
      <c r="J1253" s="278">
        <f>VLOOKUP($G1253,DATOS!$B:$E,4,FALSE)</f>
        <v/>
      </c>
      <c r="K1253" s="278" t="inlineStr">
        <is>
          <t>Contrato de Asset Management - Subestación Carmona220</t>
        </is>
      </c>
      <c r="L1253" s="280" t="n"/>
      <c r="N1253" s="280" t="n"/>
      <c r="O1253" s="278" t="inlineStr">
        <is>
          <t>Fee Trimestral - 1Abril/30Junio 2022</t>
        </is>
      </c>
      <c r="P1253" s="280">
        <f>1250*3</f>
        <v/>
      </c>
      <c r="R1253" s="280" t="n"/>
      <c r="T1253" s="280" t="n"/>
      <c r="V1253" s="280" t="n"/>
      <c r="X1253" s="280" t="n"/>
      <c r="Z1253" s="280" t="n"/>
      <c r="AA1253" s="280" t="n"/>
      <c r="AB1253" s="281" t="inlineStr">
        <is>
          <t>ES11 0081 7069 2700 0122 7724</t>
        </is>
      </c>
      <c r="AC1253" s="278" t="inlineStr">
        <is>
          <t>pendiente</t>
        </is>
      </c>
      <c r="AD1253" s="280">
        <f>L1253+N1253+P1253+R1253+T1253+V1253+X1253+Z1253</f>
        <v/>
      </c>
      <c r="AE1253" s="280">
        <f>IF((LEFT(K1253,6))="Contab",L1253,0)</f>
        <v/>
      </c>
      <c r="AF1253" s="281">
        <f>VLOOKUP(G1253,CLIENTES!B:E,4,FALSE)</f>
        <v/>
      </c>
      <c r="AG1253" s="280">
        <f>AF1253*AE1253</f>
        <v/>
      </c>
      <c r="AH1253" s="280">
        <f>AD1253*1.21</f>
        <v/>
      </c>
      <c r="AI1253" s="284">
        <f>IF(AE1253&lt;&gt;0,AG1253/AD1253,"N/A")</f>
        <v/>
      </c>
      <c r="AJ1253" s="280">
        <f>IF(AC1253="pendiente",AD1253,0)</f>
        <v/>
      </c>
      <c r="AK1253" s="278">
        <f>VLOOKUP(G1253,CLIENTES!B:D,3,FALSE)</f>
        <v/>
      </c>
    </row>
    <row r="1254" ht="15" customFormat="1" customHeight="1" s="278">
      <c r="B1254" s="279" t="n"/>
      <c r="C1254" s="278" t="inlineStr">
        <is>
          <t>c/ Las Cruzadas 3A, local D</t>
        </is>
      </c>
      <c r="D1254" s="278" t="inlineStr">
        <is>
          <t>Sevilla 41004</t>
        </is>
      </c>
      <c r="E1254" s="278" t="inlineStr">
        <is>
          <t>CIF B91938662</t>
        </is>
      </c>
      <c r="F1254" s="278" t="inlineStr">
        <is>
          <t>aBalados@abalados.es</t>
        </is>
      </c>
      <c r="G1254" s="278" t="inlineStr">
        <is>
          <t>LAAT 132 kV Doble Circuito-Tordesillas 400 kV, S.L.</t>
        </is>
      </c>
      <c r="H1254" s="278">
        <f>VLOOKUP($G1254,DATOS!$B:$E,2,FALSE)</f>
        <v/>
      </c>
      <c r="I1254" s="278">
        <f>VLOOKUP($G1254,DATOS!$B:$E,3,FALSE)</f>
        <v/>
      </c>
      <c r="J1254" s="278">
        <f>VLOOKUP($G1254,DATOS!$B:$E,4,FALSE)</f>
        <v/>
      </c>
      <c r="K1254" s="278" t="inlineStr">
        <is>
          <t>Contrato de Asset Management - LAAT T3 (Tordesillas)</t>
        </is>
      </c>
      <c r="L1254" s="280" t="n"/>
      <c r="N1254" s="280" t="n"/>
      <c r="O1254" s="278" t="inlineStr">
        <is>
          <t>Fee Trimestral - 1Abril/30Junio 2022</t>
        </is>
      </c>
      <c r="P1254" s="280">
        <f>1200*3</f>
        <v/>
      </c>
      <c r="R1254" s="280" t="n"/>
      <c r="T1254" s="280" t="n"/>
      <c r="V1254" s="280" t="n"/>
      <c r="X1254" s="280" t="n"/>
      <c r="Z1254" s="280" t="n"/>
      <c r="AA1254" s="280" t="n"/>
      <c r="AB1254" s="281" t="inlineStr">
        <is>
          <t>ES11 0081 7069 2700 0122 7724</t>
        </is>
      </c>
      <c r="AC1254" s="278" t="inlineStr">
        <is>
          <t>pendiente</t>
        </is>
      </c>
      <c r="AD1254" s="280">
        <f>L1254+N1254+P1254+R1254+T1254+V1254+X1254+Z1254</f>
        <v/>
      </c>
      <c r="AE1254" s="280">
        <f>IF((LEFT(K1254,6))="Contab",L1254,0)</f>
        <v/>
      </c>
      <c r="AF1254" s="281">
        <f>VLOOKUP(G1254,CLIENTES!B:E,4,FALSE)</f>
        <v/>
      </c>
      <c r="AG1254" s="280">
        <f>AF1254*AE1254</f>
        <v/>
      </c>
      <c r="AH1254" s="280">
        <f>AD1254*1.21</f>
        <v/>
      </c>
      <c r="AI1254" s="284">
        <f>IF(AE1254&lt;&gt;0,AG1254/AD1254,"N/A")</f>
        <v/>
      </c>
      <c r="AJ1254" s="280">
        <f>IF(AC1254="pendiente",AD1254,0)</f>
        <v/>
      </c>
      <c r="AK1254" s="278">
        <f>VLOOKUP(G1254,CLIENTES!B:D,3,FALSE)</f>
        <v/>
      </c>
    </row>
    <row r="1255" ht="15" customFormat="1" customHeight="1" s="278">
      <c r="B1255" s="279" t="n"/>
      <c r="C1255" s="278" t="inlineStr">
        <is>
          <t>c/ Las Cruzadas 3A, local D</t>
        </is>
      </c>
      <c r="D1255" s="278" t="inlineStr">
        <is>
          <t>Sevilla 41004</t>
        </is>
      </c>
      <c r="E1255" s="278" t="inlineStr">
        <is>
          <t>CIF B91938662</t>
        </is>
      </c>
      <c r="G1255" s="278" t="inlineStr">
        <is>
          <t>SET Carmona 400 kV Renovables, S.L.</t>
        </is>
      </c>
      <c r="H1255" s="278">
        <f>VLOOKUP($G1255,DATOS!$B:$E,2,FALSE)</f>
        <v/>
      </c>
      <c r="I1255" s="278">
        <f>VLOOKUP($G1255,DATOS!$B:$E,3,FALSE)</f>
        <v/>
      </c>
      <c r="J1255" s="278">
        <f>VLOOKUP($G1255,DATOS!$B:$E,4,FALSE)</f>
        <v/>
      </c>
      <c r="K1255" s="278" t="inlineStr">
        <is>
          <t>Contrato de Asset Management - Subestación Carmona400</t>
        </is>
      </c>
      <c r="L1255" s="280" t="n"/>
      <c r="N1255" s="280" t="n"/>
      <c r="O1255" s="278" t="inlineStr">
        <is>
          <t>Fee Trimestral - Inicio contrato (8Febrero 2022) / 30Junio 2022</t>
        </is>
      </c>
      <c r="P1255" s="280">
        <f>(1250*21/28+1250) + 1250*3</f>
        <v/>
      </c>
      <c r="R1255" s="280" t="n"/>
      <c r="T1255" s="280" t="n"/>
      <c r="V1255" s="280" t="n"/>
      <c r="X1255" s="280" t="n"/>
      <c r="Z1255" s="280" t="n"/>
      <c r="AA1255" s="280" t="n"/>
      <c r="AB1255" s="281" t="inlineStr">
        <is>
          <t>ES11 0081 7069 2700 0122 7724</t>
        </is>
      </c>
      <c r="AC1255" s="278" t="inlineStr">
        <is>
          <t>pendiente</t>
        </is>
      </c>
      <c r="AD1255" s="280">
        <f>L1255+N1255+P1255+R1255+T1255+V1255+X1255+Z1255</f>
        <v/>
      </c>
      <c r="AE1255" s="280">
        <f>IF((LEFT(K1255,6))="Contab",L1255,0)</f>
        <v/>
      </c>
      <c r="AF1255" s="281">
        <f>VLOOKUP(G1255,CLIENTES!B:E,4,FALSE)</f>
        <v/>
      </c>
      <c r="AG1255" s="280">
        <f>AF1255*AE1255</f>
        <v/>
      </c>
      <c r="AH1255" s="280">
        <f>AD1255*1.21</f>
        <v/>
      </c>
      <c r="AI1255" s="284">
        <f>IF(AE1255&lt;&gt;0,AG1255/AD1255,"N/A")</f>
        <v/>
      </c>
      <c r="AJ1255" s="280">
        <f>IF(AC1255="pendiente",AD1255,0)</f>
        <v/>
      </c>
      <c r="AK1255" s="278">
        <f>VLOOKUP(G1255,CLIENTES!B:D,3,FALSE)</f>
        <v/>
      </c>
    </row>
    <row r="1256" ht="15" customFormat="1" customHeight="1" s="192">
      <c r="B1256" s="199" t="n"/>
      <c r="C1256" s="192" t="inlineStr">
        <is>
          <t>c/ Las Cruzadas 3A, local D</t>
        </is>
      </c>
      <c r="D1256" s="192" t="inlineStr">
        <is>
          <t>Sevilla 41004</t>
        </is>
      </c>
      <c r="E1256" s="192" t="inlineStr">
        <is>
          <t>CIF B91938662</t>
        </is>
      </c>
      <c r="G1256" s="192" t="inlineStr">
        <is>
          <t>Evacuación Carmona 400-220 kV Renovables, S.L.</t>
        </is>
      </c>
      <c r="H1256" s="192">
        <f>VLOOKUP($G1256,DATOS!$B:$E,2,FALSE)</f>
        <v/>
      </c>
      <c r="I1256" s="192">
        <f>VLOOKUP($G1256,DATOS!$B:$E,3,FALSE)</f>
        <v/>
      </c>
      <c r="J1256" s="192">
        <f>VLOOKUP($G1256,DATOS!$B:$E,4,FALSE)</f>
        <v/>
      </c>
      <c r="K1256" s="192" t="inlineStr">
        <is>
          <t>Contrato de Asset Management - LAAT 220/400kV</t>
        </is>
      </c>
      <c r="L1256" s="200" t="n"/>
      <c r="N1256" s="200" t="n"/>
      <c r="O1256" s="192" t="inlineStr">
        <is>
          <t>Fee Trimestral - Inicio contrato (25Enero 2022) / 30Junio 2022</t>
        </is>
      </c>
      <c r="P1256" s="200">
        <f>(1200*7/31 + 1200*2) + 1200*3</f>
        <v/>
      </c>
      <c r="R1256" s="200" t="n"/>
      <c r="T1256" s="200" t="n"/>
      <c r="V1256" s="200" t="n"/>
      <c r="X1256" s="200" t="n"/>
      <c r="Z1256" s="200" t="n"/>
      <c r="AA1256" s="200" t="n"/>
      <c r="AB1256" s="201" t="inlineStr">
        <is>
          <t>ES11 0081 7069 2700 0122 7724</t>
        </is>
      </c>
      <c r="AC1256" s="192" t="inlineStr">
        <is>
          <t>pendiente</t>
        </is>
      </c>
      <c r="AD1256" s="200">
        <f>L1256+N1256+P1256+R1256+T1256+V1256+X1256+Z1256</f>
        <v/>
      </c>
      <c r="AE1256" s="200">
        <f>IF((LEFT(K1256,6))="Contab",L1256,0)</f>
        <v/>
      </c>
      <c r="AF1256" s="201">
        <f>VLOOKUP(G1256,CLIENTES!B:E,4,FALSE)</f>
        <v/>
      </c>
      <c r="AG1256" s="200">
        <f>AF1256*AE1256</f>
        <v/>
      </c>
      <c r="AH1256" s="200">
        <f>AD1256*1.21</f>
        <v/>
      </c>
      <c r="AI1256" s="283">
        <f>IF(AE1256&lt;&gt;0,AG1256/AD1256,"N/A")</f>
        <v/>
      </c>
      <c r="AJ1256" s="200">
        <f>IF(AC1256="pendiente",AD1256,0)</f>
        <v/>
      </c>
      <c r="AK1256" s="192">
        <f>VLOOKUP(G1256,CLIENTES!B:D,3,FALSE)</f>
        <v/>
      </c>
    </row>
    <row r="1257" ht="15" customFormat="1" customHeight="1" s="192">
      <c r="B1257" s="199" t="n"/>
      <c r="C1257" s="192" t="inlineStr">
        <is>
          <t>c/ Las Cruzadas 3A, local D</t>
        </is>
      </c>
      <c r="D1257" s="192" t="inlineStr">
        <is>
          <t>Sevilla 41004</t>
        </is>
      </c>
      <c r="E1257" s="192" t="inlineStr">
        <is>
          <t>CIF B91938662</t>
        </is>
      </c>
      <c r="F1257" s="192" t="inlineStr">
        <is>
          <t>aBalados@abalados.es</t>
        </is>
      </c>
      <c r="G1257" s="192" t="inlineStr">
        <is>
          <t>China Triumph International Engineering Co., LTD EP EN SPAIN</t>
        </is>
      </c>
      <c r="H1257" s="192">
        <f>VLOOKUP($G1257,DATOS!$B:$E,2,FALSE)</f>
        <v/>
      </c>
      <c r="I1257" s="192">
        <f>VLOOKUP($G1257,DATOS!$B:$E,3,FALSE)</f>
        <v/>
      </c>
      <c r="J1257" s="192">
        <f>VLOOKUP($G1257,DATOS!$B:$E,4,FALSE)</f>
        <v/>
      </c>
      <c r="K1257" s="192" t="inlineStr">
        <is>
          <t>O&amp;M Supervision and Management</t>
        </is>
      </c>
      <c r="L1257" s="200" t="n"/>
      <c r="N1257" s="200" t="n"/>
      <c r="O1257" s="192" t="inlineStr">
        <is>
          <t>Puerto Real 1 PV - Cádiz | Spain</t>
        </is>
      </c>
      <c r="P1257" s="200" t="n">
        <v>15430</v>
      </c>
      <c r="Q1257" s="192" t="inlineStr">
        <is>
          <t>O&amp;M Management services provided on June 2022</t>
        </is>
      </c>
      <c r="R1257" s="200" t="n"/>
      <c r="T1257" s="200" t="n"/>
      <c r="V1257" s="200" t="n"/>
      <c r="X1257" s="200" t="n"/>
      <c r="Z1257" s="200" t="n"/>
      <c r="AA1257" s="200" t="n"/>
      <c r="AB1257" s="201" t="inlineStr">
        <is>
          <t>ES11 0081 7069 2700 0122 7724</t>
        </is>
      </c>
      <c r="AC1257" s="192" t="inlineStr">
        <is>
          <t>pendiente</t>
        </is>
      </c>
      <c r="AD1257" s="200">
        <f>L1257+N1257+P1257+R1257+T1257+V1257+X1257+Z1257</f>
        <v/>
      </c>
      <c r="AE1257" s="200">
        <f>IF((LEFT(K1257,6))="Contab",L1257,0)</f>
        <v/>
      </c>
      <c r="AF1257" s="201">
        <f>VLOOKUP(G1257,CLIENTES!B:E,4,FALSE)</f>
        <v/>
      </c>
      <c r="AG1257" s="200">
        <f>AF1257*AE1257</f>
        <v/>
      </c>
      <c r="AH1257" s="200">
        <f>AD1257*1.21</f>
        <v/>
      </c>
      <c r="AI1257" s="283">
        <f>IF(AE1257&lt;&gt;0,AG1257/AD1257,"N/A")</f>
        <v/>
      </c>
      <c r="AJ1257" s="200">
        <f>IF(AC1257="pendiente",AD1257,0)</f>
        <v/>
      </c>
      <c r="AK1257" s="192">
        <f>VLOOKUP(G1257,CLIENTES!B:D,3,FALSE)</f>
        <v/>
      </c>
    </row>
    <row r="1258" ht="15" customFormat="1" customHeight="1" s="195">
      <c r="B1258" s="194" t="n"/>
      <c r="C1258" s="195" t="inlineStr">
        <is>
          <t>c/ Las Cruzadas 3A, local D</t>
        </is>
      </c>
      <c r="D1258" s="195" t="inlineStr">
        <is>
          <t>Sevilla 41004</t>
        </is>
      </c>
      <c r="E1258" s="195" t="inlineStr">
        <is>
          <t>CIF B91938662</t>
        </is>
      </c>
      <c r="F1258" s="195" t="inlineStr">
        <is>
          <t>aBalados@abalados.es</t>
        </is>
      </c>
      <c r="G1258" s="195" t="inlineStr">
        <is>
          <t>FP LUX REIO PV ZARAGOZA SL.</t>
        </is>
      </c>
      <c r="H1258" s="195">
        <f>VLOOKUP($G1258,DATOS!$B:$E,2,FALSE)</f>
        <v/>
      </c>
      <c r="I1258" s="195">
        <f>VLOOKUP($G1258,DATOS!$B:$E,3,FALSE)</f>
        <v/>
      </c>
      <c r="J1258" s="195">
        <f>VLOOKUP($G1258,DATOS!$B:$E,4,FALSE)</f>
        <v/>
      </c>
      <c r="K1258" s="195" t="inlineStr">
        <is>
          <t>Proyecto El Marqués - Zaragoza</t>
        </is>
      </c>
      <c r="L1258" s="196" t="n"/>
      <c r="M1258" s="195" t="inlineStr">
        <is>
          <t>Asset Management fee - 3nd quarter 2022</t>
        </is>
      </c>
      <c r="N1258" s="196">
        <f>'Tarifa 2025'!$D$25/4</f>
        <v/>
      </c>
      <c r="O1258" s="195" t="inlineStr">
        <is>
          <t>Honorarios de gestión de activo - 3º trimestre</t>
        </is>
      </c>
      <c r="P1258" s="196" t="n"/>
      <c r="Q1258" s="195" t="inlineStr">
        <is>
          <t>Se aplica nueva tarifa</t>
        </is>
      </c>
      <c r="R1258" s="196" t="n"/>
      <c r="T1258" s="196" t="n"/>
      <c r="V1258" s="196" t="n"/>
      <c r="X1258" s="196" t="n"/>
      <c r="Z1258" s="196" t="n"/>
      <c r="AA1258" s="196" t="n"/>
      <c r="AB1258" s="197" t="inlineStr">
        <is>
          <t>ES11 0081 7069 2700 0122 7724</t>
        </is>
      </c>
      <c r="AC1258" s="195" t="inlineStr">
        <is>
          <t>pendiente</t>
        </is>
      </c>
      <c r="AD1258" s="196">
        <f>L1258+N1258+P1258+R1258+T1258+V1258+X1258+Z1258</f>
        <v/>
      </c>
      <c r="AE1258" s="196">
        <f>IF((LEFT(K1258,6))="Contab",L1258,0)</f>
        <v/>
      </c>
      <c r="AF1258" s="197">
        <f>VLOOKUP(G1258,CLIENTES!B:E,4,FALSE)</f>
        <v/>
      </c>
      <c r="AG1258" s="196">
        <f>AF1258*AE1258</f>
        <v/>
      </c>
      <c r="AH1258" s="196">
        <f>AD1258*1.21</f>
        <v/>
      </c>
      <c r="AI1258" s="198">
        <f>IF(AE1258&lt;&gt;0,AG1258/AD1258,"N/A")</f>
        <v/>
      </c>
      <c r="AJ1258" s="196">
        <f>IF(AC1258="pendiente",AD1258,0)</f>
        <v/>
      </c>
      <c r="AK1258" s="195">
        <f>VLOOKUP(G1258,CLIENTES!B:D,3,FALSE)</f>
        <v/>
      </c>
    </row>
    <row r="1259" ht="15" customFormat="1" customHeight="1" s="278">
      <c r="B1259" s="279" t="n"/>
      <c r="C1259" s="278" t="inlineStr">
        <is>
          <t>c/ Las Cruzadas 3A, local D</t>
        </is>
      </c>
      <c r="D1259" s="278" t="inlineStr">
        <is>
          <t>Sevilla 41004</t>
        </is>
      </c>
      <c r="E1259" s="278" t="inlineStr">
        <is>
          <t>CIF B91938662</t>
        </is>
      </c>
      <c r="F1259" s="278" t="inlineStr">
        <is>
          <t>aBalados@abalados.es</t>
        </is>
      </c>
      <c r="G1259" s="278" t="inlineStr">
        <is>
          <t>Inver Generación 1, S.L.</t>
        </is>
      </c>
      <c r="H1259" s="278">
        <f>VLOOKUP($G1259,DATOS!$B:$E,2,FALSE)</f>
        <v/>
      </c>
      <c r="I1259" s="278">
        <f>VLOOKUP($G1259,DATOS!$B:$E,3,FALSE)</f>
        <v/>
      </c>
      <c r="J1259" s="278">
        <f>VLOOKUP($G1259,DATOS!$B:$E,4,FALSE)</f>
        <v/>
      </c>
      <c r="K1259" s="278" t="inlineStr">
        <is>
          <t>Asset Management 3Q2022 | 01.07 - 30.09</t>
        </is>
      </c>
      <c r="L1259" s="280">
        <f>'Tarifa 2025'!$D$29/4</f>
        <v/>
      </c>
      <c r="M1259" s="278" t="inlineStr">
        <is>
          <t>Gestión de Activos 2T2022 | 01.07 - 30.09</t>
        </is>
      </c>
      <c r="N1259" s="280" t="n"/>
      <c r="P1259" s="280" t="n"/>
      <c r="R1259" s="280" t="n"/>
      <c r="T1259" s="280" t="n"/>
      <c r="V1259" s="280" t="n"/>
      <c r="X1259" s="280" t="n"/>
      <c r="Z1259" s="280" t="n"/>
      <c r="AA1259" s="280" t="n"/>
      <c r="AB1259" s="281" t="inlineStr">
        <is>
          <t>ES11 0081 7069 2700 0122 7724</t>
        </is>
      </c>
      <c r="AC1259" s="278" t="inlineStr">
        <is>
          <t>pendiente</t>
        </is>
      </c>
      <c r="AD1259" s="280">
        <f>L1259+N1259+P1259+R1259+T1259+V1259+X1259+Z1259</f>
        <v/>
      </c>
      <c r="AE1259" s="280">
        <f>IF((LEFT(K1259,6))="Contab",L1259,0)</f>
        <v/>
      </c>
      <c r="AF1259" s="281">
        <f>VLOOKUP(G1259,CLIENTES!B:E,4,FALSE)</f>
        <v/>
      </c>
      <c r="AG1259" s="280">
        <f>AF1259*AE1259</f>
        <v/>
      </c>
      <c r="AH1259" s="280">
        <f>AD1259*1.21</f>
        <v/>
      </c>
      <c r="AI1259" s="282">
        <f>IF(AE1259&lt;&gt;0,AG1259/AD1259,"N/A")</f>
        <v/>
      </c>
      <c r="AJ1259" s="280">
        <f>IF(AC1259="pendiente",AD1259,0)</f>
        <v/>
      </c>
      <c r="AK1259" s="278">
        <f>VLOOKUP(G1259,CLIENTES!B:D,3,FALSE)</f>
        <v/>
      </c>
    </row>
    <row r="1260" ht="15" customFormat="1" customHeight="1" s="278">
      <c r="B1260" s="279" t="n"/>
      <c r="C1260" s="278" t="inlineStr">
        <is>
          <t>c/ Las Cruzadas 3A, local D</t>
        </is>
      </c>
      <c r="D1260" s="278" t="inlineStr">
        <is>
          <t>Sevilla 41004</t>
        </is>
      </c>
      <c r="E1260" s="278" t="inlineStr">
        <is>
          <t>CIF B91938662</t>
        </is>
      </c>
      <c r="F1260" s="278" t="inlineStr">
        <is>
          <t>aBalados@abalados.es</t>
        </is>
      </c>
      <c r="G1260" s="278" t="inlineStr">
        <is>
          <t>Soluciones Aeconova S.L.</t>
        </is>
      </c>
      <c r="H1260" s="278">
        <f>VLOOKUP($G1260,DATOS!$B:$E,2,FALSE)</f>
        <v/>
      </c>
      <c r="I1260" s="278">
        <f>VLOOKUP($G1260,DATOS!$B:$E,3,FALSE)</f>
        <v/>
      </c>
      <c r="J1260" s="278">
        <f>VLOOKUP($G1260,DATOS!$B:$E,4,FALSE)</f>
        <v/>
      </c>
      <c r="K1260" s="278" t="inlineStr">
        <is>
          <t>Servicios Contabilidad 3T2022</t>
        </is>
      </c>
      <c r="L1260" s="280" t="n">
        <v>117.42</v>
      </c>
      <c r="M1260" s="278" t="inlineStr">
        <is>
          <t>Corrección factura 2T2022</t>
        </is>
      </c>
      <c r="N1260" s="280">
        <f>117.42-110.25</f>
        <v/>
      </c>
      <c r="P1260" s="280" t="n"/>
      <c r="R1260" s="280" t="n"/>
      <c r="T1260" s="280" t="n"/>
      <c r="V1260" s="280" t="n"/>
      <c r="X1260" s="280" t="n"/>
      <c r="Z1260" s="280" t="n"/>
      <c r="AA1260" s="280" t="n"/>
      <c r="AB1260" s="281" t="inlineStr">
        <is>
          <t>ES11 0081 7069 2700 0122 7724</t>
        </is>
      </c>
      <c r="AC1260" s="278" t="inlineStr">
        <is>
          <t>pendiente</t>
        </is>
      </c>
      <c r="AD1260" s="280">
        <f>L1260+N1260+P1260+R1260+T1260+V1260+X1260+Z1260</f>
        <v/>
      </c>
      <c r="AE1260" s="280">
        <f>IF((LEFT(K1260,6))="Contab",L1260,0)</f>
        <v/>
      </c>
      <c r="AF1260" s="281">
        <f>VLOOKUP(G1260,CLIENTES!B:E,4,FALSE)</f>
        <v/>
      </c>
      <c r="AG1260" s="280">
        <f>AF1260*AE1260</f>
        <v/>
      </c>
      <c r="AH1260" s="280">
        <f>AD1260*1.21</f>
        <v/>
      </c>
      <c r="AI1260" s="282">
        <f>IF(AE1260&lt;&gt;0,AG1260/AD1260,"N/A")</f>
        <v/>
      </c>
      <c r="AJ1260" s="280">
        <f>IF(AC1260="pendiente",AD1260,0)</f>
        <v/>
      </c>
      <c r="AK1260" s="278">
        <f>VLOOKUP(G1260,CLIENTES!B:D,3,FALSE)</f>
        <v/>
      </c>
    </row>
    <row r="1261" ht="15" customFormat="1" customHeight="1" s="195">
      <c r="B1261" s="194" t="n"/>
      <c r="C1261" s="195" t="inlineStr">
        <is>
          <t>c/ Las Cruzadas 3A, local D</t>
        </is>
      </c>
      <c r="D1261" s="195" t="inlineStr">
        <is>
          <t>Sevilla 41004</t>
        </is>
      </c>
      <c r="E1261" s="195" t="inlineStr">
        <is>
          <t>CIF B91938662</t>
        </is>
      </c>
      <c r="F1261" s="195" t="inlineStr">
        <is>
          <t>aBalados@abalados.es</t>
        </is>
      </c>
      <c r="G1261" s="195" t="inlineStr">
        <is>
          <t>FP LUX REIO PV ZARAGOZA SL.</t>
        </is>
      </c>
      <c r="H1261" s="195">
        <f>VLOOKUP($G1261,DATOS!$B:$E,2,FALSE)</f>
        <v/>
      </c>
      <c r="I1261" s="195">
        <f>VLOOKUP($G1261,DATOS!$B:$E,3,FALSE)</f>
        <v/>
      </c>
      <c r="J1261" s="195">
        <f>VLOOKUP($G1261,DATOS!$B:$E,4,FALSE)</f>
        <v/>
      </c>
      <c r="K1261" s="195" t="inlineStr">
        <is>
          <t>Proyecto El Marqués - Zaragoza</t>
        </is>
      </c>
      <c r="L1261" s="196" t="n"/>
      <c r="M1261" s="195" t="inlineStr">
        <is>
          <t>Refacturación Servicios y/o suministros</t>
        </is>
      </c>
      <c r="N1261" s="196" t="n"/>
      <c r="O1261" s="195" t="inlineStr">
        <is>
          <t>Invoicing of additional supplies and/or services</t>
        </is>
      </c>
      <c r="P1261" s="196" t="n"/>
      <c r="Q1261" s="195" t="inlineStr">
        <is>
          <t>Transport of trackers tapes</t>
        </is>
      </c>
      <c r="R1261" s="196" t="n">
        <v>180</v>
      </c>
      <c r="S1261" s="195" t="inlineStr">
        <is>
          <t>UPS for TCU</t>
        </is>
      </c>
      <c r="T1261" s="196" t="n">
        <v>173.52</v>
      </c>
      <c r="U1261" s="195" t="inlineStr">
        <is>
          <t>Monitoring of windscreen installation works</t>
        </is>
      </c>
      <c r="V1261" s="196" t="n">
        <v>800</v>
      </c>
      <c r="W1261" s="195" t="inlineStr">
        <is>
          <t>Torque screwdriver</t>
        </is>
      </c>
      <c r="X1261" s="196" t="n">
        <v>103.55</v>
      </c>
      <c r="Z1261" s="196" t="n"/>
      <c r="AA1261" s="196" t="n"/>
      <c r="AB1261" s="197" t="inlineStr">
        <is>
          <t>ES11 0081 7069 2700 0122 7724</t>
        </is>
      </c>
      <c r="AC1261" s="195" t="inlineStr">
        <is>
          <t>pendiente</t>
        </is>
      </c>
      <c r="AD1261" s="196">
        <f>L1261+N1261+P1261+R1261+T1261+V1261+X1261+Z1261</f>
        <v/>
      </c>
      <c r="AE1261" s="196">
        <f>IF((LEFT(K1261,6))="Contab",L1261,0)</f>
        <v/>
      </c>
      <c r="AF1261" s="197">
        <f>VLOOKUP(G1261,CLIENTES!B:E,4,FALSE)</f>
        <v/>
      </c>
      <c r="AG1261" s="196">
        <f>AF1261*AE1261</f>
        <v/>
      </c>
      <c r="AH1261" s="196">
        <f>AD1261*1.21</f>
        <v/>
      </c>
      <c r="AI1261" s="198">
        <f>IF(AE1261&lt;&gt;0,AG1261/AD1261,"N/A")</f>
        <v/>
      </c>
      <c r="AJ1261" s="196">
        <f>IF(AC1261="pendiente",AD1261,0)</f>
        <v/>
      </c>
      <c r="AK1261" s="195">
        <f>VLOOKUP(G1261,CLIENTES!B:D,3,FALSE)</f>
        <v/>
      </c>
    </row>
    <row r="1262" ht="15" customFormat="1" customHeight="1" s="189">
      <c r="B1262" s="188" t="n"/>
      <c r="C1262" s="189" t="inlineStr">
        <is>
          <t>c/ Las Cruzadas 3A, local D</t>
        </is>
      </c>
      <c r="D1262" s="189" t="inlineStr">
        <is>
          <t>Sevilla 41004</t>
        </is>
      </c>
      <c r="E1262" s="189" t="inlineStr">
        <is>
          <t>CIF B91938662</t>
        </is>
      </c>
      <c r="F1262" s="189" t="inlineStr">
        <is>
          <t>aBalados@abalados.es</t>
        </is>
      </c>
      <c r="G1262" s="189" t="inlineStr">
        <is>
          <t>Novasol Invest La Isla, S.L.U</t>
        </is>
      </c>
      <c r="H1262" s="189">
        <f>VLOOKUP($G1262,DATOS!$B:$E,2,FALSE)</f>
        <v/>
      </c>
      <c r="I1262" s="189">
        <f>VLOOKUP($G1262,DATOS!$B:$E,3,FALSE)</f>
        <v/>
      </c>
      <c r="J1262" s="189">
        <f>VLOOKUP($G1262,DATOS!$B:$E,4,FALSE)</f>
        <v/>
      </c>
      <c r="K1262" s="189" t="inlineStr">
        <is>
          <t>Proyecto La Isla</t>
        </is>
      </c>
      <c r="L1262" s="190" t="n"/>
      <c r="M1262" s="189" t="inlineStr">
        <is>
          <t>Refacturación equipo informático de planta</t>
        </is>
      </c>
      <c r="N1262" s="190" t="n">
        <v>280.45</v>
      </c>
      <c r="P1262" s="190" t="n"/>
      <c r="R1262" s="190" t="n"/>
      <c r="T1262" s="190" t="n"/>
      <c r="V1262" s="190" t="n"/>
      <c r="X1262" s="190" t="n"/>
      <c r="Z1262" s="190" t="n"/>
      <c r="AA1262" s="190" t="n"/>
      <c r="AB1262" s="191" t="inlineStr">
        <is>
          <t>ES11 0081 7069 2700 0122 7724</t>
        </is>
      </c>
      <c r="AC1262" s="189" t="inlineStr">
        <is>
          <t>pendiente</t>
        </is>
      </c>
      <c r="AD1262" s="190">
        <f>L1262+N1262+P1262+R1262+T1262+V1262+X1262+Z1262</f>
        <v/>
      </c>
      <c r="AE1262" s="190">
        <f>IF((LEFT(K1262,6))="Contab",L1262,0)</f>
        <v/>
      </c>
      <c r="AF1262" s="191">
        <f>VLOOKUP(G1262,CLIENTES!B:E,4,FALSE)</f>
        <v/>
      </c>
      <c r="AG1262" s="190">
        <f>AF1262*AE1262</f>
        <v/>
      </c>
      <c r="AH1262" s="190">
        <f>AD1262*1.21</f>
        <v/>
      </c>
      <c r="AI1262" s="193">
        <f>IF(AE1262&lt;&gt;0,AG1262/AD1262,"N/A")</f>
        <v/>
      </c>
      <c r="AJ1262" s="190">
        <f>IF(AC1262="pendiente",AD1262,0)</f>
        <v/>
      </c>
      <c r="AK1262" s="189">
        <f>VLOOKUP(G1262,CLIENTES!B:D,3,FALSE)</f>
        <v/>
      </c>
    </row>
    <row r="1263" ht="15" customFormat="1" customHeight="1" s="278">
      <c r="B1263" s="279" t="n"/>
      <c r="C1263" s="278" t="inlineStr">
        <is>
          <t>c/ Las Cruzadas 3A, local D</t>
        </is>
      </c>
      <c r="D1263" s="278" t="inlineStr">
        <is>
          <t>Sevilla 41004</t>
        </is>
      </c>
      <c r="E1263" s="278" t="inlineStr">
        <is>
          <t>CIF B91938662</t>
        </is>
      </c>
      <c r="F1263" s="278" t="inlineStr">
        <is>
          <t>aBalados@abalados.es</t>
        </is>
      </c>
      <c r="G1263" s="278" t="inlineStr">
        <is>
          <t>Dehesa Asomadilla Inversiones S.L.U.</t>
        </is>
      </c>
      <c r="H1263" s="278">
        <f>VLOOKUP($G1263,DATOS!$B:$E,2,FALSE)</f>
        <v/>
      </c>
      <c r="I1263" s="278">
        <f>VLOOKUP($G1263,DATOS!$B:$E,3,FALSE)</f>
        <v/>
      </c>
      <c r="J1263" s="278">
        <f>VLOOKUP($G1263,DATOS!$B:$E,4,FALSE)</f>
        <v/>
      </c>
      <c r="K1263" s="278" t="inlineStr">
        <is>
          <t>Contabilidad y Fiscalidad de proyecto Valverde - 3º Trimestre</t>
        </is>
      </c>
      <c r="L1263" s="280">
        <f>'Tarifa 2025'!$D$5/4</f>
        <v/>
      </c>
      <c r="M1263" s="278" t="inlineStr">
        <is>
          <t>SPV Management  Proyecto Valverde - 3º Trimestre</t>
        </is>
      </c>
      <c r="N1263" s="280">
        <f>'Tarifa 2025'!$F$5/4</f>
        <v/>
      </c>
      <c r="O1263" s="278" t="inlineStr">
        <is>
          <t>O&amp;M Management Proyecto Valverde - 3º Trimestre</t>
        </is>
      </c>
      <c r="P1263" s="280">
        <f>'Tarifa 2025'!$H$5/4</f>
        <v/>
      </c>
      <c r="Q1263" s="278" t="inlineStr">
        <is>
          <t>Consultoría - 3º Trimestre</t>
        </is>
      </c>
      <c r="R1263" s="280">
        <f>'Tarifa 2025'!$J$5/4</f>
        <v/>
      </c>
      <c r="T1263" s="280" t="n"/>
      <c r="V1263" s="280" t="n"/>
      <c r="X1263" s="280" t="n"/>
      <c r="Y1263" s="278" t="inlineStr">
        <is>
          <t>Gastos derivados de contrato (3,5%)</t>
        </is>
      </c>
      <c r="Z1263" s="280">
        <f>(L1263+N1263+P1263+R1263+T1263+V1263+X1263)*0.035</f>
        <v/>
      </c>
      <c r="AA1263" s="280" t="n"/>
      <c r="AB1263" s="281" t="inlineStr">
        <is>
          <t>ES11 0081 7069 2700 0122 7724</t>
        </is>
      </c>
      <c r="AC1263" s="278" t="inlineStr">
        <is>
          <t>pendiente</t>
        </is>
      </c>
      <c r="AD1263" s="280">
        <f>L1263+N1263+P1263+R1263+T1263+V1263+X1263+Z1263</f>
        <v/>
      </c>
      <c r="AE1263" s="280">
        <f>IF((LEFT(K1263,6))="Contab",L1263,0)</f>
        <v/>
      </c>
      <c r="AF1263" s="281">
        <f>VLOOKUP(G1263,CLIENTES!B:E,4,FALSE)</f>
        <v/>
      </c>
      <c r="AG1263" s="280">
        <f>AF1263*AE1263</f>
        <v/>
      </c>
      <c r="AH1263" s="280">
        <f>AD1263*1.21</f>
        <v/>
      </c>
      <c r="AI1263" s="282">
        <f>IF(AE1263&lt;&gt;0,AG1263/AD1263,"N/A")</f>
        <v/>
      </c>
      <c r="AJ1263" s="280">
        <f>IF(AC1263="pendiente",AD1263,0)</f>
        <v/>
      </c>
      <c r="AK1263" s="278">
        <f>VLOOKUP(G1263,CLIENTES!B:D,3,FALSE)</f>
        <v/>
      </c>
    </row>
    <row r="1264" ht="15" customFormat="1" customHeight="1" s="278">
      <c r="B1264" s="279" t="n"/>
      <c r="C1264" s="278" t="inlineStr">
        <is>
          <t>c/ Las Cruzadas 3A, local D</t>
        </is>
      </c>
      <c r="D1264" s="278" t="inlineStr">
        <is>
          <t>Sevilla 41004</t>
        </is>
      </c>
      <c r="E1264" s="278" t="inlineStr">
        <is>
          <t>CIF B91938662</t>
        </is>
      </c>
      <c r="F1264" s="278" t="inlineStr">
        <is>
          <t>aBalados@abalados.es</t>
        </is>
      </c>
      <c r="G1264" s="278" t="inlineStr">
        <is>
          <t>Asomadilla Solar 2007 S.L.U.</t>
        </is>
      </c>
      <c r="H1264" s="278">
        <f>VLOOKUP($G1264,DATOS!$B:$E,2,FALSE)</f>
        <v/>
      </c>
      <c r="I1264" s="278">
        <f>VLOOKUP($G1264,DATOS!$B:$E,3,FALSE)</f>
        <v/>
      </c>
      <c r="J1264" s="278">
        <f>VLOOKUP($G1264,DATOS!$B:$E,4,FALSE)</f>
        <v/>
      </c>
      <c r="K1264" s="278" t="inlineStr">
        <is>
          <t>Contabilidad y Fiscalidad de proyecto Castuera - 3º Trimestre</t>
        </is>
      </c>
      <c r="L1264" s="280">
        <f>'Tarifa 2025'!$D$6/4</f>
        <v/>
      </c>
      <c r="M1264" s="278" t="inlineStr">
        <is>
          <t>SPV Management  Proyecto Castuera - 3º Trimestre</t>
        </is>
      </c>
      <c r="N1264" s="280">
        <f>'Tarifa 2025'!$F$6/4</f>
        <v/>
      </c>
      <c r="O1264" s="278" t="inlineStr">
        <is>
          <t>O&amp;M Management Proyecto Castuera - 3º Trimestre</t>
        </is>
      </c>
      <c r="P1264" s="280">
        <f>'Tarifa 2025'!$H$6/4</f>
        <v/>
      </c>
      <c r="Q1264" s="278" t="inlineStr">
        <is>
          <t>Consultoría - 3º Trimestre</t>
        </is>
      </c>
      <c r="R1264" s="280">
        <f>'Tarifa 2025'!$J$6/4</f>
        <v/>
      </c>
      <c r="T1264" s="280" t="n"/>
      <c r="V1264" s="280" t="n"/>
      <c r="X1264" s="280" t="n"/>
      <c r="Y1264" s="278" t="inlineStr">
        <is>
          <t>Gastos derivados de contrato (3,5%)</t>
        </is>
      </c>
      <c r="Z1264" s="280">
        <f>(L1264+N1264+P1264+R1264+T1264+V1264+X1264)*0.035</f>
        <v/>
      </c>
      <c r="AA1264" s="280" t="n"/>
      <c r="AB1264" s="281" t="inlineStr">
        <is>
          <t>ES11 0081 7069 2700 0122 7724</t>
        </is>
      </c>
      <c r="AC1264" s="278" t="inlineStr">
        <is>
          <t>pendiente</t>
        </is>
      </c>
      <c r="AD1264" s="280">
        <f>L1264+N1264+P1264+R1264+T1264+V1264+X1264+Z1264</f>
        <v/>
      </c>
      <c r="AE1264" s="280">
        <f>IF((LEFT(K1264,6))="Contab",L1264,0)</f>
        <v/>
      </c>
      <c r="AF1264" s="281">
        <f>VLOOKUP(G1264,CLIENTES!B:E,4,FALSE)</f>
        <v/>
      </c>
      <c r="AG1264" s="280">
        <f>AF1264*AE1264</f>
        <v/>
      </c>
      <c r="AH1264" s="280">
        <f>AD1264*1.21</f>
        <v/>
      </c>
      <c r="AI1264" s="282">
        <f>IF(AE1264&lt;&gt;0,AG1264/AD1264,"N/A")</f>
        <v/>
      </c>
      <c r="AJ1264" s="280">
        <f>IF(AC1264="pendiente",AD1264,0)</f>
        <v/>
      </c>
      <c r="AK1264" s="278">
        <f>VLOOKUP(G1264,CLIENTES!B:D,3,FALSE)</f>
        <v/>
      </c>
    </row>
    <row r="1265" ht="15" customFormat="1" customHeight="1" s="278">
      <c r="B1265" s="279" t="n"/>
      <c r="C1265" s="278" t="inlineStr">
        <is>
          <t>c/ Las Cruzadas 3A, local D</t>
        </is>
      </c>
      <c r="D1265" s="278" t="inlineStr">
        <is>
          <t>Sevilla 41004</t>
        </is>
      </c>
      <c r="E1265" s="278" t="inlineStr">
        <is>
          <t>CIF B91938662</t>
        </is>
      </c>
      <c r="F1265" s="278" t="inlineStr">
        <is>
          <t>aBalados@abalados.es</t>
        </is>
      </c>
      <c r="G1265" s="278" t="inlineStr">
        <is>
          <t>Inversión Cubiertas Solares S.L.U.</t>
        </is>
      </c>
      <c r="H1265" s="278">
        <f>VLOOKUP($G1265,DATOS!$B:$E,2,FALSE)</f>
        <v/>
      </c>
      <c r="I1265" s="278">
        <f>VLOOKUP($G1265,DATOS!$B:$E,3,FALSE)</f>
        <v/>
      </c>
      <c r="J1265" s="278">
        <f>VLOOKUP($G1265,DATOS!$B:$E,4,FALSE)</f>
        <v/>
      </c>
      <c r="K1265" s="278" t="inlineStr">
        <is>
          <t>Contabilidad y Fiscalidad de proyecto Paiporta - 3º Trimestre</t>
        </is>
      </c>
      <c r="L1265" s="280">
        <f>'Tarifa 2025'!$D$7/4</f>
        <v/>
      </c>
      <c r="M1265" s="278" t="inlineStr">
        <is>
          <t>SPV Management  Proyecto Paiporta - 3º Trimestre</t>
        </is>
      </c>
      <c r="N1265" s="280">
        <f>'Tarifa 2025'!$F$7/4</f>
        <v/>
      </c>
      <c r="O1265" s="278" t="inlineStr">
        <is>
          <t>O&amp;M Management Proyecto Paiporta - 3º Trimestre</t>
        </is>
      </c>
      <c r="P1265" s="280">
        <f>'Tarifa 2025'!$H$7/4</f>
        <v/>
      </c>
      <c r="Q1265" s="278" t="inlineStr">
        <is>
          <t>Consultoría - 3º Trimestre</t>
        </is>
      </c>
      <c r="R1265" s="280">
        <f>'Tarifa 2025'!$J$7/4</f>
        <v/>
      </c>
      <c r="T1265" s="280" t="n"/>
      <c r="V1265" s="280" t="n"/>
      <c r="X1265" s="280" t="n"/>
      <c r="Y1265" s="278" t="inlineStr">
        <is>
          <t>Gastos derivados de contrato (3,5%)</t>
        </is>
      </c>
      <c r="Z1265" s="280">
        <f>(L1265+N1265+P1265+R1265+T1265+V1265+X1265)*0.035</f>
        <v/>
      </c>
      <c r="AA1265" s="280" t="n"/>
      <c r="AB1265" s="281" t="inlineStr">
        <is>
          <t>ES11 0081 7069 2700 0122 7724</t>
        </is>
      </c>
      <c r="AC1265" s="278" t="inlineStr">
        <is>
          <t>pendiente</t>
        </is>
      </c>
      <c r="AD1265" s="280">
        <f>L1265+N1265+P1265+R1265+T1265+V1265+X1265+Z1265</f>
        <v/>
      </c>
      <c r="AE1265" s="280">
        <f>IF((LEFT(K1265,6))="Contab",L1265,0)</f>
        <v/>
      </c>
      <c r="AF1265" s="281">
        <f>VLOOKUP(G1265,CLIENTES!B:E,4,FALSE)</f>
        <v/>
      </c>
      <c r="AG1265" s="280">
        <f>AF1265*AE1265</f>
        <v/>
      </c>
      <c r="AH1265" s="280">
        <f>AD1265*1.21</f>
        <v/>
      </c>
      <c r="AI1265" s="282">
        <f>IF(AE1265&lt;&gt;0,AG1265/AD1265,"N/A")</f>
        <v/>
      </c>
      <c r="AJ1265" s="280">
        <f>IF(AC1265="pendiente",AD1265,0)</f>
        <v/>
      </c>
      <c r="AK1265" s="278">
        <f>VLOOKUP(G1265,CLIENTES!B:D,3,FALSE)</f>
        <v/>
      </c>
    </row>
    <row r="1266" ht="15" customFormat="1" customHeight="1" s="278">
      <c r="B1266" s="279" t="n"/>
      <c r="C1266" s="278" t="inlineStr">
        <is>
          <t>c/ Las Cruzadas 3A, local D</t>
        </is>
      </c>
      <c r="D1266" s="278" t="inlineStr">
        <is>
          <t>Sevilla 41004</t>
        </is>
      </c>
      <c r="E1266" s="278" t="inlineStr">
        <is>
          <t>CIF B91938662</t>
        </is>
      </c>
      <c r="F1266" s="278" t="inlineStr">
        <is>
          <t>aBalados@abalados.es</t>
        </is>
      </c>
      <c r="G1266" s="278" t="inlineStr">
        <is>
          <t>Lugec Inversión Solar S.L.U.</t>
        </is>
      </c>
      <c r="H1266" s="278">
        <f>VLOOKUP($G1266,DATOS!$B:$E,2,FALSE)</f>
        <v/>
      </c>
      <c r="I1266" s="278">
        <f>VLOOKUP($G1266,DATOS!$B:$E,3,FALSE)</f>
        <v/>
      </c>
      <c r="J1266" s="278">
        <f>VLOOKUP($G1266,DATOS!$B:$E,4,FALSE)</f>
        <v/>
      </c>
      <c r="K1266" s="278" t="inlineStr">
        <is>
          <t>Contabilidad y Fiscalidad de proyecto Bonaire - 3º Trimestre</t>
        </is>
      </c>
      <c r="L1266" s="280">
        <f>'Tarifa 2025'!$D$8/4</f>
        <v/>
      </c>
      <c r="M1266" s="278" t="inlineStr">
        <is>
          <t>SPV Management  Proyecto Bonaire - 3º Trimestre</t>
        </is>
      </c>
      <c r="N1266" s="280">
        <f>'Tarifa 2025'!$F$8/4</f>
        <v/>
      </c>
      <c r="O1266" s="278" t="inlineStr">
        <is>
          <t>O&amp;M Management Proyecto Bonaire - 3º Trimestre</t>
        </is>
      </c>
      <c r="P1266" s="280">
        <f>'Tarifa 2025'!$H$8/4</f>
        <v/>
      </c>
      <c r="Q1266" s="278" t="inlineStr">
        <is>
          <t>Consultoría - 3º Trimestre</t>
        </is>
      </c>
      <c r="R1266" s="280">
        <f>'Tarifa 2025'!$J$8/4</f>
        <v/>
      </c>
      <c r="T1266" s="280" t="n"/>
      <c r="V1266" s="280" t="n"/>
      <c r="X1266" s="280" t="n"/>
      <c r="Y1266" s="278" t="inlineStr">
        <is>
          <t>Gastos derivados de contrato (3,5%)</t>
        </is>
      </c>
      <c r="Z1266" s="280">
        <f>(L1266+N1266+P1266+R1266+T1266+V1266+X1266)*0.035</f>
        <v/>
      </c>
      <c r="AA1266" s="280" t="n"/>
      <c r="AB1266" s="281" t="inlineStr">
        <is>
          <t>ES11 0081 7069 2700 0122 7724</t>
        </is>
      </c>
      <c r="AC1266" s="278" t="inlineStr">
        <is>
          <t>pendiente</t>
        </is>
      </c>
      <c r="AD1266" s="280">
        <f>L1266+N1266+P1266+R1266+T1266+V1266+X1266+Z1266</f>
        <v/>
      </c>
      <c r="AE1266" s="280">
        <f>IF((LEFT(K1266,6))="Contab",L1266,0)</f>
        <v/>
      </c>
      <c r="AF1266" s="281">
        <f>VLOOKUP(G1266,CLIENTES!B:E,4,FALSE)</f>
        <v/>
      </c>
      <c r="AG1266" s="280">
        <f>AF1266*AE1266</f>
        <v/>
      </c>
      <c r="AH1266" s="280">
        <f>AD1266*1.21</f>
        <v/>
      </c>
      <c r="AI1266" s="282">
        <f>IF(AE1266&lt;&gt;0,AG1266/AD1266,"N/A")</f>
        <v/>
      </c>
      <c r="AJ1266" s="280">
        <f>IF(AC1266="pendiente",AD1266,0)</f>
        <v/>
      </c>
      <c r="AK1266" s="278">
        <f>VLOOKUP(G1266,CLIENTES!B:D,3,FALSE)</f>
        <v/>
      </c>
    </row>
    <row r="1267" ht="15" customFormat="1" customHeight="1" s="278">
      <c r="B1267" s="279" t="n"/>
      <c r="C1267" s="278" t="inlineStr">
        <is>
          <t>c/ Las Cruzadas 3A, local D</t>
        </is>
      </c>
      <c r="D1267" s="278" t="inlineStr">
        <is>
          <t>Sevilla 41004</t>
        </is>
      </c>
      <c r="E1267" s="278" t="inlineStr">
        <is>
          <t>CIF B91938662</t>
        </is>
      </c>
      <c r="F1267" s="278" t="inlineStr">
        <is>
          <t>aBalados@abalados.es</t>
        </is>
      </c>
      <c r="G1267" s="278" t="inlineStr">
        <is>
          <t>LOCABA SOLAR S.L.U.</t>
        </is>
      </c>
      <c r="H1267" s="278">
        <f>VLOOKUP($G1267,DATOS!$B:$E,2,FALSE)</f>
        <v/>
      </c>
      <c r="I1267" s="278">
        <f>VLOOKUP($G1267,DATOS!$B:$E,3,FALSE)</f>
        <v/>
      </c>
      <c r="J1267" s="278">
        <f>VLOOKUP($G1267,DATOS!$B:$E,4,FALSE)</f>
        <v/>
      </c>
      <c r="K1267" s="278" t="inlineStr">
        <is>
          <t>Contabilidad y Fiscalidad de proyecto Coreses - 3º Trimestre</t>
        </is>
      </c>
      <c r="L1267" s="280">
        <f>'Tarifa 2025'!$D$9/4</f>
        <v/>
      </c>
      <c r="M1267" s="278" t="inlineStr">
        <is>
          <t>SPV Management  Proyecto Coreses - 3º Trimestre</t>
        </is>
      </c>
      <c r="N1267" s="280">
        <f>'Tarifa 2025'!$F$9/4</f>
        <v/>
      </c>
      <c r="O1267" s="278" t="inlineStr">
        <is>
          <t>O&amp;M Management Proyecto Coreses - 3º Trimestre</t>
        </is>
      </c>
      <c r="P1267" s="280">
        <f>'Tarifa 2025'!$H$9/4</f>
        <v/>
      </c>
      <c r="Q1267" s="278" t="inlineStr">
        <is>
          <t>Consultoría - 3º Trimestre</t>
        </is>
      </c>
      <c r="R1267" s="280">
        <f>'Tarifa 2025'!$J$9/4</f>
        <v/>
      </c>
      <c r="T1267" s="280" t="n"/>
      <c r="V1267" s="280" t="n"/>
      <c r="X1267" s="280" t="n"/>
      <c r="Y1267" s="278" t="inlineStr">
        <is>
          <t>Gastos derivados de contrato (3,5%)</t>
        </is>
      </c>
      <c r="Z1267" s="280">
        <f>(L1267+N1267+P1267+R1267+T1267+V1267+X1267)*0.035</f>
        <v/>
      </c>
      <c r="AA1267" s="280" t="n"/>
      <c r="AB1267" s="281" t="inlineStr">
        <is>
          <t>ES11 0081 7069 2700 0122 7724</t>
        </is>
      </c>
      <c r="AC1267" s="278" t="inlineStr">
        <is>
          <t>pendiente</t>
        </is>
      </c>
      <c r="AD1267" s="280">
        <f>L1267+N1267+P1267+R1267+T1267+V1267+X1267+Z1267</f>
        <v/>
      </c>
      <c r="AE1267" s="280">
        <f>IF((LEFT(K1267,6))="Contab",L1267,0)</f>
        <v/>
      </c>
      <c r="AF1267" s="281">
        <f>VLOOKUP(G1267,CLIENTES!B:E,4,FALSE)</f>
        <v/>
      </c>
      <c r="AG1267" s="280">
        <f>AF1267*AE1267</f>
        <v/>
      </c>
      <c r="AH1267" s="280">
        <f>AD1267*1.21</f>
        <v/>
      </c>
      <c r="AI1267" s="282">
        <f>IF(AE1267&lt;&gt;0,AG1267/AD1267,"N/A")</f>
        <v/>
      </c>
      <c r="AJ1267" s="280">
        <f>IF(AC1267="pendiente",AD1267,0)</f>
        <v/>
      </c>
      <c r="AK1267" s="278">
        <f>VLOOKUP(G1267,CLIENTES!B:D,3,FALSE)</f>
        <v/>
      </c>
    </row>
    <row r="1268" ht="15" customFormat="1" customHeight="1" s="278">
      <c r="B1268" s="279" t="n"/>
      <c r="C1268" s="278" t="inlineStr">
        <is>
          <t>c/ Las Cruzadas 3A, local D</t>
        </is>
      </c>
      <c r="D1268" s="278" t="inlineStr">
        <is>
          <t>Sevilla 41004</t>
        </is>
      </c>
      <c r="E1268" s="278" t="inlineStr">
        <is>
          <t>CIF B91938662</t>
        </is>
      </c>
      <c r="F1268" s="278" t="inlineStr">
        <is>
          <t>aBalados@abalados.es</t>
        </is>
      </c>
      <c r="G1268" s="278" t="inlineStr">
        <is>
          <t>Agrupación Solar el Algarrobo I, S.L.U.</t>
        </is>
      </c>
      <c r="H1268" s="278">
        <f>VLOOKUP($G1268,DATOS!$B:$E,2,FALSE)</f>
        <v/>
      </c>
      <c r="I1268" s="278">
        <f>VLOOKUP($G1268,DATOS!$B:$E,3,FALSE)</f>
        <v/>
      </c>
      <c r="J1268" s="278">
        <f>VLOOKUP($G1268,DATOS!$B:$E,4,FALSE)</f>
        <v/>
      </c>
      <c r="K1268" s="278" t="inlineStr">
        <is>
          <t>Contabilidad y Fiscalidad de proyecto Algarrobo I - 3º Trimestre</t>
        </is>
      </c>
      <c r="L1268" s="280">
        <f>'Tarifa 2025'!$D$12*1.89/5.49/4</f>
        <v/>
      </c>
      <c r="M1268" s="278" t="inlineStr">
        <is>
          <t>SPV Management  Proyecto Algarrobo I -  3º Trimestre</t>
        </is>
      </c>
      <c r="N1268" s="280">
        <f>'Tarifa 2025'!$F$12*1.89/5.49/4</f>
        <v/>
      </c>
      <c r="O1268" s="278" t="inlineStr">
        <is>
          <t>O&amp;M Management Proyecto Algarrobo I - 3º Trimestre</t>
        </is>
      </c>
      <c r="P1268" s="280">
        <f>'Tarifa 2025'!$H$12*1.89/5.49/4</f>
        <v/>
      </c>
      <c r="Q1268" s="278" t="inlineStr">
        <is>
          <t>Consultoría - 3º Trimestre</t>
        </is>
      </c>
      <c r="R1268" s="280">
        <f>'Tarifas 2016'!$K$12*3*(1.89/(1.89+1.89+1.71))</f>
        <v/>
      </c>
      <c r="T1268" s="280" t="n"/>
      <c r="V1268" s="280" t="n"/>
      <c r="X1268" s="280" t="n"/>
      <c r="Y1268" s="278" t="inlineStr">
        <is>
          <t>Gastos derivados de contrato (3,5%)</t>
        </is>
      </c>
      <c r="Z1268" s="280">
        <f>(L1268+N1268+P1268+R1268+T1268+V1268+X1268)*0.035</f>
        <v/>
      </c>
      <c r="AA1268" s="280" t="n"/>
      <c r="AB1268" s="281" t="inlineStr">
        <is>
          <t>ES11 0081 7069 2700 0122 7724</t>
        </is>
      </c>
      <c r="AC1268" s="278" t="inlineStr">
        <is>
          <t>pendiente</t>
        </is>
      </c>
      <c r="AD1268" s="280">
        <f>L1268+N1268+P1268+R1268+T1268+V1268+X1268+Z1268</f>
        <v/>
      </c>
      <c r="AE1268" s="280">
        <f>IF((LEFT(K1268,6))="Contab",L1268,0)</f>
        <v/>
      </c>
      <c r="AF1268" s="281">
        <f>VLOOKUP(G1268,CLIENTES!B:E,4,FALSE)</f>
        <v/>
      </c>
      <c r="AG1268" s="280">
        <f>AF1268*AE1268</f>
        <v/>
      </c>
      <c r="AH1268" s="280">
        <f>AD1268*1.21</f>
        <v/>
      </c>
      <c r="AI1268" s="282">
        <f>IF(AE1268&lt;&gt;0,AG1268/AD1268,"N/A")</f>
        <v/>
      </c>
      <c r="AJ1268" s="280">
        <f>IF(AC1268="pendiente",AD1268,0)</f>
        <v/>
      </c>
      <c r="AK1268" s="278">
        <f>VLOOKUP(G1268,CLIENTES!B:D,3,FALSE)</f>
        <v/>
      </c>
    </row>
    <row r="1269" ht="15" customFormat="1" customHeight="1" s="278">
      <c r="B1269" s="279" t="n"/>
      <c r="C1269" s="278" t="inlineStr">
        <is>
          <t>c/ Las Cruzadas 3A, local D</t>
        </is>
      </c>
      <c r="D1269" s="278" t="inlineStr">
        <is>
          <t>Sevilla 41004</t>
        </is>
      </c>
      <c r="E1269" s="278" t="inlineStr">
        <is>
          <t>CIF B91938662</t>
        </is>
      </c>
      <c r="F1269" s="278" t="inlineStr">
        <is>
          <t>aBalados@abalados.es</t>
        </is>
      </c>
      <c r="G1269" s="278" t="inlineStr">
        <is>
          <t>Agrupación Solar el Algarrobo II, S.L.U.</t>
        </is>
      </c>
      <c r="H1269" s="278">
        <f>VLOOKUP($G1269,DATOS!$B:$E,2,FALSE)</f>
        <v/>
      </c>
      <c r="I1269" s="278">
        <f>VLOOKUP($G1269,DATOS!$B:$E,3,FALSE)</f>
        <v/>
      </c>
      <c r="J1269" s="278">
        <f>VLOOKUP($G1269,DATOS!$B:$E,4,FALSE)</f>
        <v/>
      </c>
      <c r="K1269" s="278" t="inlineStr">
        <is>
          <t>Contabilidad y Fiscalidad de proyecto Algarrobo II - 3º Trimestre</t>
        </is>
      </c>
      <c r="L1269" s="280">
        <f>'Tarifa 2025'!$D$12*1.89/5.49/4</f>
        <v/>
      </c>
      <c r="M1269" s="278" t="inlineStr">
        <is>
          <t>SPV Management  Proyecto Algarrobo II -  3º Trimestre</t>
        </is>
      </c>
      <c r="N1269" s="280">
        <f>'Tarifa 2025'!$F$12*1.89/5.49/4</f>
        <v/>
      </c>
      <c r="O1269" s="278" t="inlineStr">
        <is>
          <t>O&amp;M Management Proyecto Algarrobo II - 3º Trimestre</t>
        </is>
      </c>
      <c r="P1269" s="280">
        <f>'Tarifa 2025'!$H$12*1.89/5.49/4</f>
        <v/>
      </c>
      <c r="Q1269" s="278" t="inlineStr">
        <is>
          <t>Consultoría - 3º Trimestre</t>
        </is>
      </c>
      <c r="R1269" s="280">
        <f>'Tarifas 2016'!$K$12*3*(1.89/(1.89+1.89+1.71))</f>
        <v/>
      </c>
      <c r="T1269" s="280" t="n"/>
      <c r="V1269" s="280" t="n"/>
      <c r="X1269" s="280" t="n"/>
      <c r="Y1269" s="278" t="inlineStr">
        <is>
          <t>Gastos derivados de contrato (3,5%)</t>
        </is>
      </c>
      <c r="Z1269" s="280">
        <f>(L1269+N1269+P1269+R1269+T1269+V1269+X1269)*0.035</f>
        <v/>
      </c>
      <c r="AA1269" s="280" t="n"/>
      <c r="AB1269" s="281" t="inlineStr">
        <is>
          <t>ES11 0081 7069 2700 0122 7724</t>
        </is>
      </c>
      <c r="AC1269" s="278" t="inlineStr">
        <is>
          <t>pendiente</t>
        </is>
      </c>
      <c r="AD1269" s="280">
        <f>L1269+N1269+P1269+R1269+T1269+V1269+X1269+Z1269</f>
        <v/>
      </c>
      <c r="AE1269" s="280">
        <f>IF((LEFT(K1269,6))="Contab",L1269,0)</f>
        <v/>
      </c>
      <c r="AF1269" s="281">
        <f>VLOOKUP(G1269,CLIENTES!B:E,4,FALSE)</f>
        <v/>
      </c>
      <c r="AG1269" s="280">
        <f>AF1269*AE1269</f>
        <v/>
      </c>
      <c r="AH1269" s="280">
        <f>AD1269*1.21</f>
        <v/>
      </c>
      <c r="AI1269" s="282">
        <f>IF(AE1269&lt;&gt;0,AG1269/AD1269,"N/A")</f>
        <v/>
      </c>
      <c r="AJ1269" s="280">
        <f>IF(AC1269="pendiente",AD1269,0)</f>
        <v/>
      </c>
      <c r="AK1269" s="278">
        <f>VLOOKUP(G1269,CLIENTES!B:D,3,FALSE)</f>
        <v/>
      </c>
    </row>
    <row r="1270" ht="15" customFormat="1" customHeight="1" s="278">
      <c r="B1270" s="279" t="n"/>
      <c r="C1270" s="278" t="inlineStr">
        <is>
          <t>c/ Las Cruzadas 3A, local D</t>
        </is>
      </c>
      <c r="D1270" s="278" t="inlineStr">
        <is>
          <t>Sevilla 41004</t>
        </is>
      </c>
      <c r="E1270" s="278" t="inlineStr">
        <is>
          <t>CIF B91938662</t>
        </is>
      </c>
      <c r="F1270" s="278" t="inlineStr">
        <is>
          <t>aBalados@abalados.es</t>
        </is>
      </c>
      <c r="G1270" s="278" t="inlineStr">
        <is>
          <t>Agrupación Solar el Algarrobo III, S.L.U.</t>
        </is>
      </c>
      <c r="H1270" s="278">
        <f>VLOOKUP($G1270,DATOS!$B:$E,2,FALSE)</f>
        <v/>
      </c>
      <c r="I1270" s="278">
        <f>VLOOKUP($G1270,DATOS!$B:$E,3,FALSE)</f>
        <v/>
      </c>
      <c r="J1270" s="278">
        <f>VLOOKUP($G1270,DATOS!$B:$E,4,FALSE)</f>
        <v/>
      </c>
      <c r="K1270" s="278" t="inlineStr">
        <is>
          <t>Contabilidad y Fiscalidad de proyecto Algarrobo III - 3º Trimestre</t>
        </is>
      </c>
      <c r="L1270" s="280">
        <f>'Tarifa 2025'!$D$12*1.71/5.49/4</f>
        <v/>
      </c>
      <c r="M1270" s="278" t="inlineStr">
        <is>
          <t>SPV Management  Proyecto Algarrobo III -  3º Trimestre</t>
        </is>
      </c>
      <c r="N1270" s="280">
        <f>'Tarifa 2025'!$F$12*1.71/5.49/4</f>
        <v/>
      </c>
      <c r="O1270" s="278" t="inlineStr">
        <is>
          <t>O&amp;M Management Proyecto Algarrobo III - 3º Trimestre</t>
        </is>
      </c>
      <c r="P1270" s="280">
        <f>'Tarifa 2025'!$H$12*1.71/5.49/4</f>
        <v/>
      </c>
      <c r="Q1270" s="278" t="inlineStr">
        <is>
          <t>Consultoría - 3º Trimestre</t>
        </is>
      </c>
      <c r="R1270" s="280">
        <f>'Tarifas 2016'!$K$12*3*(1.71/(1.89+1.89+1.71))</f>
        <v/>
      </c>
      <c r="T1270" s="280" t="n"/>
      <c r="V1270" s="280" t="n"/>
      <c r="X1270" s="280" t="n"/>
      <c r="Y1270" s="278" t="inlineStr">
        <is>
          <t>Gastos derivados de contrato (3,5%)</t>
        </is>
      </c>
      <c r="Z1270" s="280">
        <f>(L1270+N1270+P1270+R1270+T1270+V1270+X1270)*0.035</f>
        <v/>
      </c>
      <c r="AA1270" s="280" t="n"/>
      <c r="AB1270" s="281" t="inlineStr">
        <is>
          <t>ES11 0081 7069 2700 0122 7724</t>
        </is>
      </c>
      <c r="AC1270" s="278" t="inlineStr">
        <is>
          <t>pendiente</t>
        </is>
      </c>
      <c r="AD1270" s="280">
        <f>L1270+N1270+P1270+R1270+T1270+V1270+X1270+Z1270</f>
        <v/>
      </c>
      <c r="AE1270" s="280">
        <f>IF((LEFT(K1270,6))="Contab",L1270,0)</f>
        <v/>
      </c>
      <c r="AF1270" s="281">
        <f>VLOOKUP(G1270,CLIENTES!B:E,4,FALSE)</f>
        <v/>
      </c>
      <c r="AG1270" s="280">
        <f>AF1270*AE1270</f>
        <v/>
      </c>
      <c r="AH1270" s="280">
        <f>AD1270*1.21</f>
        <v/>
      </c>
      <c r="AI1270" s="282">
        <f>IF(AE1270&lt;&gt;0,AG1270/AD1270,"N/A")</f>
        <v/>
      </c>
      <c r="AJ1270" s="280">
        <f>IF(AC1270="pendiente",AD1270,0)</f>
        <v/>
      </c>
      <c r="AK1270" s="278">
        <f>VLOOKUP(G1270,CLIENTES!B:D,3,FALSE)</f>
        <v/>
      </c>
    </row>
    <row r="1271" ht="15" customFormat="1" customHeight="1" s="278">
      <c r="B1271" s="279" t="n"/>
      <c r="C1271" s="278" t="inlineStr">
        <is>
          <t>c/ Las Cruzadas 3A, local D</t>
        </is>
      </c>
      <c r="D1271" s="278" t="inlineStr">
        <is>
          <t>Sevilla 41004</t>
        </is>
      </c>
      <c r="E1271" s="278" t="inlineStr">
        <is>
          <t>CIF B91938662</t>
        </is>
      </c>
      <c r="F1271" s="278" t="inlineStr">
        <is>
          <t>aBalados@abalados.es</t>
        </is>
      </c>
      <c r="G1271" s="278" t="inlineStr">
        <is>
          <t>WOC Fotovoltaica España Proyecto Sollana S.L.U.</t>
        </is>
      </c>
      <c r="H1271" s="278">
        <f>VLOOKUP($G1271,DATOS!$B:$E,2,FALSE)</f>
        <v/>
      </c>
      <c r="I1271" s="278">
        <f>VLOOKUP($G1271,DATOS!$B:$E,3,FALSE)</f>
        <v/>
      </c>
      <c r="J1271" s="278">
        <f>VLOOKUP($G1271,DATOS!$B:$E,4,FALSE)</f>
        <v/>
      </c>
      <c r="K1271" s="278" t="inlineStr">
        <is>
          <t>Contabilidad y Fiscalidad de proyecto Sollana - 3º Trimestre</t>
        </is>
      </c>
      <c r="L1271" s="280">
        <f>'Tarifa 2025'!$D$13/4</f>
        <v/>
      </c>
      <c r="M1271" s="278" t="inlineStr">
        <is>
          <t>SPV Management  Proyecto Sollana - 3º Trimestre</t>
        </is>
      </c>
      <c r="N1271" s="280">
        <f>'Tarifa 2025'!$F$13/4</f>
        <v/>
      </c>
      <c r="O1271" s="278" t="inlineStr">
        <is>
          <t>O&amp;M Management Proyecto Sollana - 3º Trimestre</t>
        </is>
      </c>
      <c r="P1271" s="280">
        <f>'Tarifa 2025'!$H$13/4</f>
        <v/>
      </c>
      <c r="Q1271" s="278" t="inlineStr">
        <is>
          <t>Consultoría - 3º Trimestre</t>
        </is>
      </c>
      <c r="R1271" s="280">
        <f>'Tarifa 2025'!$J$13/4</f>
        <v/>
      </c>
      <c r="T1271" s="280" t="n"/>
      <c r="V1271" s="280" t="n"/>
      <c r="X1271" s="280" t="n"/>
      <c r="Y1271" s="278" t="inlineStr">
        <is>
          <t>Gastos derivados de contrato (3,5%)</t>
        </is>
      </c>
      <c r="Z1271" s="280">
        <f>(L1271+N1271+P1271+R1271+T1271+V1271+X1271)*0.035</f>
        <v/>
      </c>
      <c r="AA1271" s="280" t="n"/>
      <c r="AB1271" s="281" t="inlineStr">
        <is>
          <t>ES11 0081 7069 2700 0122 7724</t>
        </is>
      </c>
      <c r="AC1271" s="278" t="inlineStr">
        <is>
          <t>pendiente</t>
        </is>
      </c>
      <c r="AD1271" s="280">
        <f>L1271+N1271+P1271+R1271+T1271+V1271+X1271+Z1271</f>
        <v/>
      </c>
      <c r="AE1271" s="280">
        <f>IF((LEFT(K1271,6))="Contab",L1271,0)</f>
        <v/>
      </c>
      <c r="AF1271" s="281">
        <f>VLOOKUP(G1271,CLIENTES!B:E,4,FALSE)</f>
        <v/>
      </c>
      <c r="AG1271" s="280">
        <f>AF1271*AE1271</f>
        <v/>
      </c>
      <c r="AH1271" s="280">
        <f>AD1271*1.21</f>
        <v/>
      </c>
      <c r="AI1271" s="282">
        <f>IF(AE1271&lt;&gt;0,AG1271/AD1271,"N/A")</f>
        <v/>
      </c>
      <c r="AJ1271" s="280">
        <f>IF(AC1271="pendiente",AD1271,0)</f>
        <v/>
      </c>
      <c r="AK1271" s="278">
        <f>VLOOKUP(G1271,CLIENTES!B:D,3,FALSE)</f>
        <v/>
      </c>
    </row>
    <row r="1272" ht="15" customFormat="1" customHeight="1" s="278">
      <c r="B1272" s="279" t="n"/>
      <c r="C1272" s="278" t="inlineStr">
        <is>
          <t>c/ Las Cruzadas 3A, local D</t>
        </is>
      </c>
      <c r="D1272" s="278" t="inlineStr">
        <is>
          <t>Sevilla 41004</t>
        </is>
      </c>
      <c r="E1272" s="278" t="inlineStr">
        <is>
          <t>CIF B91938662</t>
        </is>
      </c>
      <c r="F1272" s="278" t="inlineStr">
        <is>
          <t>aBalados@abalados.es</t>
        </is>
      </c>
      <c r="G1272" s="278" t="inlineStr">
        <is>
          <t>ES Garrovers Energía Solar S.L.U.</t>
        </is>
      </c>
      <c r="H1272" s="278">
        <f>VLOOKUP($G1272,DATOS!$B:$E,2,FALSE)</f>
        <v/>
      </c>
      <c r="I1272" s="278">
        <f>VLOOKUP($G1272,DATOS!$B:$E,3,FALSE)</f>
        <v/>
      </c>
      <c r="J1272" s="278">
        <f>VLOOKUP($G1272,DATOS!$B:$E,4,FALSE)</f>
        <v/>
      </c>
      <c r="K1272" s="278" t="inlineStr">
        <is>
          <t>Contabilidad y Fiscalidad de proyecto Artà - 3º Trimestre</t>
        </is>
      </c>
      <c r="L1272" s="280">
        <f>'Tarifa 2025'!$D$14/4</f>
        <v/>
      </c>
      <c r="M1272" s="278" t="inlineStr">
        <is>
          <t>SPV Management  Proyecto Artà - 3º Trimestre</t>
        </is>
      </c>
      <c r="N1272" s="280">
        <f>'Tarifa 2025'!$F$14/4</f>
        <v/>
      </c>
      <c r="O1272" s="278" t="inlineStr">
        <is>
          <t>O&amp;M Management Proyecto Artà - 3º Trimestre</t>
        </is>
      </c>
      <c r="P1272" s="280">
        <f>'Tarifa 2025'!$H$14/4</f>
        <v/>
      </c>
      <c r="Q1272" s="278" t="inlineStr">
        <is>
          <t>Consultoría - 3º Trimestre</t>
        </is>
      </c>
      <c r="R1272" s="280">
        <f>'Tarifa 2025'!$J$14/4</f>
        <v/>
      </c>
      <c r="T1272" s="280" t="n"/>
      <c r="V1272" s="280" t="n"/>
      <c r="X1272" s="280" t="n"/>
      <c r="Y1272" s="278" t="inlineStr">
        <is>
          <t>Gastos derivados de contrato (3,5%)</t>
        </is>
      </c>
      <c r="Z1272" s="280">
        <f>(L1272+N1272+P1272+R1272+T1272+V1272+X1272)*0.035</f>
        <v/>
      </c>
      <c r="AA1272" s="280" t="n"/>
      <c r="AB1272" s="281" t="inlineStr">
        <is>
          <t>ES11 0081 7069 2700 0122 7724</t>
        </is>
      </c>
      <c r="AC1272" s="278" t="inlineStr">
        <is>
          <t>pendiente</t>
        </is>
      </c>
      <c r="AD1272" s="280">
        <f>L1272+N1272+P1272+R1272+T1272+V1272+X1272+Z1272</f>
        <v/>
      </c>
      <c r="AE1272" s="280">
        <f>IF((LEFT(K1272,6))="Contab",L1272,0)</f>
        <v/>
      </c>
      <c r="AF1272" s="281">
        <f>VLOOKUP(G1272,CLIENTES!B:E,4,FALSE)</f>
        <v/>
      </c>
      <c r="AG1272" s="280">
        <f>AF1272*AE1272</f>
        <v/>
      </c>
      <c r="AH1272" s="280">
        <f>AD1272*1.21</f>
        <v/>
      </c>
      <c r="AI1272" s="282">
        <f>IF(AE1272&lt;&gt;0,AG1272/AD1272,"N/A")</f>
        <v/>
      </c>
      <c r="AJ1272" s="280">
        <f>IF(AC1272="pendiente",AD1272,0)</f>
        <v/>
      </c>
      <c r="AK1272" s="278">
        <f>VLOOKUP(G1272,CLIENTES!B:D,3,FALSE)</f>
        <v/>
      </c>
    </row>
    <row r="1273" ht="15" customFormat="1" customHeight="1" s="278">
      <c r="B1273" s="279" t="n"/>
      <c r="C1273" s="278" t="inlineStr">
        <is>
          <t>c/ Las Cruzadas 3A, local D</t>
        </is>
      </c>
      <c r="D1273" s="278" t="inlineStr">
        <is>
          <t>Sevilla 41004</t>
        </is>
      </c>
      <c r="E1273" s="278" t="inlineStr">
        <is>
          <t>CIF B91938662</t>
        </is>
      </c>
      <c r="F1273" s="278" t="inlineStr">
        <is>
          <t>aBalados@abalados.es</t>
        </is>
      </c>
      <c r="G1273" s="278" t="inlineStr">
        <is>
          <t>Contreras Parque Solar S.L.U.</t>
        </is>
      </c>
      <c r="H1273" s="278">
        <f>VLOOKUP($G1273,DATOS!$B:$E,2,FALSE)</f>
        <v/>
      </c>
      <c r="I1273" s="278">
        <f>VLOOKUP($G1273,DATOS!$B:$E,3,FALSE)</f>
        <v/>
      </c>
      <c r="J1273" s="278">
        <f>VLOOKUP($G1273,DATOS!$B:$E,4,FALSE)</f>
        <v/>
      </c>
      <c r="K1273" s="278" t="inlineStr">
        <is>
          <t>Contabilidad y Fiscalidad de proyecto Casa Roja - 3º Trimestre</t>
        </is>
      </c>
      <c r="L1273" s="280">
        <f>'Tarifa 2025'!$D$15/4</f>
        <v/>
      </c>
      <c r="M1273" s="278" t="inlineStr">
        <is>
          <t>SPV Management  Proyecto Contreras - 3º Trimestre</t>
        </is>
      </c>
      <c r="N1273" s="280">
        <f>'Tarifa 2025'!$F$15/4</f>
        <v/>
      </c>
      <c r="O1273" s="278" t="inlineStr">
        <is>
          <t>O&amp;M Management Proyecto Contreras - 3º Trimestre</t>
        </is>
      </c>
      <c r="P1273" s="280">
        <f>'Tarifa 2025'!$H$15/4</f>
        <v/>
      </c>
      <c r="Q1273" s="278" t="inlineStr">
        <is>
          <t>Consultoría - 3º Trimestre</t>
        </is>
      </c>
      <c r="R1273" s="280">
        <f>'Tarifa 2025'!$J$15/4</f>
        <v/>
      </c>
      <c r="T1273" s="280" t="n"/>
      <c r="V1273" s="280" t="n"/>
      <c r="X1273" s="280" t="n"/>
      <c r="Y1273" s="278" t="inlineStr">
        <is>
          <t>Gastos derivados de contrato (3,5%)</t>
        </is>
      </c>
      <c r="Z1273" s="280">
        <f>(L1273+N1273+P1273+R1273+T1273+V1273+X1273)*0.035</f>
        <v/>
      </c>
      <c r="AA1273" s="280" t="n"/>
      <c r="AB1273" s="281" t="inlineStr">
        <is>
          <t>ES11 0081 7069 2700 0122 7724</t>
        </is>
      </c>
      <c r="AC1273" s="278" t="inlineStr">
        <is>
          <t>pendiente</t>
        </is>
      </c>
      <c r="AD1273" s="280">
        <f>L1273+N1273+P1273+R1273+T1273+V1273+X1273+Z1273</f>
        <v/>
      </c>
      <c r="AE1273" s="280">
        <f>IF((LEFT(K1273,6))="Contab",L1273,0)</f>
        <v/>
      </c>
      <c r="AF1273" s="281">
        <f>VLOOKUP(G1273,CLIENTES!B:E,4,FALSE)</f>
        <v/>
      </c>
      <c r="AG1273" s="280">
        <f>AF1273*AE1273</f>
        <v/>
      </c>
      <c r="AH1273" s="280">
        <f>AD1273*1.21</f>
        <v/>
      </c>
      <c r="AI1273" s="282">
        <f>IF(AE1273&lt;&gt;0,AG1273/AD1273,"N/A")</f>
        <v/>
      </c>
      <c r="AJ1273" s="280">
        <f>IF(AC1273="pendiente",AD1273,0)</f>
        <v/>
      </c>
      <c r="AK1273" s="278">
        <f>VLOOKUP(G1273,CLIENTES!B:D,3,FALSE)</f>
        <v/>
      </c>
    </row>
    <row r="1274" ht="15" customFormat="1" customHeight="1" s="278">
      <c r="B1274" s="279" t="n"/>
      <c r="C1274" s="278" t="inlineStr">
        <is>
          <t>c/ Las Cruzadas 3A, local D</t>
        </is>
      </c>
      <c r="D1274" s="278" t="inlineStr">
        <is>
          <t>Sevilla 41004</t>
        </is>
      </c>
      <c r="E1274" s="278" t="inlineStr">
        <is>
          <t>CIF B91938662</t>
        </is>
      </c>
      <c r="F1274" s="278" t="inlineStr">
        <is>
          <t>aBalados@abalados.es</t>
        </is>
      </c>
      <c r="G1274" s="278" t="inlineStr">
        <is>
          <t>Lo Illán  Parque Solar S.L.U.</t>
        </is>
      </c>
      <c r="H1274" s="278">
        <f>VLOOKUP($G1274,DATOS!$B:$E,2,FALSE)</f>
        <v/>
      </c>
      <c r="I1274" s="278">
        <f>VLOOKUP($G1274,DATOS!$B:$E,3,FALSE)</f>
        <v/>
      </c>
      <c r="J1274" s="278">
        <f>VLOOKUP($G1274,DATOS!$B:$E,4,FALSE)</f>
        <v/>
      </c>
      <c r="K1274" s="278" t="inlineStr">
        <is>
          <t>Contabilidad y Fiscalidad de proyecto Casa Roja - 3º Trimestre</t>
        </is>
      </c>
      <c r="L1274" s="280">
        <f>'Tarifa 2025'!$D$16/4</f>
        <v/>
      </c>
      <c r="M1274" s="278" t="inlineStr">
        <is>
          <t>SPV Management  Proyecto Lo Illán - 3º Trimestre</t>
        </is>
      </c>
      <c r="N1274" s="280">
        <f>'Tarifa 2025'!$F$16/4</f>
        <v/>
      </c>
      <c r="O1274" s="278" t="inlineStr">
        <is>
          <t>O&amp;M Management Proyecto Lo Illán - 3º Trimestre</t>
        </is>
      </c>
      <c r="P1274" s="280">
        <f>'Tarifa 2025'!$H$16/4</f>
        <v/>
      </c>
      <c r="Q1274" s="278" t="inlineStr">
        <is>
          <t>Consultoría - 3º Trimestre</t>
        </is>
      </c>
      <c r="R1274" s="280">
        <f>'Tarifa 2025'!$J$16/4</f>
        <v/>
      </c>
      <c r="T1274" s="280" t="n"/>
      <c r="V1274" s="280" t="n"/>
      <c r="X1274" s="280" t="n"/>
      <c r="Y1274" s="278" t="inlineStr">
        <is>
          <t>Gastos derivados de contrato (3,5%)</t>
        </is>
      </c>
      <c r="Z1274" s="280">
        <f>(L1274+N1274+P1274+R1274+T1274+V1274+X1274)*0.035</f>
        <v/>
      </c>
      <c r="AA1274" s="280" t="n"/>
      <c r="AB1274" s="281" t="inlineStr">
        <is>
          <t>ES11 0081 7069 2700 0122 7724</t>
        </is>
      </c>
      <c r="AC1274" s="278" t="inlineStr">
        <is>
          <t>pendiente</t>
        </is>
      </c>
      <c r="AD1274" s="280">
        <f>L1274+N1274+P1274+R1274+T1274+V1274+X1274+Z1274</f>
        <v/>
      </c>
      <c r="AE1274" s="280">
        <f>IF((LEFT(K1274,6))="Contab",L1274,0)</f>
        <v/>
      </c>
      <c r="AF1274" s="281">
        <f>VLOOKUP(G1274,CLIENTES!B:E,4,FALSE)</f>
        <v/>
      </c>
      <c r="AG1274" s="280">
        <f>AF1274*AE1274</f>
        <v/>
      </c>
      <c r="AH1274" s="280">
        <f>AD1274*1.21</f>
        <v/>
      </c>
      <c r="AI1274" s="282">
        <f>IF(AE1274&lt;&gt;0,AG1274/AD1274,"N/A")</f>
        <v/>
      </c>
      <c r="AJ1274" s="280">
        <f>IF(AC1274="pendiente",AD1274,0)</f>
        <v/>
      </c>
      <c r="AK1274" s="278">
        <f>VLOOKUP(G1274,CLIENTES!B:D,3,FALSE)</f>
        <v/>
      </c>
    </row>
    <row r="1275" ht="15" customFormat="1" customHeight="1" s="278">
      <c r="B1275" s="279" t="n"/>
      <c r="C1275" s="278" t="inlineStr">
        <is>
          <t>c/ Las Cruzadas 3A, local D</t>
        </is>
      </c>
      <c r="D1275" s="278" t="inlineStr">
        <is>
          <t>Sevilla 41004</t>
        </is>
      </c>
      <c r="E1275" s="278" t="inlineStr">
        <is>
          <t>CIF B91938662</t>
        </is>
      </c>
      <c r="F1275" s="278" t="inlineStr">
        <is>
          <t>aBalados@abalados.es</t>
        </is>
      </c>
      <c r="G1275" s="278" t="inlineStr">
        <is>
          <t>Turbinto Parque Solar S.L.U.</t>
        </is>
      </c>
      <c r="H1275" s="278">
        <f>VLOOKUP($G1275,DATOS!$B:$E,2,FALSE)</f>
        <v/>
      </c>
      <c r="I1275" s="278">
        <f>VLOOKUP($G1275,DATOS!$B:$E,3,FALSE)</f>
        <v/>
      </c>
      <c r="J1275" s="278">
        <f>VLOOKUP($G1275,DATOS!$B:$E,4,FALSE)</f>
        <v/>
      </c>
      <c r="K1275" s="278" t="inlineStr">
        <is>
          <t>Contabilidad y Fiscalidad de proyecto Casa Roja - 3º Trimestre</t>
        </is>
      </c>
      <c r="L1275" s="280">
        <f>'Tarifa 2025'!$D$17/4</f>
        <v/>
      </c>
      <c r="M1275" s="278" t="inlineStr">
        <is>
          <t>SPV Management  Proyecto Turbinto - 3º Trimestre</t>
        </is>
      </c>
      <c r="N1275" s="280">
        <f>'Tarifa 2025'!$F$17/4</f>
        <v/>
      </c>
      <c r="O1275" s="278" t="inlineStr">
        <is>
          <t>O&amp;M Management Proyecto Turbinto - 3º Trimestre</t>
        </is>
      </c>
      <c r="P1275" s="280">
        <f>'Tarifa 2025'!$H$17/4</f>
        <v/>
      </c>
      <c r="Q1275" s="278" t="inlineStr">
        <is>
          <t>Consultoría - 3º Trimestre</t>
        </is>
      </c>
      <c r="R1275" s="280">
        <f>'Tarifa 2025'!$J$17/4</f>
        <v/>
      </c>
      <c r="T1275" s="280" t="n"/>
      <c r="V1275" s="280" t="n"/>
      <c r="X1275" s="280" t="n"/>
      <c r="Y1275" s="278" t="inlineStr">
        <is>
          <t>Gastos derivados de contrato (3,5%)</t>
        </is>
      </c>
      <c r="Z1275" s="280">
        <f>(L1275+N1275+P1275+R1275+T1275+V1275+X1275)*0.035</f>
        <v/>
      </c>
      <c r="AA1275" s="280" t="n"/>
      <c r="AB1275" s="281" t="inlineStr">
        <is>
          <t>ES11 0081 7069 2700 0122 7724</t>
        </is>
      </c>
      <c r="AC1275" s="278" t="inlineStr">
        <is>
          <t>pendiente</t>
        </is>
      </c>
      <c r="AD1275" s="280">
        <f>L1275+N1275+P1275+R1275+T1275+V1275+X1275+Z1275</f>
        <v/>
      </c>
      <c r="AE1275" s="280">
        <f>IF((LEFT(K1275,6))="Contab",L1275,0)</f>
        <v/>
      </c>
      <c r="AF1275" s="281">
        <f>VLOOKUP(G1275,CLIENTES!B:E,4,FALSE)</f>
        <v/>
      </c>
      <c r="AG1275" s="280">
        <f>AF1275*AE1275</f>
        <v/>
      </c>
      <c r="AH1275" s="280">
        <f>AD1275*1.21</f>
        <v/>
      </c>
      <c r="AI1275" s="282">
        <f>IF(AE1275&lt;&gt;0,AG1275/AD1275,"N/A")</f>
        <v/>
      </c>
      <c r="AJ1275" s="280">
        <f>IF(AC1275="pendiente",AD1275,0)</f>
        <v/>
      </c>
      <c r="AK1275" s="278">
        <f>VLOOKUP(G1275,CLIENTES!B:D,3,FALSE)</f>
        <v/>
      </c>
    </row>
    <row r="1276" ht="15" customFormat="1" customHeight="1" s="278">
      <c r="B1276" s="279" t="n"/>
      <c r="C1276" s="278" t="inlineStr">
        <is>
          <t>c/ Las Cruzadas 3A, local D</t>
        </is>
      </c>
      <c r="D1276" s="278" t="inlineStr">
        <is>
          <t>Sevilla 41004</t>
        </is>
      </c>
      <c r="E1276" s="278" t="inlineStr">
        <is>
          <t>CIF B91938662</t>
        </is>
      </c>
      <c r="F1276" s="278" t="inlineStr">
        <is>
          <t>aBalados@abalados.es</t>
        </is>
      </c>
      <c r="G1276" s="278" t="inlineStr">
        <is>
          <t>Amberg V S.L.U.</t>
        </is>
      </c>
      <c r="H1276" s="278">
        <f>VLOOKUP($G1276,DATOS!$B:$E,2,FALSE)</f>
        <v/>
      </c>
      <c r="I1276" s="278">
        <f>VLOOKUP($G1276,DATOS!$B:$E,3,FALSE)</f>
        <v/>
      </c>
      <c r="J1276" s="278">
        <f>VLOOKUP($G1276,DATOS!$B:$E,4,FALSE)</f>
        <v/>
      </c>
      <c r="K1276" s="278" t="inlineStr">
        <is>
          <t>Contabilidad y Fiscalidad de proyecto - 3º Trimestre</t>
        </is>
      </c>
      <c r="L1276" s="280">
        <f>'Tarifa 2025'!$D$18/4/6</f>
        <v/>
      </c>
      <c r="M1276" s="278" t="inlineStr">
        <is>
          <t>SPV Management de Proyecto - 3º Trimestre</t>
        </is>
      </c>
      <c r="N1276" s="280">
        <f>'Tarifa 2025'!$F$18/6/4</f>
        <v/>
      </c>
      <c r="O1276" s="278" t="inlineStr">
        <is>
          <t>O&amp;M Management de Proyecto - 3º Trimestre</t>
        </is>
      </c>
      <c r="P1276" s="280">
        <f>'Tarifa 2025'!$H$18/6/4</f>
        <v/>
      </c>
      <c r="R1276" s="280" t="n"/>
      <c r="T1276" s="280" t="n"/>
      <c r="V1276" s="280" t="n"/>
      <c r="X1276" s="280" t="n"/>
      <c r="Y1276" s="278" t="inlineStr">
        <is>
          <t>Gastos derivados de contrato (3,5%)</t>
        </is>
      </c>
      <c r="Z1276" s="280">
        <f>(L1276+N1276+P1276+R1276+T1276+V1276+X1276)*0.035</f>
        <v/>
      </c>
      <c r="AA1276" s="280" t="n"/>
      <c r="AB1276" s="281" t="inlineStr">
        <is>
          <t>ES11 0081 7069 2700 0122 7724</t>
        </is>
      </c>
      <c r="AC1276" s="278" t="inlineStr">
        <is>
          <t>pendiente</t>
        </is>
      </c>
      <c r="AD1276" s="280">
        <f>L1276+N1276+P1276+R1276+T1276+V1276+X1276+Z1276</f>
        <v/>
      </c>
      <c r="AE1276" s="280">
        <f>IF((LEFT(K1276,6))="Contab",L1276,0)</f>
        <v/>
      </c>
      <c r="AF1276" s="281">
        <f>VLOOKUP(G1276,CLIENTES!B:E,4,FALSE)</f>
        <v/>
      </c>
      <c r="AG1276" s="280">
        <f>AF1276*AE1276</f>
        <v/>
      </c>
      <c r="AH1276" s="280">
        <f>AD1276*1.21</f>
        <v/>
      </c>
      <c r="AI1276" s="282">
        <f>IF(AE1276&lt;&gt;0,AG1276/AD1276,"N/A")</f>
        <v/>
      </c>
      <c r="AJ1276" s="280">
        <f>IF(AC1276="pendiente",AD1276,0)</f>
        <v/>
      </c>
      <c r="AK1276" s="278">
        <f>VLOOKUP(G1276,CLIENTES!B:D,3,FALSE)</f>
        <v/>
      </c>
    </row>
    <row r="1277" ht="15" customFormat="1" customHeight="1" s="278">
      <c r="B1277" s="279" t="n"/>
      <c r="C1277" s="278" t="inlineStr">
        <is>
          <t>c/ Las Cruzadas 3A, local D</t>
        </is>
      </c>
      <c r="D1277" s="278" t="inlineStr">
        <is>
          <t>Sevilla 41004</t>
        </is>
      </c>
      <c r="E1277" s="278" t="inlineStr">
        <is>
          <t>CIF B91938662</t>
        </is>
      </c>
      <c r="F1277" s="278" t="inlineStr">
        <is>
          <t>aBalados@abalados.es</t>
        </is>
      </c>
      <c r="G1277" s="278" t="inlineStr">
        <is>
          <t>Solar Photo Collect S.L.U.</t>
        </is>
      </c>
      <c r="H1277" s="278">
        <f>VLOOKUP($G1277,DATOS!$B:$E,2,FALSE)</f>
        <v/>
      </c>
      <c r="I1277" s="278">
        <f>VLOOKUP($G1277,DATOS!$B:$E,3,FALSE)</f>
        <v/>
      </c>
      <c r="J1277" s="278">
        <f>VLOOKUP($G1277,DATOS!$B:$E,4,FALSE)</f>
        <v/>
      </c>
      <c r="K1277" s="278" t="inlineStr">
        <is>
          <t>Contabilidad y Fiscalidad de proyecto - 3º Trimestre</t>
        </is>
      </c>
      <c r="L1277" s="280">
        <f>'Tarifa 2025'!$D$18/4/6</f>
        <v/>
      </c>
      <c r="M1277" s="278" t="inlineStr">
        <is>
          <t>SPV Management de Proyecto - 3º Trimestre</t>
        </is>
      </c>
      <c r="N1277" s="280">
        <f>'Tarifa 2025'!$F$18/6/4</f>
        <v/>
      </c>
      <c r="O1277" s="278" t="inlineStr">
        <is>
          <t>O&amp;M Management de Proyecto - 3º Trimestre</t>
        </is>
      </c>
      <c r="P1277" s="280">
        <f>'Tarifa 2025'!$H$18/6/4</f>
        <v/>
      </c>
      <c r="R1277" s="280" t="n"/>
      <c r="T1277" s="280" t="n"/>
      <c r="V1277" s="280" t="n"/>
      <c r="X1277" s="280" t="n"/>
      <c r="Y1277" s="278" t="inlineStr">
        <is>
          <t>Gastos derivados de contrato (3,5%)</t>
        </is>
      </c>
      <c r="Z1277" s="280">
        <f>(L1277+N1277+P1277+R1277+T1277+V1277+X1277)*0.035</f>
        <v/>
      </c>
      <c r="AA1277" s="280" t="n"/>
      <c r="AB1277" s="281" t="inlineStr">
        <is>
          <t>ES11 0081 7069 2700 0122 7724</t>
        </is>
      </c>
      <c r="AC1277" s="278" t="inlineStr">
        <is>
          <t>pendiente</t>
        </is>
      </c>
      <c r="AD1277" s="280">
        <f>L1277+N1277+P1277+R1277+T1277+V1277+X1277+Z1277</f>
        <v/>
      </c>
      <c r="AE1277" s="280">
        <f>IF((LEFT(K1277,6))="Contab",L1277,0)</f>
        <v/>
      </c>
      <c r="AF1277" s="281">
        <f>VLOOKUP(G1277,CLIENTES!B:E,4,FALSE)</f>
        <v/>
      </c>
      <c r="AG1277" s="280">
        <f>AF1277*AE1277</f>
        <v/>
      </c>
      <c r="AH1277" s="280">
        <f>AD1277*1.21</f>
        <v/>
      </c>
      <c r="AI1277" s="282">
        <f>IF(AE1277&lt;&gt;0,AG1277/AD1277,"N/A")</f>
        <v/>
      </c>
      <c r="AJ1277" s="280">
        <f>IF(AC1277="pendiente",AD1277,0)</f>
        <v/>
      </c>
      <c r="AK1277" s="278">
        <f>VLOOKUP(G1277,CLIENTES!B:D,3,FALSE)</f>
        <v/>
      </c>
    </row>
    <row r="1278" ht="15" customFormat="1" customHeight="1" s="278">
      <c r="B1278" s="279" t="n"/>
      <c r="C1278" s="278" t="inlineStr">
        <is>
          <t>c/ Las Cruzadas 3A, local D</t>
        </is>
      </c>
      <c r="D1278" s="278" t="inlineStr">
        <is>
          <t>Sevilla 41004</t>
        </is>
      </c>
      <c r="E1278" s="278" t="inlineStr">
        <is>
          <t>CIF B91938662</t>
        </is>
      </c>
      <c r="F1278" s="278" t="inlineStr">
        <is>
          <t>aBalados@abalados.es</t>
        </is>
      </c>
      <c r="G1278" s="278" t="inlineStr">
        <is>
          <t xml:space="preserve">Rasteding PV I, S.L.U. </t>
        </is>
      </c>
      <c r="H1278" s="278">
        <f>VLOOKUP($G1278,DATOS!$B:$E,2,FALSE)</f>
        <v/>
      </c>
      <c r="I1278" s="278">
        <f>VLOOKUP($G1278,DATOS!$B:$E,3,FALSE)</f>
        <v/>
      </c>
      <c r="J1278" s="278">
        <f>VLOOKUP($G1278,DATOS!$B:$E,4,FALSE)</f>
        <v/>
      </c>
      <c r="K1278" s="278" t="inlineStr">
        <is>
          <t>Contabilidad y Fiscalidad de proyecto - 3º Trimestre</t>
        </is>
      </c>
      <c r="L1278" s="280">
        <f>'Tarifa 2025'!$D$18/4/6</f>
        <v/>
      </c>
      <c r="M1278" s="278" t="inlineStr">
        <is>
          <t>SPV Management de Proyecto - 3º Trimestre</t>
        </is>
      </c>
      <c r="N1278" s="280">
        <f>'Tarifa 2025'!$F$18/6/4</f>
        <v/>
      </c>
      <c r="O1278" s="278" t="inlineStr">
        <is>
          <t>O&amp;M Management de Proyecto - 3º Trimestre</t>
        </is>
      </c>
      <c r="P1278" s="280">
        <f>'Tarifa 2025'!$H$18/6/4</f>
        <v/>
      </c>
      <c r="R1278" s="280" t="n"/>
      <c r="T1278" s="280" t="n"/>
      <c r="V1278" s="280" t="n"/>
      <c r="X1278" s="280" t="n"/>
      <c r="Y1278" s="278" t="inlineStr">
        <is>
          <t>Gastos derivados de contrato (3,5%)</t>
        </is>
      </c>
      <c r="Z1278" s="280">
        <f>(L1278+N1278+P1278+R1278+T1278+V1278+X1278)*0.035</f>
        <v/>
      </c>
      <c r="AA1278" s="280" t="n"/>
      <c r="AB1278" s="281" t="inlineStr">
        <is>
          <t>ES11 0081 7069 2700 0122 7724</t>
        </is>
      </c>
      <c r="AC1278" s="278" t="inlineStr">
        <is>
          <t>pendiente</t>
        </is>
      </c>
      <c r="AD1278" s="280">
        <f>L1278+N1278+P1278+R1278+T1278+V1278+X1278+Z1278</f>
        <v/>
      </c>
      <c r="AE1278" s="280">
        <f>IF((LEFT(K1278,6))="Contab",L1278,0)</f>
        <v/>
      </c>
      <c r="AF1278" s="281">
        <f>VLOOKUP(G1278,CLIENTES!B:E,4,FALSE)</f>
        <v/>
      </c>
      <c r="AG1278" s="280">
        <f>AF1278*AE1278</f>
        <v/>
      </c>
      <c r="AH1278" s="280">
        <f>AD1278*1.21</f>
        <v/>
      </c>
      <c r="AI1278" s="282">
        <f>IF(AE1278&lt;&gt;0,AG1278/AD1278,"N/A")</f>
        <v/>
      </c>
      <c r="AJ1278" s="280">
        <f>IF(AC1278="pendiente",AD1278,0)</f>
        <v/>
      </c>
      <c r="AK1278" s="278">
        <f>VLOOKUP(G1278,CLIENTES!B:D,3,FALSE)</f>
        <v/>
      </c>
    </row>
    <row r="1279" ht="15" customFormat="1" customHeight="1" s="278">
      <c r="B1279" s="279" t="n"/>
      <c r="C1279" s="278" t="inlineStr">
        <is>
          <t>c/ Las Cruzadas 3A, local D</t>
        </is>
      </c>
      <c r="D1279" s="278" t="inlineStr">
        <is>
          <t>Sevilla 41004</t>
        </is>
      </c>
      <c r="E1279" s="278" t="inlineStr">
        <is>
          <t>CIF B91938662</t>
        </is>
      </c>
      <c r="F1279" s="278" t="inlineStr">
        <is>
          <t>aBalados@abalados.es</t>
        </is>
      </c>
      <c r="G1279" s="278" t="inlineStr">
        <is>
          <t>Amberg II S.L.U.</t>
        </is>
      </c>
      <c r="H1279" s="278">
        <f>VLOOKUP($G1279,DATOS!$B:$E,2,FALSE)</f>
        <v/>
      </c>
      <c r="I1279" s="278">
        <f>VLOOKUP($G1279,DATOS!$B:$E,3,FALSE)</f>
        <v/>
      </c>
      <c r="J1279" s="278">
        <f>VLOOKUP($G1279,DATOS!$B:$E,4,FALSE)</f>
        <v/>
      </c>
      <c r="K1279" s="278" t="inlineStr">
        <is>
          <t>Contabilidad y Fiscalidad de proyecto - 3º Trimestre</t>
        </is>
      </c>
      <c r="L1279" s="280">
        <f>'Tarifa 2025'!$D$18/4/6</f>
        <v/>
      </c>
      <c r="M1279" s="278" t="inlineStr">
        <is>
          <t>SPV Management de Proyecto - 3º Trimestre</t>
        </is>
      </c>
      <c r="N1279" s="280">
        <f>'Tarifa 2025'!$F$18/6/4</f>
        <v/>
      </c>
      <c r="O1279" s="278" t="inlineStr">
        <is>
          <t>O&amp;M Management de Proyecto - 3º Trimestre</t>
        </is>
      </c>
      <c r="P1279" s="280">
        <f>'Tarifa 2025'!$H$18/6/4</f>
        <v/>
      </c>
      <c r="R1279" s="280" t="n"/>
      <c r="T1279" s="280" t="n"/>
      <c r="V1279" s="280" t="n"/>
      <c r="X1279" s="280" t="n"/>
      <c r="Y1279" s="278" t="inlineStr">
        <is>
          <t>Gastos derivados de contrato (3,5%)</t>
        </is>
      </c>
      <c r="Z1279" s="280">
        <f>(L1279+N1279+P1279+R1279+T1279+V1279+X1279)*0.035</f>
        <v/>
      </c>
      <c r="AA1279" s="280" t="n"/>
      <c r="AB1279" s="281" t="inlineStr">
        <is>
          <t>ES11 0081 7069 2700 0122 7724</t>
        </is>
      </c>
      <c r="AC1279" s="278" t="inlineStr">
        <is>
          <t>pendiente</t>
        </is>
      </c>
      <c r="AD1279" s="280">
        <f>L1279+N1279+P1279+R1279+T1279+V1279+X1279+Z1279</f>
        <v/>
      </c>
      <c r="AE1279" s="280">
        <f>IF((LEFT(K1279,6))="Contab",L1279,0)</f>
        <v/>
      </c>
      <c r="AF1279" s="281">
        <f>VLOOKUP(G1279,CLIENTES!B:E,4,FALSE)</f>
        <v/>
      </c>
      <c r="AG1279" s="280">
        <f>AF1279*AE1279</f>
        <v/>
      </c>
      <c r="AH1279" s="280">
        <f>AD1279*1.21</f>
        <v/>
      </c>
      <c r="AI1279" s="282">
        <f>IF(AE1279&lt;&gt;0,AG1279/AD1279,"N/A")</f>
        <v/>
      </c>
      <c r="AJ1279" s="280">
        <f>IF(AC1279="pendiente",AD1279,0)</f>
        <v/>
      </c>
      <c r="AK1279" s="278">
        <f>VLOOKUP(G1279,CLIENTES!B:D,3,FALSE)</f>
        <v/>
      </c>
    </row>
    <row r="1280" ht="15" customFormat="1" customHeight="1" s="278">
      <c r="B1280" s="279" t="n"/>
      <c r="C1280" s="278" t="inlineStr">
        <is>
          <t>c/ Las Cruzadas 3A, local D</t>
        </is>
      </c>
      <c r="D1280" s="278" t="inlineStr">
        <is>
          <t>Sevilla 41004</t>
        </is>
      </c>
      <c r="E1280" s="278" t="inlineStr">
        <is>
          <t>CIF B91938662</t>
        </is>
      </c>
      <c r="F1280" s="278" t="inlineStr">
        <is>
          <t>aBalados@abalados.es</t>
        </is>
      </c>
      <c r="G1280" s="278" t="inlineStr">
        <is>
          <t>Tiksi PV II S.L.U.</t>
        </is>
      </c>
      <c r="H1280" s="278">
        <f>VLOOKUP($G1280,DATOS!$B:$E,2,FALSE)</f>
        <v/>
      </c>
      <c r="I1280" s="278">
        <f>VLOOKUP($G1280,DATOS!$B:$E,3,FALSE)</f>
        <v/>
      </c>
      <c r="J1280" s="278">
        <f>VLOOKUP($G1280,DATOS!$B:$E,4,FALSE)</f>
        <v/>
      </c>
      <c r="K1280" s="278" t="inlineStr">
        <is>
          <t>Contabilidad y Fiscalidad de proyecto - 3º Trimestre</t>
        </is>
      </c>
      <c r="L1280" s="280">
        <f>'Tarifa 2025'!$D$18/4/6</f>
        <v/>
      </c>
      <c r="M1280" s="278" t="inlineStr">
        <is>
          <t>SPV Management de Proyecto - 3º Trimestre</t>
        </is>
      </c>
      <c r="N1280" s="280">
        <f>'Tarifa 2025'!$F$18/6/4</f>
        <v/>
      </c>
      <c r="O1280" s="278" t="inlineStr">
        <is>
          <t>O&amp;M Management de Proyecto - 3º Trimestre</t>
        </is>
      </c>
      <c r="P1280" s="280">
        <f>'Tarifa 2025'!$H$18/6/4</f>
        <v/>
      </c>
      <c r="R1280" s="280" t="n"/>
      <c r="T1280" s="280" t="n"/>
      <c r="V1280" s="280" t="n"/>
      <c r="X1280" s="280" t="n"/>
      <c r="Y1280" s="278" t="inlineStr">
        <is>
          <t>Gastos derivados de contrato (3,5%)</t>
        </is>
      </c>
      <c r="Z1280" s="280">
        <f>(L1280+N1280+P1280+R1280+T1280+V1280+X1280)*0.035</f>
        <v/>
      </c>
      <c r="AA1280" s="280" t="n"/>
      <c r="AB1280" s="281" t="inlineStr">
        <is>
          <t>ES11 0081 7069 2700 0122 7724</t>
        </is>
      </c>
      <c r="AC1280" s="278" t="inlineStr">
        <is>
          <t>pendiente</t>
        </is>
      </c>
      <c r="AD1280" s="280">
        <f>L1280+N1280+P1280+R1280+T1280+V1280+X1280+Z1280</f>
        <v/>
      </c>
      <c r="AE1280" s="280">
        <f>IF((LEFT(K1280,6))="Contab",L1280,0)</f>
        <v/>
      </c>
      <c r="AF1280" s="281">
        <f>VLOOKUP(G1280,CLIENTES!B:E,4,FALSE)</f>
        <v/>
      </c>
      <c r="AG1280" s="280">
        <f>AF1280*AE1280</f>
        <v/>
      </c>
      <c r="AH1280" s="280">
        <f>AD1280*1.21</f>
        <v/>
      </c>
      <c r="AI1280" s="282">
        <f>IF(AE1280&lt;&gt;0,AG1280/AD1280,"N/A")</f>
        <v/>
      </c>
      <c r="AJ1280" s="280">
        <f>IF(AC1280="pendiente",AD1280,0)</f>
        <v/>
      </c>
      <c r="AK1280" s="278">
        <f>VLOOKUP(G1280,CLIENTES!B:D,3,FALSE)</f>
        <v/>
      </c>
    </row>
    <row r="1281" ht="15" customFormat="1" customHeight="1" s="192">
      <c r="B1281" s="199" t="n"/>
      <c r="C1281" s="192" t="inlineStr">
        <is>
          <t>c/ Las Cruzadas 3A, local D</t>
        </is>
      </c>
      <c r="D1281" s="192" t="inlineStr">
        <is>
          <t>Sevilla 41004</t>
        </is>
      </c>
      <c r="E1281" s="192" t="inlineStr">
        <is>
          <t>CIF B91938662</t>
        </is>
      </c>
      <c r="F1281" s="192" t="inlineStr">
        <is>
          <t>aBalados@abalados.es</t>
        </is>
      </c>
      <c r="G1281" s="192" t="inlineStr">
        <is>
          <t>Solar Photo Corp S.L.U.</t>
        </is>
      </c>
      <c r="H1281" s="192">
        <f>VLOOKUP($G1281,DATOS!$B:$E,2,FALSE)</f>
        <v/>
      </c>
      <c r="I1281" s="192">
        <f>VLOOKUP($G1281,DATOS!$B:$E,3,FALSE)</f>
        <v/>
      </c>
      <c r="J1281" s="192">
        <f>VLOOKUP($G1281,DATOS!$B:$E,4,FALSE)</f>
        <v/>
      </c>
      <c r="K1281" s="192" t="inlineStr">
        <is>
          <t>Contabilidad y Fiscalidad de proyecto - 3º Trimestre</t>
        </is>
      </c>
      <c r="L1281" s="200">
        <f>'Tarifa 2025'!$D$18/4/6</f>
        <v/>
      </c>
      <c r="M1281" s="192" t="inlineStr">
        <is>
          <t>SPV Management de Proyecto - 3º Trimestre</t>
        </is>
      </c>
      <c r="N1281" s="200">
        <f>'Tarifa 2025'!$F$18/6/4</f>
        <v/>
      </c>
      <c r="O1281" s="192" t="inlineStr">
        <is>
          <t>O&amp;M Management de Proyecto - 3º Trimestre</t>
        </is>
      </c>
      <c r="P1281" s="200">
        <f>'Tarifa 2025'!$H$18/6/4</f>
        <v/>
      </c>
      <c r="R1281" s="200" t="n"/>
      <c r="T1281" s="200" t="n"/>
      <c r="V1281" s="200" t="n"/>
      <c r="X1281" s="200" t="n"/>
      <c r="Y1281" s="192" t="inlineStr">
        <is>
          <t>Gastos derivados de contrato (3,5%)</t>
        </is>
      </c>
      <c r="Z1281" s="200">
        <f>(L1281+N1281+P1281+R1281+T1281+V1281+X1281)*0.035</f>
        <v/>
      </c>
      <c r="AA1281" s="200" t="n"/>
      <c r="AB1281" s="201" t="inlineStr">
        <is>
          <t>ES11 0081 7069 2700 0122 7724</t>
        </is>
      </c>
      <c r="AC1281" s="278" t="inlineStr">
        <is>
          <t>pendiente</t>
        </is>
      </c>
      <c r="AD1281" s="200">
        <f>L1281+N1281+P1281+R1281+T1281+V1281+X1281+Z1281</f>
        <v/>
      </c>
      <c r="AE1281" s="200">
        <f>IF((LEFT(K1281,6))="Contab",L1281,0)</f>
        <v/>
      </c>
      <c r="AF1281" s="201">
        <f>VLOOKUP(G1281,CLIENTES!B:E,4,FALSE)</f>
        <v/>
      </c>
      <c r="AG1281" s="200">
        <f>AF1281*AE1281</f>
        <v/>
      </c>
      <c r="AH1281" s="200">
        <f>AD1281*1.21</f>
        <v/>
      </c>
      <c r="AI1281" s="202">
        <f>IF(AE1281&lt;&gt;0,AG1281/AD1281,"N/A")</f>
        <v/>
      </c>
      <c r="AJ1281" s="200">
        <f>IF(AC1281="pendiente",AD1281,0)</f>
        <v/>
      </c>
      <c r="AK1281" s="192">
        <f>VLOOKUP(G1281,CLIENTES!B:D,3,FALSE)</f>
        <v/>
      </c>
    </row>
    <row r="1282" ht="15" customFormat="1" customHeight="1" s="278">
      <c r="B1282" s="279" t="n"/>
      <c r="C1282" s="278" t="inlineStr">
        <is>
          <t>c/ Las Cruzadas 3A, local D</t>
        </is>
      </c>
      <c r="D1282" s="278" t="inlineStr">
        <is>
          <t>Sevilla 41004</t>
        </is>
      </c>
      <c r="E1282" s="278" t="inlineStr">
        <is>
          <t>CIF B91938662</t>
        </is>
      </c>
      <c r="F1282" s="278" t="inlineStr">
        <is>
          <t>aBalados@abalados.es</t>
        </is>
      </c>
      <c r="G1282" s="278" t="inlineStr">
        <is>
          <t>Dehesa Asomadilla Inversiones S.L.U.</t>
        </is>
      </c>
      <c r="H1282" s="278">
        <f>VLOOKUP($G1282,DATOS!$B:$E,2,FALSE)</f>
        <v/>
      </c>
      <c r="I1282" s="278">
        <f>VLOOKUP($G1282,DATOS!$B:$E,3,FALSE)</f>
        <v/>
      </c>
      <c r="J1282" s="278">
        <f>VLOOKUP($G1282,DATOS!$B:$E,4,FALSE)</f>
        <v/>
      </c>
      <c r="K1282" s="278" t="inlineStr">
        <is>
          <t>Honorarios - Contrato O&amp;M 3º Trimestre</t>
        </is>
      </c>
      <c r="L1282" s="280" t="n">
        <v>28730.36764271932</v>
      </c>
      <c r="N1282" s="280" t="n"/>
      <c r="P1282" s="280" t="n"/>
      <c r="R1282" s="280" t="n"/>
      <c r="T1282" s="280" t="n"/>
      <c r="V1282" s="280" t="n"/>
      <c r="X1282" s="280" t="n"/>
      <c r="Z1282" s="280" t="n"/>
      <c r="AA1282" s="280" t="n"/>
      <c r="AB1282" s="281" t="inlineStr">
        <is>
          <t>ES11 0081 7069 2700 0122 7724</t>
        </is>
      </c>
      <c r="AC1282" s="278" t="inlineStr">
        <is>
          <t>pendiente</t>
        </is>
      </c>
      <c r="AD1282" s="280">
        <f>L1282+N1282+P1282+R1282+T1282+V1282+X1282+Z1282</f>
        <v/>
      </c>
      <c r="AE1282" s="280">
        <f>IF((LEFT(K1282,6))="Contab",L1282,0)</f>
        <v/>
      </c>
      <c r="AF1282" s="281">
        <f>VLOOKUP(G1282,CLIENTES!B:E,4,FALSE)</f>
        <v/>
      </c>
      <c r="AG1282" s="280">
        <f>AF1282*AE1282</f>
        <v/>
      </c>
      <c r="AH1282" s="280">
        <f>AD1282*1.21</f>
        <v/>
      </c>
      <c r="AI1282" s="282">
        <f>IF(AE1282&lt;&gt;0,AG1282/AD1282,"N/A")</f>
        <v/>
      </c>
      <c r="AJ1282" s="280">
        <f>IF(AC1282="pendiente",AD1282,0)</f>
        <v/>
      </c>
      <c r="AK1282" s="278">
        <f>VLOOKUP(G1282,CLIENTES!B:D,3,FALSE)</f>
        <v/>
      </c>
    </row>
    <row r="1283" ht="15" customFormat="1" customHeight="1" s="278">
      <c r="B1283" s="279" t="n"/>
      <c r="C1283" s="278" t="inlineStr">
        <is>
          <t>c/ Las Cruzadas 3A, local D</t>
        </is>
      </c>
      <c r="D1283" s="278" t="inlineStr">
        <is>
          <t>Sevilla 41004</t>
        </is>
      </c>
      <c r="E1283" s="278" t="inlineStr">
        <is>
          <t>CIF B91938662</t>
        </is>
      </c>
      <c r="F1283" s="278" t="inlineStr">
        <is>
          <t>aBalados@abalados.es</t>
        </is>
      </c>
      <c r="G1283" s="278" t="inlineStr">
        <is>
          <t>Asomadilla Solar 2007 S.L.U.</t>
        </is>
      </c>
      <c r="H1283" s="278">
        <f>VLOOKUP($G1283,DATOS!$B:$E,2,FALSE)</f>
        <v/>
      </c>
      <c r="I1283" s="278">
        <f>VLOOKUP($G1283,DATOS!$B:$E,3,FALSE)</f>
        <v/>
      </c>
      <c r="J1283" s="278">
        <f>VLOOKUP($G1283,DATOS!$B:$E,4,FALSE)</f>
        <v/>
      </c>
      <c r="K1283" s="278" t="inlineStr">
        <is>
          <t>Honorarios - Contrato O&amp;M 3º Trimestre</t>
        </is>
      </c>
      <c r="L1283" s="280" t="n">
        <v>18387.43529134037</v>
      </c>
      <c r="N1283" s="280" t="n"/>
      <c r="P1283" s="280" t="n"/>
      <c r="R1283" s="280" t="n"/>
      <c r="T1283" s="280" t="n"/>
      <c r="V1283" s="280" t="n"/>
      <c r="X1283" s="280" t="n"/>
      <c r="Z1283" s="280" t="n"/>
      <c r="AA1283" s="280" t="n"/>
      <c r="AB1283" s="281" t="inlineStr">
        <is>
          <t>ES11 0081 7069 2700 0122 7724</t>
        </is>
      </c>
      <c r="AC1283" s="278" t="inlineStr">
        <is>
          <t>pendiente</t>
        </is>
      </c>
      <c r="AD1283" s="280">
        <f>L1283+N1283+P1283+R1283+T1283+V1283+X1283+Z1283</f>
        <v/>
      </c>
      <c r="AE1283" s="280">
        <f>IF((LEFT(K1283,6))="Contab",L1283,0)</f>
        <v/>
      </c>
      <c r="AF1283" s="281">
        <f>VLOOKUP(G1283,CLIENTES!B:E,4,FALSE)</f>
        <v/>
      </c>
      <c r="AG1283" s="280">
        <f>AF1283*AE1283</f>
        <v/>
      </c>
      <c r="AH1283" s="280">
        <f>AD1283*1.21</f>
        <v/>
      </c>
      <c r="AI1283" s="282">
        <f>IF(AE1283&lt;&gt;0,AG1283/AD1283,"N/A")</f>
        <v/>
      </c>
      <c r="AJ1283" s="280">
        <f>IF(AC1283="pendiente",AD1283,0)</f>
        <v/>
      </c>
      <c r="AK1283" s="278">
        <f>VLOOKUP(G1283,CLIENTES!B:D,3,FALSE)</f>
        <v/>
      </c>
    </row>
    <row r="1284" ht="15" customFormat="1" customHeight="1" s="278">
      <c r="B1284" s="279" t="n"/>
      <c r="C1284" s="278" t="inlineStr">
        <is>
          <t>c/ Las Cruzadas 3A, local D</t>
        </is>
      </c>
      <c r="D1284" s="278" t="inlineStr">
        <is>
          <t>Sevilla 41004</t>
        </is>
      </c>
      <c r="E1284" s="278" t="inlineStr">
        <is>
          <t>CIF B91938662</t>
        </is>
      </c>
      <c r="F1284" s="278" t="inlineStr">
        <is>
          <t>aBalados@abalados.es</t>
        </is>
      </c>
      <c r="G1284" s="278" t="inlineStr">
        <is>
          <t>ES Garrovers Energía Solar S.L.U.</t>
        </is>
      </c>
      <c r="H1284" s="278">
        <f>VLOOKUP($G1284,DATOS!$B:$E,2,FALSE)</f>
        <v/>
      </c>
      <c r="I1284" s="278">
        <f>VLOOKUP($G1284,DATOS!$B:$E,3,FALSE)</f>
        <v/>
      </c>
      <c r="J1284" s="278">
        <f>VLOOKUP($G1284,DATOS!$B:$E,4,FALSE)</f>
        <v/>
      </c>
      <c r="K1284" s="278" t="inlineStr">
        <is>
          <t>Honorarios - Contrato O&amp;M 3º Trimestre</t>
        </is>
      </c>
      <c r="L1284" s="280" t="n">
        <v>21658.14637476112</v>
      </c>
      <c r="N1284" s="280" t="n"/>
      <c r="P1284" s="280" t="n"/>
      <c r="R1284" s="280" t="n"/>
      <c r="T1284" s="280" t="n"/>
      <c r="V1284" s="280" t="n"/>
      <c r="X1284" s="280" t="n"/>
      <c r="Z1284" s="280" t="n"/>
      <c r="AA1284" s="280" t="n"/>
      <c r="AB1284" s="281" t="inlineStr">
        <is>
          <t>ES11 0081 7069 2700 0122 7724</t>
        </is>
      </c>
      <c r="AC1284" s="278" t="inlineStr">
        <is>
          <t>pendiente</t>
        </is>
      </c>
      <c r="AD1284" s="280">
        <f>L1284+N1284+P1284+R1284+T1284+V1284+X1284+Z1284</f>
        <v/>
      </c>
      <c r="AE1284" s="280">
        <f>IF((LEFT(K1284,6))="Contab",L1284,0)</f>
        <v/>
      </c>
      <c r="AF1284" s="281">
        <f>VLOOKUP(G1284,CLIENTES!B:E,4,FALSE)</f>
        <v/>
      </c>
      <c r="AG1284" s="280">
        <f>AF1284*AE1284</f>
        <v/>
      </c>
      <c r="AH1284" s="280">
        <f>AD1284*1.21</f>
        <v/>
      </c>
      <c r="AI1284" s="282">
        <f>IF(AE1284&lt;&gt;0,AG1284/AD1284,"N/A")</f>
        <v/>
      </c>
      <c r="AJ1284" s="280">
        <f>IF(AC1284="pendiente",AD1284,0)</f>
        <v/>
      </c>
      <c r="AK1284" s="278">
        <f>VLOOKUP(G1284,CLIENTES!B:D,3,FALSE)</f>
        <v/>
      </c>
    </row>
    <row r="1285" ht="15" customFormat="1" customHeight="1" s="278">
      <c r="B1285" s="279" t="n"/>
      <c r="C1285" s="278" t="inlineStr">
        <is>
          <t>c/ Las Cruzadas 3A, local D</t>
        </is>
      </c>
      <c r="D1285" s="278" t="inlineStr">
        <is>
          <t>Sevilla 41004</t>
        </is>
      </c>
      <c r="E1285" s="278" t="inlineStr">
        <is>
          <t>CIF B91938662</t>
        </is>
      </c>
      <c r="F1285" s="278" t="inlineStr">
        <is>
          <t>aBalados@abalados.es</t>
        </is>
      </c>
      <c r="G1285" s="278" t="inlineStr">
        <is>
          <t>WOC Fotovoltaica España Proyecto Sollana S.L.U.</t>
        </is>
      </c>
      <c r="H1285" s="278">
        <f>VLOOKUP($G1285,DATOS!$B:$E,2,FALSE)</f>
        <v/>
      </c>
      <c r="I1285" s="278">
        <f>VLOOKUP($G1285,DATOS!$B:$E,3,FALSE)</f>
        <v/>
      </c>
      <c r="J1285" s="278">
        <f>VLOOKUP($G1285,DATOS!$B:$E,4,FALSE)</f>
        <v/>
      </c>
      <c r="K1285" s="278" t="inlineStr">
        <is>
          <t>Honorarios - Contrato O&amp;M 3º Trimestre</t>
        </is>
      </c>
      <c r="L1285" s="280" t="n">
        <v>11919.82344370187</v>
      </c>
      <c r="N1285" s="280" t="n"/>
      <c r="P1285" s="280" t="n"/>
      <c r="R1285" s="280" t="n"/>
      <c r="T1285" s="280" t="n"/>
      <c r="V1285" s="280" t="n"/>
      <c r="X1285" s="280" t="n"/>
      <c r="Z1285" s="280" t="n"/>
      <c r="AA1285" s="280" t="n"/>
      <c r="AB1285" s="281" t="inlineStr">
        <is>
          <t>ES11 0081 7069 2700 0122 7724</t>
        </is>
      </c>
      <c r="AC1285" s="278" t="inlineStr">
        <is>
          <t>pendiente</t>
        </is>
      </c>
      <c r="AD1285" s="280">
        <f>L1285+N1285+P1285+R1285+T1285+V1285+X1285+Z1285</f>
        <v/>
      </c>
      <c r="AE1285" s="280">
        <f>IF((LEFT(K1285,6))="Contab",L1285,0)</f>
        <v/>
      </c>
      <c r="AF1285" s="281">
        <f>VLOOKUP(G1285,CLIENTES!B:E,4,FALSE)</f>
        <v/>
      </c>
      <c r="AG1285" s="280">
        <f>AF1285*AE1285</f>
        <v/>
      </c>
      <c r="AH1285" s="280">
        <f>AD1285*1.21</f>
        <v/>
      </c>
      <c r="AI1285" s="282">
        <f>IF(AE1285&lt;&gt;0,AG1285/AD1285,"N/A")</f>
        <v/>
      </c>
      <c r="AJ1285" s="280">
        <f>IF(AC1285="pendiente",AD1285,0)</f>
        <v/>
      </c>
      <c r="AK1285" s="278">
        <f>VLOOKUP(G1285,CLIENTES!B:D,3,FALSE)</f>
        <v/>
      </c>
    </row>
    <row r="1286" ht="15" customFormat="1" customHeight="1" s="278">
      <c r="B1286" s="279" t="n"/>
      <c r="C1286" s="278" t="inlineStr">
        <is>
          <t>c/ Las Cruzadas 3A, local D</t>
        </is>
      </c>
      <c r="D1286" s="278" t="inlineStr">
        <is>
          <t>Sevilla 41004</t>
        </is>
      </c>
      <c r="E1286" s="278" t="inlineStr">
        <is>
          <t>CIF B91938662</t>
        </is>
      </c>
      <c r="F1286" s="278" t="inlineStr">
        <is>
          <t>aBalados@abalados.es</t>
        </is>
      </c>
      <c r="G1286" s="278" t="inlineStr">
        <is>
          <t>Inversión Cubiertas Solares S.L.U.</t>
        </is>
      </c>
      <c r="H1286" s="278">
        <f>VLOOKUP($G1286,DATOS!$B:$E,2,FALSE)</f>
        <v/>
      </c>
      <c r="I1286" s="278">
        <f>VLOOKUP($G1286,DATOS!$B:$E,3,FALSE)</f>
        <v/>
      </c>
      <c r="J1286" s="278">
        <f>VLOOKUP($G1286,DATOS!$B:$E,4,FALSE)</f>
        <v/>
      </c>
      <c r="K1286" s="278" t="inlineStr">
        <is>
          <t>Honorarios - Contrato O&amp;M 3º Trimestre</t>
        </is>
      </c>
      <c r="L1286" s="280" t="n">
        <v>1271.841835461094</v>
      </c>
      <c r="N1286" s="280" t="n"/>
      <c r="P1286" s="280" t="n"/>
      <c r="R1286" s="280" t="n"/>
      <c r="T1286" s="280" t="n"/>
      <c r="V1286" s="280" t="n"/>
      <c r="X1286" s="280" t="n"/>
      <c r="Z1286" s="280" t="n"/>
      <c r="AA1286" s="280" t="n"/>
      <c r="AB1286" s="281" t="inlineStr">
        <is>
          <t>ES11 0081 7069 2700 0122 7724</t>
        </is>
      </c>
      <c r="AC1286" s="278" t="inlineStr">
        <is>
          <t>pendiente</t>
        </is>
      </c>
      <c r="AD1286" s="280">
        <f>L1286+N1286+P1286+R1286+T1286+V1286+X1286+Z1286</f>
        <v/>
      </c>
      <c r="AE1286" s="280">
        <f>IF((LEFT(K1286,6))="Contab",L1286,0)</f>
        <v/>
      </c>
      <c r="AF1286" s="281">
        <f>VLOOKUP(G1286,CLIENTES!B:E,4,FALSE)</f>
        <v/>
      </c>
      <c r="AG1286" s="280">
        <f>AF1286*AE1286</f>
        <v/>
      </c>
      <c r="AH1286" s="280">
        <f>AD1286*1.21</f>
        <v/>
      </c>
      <c r="AI1286" s="282">
        <f>IF(AE1286&lt;&gt;0,AG1286/AD1286,"N/A")</f>
        <v/>
      </c>
      <c r="AJ1286" s="280">
        <f>IF(AC1286="pendiente",AD1286,0)</f>
        <v/>
      </c>
      <c r="AK1286" s="278">
        <f>VLOOKUP(G1286,CLIENTES!B:D,3,FALSE)</f>
        <v/>
      </c>
    </row>
    <row r="1287" ht="15" customFormat="1" customHeight="1" s="278">
      <c r="B1287" s="279" t="n"/>
      <c r="C1287" s="278" t="inlineStr">
        <is>
          <t>c/ Las Cruzadas 3A, local D</t>
        </is>
      </c>
      <c r="D1287" s="278" t="inlineStr">
        <is>
          <t>Sevilla 41004</t>
        </is>
      </c>
      <c r="E1287" s="278" t="inlineStr">
        <is>
          <t>CIF B91938662</t>
        </is>
      </c>
      <c r="F1287" s="278" t="inlineStr">
        <is>
          <t>aBalados@abalados.es</t>
        </is>
      </c>
      <c r="G1287" s="278" t="inlineStr">
        <is>
          <t>Lugec Inversión Solar S.L.U.</t>
        </is>
      </c>
      <c r="H1287" s="278">
        <f>VLOOKUP($G1287,DATOS!$B:$E,2,FALSE)</f>
        <v/>
      </c>
      <c r="I1287" s="278">
        <f>VLOOKUP($G1287,DATOS!$B:$E,3,FALSE)</f>
        <v/>
      </c>
      <c r="J1287" s="278">
        <f>VLOOKUP($G1287,DATOS!$B:$E,4,FALSE)</f>
        <v/>
      </c>
      <c r="K1287" s="278" t="inlineStr">
        <is>
          <t>Honorarios - Contrato O&amp;M 3º Trimestre</t>
        </is>
      </c>
      <c r="L1287" s="280" t="n">
        <v>3435.320686511403</v>
      </c>
      <c r="N1287" s="280" t="n"/>
      <c r="P1287" s="280" t="n"/>
      <c r="R1287" s="280" t="n"/>
      <c r="T1287" s="280" t="n"/>
      <c r="V1287" s="280" t="n"/>
      <c r="X1287" s="280" t="n"/>
      <c r="Z1287" s="280" t="n"/>
      <c r="AA1287" s="280" t="n"/>
      <c r="AB1287" s="281" t="inlineStr">
        <is>
          <t>ES11 0081 7069 2700 0122 7724</t>
        </is>
      </c>
      <c r="AC1287" s="278" t="inlineStr">
        <is>
          <t>pendiente</t>
        </is>
      </c>
      <c r="AD1287" s="280">
        <f>L1287+N1287+P1287+R1287+T1287+V1287+X1287+Z1287</f>
        <v/>
      </c>
      <c r="AE1287" s="280">
        <f>IF((LEFT(K1287,6))="Contab",L1287,0)</f>
        <v/>
      </c>
      <c r="AF1287" s="281">
        <f>VLOOKUP(G1287,CLIENTES!B:E,4,FALSE)</f>
        <v/>
      </c>
      <c r="AG1287" s="280">
        <f>AF1287*AE1287</f>
        <v/>
      </c>
      <c r="AH1287" s="280">
        <f>AD1287*1.21</f>
        <v/>
      </c>
      <c r="AI1287" s="282">
        <f>IF(AE1287&lt;&gt;0,AG1287/AD1287,"N/A")</f>
        <v/>
      </c>
      <c r="AJ1287" s="280">
        <f>IF(AC1287="pendiente",AD1287,0)</f>
        <v/>
      </c>
      <c r="AK1287" s="278">
        <f>VLOOKUP(G1287,CLIENTES!B:D,3,FALSE)</f>
        <v/>
      </c>
    </row>
    <row r="1288" ht="15" customFormat="1" customHeight="1" s="278">
      <c r="B1288" s="279" t="n"/>
      <c r="C1288" s="278" t="inlineStr">
        <is>
          <t>c/ Las Cruzadas 3A, local D</t>
        </is>
      </c>
      <c r="D1288" s="278" t="inlineStr">
        <is>
          <t>Sevilla 41004</t>
        </is>
      </c>
      <c r="E1288" s="278" t="inlineStr">
        <is>
          <t>CIF B91938662</t>
        </is>
      </c>
      <c r="F1288" s="278" t="inlineStr">
        <is>
          <t>aBalados@abalados.es</t>
        </is>
      </c>
      <c r="G1288" s="278" t="inlineStr">
        <is>
          <t>Solar Photo Collect S.L.U.</t>
        </is>
      </c>
      <c r="H1288" s="278">
        <f>VLOOKUP($G1288,DATOS!$B:$E,2,FALSE)</f>
        <v/>
      </c>
      <c r="I1288" s="278">
        <f>VLOOKUP($G1288,DATOS!$B:$E,3,FALSE)</f>
        <v/>
      </c>
      <c r="J1288" s="278">
        <f>VLOOKUP($G1288,DATOS!$B:$E,4,FALSE)</f>
        <v/>
      </c>
      <c r="K1288" s="278" t="inlineStr">
        <is>
          <t>Honorarios - Contrato O&amp;M 3º Trimestre</t>
        </is>
      </c>
      <c r="L1288" s="280" t="n">
        <v>13982.075780365</v>
      </c>
      <c r="M1288" s="278" t="inlineStr">
        <is>
          <t>Garantía 40% (dotada en 2017)</t>
        </is>
      </c>
      <c r="N1288" s="280" t="n"/>
      <c r="P1288" s="280" t="n"/>
      <c r="R1288" s="280" t="n"/>
      <c r="T1288" s="280" t="n"/>
      <c r="V1288" s="280" t="n"/>
      <c r="X1288" s="280" t="n"/>
      <c r="Z1288" s="280" t="n"/>
      <c r="AA1288" s="280" t="n"/>
      <c r="AB1288" s="281" t="inlineStr">
        <is>
          <t>ES11 0081 7069 2700 0122 7724</t>
        </is>
      </c>
      <c r="AC1288" s="278" t="inlineStr">
        <is>
          <t>pendiente</t>
        </is>
      </c>
      <c r="AD1288" s="280">
        <f>L1288+N1288+P1288+R1288+T1288+V1288+X1288+Z1288</f>
        <v/>
      </c>
      <c r="AE1288" s="280">
        <f>IF((LEFT(K1288,6))="Contab",L1288,0)</f>
        <v/>
      </c>
      <c r="AF1288" s="281">
        <f>VLOOKUP(G1288,CLIENTES!B:E,4,FALSE)</f>
        <v/>
      </c>
      <c r="AG1288" s="280">
        <f>AF1288*AE1288</f>
        <v/>
      </c>
      <c r="AH1288" s="280">
        <f>AD1288*1.21</f>
        <v/>
      </c>
      <c r="AI1288" s="282">
        <f>IF(AE1288&lt;&gt;0,AG1288/AD1288,"N/A")</f>
        <v/>
      </c>
      <c r="AJ1288" s="280">
        <f>IF(AC1288="pendiente",AD1288,0)</f>
        <v/>
      </c>
      <c r="AK1288" s="278">
        <f>VLOOKUP(G1288,CLIENTES!B:D,3,FALSE)</f>
        <v/>
      </c>
    </row>
    <row r="1289" ht="15" customFormat="1" customHeight="1" s="278">
      <c r="B1289" s="279" t="n"/>
      <c r="C1289" s="278" t="inlineStr">
        <is>
          <t>c/ Las Cruzadas 3A, local D</t>
        </is>
      </c>
      <c r="D1289" s="278" t="inlineStr">
        <is>
          <t>Sevilla 41004</t>
        </is>
      </c>
      <c r="E1289" s="278" t="inlineStr">
        <is>
          <t>CIF B91938662</t>
        </is>
      </c>
      <c r="F1289" s="278" t="inlineStr">
        <is>
          <t>aBalados@abalados.es</t>
        </is>
      </c>
      <c r="G1289" s="278" t="inlineStr">
        <is>
          <t>Solar Photo Corp S.L.U.</t>
        </is>
      </c>
      <c r="H1289" s="278">
        <f>VLOOKUP($G1289,DATOS!$B:$E,2,FALSE)</f>
        <v/>
      </c>
      <c r="I1289" s="278">
        <f>VLOOKUP($G1289,DATOS!$B:$E,3,FALSE)</f>
        <v/>
      </c>
      <c r="J1289" s="278">
        <f>VLOOKUP($G1289,DATOS!$B:$E,4,FALSE)</f>
        <v/>
      </c>
      <c r="K1289" s="278" t="inlineStr">
        <is>
          <t>Honorarios - Contrato O&amp;M 3º Trimestre</t>
        </is>
      </c>
      <c r="L1289" s="280" t="n">
        <v>6214.2269967175</v>
      </c>
      <c r="M1289" s="278" t="inlineStr">
        <is>
          <t>Garantía 40% (dotada en 2017)</t>
        </is>
      </c>
      <c r="N1289" s="280" t="n"/>
      <c r="P1289" s="280" t="n"/>
      <c r="R1289" s="280" t="n"/>
      <c r="T1289" s="280" t="n"/>
      <c r="V1289" s="280" t="n"/>
      <c r="X1289" s="280" t="n"/>
      <c r="Z1289" s="280" t="n"/>
      <c r="AA1289" s="280" t="n"/>
      <c r="AB1289" s="281" t="inlineStr">
        <is>
          <t>ES11 0081 7069 2700 0122 7724</t>
        </is>
      </c>
      <c r="AC1289" s="278" t="inlineStr">
        <is>
          <t>pendiente</t>
        </is>
      </c>
      <c r="AD1289" s="280">
        <f>L1289+N1289+P1289+R1289+T1289+V1289+X1289+Z1289</f>
        <v/>
      </c>
      <c r="AE1289" s="280">
        <f>IF((LEFT(K1289,6))="Contab",L1289,0)</f>
        <v/>
      </c>
      <c r="AF1289" s="281">
        <f>VLOOKUP(G1289,CLIENTES!B:E,4,FALSE)</f>
        <v/>
      </c>
      <c r="AG1289" s="280">
        <f>AF1289*AE1289</f>
        <v/>
      </c>
      <c r="AH1289" s="280">
        <f>AD1289*1.21</f>
        <v/>
      </c>
      <c r="AI1289" s="282">
        <f>IF(AE1289&lt;&gt;0,AG1289/AD1289,"N/A")</f>
        <v/>
      </c>
      <c r="AJ1289" s="280">
        <f>IF(AC1289="pendiente",AD1289,0)</f>
        <v/>
      </c>
      <c r="AK1289" s="278">
        <f>VLOOKUP(G1289,CLIENTES!B:D,3,FALSE)</f>
        <v/>
      </c>
    </row>
    <row r="1290" ht="15" customFormat="1" customHeight="1" s="278">
      <c r="B1290" s="279" t="n"/>
      <c r="C1290" s="278" t="inlineStr">
        <is>
          <t>c/ Las Cruzadas 3A, local D</t>
        </is>
      </c>
      <c r="D1290" s="278" t="inlineStr">
        <is>
          <t>Sevilla 41004</t>
        </is>
      </c>
      <c r="E1290" s="278" t="inlineStr">
        <is>
          <t>CIF B91938662</t>
        </is>
      </c>
      <c r="F1290" s="278" t="inlineStr">
        <is>
          <t>aBalados@abalados.es</t>
        </is>
      </c>
      <c r="G1290" s="278" t="inlineStr">
        <is>
          <t xml:space="preserve">Rasteding PV I, S.L.U. </t>
        </is>
      </c>
      <c r="H1290" s="278">
        <f>VLOOKUP($G1290,DATOS!$B:$E,2,FALSE)</f>
        <v/>
      </c>
      <c r="I1290" s="278">
        <f>VLOOKUP($G1290,DATOS!$B:$E,3,FALSE)</f>
        <v/>
      </c>
      <c r="J1290" s="278">
        <f>VLOOKUP($G1290,DATOS!$B:$E,4,FALSE)</f>
        <v/>
      </c>
      <c r="K1290" s="278" t="inlineStr">
        <is>
          <t>Honorarios - Contrato O&amp;M 3º Trimestre</t>
        </is>
      </c>
      <c r="L1290" s="280" t="n">
        <v>3208.007861658325</v>
      </c>
      <c r="M1290" s="278" t="inlineStr">
        <is>
          <t>Garantía 40% (dotada en 2017)</t>
        </is>
      </c>
      <c r="N1290" s="280" t="n"/>
      <c r="P1290" s="280" t="n"/>
      <c r="R1290" s="280" t="n"/>
      <c r="T1290" s="280" t="n"/>
      <c r="V1290" s="280" t="n"/>
      <c r="X1290" s="280" t="n"/>
      <c r="Z1290" s="280" t="n"/>
      <c r="AA1290" s="280" t="n"/>
      <c r="AB1290" s="281" t="inlineStr">
        <is>
          <t>ES11 0081 7069 2700 0122 7724</t>
        </is>
      </c>
      <c r="AC1290" s="278" t="inlineStr">
        <is>
          <t>pendiente</t>
        </is>
      </c>
      <c r="AD1290" s="280">
        <f>L1290+N1290+P1290+R1290+T1290+V1290+X1290+Z1290</f>
        <v/>
      </c>
      <c r="AE1290" s="280">
        <f>IF((LEFT(K1290,6))="Contab",L1290,0)</f>
        <v/>
      </c>
      <c r="AF1290" s="281">
        <f>VLOOKUP(G1290,CLIENTES!B:E,4,FALSE)</f>
        <v/>
      </c>
      <c r="AG1290" s="280">
        <f>AF1290*AE1290</f>
        <v/>
      </c>
      <c r="AH1290" s="280">
        <f>AD1290*1.21</f>
        <v/>
      </c>
      <c r="AI1290" s="282">
        <f>IF(AE1290&lt;&gt;0,AG1290/AD1290,"N/A")</f>
        <v/>
      </c>
      <c r="AJ1290" s="280">
        <f>IF(AC1290="pendiente",AD1290,0)</f>
        <v/>
      </c>
      <c r="AK1290" s="278">
        <f>VLOOKUP(G1290,CLIENTES!B:D,3,FALSE)</f>
        <v/>
      </c>
    </row>
    <row r="1291" ht="15" customFormat="1" customHeight="1" s="278">
      <c r="B1291" s="279" t="n"/>
      <c r="C1291" s="278" t="inlineStr">
        <is>
          <t>c/ Las Cruzadas 3A, local D</t>
        </is>
      </c>
      <c r="D1291" s="278" t="inlineStr">
        <is>
          <t>Sevilla 41004</t>
        </is>
      </c>
      <c r="E1291" s="278" t="inlineStr">
        <is>
          <t>CIF B91938662</t>
        </is>
      </c>
      <c r="F1291" s="278" t="inlineStr">
        <is>
          <t>aBalados@abalados.es</t>
        </is>
      </c>
      <c r="G1291" s="278" t="inlineStr">
        <is>
          <t>Tiksi PV II S.L.U.</t>
        </is>
      </c>
      <c r="H1291" s="278">
        <f>VLOOKUP($G1291,DATOS!$B:$E,2,FALSE)</f>
        <v/>
      </c>
      <c r="I1291" s="278">
        <f>VLOOKUP($G1291,DATOS!$B:$E,3,FALSE)</f>
        <v/>
      </c>
      <c r="J1291" s="278">
        <f>VLOOKUP($G1291,DATOS!$B:$E,4,FALSE)</f>
        <v/>
      </c>
      <c r="K1291" s="278" t="inlineStr">
        <is>
          <t>Honorarios - Contrato O&amp;M 3º Trimestre</t>
        </is>
      </c>
      <c r="L1291" s="280" t="n">
        <v>4354.92778185</v>
      </c>
      <c r="M1291" s="278" t="inlineStr">
        <is>
          <t>Garantía 40% (dotada en 2017)</t>
        </is>
      </c>
      <c r="N1291" s="280" t="n"/>
      <c r="P1291" s="280" t="n"/>
      <c r="R1291" s="280" t="n"/>
      <c r="T1291" s="280" t="n"/>
      <c r="V1291" s="280" t="n"/>
      <c r="X1291" s="280" t="n"/>
      <c r="Z1291" s="280" t="n"/>
      <c r="AA1291" s="280" t="n"/>
      <c r="AB1291" s="281" t="inlineStr">
        <is>
          <t>ES11 0081 7069 2700 0122 7724</t>
        </is>
      </c>
      <c r="AC1291" s="278" t="inlineStr">
        <is>
          <t>pendiente</t>
        </is>
      </c>
      <c r="AD1291" s="280">
        <f>L1291+N1291+P1291+R1291+T1291+V1291+X1291+Z1291</f>
        <v/>
      </c>
      <c r="AE1291" s="280">
        <f>IF((LEFT(K1291,6))="Contab",L1291,0)</f>
        <v/>
      </c>
      <c r="AF1291" s="281">
        <f>VLOOKUP(G1291,CLIENTES!B:E,4,FALSE)</f>
        <v/>
      </c>
      <c r="AG1291" s="280">
        <f>AF1291*AE1291</f>
        <v/>
      </c>
      <c r="AH1291" s="280">
        <f>AD1291*1.21</f>
        <v/>
      </c>
      <c r="AI1291" s="282">
        <f>IF(AE1291&lt;&gt;0,AG1291/AD1291,"N/A")</f>
        <v/>
      </c>
      <c r="AJ1291" s="280">
        <f>IF(AC1291="pendiente",AD1291,0)</f>
        <v/>
      </c>
      <c r="AK1291" s="278">
        <f>VLOOKUP(G1291,CLIENTES!B:D,3,FALSE)</f>
        <v/>
      </c>
    </row>
    <row r="1292" ht="15" customFormat="1" customHeight="1" s="278">
      <c r="B1292" s="279" t="n"/>
      <c r="C1292" s="278" t="inlineStr">
        <is>
          <t>c/ Las Cruzadas 3A, local D</t>
        </is>
      </c>
      <c r="D1292" s="278" t="inlineStr">
        <is>
          <t>Sevilla 41004</t>
        </is>
      </c>
      <c r="E1292" s="278" t="inlineStr">
        <is>
          <t>CIF B91938662</t>
        </is>
      </c>
      <c r="F1292" s="278" t="inlineStr">
        <is>
          <t>aBalados@abalados.es</t>
        </is>
      </c>
      <c r="G1292" s="278" t="inlineStr">
        <is>
          <t>Amberg V S.L.U.</t>
        </is>
      </c>
      <c r="H1292" s="278">
        <f>VLOOKUP($G1292,DATOS!$B:$E,2,FALSE)</f>
        <v/>
      </c>
      <c r="I1292" s="278">
        <f>VLOOKUP($G1292,DATOS!$B:$E,3,FALSE)</f>
        <v/>
      </c>
      <c r="J1292" s="278">
        <f>VLOOKUP($G1292,DATOS!$B:$E,4,FALSE)</f>
        <v/>
      </c>
      <c r="K1292" s="278" t="inlineStr">
        <is>
          <t>Honorarios - Contrato O&amp;M 3º Trimestre</t>
        </is>
      </c>
      <c r="L1292" s="280" t="n">
        <v>6147.472249476001</v>
      </c>
      <c r="M1292" s="278" t="inlineStr">
        <is>
          <t>Garantía 40% (dotada en 2017)</t>
        </is>
      </c>
      <c r="N1292" s="280" t="n"/>
      <c r="P1292" s="280" t="n"/>
      <c r="R1292" s="280" t="n"/>
      <c r="T1292" s="280" t="n"/>
      <c r="V1292" s="280" t="n"/>
      <c r="X1292" s="280" t="n"/>
      <c r="Z1292" s="280" t="n"/>
      <c r="AA1292" s="280" t="n"/>
      <c r="AB1292" s="281" t="inlineStr">
        <is>
          <t>ES11 0081 7069 2700 0122 7724</t>
        </is>
      </c>
      <c r="AC1292" s="278" t="inlineStr">
        <is>
          <t>pendiente</t>
        </is>
      </c>
      <c r="AD1292" s="280">
        <f>L1292+N1292+P1292+R1292+T1292+V1292+X1292+Z1292</f>
        <v/>
      </c>
      <c r="AE1292" s="280">
        <f>IF((LEFT(K1292,6))="Contab",L1292,0)</f>
        <v/>
      </c>
      <c r="AF1292" s="281">
        <f>VLOOKUP(G1292,CLIENTES!B:E,4,FALSE)</f>
        <v/>
      </c>
      <c r="AG1292" s="280">
        <f>AF1292*AE1292</f>
        <v/>
      </c>
      <c r="AH1292" s="280">
        <f>AD1292*1.21</f>
        <v/>
      </c>
      <c r="AI1292" s="282">
        <f>IF(AE1292&lt;&gt;0,AG1292/AD1292,"N/A")</f>
        <v/>
      </c>
      <c r="AJ1292" s="280">
        <f>IF(AC1292="pendiente",AD1292,0)</f>
        <v/>
      </c>
      <c r="AK1292" s="278">
        <f>VLOOKUP(G1292,CLIENTES!B:D,3,FALSE)</f>
        <v/>
      </c>
    </row>
    <row r="1293" ht="15" customFormat="1" customHeight="1" s="278">
      <c r="B1293" s="279" t="n"/>
      <c r="C1293" s="278" t="inlineStr">
        <is>
          <t>c/ Las Cruzadas 3A, local D</t>
        </is>
      </c>
      <c r="D1293" s="278" t="inlineStr">
        <is>
          <t>Sevilla 41004</t>
        </is>
      </c>
      <c r="E1293" s="278" t="inlineStr">
        <is>
          <t>CIF B91938662</t>
        </is>
      </c>
      <c r="F1293" s="278" t="inlineStr">
        <is>
          <t>aBalados@abalados.es</t>
        </is>
      </c>
      <c r="G1293" s="278" t="inlineStr">
        <is>
          <t>Amberg II S.L.U.</t>
        </is>
      </c>
      <c r="H1293" s="278">
        <f>VLOOKUP($G1293,DATOS!$B:$E,2,FALSE)</f>
        <v/>
      </c>
      <c r="I1293" s="278">
        <f>VLOOKUP($G1293,DATOS!$B:$E,3,FALSE)</f>
        <v/>
      </c>
      <c r="J1293" s="278">
        <f>VLOOKUP($G1293,DATOS!$B:$E,4,FALSE)</f>
        <v/>
      </c>
      <c r="K1293" s="278" t="inlineStr">
        <is>
          <t>Honorarios - Contrato O&amp;M 3º Trimestre</t>
        </is>
      </c>
      <c r="L1293" s="280" t="n">
        <v>3310.681657815</v>
      </c>
      <c r="M1293" s="278" t="inlineStr">
        <is>
          <t>Garantía 40% (dotada en 2017)</t>
        </is>
      </c>
      <c r="N1293" s="280" t="n"/>
      <c r="P1293" s="280" t="n"/>
      <c r="R1293" s="280" t="n"/>
      <c r="T1293" s="280" t="n"/>
      <c r="V1293" s="280" t="n"/>
      <c r="X1293" s="280" t="n"/>
      <c r="Z1293" s="280" t="n"/>
      <c r="AA1293" s="280" t="n"/>
      <c r="AB1293" s="281" t="inlineStr">
        <is>
          <t>ES11 0081 7069 2700 0122 7724</t>
        </is>
      </c>
      <c r="AC1293" s="278" t="inlineStr">
        <is>
          <t>pendiente</t>
        </is>
      </c>
      <c r="AD1293" s="280">
        <f>L1293+N1293+P1293+R1293+T1293+V1293+X1293+Z1293</f>
        <v/>
      </c>
      <c r="AE1293" s="280">
        <f>IF((LEFT(K1293,6))="Contab",L1293,0)</f>
        <v/>
      </c>
      <c r="AF1293" s="281">
        <f>VLOOKUP(G1293,CLIENTES!B:E,4,FALSE)</f>
        <v/>
      </c>
      <c r="AG1293" s="280">
        <f>AF1293*AE1293</f>
        <v/>
      </c>
      <c r="AH1293" s="280">
        <f>AD1293*1.21</f>
        <v/>
      </c>
      <c r="AI1293" s="282">
        <f>IF(AE1293&lt;&gt;0,AG1293/AD1293,"N/A")</f>
        <v/>
      </c>
      <c r="AJ1293" s="280">
        <f>IF(AC1293="pendiente",AD1293,0)</f>
        <v/>
      </c>
      <c r="AK1293" s="278">
        <f>VLOOKUP(G1293,CLIENTES!B:D,3,FALSE)</f>
        <v/>
      </c>
    </row>
    <row r="1294" ht="15" customFormat="1" customHeight="1" s="278">
      <c r="B1294" s="279" t="n"/>
      <c r="C1294" s="278" t="inlineStr">
        <is>
          <t>c/ Las Cruzadas 3A, local D</t>
        </is>
      </c>
      <c r="D1294" s="278" t="inlineStr">
        <is>
          <t>Sevilla 41004</t>
        </is>
      </c>
      <c r="E1294" s="278" t="inlineStr">
        <is>
          <t>CIF B91938662</t>
        </is>
      </c>
      <c r="F1294" s="278" t="inlineStr">
        <is>
          <t>aBalados@abalados.es</t>
        </is>
      </c>
      <c r="G1294" s="278" t="inlineStr">
        <is>
          <t>Agrupación Solar el Algarrobo I, S.L.U.</t>
        </is>
      </c>
      <c r="H1294" s="278">
        <f>VLOOKUP($G1294,DATOS!$B:$E,2,FALSE)</f>
        <v/>
      </c>
      <c r="I1294" s="278">
        <f>VLOOKUP($G1294,DATOS!$B:$E,3,FALSE)</f>
        <v/>
      </c>
      <c r="J1294" s="278">
        <f>VLOOKUP($G1294,DATOS!$B:$E,4,FALSE)</f>
        <v/>
      </c>
      <c r="K1294" s="278" t="inlineStr">
        <is>
          <t>Honorarios - Contrato O&amp;M 3º Trimestre</t>
        </is>
      </c>
      <c r="L1294" s="280" t="n">
        <v>9789.449935790179</v>
      </c>
      <c r="M1294" s="278" t="inlineStr">
        <is>
          <t>Garantía 30% (dotada en 2017)</t>
        </is>
      </c>
      <c r="N1294" s="280" t="n"/>
      <c r="P1294" s="280" t="n"/>
      <c r="R1294" s="280" t="n"/>
      <c r="T1294" s="280" t="n"/>
      <c r="V1294" s="280" t="n"/>
      <c r="X1294" s="280" t="n"/>
      <c r="Z1294" s="280" t="n"/>
      <c r="AA1294" s="280" t="n"/>
      <c r="AB1294" s="281" t="inlineStr">
        <is>
          <t>ES11 0081 7069 2700 0122 7724</t>
        </is>
      </c>
      <c r="AC1294" s="278" t="inlineStr">
        <is>
          <t>pendiente</t>
        </is>
      </c>
      <c r="AD1294" s="280">
        <f>L1294+N1294+P1294+R1294+T1294+V1294+X1294+Z1294</f>
        <v/>
      </c>
      <c r="AE1294" s="280">
        <f>IF((LEFT(K1294,6))="Contab",L1294,0)</f>
        <v/>
      </c>
      <c r="AF1294" s="281">
        <f>VLOOKUP(G1294,CLIENTES!B:E,4,FALSE)</f>
        <v/>
      </c>
      <c r="AG1294" s="280">
        <f>AF1294*AE1294</f>
        <v/>
      </c>
      <c r="AH1294" s="280">
        <f>AD1294*1.21</f>
        <v/>
      </c>
      <c r="AI1294" s="282">
        <f>IF(AE1294&lt;&gt;0,AG1294/AD1294,"N/A")</f>
        <v/>
      </c>
      <c r="AJ1294" s="280">
        <f>IF(AC1294="pendiente",AD1294,0)</f>
        <v/>
      </c>
      <c r="AK1294" s="278">
        <f>VLOOKUP(G1294,CLIENTES!B:D,3,FALSE)</f>
        <v/>
      </c>
    </row>
    <row r="1295" ht="15" customFormat="1" customHeight="1" s="278">
      <c r="B1295" s="279" t="n"/>
      <c r="C1295" s="278" t="inlineStr">
        <is>
          <t>c/ Las Cruzadas 3A, local D</t>
        </is>
      </c>
      <c r="D1295" s="278" t="inlineStr">
        <is>
          <t>Sevilla 41004</t>
        </is>
      </c>
      <c r="E1295" s="278" t="inlineStr">
        <is>
          <t>CIF B91938662</t>
        </is>
      </c>
      <c r="F1295" s="278" t="inlineStr">
        <is>
          <t>aBalados@abalados.es</t>
        </is>
      </c>
      <c r="G1295" s="278" t="inlineStr">
        <is>
          <t>Agrupación Solar el Algarrobo II, S.L.U.</t>
        </is>
      </c>
      <c r="H1295" s="278">
        <f>VLOOKUP($G1295,DATOS!$B:$E,2,FALSE)</f>
        <v/>
      </c>
      <c r="I1295" s="278">
        <f>VLOOKUP($G1295,DATOS!$B:$E,3,FALSE)</f>
        <v/>
      </c>
      <c r="J1295" s="278">
        <f>VLOOKUP($G1295,DATOS!$B:$E,4,FALSE)</f>
        <v/>
      </c>
      <c r="K1295" s="278" t="inlineStr">
        <is>
          <t>Honorarios - Contrato O&amp;M 3º Trimestre</t>
        </is>
      </c>
      <c r="L1295" s="280" t="n">
        <v>9789.449935790179</v>
      </c>
      <c r="M1295" s="278" t="inlineStr">
        <is>
          <t>Garantía 30% (dotada en 2017)</t>
        </is>
      </c>
      <c r="N1295" s="280" t="n"/>
      <c r="P1295" s="280" t="n"/>
      <c r="R1295" s="280" t="n"/>
      <c r="T1295" s="280" t="n"/>
      <c r="V1295" s="280" t="n"/>
      <c r="X1295" s="280" t="n"/>
      <c r="Z1295" s="280" t="n"/>
      <c r="AA1295" s="280" t="n"/>
      <c r="AB1295" s="281" t="inlineStr">
        <is>
          <t>ES11 0081 7069 2700 0122 7724</t>
        </is>
      </c>
      <c r="AC1295" s="278" t="inlineStr">
        <is>
          <t>pendiente</t>
        </is>
      </c>
      <c r="AD1295" s="280">
        <f>L1295+N1295+P1295+R1295+T1295+V1295+X1295+Z1295</f>
        <v/>
      </c>
      <c r="AE1295" s="280">
        <f>IF((LEFT(K1295,6))="Contab",L1295,0)</f>
        <v/>
      </c>
      <c r="AF1295" s="281">
        <f>VLOOKUP(G1295,CLIENTES!B:E,4,FALSE)</f>
        <v/>
      </c>
      <c r="AG1295" s="280">
        <f>AF1295*AE1295</f>
        <v/>
      </c>
      <c r="AH1295" s="280">
        <f>AD1295*1.21</f>
        <v/>
      </c>
      <c r="AI1295" s="282">
        <f>IF(AE1295&lt;&gt;0,AG1295/AD1295,"N/A")</f>
        <v/>
      </c>
      <c r="AJ1295" s="280">
        <f>IF(AC1295="pendiente",AD1295,0)</f>
        <v/>
      </c>
      <c r="AK1295" s="278">
        <f>VLOOKUP(G1295,CLIENTES!B:D,3,FALSE)</f>
        <v/>
      </c>
    </row>
    <row r="1296" ht="15" customFormat="1" customHeight="1" s="278">
      <c r="B1296" s="279" t="n"/>
      <c r="C1296" s="278" t="inlineStr">
        <is>
          <t>c/ Las Cruzadas 3A, local D</t>
        </is>
      </c>
      <c r="D1296" s="278" t="inlineStr">
        <is>
          <t>Sevilla 41004</t>
        </is>
      </c>
      <c r="E1296" s="278" t="inlineStr">
        <is>
          <t>CIF B91938662</t>
        </is>
      </c>
      <c r="F1296" s="278" t="inlineStr">
        <is>
          <t>aBalados@abalados.es</t>
        </is>
      </c>
      <c r="G1296" s="278" t="inlineStr">
        <is>
          <t>Agrupación Solar el Algarrobo III, S.L.U.</t>
        </is>
      </c>
      <c r="H1296" s="278">
        <f>VLOOKUP($G1296,DATOS!$B:$E,2,FALSE)</f>
        <v/>
      </c>
      <c r="I1296" s="278">
        <f>VLOOKUP($G1296,DATOS!$B:$E,3,FALSE)</f>
        <v/>
      </c>
      <c r="J1296" s="278">
        <f>VLOOKUP($G1296,DATOS!$B:$E,4,FALSE)</f>
        <v/>
      </c>
      <c r="K1296" s="278" t="inlineStr">
        <is>
          <t>Honorarios - Contrato O&amp;M 3º Trimestre</t>
        </is>
      </c>
      <c r="L1296" s="280" t="n">
        <v>8857.121370476829</v>
      </c>
      <c r="M1296" s="278" t="inlineStr">
        <is>
          <t>Garantía 30% (dotada en 2017)</t>
        </is>
      </c>
      <c r="N1296" s="280" t="n"/>
      <c r="P1296" s="280" t="n"/>
      <c r="R1296" s="280" t="n"/>
      <c r="T1296" s="280" t="n"/>
      <c r="V1296" s="280" t="n"/>
      <c r="X1296" s="280" t="n"/>
      <c r="Z1296" s="280" t="n"/>
      <c r="AA1296" s="280" t="n"/>
      <c r="AB1296" s="281" t="inlineStr">
        <is>
          <t>ES11 0081 7069 2700 0122 7724</t>
        </is>
      </c>
      <c r="AC1296" s="278" t="inlineStr">
        <is>
          <t>pendiente</t>
        </is>
      </c>
      <c r="AD1296" s="280">
        <f>L1296+N1296+P1296+R1296+T1296+V1296+X1296+Z1296</f>
        <v/>
      </c>
      <c r="AE1296" s="280">
        <f>IF((LEFT(K1296,6))="Contab",L1296,0)</f>
        <v/>
      </c>
      <c r="AF1296" s="281">
        <f>VLOOKUP(G1296,CLIENTES!B:E,4,FALSE)</f>
        <v/>
      </c>
      <c r="AG1296" s="280">
        <f>AF1296*AE1296</f>
        <v/>
      </c>
      <c r="AH1296" s="280">
        <f>AD1296*1.21</f>
        <v/>
      </c>
      <c r="AI1296" s="282">
        <f>IF(AE1296&lt;&gt;0,AG1296/AD1296,"N/A")</f>
        <v/>
      </c>
      <c r="AJ1296" s="280">
        <f>IF(AC1296="pendiente",AD1296,0)</f>
        <v/>
      </c>
      <c r="AK1296" s="278">
        <f>VLOOKUP(G1296,CLIENTES!B:D,3,FALSE)</f>
        <v/>
      </c>
    </row>
    <row r="1297" ht="15" customFormat="1" customHeight="1" s="278">
      <c r="B1297" s="279" t="n"/>
      <c r="C1297" s="278" t="inlineStr">
        <is>
          <t>c/ Las Cruzadas 3A, local D</t>
        </is>
      </c>
      <c r="D1297" s="278" t="inlineStr">
        <is>
          <t>Sevilla 41004</t>
        </is>
      </c>
      <c r="E1297" s="278" t="inlineStr">
        <is>
          <t>CIF B91938662</t>
        </is>
      </c>
      <c r="F1297" s="278" t="inlineStr">
        <is>
          <t>aBalados@abalados.es</t>
        </is>
      </c>
      <c r="G1297" s="278" t="inlineStr">
        <is>
          <t>Locaba Solar S.L.U.</t>
        </is>
      </c>
      <c r="H1297" s="278">
        <f>VLOOKUP($G1297,DATOS!$B:$E,2,FALSE)</f>
        <v/>
      </c>
      <c r="I1297" s="278">
        <f>VLOOKUP($G1297,DATOS!$B:$E,3,FALSE)</f>
        <v/>
      </c>
      <c r="J1297" s="278">
        <f>VLOOKUP($G1297,DATOS!$B:$E,4,FALSE)</f>
        <v/>
      </c>
      <c r="K1297" s="278" t="inlineStr">
        <is>
          <t>Honorarios - Contrato O&amp;M 3º Trimestre</t>
        </is>
      </c>
      <c r="L1297" s="280" t="n">
        <v>19469.92640290737</v>
      </c>
      <c r="M1297" s="278" t="inlineStr">
        <is>
          <t>Garantía 30% (dotada en 2017)</t>
        </is>
      </c>
      <c r="N1297" s="280" t="n"/>
      <c r="P1297" s="280" t="n"/>
      <c r="R1297" s="280" t="n"/>
      <c r="T1297" s="280" t="n"/>
      <c r="V1297" s="280" t="n"/>
      <c r="X1297" s="280" t="n"/>
      <c r="Z1297" s="280" t="n"/>
      <c r="AA1297" s="280" t="n"/>
      <c r="AB1297" s="281" t="inlineStr">
        <is>
          <t>ES11 0081 7069 2700 0122 7724</t>
        </is>
      </c>
      <c r="AC1297" s="278" t="inlineStr">
        <is>
          <t>pendiente</t>
        </is>
      </c>
      <c r="AD1297" s="280">
        <f>L1297+N1297+P1297+R1297+T1297+V1297+X1297+Z1297</f>
        <v/>
      </c>
      <c r="AE1297" s="280">
        <f>IF((LEFT(K1297,6))="Contab",L1297,0)</f>
        <v/>
      </c>
      <c r="AF1297" s="281">
        <f>VLOOKUP(G1297,CLIENTES!B:E,4,FALSE)</f>
        <v/>
      </c>
      <c r="AG1297" s="280">
        <f>AF1297*AE1297</f>
        <v/>
      </c>
      <c r="AH1297" s="280">
        <f>AD1297*1.21</f>
        <v/>
      </c>
      <c r="AI1297" s="282">
        <f>IF(AE1297&lt;&gt;0,AG1297/AD1297,"N/A")</f>
        <v/>
      </c>
      <c r="AJ1297" s="280">
        <f>IF(AC1297="pendiente",AD1297,0)</f>
        <v/>
      </c>
      <c r="AK1297" s="278">
        <f>VLOOKUP(G1297,CLIENTES!B:D,3,FALSE)</f>
        <v/>
      </c>
    </row>
    <row r="1298" ht="15" customFormat="1" customHeight="1" s="278">
      <c r="B1298" s="279" t="n"/>
      <c r="C1298" s="278" t="inlineStr">
        <is>
          <t>c/ Las Cruzadas 3A, local D</t>
        </is>
      </c>
      <c r="D1298" s="278" t="inlineStr">
        <is>
          <t>Sevilla 41004</t>
        </is>
      </c>
      <c r="E1298" s="278" t="inlineStr">
        <is>
          <t>CIF B91938662</t>
        </is>
      </c>
      <c r="F1298" s="278" t="inlineStr">
        <is>
          <t>aBalados@abalados.es</t>
        </is>
      </c>
      <c r="G1298" s="278" t="inlineStr">
        <is>
          <t>Lo Illán  Parque Solar S.L.U.</t>
        </is>
      </c>
      <c r="H1298" s="278">
        <f>VLOOKUP($G1298,DATOS!$B:$E,2,FALSE)</f>
        <v/>
      </c>
      <c r="I1298" s="278">
        <f>VLOOKUP($G1298,DATOS!$B:$E,3,FALSE)</f>
        <v/>
      </c>
      <c r="J1298" s="278">
        <f>VLOOKUP($G1298,DATOS!$B:$E,4,FALSE)</f>
        <v/>
      </c>
      <c r="K1298" s="278" t="inlineStr">
        <is>
          <t>Honorarios - Contrato O&amp;M 3º Trimestre</t>
        </is>
      </c>
      <c r="L1298" s="280" t="n">
        <v>9644.033265199501</v>
      </c>
      <c r="N1298" s="280" t="n"/>
      <c r="P1298" s="280" t="n"/>
      <c r="R1298" s="280" t="n"/>
      <c r="T1298" s="280" t="n"/>
      <c r="V1298" s="280" t="n"/>
      <c r="X1298" s="280" t="n"/>
      <c r="Z1298" s="280" t="n"/>
      <c r="AA1298" s="280" t="n"/>
      <c r="AB1298" s="281" t="inlineStr">
        <is>
          <t>ES11 0081 7069 2700 0122 7724</t>
        </is>
      </c>
      <c r="AC1298" s="278" t="inlineStr">
        <is>
          <t>pendiente</t>
        </is>
      </c>
      <c r="AD1298" s="280">
        <f>L1298+N1298+P1298+R1298+T1298+V1298+X1298+Z1298</f>
        <v/>
      </c>
      <c r="AE1298" s="280">
        <f>IF((LEFT(K1298,6))="Contab",L1298,0)</f>
        <v/>
      </c>
      <c r="AF1298" s="281">
        <f>VLOOKUP(G1298,CLIENTES!B:E,4,FALSE)</f>
        <v/>
      </c>
      <c r="AG1298" s="280">
        <f>AF1298*AE1298</f>
        <v/>
      </c>
      <c r="AH1298" s="280">
        <f>AD1298*1.21</f>
        <v/>
      </c>
      <c r="AI1298" s="282">
        <f>IF(AE1298&lt;&gt;0,AG1298/AD1298,"N/A")</f>
        <v/>
      </c>
      <c r="AJ1298" s="280">
        <f>IF(AC1298="pendiente",AD1298,0)</f>
        <v/>
      </c>
      <c r="AK1298" s="278">
        <f>VLOOKUP(G1298,CLIENTES!B:D,3,FALSE)</f>
        <v/>
      </c>
    </row>
    <row r="1299" ht="15" customFormat="1" customHeight="1" s="278">
      <c r="B1299" s="279" t="n"/>
      <c r="C1299" s="278" t="inlineStr">
        <is>
          <t>c/ Las Cruzadas 3A, local D</t>
        </is>
      </c>
      <c r="D1299" s="278" t="inlineStr">
        <is>
          <t>Sevilla 41004</t>
        </is>
      </c>
      <c r="E1299" s="278" t="inlineStr">
        <is>
          <t>CIF B91938662</t>
        </is>
      </c>
      <c r="F1299" s="278" t="inlineStr">
        <is>
          <t>aBalados@abalados.es</t>
        </is>
      </c>
      <c r="G1299" s="278" t="inlineStr">
        <is>
          <t>Contreras Parque Solar S.L.U.</t>
        </is>
      </c>
      <c r="H1299" s="278">
        <f>VLOOKUP($G1299,DATOS!$B:$E,2,FALSE)</f>
        <v/>
      </c>
      <c r="I1299" s="278">
        <f>VLOOKUP($G1299,DATOS!$B:$E,3,FALSE)</f>
        <v/>
      </c>
      <c r="J1299" s="278">
        <f>VLOOKUP($G1299,DATOS!$B:$E,4,FALSE)</f>
        <v/>
      </c>
      <c r="K1299" s="278" t="inlineStr">
        <is>
          <t>Honorarios - Contrato O&amp;M 3º Trimestre</t>
        </is>
      </c>
      <c r="L1299" s="280" t="n">
        <v>14694.70898497972</v>
      </c>
      <c r="N1299" s="280" t="n"/>
      <c r="P1299" s="280" t="n"/>
      <c r="R1299" s="280" t="n"/>
      <c r="T1299" s="280" t="n"/>
      <c r="V1299" s="280" t="n"/>
      <c r="X1299" s="280" t="n"/>
      <c r="Z1299" s="280" t="n"/>
      <c r="AA1299" s="280" t="n"/>
      <c r="AB1299" s="281" t="inlineStr">
        <is>
          <t>ES11 0081 7069 2700 0122 7724</t>
        </is>
      </c>
      <c r="AC1299" s="278" t="inlineStr">
        <is>
          <t>pendiente</t>
        </is>
      </c>
      <c r="AD1299" s="280">
        <f>L1299+N1299+P1299+R1299+T1299+V1299+X1299+Z1299</f>
        <v/>
      </c>
      <c r="AE1299" s="280">
        <f>IF((LEFT(K1299,6))="Contab",L1299,0)</f>
        <v/>
      </c>
      <c r="AF1299" s="281">
        <f>VLOOKUP(G1299,CLIENTES!B:E,4,FALSE)</f>
        <v/>
      </c>
      <c r="AG1299" s="280">
        <f>AF1299*AE1299</f>
        <v/>
      </c>
      <c r="AH1299" s="280">
        <f>AD1299*1.21</f>
        <v/>
      </c>
      <c r="AI1299" s="282">
        <f>IF(AE1299&lt;&gt;0,AG1299/AD1299,"N/A")</f>
        <v/>
      </c>
      <c r="AJ1299" s="280">
        <f>IF(AC1299="pendiente",AD1299,0)</f>
        <v/>
      </c>
      <c r="AK1299" s="278">
        <f>VLOOKUP(G1299,CLIENTES!B:D,3,FALSE)</f>
        <v/>
      </c>
    </row>
    <row r="1300" ht="15" customFormat="1" customHeight="1" s="278">
      <c r="B1300" s="279" t="n"/>
      <c r="C1300" s="278" t="inlineStr">
        <is>
          <t>c/ Las Cruzadas 3A, local D</t>
        </is>
      </c>
      <c r="D1300" s="278" t="inlineStr">
        <is>
          <t>Sevilla 41004</t>
        </is>
      </c>
      <c r="E1300" s="278" t="inlineStr">
        <is>
          <t>CIF B91938662</t>
        </is>
      </c>
      <c r="F1300" s="278" t="inlineStr">
        <is>
          <t>aBalados@abalados.es</t>
        </is>
      </c>
      <c r="G1300" s="278" t="inlineStr">
        <is>
          <t>Turbinto Parque Solar S.L.U.</t>
        </is>
      </c>
      <c r="H1300" s="278">
        <f>VLOOKUP($G1300,DATOS!$B:$E,2,FALSE)</f>
        <v/>
      </c>
      <c r="I1300" s="278">
        <f>VLOOKUP($G1300,DATOS!$B:$E,3,FALSE)</f>
        <v/>
      </c>
      <c r="J1300" s="278">
        <f>VLOOKUP($G1300,DATOS!$B:$E,4,FALSE)</f>
        <v/>
      </c>
      <c r="K1300" s="278" t="inlineStr">
        <is>
          <t>Honorarios - Contrato O&amp;M 3º Trimestre</t>
        </is>
      </c>
      <c r="L1300" s="280" t="n">
        <v>10470.40048100242</v>
      </c>
      <c r="N1300" s="280" t="n"/>
      <c r="P1300" s="280" t="n"/>
      <c r="R1300" s="280" t="n"/>
      <c r="T1300" s="280" t="n"/>
      <c r="V1300" s="280" t="n"/>
      <c r="X1300" s="280" t="n"/>
      <c r="Z1300" s="280" t="n"/>
      <c r="AA1300" s="280" t="n"/>
      <c r="AB1300" s="281" t="inlineStr">
        <is>
          <t>ES11 0081 7069 2700 0122 7724</t>
        </is>
      </c>
      <c r="AC1300" s="278" t="inlineStr">
        <is>
          <t>pendiente</t>
        </is>
      </c>
      <c r="AD1300" s="280">
        <f>L1300+N1300+P1300+R1300+T1300+V1300+X1300+Z1300</f>
        <v/>
      </c>
      <c r="AE1300" s="280">
        <f>IF((LEFT(K1300,6))="Contab",L1300,0)</f>
        <v/>
      </c>
      <c r="AF1300" s="281">
        <f>VLOOKUP(G1300,CLIENTES!B:E,4,FALSE)</f>
        <v/>
      </c>
      <c r="AG1300" s="280">
        <f>AF1300*AE1300</f>
        <v/>
      </c>
      <c r="AH1300" s="280">
        <f>AD1300*1.21</f>
        <v/>
      </c>
      <c r="AI1300" s="282">
        <f>IF(AE1300&lt;&gt;0,AG1300/AD1300,"N/A")</f>
        <v/>
      </c>
      <c r="AJ1300" s="280">
        <f>IF(AC1300="pendiente",AD1300,0)</f>
        <v/>
      </c>
      <c r="AK1300" s="278">
        <f>VLOOKUP(G1300,CLIENTES!B:D,3,FALSE)</f>
        <v/>
      </c>
    </row>
    <row r="1301" ht="15" customFormat="1" customHeight="1" s="189">
      <c r="B1301" s="188" t="n"/>
      <c r="C1301" s="189" t="inlineStr">
        <is>
          <t>c/ Las Cruzadas 3A, local D</t>
        </is>
      </c>
      <c r="D1301" s="189" t="inlineStr">
        <is>
          <t>Sevilla 41004</t>
        </is>
      </c>
      <c r="E1301" s="189" t="inlineStr">
        <is>
          <t>CIF B91938662</t>
        </is>
      </c>
      <c r="F1301" s="189" t="inlineStr">
        <is>
          <t>aBalados@abalados.es</t>
        </is>
      </c>
      <c r="G1301" s="189" t="inlineStr">
        <is>
          <t>Valcabado Renovables 220 kV, S.L.</t>
        </is>
      </c>
      <c r="H1301" s="189">
        <f>VLOOKUP($G1301,DATOS!$B:$E,2,FALSE)</f>
        <v/>
      </c>
      <c r="I1301" s="189">
        <f>VLOOKUP($G1301,DATOS!$B:$E,3,FALSE)</f>
        <v/>
      </c>
      <c r="J1301" s="189">
        <f>VLOOKUP($G1301,DATOS!$B:$E,4,FALSE)</f>
        <v/>
      </c>
      <c r="K1301" s="189" t="inlineStr">
        <is>
          <t>Servicios extraordinarios - Asset Management (subestación Valcabado)</t>
        </is>
      </c>
      <c r="L1301" s="190" t="n"/>
      <c r="M1301" s="189" t="inlineStr">
        <is>
          <t>Adenda al PdS para cesión y desembolso del CEP</t>
        </is>
      </c>
      <c r="N1301" s="190" t="n">
        <v>1225</v>
      </c>
      <c r="P1301" s="190" t="n"/>
      <c r="R1301" s="190" t="n"/>
      <c r="T1301" s="190" t="n"/>
      <c r="V1301" s="190" t="n"/>
      <c r="X1301" s="190" t="n"/>
      <c r="Z1301" s="190" t="n"/>
      <c r="AA1301" s="190" t="n"/>
      <c r="AB1301" s="191" t="inlineStr">
        <is>
          <t>ES11 0081 7069 2700 0122 7724</t>
        </is>
      </c>
      <c r="AC1301" s="189" t="inlineStr">
        <is>
          <t>pendiente</t>
        </is>
      </c>
      <c r="AD1301" s="190">
        <f>L1301+N1301+P1301+R1301+T1301+V1301+X1301+Z1301</f>
        <v/>
      </c>
      <c r="AE1301" s="190">
        <f>IF((LEFT(K1301,6))="Contab",L1301,0)</f>
        <v/>
      </c>
      <c r="AF1301" s="191">
        <f>VLOOKUP(G1301,CLIENTES!B:E,4,FALSE)</f>
        <v/>
      </c>
      <c r="AG1301" s="190">
        <f>AF1301*AE1301</f>
        <v/>
      </c>
      <c r="AH1301" s="190">
        <f>AD1301*1.21</f>
        <v/>
      </c>
      <c r="AI1301" s="289">
        <f>IF(AE1301&lt;&gt;0,AG1301/AD1301,"N/A")</f>
        <v/>
      </c>
      <c r="AJ1301" s="190">
        <f>IF(AC1301="pendiente",AD1301,0)</f>
        <v/>
      </c>
      <c r="AK1301" s="189">
        <f>VLOOKUP(G1301,CLIENTES!B:D,3,FALSE)</f>
        <v/>
      </c>
    </row>
    <row r="1302" ht="15" customFormat="1" customHeight="1" s="192">
      <c r="B1302" s="199" t="n"/>
      <c r="C1302" s="192" t="inlineStr">
        <is>
          <t>c/ Las Cruzadas 3A, local D</t>
        </is>
      </c>
      <c r="D1302" s="192" t="inlineStr">
        <is>
          <t>Sevilla 41004</t>
        </is>
      </c>
      <c r="E1302" s="192" t="inlineStr">
        <is>
          <t>CIF B91938662</t>
        </is>
      </c>
      <c r="F1302" s="192" t="inlineStr">
        <is>
          <t>aBalados@abalados.es</t>
        </is>
      </c>
      <c r="G1302" s="192" t="inlineStr">
        <is>
          <t>White Summit Capital Asesores, S.L.</t>
        </is>
      </c>
      <c r="H1302" s="192">
        <f>VLOOKUP($G1302,DATOS!$B:$E,2,FALSE)</f>
        <v/>
      </c>
      <c r="I1302" s="192">
        <f>VLOOKUP($G1302,DATOS!$B:$E,3,FALSE)</f>
        <v/>
      </c>
      <c r="J1302" s="192">
        <f>VLOOKUP($G1302,DATOS!$B:$E,4,FALSE)</f>
        <v/>
      </c>
      <c r="K1302" s="192" t="inlineStr">
        <is>
          <t>Contrato de Asset Management- Proyecto La Isla</t>
        </is>
      </c>
      <c r="L1302" s="200" t="n"/>
      <c r="M1302" s="192" t="inlineStr">
        <is>
          <t>Fee trimestral 3T'2022</t>
        </is>
      </c>
      <c r="N1302" s="200">
        <f>'Tarifa 2025'!$D$32/12*3</f>
        <v/>
      </c>
      <c r="O1302" s="192" t="inlineStr">
        <is>
          <t>Quarterly fee - 3Q2022</t>
        </is>
      </c>
      <c r="P1302" s="200" t="n"/>
      <c r="Q1302" s="192" t="inlineStr">
        <is>
          <t>Finalización de contrato</t>
        </is>
      </c>
      <c r="R1302" s="200" t="n"/>
      <c r="T1302" s="200" t="n"/>
      <c r="V1302" s="200" t="n"/>
      <c r="X1302" s="200" t="n"/>
      <c r="Z1302" s="200" t="n"/>
      <c r="AA1302" s="200" t="n"/>
      <c r="AB1302" s="201" t="inlineStr">
        <is>
          <t>ES11 0081 7069 2700 0122 7724</t>
        </is>
      </c>
      <c r="AC1302" s="192" t="inlineStr">
        <is>
          <t>pendiente</t>
        </is>
      </c>
      <c r="AD1302" s="200">
        <f>L1302+N1302+P1302+R1302+T1302+V1302+X1302+Z1302</f>
        <v/>
      </c>
      <c r="AE1302" s="200">
        <f>IF((LEFT(K1302,4))="Cont",N1302,0)</f>
        <v/>
      </c>
      <c r="AF1302" s="201">
        <f>VLOOKUP(G1302,CLIENTES!B:E,4,FALSE)</f>
        <v/>
      </c>
      <c r="AG1302" s="200">
        <f>AF1302*AE1302</f>
        <v/>
      </c>
      <c r="AH1302" s="200">
        <f>AD1302*1.21</f>
        <v/>
      </c>
      <c r="AI1302" s="202">
        <f>IF(AE1302&lt;&gt;0,AG1302/AD1302,"N/A")</f>
        <v/>
      </c>
      <c r="AJ1302" s="200">
        <f>IF(AC1302="pendiente",AD1302,0)</f>
        <v/>
      </c>
      <c r="AK1302" s="192">
        <f>VLOOKUP(G1302,CLIENTES!B:D,3,FALSE)</f>
        <v/>
      </c>
    </row>
    <row r="1303" ht="15" customFormat="1" customHeight="1" s="192">
      <c r="B1303" s="199" t="n"/>
      <c r="C1303" s="192" t="inlineStr">
        <is>
          <t>c/ Las Cruzadas 3A, local D</t>
        </is>
      </c>
      <c r="D1303" s="192" t="inlineStr">
        <is>
          <t>Sevilla 41004</t>
        </is>
      </c>
      <c r="E1303" s="192" t="inlineStr">
        <is>
          <t>CIF B91938662</t>
        </is>
      </c>
      <c r="F1303" s="192" t="inlineStr">
        <is>
          <t>aBalados@abalados.es</t>
        </is>
      </c>
      <c r="G1303" s="192" t="inlineStr">
        <is>
          <t>China Triumph International Engineering Co., LTD EP EN SPAIN</t>
        </is>
      </c>
      <c r="H1303" s="192">
        <f>VLOOKUP($G1303,DATOS!$B:$E,2,FALSE)</f>
        <v/>
      </c>
      <c r="I1303" s="192">
        <f>VLOOKUP($G1303,DATOS!$B:$E,3,FALSE)</f>
        <v/>
      </c>
      <c r="J1303" s="192">
        <f>VLOOKUP($G1303,DATOS!$B:$E,4,FALSE)</f>
        <v/>
      </c>
      <c r="K1303" s="192" t="inlineStr">
        <is>
          <t>O&amp;M Supervision and Management</t>
        </is>
      </c>
      <c r="L1303" s="200" t="n"/>
      <c r="N1303" s="200" t="n"/>
      <c r="O1303" s="192" t="inlineStr">
        <is>
          <t>Puerto Real 1 PV - Cádiz | Spain</t>
        </is>
      </c>
      <c r="P1303" s="200" t="n">
        <v>15430</v>
      </c>
      <c r="Q1303" s="192" t="inlineStr">
        <is>
          <t>O&amp;M Management services provided on July 2022</t>
        </is>
      </c>
      <c r="R1303" s="200" t="n"/>
      <c r="T1303" s="200" t="n"/>
      <c r="V1303" s="200" t="n"/>
      <c r="X1303" s="200" t="n"/>
      <c r="Z1303" s="200" t="n"/>
      <c r="AA1303" s="200" t="n"/>
      <c r="AB1303" s="201" t="inlineStr">
        <is>
          <t>ES11 0081 7069 2700 0122 7724</t>
        </is>
      </c>
      <c r="AC1303" s="192" t="inlineStr">
        <is>
          <t>pendiente</t>
        </is>
      </c>
      <c r="AD1303" s="200">
        <f>L1303+N1303+P1303+R1303+T1303+V1303+X1303+Z1303</f>
        <v/>
      </c>
      <c r="AE1303" s="200">
        <f>IF((LEFT(K1303,6))="Contab",L1303,0)</f>
        <v/>
      </c>
      <c r="AF1303" s="201">
        <f>VLOOKUP(G1303,CLIENTES!B:E,4,FALSE)</f>
        <v/>
      </c>
      <c r="AG1303" s="200">
        <f>AF1303*AE1303</f>
        <v/>
      </c>
      <c r="AH1303" s="200">
        <f>AD1303*1.21</f>
        <v/>
      </c>
      <c r="AI1303" s="283">
        <f>IF(AE1303&lt;&gt;0,AG1303/AD1303,"N/A")</f>
        <v/>
      </c>
      <c r="AJ1303" s="200">
        <f>IF(AC1303="pendiente",AD1303,0)</f>
        <v/>
      </c>
      <c r="AK1303" s="192">
        <f>VLOOKUP(G1303,CLIENTES!B:D,3,FALSE)</f>
        <v/>
      </c>
    </row>
    <row r="1304" ht="15" customFormat="1" customHeight="1" s="192">
      <c r="B1304" s="199" t="n"/>
      <c r="C1304" s="192" t="inlineStr">
        <is>
          <t>c/ Las Cruzadas 3A, local D</t>
        </is>
      </c>
      <c r="D1304" s="192" t="inlineStr">
        <is>
          <t>Sevilla 41004</t>
        </is>
      </c>
      <c r="E1304" s="192" t="inlineStr">
        <is>
          <t>CIF B91938662</t>
        </is>
      </c>
      <c r="F1304" s="192" t="inlineStr">
        <is>
          <t>aBalados@abalados.es</t>
        </is>
      </c>
      <c r="G1304" s="192" t="inlineStr">
        <is>
          <t>China Triumph International Engineering Co., LTD EP EN SPAIN</t>
        </is>
      </c>
      <c r="H1304" s="192">
        <f>VLOOKUP($G1304,DATOS!$B:$E,2,FALSE)</f>
        <v/>
      </c>
      <c r="I1304" s="192">
        <f>VLOOKUP($G1304,DATOS!$B:$E,3,FALSE)</f>
        <v/>
      </c>
      <c r="J1304" s="192">
        <f>VLOOKUP($G1304,DATOS!$B:$E,4,FALSE)</f>
        <v/>
      </c>
      <c r="K1304" s="192" t="inlineStr">
        <is>
          <t>O&amp;M Supervision and Management</t>
        </is>
      </c>
      <c r="L1304" s="200" t="n"/>
      <c r="N1304" s="200" t="n"/>
      <c r="O1304" s="192" t="inlineStr">
        <is>
          <t>Puerto Real 1 PV - Cádiz | Spain</t>
        </is>
      </c>
      <c r="P1304" s="200" t="n">
        <v>15430</v>
      </c>
      <c r="Q1304" s="192" t="inlineStr">
        <is>
          <t>O&amp;M Management services provided on August 2022</t>
        </is>
      </c>
      <c r="R1304" s="200" t="n"/>
      <c r="T1304" s="200" t="n"/>
      <c r="V1304" s="200" t="n"/>
      <c r="X1304" s="200" t="n"/>
      <c r="Z1304" s="200" t="n"/>
      <c r="AA1304" s="200" t="n"/>
      <c r="AB1304" s="201" t="inlineStr">
        <is>
          <t>ES11 0081 7069 2700 0122 7724</t>
        </is>
      </c>
      <c r="AC1304" s="192" t="inlineStr">
        <is>
          <t>pendiente</t>
        </is>
      </c>
      <c r="AD1304" s="200">
        <f>L1304+N1304+P1304+R1304+T1304+V1304+X1304+Z1304</f>
        <v/>
      </c>
      <c r="AE1304" s="200">
        <f>IF((LEFT(K1304,6))="Contab",L1304,0)</f>
        <v/>
      </c>
      <c r="AF1304" s="201">
        <f>VLOOKUP(G1304,CLIENTES!B:E,4,FALSE)</f>
        <v/>
      </c>
      <c r="AG1304" s="200">
        <f>AF1304*AE1304</f>
        <v/>
      </c>
      <c r="AH1304" s="200">
        <f>AD1304*1.21</f>
        <v/>
      </c>
      <c r="AI1304" s="283">
        <f>IF(AE1304&lt;&gt;0,AG1304/AD1304,"N/A")</f>
        <v/>
      </c>
      <c r="AJ1304" s="200">
        <f>IF(AC1304="pendiente",AD1304,0)</f>
        <v/>
      </c>
      <c r="AK1304" s="192">
        <f>VLOOKUP(G1304,CLIENTES!B:D,3,FALSE)</f>
        <v/>
      </c>
    </row>
    <row r="1305" ht="15" customFormat="1" customHeight="1" s="192">
      <c r="B1305" s="199" t="n"/>
      <c r="C1305" s="192" t="inlineStr">
        <is>
          <t>c/ Las Cruzadas 3A, local D</t>
        </is>
      </c>
      <c r="D1305" s="192" t="inlineStr">
        <is>
          <t>Sevilla 41004</t>
        </is>
      </c>
      <c r="E1305" s="192" t="inlineStr">
        <is>
          <t>CIF B91938662</t>
        </is>
      </c>
      <c r="F1305" s="192" t="inlineStr">
        <is>
          <t>aBalados@abalados.es</t>
        </is>
      </c>
      <c r="G1305" s="192" t="inlineStr">
        <is>
          <t>Gazules Renovables, S.L.</t>
        </is>
      </c>
      <c r="H1305" s="192">
        <f>VLOOKUP($G1305,DATOS!$B:$E,2,FALSE)</f>
        <v/>
      </c>
      <c r="I1305" s="192">
        <f>VLOOKUP($G1305,DATOS!$B:$E,3,FALSE)</f>
        <v/>
      </c>
      <c r="J1305" s="192">
        <f>VLOOKUP($G1305,DATOS!$B:$E,4,FALSE)</f>
        <v/>
      </c>
      <c r="K1305" s="189" t="inlineStr">
        <is>
          <t>Servicios extraordinarios - Asset Management (subestación Álamo)</t>
        </is>
      </c>
      <c r="L1305" s="200" t="n"/>
      <c r="M1305" s="192" t="inlineStr">
        <is>
          <t>Asistencia técnica para la licitación de servicios de gestión en obra (DO, CSS, MA, Arq)</t>
        </is>
      </c>
      <c r="N1305" s="200" t="n">
        <v>4975</v>
      </c>
      <c r="P1305" s="200" t="n"/>
      <c r="R1305" s="200" t="n"/>
      <c r="T1305" s="200" t="n"/>
      <c r="V1305" s="200" t="n"/>
      <c r="X1305" s="200" t="n"/>
      <c r="Z1305" s="200" t="n"/>
      <c r="AA1305" s="200" t="n"/>
      <c r="AB1305" s="201" t="inlineStr">
        <is>
          <t>ES11 0081 7069 2700 0122 7724</t>
        </is>
      </c>
      <c r="AC1305" s="192" t="inlineStr">
        <is>
          <t>pendiente</t>
        </is>
      </c>
      <c r="AD1305" s="200">
        <f>L1305+N1305+P1305+R1305+T1305+V1305+X1305+Z1305</f>
        <v/>
      </c>
      <c r="AE1305" s="200">
        <f>IF((LEFT(K1305,6))="Contab",L1305,0)</f>
        <v/>
      </c>
      <c r="AF1305" s="201">
        <f>VLOOKUP(G1305,CLIENTES!B:E,4,FALSE)</f>
        <v/>
      </c>
      <c r="AG1305" s="200">
        <f>AF1305*AE1305</f>
        <v/>
      </c>
      <c r="AH1305" s="200">
        <f>AD1305*1.21</f>
        <v/>
      </c>
      <c r="AI1305" s="283">
        <f>IF(AE1305&lt;&gt;0,AG1305/AD1305,"N/A")</f>
        <v/>
      </c>
      <c r="AJ1305" s="200">
        <f>IF(AC1305="pendiente",AD1305,0)</f>
        <v/>
      </c>
      <c r="AK1305" s="192">
        <f>VLOOKUP(G1305,CLIENTES!B:D,3,FALSE)</f>
        <v/>
      </c>
    </row>
    <row r="1306" ht="15" customFormat="1" customHeight="1" s="278">
      <c r="B1306" s="279" t="n"/>
      <c r="C1306" s="278" t="inlineStr">
        <is>
          <t>c/ Las Cruzadas 3A, local D</t>
        </is>
      </c>
      <c r="D1306" s="278" t="inlineStr">
        <is>
          <t>Sevilla 41004</t>
        </is>
      </c>
      <c r="E1306" s="278" t="inlineStr">
        <is>
          <t>CIF B91938662</t>
        </is>
      </c>
      <c r="F1306" s="278" t="inlineStr">
        <is>
          <t>aBalados@abalados.es</t>
        </is>
      </c>
      <c r="G1306" s="278" t="inlineStr">
        <is>
          <t>Valcabado Renovables 220 kV, S.L.</t>
        </is>
      </c>
      <c r="H1306" s="278">
        <f>VLOOKUP($G1306,DATOS!$B:$E,2,FALSE)</f>
        <v/>
      </c>
      <c r="I1306" s="278">
        <f>VLOOKUP($G1306,DATOS!$B:$E,3,FALSE)</f>
        <v/>
      </c>
      <c r="J1306" s="278">
        <f>VLOOKUP($G1306,DATOS!$B:$E,4,FALSE)</f>
        <v/>
      </c>
      <c r="K1306" s="278" t="inlineStr">
        <is>
          <t>Contrato de Asset Management - Subestación Valcabado</t>
        </is>
      </c>
      <c r="L1306" s="280" t="n"/>
      <c r="N1306" s="280" t="n"/>
      <c r="O1306" s="278" t="inlineStr">
        <is>
          <t>Fee Trimestral - 1Julio/30Septiembre 2022</t>
        </is>
      </c>
      <c r="P1306" s="280">
        <f>1173*3*1.098</f>
        <v/>
      </c>
      <c r="R1306" s="280" t="n"/>
      <c r="T1306" s="280" t="n"/>
      <c r="V1306" s="280" t="n"/>
      <c r="X1306" s="280" t="n"/>
      <c r="Z1306" s="280" t="n"/>
      <c r="AA1306" s="280" t="n"/>
      <c r="AB1306" s="281" t="inlineStr">
        <is>
          <t>ES11 0081 7069 2700 0122 7724</t>
        </is>
      </c>
      <c r="AC1306" s="278" t="inlineStr">
        <is>
          <t>pendiente</t>
        </is>
      </c>
      <c r="AD1306" s="280">
        <f>L1306+N1306+P1306+R1306+T1306+V1306+X1306+Z1306</f>
        <v/>
      </c>
      <c r="AE1306" s="280">
        <f>IF((LEFT(K1306,6))="Contab",L1306,0)</f>
        <v/>
      </c>
      <c r="AF1306" s="281">
        <f>VLOOKUP(G1306,CLIENTES!B:E,4,FALSE)</f>
        <v/>
      </c>
      <c r="AG1306" s="280">
        <f>AF1306*AE1306</f>
        <v/>
      </c>
      <c r="AH1306" s="280">
        <f>AD1306*1.21</f>
        <v/>
      </c>
      <c r="AI1306" s="284">
        <f>IF(AE1306&lt;&gt;0,AG1306/AD1306,"N/A")</f>
        <v/>
      </c>
      <c r="AJ1306" s="280">
        <f>IF(AC1306="pendiente",AD1306,0)</f>
        <v/>
      </c>
      <c r="AK1306" s="278">
        <f>VLOOKUP(G1306,CLIENTES!B:D,3,FALSE)</f>
        <v/>
      </c>
    </row>
    <row r="1307" ht="15" customFormat="1" customHeight="1" s="278">
      <c r="B1307" s="279" t="n"/>
      <c r="C1307" s="278" t="inlineStr">
        <is>
          <t>c/ Las Cruzadas 3A, local D</t>
        </is>
      </c>
      <c r="D1307" s="278" t="inlineStr">
        <is>
          <t>Sevilla 41004</t>
        </is>
      </c>
      <c r="E1307" s="278" t="inlineStr">
        <is>
          <t>CIF B91938662</t>
        </is>
      </c>
      <c r="F1307" s="278" t="inlineStr">
        <is>
          <t>aBalados@abalados.es</t>
        </is>
      </c>
      <c r="G1307" s="278" t="inlineStr">
        <is>
          <t>Grijota Renovables, S.L.</t>
        </is>
      </c>
      <c r="H1307" s="278">
        <f>VLOOKUP($G1307,DATOS!$B:$E,2,FALSE)</f>
        <v/>
      </c>
      <c r="I1307" s="278">
        <f>VLOOKUP($G1307,DATOS!$B:$E,3,FALSE)</f>
        <v/>
      </c>
      <c r="J1307" s="278">
        <f>VLOOKUP($G1307,DATOS!$B:$E,4,FALSE)</f>
        <v/>
      </c>
      <c r="K1307" s="278" t="inlineStr">
        <is>
          <t>Contrato de Asset Management - Subestación Grijota</t>
        </is>
      </c>
      <c r="L1307" s="280" t="n"/>
      <c r="N1307" s="280" t="n"/>
      <c r="O1307" s="278" t="inlineStr">
        <is>
          <t>Fee Trimestral - 1Julio/30Septiembre 2022</t>
        </is>
      </c>
      <c r="P1307" s="280">
        <f>1035*11/31  +  1035*1.108*20/31 + 1035*2*1.108</f>
        <v/>
      </c>
      <c r="Q1307" s="278" t="inlineStr">
        <is>
          <t>Tasa actualización IPC General (Julio 2021 - Julio 2022): 10,8%</t>
        </is>
      </c>
      <c r="R1307" s="280" t="n"/>
      <c r="S1307" s="280" t="inlineStr">
        <is>
          <t>Fecha actualización: 12 Julio</t>
        </is>
      </c>
      <c r="T1307" s="280" t="n"/>
      <c r="V1307" s="280" t="n"/>
      <c r="X1307" s="280" t="n"/>
      <c r="Z1307" s="280" t="n"/>
      <c r="AA1307" s="280" t="n"/>
      <c r="AB1307" s="281" t="inlineStr">
        <is>
          <t>ES11 0081 7069 2700 0122 7724</t>
        </is>
      </c>
      <c r="AC1307" s="278" t="inlineStr">
        <is>
          <t>pendiente</t>
        </is>
      </c>
      <c r="AD1307" s="280">
        <f>L1307+N1307+P1307+R1307+T1307+V1307+X1307+Z1307</f>
        <v/>
      </c>
      <c r="AE1307" s="280">
        <f>IF((LEFT(K1307,6))="Contab",L1307,0)</f>
        <v/>
      </c>
      <c r="AF1307" s="281">
        <f>VLOOKUP(G1307,CLIENTES!B:E,4,FALSE)</f>
        <v/>
      </c>
      <c r="AG1307" s="280">
        <f>AF1307*AE1307</f>
        <v/>
      </c>
      <c r="AH1307" s="280">
        <f>AD1307*1.21</f>
        <v/>
      </c>
      <c r="AI1307" s="284">
        <f>IF(AE1307&lt;&gt;0,AG1307/AD1307,"N/A")</f>
        <v/>
      </c>
      <c r="AJ1307" s="280">
        <f>IF(AC1307="pendiente",AD1307,0)</f>
        <v/>
      </c>
      <c r="AK1307" s="278">
        <f>VLOOKUP(G1307,CLIENTES!B:D,3,FALSE)</f>
        <v/>
      </c>
    </row>
    <row r="1308" ht="15" customFormat="1" customHeight="1" s="278">
      <c r="B1308" s="279" t="n"/>
      <c r="C1308" s="278" t="inlineStr">
        <is>
          <t>c/ Las Cruzadas 3A, local D</t>
        </is>
      </c>
      <c r="D1308" s="278" t="inlineStr">
        <is>
          <t>Sevilla 41004</t>
        </is>
      </c>
      <c r="E1308" s="278" t="inlineStr">
        <is>
          <t>CIF B91938662</t>
        </is>
      </c>
      <c r="F1308" s="278" t="inlineStr">
        <is>
          <t>aBalados@abalados.es</t>
        </is>
      </c>
      <c r="G1308" s="278" t="inlineStr">
        <is>
          <t>Cubillos Renovables, S.L.</t>
        </is>
      </c>
      <c r="H1308" s="278">
        <f>VLOOKUP($G1308,DATOS!$B:$E,2,FALSE)</f>
        <v/>
      </c>
      <c r="I1308" s="278">
        <f>VLOOKUP($G1308,DATOS!$B:$E,3,FALSE)</f>
        <v/>
      </c>
      <c r="J1308" s="278">
        <f>VLOOKUP($G1308,DATOS!$B:$E,4,FALSE)</f>
        <v/>
      </c>
      <c r="K1308" s="278" t="inlineStr">
        <is>
          <t>Contrato de Asset Management - Subestación Majuelo</t>
        </is>
      </c>
      <c r="L1308" s="280" t="n"/>
      <c r="N1308" s="280" t="n"/>
      <c r="O1308" s="278" t="inlineStr">
        <is>
          <t>Fee Trimestral - 1Julio/30Septiembre 2022</t>
        </is>
      </c>
      <c r="P1308" s="280">
        <f>1173  +  1173*2*1.105</f>
        <v/>
      </c>
      <c r="Q1308" s="278" t="inlineStr">
        <is>
          <t>Tasa actualización IPC General (Agosto 2021 - Agosto 2022): 10,5%</t>
        </is>
      </c>
      <c r="R1308" s="280" t="n"/>
      <c r="S1308" s="280" t="inlineStr">
        <is>
          <t>Fecha actualización: 1 Agosto</t>
        </is>
      </c>
      <c r="T1308" s="280" t="n"/>
      <c r="V1308" s="280" t="n"/>
      <c r="X1308" s="280" t="n"/>
      <c r="Z1308" s="280" t="n"/>
      <c r="AA1308" s="280" t="n"/>
      <c r="AB1308" s="281" t="inlineStr">
        <is>
          <t>ES11 0081 7069 2700 0122 7724</t>
        </is>
      </c>
      <c r="AC1308" s="278" t="inlineStr">
        <is>
          <t>pendiente</t>
        </is>
      </c>
      <c r="AD1308" s="280">
        <f>L1308+N1308+P1308+R1308+T1308+V1308+X1308+Z1308</f>
        <v/>
      </c>
      <c r="AE1308" s="280">
        <f>IF((LEFT(K1308,6))="Contab",L1308,0)</f>
        <v/>
      </c>
      <c r="AF1308" s="281">
        <f>VLOOKUP(G1308,CLIENTES!B:E,4,FALSE)</f>
        <v/>
      </c>
      <c r="AG1308" s="280">
        <f>AF1308*AE1308</f>
        <v/>
      </c>
      <c r="AH1308" s="280">
        <f>AD1308*1.21</f>
        <v/>
      </c>
      <c r="AI1308" s="284">
        <f>IF(AE1308&lt;&gt;0,AG1308/AD1308,"N/A")</f>
        <v/>
      </c>
      <c r="AJ1308" s="280">
        <f>IF(AC1308="pendiente",AD1308,0)</f>
        <v/>
      </c>
      <c r="AK1308" s="278">
        <f>VLOOKUP(G1308,CLIENTES!B:D,3,FALSE)</f>
        <v/>
      </c>
    </row>
    <row r="1309" ht="15" customFormat="1" customHeight="1" s="278">
      <c r="B1309" s="279" t="n"/>
      <c r="C1309" s="278" t="inlineStr">
        <is>
          <t>c/ Las Cruzadas 3A, local D</t>
        </is>
      </c>
      <c r="D1309" s="278" t="inlineStr">
        <is>
          <t>Sevilla 41004</t>
        </is>
      </c>
      <c r="E1309" s="278" t="inlineStr">
        <is>
          <t>CIF B91938662</t>
        </is>
      </c>
      <c r="F1309" s="278" t="inlineStr">
        <is>
          <t>aBalados@abalados.es</t>
        </is>
      </c>
      <c r="G1309" s="278" t="inlineStr">
        <is>
          <t>Tordesillas Renovables, S.L.</t>
        </is>
      </c>
      <c r="H1309" s="278">
        <f>VLOOKUP($G1309,DATOS!$B:$E,2,FALSE)</f>
        <v/>
      </c>
      <c r="I1309" s="278">
        <f>VLOOKUP($G1309,DATOS!$B:$E,3,FALSE)</f>
        <v/>
      </c>
      <c r="J1309" s="278">
        <f>VLOOKUP($G1309,DATOS!$B:$E,4,FALSE)</f>
        <v/>
      </c>
      <c r="K1309" s="278" t="inlineStr">
        <is>
          <t>Contrato de Asset Management - Subestación Tordesillas</t>
        </is>
      </c>
      <c r="L1309" s="280" t="n"/>
      <c r="N1309" s="280" t="n"/>
      <c r="O1309" s="278" t="inlineStr">
        <is>
          <t>Fee Trimestral - 1Julio/30Septiembre 2022</t>
        </is>
      </c>
      <c r="P1309" s="280">
        <f>1200*3</f>
        <v/>
      </c>
      <c r="Q1309" s="290" t="n"/>
      <c r="R1309" s="280" t="n"/>
      <c r="T1309" s="280" t="n"/>
      <c r="V1309" s="280" t="n"/>
      <c r="X1309" s="280" t="n"/>
      <c r="Z1309" s="280" t="n"/>
      <c r="AA1309" s="280" t="n"/>
      <c r="AB1309" s="281" t="inlineStr">
        <is>
          <t>ES11 0081 7069 2700 0122 7724</t>
        </is>
      </c>
      <c r="AC1309" s="278" t="inlineStr">
        <is>
          <t>pendiente</t>
        </is>
      </c>
      <c r="AD1309" s="280">
        <f>L1309+N1309+P1309+R1309+T1309+V1309+X1309+Z1309</f>
        <v/>
      </c>
      <c r="AE1309" s="280">
        <f>IF((LEFT(K1309,6))="Contab",L1309,0)</f>
        <v/>
      </c>
      <c r="AF1309" s="281">
        <f>VLOOKUP(G1309,CLIENTES!B:E,4,FALSE)</f>
        <v/>
      </c>
      <c r="AG1309" s="280">
        <f>AF1309*AE1309</f>
        <v/>
      </c>
      <c r="AH1309" s="280">
        <f>AD1309*1.21</f>
        <v/>
      </c>
      <c r="AI1309" s="284">
        <f>IF(AE1309&lt;&gt;0,AG1309/AD1309,"N/A")</f>
        <v/>
      </c>
      <c r="AJ1309" s="280">
        <f>IF(AC1309="pendiente",AD1309,0)</f>
        <v/>
      </c>
      <c r="AK1309" s="278">
        <f>VLOOKUP(G1309,CLIENTES!B:D,3,FALSE)</f>
        <v/>
      </c>
    </row>
    <row r="1310" ht="15" customFormat="1" customHeight="1" s="278">
      <c r="B1310" s="279" t="n"/>
      <c r="C1310" s="278" t="inlineStr">
        <is>
          <t>c/ Las Cruzadas 3A, local D</t>
        </is>
      </c>
      <c r="D1310" s="278" t="inlineStr">
        <is>
          <t>Sevilla 41004</t>
        </is>
      </c>
      <c r="E1310" s="278" t="inlineStr">
        <is>
          <t>CIF B91938662</t>
        </is>
      </c>
      <c r="F1310" s="278" t="inlineStr">
        <is>
          <t>aBalados@abalados.es</t>
        </is>
      </c>
      <c r="G1310" s="278" t="inlineStr">
        <is>
          <t>Monte Reina Renovables, S.L.</t>
        </is>
      </c>
      <c r="H1310" s="278">
        <f>VLOOKUP($G1310,DATOS!$B:$E,2,FALSE)</f>
        <v/>
      </c>
      <c r="I1310" s="278">
        <f>VLOOKUP($G1310,DATOS!$B:$E,3,FALSE)</f>
        <v/>
      </c>
      <c r="J1310" s="278">
        <f>VLOOKUP($G1310,DATOS!$B:$E,4,FALSE)</f>
        <v/>
      </c>
      <c r="K1310" s="278" t="inlineStr">
        <is>
          <t>Contrato de Asset Management - Subestación Valdecarretas</t>
        </is>
      </c>
      <c r="L1310" s="280" t="n"/>
      <c r="N1310" s="280" t="n"/>
      <c r="O1310" s="278" t="inlineStr">
        <is>
          <t>Fee Trimestral - 1Julio/30Septiembre 2022</t>
        </is>
      </c>
      <c r="P1310" s="280">
        <f>1380*3</f>
        <v/>
      </c>
      <c r="R1310" s="280" t="n"/>
      <c r="T1310" s="280" t="n"/>
      <c r="V1310" s="280" t="n"/>
      <c r="X1310" s="280" t="n"/>
      <c r="Z1310" s="280" t="n"/>
      <c r="AA1310" s="280" t="n"/>
      <c r="AB1310" s="281" t="inlineStr">
        <is>
          <t>ES11 0081 7069 2700 0122 7724</t>
        </is>
      </c>
      <c r="AC1310" s="278" t="inlineStr">
        <is>
          <t>pendiente</t>
        </is>
      </c>
      <c r="AD1310" s="280">
        <f>L1310+N1310+P1310+R1310+T1310+V1310+X1310+Z1310</f>
        <v/>
      </c>
      <c r="AE1310" s="280">
        <f>IF((LEFT(K1310,6))="Contab",L1310,0)</f>
        <v/>
      </c>
      <c r="AF1310" s="281">
        <f>VLOOKUP(G1310,CLIENTES!B:E,4,FALSE)</f>
        <v/>
      </c>
      <c r="AG1310" s="280">
        <f>AF1310*AE1310</f>
        <v/>
      </c>
      <c r="AH1310" s="280">
        <f>AD1310*1.21</f>
        <v/>
      </c>
      <c r="AI1310" s="284">
        <f>IF(AE1310&lt;&gt;0,AG1310/AD1310,"N/A")</f>
        <v/>
      </c>
      <c r="AJ1310" s="280">
        <f>IF(AC1310="pendiente",AD1310,0)</f>
        <v/>
      </c>
      <c r="AK1310" s="278">
        <f>VLOOKUP(G1310,CLIENTES!B:D,3,FALSE)</f>
        <v/>
      </c>
    </row>
    <row r="1311" ht="15" customFormat="1" customHeight="1" s="278">
      <c r="B1311" s="279" t="n"/>
      <c r="C1311" s="278" t="inlineStr">
        <is>
          <t>c/ Las Cruzadas 3A, local D</t>
        </is>
      </c>
      <c r="D1311" s="278" t="inlineStr">
        <is>
          <t>Sevilla 41004</t>
        </is>
      </c>
      <c r="E1311" s="278" t="inlineStr">
        <is>
          <t>CIF B91938662</t>
        </is>
      </c>
      <c r="F1311" s="278" t="inlineStr">
        <is>
          <t>aBalados@abalados.es</t>
        </is>
      </c>
      <c r="G1311" s="278" t="inlineStr">
        <is>
          <t>Herrera Renovables 400, A.I.E.</t>
        </is>
      </c>
      <c r="H1311" s="278">
        <f>VLOOKUP($G1311,DATOS!$B:$E,2,FALSE)</f>
        <v/>
      </c>
      <c r="I1311" s="286">
        <f>VLOOKUP($G1311,DATOS!$B:$E,3,FALSE)</f>
        <v/>
      </c>
      <c r="J1311" s="286">
        <f>VLOOKUP($G1311,DATOS!$B:$E,4,FALSE)</f>
        <v/>
      </c>
      <c r="K1311" s="278" t="inlineStr">
        <is>
          <t>Contrato de Asset Management - Subestación Herrera</t>
        </is>
      </c>
      <c r="L1311" s="280" t="n"/>
      <c r="N1311" s="280" t="n"/>
      <c r="O1311" s="278" t="inlineStr">
        <is>
          <t>Fee Trimestral - 1Julio/30Septiembre 2022</t>
        </is>
      </c>
      <c r="P1311" s="280">
        <f>1250*3</f>
        <v/>
      </c>
      <c r="R1311" s="280" t="n"/>
      <c r="T1311" s="280" t="n"/>
      <c r="V1311" s="280" t="n"/>
      <c r="X1311" s="280" t="n"/>
      <c r="Z1311" s="280" t="n"/>
      <c r="AA1311" s="280" t="n"/>
      <c r="AB1311" s="281" t="inlineStr">
        <is>
          <t>ES11 0081 7069 2700 0122 7724</t>
        </is>
      </c>
      <c r="AC1311" s="278" t="inlineStr">
        <is>
          <t>pendiente</t>
        </is>
      </c>
      <c r="AD1311" s="280">
        <f>L1311+N1311+P1311+R1311+T1311+V1311+X1311+Z1311</f>
        <v/>
      </c>
      <c r="AE1311" s="280">
        <f>IF((LEFT(K1311,6))="Contab",L1311,0)</f>
        <v/>
      </c>
      <c r="AF1311" s="281">
        <f>VLOOKUP(G1311,CLIENTES!B:E,4,FALSE)</f>
        <v/>
      </c>
      <c r="AG1311" s="280">
        <f>AF1311*AE1311</f>
        <v/>
      </c>
      <c r="AH1311" s="280">
        <f>AD1311*1.21</f>
        <v/>
      </c>
      <c r="AI1311" s="284">
        <f>IF(AE1311&lt;&gt;0,AG1311/AD1311,"N/A")</f>
        <v/>
      </c>
      <c r="AJ1311" s="280">
        <f>IF(AC1311="pendiente",AD1311,0)</f>
        <v/>
      </c>
      <c r="AK1311" s="278">
        <f>VLOOKUP(G1311,CLIENTES!B:D,3,FALSE)</f>
        <v/>
      </c>
      <c r="AL1311" s="286" t="n"/>
    </row>
    <row r="1312" ht="15" customFormat="1" customHeight="1" s="278">
      <c r="B1312" s="279" t="n"/>
      <c r="C1312" s="278" t="inlineStr">
        <is>
          <t>c/ Las Cruzadas 3A, local D</t>
        </is>
      </c>
      <c r="D1312" s="278" t="inlineStr">
        <is>
          <t>Sevilla 41004</t>
        </is>
      </c>
      <c r="E1312" s="278" t="inlineStr">
        <is>
          <t>CIF B91938662</t>
        </is>
      </c>
      <c r="F1312" s="278" t="inlineStr">
        <is>
          <t>aBalados@abalados.es</t>
        </is>
      </c>
      <c r="G1312" s="278" t="inlineStr">
        <is>
          <t>Gazules Renovables, S.L.</t>
        </is>
      </c>
      <c r="H1312" s="278">
        <f>VLOOKUP($G1312,DATOS!$B:$E,2,FALSE)</f>
        <v/>
      </c>
      <c r="I1312" s="278">
        <f>VLOOKUP($G1312,DATOS!$B:$E,3,FALSE)</f>
        <v/>
      </c>
      <c r="J1312" s="278">
        <f>VLOOKUP($G1312,DATOS!$B:$E,4,FALSE)</f>
        <v/>
      </c>
      <c r="K1312" s="278" t="inlineStr">
        <is>
          <t>Contrato de Asset Management - Subestación Gazules</t>
        </is>
      </c>
      <c r="L1312" s="280" t="n"/>
      <c r="N1312" s="280" t="n"/>
      <c r="O1312" s="278" t="inlineStr">
        <is>
          <t>Fee Trimestral - 1Julio/30Septiembre 2022</t>
        </is>
      </c>
      <c r="P1312" s="280">
        <f>1200*3</f>
        <v/>
      </c>
      <c r="R1312" s="280" t="n"/>
      <c r="T1312" s="280" t="n"/>
      <c r="V1312" s="280" t="n"/>
      <c r="X1312" s="280" t="n"/>
      <c r="Z1312" s="280" t="n"/>
      <c r="AA1312" s="280" t="n"/>
      <c r="AB1312" s="281" t="inlineStr">
        <is>
          <t>ES11 0081 7069 2700 0122 7724</t>
        </is>
      </c>
      <c r="AC1312" s="278" t="inlineStr">
        <is>
          <t>pendiente</t>
        </is>
      </c>
      <c r="AD1312" s="280">
        <f>L1312+N1312+P1312+R1312+T1312+V1312+X1312+Z1312</f>
        <v/>
      </c>
      <c r="AE1312" s="280">
        <f>IF((LEFT(K1312,6))="Contab",L1312,0)</f>
        <v/>
      </c>
      <c r="AF1312" s="281">
        <f>VLOOKUP(G1312,CLIENTES!B:E,4,FALSE)</f>
        <v/>
      </c>
      <c r="AG1312" s="280">
        <f>AF1312*AE1312</f>
        <v/>
      </c>
      <c r="AH1312" s="280">
        <f>AD1312*1.21</f>
        <v/>
      </c>
      <c r="AI1312" s="284">
        <f>IF(AE1312&lt;&gt;0,AG1312/AD1312,"N/A")</f>
        <v/>
      </c>
      <c r="AJ1312" s="280">
        <f>IF(AC1312="pendiente",AD1312,0)</f>
        <v/>
      </c>
      <c r="AK1312" s="278">
        <f>VLOOKUP(G1312,CLIENTES!B:D,3,FALSE)</f>
        <v/>
      </c>
    </row>
    <row r="1313" ht="15" customFormat="1" customHeight="1" s="278">
      <c r="B1313" s="279" t="n"/>
      <c r="C1313" s="278" t="inlineStr">
        <is>
          <t>c/ Las Cruzadas 3A, local D</t>
        </is>
      </c>
      <c r="D1313" s="278" t="inlineStr">
        <is>
          <t>Sevilla 41004</t>
        </is>
      </c>
      <c r="E1313" s="278" t="inlineStr">
        <is>
          <t>CIF B91938662</t>
        </is>
      </c>
      <c r="F1313" s="278" t="inlineStr">
        <is>
          <t>aBalados@abalados.es</t>
        </is>
      </c>
      <c r="G1313" s="278" t="inlineStr">
        <is>
          <t>Evacuación Tordesillas 400 kV, S.L.</t>
        </is>
      </c>
      <c r="H1313" s="278">
        <f>VLOOKUP($G1313,DATOS!$B:$E,2,FALSE)</f>
        <v/>
      </c>
      <c r="I1313" s="278">
        <f>VLOOKUP($G1313,DATOS!$B:$E,3,FALSE)</f>
        <v/>
      </c>
      <c r="J1313" s="278">
        <f>VLOOKUP($G1313,DATOS!$B:$E,4,FALSE)</f>
        <v/>
      </c>
      <c r="K1313" s="278" t="inlineStr">
        <is>
          <t>Contrato de Asset Management - LAAT T2 (Tordesillas)</t>
        </is>
      </c>
      <c r="L1313" s="280" t="n"/>
      <c r="N1313" s="280" t="n"/>
      <c r="O1313" s="278" t="inlineStr">
        <is>
          <t>Fee Trimestral - 1Julio/30Septiembre 2022</t>
        </is>
      </c>
      <c r="P1313" s="280">
        <f>1200*3</f>
        <v/>
      </c>
      <c r="R1313" s="280" t="n"/>
      <c r="T1313" s="280" t="n"/>
      <c r="V1313" s="280" t="n"/>
      <c r="X1313" s="280" t="n"/>
      <c r="Z1313" s="280" t="n"/>
      <c r="AA1313" s="280" t="n"/>
      <c r="AB1313" s="281" t="inlineStr">
        <is>
          <t>ES11 0081 7069 2700 0122 7724</t>
        </is>
      </c>
      <c r="AC1313" s="278" t="inlineStr">
        <is>
          <t>pendiente</t>
        </is>
      </c>
      <c r="AD1313" s="280">
        <f>L1313+N1313+P1313+R1313+T1313+V1313+X1313+Z1313</f>
        <v/>
      </c>
      <c r="AE1313" s="280">
        <f>IF((LEFT(K1313,6))="Contab",L1313,0)</f>
        <v/>
      </c>
      <c r="AF1313" s="281">
        <f>VLOOKUP(G1313,CLIENTES!B:E,4,FALSE)</f>
        <v/>
      </c>
      <c r="AG1313" s="280">
        <f>AF1313*AE1313</f>
        <v/>
      </c>
      <c r="AH1313" s="280">
        <f>AD1313*1.21</f>
        <v/>
      </c>
      <c r="AI1313" s="284">
        <f>IF(AE1313&lt;&gt;0,AG1313/AD1313,"N/A")</f>
        <v/>
      </c>
      <c r="AJ1313" s="280">
        <f>IF(AC1313="pendiente",AD1313,0)</f>
        <v/>
      </c>
      <c r="AK1313" s="278">
        <f>VLOOKUP(G1313,CLIENTES!B:D,3,FALSE)</f>
        <v/>
      </c>
    </row>
    <row r="1314" ht="15" customFormat="1" customHeight="1" s="278">
      <c r="B1314" s="279" t="n"/>
      <c r="C1314" s="278" t="inlineStr">
        <is>
          <t>c/ Las Cruzadas 3A, local D</t>
        </is>
      </c>
      <c r="D1314" s="278" t="inlineStr">
        <is>
          <t>Sevilla 41004</t>
        </is>
      </c>
      <c r="E1314" s="278" t="inlineStr">
        <is>
          <t>CIF B91938662</t>
        </is>
      </c>
      <c r="F1314" s="278" t="inlineStr">
        <is>
          <t>aBalados@abalados.es</t>
        </is>
      </c>
      <c r="G1314" s="278" t="inlineStr">
        <is>
          <t>Energías Limpias de Carmona, S.L.</t>
        </is>
      </c>
      <c r="H1314" s="278">
        <f>VLOOKUP($G1314,DATOS!$B:$E,2,FALSE)</f>
        <v/>
      </c>
      <c r="I1314" s="278">
        <f>VLOOKUP($G1314,DATOS!$B:$E,3,FALSE)</f>
        <v/>
      </c>
      <c r="J1314" s="278">
        <f>VLOOKUP($G1314,DATOS!$B:$E,4,FALSE)</f>
        <v/>
      </c>
      <c r="K1314" s="278" t="inlineStr">
        <is>
          <t>Contrato de Asset Management - Subestación Carmona220</t>
        </is>
      </c>
      <c r="L1314" s="280" t="n"/>
      <c r="N1314" s="280" t="n"/>
      <c r="O1314" s="278" t="inlineStr">
        <is>
          <t>Fee Trimestral - 1Julio/30Septiembre 2022</t>
        </is>
      </c>
      <c r="P1314" s="280">
        <f>1250*3</f>
        <v/>
      </c>
      <c r="R1314" s="280" t="n"/>
      <c r="T1314" s="280" t="n"/>
      <c r="V1314" s="280" t="n"/>
      <c r="X1314" s="280" t="n"/>
      <c r="Z1314" s="280" t="n"/>
      <c r="AA1314" s="280" t="n"/>
      <c r="AB1314" s="281" t="inlineStr">
        <is>
          <t>ES11 0081 7069 2700 0122 7724</t>
        </is>
      </c>
      <c r="AC1314" s="278" t="inlineStr">
        <is>
          <t>pendiente</t>
        </is>
      </c>
      <c r="AD1314" s="280">
        <f>L1314+N1314+P1314+R1314+T1314+V1314+X1314+Z1314</f>
        <v/>
      </c>
      <c r="AE1314" s="280">
        <f>IF((LEFT(K1314,6))="Contab",L1314,0)</f>
        <v/>
      </c>
      <c r="AF1314" s="281">
        <f>VLOOKUP(G1314,CLIENTES!B:E,4,FALSE)</f>
        <v/>
      </c>
      <c r="AG1314" s="280">
        <f>AF1314*AE1314</f>
        <v/>
      </c>
      <c r="AH1314" s="280">
        <f>AD1314*1.21</f>
        <v/>
      </c>
      <c r="AI1314" s="284">
        <f>IF(AE1314&lt;&gt;0,AG1314/AD1314,"N/A")</f>
        <v/>
      </c>
      <c r="AJ1314" s="280">
        <f>IF(AC1314="pendiente",AD1314,0)</f>
        <v/>
      </c>
      <c r="AK1314" s="278">
        <f>VLOOKUP(G1314,CLIENTES!B:D,3,FALSE)</f>
        <v/>
      </c>
    </row>
    <row r="1315" ht="15" customFormat="1" customHeight="1" s="278">
      <c r="B1315" s="279" t="n"/>
      <c r="C1315" s="278" t="inlineStr">
        <is>
          <t>c/ Las Cruzadas 3A, local D</t>
        </is>
      </c>
      <c r="D1315" s="278" t="inlineStr">
        <is>
          <t>Sevilla 41004</t>
        </is>
      </c>
      <c r="E1315" s="278" t="inlineStr">
        <is>
          <t>CIF B91938662</t>
        </is>
      </c>
      <c r="F1315" s="278" t="inlineStr">
        <is>
          <t>aBalados@abalados.es</t>
        </is>
      </c>
      <c r="G1315" s="278" t="inlineStr">
        <is>
          <t>LAAT 132 kV Doble Circuito-Tordesillas 400 kV, S.L.</t>
        </is>
      </c>
      <c r="H1315" s="278">
        <f>VLOOKUP($G1315,DATOS!$B:$E,2,FALSE)</f>
        <v/>
      </c>
      <c r="I1315" s="278">
        <f>VLOOKUP($G1315,DATOS!$B:$E,3,FALSE)</f>
        <v/>
      </c>
      <c r="J1315" s="278">
        <f>VLOOKUP($G1315,DATOS!$B:$E,4,FALSE)</f>
        <v/>
      </c>
      <c r="K1315" s="278" t="inlineStr">
        <is>
          <t>Contrato de Asset Management - LAAT T3 (Tordesillas)</t>
        </is>
      </c>
      <c r="L1315" s="280" t="n"/>
      <c r="N1315" s="280" t="n"/>
      <c r="O1315" s="278" t="inlineStr">
        <is>
          <t>Fee Trimestral - 1Julio/30Septiembre 2022</t>
        </is>
      </c>
      <c r="P1315" s="280">
        <f>1200*3</f>
        <v/>
      </c>
      <c r="R1315" s="280" t="n"/>
      <c r="T1315" s="280" t="n"/>
      <c r="V1315" s="280" t="n"/>
      <c r="X1315" s="280" t="n"/>
      <c r="Z1315" s="280" t="n"/>
      <c r="AA1315" s="280" t="n"/>
      <c r="AB1315" s="281" t="inlineStr">
        <is>
          <t>ES11 0081 7069 2700 0122 7724</t>
        </is>
      </c>
      <c r="AC1315" s="278" t="inlineStr">
        <is>
          <t>pendiente</t>
        </is>
      </c>
      <c r="AD1315" s="280">
        <f>L1315+N1315+P1315+R1315+T1315+V1315+X1315+Z1315</f>
        <v/>
      </c>
      <c r="AE1315" s="280">
        <f>IF((LEFT(K1315,6))="Contab",L1315,0)</f>
        <v/>
      </c>
      <c r="AF1315" s="281">
        <f>VLOOKUP(G1315,CLIENTES!B:E,4,FALSE)</f>
        <v/>
      </c>
      <c r="AG1315" s="280">
        <f>AF1315*AE1315</f>
        <v/>
      </c>
      <c r="AH1315" s="280">
        <f>AD1315*1.21</f>
        <v/>
      </c>
      <c r="AI1315" s="284">
        <f>IF(AE1315&lt;&gt;0,AG1315/AD1315,"N/A")</f>
        <v/>
      </c>
      <c r="AJ1315" s="280">
        <f>IF(AC1315="pendiente",AD1315,0)</f>
        <v/>
      </c>
      <c r="AK1315" s="278">
        <f>VLOOKUP(G1315,CLIENTES!B:D,3,FALSE)</f>
        <v/>
      </c>
    </row>
    <row r="1316" ht="15" customFormat="1" customHeight="1" s="278">
      <c r="B1316" s="279" t="n"/>
      <c r="C1316" s="278" t="inlineStr">
        <is>
          <t>c/ Las Cruzadas 3A, local D</t>
        </is>
      </c>
      <c r="D1316" s="278" t="inlineStr">
        <is>
          <t>Sevilla 41004</t>
        </is>
      </c>
      <c r="E1316" s="278" t="inlineStr">
        <is>
          <t>CIF B91938662</t>
        </is>
      </c>
      <c r="G1316" s="278" t="inlineStr">
        <is>
          <t>SET Carmona 400 kV Renovables, S.L.</t>
        </is>
      </c>
      <c r="H1316" s="278">
        <f>VLOOKUP($G1316,DATOS!$B:$E,2,FALSE)</f>
        <v/>
      </c>
      <c r="I1316" s="278">
        <f>VLOOKUP($G1316,DATOS!$B:$E,3,FALSE)</f>
        <v/>
      </c>
      <c r="J1316" s="278">
        <f>VLOOKUP($G1316,DATOS!$B:$E,4,FALSE)</f>
        <v/>
      </c>
      <c r="K1316" s="278" t="inlineStr">
        <is>
          <t>Contrato de Asset Management - Subestación Carmona400</t>
        </is>
      </c>
      <c r="L1316" s="280" t="n"/>
      <c r="N1316" s="280" t="n"/>
      <c r="O1316" s="278" t="inlineStr">
        <is>
          <t>Fee Trimestral - 1Julio/30Septiembre 2022</t>
        </is>
      </c>
      <c r="P1316" s="280">
        <f>1250*3</f>
        <v/>
      </c>
      <c r="R1316" s="280" t="n"/>
      <c r="T1316" s="280" t="n"/>
      <c r="V1316" s="280" t="n"/>
      <c r="X1316" s="280" t="n"/>
      <c r="Z1316" s="280" t="n"/>
      <c r="AA1316" s="280" t="n"/>
      <c r="AB1316" s="281" t="inlineStr">
        <is>
          <t>ES11 0081 7069 2700 0122 7724</t>
        </is>
      </c>
      <c r="AC1316" s="278" t="inlineStr">
        <is>
          <t>pendiente</t>
        </is>
      </c>
      <c r="AD1316" s="280">
        <f>L1316+N1316+P1316+R1316+T1316+V1316+X1316+Z1316</f>
        <v/>
      </c>
      <c r="AE1316" s="280">
        <f>IF((LEFT(K1316,6))="Contab",L1316,0)</f>
        <v/>
      </c>
      <c r="AF1316" s="281">
        <f>VLOOKUP(G1316,CLIENTES!B:E,4,FALSE)</f>
        <v/>
      </c>
      <c r="AG1316" s="280">
        <f>AF1316*AE1316</f>
        <v/>
      </c>
      <c r="AH1316" s="280">
        <f>AD1316*1.21</f>
        <v/>
      </c>
      <c r="AI1316" s="284">
        <f>IF(AE1316&lt;&gt;0,AG1316/AD1316,"N/A")</f>
        <v/>
      </c>
      <c r="AJ1316" s="280">
        <f>IF(AC1316="pendiente",AD1316,0)</f>
        <v/>
      </c>
      <c r="AK1316" s="278">
        <f>VLOOKUP(G1316,CLIENTES!B:D,3,FALSE)</f>
        <v/>
      </c>
    </row>
    <row r="1317" ht="15" customFormat="1" customHeight="1" s="278">
      <c r="B1317" s="279" t="n"/>
      <c r="C1317" s="278" t="inlineStr">
        <is>
          <t>c/ Las Cruzadas 3A, local D</t>
        </is>
      </c>
      <c r="D1317" s="278" t="inlineStr">
        <is>
          <t>Sevilla 41004</t>
        </is>
      </c>
      <c r="E1317" s="278" t="inlineStr">
        <is>
          <t>CIF B91938662</t>
        </is>
      </c>
      <c r="G1317" s="278" t="inlineStr">
        <is>
          <t>Evacuación Carmona 400-220 kV Renovables, S.L.</t>
        </is>
      </c>
      <c r="H1317" s="278">
        <f>VLOOKUP($G1317,DATOS!$B:$E,2,FALSE)</f>
        <v/>
      </c>
      <c r="I1317" s="278">
        <f>VLOOKUP($G1317,DATOS!$B:$E,3,FALSE)</f>
        <v/>
      </c>
      <c r="J1317" s="278">
        <f>VLOOKUP($G1317,DATOS!$B:$E,4,FALSE)</f>
        <v/>
      </c>
      <c r="K1317" s="278" t="inlineStr">
        <is>
          <t>Contrato de Asset Management - LAAT 220/400kV</t>
        </is>
      </c>
      <c r="L1317" s="280" t="n"/>
      <c r="N1317" s="280" t="n"/>
      <c r="O1317" s="278" t="inlineStr">
        <is>
          <t>Fee Trimestral - 1Julio/30Septiembre 2022</t>
        </is>
      </c>
      <c r="P1317" s="280">
        <f>1200*3</f>
        <v/>
      </c>
      <c r="R1317" s="280" t="n"/>
      <c r="T1317" s="280" t="n"/>
      <c r="V1317" s="280" t="n"/>
      <c r="X1317" s="280" t="n"/>
      <c r="Z1317" s="280" t="n"/>
      <c r="AA1317" s="280" t="n"/>
      <c r="AB1317" s="281" t="inlineStr">
        <is>
          <t>ES11 0081 7069 2700 0122 7724</t>
        </is>
      </c>
      <c r="AC1317" s="278" t="inlineStr">
        <is>
          <t>pendiente</t>
        </is>
      </c>
      <c r="AD1317" s="280">
        <f>L1317+N1317+P1317+R1317+T1317+V1317+X1317+Z1317</f>
        <v/>
      </c>
      <c r="AE1317" s="280">
        <f>IF((LEFT(K1317,6))="Contab",L1317,0)</f>
        <v/>
      </c>
      <c r="AF1317" s="281">
        <f>VLOOKUP(G1317,CLIENTES!B:E,4,FALSE)</f>
        <v/>
      </c>
      <c r="AG1317" s="280">
        <f>AF1317*AE1317</f>
        <v/>
      </c>
      <c r="AH1317" s="280">
        <f>AD1317*1.21</f>
        <v/>
      </c>
      <c r="AI1317" s="284">
        <f>IF(AE1317&lt;&gt;0,AG1317/AD1317,"N/A")</f>
        <v/>
      </c>
      <c r="AJ1317" s="280">
        <f>IF(AC1317="pendiente",AD1317,0)</f>
        <v/>
      </c>
      <c r="AK1317" s="278">
        <f>VLOOKUP(G1317,CLIENTES!B:D,3,FALSE)</f>
        <v/>
      </c>
    </row>
    <row r="1318" ht="15" customFormat="1" customHeight="1" s="278">
      <c r="B1318" s="279" t="n"/>
      <c r="C1318" s="278" t="inlineStr">
        <is>
          <t>c/ Las Cruzadas 3A, local D</t>
        </is>
      </c>
      <c r="D1318" s="278" t="inlineStr">
        <is>
          <t>Sevilla 41004</t>
        </is>
      </c>
      <c r="E1318" s="278" t="inlineStr">
        <is>
          <t>CIF B91938662</t>
        </is>
      </c>
      <c r="G1318" s="278" t="inlineStr">
        <is>
          <t>La Serranilla Renovables 132 kV, A.I.E.</t>
        </is>
      </c>
      <c r="H1318" s="278">
        <f>VLOOKUP($G1318,DATOS!$B:$E,2,FALSE)</f>
        <v/>
      </c>
      <c r="I1318" s="278">
        <f>VLOOKUP($G1318,DATOS!$B:$E,3,FALSE)</f>
        <v/>
      </c>
      <c r="J1318" s="278">
        <f>VLOOKUP($G1318,DATOS!$B:$E,4,FALSE)</f>
        <v/>
      </c>
      <c r="K1318" s="278" t="inlineStr">
        <is>
          <t>Contrato de Asset Management - Subestación María Castro</t>
        </is>
      </c>
      <c r="L1318" s="280" t="n"/>
      <c r="N1318" s="280" t="n"/>
      <c r="O1318" s="278" t="inlineStr">
        <is>
          <t>Fee Trimestral - Inicio contrato (21Abril 2022) / 30Septiembre 2022</t>
        </is>
      </c>
      <c r="P1318" s="280">
        <f>(1275*10/30+1275*2) + 1275*3</f>
        <v/>
      </c>
      <c r="R1318" s="280" t="n"/>
      <c r="T1318" s="280" t="n"/>
      <c r="V1318" s="280" t="n"/>
      <c r="X1318" s="280" t="n"/>
      <c r="Z1318" s="280" t="n"/>
      <c r="AA1318" s="280" t="n"/>
      <c r="AB1318" s="281" t="inlineStr">
        <is>
          <t>ES11 0081 7069 2700 0122 7724</t>
        </is>
      </c>
      <c r="AC1318" s="278" t="inlineStr">
        <is>
          <t>pendiente</t>
        </is>
      </c>
      <c r="AD1318" s="280">
        <f>L1318+N1318+P1318+R1318+T1318+V1318+X1318+Z1318</f>
        <v/>
      </c>
      <c r="AE1318" s="280">
        <f>IF((LEFT(K1318,6))="Contab",L1318,0)</f>
        <v/>
      </c>
      <c r="AF1318" s="281">
        <f>VLOOKUP(G1318,CLIENTES!B:E,4,FALSE)</f>
        <v/>
      </c>
      <c r="AG1318" s="280">
        <f>AF1318*AE1318</f>
        <v/>
      </c>
      <c r="AH1318" s="280">
        <f>AD1318*1.21</f>
        <v/>
      </c>
      <c r="AI1318" s="284">
        <f>IF(AE1318&lt;&gt;0,AG1318/AD1318,"N/A")</f>
        <v/>
      </c>
      <c r="AJ1318" s="280">
        <f>IF(AC1318="pendiente",AD1318,0)</f>
        <v/>
      </c>
      <c r="AK1318" s="278">
        <f>VLOOKUP(G1318,CLIENTES!B:D,3,FALSE)</f>
        <v/>
      </c>
    </row>
    <row r="1319" ht="15" customFormat="1" customHeight="1" s="278">
      <c r="B1319" s="279" t="n"/>
      <c r="C1319" s="278" t="inlineStr">
        <is>
          <t>c/ Las Cruzadas 3A, local D</t>
        </is>
      </c>
      <c r="D1319" s="278" t="inlineStr">
        <is>
          <t>Sevilla 41004</t>
        </is>
      </c>
      <c r="E1319" s="278" t="inlineStr">
        <is>
          <t>CIF B91938662</t>
        </is>
      </c>
      <c r="G1319" s="278" t="inlineStr">
        <is>
          <t>Línea Covatillas, A.I.E.</t>
        </is>
      </c>
      <c r="H1319" s="278">
        <f>VLOOKUP($G1319,DATOS!$B:$E,2,FALSE)</f>
        <v/>
      </c>
      <c r="I1319" s="278">
        <f>VLOOKUP($G1319,DATOS!$B:$E,3,FALSE)</f>
        <v/>
      </c>
      <c r="J1319" s="278">
        <f>VLOOKUP($G1319,DATOS!$B:$E,4,FALSE)</f>
        <v/>
      </c>
      <c r="K1319" s="278" t="inlineStr">
        <is>
          <t>Contrato de Asset Management - LAAT 132kV</t>
        </is>
      </c>
      <c r="L1319" s="280" t="n"/>
      <c r="N1319" s="280" t="n"/>
      <c r="O1319" s="278" t="inlineStr">
        <is>
          <t>Fee Trimestral - Inicio contrato (24Mayo 2022) / 30Septiembre 2022</t>
        </is>
      </c>
      <c r="P1319" s="280">
        <f>(1275*8/31+1275) + 1275*3</f>
        <v/>
      </c>
      <c r="R1319" s="280" t="n"/>
      <c r="T1319" s="280" t="n"/>
      <c r="V1319" s="280" t="n"/>
      <c r="X1319" s="280" t="n"/>
      <c r="Z1319" s="280" t="n"/>
      <c r="AA1319" s="280" t="n"/>
      <c r="AB1319" s="281" t="inlineStr">
        <is>
          <t>ES11 0081 7069 2700 0122 7724</t>
        </is>
      </c>
      <c r="AC1319" s="278" t="inlineStr">
        <is>
          <t>pendiente</t>
        </is>
      </c>
      <c r="AD1319" s="280">
        <f>L1319+N1319+P1319+R1319+T1319+V1319+X1319+Z1319</f>
        <v/>
      </c>
      <c r="AE1319" s="280">
        <f>IF((LEFT(K1319,6))="Contab",L1319,0)</f>
        <v/>
      </c>
      <c r="AF1319" s="281">
        <f>VLOOKUP(G1319,CLIENTES!B:E,4,FALSE)</f>
        <v/>
      </c>
      <c r="AG1319" s="280">
        <f>AF1319*AE1319</f>
        <v/>
      </c>
      <c r="AH1319" s="280">
        <f>AD1319*1.21</f>
        <v/>
      </c>
      <c r="AI1319" s="284">
        <f>IF(AE1319&lt;&gt;0,AG1319/AD1319,"N/A")</f>
        <v/>
      </c>
      <c r="AJ1319" s="280">
        <f>IF(AC1319="pendiente",AD1319,0)</f>
        <v/>
      </c>
      <c r="AK1319" s="278">
        <f>VLOOKUP(G1319,CLIENTES!B:D,3,FALSE)</f>
        <v/>
      </c>
    </row>
    <row r="1320" ht="15" customFormat="1" customHeight="1" s="192">
      <c r="B1320" s="199" t="n"/>
      <c r="C1320" s="192" t="inlineStr">
        <is>
          <t>c/ Las Cruzadas 3A, local D</t>
        </is>
      </c>
      <c r="D1320" s="192" t="inlineStr">
        <is>
          <t>Sevilla 41004</t>
        </is>
      </c>
      <c r="E1320" s="192" t="inlineStr">
        <is>
          <t>CIF B91938662</t>
        </is>
      </c>
      <c r="F1320" s="192" t="inlineStr">
        <is>
          <t>aBalados@abalados.es</t>
        </is>
      </c>
      <c r="G1320" s="192" t="inlineStr">
        <is>
          <t>China Triumph International Engineering Co., LTD EP EN SPAIN</t>
        </is>
      </c>
      <c r="H1320" s="192">
        <f>VLOOKUP($G1320,DATOS!$B:$E,2,FALSE)</f>
        <v/>
      </c>
      <c r="I1320" s="192">
        <f>VLOOKUP($G1320,DATOS!$B:$E,3,FALSE)</f>
        <v/>
      </c>
      <c r="J1320" s="192">
        <f>VLOOKUP($G1320,DATOS!$B:$E,4,FALSE)</f>
        <v/>
      </c>
      <c r="K1320" s="192" t="inlineStr">
        <is>
          <t>O&amp;M Supervision and Management</t>
        </is>
      </c>
      <c r="L1320" s="200" t="n"/>
      <c r="N1320" s="200" t="n"/>
      <c r="O1320" s="192" t="inlineStr">
        <is>
          <t>Puerto Real 1 PV - Cádiz | Spain</t>
        </is>
      </c>
      <c r="P1320" s="200" t="n">
        <v>15430</v>
      </c>
      <c r="Q1320" s="192" t="inlineStr">
        <is>
          <t>O&amp;M Management services provided on September 2022</t>
        </is>
      </c>
      <c r="R1320" s="200" t="n"/>
      <c r="T1320" s="200" t="n"/>
      <c r="U1320" s="192" t="inlineStr">
        <is>
          <t>CPI to be applied from September 15th, once the index is published</t>
        </is>
      </c>
      <c r="V1320" s="200" t="n"/>
      <c r="W1320" s="192" t="inlineStr">
        <is>
          <t>(To be regularized in following invoices)</t>
        </is>
      </c>
      <c r="X1320" s="200" t="n"/>
      <c r="Z1320" s="200" t="n"/>
      <c r="AA1320" s="200" t="n"/>
      <c r="AB1320" s="201" t="inlineStr">
        <is>
          <t>ES11 0081 7069 2700 0122 7724</t>
        </is>
      </c>
      <c r="AC1320" s="192" t="inlineStr">
        <is>
          <t>pendiente</t>
        </is>
      </c>
      <c r="AD1320" s="200">
        <f>L1320+N1320+P1320+R1320+T1320+V1320+X1320+Z1320</f>
        <v/>
      </c>
      <c r="AE1320" s="200">
        <f>IF((LEFT(K1320,6))="Contab",L1320,0)</f>
        <v/>
      </c>
      <c r="AF1320" s="201">
        <f>VLOOKUP(G1320,CLIENTES!B:E,4,FALSE)</f>
        <v/>
      </c>
      <c r="AG1320" s="200">
        <f>AF1320*AE1320</f>
        <v/>
      </c>
      <c r="AH1320" s="200">
        <f>AD1320*1.21</f>
        <v/>
      </c>
      <c r="AI1320" s="283">
        <f>IF(AE1320&lt;&gt;0,AG1320/AD1320,"N/A")</f>
        <v/>
      </c>
      <c r="AJ1320" s="200">
        <f>IF(AC1320="pendiente",AD1320,0)</f>
        <v/>
      </c>
      <c r="AK1320" s="192">
        <f>VLOOKUP(G1320,CLIENTES!B:D,3,FALSE)</f>
        <v/>
      </c>
    </row>
    <row r="1321" ht="15" customFormat="1" customHeight="1" s="192">
      <c r="B1321" s="199" t="n"/>
      <c r="C1321" s="192" t="inlineStr">
        <is>
          <t>c/ Las Cruzadas 3A, local D</t>
        </is>
      </c>
      <c r="D1321" s="192" t="inlineStr">
        <is>
          <t>Sevilla 41004</t>
        </is>
      </c>
      <c r="E1321" s="192" t="inlineStr">
        <is>
          <t>CIF B91938662</t>
        </is>
      </c>
      <c r="F1321" s="192" t="inlineStr">
        <is>
          <t>aBalados@abalados.es</t>
        </is>
      </c>
      <c r="G1321" s="192" t="inlineStr">
        <is>
          <t>FP LUX REIO PV ZARAGOZA SL.</t>
        </is>
      </c>
      <c r="H1321" s="192">
        <f>VLOOKUP($G1321,DATOS!$B:$E,2,FALSE)</f>
        <v/>
      </c>
      <c r="I1321" s="192">
        <f>VLOOKUP($G1321,DATOS!$B:$E,3,FALSE)</f>
        <v/>
      </c>
      <c r="J1321" s="192">
        <f>VLOOKUP($G1321,DATOS!$B:$E,4,FALSE)</f>
        <v/>
      </c>
      <c r="K1321" s="192" t="inlineStr">
        <is>
          <t>Proyecto El Marqués - Zaragoza</t>
        </is>
      </c>
      <c r="L1321" s="200" t="n"/>
      <c r="M1321" s="192" t="inlineStr">
        <is>
          <t>Honorarios - Contrato O&amp;M 3º Trimestre</t>
        </is>
      </c>
      <c r="N1321" s="200" t="n">
        <v>20963.8649556</v>
      </c>
      <c r="P1321" s="200" t="n"/>
      <c r="R1321" s="200" t="n"/>
      <c r="T1321" s="200" t="n"/>
      <c r="V1321" s="200" t="n"/>
      <c r="X1321" s="200" t="n"/>
      <c r="Z1321" s="200" t="n"/>
      <c r="AA1321" s="200" t="n"/>
      <c r="AB1321" s="201" t="inlineStr">
        <is>
          <t>ES11 0081 7069 2700 0122 7724</t>
        </is>
      </c>
      <c r="AC1321" s="192" t="inlineStr">
        <is>
          <t>pendiente</t>
        </is>
      </c>
      <c r="AD1321" s="200">
        <f>L1321+N1321+P1321+R1321+T1321+V1321+X1321+Z1321</f>
        <v/>
      </c>
      <c r="AE1321" s="200">
        <f>IF((LEFT(K1321,6))="Contab",L1321,0)</f>
        <v/>
      </c>
      <c r="AF1321" s="201" t="n">
        <v>0.1</v>
      </c>
      <c r="AG1321" s="200">
        <f>AF1321*AE1321</f>
        <v/>
      </c>
      <c r="AH1321" s="200">
        <f>AD1321*1.21</f>
        <v/>
      </c>
      <c r="AI1321" s="202">
        <f>IF(AE1321&lt;&gt;0,AG1321/AD1321,"N/A")</f>
        <v/>
      </c>
      <c r="AJ1321" s="200">
        <f>IF(AC1321="pendiente",AD1321,0)</f>
        <v/>
      </c>
      <c r="AK1321" s="192">
        <f>VLOOKUP(G1321,CLIENTES!B:D,3,FALSE)</f>
        <v/>
      </c>
    </row>
    <row r="1322" ht="15" customFormat="1" customHeight="1" s="192">
      <c r="A1322" s="291" t="n"/>
      <c r="B1322" s="199" t="n"/>
      <c r="C1322" s="192" t="inlineStr">
        <is>
          <t>c/ Las Cruzadas 3A, local D</t>
        </is>
      </c>
      <c r="D1322" s="192" t="inlineStr">
        <is>
          <t>Sevilla 41004</t>
        </is>
      </c>
      <c r="E1322" s="192" t="inlineStr">
        <is>
          <t>CIF B91938662</t>
        </is>
      </c>
      <c r="F1322" s="192" t="inlineStr">
        <is>
          <t>aBalados@abalados.es</t>
        </is>
      </c>
      <c r="G1322" s="192" t="inlineStr">
        <is>
          <t>Herrera Sotillo Renovables, A.I.E.</t>
        </is>
      </c>
      <c r="H1322" s="192">
        <f>VLOOKUP($G1322,DATOS!$B:$E,2,FALSE)</f>
        <v/>
      </c>
      <c r="I1322" s="192">
        <f>VLOOKUP($G1322,DATOS!$B:$E,3,FALSE)</f>
        <v/>
      </c>
      <c r="J1322" s="192">
        <f>VLOOKUP($G1322,DATOS!$B:$E,4,FALSE)</f>
        <v/>
      </c>
      <c r="K1322" s="189" t="inlineStr">
        <is>
          <t>Contrato de Asset Management - Subestación Sotillo 132kV</t>
        </is>
      </c>
      <c r="L1322" s="200" t="n"/>
      <c r="N1322" s="200" t="n"/>
      <c r="O1322" s="192" t="inlineStr">
        <is>
          <t>Fee Trimestral - Inicio contrato (23Junio 2022) / 30Septiembre 2022</t>
        </is>
      </c>
      <c r="P1322" s="200">
        <f>(1250*8/30) + 1250*3</f>
        <v/>
      </c>
      <c r="R1322" s="200" t="n"/>
      <c r="T1322" s="200" t="n"/>
      <c r="V1322" s="200" t="n"/>
      <c r="X1322" s="200" t="n"/>
      <c r="Z1322" s="200" t="n"/>
      <c r="AA1322" s="200" t="n"/>
      <c r="AB1322" s="201" t="inlineStr">
        <is>
          <t>ES11 0081 7069 2700 0122 7724</t>
        </is>
      </c>
      <c r="AC1322" s="192" t="inlineStr">
        <is>
          <t>pendiente</t>
        </is>
      </c>
      <c r="AD1322" s="200">
        <f>L1322+N1322+P1322+R1322+T1322+V1322+X1322+Z1322</f>
        <v/>
      </c>
      <c r="AE1322" s="200">
        <f>IF((LEFT(K1322,6))="Contab",L1322,0)</f>
        <v/>
      </c>
      <c r="AF1322" s="201" t="n">
        <v>0.1</v>
      </c>
      <c r="AG1322" s="200">
        <f>AF1322*AE1322</f>
        <v/>
      </c>
      <c r="AH1322" s="200">
        <f>AD1322*1.21</f>
        <v/>
      </c>
      <c r="AI1322" s="202">
        <f>IF(AE1322&lt;&gt;0,AG1322/AD1322,"N/A")</f>
        <v/>
      </c>
      <c r="AJ1322" s="200">
        <f>IF(AC1322="pendiente",AD1322,0)</f>
        <v/>
      </c>
      <c r="AK1322" s="192">
        <f>VLOOKUP(G1322,CLIENTES!B:D,3,FALSE)</f>
        <v/>
      </c>
    </row>
    <row r="1323" ht="15" customFormat="1" customHeight="1" s="278">
      <c r="B1323" s="279" t="n"/>
      <c r="C1323" s="278" t="inlineStr">
        <is>
          <t>c/ Las Cruzadas 3A, local D</t>
        </is>
      </c>
      <c r="D1323" s="278" t="inlineStr">
        <is>
          <t>Sevilla 41004</t>
        </is>
      </c>
      <c r="E1323" s="278" t="inlineStr">
        <is>
          <t>CIF B91938662</t>
        </is>
      </c>
      <c r="F1323" s="278" t="inlineStr">
        <is>
          <t>aBalados@abalados.es</t>
        </is>
      </c>
      <c r="G1323" s="278" t="inlineStr">
        <is>
          <t>Dehesa Asomadilla Inversiones S.L.U.</t>
        </is>
      </c>
      <c r="H1323" s="278">
        <f>VLOOKUP($G1323,DATOS!$B:$E,2,FALSE)</f>
        <v/>
      </c>
      <c r="I1323" s="278">
        <f>VLOOKUP($G1323,DATOS!$B:$E,3,FALSE)</f>
        <v/>
      </c>
      <c r="J1323" s="278">
        <f>VLOOKUP($G1323,DATOS!$B:$E,4,FALSE)</f>
        <v/>
      </c>
      <c r="K1323" s="278" t="inlineStr">
        <is>
          <t>Contabilidad y Fiscalidad de proyecto Valverde - 4º Trimestre</t>
        </is>
      </c>
      <c r="L1323" s="280">
        <f>'Tarifa 2025'!$D$5/4</f>
        <v/>
      </c>
      <c r="M1323" s="278" t="inlineStr">
        <is>
          <t>SPV Management  Proyecto Valverde - 4º Trimestre</t>
        </is>
      </c>
      <c r="N1323" s="280">
        <f>'Tarifa 2025'!$F$5/4</f>
        <v/>
      </c>
      <c r="O1323" s="278" t="inlineStr">
        <is>
          <t>O&amp;M Management Proyecto Valverde - 4º Trimestre</t>
        </is>
      </c>
      <c r="P1323" s="280">
        <f>'Tarifa 2025'!$H$5/4</f>
        <v/>
      </c>
      <c r="Q1323" s="278" t="inlineStr">
        <is>
          <t>Consultoría - 4º Trimestre</t>
        </is>
      </c>
      <c r="R1323" s="280">
        <f>'Tarifa 2025'!$J$5/4</f>
        <v/>
      </c>
      <c r="T1323" s="280" t="n"/>
      <c r="V1323" s="280" t="n"/>
      <c r="X1323" s="280" t="n"/>
      <c r="Y1323" s="278" t="inlineStr">
        <is>
          <t>Gastos derivados de contrato (3,5%)</t>
        </is>
      </c>
      <c r="Z1323" s="280">
        <f>(L1323+N1323+P1323+R1323+T1323+V1323+X1323)*0.035</f>
        <v/>
      </c>
      <c r="AA1323" s="280" t="n"/>
      <c r="AB1323" s="281" t="inlineStr">
        <is>
          <t>ES11 0081 7069 2700 0122 7724</t>
        </is>
      </c>
      <c r="AC1323" s="278" t="inlineStr">
        <is>
          <t>pendiente</t>
        </is>
      </c>
      <c r="AD1323" s="280">
        <f>L1323+N1323+P1323+R1323+T1323+V1323+X1323+Z1323</f>
        <v/>
      </c>
      <c r="AE1323" s="280">
        <f>IF((LEFT(K1323,6))="Contab",L1323,0)</f>
        <v/>
      </c>
      <c r="AF1323" s="281">
        <f>VLOOKUP(G1323,CLIENTES!B:E,4,FALSE)</f>
        <v/>
      </c>
      <c r="AG1323" s="280">
        <f>AF1323*AE1323</f>
        <v/>
      </c>
      <c r="AH1323" s="280">
        <f>AD1323*1.21</f>
        <v/>
      </c>
      <c r="AI1323" s="282">
        <f>IF(AE1323&lt;&gt;0,AG1323/AD1323,"N/A")</f>
        <v/>
      </c>
      <c r="AJ1323" s="280">
        <f>IF(AC1323="pendiente",AD1323,0)</f>
        <v/>
      </c>
      <c r="AK1323" s="278">
        <f>VLOOKUP(G1323,CLIENTES!B:D,3,FALSE)</f>
        <v/>
      </c>
    </row>
    <row r="1324" ht="15" customFormat="1" customHeight="1" s="278">
      <c r="B1324" s="279" t="n"/>
      <c r="C1324" s="278" t="inlineStr">
        <is>
          <t>c/ Las Cruzadas 3A, local D</t>
        </is>
      </c>
      <c r="D1324" s="278" t="inlineStr">
        <is>
          <t>Sevilla 41004</t>
        </is>
      </c>
      <c r="E1324" s="278" t="inlineStr">
        <is>
          <t>CIF B91938662</t>
        </is>
      </c>
      <c r="F1324" s="278" t="inlineStr">
        <is>
          <t>aBalados@abalados.es</t>
        </is>
      </c>
      <c r="G1324" s="278" t="inlineStr">
        <is>
          <t>Asomadilla Solar 2007 S.L.U.</t>
        </is>
      </c>
      <c r="H1324" s="278">
        <f>VLOOKUP($G1324,DATOS!$B:$E,2,FALSE)</f>
        <v/>
      </c>
      <c r="I1324" s="278">
        <f>VLOOKUP($G1324,DATOS!$B:$E,3,FALSE)</f>
        <v/>
      </c>
      <c r="J1324" s="278">
        <f>VLOOKUP($G1324,DATOS!$B:$E,4,FALSE)</f>
        <v/>
      </c>
      <c r="K1324" s="278" t="inlineStr">
        <is>
          <t>Contabilidad y Fiscalidad de proyecto Castuera - 4º Trimestre</t>
        </is>
      </c>
      <c r="L1324" s="280">
        <f>'Tarifa 2025'!$D$6/4</f>
        <v/>
      </c>
      <c r="M1324" s="278" t="inlineStr">
        <is>
          <t>SPV Management  Proyecto Castuera - 4º Trimestre</t>
        </is>
      </c>
      <c r="N1324" s="280">
        <f>'Tarifa 2025'!$F$6/4</f>
        <v/>
      </c>
      <c r="O1324" s="278" t="inlineStr">
        <is>
          <t>O&amp;M Management Proyecto Castuera - 4º Trimestre</t>
        </is>
      </c>
      <c r="P1324" s="280">
        <f>'Tarifa 2025'!$H$6/4</f>
        <v/>
      </c>
      <c r="Q1324" s="278" t="inlineStr">
        <is>
          <t>Consultoría - 4º Trimestre</t>
        </is>
      </c>
      <c r="R1324" s="280">
        <f>'Tarifa 2025'!$J$6/4</f>
        <v/>
      </c>
      <c r="T1324" s="280" t="n"/>
      <c r="V1324" s="280" t="n"/>
      <c r="X1324" s="280" t="n"/>
      <c r="Y1324" s="278" t="inlineStr">
        <is>
          <t>Gastos derivados de contrato (3,5%)</t>
        </is>
      </c>
      <c r="Z1324" s="280">
        <f>(L1324+N1324+P1324+R1324+T1324+V1324+X1324)*0.035</f>
        <v/>
      </c>
      <c r="AA1324" s="280" t="n"/>
      <c r="AB1324" s="281" t="inlineStr">
        <is>
          <t>ES11 0081 7069 2700 0122 7724</t>
        </is>
      </c>
      <c r="AC1324" s="278" t="inlineStr">
        <is>
          <t>pendiente</t>
        </is>
      </c>
      <c r="AD1324" s="280">
        <f>L1324+N1324+P1324+R1324+T1324+V1324+X1324+Z1324</f>
        <v/>
      </c>
      <c r="AE1324" s="280">
        <f>IF((LEFT(K1324,6))="Contab",L1324,0)</f>
        <v/>
      </c>
      <c r="AF1324" s="281">
        <f>VLOOKUP(G1324,CLIENTES!B:E,4,FALSE)</f>
        <v/>
      </c>
      <c r="AG1324" s="280">
        <f>AF1324*AE1324</f>
        <v/>
      </c>
      <c r="AH1324" s="280">
        <f>AD1324*1.21</f>
        <v/>
      </c>
      <c r="AI1324" s="282">
        <f>IF(AE1324&lt;&gt;0,AG1324/AD1324,"N/A")</f>
        <v/>
      </c>
      <c r="AJ1324" s="280">
        <f>IF(AC1324="pendiente",AD1324,0)</f>
        <v/>
      </c>
      <c r="AK1324" s="278">
        <f>VLOOKUP(G1324,CLIENTES!B:D,3,FALSE)</f>
        <v/>
      </c>
    </row>
    <row r="1325" ht="15" customFormat="1" customHeight="1" s="278">
      <c r="B1325" s="279" t="n"/>
      <c r="C1325" s="278" t="inlineStr">
        <is>
          <t>c/ Las Cruzadas 3A, local D</t>
        </is>
      </c>
      <c r="D1325" s="278" t="inlineStr">
        <is>
          <t>Sevilla 41004</t>
        </is>
      </c>
      <c r="E1325" s="278" t="inlineStr">
        <is>
          <t>CIF B91938662</t>
        </is>
      </c>
      <c r="F1325" s="278" t="inlineStr">
        <is>
          <t>aBalados@abalados.es</t>
        </is>
      </c>
      <c r="G1325" s="278" t="inlineStr">
        <is>
          <t>Inversión Cubiertas Solares S.L.U.</t>
        </is>
      </c>
      <c r="H1325" s="278">
        <f>VLOOKUP($G1325,DATOS!$B:$E,2,FALSE)</f>
        <v/>
      </c>
      <c r="I1325" s="278">
        <f>VLOOKUP($G1325,DATOS!$B:$E,3,FALSE)</f>
        <v/>
      </c>
      <c r="J1325" s="278">
        <f>VLOOKUP($G1325,DATOS!$B:$E,4,FALSE)</f>
        <v/>
      </c>
      <c r="K1325" s="278" t="inlineStr">
        <is>
          <t>Contabilidad y Fiscalidad de proyecto Paiporta - 4º Trimestre</t>
        </is>
      </c>
      <c r="L1325" s="280">
        <f>'Tarifa 2025'!$D$7/4</f>
        <v/>
      </c>
      <c r="M1325" s="278" t="inlineStr">
        <is>
          <t>SPV Management  Proyecto Paiporta - 4º Trimestre</t>
        </is>
      </c>
      <c r="N1325" s="280">
        <f>'Tarifa 2025'!$F$7/4</f>
        <v/>
      </c>
      <c r="O1325" s="278" t="inlineStr">
        <is>
          <t>O&amp;M Management Proyecto Paiporta - 4º Trimestre</t>
        </is>
      </c>
      <c r="P1325" s="280">
        <f>'Tarifa 2025'!$H$7/4</f>
        <v/>
      </c>
      <c r="Q1325" s="278" t="inlineStr">
        <is>
          <t>Consultoría - 4º Trimestre</t>
        </is>
      </c>
      <c r="R1325" s="280">
        <f>'Tarifa 2025'!$J$7/4</f>
        <v/>
      </c>
      <c r="T1325" s="280" t="n"/>
      <c r="V1325" s="280" t="n"/>
      <c r="X1325" s="280" t="n"/>
      <c r="Y1325" s="278" t="inlineStr">
        <is>
          <t>Gastos derivados de contrato (3,5%)</t>
        </is>
      </c>
      <c r="Z1325" s="280">
        <f>(L1325+N1325+P1325+R1325+T1325+V1325+X1325)*0.035</f>
        <v/>
      </c>
      <c r="AA1325" s="280" t="n"/>
      <c r="AB1325" s="281" t="inlineStr">
        <is>
          <t>ES11 0081 7069 2700 0122 7724</t>
        </is>
      </c>
      <c r="AC1325" s="278" t="inlineStr">
        <is>
          <t>pendiente</t>
        </is>
      </c>
      <c r="AD1325" s="280">
        <f>L1325+N1325+P1325+R1325+T1325+V1325+X1325+Z1325</f>
        <v/>
      </c>
      <c r="AE1325" s="280">
        <f>IF((LEFT(K1325,6))="Contab",L1325,0)</f>
        <v/>
      </c>
      <c r="AF1325" s="281">
        <f>VLOOKUP(G1325,CLIENTES!B:E,4,FALSE)</f>
        <v/>
      </c>
      <c r="AG1325" s="280">
        <f>AF1325*AE1325</f>
        <v/>
      </c>
      <c r="AH1325" s="280">
        <f>AD1325*1.21</f>
        <v/>
      </c>
      <c r="AI1325" s="282">
        <f>IF(AE1325&lt;&gt;0,AG1325/AD1325,"N/A")</f>
        <v/>
      </c>
      <c r="AJ1325" s="280">
        <f>IF(AC1325="pendiente",AD1325,0)</f>
        <v/>
      </c>
      <c r="AK1325" s="278">
        <f>VLOOKUP(G1325,CLIENTES!B:D,3,FALSE)</f>
        <v/>
      </c>
    </row>
    <row r="1326" ht="15" customFormat="1" customHeight="1" s="278">
      <c r="B1326" s="279" t="n"/>
      <c r="C1326" s="278" t="inlineStr">
        <is>
          <t>c/ Las Cruzadas 3A, local D</t>
        </is>
      </c>
      <c r="D1326" s="278" t="inlineStr">
        <is>
          <t>Sevilla 41004</t>
        </is>
      </c>
      <c r="E1326" s="278" t="inlineStr">
        <is>
          <t>CIF B91938662</t>
        </is>
      </c>
      <c r="F1326" s="278" t="inlineStr">
        <is>
          <t>aBalados@abalados.es</t>
        </is>
      </c>
      <c r="G1326" s="278" t="inlineStr">
        <is>
          <t>Lugec Inversión Solar S.L.U.</t>
        </is>
      </c>
      <c r="H1326" s="278">
        <f>VLOOKUP($G1326,DATOS!$B:$E,2,FALSE)</f>
        <v/>
      </c>
      <c r="I1326" s="278">
        <f>VLOOKUP($G1326,DATOS!$B:$E,3,FALSE)</f>
        <v/>
      </c>
      <c r="J1326" s="278">
        <f>VLOOKUP($G1326,DATOS!$B:$E,4,FALSE)</f>
        <v/>
      </c>
      <c r="K1326" s="278" t="inlineStr">
        <is>
          <t>Contabilidad y Fiscalidad de proyecto Bonaire - 4º Trimestre</t>
        </is>
      </c>
      <c r="L1326" s="280">
        <f>'Tarifa 2025'!$D$8/4</f>
        <v/>
      </c>
      <c r="M1326" s="278" t="inlineStr">
        <is>
          <t>SPV Management  Proyecto Bonaire - 4º Trimestre</t>
        </is>
      </c>
      <c r="N1326" s="280">
        <f>'Tarifa 2025'!$F$8/4</f>
        <v/>
      </c>
      <c r="O1326" s="278" t="inlineStr">
        <is>
          <t>O&amp;M Management Proyecto Bonaire - 4º Trimestre</t>
        </is>
      </c>
      <c r="P1326" s="280">
        <f>'Tarifa 2025'!$H$8/4</f>
        <v/>
      </c>
      <c r="Q1326" s="278" t="inlineStr">
        <is>
          <t>Consultoría - 4º Trimestre</t>
        </is>
      </c>
      <c r="R1326" s="280">
        <f>'Tarifa 2025'!$J$8/4</f>
        <v/>
      </c>
      <c r="T1326" s="280" t="n"/>
      <c r="V1326" s="280" t="n"/>
      <c r="X1326" s="280" t="n"/>
      <c r="Y1326" s="278" t="inlineStr">
        <is>
          <t>Gastos derivados de contrato (3,5%)</t>
        </is>
      </c>
      <c r="Z1326" s="280">
        <f>(L1326+N1326+P1326+R1326+T1326+V1326+X1326)*0.035</f>
        <v/>
      </c>
      <c r="AA1326" s="280" t="n"/>
      <c r="AB1326" s="281" t="inlineStr">
        <is>
          <t>ES11 0081 7069 2700 0122 7724</t>
        </is>
      </c>
      <c r="AC1326" s="278" t="inlineStr">
        <is>
          <t>pendiente</t>
        </is>
      </c>
      <c r="AD1326" s="280">
        <f>L1326+N1326+P1326+R1326+T1326+V1326+X1326+Z1326</f>
        <v/>
      </c>
      <c r="AE1326" s="280">
        <f>IF((LEFT(K1326,6))="Contab",L1326,0)</f>
        <v/>
      </c>
      <c r="AF1326" s="281">
        <f>VLOOKUP(G1326,CLIENTES!B:E,4,FALSE)</f>
        <v/>
      </c>
      <c r="AG1326" s="280">
        <f>AF1326*AE1326</f>
        <v/>
      </c>
      <c r="AH1326" s="280">
        <f>AD1326*1.21</f>
        <v/>
      </c>
      <c r="AI1326" s="282">
        <f>IF(AE1326&lt;&gt;0,AG1326/AD1326,"N/A")</f>
        <v/>
      </c>
      <c r="AJ1326" s="280">
        <f>IF(AC1326="pendiente",AD1326,0)</f>
        <v/>
      </c>
      <c r="AK1326" s="278">
        <f>VLOOKUP(G1326,CLIENTES!B:D,3,FALSE)</f>
        <v/>
      </c>
    </row>
    <row r="1327" ht="15" customFormat="1" customHeight="1" s="278">
      <c r="B1327" s="279" t="n"/>
      <c r="C1327" s="278" t="inlineStr">
        <is>
          <t>c/ Las Cruzadas 3A, local D</t>
        </is>
      </c>
      <c r="D1327" s="278" t="inlineStr">
        <is>
          <t>Sevilla 41004</t>
        </is>
      </c>
      <c r="E1327" s="278" t="inlineStr">
        <is>
          <t>CIF B91938662</t>
        </is>
      </c>
      <c r="F1327" s="278" t="inlineStr">
        <is>
          <t>aBalados@abalados.es</t>
        </is>
      </c>
      <c r="G1327" s="278" t="inlineStr">
        <is>
          <t>LOCABA SOLAR S.L.U.</t>
        </is>
      </c>
      <c r="H1327" s="278">
        <f>VLOOKUP($G1327,DATOS!$B:$E,2,FALSE)</f>
        <v/>
      </c>
      <c r="I1327" s="278">
        <f>VLOOKUP($G1327,DATOS!$B:$E,3,FALSE)</f>
        <v/>
      </c>
      <c r="J1327" s="278">
        <f>VLOOKUP($G1327,DATOS!$B:$E,4,FALSE)</f>
        <v/>
      </c>
      <c r="K1327" s="278" t="inlineStr">
        <is>
          <t>Contabilidad y Fiscalidad de proyecto Coreses - 4º Trimestre</t>
        </is>
      </c>
      <c r="L1327" s="280">
        <f>'Tarifa 2025'!$D$9/4</f>
        <v/>
      </c>
      <c r="M1327" s="278" t="inlineStr">
        <is>
          <t>SPV Management  Proyecto Coreses - 4º Trimestre</t>
        </is>
      </c>
      <c r="N1327" s="280">
        <f>'Tarifa 2025'!$F$9/4</f>
        <v/>
      </c>
      <c r="O1327" s="278" t="inlineStr">
        <is>
          <t>O&amp;M Management Proyecto Coreses - 4º Trimestre</t>
        </is>
      </c>
      <c r="P1327" s="280">
        <f>'Tarifa 2025'!$H$9/4</f>
        <v/>
      </c>
      <c r="Q1327" s="278" t="inlineStr">
        <is>
          <t>Consultoría - 4º Trimestre</t>
        </is>
      </c>
      <c r="R1327" s="280">
        <f>'Tarifa 2025'!$J$9/4</f>
        <v/>
      </c>
      <c r="T1327" s="280" t="n"/>
      <c r="V1327" s="280" t="n"/>
      <c r="X1327" s="280" t="n"/>
      <c r="Y1327" s="278" t="inlineStr">
        <is>
          <t>Gastos derivados de contrato (3,5%)</t>
        </is>
      </c>
      <c r="Z1327" s="280">
        <f>(L1327+N1327+P1327+R1327+T1327+V1327+X1327)*0.035</f>
        <v/>
      </c>
      <c r="AA1327" s="280" t="n"/>
      <c r="AB1327" s="281" t="inlineStr">
        <is>
          <t>ES11 0081 7069 2700 0122 7724</t>
        </is>
      </c>
      <c r="AC1327" s="278" t="inlineStr">
        <is>
          <t>pendiente</t>
        </is>
      </c>
      <c r="AD1327" s="280">
        <f>L1327+N1327+P1327+R1327+T1327+V1327+X1327+Z1327</f>
        <v/>
      </c>
      <c r="AE1327" s="280">
        <f>IF((LEFT(K1327,6))="Contab",L1327,0)</f>
        <v/>
      </c>
      <c r="AF1327" s="281">
        <f>VLOOKUP(G1327,CLIENTES!B:E,4,FALSE)</f>
        <v/>
      </c>
      <c r="AG1327" s="280">
        <f>AF1327*AE1327</f>
        <v/>
      </c>
      <c r="AH1327" s="280">
        <f>AD1327*1.21</f>
        <v/>
      </c>
      <c r="AI1327" s="282">
        <f>IF(AE1327&lt;&gt;0,AG1327/AD1327,"N/A")</f>
        <v/>
      </c>
      <c r="AJ1327" s="280">
        <f>IF(AC1327="pendiente",AD1327,0)</f>
        <v/>
      </c>
      <c r="AK1327" s="278">
        <f>VLOOKUP(G1327,CLIENTES!B:D,3,FALSE)</f>
        <v/>
      </c>
    </row>
    <row r="1328" ht="15" customFormat="1" customHeight="1" s="278">
      <c r="B1328" s="279" t="n"/>
      <c r="C1328" s="278" t="inlineStr">
        <is>
          <t>c/ Las Cruzadas 3A, local D</t>
        </is>
      </c>
      <c r="D1328" s="278" t="inlineStr">
        <is>
          <t>Sevilla 41004</t>
        </is>
      </c>
      <c r="E1328" s="278" t="inlineStr">
        <is>
          <t>CIF B91938662</t>
        </is>
      </c>
      <c r="F1328" s="278" t="inlineStr">
        <is>
          <t>aBalados@abalados.es</t>
        </is>
      </c>
      <c r="G1328" s="278" t="inlineStr">
        <is>
          <t>Agrupación Solar el Algarrobo I, S.L.U.</t>
        </is>
      </c>
      <c r="H1328" s="278">
        <f>VLOOKUP($G1328,DATOS!$B:$E,2,FALSE)</f>
        <v/>
      </c>
      <c r="I1328" s="278">
        <f>VLOOKUP($G1328,DATOS!$B:$E,3,FALSE)</f>
        <v/>
      </c>
      <c r="J1328" s="278">
        <f>VLOOKUP($G1328,DATOS!$B:$E,4,FALSE)</f>
        <v/>
      </c>
      <c r="K1328" s="278" t="inlineStr">
        <is>
          <t>Contabilidad y Fiscalidad de proyecto Algarrobo I - 4º Trimestre</t>
        </is>
      </c>
      <c r="L1328" s="280">
        <f>'Tarifa 2025'!$D$12*1.89/5.49/4</f>
        <v/>
      </c>
      <c r="M1328" s="278" t="inlineStr">
        <is>
          <t>SPV Management  Proyecto Algarrobo I -  4º Trimestre</t>
        </is>
      </c>
      <c r="N1328" s="280">
        <f>'Tarifa 2025'!$F$12*1.89/5.49/4</f>
        <v/>
      </c>
      <c r="O1328" s="278" t="inlineStr">
        <is>
          <t>O&amp;M Management Proyecto Algarrobo I - 4º Trimestre</t>
        </is>
      </c>
      <c r="P1328" s="280">
        <f>'Tarifa 2025'!$H$12*1.89/5.49/4</f>
        <v/>
      </c>
      <c r="Q1328" s="278" t="inlineStr">
        <is>
          <t>Consultoría - 4º Trimestre</t>
        </is>
      </c>
      <c r="R1328" s="280">
        <f>'Tarifas 2016'!$K$12*3*(1.89/(1.89+1.89+1.71))</f>
        <v/>
      </c>
      <c r="T1328" s="280" t="n"/>
      <c r="V1328" s="280" t="n"/>
      <c r="X1328" s="280" t="n"/>
      <c r="Y1328" s="278" t="inlineStr">
        <is>
          <t>Gastos derivados de contrato (3,5%)</t>
        </is>
      </c>
      <c r="Z1328" s="280">
        <f>(L1328+N1328+P1328+R1328+T1328+V1328+X1328)*0.035</f>
        <v/>
      </c>
      <c r="AA1328" s="280" t="n"/>
      <c r="AB1328" s="281" t="inlineStr">
        <is>
          <t>ES11 0081 7069 2700 0122 7724</t>
        </is>
      </c>
      <c r="AC1328" s="278" t="inlineStr">
        <is>
          <t>pendiente</t>
        </is>
      </c>
      <c r="AD1328" s="280">
        <f>L1328+N1328+P1328+R1328+T1328+V1328+X1328+Z1328</f>
        <v/>
      </c>
      <c r="AE1328" s="280">
        <f>IF((LEFT(K1328,6))="Contab",L1328,0)</f>
        <v/>
      </c>
      <c r="AF1328" s="281">
        <f>VLOOKUP(G1328,CLIENTES!B:E,4,FALSE)</f>
        <v/>
      </c>
      <c r="AG1328" s="280">
        <f>AF1328*AE1328</f>
        <v/>
      </c>
      <c r="AH1328" s="280">
        <f>AD1328*1.21</f>
        <v/>
      </c>
      <c r="AI1328" s="282">
        <f>IF(AE1328&lt;&gt;0,AG1328/AD1328,"N/A")</f>
        <v/>
      </c>
      <c r="AJ1328" s="280">
        <f>IF(AC1328="pendiente",AD1328,0)</f>
        <v/>
      </c>
      <c r="AK1328" s="278">
        <f>VLOOKUP(G1328,CLIENTES!B:D,3,FALSE)</f>
        <v/>
      </c>
    </row>
    <row r="1329" ht="15" customFormat="1" customHeight="1" s="278">
      <c r="B1329" s="279" t="n"/>
      <c r="C1329" s="278" t="inlineStr">
        <is>
          <t>c/ Las Cruzadas 3A, local D</t>
        </is>
      </c>
      <c r="D1329" s="278" t="inlineStr">
        <is>
          <t>Sevilla 41004</t>
        </is>
      </c>
      <c r="E1329" s="278" t="inlineStr">
        <is>
          <t>CIF B91938662</t>
        </is>
      </c>
      <c r="F1329" s="278" t="inlineStr">
        <is>
          <t>aBalados@abalados.es</t>
        </is>
      </c>
      <c r="G1329" s="278" t="inlineStr">
        <is>
          <t>Agrupación Solar el Algarrobo II, S.L.U.</t>
        </is>
      </c>
      <c r="H1329" s="278">
        <f>VLOOKUP($G1329,DATOS!$B:$E,2,FALSE)</f>
        <v/>
      </c>
      <c r="I1329" s="278">
        <f>VLOOKUP($G1329,DATOS!$B:$E,3,FALSE)</f>
        <v/>
      </c>
      <c r="J1329" s="278">
        <f>VLOOKUP($G1329,DATOS!$B:$E,4,FALSE)</f>
        <v/>
      </c>
      <c r="K1329" s="278" t="inlineStr">
        <is>
          <t>Contabilidad y Fiscalidad de proyecto Algarrobo II - 4º Trimestre</t>
        </is>
      </c>
      <c r="L1329" s="280">
        <f>'Tarifa 2025'!$D$12*1.89/5.49/4</f>
        <v/>
      </c>
      <c r="M1329" s="278" t="inlineStr">
        <is>
          <t>SPV Management  Proyecto Algarrobo II -  4º Trimestre</t>
        </is>
      </c>
      <c r="N1329" s="280">
        <f>'Tarifa 2025'!$F$12*1.89/5.49/4</f>
        <v/>
      </c>
      <c r="O1329" s="278" t="inlineStr">
        <is>
          <t>O&amp;M Management Proyecto Algarrobo II - 4º Trimestre</t>
        </is>
      </c>
      <c r="P1329" s="280">
        <f>'Tarifa 2025'!$H$12*1.89/5.49/4</f>
        <v/>
      </c>
      <c r="Q1329" s="278" t="inlineStr">
        <is>
          <t>Consultoría - 4º Trimestre</t>
        </is>
      </c>
      <c r="R1329" s="280">
        <f>'Tarifas 2016'!$K$12*3*(1.89/(1.89+1.89+1.71))</f>
        <v/>
      </c>
      <c r="T1329" s="280" t="n"/>
      <c r="V1329" s="280" t="n"/>
      <c r="X1329" s="280" t="n"/>
      <c r="Y1329" s="278" t="inlineStr">
        <is>
          <t>Gastos derivados de contrato (3,5%)</t>
        </is>
      </c>
      <c r="Z1329" s="280">
        <f>(L1329+N1329+P1329+R1329+T1329+V1329+X1329)*0.035</f>
        <v/>
      </c>
      <c r="AA1329" s="280" t="n"/>
      <c r="AB1329" s="281" t="inlineStr">
        <is>
          <t>ES11 0081 7069 2700 0122 7724</t>
        </is>
      </c>
      <c r="AC1329" s="278" t="inlineStr">
        <is>
          <t>pendiente</t>
        </is>
      </c>
      <c r="AD1329" s="280">
        <f>L1329+N1329+P1329+R1329+T1329+V1329+X1329+Z1329</f>
        <v/>
      </c>
      <c r="AE1329" s="280">
        <f>IF((LEFT(K1329,6))="Contab",L1329,0)</f>
        <v/>
      </c>
      <c r="AF1329" s="281">
        <f>VLOOKUP(G1329,CLIENTES!B:E,4,FALSE)</f>
        <v/>
      </c>
      <c r="AG1329" s="280">
        <f>AF1329*AE1329</f>
        <v/>
      </c>
      <c r="AH1329" s="280">
        <f>AD1329*1.21</f>
        <v/>
      </c>
      <c r="AI1329" s="282">
        <f>IF(AE1329&lt;&gt;0,AG1329/AD1329,"N/A")</f>
        <v/>
      </c>
      <c r="AJ1329" s="280">
        <f>IF(AC1329="pendiente",AD1329,0)</f>
        <v/>
      </c>
      <c r="AK1329" s="278">
        <f>VLOOKUP(G1329,CLIENTES!B:D,3,FALSE)</f>
        <v/>
      </c>
    </row>
    <row r="1330" ht="15" customFormat="1" customHeight="1" s="278">
      <c r="B1330" s="279" t="n"/>
      <c r="C1330" s="278" t="inlineStr">
        <is>
          <t>c/ Las Cruzadas 3A, local D</t>
        </is>
      </c>
      <c r="D1330" s="278" t="inlineStr">
        <is>
          <t>Sevilla 41004</t>
        </is>
      </c>
      <c r="E1330" s="278" t="inlineStr">
        <is>
          <t>CIF B91938662</t>
        </is>
      </c>
      <c r="F1330" s="278" t="inlineStr">
        <is>
          <t>aBalados@abalados.es</t>
        </is>
      </c>
      <c r="G1330" s="278" t="inlineStr">
        <is>
          <t>Agrupación Solar el Algarrobo III, S.L.U.</t>
        </is>
      </c>
      <c r="H1330" s="278">
        <f>VLOOKUP($G1330,DATOS!$B:$E,2,FALSE)</f>
        <v/>
      </c>
      <c r="I1330" s="278">
        <f>VLOOKUP($G1330,DATOS!$B:$E,3,FALSE)</f>
        <v/>
      </c>
      <c r="J1330" s="278">
        <f>VLOOKUP($G1330,DATOS!$B:$E,4,FALSE)</f>
        <v/>
      </c>
      <c r="K1330" s="278" t="inlineStr">
        <is>
          <t>Contabilidad y Fiscalidad de proyecto Algarrobo III - 4º Trimestre</t>
        </is>
      </c>
      <c r="L1330" s="280">
        <f>'Tarifa 2025'!$D$12*1.71/5.49/4</f>
        <v/>
      </c>
      <c r="M1330" s="278" t="inlineStr">
        <is>
          <t>SPV Management  Proyecto Algarrobo III -  4º Trimestre</t>
        </is>
      </c>
      <c r="N1330" s="280">
        <f>'Tarifa 2025'!$F$12*1.71/5.49/4</f>
        <v/>
      </c>
      <c r="O1330" s="278" t="inlineStr">
        <is>
          <t>O&amp;M Management Proyecto Algarrobo III - 4º Trimestre</t>
        </is>
      </c>
      <c r="P1330" s="280">
        <f>'Tarifa 2025'!$H$12*1.71/5.49/4</f>
        <v/>
      </c>
      <c r="Q1330" s="278" t="inlineStr">
        <is>
          <t>Consultoría - 4º Trimestre</t>
        </is>
      </c>
      <c r="R1330" s="280">
        <f>'Tarifas 2016'!$K$12*3*(1.71/(1.89+1.89+1.71))</f>
        <v/>
      </c>
      <c r="T1330" s="280" t="n"/>
      <c r="V1330" s="280" t="n"/>
      <c r="X1330" s="280" t="n"/>
      <c r="Y1330" s="278" t="inlineStr">
        <is>
          <t>Gastos derivados de contrato (3,5%)</t>
        </is>
      </c>
      <c r="Z1330" s="280">
        <f>(L1330+N1330+P1330+R1330+T1330+V1330+X1330)*0.035</f>
        <v/>
      </c>
      <c r="AA1330" s="280" t="n"/>
      <c r="AB1330" s="281" t="inlineStr">
        <is>
          <t>ES11 0081 7069 2700 0122 7724</t>
        </is>
      </c>
      <c r="AC1330" s="278" t="inlineStr">
        <is>
          <t>pendiente</t>
        </is>
      </c>
      <c r="AD1330" s="280">
        <f>L1330+N1330+P1330+R1330+T1330+V1330+X1330+Z1330</f>
        <v/>
      </c>
      <c r="AE1330" s="280">
        <f>IF((LEFT(K1330,6))="Contab",L1330,0)</f>
        <v/>
      </c>
      <c r="AF1330" s="281">
        <f>VLOOKUP(G1330,CLIENTES!B:E,4,FALSE)</f>
        <v/>
      </c>
      <c r="AG1330" s="280">
        <f>AF1330*AE1330</f>
        <v/>
      </c>
      <c r="AH1330" s="280">
        <f>AD1330*1.21</f>
        <v/>
      </c>
      <c r="AI1330" s="282">
        <f>IF(AE1330&lt;&gt;0,AG1330/AD1330,"N/A")</f>
        <v/>
      </c>
      <c r="AJ1330" s="280">
        <f>IF(AC1330="pendiente",AD1330,0)</f>
        <v/>
      </c>
      <c r="AK1330" s="278">
        <f>VLOOKUP(G1330,CLIENTES!B:D,3,FALSE)</f>
        <v/>
      </c>
    </row>
    <row r="1331" ht="15" customFormat="1" customHeight="1" s="278">
      <c r="B1331" s="279" t="n"/>
      <c r="C1331" s="278" t="inlineStr">
        <is>
          <t>c/ Las Cruzadas 3A, local D</t>
        </is>
      </c>
      <c r="D1331" s="278" t="inlineStr">
        <is>
          <t>Sevilla 41004</t>
        </is>
      </c>
      <c r="E1331" s="278" t="inlineStr">
        <is>
          <t>CIF B91938662</t>
        </is>
      </c>
      <c r="F1331" s="278" t="inlineStr">
        <is>
          <t>aBalados@abalados.es</t>
        </is>
      </c>
      <c r="G1331" s="278" t="inlineStr">
        <is>
          <t>WOC Fotovoltaica España Proyecto Sollana S.L.U.</t>
        </is>
      </c>
      <c r="H1331" s="278">
        <f>VLOOKUP($G1331,DATOS!$B:$E,2,FALSE)</f>
        <v/>
      </c>
      <c r="I1331" s="278">
        <f>VLOOKUP($G1331,DATOS!$B:$E,3,FALSE)</f>
        <v/>
      </c>
      <c r="J1331" s="278">
        <f>VLOOKUP($G1331,DATOS!$B:$E,4,FALSE)</f>
        <v/>
      </c>
      <c r="K1331" s="278" t="inlineStr">
        <is>
          <t>Contabilidad y Fiscalidad de proyecto Sollana - 4º Trimestre</t>
        </is>
      </c>
      <c r="L1331" s="280">
        <f>'Tarifa 2025'!$D$13/4</f>
        <v/>
      </c>
      <c r="M1331" s="278" t="inlineStr">
        <is>
          <t>SPV Management  Proyecto Sollana - 4º Trimestre</t>
        </is>
      </c>
      <c r="N1331" s="280">
        <f>'Tarifa 2025'!$F$13/4</f>
        <v/>
      </c>
      <c r="O1331" s="278" t="inlineStr">
        <is>
          <t>O&amp;M Management Proyecto Sollana - 4º Trimestre</t>
        </is>
      </c>
      <c r="P1331" s="280">
        <f>'Tarifa 2025'!$H$13/4</f>
        <v/>
      </c>
      <c r="Q1331" s="278" t="inlineStr">
        <is>
          <t>Consultoría - 4º Trimestre</t>
        </is>
      </c>
      <c r="R1331" s="280">
        <f>'Tarifa 2025'!$J$13/4</f>
        <v/>
      </c>
      <c r="T1331" s="280" t="n"/>
      <c r="V1331" s="280" t="n"/>
      <c r="X1331" s="280" t="n"/>
      <c r="Y1331" s="278" t="inlineStr">
        <is>
          <t>Gastos derivados de contrato (3,5%)</t>
        </is>
      </c>
      <c r="Z1331" s="280">
        <f>(L1331+N1331+P1331+R1331+T1331+V1331+X1331)*0.035</f>
        <v/>
      </c>
      <c r="AA1331" s="280" t="n"/>
      <c r="AB1331" s="281" t="inlineStr">
        <is>
          <t>ES11 0081 7069 2700 0122 7724</t>
        </is>
      </c>
      <c r="AC1331" s="278" t="inlineStr">
        <is>
          <t>pendiente</t>
        </is>
      </c>
      <c r="AD1331" s="280">
        <f>L1331+N1331+P1331+R1331+T1331+V1331+X1331+Z1331</f>
        <v/>
      </c>
      <c r="AE1331" s="280">
        <f>IF((LEFT(K1331,6))="Contab",L1331,0)</f>
        <v/>
      </c>
      <c r="AF1331" s="281">
        <f>VLOOKUP(G1331,CLIENTES!B:E,4,FALSE)</f>
        <v/>
      </c>
      <c r="AG1331" s="280">
        <f>AF1331*AE1331</f>
        <v/>
      </c>
      <c r="AH1331" s="280">
        <f>AD1331*1.21</f>
        <v/>
      </c>
      <c r="AI1331" s="282">
        <f>IF(AE1331&lt;&gt;0,AG1331/AD1331,"N/A")</f>
        <v/>
      </c>
      <c r="AJ1331" s="280">
        <f>IF(AC1331="pendiente",AD1331,0)</f>
        <v/>
      </c>
      <c r="AK1331" s="278">
        <f>VLOOKUP(G1331,CLIENTES!B:D,3,FALSE)</f>
        <v/>
      </c>
    </row>
    <row r="1332" ht="15" customFormat="1" customHeight="1" s="278">
      <c r="B1332" s="279" t="n"/>
      <c r="C1332" s="278" t="inlineStr">
        <is>
          <t>c/ Las Cruzadas 3A, local D</t>
        </is>
      </c>
      <c r="D1332" s="278" t="inlineStr">
        <is>
          <t>Sevilla 41004</t>
        </is>
      </c>
      <c r="E1332" s="278" t="inlineStr">
        <is>
          <t>CIF B91938662</t>
        </is>
      </c>
      <c r="F1332" s="278" t="inlineStr">
        <is>
          <t>aBalados@abalados.es</t>
        </is>
      </c>
      <c r="G1332" s="278" t="inlineStr">
        <is>
          <t>ES Garrovers Energía Solar S.L.U.</t>
        </is>
      </c>
      <c r="H1332" s="278">
        <f>VLOOKUP($G1332,DATOS!$B:$E,2,FALSE)</f>
        <v/>
      </c>
      <c r="I1332" s="278">
        <f>VLOOKUP($G1332,DATOS!$B:$E,3,FALSE)</f>
        <v/>
      </c>
      <c r="J1332" s="278">
        <f>VLOOKUP($G1332,DATOS!$B:$E,4,FALSE)</f>
        <v/>
      </c>
      <c r="K1332" s="278" t="inlineStr">
        <is>
          <t>Contabilidad y Fiscalidad de proyecto Artà - 4º Trimestre</t>
        </is>
      </c>
      <c r="L1332" s="280">
        <f>'Tarifa 2025'!$D$14/4</f>
        <v/>
      </c>
      <c r="M1332" s="278" t="inlineStr">
        <is>
          <t>SPV Management  Proyecto Artà - 4º Trimestre</t>
        </is>
      </c>
      <c r="N1332" s="280">
        <f>'Tarifa 2025'!$F$14/4</f>
        <v/>
      </c>
      <c r="O1332" s="278" t="inlineStr">
        <is>
          <t>O&amp;M Management Proyecto Artà - 4º Trimestre</t>
        </is>
      </c>
      <c r="P1332" s="280">
        <f>'Tarifa 2025'!$H$14/4</f>
        <v/>
      </c>
      <c r="Q1332" s="278" t="inlineStr">
        <is>
          <t>Consultoría - 4º Trimestre</t>
        </is>
      </c>
      <c r="R1332" s="280">
        <f>'Tarifa 2025'!$J$14/4</f>
        <v/>
      </c>
      <c r="T1332" s="280" t="n"/>
      <c r="V1332" s="280" t="n"/>
      <c r="X1332" s="280" t="n"/>
      <c r="Y1332" s="278" t="inlineStr">
        <is>
          <t>Gastos derivados de contrato (3,5%)</t>
        </is>
      </c>
      <c r="Z1332" s="280">
        <f>(L1332+N1332+P1332+R1332+T1332+V1332+X1332)*0.035</f>
        <v/>
      </c>
      <c r="AA1332" s="280" t="n"/>
      <c r="AB1332" s="281" t="inlineStr">
        <is>
          <t>ES11 0081 7069 2700 0122 7724</t>
        </is>
      </c>
      <c r="AC1332" s="278" t="inlineStr">
        <is>
          <t>pendiente</t>
        </is>
      </c>
      <c r="AD1332" s="280">
        <f>L1332+N1332+P1332+R1332+T1332+V1332+X1332+Z1332</f>
        <v/>
      </c>
      <c r="AE1332" s="280">
        <f>IF((LEFT(K1332,6))="Contab",L1332,0)</f>
        <v/>
      </c>
      <c r="AF1332" s="281">
        <f>VLOOKUP(G1332,CLIENTES!B:E,4,FALSE)</f>
        <v/>
      </c>
      <c r="AG1332" s="280">
        <f>AF1332*AE1332</f>
        <v/>
      </c>
      <c r="AH1332" s="280">
        <f>AD1332*1.21</f>
        <v/>
      </c>
      <c r="AI1332" s="282">
        <f>IF(AE1332&lt;&gt;0,AG1332/AD1332,"N/A")</f>
        <v/>
      </c>
      <c r="AJ1332" s="280">
        <f>IF(AC1332="pendiente",AD1332,0)</f>
        <v/>
      </c>
      <c r="AK1332" s="278">
        <f>VLOOKUP(G1332,CLIENTES!B:D,3,FALSE)</f>
        <v/>
      </c>
    </row>
    <row r="1333" ht="15" customFormat="1" customHeight="1" s="278">
      <c r="B1333" s="279" t="n"/>
      <c r="C1333" s="278" t="inlineStr">
        <is>
          <t>c/ Las Cruzadas 3A, local D</t>
        </is>
      </c>
      <c r="D1333" s="278" t="inlineStr">
        <is>
          <t>Sevilla 41004</t>
        </is>
      </c>
      <c r="E1333" s="278" t="inlineStr">
        <is>
          <t>CIF B91938662</t>
        </is>
      </c>
      <c r="F1333" s="278" t="inlineStr">
        <is>
          <t>aBalados@abalados.es</t>
        </is>
      </c>
      <c r="G1333" s="278" t="inlineStr">
        <is>
          <t>Contreras Parque Solar S.L.U.</t>
        </is>
      </c>
      <c r="H1333" s="278">
        <f>VLOOKUP($G1333,DATOS!$B:$E,2,FALSE)</f>
        <v/>
      </c>
      <c r="I1333" s="278">
        <f>VLOOKUP($G1333,DATOS!$B:$E,3,FALSE)</f>
        <v/>
      </c>
      <c r="J1333" s="278">
        <f>VLOOKUP($G1333,DATOS!$B:$E,4,FALSE)</f>
        <v/>
      </c>
      <c r="K1333" s="278" t="inlineStr">
        <is>
          <t>Contabilidad y Fiscalidad de proyecto Casa Roja - 4º Trimestre</t>
        </is>
      </c>
      <c r="L1333" s="280">
        <f>'Tarifa 2025'!$D$15/4</f>
        <v/>
      </c>
      <c r="M1333" s="278" t="inlineStr">
        <is>
          <t>SPV Management  Proyecto Contreras - 4º Trimestre</t>
        </is>
      </c>
      <c r="N1333" s="280">
        <f>'Tarifa 2025'!$F$15/4</f>
        <v/>
      </c>
      <c r="O1333" s="278" t="inlineStr">
        <is>
          <t>O&amp;M Management Proyecto Contreras - 4º Trimestre</t>
        </is>
      </c>
      <c r="P1333" s="280">
        <f>'Tarifa 2025'!$H$15/4</f>
        <v/>
      </c>
      <c r="Q1333" s="278" t="inlineStr">
        <is>
          <t>Consultoría - 4º Trimestre</t>
        </is>
      </c>
      <c r="R1333" s="280">
        <f>'Tarifa 2025'!$J$15/4</f>
        <v/>
      </c>
      <c r="T1333" s="280" t="n"/>
      <c r="V1333" s="280" t="n"/>
      <c r="X1333" s="280" t="n"/>
      <c r="Y1333" s="278" t="inlineStr">
        <is>
          <t>Gastos derivados de contrato (3,5%)</t>
        </is>
      </c>
      <c r="Z1333" s="280">
        <f>(L1333+N1333+P1333+R1333+T1333+V1333+X1333)*0.035</f>
        <v/>
      </c>
      <c r="AA1333" s="280" t="n"/>
      <c r="AB1333" s="281" t="inlineStr">
        <is>
          <t>ES11 0081 7069 2700 0122 7724</t>
        </is>
      </c>
      <c r="AC1333" s="278" t="inlineStr">
        <is>
          <t>pendiente</t>
        </is>
      </c>
      <c r="AD1333" s="280">
        <f>L1333+N1333+P1333+R1333+T1333+V1333+X1333+Z1333</f>
        <v/>
      </c>
      <c r="AE1333" s="280">
        <f>IF((LEFT(K1333,6))="Contab",L1333,0)</f>
        <v/>
      </c>
      <c r="AF1333" s="281">
        <f>VLOOKUP(G1333,CLIENTES!B:E,4,FALSE)</f>
        <v/>
      </c>
      <c r="AG1333" s="280">
        <f>AF1333*AE1333</f>
        <v/>
      </c>
      <c r="AH1333" s="280">
        <f>AD1333*1.21</f>
        <v/>
      </c>
      <c r="AI1333" s="282">
        <f>IF(AE1333&lt;&gt;0,AG1333/AD1333,"N/A")</f>
        <v/>
      </c>
      <c r="AJ1333" s="280">
        <f>IF(AC1333="pendiente",AD1333,0)</f>
        <v/>
      </c>
      <c r="AK1333" s="278">
        <f>VLOOKUP(G1333,CLIENTES!B:D,3,FALSE)</f>
        <v/>
      </c>
    </row>
    <row r="1334" ht="15" customFormat="1" customHeight="1" s="278">
      <c r="B1334" s="279" t="n"/>
      <c r="C1334" s="278" t="inlineStr">
        <is>
          <t>c/ Las Cruzadas 3A, local D</t>
        </is>
      </c>
      <c r="D1334" s="278" t="inlineStr">
        <is>
          <t>Sevilla 41004</t>
        </is>
      </c>
      <c r="E1334" s="278" t="inlineStr">
        <is>
          <t>CIF B91938662</t>
        </is>
      </c>
      <c r="F1334" s="278" t="inlineStr">
        <is>
          <t>aBalados@abalados.es</t>
        </is>
      </c>
      <c r="G1334" s="278" t="inlineStr">
        <is>
          <t>Lo Illán  Parque Solar S.L.U.</t>
        </is>
      </c>
      <c r="H1334" s="278">
        <f>VLOOKUP($G1334,DATOS!$B:$E,2,FALSE)</f>
        <v/>
      </c>
      <c r="I1334" s="278">
        <f>VLOOKUP($G1334,DATOS!$B:$E,3,FALSE)</f>
        <v/>
      </c>
      <c r="J1334" s="278">
        <f>VLOOKUP($G1334,DATOS!$B:$E,4,FALSE)</f>
        <v/>
      </c>
      <c r="K1334" s="278" t="inlineStr">
        <is>
          <t>Contabilidad y Fiscalidad de proyecto Casa Roja - 4º Trimestre</t>
        </is>
      </c>
      <c r="L1334" s="280">
        <f>'Tarifa 2025'!$D$16/4</f>
        <v/>
      </c>
      <c r="M1334" s="278" t="inlineStr">
        <is>
          <t>SPV Management  Proyecto Lo Illán - 4º Trimestre</t>
        </is>
      </c>
      <c r="N1334" s="280">
        <f>'Tarifa 2025'!$F$16/4</f>
        <v/>
      </c>
      <c r="O1334" s="278" t="inlineStr">
        <is>
          <t>O&amp;M Management Proyecto Lo Illán - 4º Trimestre</t>
        </is>
      </c>
      <c r="P1334" s="280">
        <f>'Tarifa 2025'!$H$16/4</f>
        <v/>
      </c>
      <c r="Q1334" s="278" t="inlineStr">
        <is>
          <t>Consultoría - 4º Trimestre</t>
        </is>
      </c>
      <c r="R1334" s="280">
        <f>'Tarifa 2025'!$J$16/4</f>
        <v/>
      </c>
      <c r="T1334" s="280" t="n"/>
      <c r="V1334" s="280" t="n"/>
      <c r="X1334" s="280" t="n"/>
      <c r="Y1334" s="278" t="inlineStr">
        <is>
          <t>Gastos derivados de contrato (3,5%)</t>
        </is>
      </c>
      <c r="Z1334" s="280">
        <f>(L1334+N1334+P1334+R1334+T1334+V1334+X1334)*0.035</f>
        <v/>
      </c>
      <c r="AA1334" s="280" t="n"/>
      <c r="AB1334" s="281" t="inlineStr">
        <is>
          <t>ES11 0081 7069 2700 0122 7724</t>
        </is>
      </c>
      <c r="AC1334" s="278" t="inlineStr">
        <is>
          <t>pendiente</t>
        </is>
      </c>
      <c r="AD1334" s="280">
        <f>L1334+N1334+P1334+R1334+T1334+V1334+X1334+Z1334</f>
        <v/>
      </c>
      <c r="AE1334" s="280">
        <f>IF((LEFT(K1334,6))="Contab",L1334,0)</f>
        <v/>
      </c>
      <c r="AF1334" s="281">
        <f>VLOOKUP(G1334,CLIENTES!B:E,4,FALSE)</f>
        <v/>
      </c>
      <c r="AG1334" s="280">
        <f>AF1334*AE1334</f>
        <v/>
      </c>
      <c r="AH1334" s="280">
        <f>AD1334*1.21</f>
        <v/>
      </c>
      <c r="AI1334" s="282">
        <f>IF(AE1334&lt;&gt;0,AG1334/AD1334,"N/A")</f>
        <v/>
      </c>
      <c r="AJ1334" s="280">
        <f>IF(AC1334="pendiente",AD1334,0)</f>
        <v/>
      </c>
      <c r="AK1334" s="278">
        <f>VLOOKUP(G1334,CLIENTES!B:D,3,FALSE)</f>
        <v/>
      </c>
    </row>
    <row r="1335" ht="15" customFormat="1" customHeight="1" s="278">
      <c r="B1335" s="279" t="n"/>
      <c r="C1335" s="278" t="inlineStr">
        <is>
          <t>c/ Las Cruzadas 3A, local D</t>
        </is>
      </c>
      <c r="D1335" s="278" t="inlineStr">
        <is>
          <t>Sevilla 41004</t>
        </is>
      </c>
      <c r="E1335" s="278" t="inlineStr">
        <is>
          <t>CIF B91938662</t>
        </is>
      </c>
      <c r="F1335" s="278" t="inlineStr">
        <is>
          <t>aBalados@abalados.es</t>
        </is>
      </c>
      <c r="G1335" s="278" t="inlineStr">
        <is>
          <t>Turbinto Parque Solar S.L.U.</t>
        </is>
      </c>
      <c r="H1335" s="278">
        <f>VLOOKUP($G1335,DATOS!$B:$E,2,FALSE)</f>
        <v/>
      </c>
      <c r="I1335" s="278">
        <f>VLOOKUP($G1335,DATOS!$B:$E,3,FALSE)</f>
        <v/>
      </c>
      <c r="J1335" s="278">
        <f>VLOOKUP($G1335,DATOS!$B:$E,4,FALSE)</f>
        <v/>
      </c>
      <c r="K1335" s="278" t="inlineStr">
        <is>
          <t>Contabilidad y Fiscalidad de proyecto Casa Roja - 4º Trimestre</t>
        </is>
      </c>
      <c r="L1335" s="280">
        <f>'Tarifa 2025'!$D$17/4</f>
        <v/>
      </c>
      <c r="M1335" s="278" t="inlineStr">
        <is>
          <t>SPV Management  Proyecto Turbinto - 4º Trimestre</t>
        </is>
      </c>
      <c r="N1335" s="280">
        <f>'Tarifa 2025'!$F$17/4</f>
        <v/>
      </c>
      <c r="O1335" s="278" t="inlineStr">
        <is>
          <t>O&amp;M Management Proyecto Turbinto - 4º Trimestre</t>
        </is>
      </c>
      <c r="P1335" s="280">
        <f>'Tarifa 2025'!$H$17/4</f>
        <v/>
      </c>
      <c r="Q1335" s="278" t="inlineStr">
        <is>
          <t>Consultoría - 4º Trimestre</t>
        </is>
      </c>
      <c r="R1335" s="280">
        <f>'Tarifa 2025'!$J$17/4</f>
        <v/>
      </c>
      <c r="T1335" s="280" t="n"/>
      <c r="V1335" s="280" t="n"/>
      <c r="X1335" s="280" t="n"/>
      <c r="Y1335" s="278" t="inlineStr">
        <is>
          <t>Gastos derivados de contrato (3,5%)</t>
        </is>
      </c>
      <c r="Z1335" s="280">
        <f>(L1335+N1335+P1335+R1335+T1335+V1335+X1335)*0.035</f>
        <v/>
      </c>
      <c r="AA1335" s="280" t="n"/>
      <c r="AB1335" s="281" t="inlineStr">
        <is>
          <t>ES11 0081 7069 2700 0122 7724</t>
        </is>
      </c>
      <c r="AC1335" s="278" t="inlineStr">
        <is>
          <t>pendiente</t>
        </is>
      </c>
      <c r="AD1335" s="280">
        <f>L1335+N1335+P1335+R1335+T1335+V1335+X1335+Z1335</f>
        <v/>
      </c>
      <c r="AE1335" s="280">
        <f>IF((LEFT(K1335,6))="Contab",L1335,0)</f>
        <v/>
      </c>
      <c r="AF1335" s="281">
        <f>VLOOKUP(G1335,CLIENTES!B:E,4,FALSE)</f>
        <v/>
      </c>
      <c r="AG1335" s="280">
        <f>AF1335*AE1335</f>
        <v/>
      </c>
      <c r="AH1335" s="280">
        <f>AD1335*1.21</f>
        <v/>
      </c>
      <c r="AI1335" s="282">
        <f>IF(AE1335&lt;&gt;0,AG1335/AD1335,"N/A")</f>
        <v/>
      </c>
      <c r="AJ1335" s="280">
        <f>IF(AC1335="pendiente",AD1335,0)</f>
        <v/>
      </c>
      <c r="AK1335" s="278">
        <f>VLOOKUP(G1335,CLIENTES!B:D,3,FALSE)</f>
        <v/>
      </c>
    </row>
    <row r="1336" ht="15" customFormat="1" customHeight="1" s="278">
      <c r="B1336" s="279" t="n"/>
      <c r="C1336" s="278" t="inlineStr">
        <is>
          <t>c/ Las Cruzadas 3A, local D</t>
        </is>
      </c>
      <c r="D1336" s="278" t="inlineStr">
        <is>
          <t>Sevilla 41004</t>
        </is>
      </c>
      <c r="E1336" s="278" t="inlineStr">
        <is>
          <t>CIF B91938662</t>
        </is>
      </c>
      <c r="F1336" s="278" t="inlineStr">
        <is>
          <t>aBalados@abalados.es</t>
        </is>
      </c>
      <c r="G1336" s="278" t="inlineStr">
        <is>
          <t>Amberg V S.L.U.</t>
        </is>
      </c>
      <c r="H1336" s="278">
        <f>VLOOKUP($G1336,DATOS!$B:$E,2,FALSE)</f>
        <v/>
      </c>
      <c r="I1336" s="278">
        <f>VLOOKUP($G1336,DATOS!$B:$E,3,FALSE)</f>
        <v/>
      </c>
      <c r="J1336" s="278">
        <f>VLOOKUP($G1336,DATOS!$B:$E,4,FALSE)</f>
        <v/>
      </c>
      <c r="K1336" s="278" t="inlineStr">
        <is>
          <t>Contabilidad y Fiscalidad de proyecto - 4º Trimestre</t>
        </is>
      </c>
      <c r="L1336" s="280">
        <f>'Tarifa 2025'!$D$18/4/6</f>
        <v/>
      </c>
      <c r="M1336" s="278" t="inlineStr">
        <is>
          <t>SPV Management de Proyecto - 4º Trimestre</t>
        </is>
      </c>
      <c r="N1336" s="280">
        <f>'Tarifa 2025'!$F$18/6/4</f>
        <v/>
      </c>
      <c r="O1336" s="278" t="inlineStr">
        <is>
          <t>O&amp;M Management de Proyecto - 4º Trimestre</t>
        </is>
      </c>
      <c r="P1336" s="280">
        <f>'Tarifa 2025'!$H$18/6/4</f>
        <v/>
      </c>
      <c r="R1336" s="280" t="n"/>
      <c r="T1336" s="280" t="n"/>
      <c r="V1336" s="280" t="n"/>
      <c r="X1336" s="280" t="n"/>
      <c r="Y1336" s="278" t="inlineStr">
        <is>
          <t>Gastos derivados de contrato (3,5%)</t>
        </is>
      </c>
      <c r="Z1336" s="280">
        <f>(L1336+N1336+P1336+R1336+T1336+V1336+X1336)*0.035</f>
        <v/>
      </c>
      <c r="AA1336" s="280" t="n"/>
      <c r="AB1336" s="281" t="inlineStr">
        <is>
          <t>ES11 0081 7069 2700 0122 7724</t>
        </is>
      </c>
      <c r="AC1336" s="278" t="inlineStr">
        <is>
          <t>pendiente</t>
        </is>
      </c>
      <c r="AD1336" s="280">
        <f>L1336+N1336+P1336+R1336+T1336+V1336+X1336+Z1336</f>
        <v/>
      </c>
      <c r="AE1336" s="280">
        <f>IF((LEFT(K1336,6))="Contab",L1336,0)</f>
        <v/>
      </c>
      <c r="AF1336" s="281">
        <f>VLOOKUP(G1336,CLIENTES!B:E,4,FALSE)</f>
        <v/>
      </c>
      <c r="AG1336" s="280">
        <f>AF1336*AE1336</f>
        <v/>
      </c>
      <c r="AH1336" s="280">
        <f>AD1336*1.21</f>
        <v/>
      </c>
      <c r="AI1336" s="282">
        <f>IF(AE1336&lt;&gt;0,AG1336/AD1336,"N/A")</f>
        <v/>
      </c>
      <c r="AJ1336" s="280">
        <f>IF(AC1336="pendiente",AD1336,0)</f>
        <v/>
      </c>
      <c r="AK1336" s="278">
        <f>VLOOKUP(G1336,CLIENTES!B:D,3,FALSE)</f>
        <v/>
      </c>
    </row>
    <row r="1337" ht="15" customFormat="1" customHeight="1" s="278">
      <c r="B1337" s="279" t="n"/>
      <c r="C1337" s="278" t="inlineStr">
        <is>
          <t>c/ Las Cruzadas 3A, local D</t>
        </is>
      </c>
      <c r="D1337" s="278" t="inlineStr">
        <is>
          <t>Sevilla 41004</t>
        </is>
      </c>
      <c r="E1337" s="278" t="inlineStr">
        <is>
          <t>CIF B91938662</t>
        </is>
      </c>
      <c r="F1337" s="278" t="inlineStr">
        <is>
          <t>aBalados@abalados.es</t>
        </is>
      </c>
      <c r="G1337" s="278" t="inlineStr">
        <is>
          <t>Solar Photo Collect S.L.U.</t>
        </is>
      </c>
      <c r="H1337" s="278">
        <f>VLOOKUP($G1337,DATOS!$B:$E,2,FALSE)</f>
        <v/>
      </c>
      <c r="I1337" s="278">
        <f>VLOOKUP($G1337,DATOS!$B:$E,3,FALSE)</f>
        <v/>
      </c>
      <c r="J1337" s="278">
        <f>VLOOKUP($G1337,DATOS!$B:$E,4,FALSE)</f>
        <v/>
      </c>
      <c r="K1337" s="278" t="inlineStr">
        <is>
          <t>Contabilidad y Fiscalidad de proyecto - 4º Trimestre</t>
        </is>
      </c>
      <c r="L1337" s="280">
        <f>'Tarifa 2025'!$D$18/4/6</f>
        <v/>
      </c>
      <c r="M1337" s="278" t="inlineStr">
        <is>
          <t>SPV Management de Proyecto - 4º Trimestre</t>
        </is>
      </c>
      <c r="N1337" s="280">
        <f>'Tarifa 2025'!$F$18/6/4</f>
        <v/>
      </c>
      <c r="O1337" s="278" t="inlineStr">
        <is>
          <t>O&amp;M Management de Proyecto - 4º Trimestre</t>
        </is>
      </c>
      <c r="P1337" s="280">
        <f>'Tarifa 2025'!$H$18/6/4</f>
        <v/>
      </c>
      <c r="R1337" s="280" t="n"/>
      <c r="T1337" s="280" t="n"/>
      <c r="V1337" s="280" t="n"/>
      <c r="X1337" s="280" t="n"/>
      <c r="Y1337" s="278" t="inlineStr">
        <is>
          <t>Gastos derivados de contrato (3,5%)</t>
        </is>
      </c>
      <c r="Z1337" s="280">
        <f>(L1337+N1337+P1337+R1337+T1337+V1337+X1337)*0.035</f>
        <v/>
      </c>
      <c r="AA1337" s="280" t="n"/>
      <c r="AB1337" s="281" t="inlineStr">
        <is>
          <t>ES11 0081 7069 2700 0122 7724</t>
        </is>
      </c>
      <c r="AC1337" s="278" t="inlineStr">
        <is>
          <t>pendiente</t>
        </is>
      </c>
      <c r="AD1337" s="280">
        <f>L1337+N1337+P1337+R1337+T1337+V1337+X1337+Z1337</f>
        <v/>
      </c>
      <c r="AE1337" s="280">
        <f>IF((LEFT(K1337,6))="Contab",L1337,0)</f>
        <v/>
      </c>
      <c r="AF1337" s="281">
        <f>VLOOKUP(G1337,CLIENTES!B:E,4,FALSE)</f>
        <v/>
      </c>
      <c r="AG1337" s="280">
        <f>AF1337*AE1337</f>
        <v/>
      </c>
      <c r="AH1337" s="280">
        <f>AD1337*1.21</f>
        <v/>
      </c>
      <c r="AI1337" s="282">
        <f>IF(AE1337&lt;&gt;0,AG1337/AD1337,"N/A")</f>
        <v/>
      </c>
      <c r="AJ1337" s="280">
        <f>IF(AC1337="pendiente",AD1337,0)</f>
        <v/>
      </c>
      <c r="AK1337" s="278">
        <f>VLOOKUP(G1337,CLIENTES!B:D,3,FALSE)</f>
        <v/>
      </c>
    </row>
    <row r="1338" ht="15" customFormat="1" customHeight="1" s="278">
      <c r="B1338" s="279" t="n"/>
      <c r="C1338" s="278" t="inlineStr">
        <is>
          <t>c/ Las Cruzadas 3A, local D</t>
        </is>
      </c>
      <c r="D1338" s="278" t="inlineStr">
        <is>
          <t>Sevilla 41004</t>
        </is>
      </c>
      <c r="E1338" s="278" t="inlineStr">
        <is>
          <t>CIF B91938662</t>
        </is>
      </c>
      <c r="F1338" s="278" t="inlineStr">
        <is>
          <t>aBalados@abalados.es</t>
        </is>
      </c>
      <c r="G1338" s="278" t="inlineStr">
        <is>
          <t xml:space="preserve">Rasteding PV I, S.L.U. </t>
        </is>
      </c>
      <c r="H1338" s="278">
        <f>VLOOKUP($G1338,DATOS!$B:$E,2,FALSE)</f>
        <v/>
      </c>
      <c r="I1338" s="278">
        <f>VLOOKUP($G1338,DATOS!$B:$E,3,FALSE)</f>
        <v/>
      </c>
      <c r="J1338" s="278">
        <f>VLOOKUP($G1338,DATOS!$B:$E,4,FALSE)</f>
        <v/>
      </c>
      <c r="K1338" s="278" t="inlineStr">
        <is>
          <t>Contabilidad y Fiscalidad de proyecto - 4º Trimestre</t>
        </is>
      </c>
      <c r="L1338" s="280">
        <f>'Tarifa 2025'!$D$18/4/6</f>
        <v/>
      </c>
      <c r="M1338" s="278" t="inlineStr">
        <is>
          <t>SPV Management de Proyecto - 4º Trimestre</t>
        </is>
      </c>
      <c r="N1338" s="280">
        <f>'Tarifa 2025'!$F$18/6/4</f>
        <v/>
      </c>
      <c r="O1338" s="278" t="inlineStr">
        <is>
          <t>O&amp;M Management de Proyecto - 4º Trimestre</t>
        </is>
      </c>
      <c r="P1338" s="280">
        <f>'Tarifa 2025'!$H$18/6/4</f>
        <v/>
      </c>
      <c r="R1338" s="280" t="n"/>
      <c r="T1338" s="280" t="n"/>
      <c r="V1338" s="280" t="n"/>
      <c r="X1338" s="280" t="n"/>
      <c r="Y1338" s="278" t="inlineStr">
        <is>
          <t>Gastos derivados de contrato (3,5%)</t>
        </is>
      </c>
      <c r="Z1338" s="280">
        <f>(L1338+N1338+P1338+R1338+T1338+V1338+X1338)*0.035</f>
        <v/>
      </c>
      <c r="AA1338" s="280" t="n"/>
      <c r="AB1338" s="281" t="inlineStr">
        <is>
          <t>ES11 0081 7069 2700 0122 7724</t>
        </is>
      </c>
      <c r="AC1338" s="278" t="inlineStr">
        <is>
          <t>pendiente</t>
        </is>
      </c>
      <c r="AD1338" s="280">
        <f>L1338+N1338+P1338+R1338+T1338+V1338+X1338+Z1338</f>
        <v/>
      </c>
      <c r="AE1338" s="280">
        <f>IF((LEFT(K1338,6))="Contab",L1338,0)</f>
        <v/>
      </c>
      <c r="AF1338" s="281">
        <f>VLOOKUP(G1338,CLIENTES!B:E,4,FALSE)</f>
        <v/>
      </c>
      <c r="AG1338" s="280">
        <f>AF1338*AE1338</f>
        <v/>
      </c>
      <c r="AH1338" s="280">
        <f>AD1338*1.21</f>
        <v/>
      </c>
      <c r="AI1338" s="282">
        <f>IF(AE1338&lt;&gt;0,AG1338/AD1338,"N/A")</f>
        <v/>
      </c>
      <c r="AJ1338" s="280">
        <f>IF(AC1338="pendiente",AD1338,0)</f>
        <v/>
      </c>
      <c r="AK1338" s="278">
        <f>VLOOKUP(G1338,CLIENTES!B:D,3,FALSE)</f>
        <v/>
      </c>
    </row>
    <row r="1339" ht="15" customFormat="1" customHeight="1" s="278">
      <c r="B1339" s="279" t="n"/>
      <c r="C1339" s="278" t="inlineStr">
        <is>
          <t>c/ Las Cruzadas 3A, local D</t>
        </is>
      </c>
      <c r="D1339" s="278" t="inlineStr">
        <is>
          <t>Sevilla 41004</t>
        </is>
      </c>
      <c r="E1339" s="278" t="inlineStr">
        <is>
          <t>CIF B91938662</t>
        </is>
      </c>
      <c r="F1339" s="278" t="inlineStr">
        <is>
          <t>aBalados@abalados.es</t>
        </is>
      </c>
      <c r="G1339" s="278" t="inlineStr">
        <is>
          <t>Amberg II S.L.U.</t>
        </is>
      </c>
      <c r="H1339" s="278">
        <f>VLOOKUP($G1339,DATOS!$B:$E,2,FALSE)</f>
        <v/>
      </c>
      <c r="I1339" s="278">
        <f>VLOOKUP($G1339,DATOS!$B:$E,3,FALSE)</f>
        <v/>
      </c>
      <c r="J1339" s="278">
        <f>VLOOKUP($G1339,DATOS!$B:$E,4,FALSE)</f>
        <v/>
      </c>
      <c r="K1339" s="278" t="inlineStr">
        <is>
          <t>Contabilidad y Fiscalidad de proyecto - 4º Trimestre</t>
        </is>
      </c>
      <c r="L1339" s="280">
        <f>'Tarifa 2025'!$D$18/4/6</f>
        <v/>
      </c>
      <c r="M1339" s="278" t="inlineStr">
        <is>
          <t>SPV Management de Proyecto - 4º Trimestre</t>
        </is>
      </c>
      <c r="N1339" s="280">
        <f>'Tarifa 2025'!$F$18/6/4</f>
        <v/>
      </c>
      <c r="O1339" s="278" t="inlineStr">
        <is>
          <t>O&amp;M Management de Proyecto - 4º Trimestre</t>
        </is>
      </c>
      <c r="P1339" s="280">
        <f>'Tarifa 2025'!$H$18/6/4</f>
        <v/>
      </c>
      <c r="R1339" s="280" t="n"/>
      <c r="T1339" s="280" t="n"/>
      <c r="V1339" s="280" t="n"/>
      <c r="X1339" s="280" t="n"/>
      <c r="Y1339" s="278" t="inlineStr">
        <is>
          <t>Gastos derivados de contrato (3,5%)</t>
        </is>
      </c>
      <c r="Z1339" s="280">
        <f>(L1339+N1339+P1339+R1339+T1339+V1339+X1339)*0.035</f>
        <v/>
      </c>
      <c r="AA1339" s="280" t="n"/>
      <c r="AB1339" s="281" t="inlineStr">
        <is>
          <t>ES11 0081 7069 2700 0122 7724</t>
        </is>
      </c>
      <c r="AC1339" s="278" t="inlineStr">
        <is>
          <t>pendiente</t>
        </is>
      </c>
      <c r="AD1339" s="280">
        <f>L1339+N1339+P1339+R1339+T1339+V1339+X1339+Z1339</f>
        <v/>
      </c>
      <c r="AE1339" s="280">
        <f>IF((LEFT(K1339,6))="Contab",L1339,0)</f>
        <v/>
      </c>
      <c r="AF1339" s="281">
        <f>VLOOKUP(G1339,CLIENTES!B:E,4,FALSE)</f>
        <v/>
      </c>
      <c r="AG1339" s="280">
        <f>AF1339*AE1339</f>
        <v/>
      </c>
      <c r="AH1339" s="280">
        <f>AD1339*1.21</f>
        <v/>
      </c>
      <c r="AI1339" s="282">
        <f>IF(AE1339&lt;&gt;0,AG1339/AD1339,"N/A")</f>
        <v/>
      </c>
      <c r="AJ1339" s="280">
        <f>IF(AC1339="pendiente",AD1339,0)</f>
        <v/>
      </c>
      <c r="AK1339" s="278">
        <f>VLOOKUP(G1339,CLIENTES!B:D,3,FALSE)</f>
        <v/>
      </c>
    </row>
    <row r="1340" ht="15" customFormat="1" customHeight="1" s="278">
      <c r="B1340" s="279" t="n"/>
      <c r="C1340" s="278" t="inlineStr">
        <is>
          <t>c/ Las Cruzadas 3A, local D</t>
        </is>
      </c>
      <c r="D1340" s="278" t="inlineStr">
        <is>
          <t>Sevilla 41004</t>
        </is>
      </c>
      <c r="E1340" s="278" t="inlineStr">
        <is>
          <t>CIF B91938662</t>
        </is>
      </c>
      <c r="F1340" s="278" t="inlineStr">
        <is>
          <t>aBalados@abalados.es</t>
        </is>
      </c>
      <c r="G1340" s="278" t="inlineStr">
        <is>
          <t>Tiksi PV II S.L.U.</t>
        </is>
      </c>
      <c r="H1340" s="278">
        <f>VLOOKUP($G1340,DATOS!$B:$E,2,FALSE)</f>
        <v/>
      </c>
      <c r="I1340" s="278">
        <f>VLOOKUP($G1340,DATOS!$B:$E,3,FALSE)</f>
        <v/>
      </c>
      <c r="J1340" s="278">
        <f>VLOOKUP($G1340,DATOS!$B:$E,4,FALSE)</f>
        <v/>
      </c>
      <c r="K1340" s="278" t="inlineStr">
        <is>
          <t>Contabilidad y Fiscalidad de proyecto - 4º Trimestre</t>
        </is>
      </c>
      <c r="L1340" s="280">
        <f>'Tarifa 2025'!$D$18/4/6</f>
        <v/>
      </c>
      <c r="M1340" s="278" t="inlineStr">
        <is>
          <t>SPV Management de Proyecto - 4º Trimestre</t>
        </is>
      </c>
      <c r="N1340" s="280">
        <f>'Tarifa 2025'!$F$18/6/4</f>
        <v/>
      </c>
      <c r="O1340" s="278" t="inlineStr">
        <is>
          <t>O&amp;M Management de Proyecto - 4º Trimestre</t>
        </is>
      </c>
      <c r="P1340" s="280">
        <f>'Tarifa 2025'!$H$18/6/4</f>
        <v/>
      </c>
      <c r="R1340" s="280" t="n"/>
      <c r="T1340" s="280" t="n"/>
      <c r="V1340" s="280" t="n"/>
      <c r="X1340" s="280" t="n"/>
      <c r="Y1340" s="278" t="inlineStr">
        <is>
          <t>Gastos derivados de contrato (3,5%)</t>
        </is>
      </c>
      <c r="Z1340" s="280">
        <f>(L1340+N1340+P1340+R1340+T1340+V1340+X1340)*0.035</f>
        <v/>
      </c>
      <c r="AA1340" s="280" t="n"/>
      <c r="AB1340" s="281" t="inlineStr">
        <is>
          <t>ES11 0081 7069 2700 0122 7724</t>
        </is>
      </c>
      <c r="AC1340" s="278" t="inlineStr">
        <is>
          <t>pendiente</t>
        </is>
      </c>
      <c r="AD1340" s="280">
        <f>L1340+N1340+P1340+R1340+T1340+V1340+X1340+Z1340</f>
        <v/>
      </c>
      <c r="AE1340" s="280">
        <f>IF((LEFT(K1340,6))="Contab",L1340,0)</f>
        <v/>
      </c>
      <c r="AF1340" s="281">
        <f>VLOOKUP(G1340,CLIENTES!B:E,4,FALSE)</f>
        <v/>
      </c>
      <c r="AG1340" s="280">
        <f>AF1340*AE1340</f>
        <v/>
      </c>
      <c r="AH1340" s="280">
        <f>AD1340*1.21</f>
        <v/>
      </c>
      <c r="AI1340" s="282">
        <f>IF(AE1340&lt;&gt;0,AG1340/AD1340,"N/A")</f>
        <v/>
      </c>
      <c r="AJ1340" s="280">
        <f>IF(AC1340="pendiente",AD1340,0)</f>
        <v/>
      </c>
      <c r="AK1340" s="278">
        <f>VLOOKUP(G1340,CLIENTES!B:D,3,FALSE)</f>
        <v/>
      </c>
    </row>
    <row r="1341" ht="15" customFormat="1" customHeight="1" s="192">
      <c r="B1341" s="199" t="n"/>
      <c r="C1341" s="192" t="inlineStr">
        <is>
          <t>c/ Las Cruzadas 3A, local D</t>
        </is>
      </c>
      <c r="D1341" s="192" t="inlineStr">
        <is>
          <t>Sevilla 41004</t>
        </is>
      </c>
      <c r="E1341" s="192" t="inlineStr">
        <is>
          <t>CIF B91938662</t>
        </is>
      </c>
      <c r="F1341" s="192" t="inlineStr">
        <is>
          <t>aBalados@abalados.es</t>
        </is>
      </c>
      <c r="G1341" s="192" t="inlineStr">
        <is>
          <t>Solar Photo Corp S.L.U.</t>
        </is>
      </c>
      <c r="H1341" s="192">
        <f>VLOOKUP($G1341,DATOS!$B:$E,2,FALSE)</f>
        <v/>
      </c>
      <c r="I1341" s="192">
        <f>VLOOKUP($G1341,DATOS!$B:$E,3,FALSE)</f>
        <v/>
      </c>
      <c r="J1341" s="192">
        <f>VLOOKUP($G1341,DATOS!$B:$E,4,FALSE)</f>
        <v/>
      </c>
      <c r="K1341" s="192" t="inlineStr">
        <is>
          <t>Contabilidad y Fiscalidad de proyecto - 4º Trimestre</t>
        </is>
      </c>
      <c r="L1341" s="200">
        <f>'Tarifa 2025'!$D$18/4/6</f>
        <v/>
      </c>
      <c r="M1341" s="192" t="inlineStr">
        <is>
          <t>SPV Management de Proyecto - 4º Trimestre</t>
        </is>
      </c>
      <c r="N1341" s="200">
        <f>'Tarifa 2025'!$F$18/6/4</f>
        <v/>
      </c>
      <c r="O1341" s="192" t="inlineStr">
        <is>
          <t>O&amp;M Management de Proyecto - 4º Trimestre</t>
        </is>
      </c>
      <c r="P1341" s="200">
        <f>'Tarifa 2025'!$H$18/6/4</f>
        <v/>
      </c>
      <c r="R1341" s="200" t="n"/>
      <c r="T1341" s="200" t="n"/>
      <c r="V1341" s="200" t="n"/>
      <c r="X1341" s="200" t="n"/>
      <c r="Y1341" s="192" t="inlineStr">
        <is>
          <t>Gastos derivados de contrato (3,5%)</t>
        </is>
      </c>
      <c r="Z1341" s="200">
        <f>(L1341+N1341+P1341+R1341+T1341+V1341+X1341)*0.035</f>
        <v/>
      </c>
      <c r="AA1341" s="200" t="n"/>
      <c r="AB1341" s="201" t="inlineStr">
        <is>
          <t>ES11 0081 7069 2700 0122 7724</t>
        </is>
      </c>
      <c r="AC1341" s="278" t="inlineStr">
        <is>
          <t>pendiente</t>
        </is>
      </c>
      <c r="AD1341" s="200">
        <f>L1341+N1341+P1341+R1341+T1341+V1341+X1341+Z1341</f>
        <v/>
      </c>
      <c r="AE1341" s="200">
        <f>IF((LEFT(K1341,6))="Contab",L1341,0)</f>
        <v/>
      </c>
      <c r="AF1341" s="201">
        <f>VLOOKUP(G1341,CLIENTES!B:E,4,FALSE)</f>
        <v/>
      </c>
      <c r="AG1341" s="200">
        <f>AF1341*AE1341</f>
        <v/>
      </c>
      <c r="AH1341" s="200">
        <f>AD1341*1.21</f>
        <v/>
      </c>
      <c r="AI1341" s="202">
        <f>IF(AE1341&lt;&gt;0,AG1341/AD1341,"N/A")</f>
        <v/>
      </c>
      <c r="AJ1341" s="200">
        <f>IF(AC1341="pendiente",AD1341,0)</f>
        <v/>
      </c>
      <c r="AK1341" s="192">
        <f>VLOOKUP(G1341,CLIENTES!B:D,3,FALSE)</f>
        <v/>
      </c>
    </row>
    <row r="1342" ht="15" customFormat="1" customHeight="1" s="278">
      <c r="B1342" s="279" t="n"/>
      <c r="C1342" s="278" t="inlineStr">
        <is>
          <t>c/ Las Cruzadas 3A, local D</t>
        </is>
      </c>
      <c r="D1342" s="278" t="inlineStr">
        <is>
          <t>Sevilla 41004</t>
        </is>
      </c>
      <c r="E1342" s="278" t="inlineStr">
        <is>
          <t>CIF B91938662</t>
        </is>
      </c>
      <c r="F1342" s="278" t="inlineStr">
        <is>
          <t>aBalados@abalados.es</t>
        </is>
      </c>
      <c r="G1342" s="278" t="inlineStr">
        <is>
          <t>Dehesa Asomadilla Inversiones S.L.U.</t>
        </is>
      </c>
      <c r="H1342" s="278">
        <f>VLOOKUP($G1342,DATOS!$B:$E,2,FALSE)</f>
        <v/>
      </c>
      <c r="I1342" s="278">
        <f>VLOOKUP($G1342,DATOS!$B:$E,3,FALSE)</f>
        <v/>
      </c>
      <c r="J1342" s="278">
        <f>VLOOKUP($G1342,DATOS!$B:$E,4,FALSE)</f>
        <v/>
      </c>
      <c r="K1342" s="278" t="inlineStr">
        <is>
          <t>Honorarios - Contrato O&amp;M 4º Trimestre</t>
        </is>
      </c>
      <c r="L1342" s="280" t="n">
        <v>28730.36764271932</v>
      </c>
      <c r="N1342" s="280" t="n"/>
      <c r="P1342" s="280" t="n"/>
      <c r="R1342" s="280" t="n"/>
      <c r="T1342" s="280" t="n"/>
      <c r="V1342" s="280" t="n"/>
      <c r="X1342" s="280" t="n"/>
      <c r="Z1342" s="280" t="n"/>
      <c r="AA1342" s="280" t="n"/>
      <c r="AB1342" s="281" t="inlineStr">
        <is>
          <t>ES11 0081 7069 2700 0122 7724</t>
        </is>
      </c>
      <c r="AC1342" s="278" t="inlineStr">
        <is>
          <t>pendiente</t>
        </is>
      </c>
      <c r="AD1342" s="280">
        <f>L1342+N1342+P1342+R1342+T1342+V1342+X1342+Z1342</f>
        <v/>
      </c>
      <c r="AE1342" s="280">
        <f>IF((LEFT(K1342,6))="Contab",L1342,0)</f>
        <v/>
      </c>
      <c r="AF1342" s="281">
        <f>VLOOKUP(G1342,CLIENTES!B:E,4,FALSE)</f>
        <v/>
      </c>
      <c r="AG1342" s="280">
        <f>AF1342*AE1342</f>
        <v/>
      </c>
      <c r="AH1342" s="280">
        <f>AD1342*1.21</f>
        <v/>
      </c>
      <c r="AI1342" s="282">
        <f>IF(AE1342&lt;&gt;0,AG1342/AD1342,"N/A")</f>
        <v/>
      </c>
      <c r="AJ1342" s="280">
        <f>IF(AC1342="pendiente",AD1342,0)</f>
        <v/>
      </c>
      <c r="AK1342" s="278">
        <f>VLOOKUP(G1342,CLIENTES!B:D,3,FALSE)</f>
        <v/>
      </c>
    </row>
    <row r="1343" ht="15" customFormat="1" customHeight="1" s="278">
      <c r="B1343" s="279" t="n"/>
      <c r="C1343" s="278" t="inlineStr">
        <is>
          <t>c/ Las Cruzadas 3A, local D</t>
        </is>
      </c>
      <c r="D1343" s="278" t="inlineStr">
        <is>
          <t>Sevilla 41004</t>
        </is>
      </c>
      <c r="E1343" s="278" t="inlineStr">
        <is>
          <t>CIF B91938662</t>
        </is>
      </c>
      <c r="F1343" s="278" t="inlineStr">
        <is>
          <t>aBalados@abalados.es</t>
        </is>
      </c>
      <c r="G1343" s="278" t="inlineStr">
        <is>
          <t>Asomadilla Solar 2007 S.L.U.</t>
        </is>
      </c>
      <c r="H1343" s="278">
        <f>VLOOKUP($G1343,DATOS!$B:$E,2,FALSE)</f>
        <v/>
      </c>
      <c r="I1343" s="278">
        <f>VLOOKUP($G1343,DATOS!$B:$E,3,FALSE)</f>
        <v/>
      </c>
      <c r="J1343" s="278">
        <f>VLOOKUP($G1343,DATOS!$B:$E,4,FALSE)</f>
        <v/>
      </c>
      <c r="K1343" s="278" t="inlineStr">
        <is>
          <t>Honorarios - Contrato O&amp;M 4º Trimestre</t>
        </is>
      </c>
      <c r="L1343" s="280" t="n">
        <v>18387.43529134037</v>
      </c>
      <c r="N1343" s="280" t="n"/>
      <c r="P1343" s="280" t="n"/>
      <c r="R1343" s="280" t="n"/>
      <c r="T1343" s="280" t="n"/>
      <c r="V1343" s="280" t="n"/>
      <c r="X1343" s="280" t="n"/>
      <c r="Z1343" s="280" t="n"/>
      <c r="AA1343" s="280" t="n"/>
      <c r="AB1343" s="281" t="inlineStr">
        <is>
          <t>ES11 0081 7069 2700 0122 7724</t>
        </is>
      </c>
      <c r="AC1343" s="278" t="inlineStr">
        <is>
          <t>pendiente</t>
        </is>
      </c>
      <c r="AD1343" s="280">
        <f>L1343+N1343+P1343+R1343+T1343+V1343+X1343+Z1343</f>
        <v/>
      </c>
      <c r="AE1343" s="280">
        <f>IF((LEFT(K1343,6))="Contab",L1343,0)</f>
        <v/>
      </c>
      <c r="AF1343" s="281">
        <f>VLOOKUP(G1343,CLIENTES!B:E,4,FALSE)</f>
        <v/>
      </c>
      <c r="AG1343" s="280">
        <f>AF1343*AE1343</f>
        <v/>
      </c>
      <c r="AH1343" s="280">
        <f>AD1343*1.21</f>
        <v/>
      </c>
      <c r="AI1343" s="282">
        <f>IF(AE1343&lt;&gt;0,AG1343/AD1343,"N/A")</f>
        <v/>
      </c>
      <c r="AJ1343" s="280">
        <f>IF(AC1343="pendiente",AD1343,0)</f>
        <v/>
      </c>
      <c r="AK1343" s="278">
        <f>VLOOKUP(G1343,CLIENTES!B:D,3,FALSE)</f>
        <v/>
      </c>
    </row>
    <row r="1344" ht="15" customFormat="1" customHeight="1" s="278">
      <c r="B1344" s="279" t="n"/>
      <c r="C1344" s="278" t="inlineStr">
        <is>
          <t>c/ Las Cruzadas 3A, local D</t>
        </is>
      </c>
      <c r="D1344" s="278" t="inlineStr">
        <is>
          <t>Sevilla 41004</t>
        </is>
      </c>
      <c r="E1344" s="278" t="inlineStr">
        <is>
          <t>CIF B91938662</t>
        </is>
      </c>
      <c r="F1344" s="278" t="inlineStr">
        <is>
          <t>aBalados@abalados.es</t>
        </is>
      </c>
      <c r="G1344" s="278" t="inlineStr">
        <is>
          <t>ES Garrovers Energía Solar S.L.U.</t>
        </is>
      </c>
      <c r="H1344" s="278">
        <f>VLOOKUP($G1344,DATOS!$B:$E,2,FALSE)</f>
        <v/>
      </c>
      <c r="I1344" s="278">
        <f>VLOOKUP($G1344,DATOS!$B:$E,3,FALSE)</f>
        <v/>
      </c>
      <c r="J1344" s="278">
        <f>VLOOKUP($G1344,DATOS!$B:$E,4,FALSE)</f>
        <v/>
      </c>
      <c r="K1344" s="278" t="inlineStr">
        <is>
          <t>Honorarios - Contrato O&amp;M 4º Trimestre</t>
        </is>
      </c>
      <c r="L1344" s="280" t="n">
        <v>21658.14637476112</v>
      </c>
      <c r="N1344" s="280" t="n"/>
      <c r="P1344" s="280" t="n"/>
      <c r="R1344" s="280" t="n"/>
      <c r="T1344" s="280" t="n"/>
      <c r="V1344" s="280" t="n"/>
      <c r="X1344" s="280" t="n"/>
      <c r="Z1344" s="280" t="n"/>
      <c r="AA1344" s="280" t="n"/>
      <c r="AB1344" s="281" t="inlineStr">
        <is>
          <t>ES11 0081 7069 2700 0122 7724</t>
        </is>
      </c>
      <c r="AC1344" s="278" t="inlineStr">
        <is>
          <t>pendiente</t>
        </is>
      </c>
      <c r="AD1344" s="280">
        <f>L1344+N1344+P1344+R1344+T1344+V1344+X1344+Z1344</f>
        <v/>
      </c>
      <c r="AE1344" s="280">
        <f>IF((LEFT(K1344,6))="Contab",L1344,0)</f>
        <v/>
      </c>
      <c r="AF1344" s="281">
        <f>VLOOKUP(G1344,CLIENTES!B:E,4,FALSE)</f>
        <v/>
      </c>
      <c r="AG1344" s="280">
        <f>AF1344*AE1344</f>
        <v/>
      </c>
      <c r="AH1344" s="280">
        <f>AD1344*1.21</f>
        <v/>
      </c>
      <c r="AI1344" s="282">
        <f>IF(AE1344&lt;&gt;0,AG1344/AD1344,"N/A")</f>
        <v/>
      </c>
      <c r="AJ1344" s="280">
        <f>IF(AC1344="pendiente",AD1344,0)</f>
        <v/>
      </c>
      <c r="AK1344" s="278">
        <f>VLOOKUP(G1344,CLIENTES!B:D,3,FALSE)</f>
        <v/>
      </c>
    </row>
    <row r="1345" ht="15" customFormat="1" customHeight="1" s="278">
      <c r="B1345" s="279" t="n"/>
      <c r="C1345" s="278" t="inlineStr">
        <is>
          <t>c/ Las Cruzadas 3A, local D</t>
        </is>
      </c>
      <c r="D1345" s="278" t="inlineStr">
        <is>
          <t>Sevilla 41004</t>
        </is>
      </c>
      <c r="E1345" s="278" t="inlineStr">
        <is>
          <t>CIF B91938662</t>
        </is>
      </c>
      <c r="F1345" s="278" t="inlineStr">
        <is>
          <t>aBalados@abalados.es</t>
        </is>
      </c>
      <c r="G1345" s="278" t="inlineStr">
        <is>
          <t>WOC Fotovoltaica España Proyecto Sollana S.L.U.</t>
        </is>
      </c>
      <c r="H1345" s="278">
        <f>VLOOKUP($G1345,DATOS!$B:$E,2,FALSE)</f>
        <v/>
      </c>
      <c r="I1345" s="278">
        <f>VLOOKUP($G1345,DATOS!$B:$E,3,FALSE)</f>
        <v/>
      </c>
      <c r="J1345" s="278">
        <f>VLOOKUP($G1345,DATOS!$B:$E,4,FALSE)</f>
        <v/>
      </c>
      <c r="K1345" s="278" t="inlineStr">
        <is>
          <t>Honorarios - Contrato O&amp;M 4º Trimestre</t>
        </is>
      </c>
      <c r="L1345" s="280" t="n">
        <v>11919.82344370187</v>
      </c>
      <c r="N1345" s="280" t="n"/>
      <c r="P1345" s="280" t="n"/>
      <c r="R1345" s="280" t="n"/>
      <c r="T1345" s="280" t="n"/>
      <c r="V1345" s="280" t="n"/>
      <c r="X1345" s="280" t="n"/>
      <c r="Z1345" s="280" t="n"/>
      <c r="AA1345" s="280" t="n"/>
      <c r="AB1345" s="281" t="inlineStr">
        <is>
          <t>ES11 0081 7069 2700 0122 7724</t>
        </is>
      </c>
      <c r="AC1345" s="278" t="inlineStr">
        <is>
          <t>pendiente</t>
        </is>
      </c>
      <c r="AD1345" s="280">
        <f>L1345+N1345+P1345+R1345+T1345+V1345+X1345+Z1345</f>
        <v/>
      </c>
      <c r="AE1345" s="280">
        <f>IF((LEFT(K1345,6))="Contab",L1345,0)</f>
        <v/>
      </c>
      <c r="AF1345" s="281">
        <f>VLOOKUP(G1345,CLIENTES!B:E,4,FALSE)</f>
        <v/>
      </c>
      <c r="AG1345" s="280">
        <f>AF1345*AE1345</f>
        <v/>
      </c>
      <c r="AH1345" s="280">
        <f>AD1345*1.21</f>
        <v/>
      </c>
      <c r="AI1345" s="282">
        <f>IF(AE1345&lt;&gt;0,AG1345/AD1345,"N/A")</f>
        <v/>
      </c>
      <c r="AJ1345" s="280">
        <f>IF(AC1345="pendiente",AD1345,0)</f>
        <v/>
      </c>
      <c r="AK1345" s="278">
        <f>VLOOKUP(G1345,CLIENTES!B:D,3,FALSE)</f>
        <v/>
      </c>
    </row>
    <row r="1346" ht="15" customFormat="1" customHeight="1" s="278">
      <c r="B1346" s="279" t="n"/>
      <c r="C1346" s="278" t="inlineStr">
        <is>
          <t>c/ Las Cruzadas 3A, local D</t>
        </is>
      </c>
      <c r="D1346" s="278" t="inlineStr">
        <is>
          <t>Sevilla 41004</t>
        </is>
      </c>
      <c r="E1346" s="278" t="inlineStr">
        <is>
          <t>CIF B91938662</t>
        </is>
      </c>
      <c r="F1346" s="278" t="inlineStr">
        <is>
          <t>aBalados@abalados.es</t>
        </is>
      </c>
      <c r="G1346" s="278" t="inlineStr">
        <is>
          <t>Inversión Cubiertas Solares S.L.U.</t>
        </is>
      </c>
      <c r="H1346" s="278">
        <f>VLOOKUP($G1346,DATOS!$B:$E,2,FALSE)</f>
        <v/>
      </c>
      <c r="I1346" s="278">
        <f>VLOOKUP($G1346,DATOS!$B:$E,3,FALSE)</f>
        <v/>
      </c>
      <c r="J1346" s="278">
        <f>VLOOKUP($G1346,DATOS!$B:$E,4,FALSE)</f>
        <v/>
      </c>
      <c r="K1346" s="278" t="inlineStr">
        <is>
          <t>Honorarios - Contrato O&amp;M 4º Trimestre</t>
        </is>
      </c>
      <c r="L1346" s="280" t="n">
        <v>1271.841835461094</v>
      </c>
      <c r="N1346" s="280" t="n"/>
      <c r="P1346" s="280" t="n"/>
      <c r="R1346" s="280" t="n"/>
      <c r="T1346" s="280" t="n"/>
      <c r="V1346" s="280" t="n"/>
      <c r="X1346" s="280" t="n"/>
      <c r="Z1346" s="280" t="n"/>
      <c r="AA1346" s="280" t="n"/>
      <c r="AB1346" s="281" t="inlineStr">
        <is>
          <t>ES11 0081 7069 2700 0122 7724</t>
        </is>
      </c>
      <c r="AC1346" s="278" t="inlineStr">
        <is>
          <t>pendiente</t>
        </is>
      </c>
      <c r="AD1346" s="280">
        <f>L1346+N1346+P1346+R1346+T1346+V1346+X1346+Z1346</f>
        <v/>
      </c>
      <c r="AE1346" s="280">
        <f>IF((LEFT(K1346,6))="Contab",L1346,0)</f>
        <v/>
      </c>
      <c r="AF1346" s="281">
        <f>VLOOKUP(G1346,CLIENTES!B:E,4,FALSE)</f>
        <v/>
      </c>
      <c r="AG1346" s="280">
        <f>AF1346*AE1346</f>
        <v/>
      </c>
      <c r="AH1346" s="280">
        <f>AD1346*1.21</f>
        <v/>
      </c>
      <c r="AI1346" s="282">
        <f>IF(AE1346&lt;&gt;0,AG1346/AD1346,"N/A")</f>
        <v/>
      </c>
      <c r="AJ1346" s="280">
        <f>IF(AC1346="pendiente",AD1346,0)</f>
        <v/>
      </c>
      <c r="AK1346" s="278">
        <f>VLOOKUP(G1346,CLIENTES!B:D,3,FALSE)</f>
        <v/>
      </c>
    </row>
    <row r="1347" ht="15" customFormat="1" customHeight="1" s="278">
      <c r="B1347" s="279" t="n"/>
      <c r="C1347" s="278" t="inlineStr">
        <is>
          <t>c/ Las Cruzadas 3A, local D</t>
        </is>
      </c>
      <c r="D1347" s="278" t="inlineStr">
        <is>
          <t>Sevilla 41004</t>
        </is>
      </c>
      <c r="E1347" s="278" t="inlineStr">
        <is>
          <t>CIF B91938662</t>
        </is>
      </c>
      <c r="F1347" s="278" t="inlineStr">
        <is>
          <t>aBalados@abalados.es</t>
        </is>
      </c>
      <c r="G1347" s="278" t="inlineStr">
        <is>
          <t>Lugec Inversión Solar S.L.U.</t>
        </is>
      </c>
      <c r="H1347" s="278">
        <f>VLOOKUP($G1347,DATOS!$B:$E,2,FALSE)</f>
        <v/>
      </c>
      <c r="I1347" s="278">
        <f>VLOOKUP($G1347,DATOS!$B:$E,3,FALSE)</f>
        <v/>
      </c>
      <c r="J1347" s="278">
        <f>VLOOKUP($G1347,DATOS!$B:$E,4,FALSE)</f>
        <v/>
      </c>
      <c r="K1347" s="278" t="inlineStr">
        <is>
          <t>Honorarios - Contrato O&amp;M 4º Trimestre</t>
        </is>
      </c>
      <c r="L1347" s="280" t="n">
        <v>3435.320686511403</v>
      </c>
      <c r="N1347" s="280" t="n"/>
      <c r="P1347" s="280" t="n"/>
      <c r="R1347" s="280" t="n"/>
      <c r="T1347" s="280" t="n"/>
      <c r="V1347" s="280" t="n"/>
      <c r="X1347" s="280" t="n"/>
      <c r="Z1347" s="280" t="n"/>
      <c r="AA1347" s="280" t="n"/>
      <c r="AB1347" s="281" t="inlineStr">
        <is>
          <t>ES11 0081 7069 2700 0122 7724</t>
        </is>
      </c>
      <c r="AC1347" s="278" t="inlineStr">
        <is>
          <t>pendiente</t>
        </is>
      </c>
      <c r="AD1347" s="280">
        <f>L1347+N1347+P1347+R1347+T1347+V1347+X1347+Z1347</f>
        <v/>
      </c>
      <c r="AE1347" s="280">
        <f>IF((LEFT(K1347,6))="Contab",L1347,0)</f>
        <v/>
      </c>
      <c r="AF1347" s="281">
        <f>VLOOKUP(G1347,CLIENTES!B:E,4,FALSE)</f>
        <v/>
      </c>
      <c r="AG1347" s="280">
        <f>AF1347*AE1347</f>
        <v/>
      </c>
      <c r="AH1347" s="280">
        <f>AD1347*1.21</f>
        <v/>
      </c>
      <c r="AI1347" s="282">
        <f>IF(AE1347&lt;&gt;0,AG1347/AD1347,"N/A")</f>
        <v/>
      </c>
      <c r="AJ1347" s="280">
        <f>IF(AC1347="pendiente",AD1347,0)</f>
        <v/>
      </c>
      <c r="AK1347" s="278">
        <f>VLOOKUP(G1347,CLIENTES!B:D,3,FALSE)</f>
        <v/>
      </c>
    </row>
    <row r="1348" ht="15" customFormat="1" customHeight="1" s="278">
      <c r="B1348" s="279" t="n"/>
      <c r="C1348" s="278" t="inlineStr">
        <is>
          <t>c/ Las Cruzadas 3A, local D</t>
        </is>
      </c>
      <c r="D1348" s="278" t="inlineStr">
        <is>
          <t>Sevilla 41004</t>
        </is>
      </c>
      <c r="E1348" s="278" t="inlineStr">
        <is>
          <t>CIF B91938662</t>
        </is>
      </c>
      <c r="F1348" s="278" t="inlineStr">
        <is>
          <t>aBalados@abalados.es</t>
        </is>
      </c>
      <c r="G1348" s="278" t="inlineStr">
        <is>
          <t>Solar Photo Collect S.L.U.</t>
        </is>
      </c>
      <c r="H1348" s="278">
        <f>VLOOKUP($G1348,DATOS!$B:$E,2,FALSE)</f>
        <v/>
      </c>
      <c r="I1348" s="278">
        <f>VLOOKUP($G1348,DATOS!$B:$E,3,FALSE)</f>
        <v/>
      </c>
      <c r="J1348" s="278">
        <f>VLOOKUP($G1348,DATOS!$B:$E,4,FALSE)</f>
        <v/>
      </c>
      <c r="K1348" s="278" t="inlineStr">
        <is>
          <t>Honorarios - Contrato O&amp;M 4º Trimestre</t>
        </is>
      </c>
      <c r="L1348" s="280" t="n">
        <v>13982.075780365</v>
      </c>
      <c r="M1348" s="278" t="inlineStr">
        <is>
          <t>Garantía 40% (dotada en 2017)</t>
        </is>
      </c>
      <c r="N1348" s="280" t="n"/>
      <c r="P1348" s="280" t="n"/>
      <c r="R1348" s="280" t="n"/>
      <c r="T1348" s="280" t="n"/>
      <c r="V1348" s="280" t="n"/>
      <c r="X1348" s="280" t="n"/>
      <c r="Z1348" s="280" t="n"/>
      <c r="AA1348" s="280" t="n"/>
      <c r="AB1348" s="281" t="inlineStr">
        <is>
          <t>ES11 0081 7069 2700 0122 7724</t>
        </is>
      </c>
      <c r="AC1348" s="278" t="inlineStr">
        <is>
          <t>pendiente</t>
        </is>
      </c>
      <c r="AD1348" s="280">
        <f>L1348+N1348+P1348+R1348+T1348+V1348+X1348+Z1348</f>
        <v/>
      </c>
      <c r="AE1348" s="280">
        <f>IF((LEFT(K1348,6))="Contab",L1348,0)</f>
        <v/>
      </c>
      <c r="AF1348" s="281">
        <f>VLOOKUP(G1348,CLIENTES!B:E,4,FALSE)</f>
        <v/>
      </c>
      <c r="AG1348" s="280">
        <f>AF1348*AE1348</f>
        <v/>
      </c>
      <c r="AH1348" s="280">
        <f>AD1348*1.21</f>
        <v/>
      </c>
      <c r="AI1348" s="282">
        <f>IF(AE1348&lt;&gt;0,AG1348/AD1348,"N/A")</f>
        <v/>
      </c>
      <c r="AJ1348" s="280">
        <f>IF(AC1348="pendiente",AD1348,0)</f>
        <v/>
      </c>
      <c r="AK1348" s="278">
        <f>VLOOKUP(G1348,CLIENTES!B:D,3,FALSE)</f>
        <v/>
      </c>
    </row>
    <row r="1349" ht="15" customFormat="1" customHeight="1" s="278">
      <c r="B1349" s="279" t="n"/>
      <c r="C1349" s="278" t="inlineStr">
        <is>
          <t>c/ Las Cruzadas 3A, local D</t>
        </is>
      </c>
      <c r="D1349" s="278" t="inlineStr">
        <is>
          <t>Sevilla 41004</t>
        </is>
      </c>
      <c r="E1349" s="278" t="inlineStr">
        <is>
          <t>CIF B91938662</t>
        </is>
      </c>
      <c r="F1349" s="278" t="inlineStr">
        <is>
          <t>aBalados@abalados.es</t>
        </is>
      </c>
      <c r="G1349" s="278" t="inlineStr">
        <is>
          <t>Solar Photo Corp S.L.U.</t>
        </is>
      </c>
      <c r="H1349" s="278">
        <f>VLOOKUP($G1349,DATOS!$B:$E,2,FALSE)</f>
        <v/>
      </c>
      <c r="I1349" s="278">
        <f>VLOOKUP($G1349,DATOS!$B:$E,3,FALSE)</f>
        <v/>
      </c>
      <c r="J1349" s="278">
        <f>VLOOKUP($G1349,DATOS!$B:$E,4,FALSE)</f>
        <v/>
      </c>
      <c r="K1349" s="278" t="inlineStr">
        <is>
          <t>Honorarios - Contrato O&amp;M 4º Trimestre</t>
        </is>
      </c>
      <c r="L1349" s="280" t="n">
        <v>6214.2269967175</v>
      </c>
      <c r="M1349" s="278" t="inlineStr">
        <is>
          <t>Garantía 40% (dotada en 2017)</t>
        </is>
      </c>
      <c r="N1349" s="280" t="n"/>
      <c r="P1349" s="280" t="n"/>
      <c r="R1349" s="280" t="n"/>
      <c r="T1349" s="280" t="n"/>
      <c r="V1349" s="280" t="n"/>
      <c r="X1349" s="280" t="n"/>
      <c r="Z1349" s="280" t="n"/>
      <c r="AA1349" s="280" t="n"/>
      <c r="AB1349" s="281" t="inlineStr">
        <is>
          <t>ES11 0081 7069 2700 0122 7724</t>
        </is>
      </c>
      <c r="AC1349" s="278" t="inlineStr">
        <is>
          <t>pendiente</t>
        </is>
      </c>
      <c r="AD1349" s="280">
        <f>L1349+N1349+P1349+R1349+T1349+V1349+X1349+Z1349</f>
        <v/>
      </c>
      <c r="AE1349" s="280">
        <f>IF((LEFT(K1349,6))="Contab",L1349,0)</f>
        <v/>
      </c>
      <c r="AF1349" s="281">
        <f>VLOOKUP(G1349,CLIENTES!B:E,4,FALSE)</f>
        <v/>
      </c>
      <c r="AG1349" s="280">
        <f>AF1349*AE1349</f>
        <v/>
      </c>
      <c r="AH1349" s="280">
        <f>AD1349*1.21</f>
        <v/>
      </c>
      <c r="AI1349" s="282">
        <f>IF(AE1349&lt;&gt;0,AG1349/AD1349,"N/A")</f>
        <v/>
      </c>
      <c r="AJ1349" s="280">
        <f>IF(AC1349="pendiente",AD1349,0)</f>
        <v/>
      </c>
      <c r="AK1349" s="278">
        <f>VLOOKUP(G1349,CLIENTES!B:D,3,FALSE)</f>
        <v/>
      </c>
    </row>
    <row r="1350" ht="15" customFormat="1" customHeight="1" s="278">
      <c r="B1350" s="279" t="n"/>
      <c r="C1350" s="278" t="inlineStr">
        <is>
          <t>c/ Las Cruzadas 3A, local D</t>
        </is>
      </c>
      <c r="D1350" s="278" t="inlineStr">
        <is>
          <t>Sevilla 41004</t>
        </is>
      </c>
      <c r="E1350" s="278" t="inlineStr">
        <is>
          <t>CIF B91938662</t>
        </is>
      </c>
      <c r="F1350" s="278" t="inlineStr">
        <is>
          <t>aBalados@abalados.es</t>
        </is>
      </c>
      <c r="G1350" s="278" t="inlineStr">
        <is>
          <t xml:space="preserve">Rasteding PV I, S.L.U. </t>
        </is>
      </c>
      <c r="H1350" s="278">
        <f>VLOOKUP($G1350,DATOS!$B:$E,2,FALSE)</f>
        <v/>
      </c>
      <c r="I1350" s="278">
        <f>VLOOKUP($G1350,DATOS!$B:$E,3,FALSE)</f>
        <v/>
      </c>
      <c r="J1350" s="278">
        <f>VLOOKUP($G1350,DATOS!$B:$E,4,FALSE)</f>
        <v/>
      </c>
      <c r="K1350" s="278" t="inlineStr">
        <is>
          <t>Honorarios - Contrato O&amp;M 4º Trimestre</t>
        </is>
      </c>
      <c r="L1350" s="280" t="n">
        <v>3208.007861658325</v>
      </c>
      <c r="M1350" s="278" t="inlineStr">
        <is>
          <t>Garantía 40% (dotada en 2017)</t>
        </is>
      </c>
      <c r="N1350" s="280" t="n"/>
      <c r="P1350" s="280" t="n"/>
      <c r="R1350" s="280" t="n"/>
      <c r="T1350" s="280" t="n"/>
      <c r="V1350" s="280" t="n"/>
      <c r="X1350" s="280" t="n"/>
      <c r="Z1350" s="280" t="n"/>
      <c r="AA1350" s="280" t="n"/>
      <c r="AB1350" s="281" t="inlineStr">
        <is>
          <t>ES11 0081 7069 2700 0122 7724</t>
        </is>
      </c>
      <c r="AC1350" s="278" t="inlineStr">
        <is>
          <t>pendiente</t>
        </is>
      </c>
      <c r="AD1350" s="280">
        <f>L1350+N1350+P1350+R1350+T1350+V1350+X1350+Z1350</f>
        <v/>
      </c>
      <c r="AE1350" s="280">
        <f>IF((LEFT(K1350,6))="Contab",L1350,0)</f>
        <v/>
      </c>
      <c r="AF1350" s="281">
        <f>VLOOKUP(G1350,CLIENTES!B:E,4,FALSE)</f>
        <v/>
      </c>
      <c r="AG1350" s="280">
        <f>AF1350*AE1350</f>
        <v/>
      </c>
      <c r="AH1350" s="280">
        <f>AD1350*1.21</f>
        <v/>
      </c>
      <c r="AI1350" s="282">
        <f>IF(AE1350&lt;&gt;0,AG1350/AD1350,"N/A")</f>
        <v/>
      </c>
      <c r="AJ1350" s="280">
        <f>IF(AC1350="pendiente",AD1350,0)</f>
        <v/>
      </c>
      <c r="AK1350" s="278">
        <f>VLOOKUP(G1350,CLIENTES!B:D,3,FALSE)</f>
        <v/>
      </c>
    </row>
    <row r="1351" ht="15" customFormat="1" customHeight="1" s="278">
      <c r="B1351" s="279" t="n"/>
      <c r="C1351" s="278" t="inlineStr">
        <is>
          <t>c/ Las Cruzadas 3A, local D</t>
        </is>
      </c>
      <c r="D1351" s="278" t="inlineStr">
        <is>
          <t>Sevilla 41004</t>
        </is>
      </c>
      <c r="E1351" s="278" t="inlineStr">
        <is>
          <t>CIF B91938662</t>
        </is>
      </c>
      <c r="F1351" s="278" t="inlineStr">
        <is>
          <t>aBalados@abalados.es</t>
        </is>
      </c>
      <c r="G1351" s="278" t="inlineStr">
        <is>
          <t>Tiksi PV II S.L.U.</t>
        </is>
      </c>
      <c r="H1351" s="278">
        <f>VLOOKUP($G1351,DATOS!$B:$E,2,FALSE)</f>
        <v/>
      </c>
      <c r="I1351" s="278">
        <f>VLOOKUP($G1351,DATOS!$B:$E,3,FALSE)</f>
        <v/>
      </c>
      <c r="J1351" s="278">
        <f>VLOOKUP($G1351,DATOS!$B:$E,4,FALSE)</f>
        <v/>
      </c>
      <c r="K1351" s="278" t="inlineStr">
        <is>
          <t>Honorarios - Contrato O&amp;M 4º Trimestre</t>
        </is>
      </c>
      <c r="L1351" s="280" t="n">
        <v>4354.92778185</v>
      </c>
      <c r="M1351" s="278" t="inlineStr">
        <is>
          <t>Garantía 40% (dotada en 2017)</t>
        </is>
      </c>
      <c r="N1351" s="280" t="n"/>
      <c r="P1351" s="280" t="n"/>
      <c r="R1351" s="280" t="n"/>
      <c r="T1351" s="280" t="n"/>
      <c r="V1351" s="280" t="n"/>
      <c r="X1351" s="280" t="n"/>
      <c r="Z1351" s="280" t="n"/>
      <c r="AA1351" s="280" t="n"/>
      <c r="AB1351" s="281" t="inlineStr">
        <is>
          <t>ES11 0081 7069 2700 0122 7724</t>
        </is>
      </c>
      <c r="AC1351" s="278" t="inlineStr">
        <is>
          <t>pendiente</t>
        </is>
      </c>
      <c r="AD1351" s="280">
        <f>L1351+N1351+P1351+R1351+T1351+V1351+X1351+Z1351</f>
        <v/>
      </c>
      <c r="AE1351" s="280">
        <f>IF((LEFT(K1351,6))="Contab",L1351,0)</f>
        <v/>
      </c>
      <c r="AF1351" s="281">
        <f>VLOOKUP(G1351,CLIENTES!B:E,4,FALSE)</f>
        <v/>
      </c>
      <c r="AG1351" s="280">
        <f>AF1351*AE1351</f>
        <v/>
      </c>
      <c r="AH1351" s="280">
        <f>AD1351*1.21</f>
        <v/>
      </c>
      <c r="AI1351" s="282">
        <f>IF(AE1351&lt;&gt;0,AG1351/AD1351,"N/A")</f>
        <v/>
      </c>
      <c r="AJ1351" s="280">
        <f>IF(AC1351="pendiente",AD1351,0)</f>
        <v/>
      </c>
      <c r="AK1351" s="278">
        <f>VLOOKUP(G1351,CLIENTES!B:D,3,FALSE)</f>
        <v/>
      </c>
    </row>
    <row r="1352" ht="15" customFormat="1" customHeight="1" s="278">
      <c r="B1352" s="279" t="n"/>
      <c r="C1352" s="278" t="inlineStr">
        <is>
          <t>c/ Las Cruzadas 3A, local D</t>
        </is>
      </c>
      <c r="D1352" s="278" t="inlineStr">
        <is>
          <t>Sevilla 41004</t>
        </is>
      </c>
      <c r="E1352" s="278" t="inlineStr">
        <is>
          <t>CIF B91938662</t>
        </is>
      </c>
      <c r="F1352" s="278" t="inlineStr">
        <is>
          <t>aBalados@abalados.es</t>
        </is>
      </c>
      <c r="G1352" s="278" t="inlineStr">
        <is>
          <t>Amberg V S.L.U.</t>
        </is>
      </c>
      <c r="H1352" s="278">
        <f>VLOOKUP($G1352,DATOS!$B:$E,2,FALSE)</f>
        <v/>
      </c>
      <c r="I1352" s="278">
        <f>VLOOKUP($G1352,DATOS!$B:$E,3,FALSE)</f>
        <v/>
      </c>
      <c r="J1352" s="278">
        <f>VLOOKUP($G1352,DATOS!$B:$E,4,FALSE)</f>
        <v/>
      </c>
      <c r="K1352" s="278" t="inlineStr">
        <is>
          <t>Honorarios - Contrato O&amp;M 4º Trimestre</t>
        </is>
      </c>
      <c r="L1352" s="280" t="n">
        <v>6147.472249476001</v>
      </c>
      <c r="M1352" s="278" t="inlineStr">
        <is>
          <t>Garantía 40% (dotada en 2017)</t>
        </is>
      </c>
      <c r="N1352" s="280" t="n"/>
      <c r="P1352" s="280" t="n"/>
      <c r="R1352" s="280" t="n"/>
      <c r="T1352" s="280" t="n"/>
      <c r="V1352" s="280" t="n"/>
      <c r="X1352" s="280" t="n"/>
      <c r="Z1352" s="280" t="n"/>
      <c r="AA1352" s="280" t="n"/>
      <c r="AB1352" s="281" t="inlineStr">
        <is>
          <t>ES11 0081 7069 2700 0122 7724</t>
        </is>
      </c>
      <c r="AC1352" s="278" t="inlineStr">
        <is>
          <t>pendiente</t>
        </is>
      </c>
      <c r="AD1352" s="280">
        <f>L1352+N1352+P1352+R1352+T1352+V1352+X1352+Z1352</f>
        <v/>
      </c>
      <c r="AE1352" s="280">
        <f>IF((LEFT(K1352,6))="Contab",L1352,0)</f>
        <v/>
      </c>
      <c r="AF1352" s="281">
        <f>VLOOKUP(G1352,CLIENTES!B:E,4,FALSE)</f>
        <v/>
      </c>
      <c r="AG1352" s="280">
        <f>AF1352*AE1352</f>
        <v/>
      </c>
      <c r="AH1352" s="280">
        <f>AD1352*1.21</f>
        <v/>
      </c>
      <c r="AI1352" s="282">
        <f>IF(AE1352&lt;&gt;0,AG1352/AD1352,"N/A")</f>
        <v/>
      </c>
      <c r="AJ1352" s="280">
        <f>IF(AC1352="pendiente",AD1352,0)</f>
        <v/>
      </c>
      <c r="AK1352" s="278">
        <f>VLOOKUP(G1352,CLIENTES!B:D,3,FALSE)</f>
        <v/>
      </c>
    </row>
    <row r="1353" ht="15" customFormat="1" customHeight="1" s="278">
      <c r="B1353" s="279" t="n"/>
      <c r="C1353" s="278" t="inlineStr">
        <is>
          <t>c/ Las Cruzadas 3A, local D</t>
        </is>
      </c>
      <c r="D1353" s="278" t="inlineStr">
        <is>
          <t>Sevilla 41004</t>
        </is>
      </c>
      <c r="E1353" s="278" t="inlineStr">
        <is>
          <t>CIF B91938662</t>
        </is>
      </c>
      <c r="F1353" s="278" t="inlineStr">
        <is>
          <t>aBalados@abalados.es</t>
        </is>
      </c>
      <c r="G1353" s="278" t="inlineStr">
        <is>
          <t>Amberg II S.L.U.</t>
        </is>
      </c>
      <c r="H1353" s="278">
        <f>VLOOKUP($G1353,DATOS!$B:$E,2,FALSE)</f>
        <v/>
      </c>
      <c r="I1353" s="278">
        <f>VLOOKUP($G1353,DATOS!$B:$E,3,FALSE)</f>
        <v/>
      </c>
      <c r="J1353" s="278">
        <f>VLOOKUP($G1353,DATOS!$B:$E,4,FALSE)</f>
        <v/>
      </c>
      <c r="K1353" s="278" t="inlineStr">
        <is>
          <t>Honorarios - Contrato O&amp;M 4º Trimestre</t>
        </is>
      </c>
      <c r="L1353" s="280" t="n">
        <v>3310.681657815</v>
      </c>
      <c r="M1353" s="278" t="inlineStr">
        <is>
          <t>Garantía 40% (dotada en 2017)</t>
        </is>
      </c>
      <c r="N1353" s="280" t="n"/>
      <c r="P1353" s="280" t="n"/>
      <c r="R1353" s="280" t="n"/>
      <c r="T1353" s="280" t="n"/>
      <c r="V1353" s="280" t="n"/>
      <c r="X1353" s="280" t="n"/>
      <c r="Z1353" s="280" t="n"/>
      <c r="AA1353" s="280" t="n"/>
      <c r="AB1353" s="281" t="inlineStr">
        <is>
          <t>ES11 0081 7069 2700 0122 7724</t>
        </is>
      </c>
      <c r="AC1353" s="278" t="inlineStr">
        <is>
          <t>pendiente</t>
        </is>
      </c>
      <c r="AD1353" s="280">
        <f>L1353+N1353+P1353+R1353+T1353+V1353+X1353+Z1353</f>
        <v/>
      </c>
      <c r="AE1353" s="280">
        <f>IF((LEFT(K1353,6))="Contab",L1353,0)</f>
        <v/>
      </c>
      <c r="AF1353" s="281">
        <f>VLOOKUP(G1353,CLIENTES!B:E,4,FALSE)</f>
        <v/>
      </c>
      <c r="AG1353" s="280">
        <f>AF1353*AE1353</f>
        <v/>
      </c>
      <c r="AH1353" s="280">
        <f>AD1353*1.21</f>
        <v/>
      </c>
      <c r="AI1353" s="282">
        <f>IF(AE1353&lt;&gt;0,AG1353/AD1353,"N/A")</f>
        <v/>
      </c>
      <c r="AJ1353" s="280">
        <f>IF(AC1353="pendiente",AD1353,0)</f>
        <v/>
      </c>
      <c r="AK1353" s="278">
        <f>VLOOKUP(G1353,CLIENTES!B:D,3,FALSE)</f>
        <v/>
      </c>
    </row>
    <row r="1354" ht="15" customFormat="1" customHeight="1" s="278">
      <c r="B1354" s="279" t="n"/>
      <c r="C1354" s="278" t="inlineStr">
        <is>
          <t>c/ Las Cruzadas 3A, local D</t>
        </is>
      </c>
      <c r="D1354" s="278" t="inlineStr">
        <is>
          <t>Sevilla 41004</t>
        </is>
      </c>
      <c r="E1354" s="278" t="inlineStr">
        <is>
          <t>CIF B91938662</t>
        </is>
      </c>
      <c r="F1354" s="278" t="inlineStr">
        <is>
          <t>aBalados@abalados.es</t>
        </is>
      </c>
      <c r="G1354" s="278" t="inlineStr">
        <is>
          <t>Agrupación Solar el Algarrobo I, S.L.U.</t>
        </is>
      </c>
      <c r="H1354" s="278">
        <f>VLOOKUP($G1354,DATOS!$B:$E,2,FALSE)</f>
        <v/>
      </c>
      <c r="I1354" s="278">
        <f>VLOOKUP($G1354,DATOS!$B:$E,3,FALSE)</f>
        <v/>
      </c>
      <c r="J1354" s="278">
        <f>VLOOKUP($G1354,DATOS!$B:$E,4,FALSE)</f>
        <v/>
      </c>
      <c r="K1354" s="278" t="inlineStr">
        <is>
          <t>Honorarios - Contrato O&amp;M 4º Trimestre</t>
        </is>
      </c>
      <c r="L1354" s="280" t="n">
        <v>9789.449935790179</v>
      </c>
      <c r="M1354" s="278" t="inlineStr">
        <is>
          <t>Garantía 30% (dotada en 2017)</t>
        </is>
      </c>
      <c r="N1354" s="280" t="n"/>
      <c r="P1354" s="280" t="n"/>
      <c r="R1354" s="280" t="n"/>
      <c r="T1354" s="280" t="n"/>
      <c r="V1354" s="280" t="n"/>
      <c r="X1354" s="280" t="n"/>
      <c r="Z1354" s="280" t="n"/>
      <c r="AA1354" s="280" t="n"/>
      <c r="AB1354" s="281" t="inlineStr">
        <is>
          <t>ES11 0081 7069 2700 0122 7724</t>
        </is>
      </c>
      <c r="AC1354" s="278" t="inlineStr">
        <is>
          <t>pendiente</t>
        </is>
      </c>
      <c r="AD1354" s="280">
        <f>L1354+N1354+P1354+R1354+T1354+V1354+X1354+Z1354</f>
        <v/>
      </c>
      <c r="AE1354" s="280">
        <f>IF((LEFT(K1354,6))="Contab",L1354,0)</f>
        <v/>
      </c>
      <c r="AF1354" s="281">
        <f>VLOOKUP(G1354,CLIENTES!B:E,4,FALSE)</f>
        <v/>
      </c>
      <c r="AG1354" s="280">
        <f>AF1354*AE1354</f>
        <v/>
      </c>
      <c r="AH1354" s="280">
        <f>AD1354*1.21</f>
        <v/>
      </c>
      <c r="AI1354" s="282">
        <f>IF(AE1354&lt;&gt;0,AG1354/AD1354,"N/A")</f>
        <v/>
      </c>
      <c r="AJ1354" s="280">
        <f>IF(AC1354="pendiente",AD1354,0)</f>
        <v/>
      </c>
      <c r="AK1354" s="278">
        <f>VLOOKUP(G1354,CLIENTES!B:D,3,FALSE)</f>
        <v/>
      </c>
    </row>
    <row r="1355" ht="15" customFormat="1" customHeight="1" s="278">
      <c r="B1355" s="279" t="n"/>
      <c r="C1355" s="278" t="inlineStr">
        <is>
          <t>c/ Las Cruzadas 3A, local D</t>
        </is>
      </c>
      <c r="D1355" s="278" t="inlineStr">
        <is>
          <t>Sevilla 41004</t>
        </is>
      </c>
      <c r="E1355" s="278" t="inlineStr">
        <is>
          <t>CIF B91938662</t>
        </is>
      </c>
      <c r="F1355" s="278" t="inlineStr">
        <is>
          <t>aBalados@abalados.es</t>
        </is>
      </c>
      <c r="G1355" s="278" t="inlineStr">
        <is>
          <t>Agrupación Solar el Algarrobo II, S.L.U.</t>
        </is>
      </c>
      <c r="H1355" s="278">
        <f>VLOOKUP($G1355,DATOS!$B:$E,2,FALSE)</f>
        <v/>
      </c>
      <c r="I1355" s="278">
        <f>VLOOKUP($G1355,DATOS!$B:$E,3,FALSE)</f>
        <v/>
      </c>
      <c r="J1355" s="278">
        <f>VLOOKUP($G1355,DATOS!$B:$E,4,FALSE)</f>
        <v/>
      </c>
      <c r="K1355" s="278" t="inlineStr">
        <is>
          <t>Honorarios - Contrato O&amp;M 4º Trimestre</t>
        </is>
      </c>
      <c r="L1355" s="280" t="n">
        <v>9789.449935790179</v>
      </c>
      <c r="M1355" s="278" t="inlineStr">
        <is>
          <t>Garantía 30% (dotada en 2017)</t>
        </is>
      </c>
      <c r="N1355" s="280" t="n"/>
      <c r="P1355" s="280" t="n"/>
      <c r="R1355" s="280" t="n"/>
      <c r="T1355" s="280" t="n"/>
      <c r="V1355" s="280" t="n"/>
      <c r="X1355" s="280" t="n"/>
      <c r="Z1355" s="280" t="n"/>
      <c r="AA1355" s="280" t="n"/>
      <c r="AB1355" s="281" t="inlineStr">
        <is>
          <t>ES11 0081 7069 2700 0122 7724</t>
        </is>
      </c>
      <c r="AC1355" s="278" t="inlineStr">
        <is>
          <t>pendiente</t>
        </is>
      </c>
      <c r="AD1355" s="280">
        <f>L1355+N1355+P1355+R1355+T1355+V1355+X1355+Z1355</f>
        <v/>
      </c>
      <c r="AE1355" s="280">
        <f>IF((LEFT(K1355,6))="Contab",L1355,0)</f>
        <v/>
      </c>
      <c r="AF1355" s="281">
        <f>VLOOKUP(G1355,CLIENTES!B:E,4,FALSE)</f>
        <v/>
      </c>
      <c r="AG1355" s="280">
        <f>AF1355*AE1355</f>
        <v/>
      </c>
      <c r="AH1355" s="280">
        <f>AD1355*1.21</f>
        <v/>
      </c>
      <c r="AI1355" s="282">
        <f>IF(AE1355&lt;&gt;0,AG1355/AD1355,"N/A")</f>
        <v/>
      </c>
      <c r="AJ1355" s="280">
        <f>IF(AC1355="pendiente",AD1355,0)</f>
        <v/>
      </c>
      <c r="AK1355" s="278">
        <f>VLOOKUP(G1355,CLIENTES!B:D,3,FALSE)</f>
        <v/>
      </c>
    </row>
    <row r="1356" ht="15" customFormat="1" customHeight="1" s="278">
      <c r="B1356" s="279" t="n"/>
      <c r="C1356" s="278" t="inlineStr">
        <is>
          <t>c/ Las Cruzadas 3A, local D</t>
        </is>
      </c>
      <c r="D1356" s="278" t="inlineStr">
        <is>
          <t>Sevilla 41004</t>
        </is>
      </c>
      <c r="E1356" s="278" t="inlineStr">
        <is>
          <t>CIF B91938662</t>
        </is>
      </c>
      <c r="F1356" s="278" t="inlineStr">
        <is>
          <t>aBalados@abalados.es</t>
        </is>
      </c>
      <c r="G1356" s="278" t="inlineStr">
        <is>
          <t>Agrupación Solar el Algarrobo III, S.L.U.</t>
        </is>
      </c>
      <c r="H1356" s="278">
        <f>VLOOKUP($G1356,DATOS!$B:$E,2,FALSE)</f>
        <v/>
      </c>
      <c r="I1356" s="278">
        <f>VLOOKUP($G1356,DATOS!$B:$E,3,FALSE)</f>
        <v/>
      </c>
      <c r="J1356" s="278">
        <f>VLOOKUP($G1356,DATOS!$B:$E,4,FALSE)</f>
        <v/>
      </c>
      <c r="K1356" s="278" t="inlineStr">
        <is>
          <t>Honorarios - Contrato O&amp;M 4º Trimestre</t>
        </is>
      </c>
      <c r="L1356" s="280" t="n">
        <v>8857.121370476829</v>
      </c>
      <c r="M1356" s="278" t="inlineStr">
        <is>
          <t>Garantía 30% (dotada en 2017)</t>
        </is>
      </c>
      <c r="N1356" s="280" t="n"/>
      <c r="P1356" s="280" t="n"/>
      <c r="R1356" s="280" t="n"/>
      <c r="T1356" s="280" t="n"/>
      <c r="V1356" s="280" t="n"/>
      <c r="X1356" s="280" t="n"/>
      <c r="Z1356" s="280" t="n"/>
      <c r="AA1356" s="280" t="n"/>
      <c r="AB1356" s="281" t="inlineStr">
        <is>
          <t>ES11 0081 7069 2700 0122 7724</t>
        </is>
      </c>
      <c r="AC1356" s="278" t="inlineStr">
        <is>
          <t>pendiente</t>
        </is>
      </c>
      <c r="AD1356" s="280">
        <f>L1356+N1356+P1356+R1356+T1356+V1356+X1356+Z1356</f>
        <v/>
      </c>
      <c r="AE1356" s="280">
        <f>IF((LEFT(K1356,6))="Contab",L1356,0)</f>
        <v/>
      </c>
      <c r="AF1356" s="281">
        <f>VLOOKUP(G1356,CLIENTES!B:E,4,FALSE)</f>
        <v/>
      </c>
      <c r="AG1356" s="280">
        <f>AF1356*AE1356</f>
        <v/>
      </c>
      <c r="AH1356" s="280">
        <f>AD1356*1.21</f>
        <v/>
      </c>
      <c r="AI1356" s="282">
        <f>IF(AE1356&lt;&gt;0,AG1356/AD1356,"N/A")</f>
        <v/>
      </c>
      <c r="AJ1356" s="280">
        <f>IF(AC1356="pendiente",AD1356,0)</f>
        <v/>
      </c>
      <c r="AK1356" s="278">
        <f>VLOOKUP(G1356,CLIENTES!B:D,3,FALSE)</f>
        <v/>
      </c>
    </row>
    <row r="1357" ht="15" customFormat="1" customHeight="1" s="278">
      <c r="B1357" s="279" t="n"/>
      <c r="C1357" s="278" t="inlineStr">
        <is>
          <t>c/ Las Cruzadas 3A, local D</t>
        </is>
      </c>
      <c r="D1357" s="278" t="inlineStr">
        <is>
          <t>Sevilla 41004</t>
        </is>
      </c>
      <c r="E1357" s="278" t="inlineStr">
        <is>
          <t>CIF B91938662</t>
        </is>
      </c>
      <c r="F1357" s="278" t="inlineStr">
        <is>
          <t>aBalados@abalados.es</t>
        </is>
      </c>
      <c r="G1357" s="278" t="inlineStr">
        <is>
          <t>Locaba Solar S.L.U.</t>
        </is>
      </c>
      <c r="H1357" s="278">
        <f>VLOOKUP($G1357,DATOS!$B:$E,2,FALSE)</f>
        <v/>
      </c>
      <c r="I1357" s="278">
        <f>VLOOKUP($G1357,DATOS!$B:$E,3,FALSE)</f>
        <v/>
      </c>
      <c r="J1357" s="278">
        <f>VLOOKUP($G1357,DATOS!$B:$E,4,FALSE)</f>
        <v/>
      </c>
      <c r="K1357" s="278" t="inlineStr">
        <is>
          <t>Honorarios - Contrato O&amp;M 4º Trimestre</t>
        </is>
      </c>
      <c r="L1357" s="280" t="n">
        <v>19469.92640290737</v>
      </c>
      <c r="M1357" s="278" t="inlineStr">
        <is>
          <t>Garantía 30% (dotada en 2017)</t>
        </is>
      </c>
      <c r="N1357" s="280" t="n"/>
      <c r="P1357" s="280" t="n"/>
      <c r="R1357" s="280" t="n"/>
      <c r="T1357" s="280" t="n"/>
      <c r="V1357" s="280" t="n"/>
      <c r="X1357" s="280" t="n"/>
      <c r="Z1357" s="280" t="n"/>
      <c r="AA1357" s="280" t="n"/>
      <c r="AB1357" s="281" t="inlineStr">
        <is>
          <t>ES11 0081 7069 2700 0122 7724</t>
        </is>
      </c>
      <c r="AC1357" s="278" t="inlineStr">
        <is>
          <t>pendiente</t>
        </is>
      </c>
      <c r="AD1357" s="280">
        <f>L1357+N1357+P1357+R1357+T1357+V1357+X1357+Z1357</f>
        <v/>
      </c>
      <c r="AE1357" s="280">
        <f>IF((LEFT(K1357,6))="Contab",L1357,0)</f>
        <v/>
      </c>
      <c r="AF1357" s="281">
        <f>VLOOKUP(G1357,CLIENTES!B:E,4,FALSE)</f>
        <v/>
      </c>
      <c r="AG1357" s="280">
        <f>AF1357*AE1357</f>
        <v/>
      </c>
      <c r="AH1357" s="280">
        <f>AD1357*1.21</f>
        <v/>
      </c>
      <c r="AI1357" s="282">
        <f>IF(AE1357&lt;&gt;0,AG1357/AD1357,"N/A")</f>
        <v/>
      </c>
      <c r="AJ1357" s="280">
        <f>IF(AC1357="pendiente",AD1357,0)</f>
        <v/>
      </c>
      <c r="AK1357" s="278">
        <f>VLOOKUP(G1357,CLIENTES!B:D,3,FALSE)</f>
        <v/>
      </c>
    </row>
    <row r="1358" ht="15" customFormat="1" customHeight="1" s="278">
      <c r="B1358" s="279" t="n"/>
      <c r="C1358" s="278" t="inlineStr">
        <is>
          <t>c/ Las Cruzadas 3A, local D</t>
        </is>
      </c>
      <c r="D1358" s="278" t="inlineStr">
        <is>
          <t>Sevilla 41004</t>
        </is>
      </c>
      <c r="E1358" s="278" t="inlineStr">
        <is>
          <t>CIF B91938662</t>
        </is>
      </c>
      <c r="F1358" s="278" t="inlineStr">
        <is>
          <t>aBalados@abalados.es</t>
        </is>
      </c>
      <c r="G1358" s="278" t="inlineStr">
        <is>
          <t>Lo Illán  Parque Solar S.L.U.</t>
        </is>
      </c>
      <c r="H1358" s="278">
        <f>VLOOKUP($G1358,DATOS!$B:$E,2,FALSE)</f>
        <v/>
      </c>
      <c r="I1358" s="278">
        <f>VLOOKUP($G1358,DATOS!$B:$E,3,FALSE)</f>
        <v/>
      </c>
      <c r="J1358" s="278">
        <f>VLOOKUP($G1358,DATOS!$B:$E,4,FALSE)</f>
        <v/>
      </c>
      <c r="K1358" s="278" t="inlineStr">
        <is>
          <t>Honorarios - Contrato O&amp;M 4º Trimestre</t>
        </is>
      </c>
      <c r="L1358" s="280" t="n">
        <v>9644.033265199501</v>
      </c>
      <c r="N1358" s="280" t="n"/>
      <c r="P1358" s="280" t="n"/>
      <c r="R1358" s="280" t="n"/>
      <c r="T1358" s="280" t="n"/>
      <c r="V1358" s="280" t="n"/>
      <c r="X1358" s="280" t="n"/>
      <c r="Z1358" s="280" t="n"/>
      <c r="AA1358" s="280" t="n"/>
      <c r="AB1358" s="281" t="inlineStr">
        <is>
          <t>ES11 0081 7069 2700 0122 7724</t>
        </is>
      </c>
      <c r="AC1358" s="278" t="inlineStr">
        <is>
          <t>pendiente</t>
        </is>
      </c>
      <c r="AD1358" s="280">
        <f>L1358+N1358+P1358+R1358+T1358+V1358+X1358+Z1358</f>
        <v/>
      </c>
      <c r="AE1358" s="280">
        <f>IF((LEFT(K1358,6))="Contab",L1358,0)</f>
        <v/>
      </c>
      <c r="AF1358" s="281">
        <f>VLOOKUP(G1358,CLIENTES!B:E,4,FALSE)</f>
        <v/>
      </c>
      <c r="AG1358" s="280">
        <f>AF1358*AE1358</f>
        <v/>
      </c>
      <c r="AH1358" s="280">
        <f>AD1358*1.21</f>
        <v/>
      </c>
      <c r="AI1358" s="282">
        <f>IF(AE1358&lt;&gt;0,AG1358/AD1358,"N/A")</f>
        <v/>
      </c>
      <c r="AJ1358" s="280">
        <f>IF(AC1358="pendiente",AD1358,0)</f>
        <v/>
      </c>
      <c r="AK1358" s="278">
        <f>VLOOKUP(G1358,CLIENTES!B:D,3,FALSE)</f>
        <v/>
      </c>
    </row>
    <row r="1359" ht="15" customFormat="1" customHeight="1" s="278">
      <c r="B1359" s="279" t="n"/>
      <c r="C1359" s="278" t="inlineStr">
        <is>
          <t>c/ Las Cruzadas 3A, local D</t>
        </is>
      </c>
      <c r="D1359" s="278" t="inlineStr">
        <is>
          <t>Sevilla 41004</t>
        </is>
      </c>
      <c r="E1359" s="278" t="inlineStr">
        <is>
          <t>CIF B91938662</t>
        </is>
      </c>
      <c r="F1359" s="278" t="inlineStr">
        <is>
          <t>aBalados@abalados.es</t>
        </is>
      </c>
      <c r="G1359" s="278" t="inlineStr">
        <is>
          <t>Contreras Parque Solar S.L.U.</t>
        </is>
      </c>
      <c r="H1359" s="278">
        <f>VLOOKUP($G1359,DATOS!$B:$E,2,FALSE)</f>
        <v/>
      </c>
      <c r="I1359" s="278">
        <f>VLOOKUP($G1359,DATOS!$B:$E,3,FALSE)</f>
        <v/>
      </c>
      <c r="J1359" s="278">
        <f>VLOOKUP($G1359,DATOS!$B:$E,4,FALSE)</f>
        <v/>
      </c>
      <c r="K1359" s="278" t="inlineStr">
        <is>
          <t>Honorarios - Contrato O&amp;M 4º Trimestre</t>
        </is>
      </c>
      <c r="L1359" s="280" t="n">
        <v>14694.70898497972</v>
      </c>
      <c r="N1359" s="280" t="n"/>
      <c r="P1359" s="280" t="n"/>
      <c r="R1359" s="280" t="n"/>
      <c r="T1359" s="280" t="n"/>
      <c r="V1359" s="280" t="n"/>
      <c r="X1359" s="280" t="n"/>
      <c r="Z1359" s="280" t="n"/>
      <c r="AA1359" s="280" t="n"/>
      <c r="AB1359" s="281" t="inlineStr">
        <is>
          <t>ES11 0081 7069 2700 0122 7724</t>
        </is>
      </c>
      <c r="AC1359" s="278" t="inlineStr">
        <is>
          <t>pendiente</t>
        </is>
      </c>
      <c r="AD1359" s="280">
        <f>L1359+N1359+P1359+R1359+T1359+V1359+X1359+Z1359</f>
        <v/>
      </c>
      <c r="AE1359" s="280">
        <f>IF((LEFT(K1359,6))="Contab",L1359,0)</f>
        <v/>
      </c>
      <c r="AF1359" s="281">
        <f>VLOOKUP(G1359,CLIENTES!B:E,4,FALSE)</f>
        <v/>
      </c>
      <c r="AG1359" s="280">
        <f>AF1359*AE1359</f>
        <v/>
      </c>
      <c r="AH1359" s="280">
        <f>AD1359*1.21</f>
        <v/>
      </c>
      <c r="AI1359" s="282">
        <f>IF(AE1359&lt;&gt;0,AG1359/AD1359,"N/A")</f>
        <v/>
      </c>
      <c r="AJ1359" s="280">
        <f>IF(AC1359="pendiente",AD1359,0)</f>
        <v/>
      </c>
      <c r="AK1359" s="278">
        <f>VLOOKUP(G1359,CLIENTES!B:D,3,FALSE)</f>
        <v/>
      </c>
    </row>
    <row r="1360" ht="15" customFormat="1" customHeight="1" s="278">
      <c r="B1360" s="279" t="n"/>
      <c r="C1360" s="278" t="inlineStr">
        <is>
          <t>c/ Las Cruzadas 3A, local D</t>
        </is>
      </c>
      <c r="D1360" s="278" t="inlineStr">
        <is>
          <t>Sevilla 41004</t>
        </is>
      </c>
      <c r="E1360" s="278" t="inlineStr">
        <is>
          <t>CIF B91938662</t>
        </is>
      </c>
      <c r="F1360" s="278" t="inlineStr">
        <is>
          <t>aBalados@abalados.es</t>
        </is>
      </c>
      <c r="G1360" s="278" t="inlineStr">
        <is>
          <t>Turbinto Parque Solar S.L.U.</t>
        </is>
      </c>
      <c r="H1360" s="278">
        <f>VLOOKUP($G1360,DATOS!$B:$E,2,FALSE)</f>
        <v/>
      </c>
      <c r="I1360" s="278">
        <f>VLOOKUP($G1360,DATOS!$B:$E,3,FALSE)</f>
        <v/>
      </c>
      <c r="J1360" s="278">
        <f>VLOOKUP($G1360,DATOS!$B:$E,4,FALSE)</f>
        <v/>
      </c>
      <c r="K1360" s="278" t="inlineStr">
        <is>
          <t>Honorarios - Contrato O&amp;M 4º Trimestre</t>
        </is>
      </c>
      <c r="L1360" s="280" t="n">
        <v>10470.40048100242</v>
      </c>
      <c r="N1360" s="280" t="n"/>
      <c r="P1360" s="280" t="n"/>
      <c r="R1360" s="280" t="n"/>
      <c r="T1360" s="280" t="n"/>
      <c r="V1360" s="280" t="n"/>
      <c r="X1360" s="280" t="n"/>
      <c r="Z1360" s="280" t="n"/>
      <c r="AA1360" s="280" t="n"/>
      <c r="AB1360" s="281" t="inlineStr">
        <is>
          <t>ES11 0081 7069 2700 0122 7724</t>
        </is>
      </c>
      <c r="AC1360" s="278" t="inlineStr">
        <is>
          <t>pendiente</t>
        </is>
      </c>
      <c r="AD1360" s="280">
        <f>L1360+N1360+P1360+R1360+T1360+V1360+X1360+Z1360</f>
        <v/>
      </c>
      <c r="AE1360" s="280">
        <f>IF((LEFT(K1360,6))="Contab",L1360,0)</f>
        <v/>
      </c>
      <c r="AF1360" s="281">
        <f>VLOOKUP(G1360,CLIENTES!B:E,4,FALSE)</f>
        <v/>
      </c>
      <c r="AG1360" s="280">
        <f>AF1360*AE1360</f>
        <v/>
      </c>
      <c r="AH1360" s="280">
        <f>AD1360*1.21</f>
        <v/>
      </c>
      <c r="AI1360" s="282">
        <f>IF(AE1360&lt;&gt;0,AG1360/AD1360,"N/A")</f>
        <v/>
      </c>
      <c r="AJ1360" s="280">
        <f>IF(AC1360="pendiente",AD1360,0)</f>
        <v/>
      </c>
      <c r="AK1360" s="278">
        <f>VLOOKUP(G1360,CLIENTES!B:D,3,FALSE)</f>
        <v/>
      </c>
    </row>
    <row r="1361" ht="15" customFormat="1" customHeight="1" s="195">
      <c r="B1361" s="194" t="n"/>
      <c r="C1361" s="195" t="inlineStr">
        <is>
          <t>c/ Las Cruzadas 3A, local D</t>
        </is>
      </c>
      <c r="D1361" s="195" t="inlineStr">
        <is>
          <t>Sevilla 41004</t>
        </is>
      </c>
      <c r="E1361" s="195" t="inlineStr">
        <is>
          <t>CIF B91938662</t>
        </is>
      </c>
      <c r="F1361" s="195" t="inlineStr">
        <is>
          <t>aBalados@abalados.es</t>
        </is>
      </c>
      <c r="G1361" s="195" t="inlineStr">
        <is>
          <t>FP LUX REIO PV ZARAGOZA SL.</t>
        </is>
      </c>
      <c r="H1361" s="195">
        <f>VLOOKUP($G1361,DATOS!$B:$E,2,FALSE)</f>
        <v/>
      </c>
      <c r="I1361" s="195">
        <f>VLOOKUP($G1361,DATOS!$B:$E,3,FALSE)</f>
        <v/>
      </c>
      <c r="J1361" s="195">
        <f>VLOOKUP($G1361,DATOS!$B:$E,4,FALSE)</f>
        <v/>
      </c>
      <c r="K1361" s="195" t="inlineStr">
        <is>
          <t>Proyecto El Marqués - Zaragoza</t>
        </is>
      </c>
      <c r="L1361" s="196" t="n"/>
      <c r="M1361" s="195" t="inlineStr">
        <is>
          <t>Asset Management fee - 4th quarter 2022</t>
        </is>
      </c>
      <c r="N1361" s="196">
        <f>'Tarifa 2025'!$D$25/4</f>
        <v/>
      </c>
      <c r="O1361" s="195" t="inlineStr">
        <is>
          <t>Honorarios de gestión de activo - 4º trimestre</t>
        </is>
      </c>
      <c r="P1361" s="196" t="n"/>
      <c r="Q1361" s="195" t="inlineStr">
        <is>
          <t>Penalización pòr IVA</t>
        </is>
      </c>
      <c r="R1361" s="196" t="n">
        <v>-12.52</v>
      </c>
      <c r="T1361" s="196" t="n"/>
      <c r="V1361" s="196" t="n"/>
      <c r="X1361" s="196" t="n"/>
      <c r="Z1361" s="196" t="n"/>
      <c r="AA1361" s="196" t="n"/>
      <c r="AB1361" s="197" t="inlineStr">
        <is>
          <t>ES11 0081 7069 2700 0122 7724</t>
        </is>
      </c>
      <c r="AC1361" s="195" t="inlineStr">
        <is>
          <t>pendiente</t>
        </is>
      </c>
      <c r="AD1361" s="196">
        <f>L1361+N1361+P1361+R1361+T1361+V1361+X1361+Z1361</f>
        <v/>
      </c>
      <c r="AE1361" s="196">
        <f>IF((LEFT(K1361,6))="Contab",L1361,0)</f>
        <v/>
      </c>
      <c r="AF1361" s="197">
        <f>VLOOKUP(G1361,CLIENTES!B:E,4,FALSE)</f>
        <v/>
      </c>
      <c r="AG1361" s="196">
        <f>AF1361*AE1361</f>
        <v/>
      </c>
      <c r="AH1361" s="196">
        <f>AD1361*1.21</f>
        <v/>
      </c>
      <c r="AI1361" s="198">
        <f>IF(AE1361&lt;&gt;0,AG1361/AD1361,"N/A")</f>
        <v/>
      </c>
      <c r="AJ1361" s="196">
        <f>IF(AC1361="pendiente",AD1361,0)</f>
        <v/>
      </c>
      <c r="AK1361" s="195">
        <f>VLOOKUP(G1361,CLIENTES!B:D,3,FALSE)</f>
        <v/>
      </c>
    </row>
    <row r="1362" ht="15" customFormat="1" customHeight="1" s="278">
      <c r="B1362" s="279" t="n"/>
      <c r="C1362" s="278" t="inlineStr">
        <is>
          <t>c/ Las Cruzadas 3A, local D</t>
        </is>
      </c>
      <c r="D1362" s="278" t="inlineStr">
        <is>
          <t>Sevilla 41004</t>
        </is>
      </c>
      <c r="E1362" s="278" t="inlineStr">
        <is>
          <t>CIF B91938662</t>
        </is>
      </c>
      <c r="F1362" s="278" t="inlineStr">
        <is>
          <t>aBalados@abalados.es</t>
        </is>
      </c>
      <c r="G1362" s="278" t="inlineStr">
        <is>
          <t>Inver Generación 1, S.L.</t>
        </is>
      </c>
      <c r="H1362" s="278">
        <f>VLOOKUP($G1362,DATOS!$B:$E,2,FALSE)</f>
        <v/>
      </c>
      <c r="I1362" s="278">
        <f>VLOOKUP($G1362,DATOS!$B:$E,3,FALSE)</f>
        <v/>
      </c>
      <c r="J1362" s="278">
        <f>VLOOKUP($G1362,DATOS!$B:$E,4,FALSE)</f>
        <v/>
      </c>
      <c r="K1362" s="278" t="inlineStr">
        <is>
          <t>Asset Management 4Q2022 | 01.10 - 31.12</t>
        </is>
      </c>
      <c r="L1362" s="280">
        <f>'Tarifa 2025'!$D$29/4</f>
        <v/>
      </c>
      <c r="M1362" s="278" t="inlineStr">
        <is>
          <t>Gestión de Activos 4T2022 | 01.10 - 31.12</t>
        </is>
      </c>
      <c r="N1362" s="280" t="n"/>
      <c r="P1362" s="280" t="n"/>
      <c r="R1362" s="280" t="n"/>
      <c r="T1362" s="280" t="n"/>
      <c r="V1362" s="280" t="n"/>
      <c r="X1362" s="280" t="n"/>
      <c r="Z1362" s="280" t="n"/>
      <c r="AA1362" s="280" t="n"/>
      <c r="AB1362" s="281" t="inlineStr">
        <is>
          <t>ES11 0081 7069 2700 0122 7724</t>
        </is>
      </c>
      <c r="AC1362" s="278" t="inlineStr">
        <is>
          <t>pendiente</t>
        </is>
      </c>
      <c r="AD1362" s="280">
        <f>L1362+N1362+P1362+R1362+T1362+V1362+X1362+Z1362</f>
        <v/>
      </c>
      <c r="AE1362" s="280">
        <f>IF((LEFT(K1362,6))="Contab",L1362,0)</f>
        <v/>
      </c>
      <c r="AF1362" s="281">
        <f>VLOOKUP(G1362,CLIENTES!B:E,4,FALSE)</f>
        <v/>
      </c>
      <c r="AG1362" s="280">
        <f>AF1362*AE1362</f>
        <v/>
      </c>
      <c r="AH1362" s="280">
        <f>AD1362*1.21</f>
        <v/>
      </c>
      <c r="AI1362" s="282">
        <f>IF(AE1362&lt;&gt;0,AG1362/AD1362,"N/A")</f>
        <v/>
      </c>
      <c r="AJ1362" s="280">
        <f>IF(AC1362="pendiente",AD1362,0)</f>
        <v/>
      </c>
      <c r="AK1362" s="278">
        <f>VLOOKUP(G1362,CLIENTES!B:D,3,FALSE)</f>
        <v/>
      </c>
    </row>
    <row r="1363" ht="15" customFormat="1" customHeight="1" s="189">
      <c r="B1363" s="188" t="n"/>
      <c r="C1363" s="189" t="inlineStr">
        <is>
          <t>c/ Las Cruzadas 3A, local D</t>
        </is>
      </c>
      <c r="D1363" s="189" t="inlineStr">
        <is>
          <t>Sevilla 41004</t>
        </is>
      </c>
      <c r="E1363" s="189" t="inlineStr">
        <is>
          <t>CIF B91938662</t>
        </is>
      </c>
      <c r="F1363" s="189" t="inlineStr">
        <is>
          <t>aBalados@abalados.es</t>
        </is>
      </c>
      <c r="G1363" s="189" t="inlineStr">
        <is>
          <t>Automares, S.L.</t>
        </is>
      </c>
      <c r="H1363" s="189">
        <f>VLOOKUP($G1363,DATOS!$B:$E,2,FALSE)</f>
        <v/>
      </c>
      <c r="I1363" s="189">
        <f>VLOOKUP($G1363,DATOS!$B:$E,3,FALSE)</f>
        <v/>
      </c>
      <c r="J1363" s="189">
        <f>VLOOKUP($G1363,DATOS!$B:$E,4,FALSE)</f>
        <v/>
      </c>
      <c r="K1363" s="189" t="inlineStr">
        <is>
          <t>Venta de vehículo Peugeot Expert - 0132KJX</t>
        </is>
      </c>
      <c r="L1363" s="190">
        <f>5000/1.21</f>
        <v/>
      </c>
      <c r="M1363" s="189" t="inlineStr">
        <is>
          <t>Según tasación reflejada en Orden Pedido nº 1472896</t>
        </is>
      </c>
      <c r="N1363" s="190" t="n"/>
      <c r="P1363" s="190" t="n"/>
      <c r="R1363" s="190" t="n"/>
      <c r="T1363" s="190" t="n"/>
      <c r="V1363" s="190" t="n"/>
      <c r="X1363" s="190" t="n"/>
      <c r="Z1363" s="190" t="n"/>
      <c r="AA1363" s="190" t="n"/>
      <c r="AB1363" s="191" t="inlineStr">
        <is>
          <t>ES11 0081 7069 2700 0122 7724</t>
        </is>
      </c>
      <c r="AC1363" s="189" t="inlineStr">
        <is>
          <t>pendiente</t>
        </is>
      </c>
      <c r="AD1363" s="190">
        <f>L1363+N1363+P1363+R1363+T1363+V1363+X1363+Z1363</f>
        <v/>
      </c>
      <c r="AE1363" s="190">
        <f>IF((LEFT(K1363,6))="Contab",L1363,0)</f>
        <v/>
      </c>
      <c r="AF1363" s="191">
        <f>VLOOKUP(G1363,CLIENTES!B:E,4,FALSE)</f>
        <v/>
      </c>
      <c r="AG1363" s="190">
        <f>AF1363*AE1363</f>
        <v/>
      </c>
      <c r="AH1363" s="190">
        <f>AD1363*1.21</f>
        <v/>
      </c>
      <c r="AI1363" s="193">
        <f>IF(AE1363&lt;&gt;0,AG1363/AD1363,"N/A")</f>
        <v/>
      </c>
      <c r="AJ1363" s="190">
        <f>IF(AC1363="pendiente",AD1363,0)</f>
        <v/>
      </c>
      <c r="AK1363" s="189">
        <f>VLOOKUP(G1363,CLIENTES!B:D,3,FALSE)</f>
        <v/>
      </c>
    </row>
    <row r="1364" ht="15" customFormat="1" customHeight="1" s="278">
      <c r="B1364" s="279" t="n"/>
      <c r="C1364" s="278" t="inlineStr">
        <is>
          <t>c/ Las Cruzadas 3A, local D</t>
        </is>
      </c>
      <c r="D1364" s="278" t="inlineStr">
        <is>
          <t>Sevilla 41004</t>
        </is>
      </c>
      <c r="E1364" s="278" t="inlineStr">
        <is>
          <t>CIF B91938662</t>
        </is>
      </c>
      <c r="F1364" s="278" t="inlineStr">
        <is>
          <t>aBalados@abalados.es</t>
        </is>
      </c>
      <c r="G1364" s="278" t="inlineStr">
        <is>
          <t>China Triumph International Engineering Co., LTD EP EN SPAIN</t>
        </is>
      </c>
      <c r="H1364" s="278">
        <f>VLOOKUP($G1364,DATOS!$B:$E,2,FALSE)</f>
        <v/>
      </c>
      <c r="I1364" s="278">
        <f>VLOOKUP($G1364,DATOS!$B:$E,3,FALSE)</f>
        <v/>
      </c>
      <c r="J1364" s="278">
        <f>VLOOKUP($G1364,DATOS!$B:$E,4,FALSE)</f>
        <v/>
      </c>
      <c r="K1364" s="278" t="inlineStr">
        <is>
          <t>O&amp;M Supervision and Management</t>
        </is>
      </c>
      <c r="L1364" s="280" t="n"/>
      <c r="N1364" s="280" t="n"/>
      <c r="O1364" s="278" t="inlineStr">
        <is>
          <t>Puerto Real 1 PV - Cádiz | Spain</t>
        </is>
      </c>
      <c r="P1364" s="280">
        <f>15430*1.089</f>
        <v/>
      </c>
      <c r="Q1364" s="278" t="inlineStr">
        <is>
          <t>O&amp;M Management services provided on October 2022</t>
        </is>
      </c>
      <c r="R1364" s="280" t="n"/>
      <c r="S1364" s="278" t="inlineStr">
        <is>
          <t>Applicable CPI from September 15th (annual revision): 8,9%</t>
        </is>
      </c>
      <c r="T1364" s="280" t="n"/>
      <c r="V1364" s="280" t="n"/>
      <c r="X1364" s="280" t="n"/>
      <c r="Y1364" s="278" t="inlineStr">
        <is>
          <t>CPI September regularization (15 days)</t>
        </is>
      </c>
      <c r="Z1364" s="280">
        <f>15430*(16/30)*0.089</f>
        <v/>
      </c>
      <c r="AA1364" s="280" t="n"/>
      <c r="AB1364" s="281" t="inlineStr">
        <is>
          <t>ES11 0081 7069 2700 0122 7724</t>
        </is>
      </c>
      <c r="AC1364" s="278" t="inlineStr">
        <is>
          <t>pendiente</t>
        </is>
      </c>
      <c r="AD1364" s="280">
        <f>L1364+N1364+P1364+R1364+T1364+V1364+X1364+Z1364</f>
        <v/>
      </c>
      <c r="AE1364" s="280">
        <f>IF((LEFT(K1364,6))="Contab",L1364,0)</f>
        <v/>
      </c>
      <c r="AF1364" s="281">
        <f>VLOOKUP(G1364,CLIENTES!B:E,4,FALSE)</f>
        <v/>
      </c>
      <c r="AG1364" s="280">
        <f>AF1364*AE1364</f>
        <v/>
      </c>
      <c r="AH1364" s="280">
        <f>AD1364*1.21</f>
        <v/>
      </c>
      <c r="AI1364" s="284">
        <f>IF(AE1364&lt;&gt;0,AG1364/AD1364,"N/A")</f>
        <v/>
      </c>
      <c r="AJ1364" s="280">
        <f>IF(AC1364="pendiente",AD1364,0)</f>
        <v/>
      </c>
      <c r="AK1364" s="278">
        <f>VLOOKUP(G1364,CLIENTES!B:D,3,FALSE)</f>
        <v/>
      </c>
    </row>
    <row r="1365" ht="15" customFormat="1" customHeight="1" s="278">
      <c r="B1365" s="279" t="n"/>
      <c r="C1365" s="278" t="inlineStr">
        <is>
          <t>c/ Las Cruzadas 3A, local D</t>
        </is>
      </c>
      <c r="D1365" s="278" t="inlineStr">
        <is>
          <t>Sevilla 41004</t>
        </is>
      </c>
      <c r="E1365" s="278" t="inlineStr">
        <is>
          <t>CIF B91938662</t>
        </is>
      </c>
      <c r="F1365" s="278" t="inlineStr">
        <is>
          <t>aBalados@abalados.es</t>
        </is>
      </c>
      <c r="G1365" s="278" t="inlineStr">
        <is>
          <t>Sun Tol I, S.L.U.</t>
        </is>
      </c>
      <c r="H1365" s="278">
        <f>VLOOKUP($G1365,DATOS!$B:$E,2,FALSE)</f>
        <v/>
      </c>
      <c r="I1365" s="278">
        <f>VLOOKUP($G1365,DATOS!$B:$E,3,FALSE)</f>
        <v/>
      </c>
      <c r="J1365" s="278">
        <f>VLOOKUP($G1365,DATOS!$B:$E,4,FALSE)</f>
        <v/>
      </c>
      <c r="K1365" s="278" t="inlineStr">
        <is>
          <t>PV Solar Plant Development Service Agreement</t>
        </is>
      </c>
      <c r="L1365" s="280" t="n"/>
      <c r="M1365" s="278" t="inlineStr">
        <is>
          <t>PSF Castillejo I  -  31,21 MWp</t>
        </is>
      </c>
      <c r="N1365" s="280" t="n"/>
      <c r="P1365" s="280" t="n"/>
      <c r="Q1365" s="278" t="inlineStr">
        <is>
          <t>20% upon the issuance of DIA</t>
        </is>
      </c>
      <c r="R1365" s="280">
        <f>20%*45630</f>
        <v/>
      </c>
      <c r="T1365" s="280" t="n"/>
      <c r="V1365" s="280" t="n"/>
      <c r="X1365" s="280" t="n"/>
      <c r="Z1365" s="280" t="n"/>
      <c r="AA1365" s="280" t="n"/>
      <c r="AB1365" s="281" t="inlineStr">
        <is>
          <t>ES11 0081 7069 2700 0122 7724</t>
        </is>
      </c>
      <c r="AC1365" s="278" t="inlineStr">
        <is>
          <t>pendiente</t>
        </is>
      </c>
      <c r="AD1365" s="280">
        <f>L1365+N1365+P1365+R1365+T1365+V1365+X1365+Z1365</f>
        <v/>
      </c>
      <c r="AE1365" s="280">
        <f>IF((LEFT(K1365,4))="Cont",N1365,0)</f>
        <v/>
      </c>
      <c r="AF1365" s="281">
        <f>VLOOKUP(G1365,[3]Clientes!A:D,4,FALSE)</f>
        <v/>
      </c>
      <c r="AG1365" s="280">
        <f>AF1365*AE1365</f>
        <v/>
      </c>
      <c r="AH1365" s="280">
        <f>AD1365*1.21</f>
        <v/>
      </c>
      <c r="AI1365" s="282">
        <f>IF(AE1365&lt;&gt;0,AG1365/AD1365,"N/A")</f>
        <v/>
      </c>
      <c r="AJ1365" s="280">
        <f>IF(AC1365="pendiente",AD1365,0)</f>
        <v/>
      </c>
      <c r="AK1365" s="278">
        <f>VLOOKUP(G1365,[3]Clientes!A:C,3,FALSE)</f>
        <v/>
      </c>
    </row>
    <row r="1366" ht="15" customFormat="1" customHeight="1" s="192">
      <c r="B1366" s="199" t="n"/>
      <c r="C1366" s="192" t="inlineStr">
        <is>
          <t>c/ Las Cruzadas 3A, local D</t>
        </is>
      </c>
      <c r="D1366" s="192" t="inlineStr">
        <is>
          <t>Sevilla 41004</t>
        </is>
      </c>
      <c r="E1366" s="192" t="inlineStr">
        <is>
          <t>CIF B91938662</t>
        </is>
      </c>
      <c r="F1366" s="192" t="inlineStr">
        <is>
          <t>aBalados@abalados.es</t>
        </is>
      </c>
      <c r="G1366" s="192" t="inlineStr">
        <is>
          <t>PLANTA SOLAR EL CALAVERÓN A.I.E.</t>
        </is>
      </c>
      <c r="H1366" s="192">
        <f>VLOOKUP($G1366,DATOS!$B:$E,2,FALSE)</f>
        <v/>
      </c>
      <c r="I1366" s="192">
        <f>VLOOKUP($G1366,DATOS!$B:$E,3,FALSE)</f>
        <v/>
      </c>
      <c r="J1366" s="192">
        <f>VLOOKUP($G1366,DATOS!$B:$E,4,FALSE)</f>
        <v/>
      </c>
      <c r="K1366" s="192" t="inlineStr">
        <is>
          <t>Auditoría Global - 10 años de operación</t>
        </is>
      </c>
      <c r="L1366" s="200" t="n"/>
      <c r="M1366" s="192" t="inlineStr">
        <is>
          <t>Finalización, según pendientes oferta v02 de 24/02/2022</t>
        </is>
      </c>
      <c r="N1366" s="200">
        <f>2220.23+3537.69+5306.54</f>
        <v/>
      </c>
      <c r="O1366" s="192" t="inlineStr">
        <is>
          <t>30% Entrega informes (BT &amp; MT) actualizados.</t>
        </is>
      </c>
      <c r="P1366" s="200" t="n"/>
      <c r="Q1366" s="192" t="inlineStr">
        <is>
          <t>Verificaciones Subestación. Entrega informes actualizados</t>
        </is>
      </c>
      <c r="R1366" s="200" t="n"/>
      <c r="S1366" s="192" t="inlineStr">
        <is>
          <t>Ensayo 2 Transformadores 20MVA. Entrega informes actualizados</t>
        </is>
      </c>
      <c r="T1366" s="200" t="n"/>
      <c r="V1366" s="200" t="n"/>
      <c r="X1366" s="200" t="n"/>
      <c r="Z1366" s="200" t="n"/>
      <c r="AA1366" s="200" t="n"/>
      <c r="AB1366" s="201" t="inlineStr">
        <is>
          <t>ES11 0081 7069 2700 0122 7724</t>
        </is>
      </c>
      <c r="AC1366" s="192" t="inlineStr">
        <is>
          <t>pendiente</t>
        </is>
      </c>
      <c r="AD1366" s="200">
        <f>L1366+N1366+P1366+R1366+T1366+V1366+X1366+Z1366</f>
        <v/>
      </c>
      <c r="AE1366" s="200">
        <f>IF((LEFT(K1366,6))="Contab",L1366,0)</f>
        <v/>
      </c>
      <c r="AF1366" s="201">
        <f>VLOOKUP(G1366,[2]Clientes!A:D,4,FALSE)</f>
        <v/>
      </c>
      <c r="AG1366" s="200">
        <f>AF1366*AE1366</f>
        <v/>
      </c>
      <c r="AH1366" s="200">
        <f>AD1366*1.21</f>
        <v/>
      </c>
      <c r="AI1366" s="202">
        <f>IF(AE1366&lt;&gt;0,AG1366/AD1366,"N/A")</f>
        <v/>
      </c>
      <c r="AJ1366" s="200">
        <f>IF(AC1366="pendiente",AD1366,0)</f>
        <v/>
      </c>
      <c r="AK1366" s="192">
        <f>VLOOKUP(G1366,[2]Clientes!A:C,3,FALSE)</f>
        <v/>
      </c>
    </row>
    <row r="1367" ht="15" customFormat="1" customHeight="1" s="189">
      <c r="B1367" s="188" t="n"/>
      <c r="C1367" s="189" t="inlineStr">
        <is>
          <t>c/ Las Cruzadas 3A, local D</t>
        </is>
      </c>
      <c r="D1367" s="189" t="inlineStr">
        <is>
          <t>Sevilla 41004</t>
        </is>
      </c>
      <c r="E1367" s="189" t="inlineStr">
        <is>
          <t>CIF B91938662</t>
        </is>
      </c>
      <c r="F1367" s="189" t="inlineStr">
        <is>
          <t>aBalados@abalados.es</t>
        </is>
      </c>
      <c r="G1367" s="189" t="inlineStr">
        <is>
          <t>FP LUX REIO PV ZARAGOZA SL.</t>
        </is>
      </c>
      <c r="H1367" s="189">
        <f>VLOOKUP($G1367,DATOS!$B:$E,2,FALSE)</f>
        <v/>
      </c>
      <c r="I1367" s="189">
        <f>VLOOKUP($G1367,DATOS!$B:$E,3,FALSE)</f>
        <v/>
      </c>
      <c r="J1367" s="189">
        <f>VLOOKUP($G1367,DATOS!$B:$E,4,FALSE)</f>
        <v/>
      </c>
      <c r="K1367" s="189" t="inlineStr">
        <is>
          <t>Proyecto El Marqués - Zaragoza</t>
        </is>
      </c>
      <c r="L1367" s="190" t="n"/>
      <c r="M1367" s="189" t="inlineStr">
        <is>
          <t>Honorarios - Contrato O&amp;M 4º Trimestre</t>
        </is>
      </c>
      <c r="N1367" s="190" t="n">
        <v>20963.8649556</v>
      </c>
      <c r="P1367" s="190" t="n"/>
      <c r="R1367" s="190" t="n"/>
      <c r="T1367" s="190" t="n"/>
      <c r="V1367" s="190" t="n"/>
      <c r="X1367" s="190" t="n"/>
      <c r="Z1367" s="190" t="n"/>
      <c r="AA1367" s="190" t="n"/>
      <c r="AB1367" s="191" t="inlineStr">
        <is>
          <t>ES11 0081 7069 2700 0122 7724</t>
        </is>
      </c>
      <c r="AC1367" s="189" t="inlineStr">
        <is>
          <t>pendiente</t>
        </is>
      </c>
      <c r="AD1367" s="190">
        <f>L1367+N1367+P1367+R1367+T1367+V1367+X1367+Z1367</f>
        <v/>
      </c>
      <c r="AE1367" s="190">
        <f>IF((LEFT(K1367,6))="Contab",L1367,0)</f>
        <v/>
      </c>
      <c r="AF1367" s="191">
        <f>VLOOKUP(G1367,CLIENTES!B:E,4,FALSE)</f>
        <v/>
      </c>
      <c r="AG1367" s="190">
        <f>AF1367*AE1367</f>
        <v/>
      </c>
      <c r="AH1367" s="190">
        <f>AD1367*1.21</f>
        <v/>
      </c>
      <c r="AI1367" s="289">
        <f>IF(AE1367&lt;&gt;0,AG1367/AD1367,"N/A")</f>
        <v/>
      </c>
      <c r="AJ1367" s="190">
        <f>IF(AC1367="pendiente",AD1367,0)</f>
        <v/>
      </c>
      <c r="AK1367" s="189">
        <f>VLOOKUP(G1367,CLIENTES!B:D,3,FALSE)</f>
        <v/>
      </c>
    </row>
    <row r="1368" ht="15" customFormat="1" customHeight="1" s="292">
      <c r="A1368" t="n"/>
      <c r="B1368" s="293" t="n"/>
      <c r="C1368" s="292" t="inlineStr">
        <is>
          <t>c/ Las Cruzadas 3A, local D</t>
        </is>
      </c>
      <c r="D1368" s="292" t="inlineStr">
        <is>
          <t>Sevilla 41004</t>
        </is>
      </c>
      <c r="E1368" s="292" t="inlineStr">
        <is>
          <t>CIF B91938662</t>
        </is>
      </c>
      <c r="F1368" s="292" t="inlineStr">
        <is>
          <t>aBalados@abalados.es</t>
        </is>
      </c>
      <c r="G1368" s="292" t="inlineStr">
        <is>
          <t>China Triumph International Engineering Co., LTD EP EN SPAIN</t>
        </is>
      </c>
      <c r="H1368" s="292">
        <f>VLOOKUP($G1368,DATOS!$B:$E,2,FALSE)</f>
        <v/>
      </c>
      <c r="I1368" s="292">
        <f>VLOOKUP($G1368,DATOS!$B:$E,3,FALSE)</f>
        <v/>
      </c>
      <c r="J1368" s="292">
        <f>VLOOKUP($G1368,DATOS!$B:$E,4,FALSE)</f>
        <v/>
      </c>
      <c r="K1368" s="292" t="inlineStr">
        <is>
          <t>O&amp;M Supervision and Management</t>
        </is>
      </c>
      <c r="L1368" s="294" t="n"/>
      <c r="N1368" s="294" t="n"/>
      <c r="O1368" s="292" t="inlineStr">
        <is>
          <t>Puerto Real 1 PV - Cádiz | Spain</t>
        </is>
      </c>
      <c r="P1368" s="294">
        <f>15430*1.089</f>
        <v/>
      </c>
      <c r="Q1368" s="292" t="inlineStr">
        <is>
          <t>O&amp;M Management services provided on November 2022</t>
        </is>
      </c>
      <c r="R1368" s="294" t="n"/>
      <c r="T1368" s="294" t="n"/>
      <c r="U1368" s="292" t="inlineStr">
        <is>
          <t>Extraordinary: Arrangements of measures described in the Environmental Monitoring Plan</t>
        </is>
      </c>
      <c r="V1368" s="294" t="n">
        <v>22755.4</v>
      </c>
      <c r="W1368" s="292" t="inlineStr">
        <is>
          <t>(as agreed on the DoA - December 5th, 2022)</t>
        </is>
      </c>
      <c r="X1368" s="294" t="n"/>
      <c r="Z1368" s="294" t="n"/>
      <c r="AA1368" s="294" t="n"/>
      <c r="AB1368" s="295" t="inlineStr">
        <is>
          <t>ES11 0081 7069 2700 0122 7724</t>
        </is>
      </c>
      <c r="AD1368" s="294" t="n"/>
      <c r="AE1368" s="294">
        <f>IF((LEFT(K1368,6))="Contab",L1368,0)</f>
        <v/>
      </c>
      <c r="AF1368" s="295">
        <f>VLOOKUP(G1368,CLIENTES!B:E,4,FALSE)</f>
        <v/>
      </c>
      <c r="AG1368" s="294">
        <f>AF1368*AE1368</f>
        <v/>
      </c>
      <c r="AH1368" s="294">
        <f>AD1368*1.21</f>
        <v/>
      </c>
      <c r="AI1368" s="296">
        <f>IF(AE1368&lt;&gt;0,AG1368/AD1368,"N/A")</f>
        <v/>
      </c>
      <c r="AJ1368" s="294">
        <f>IF(AC1368="pendiente",AD1368,0)</f>
        <v/>
      </c>
      <c r="AK1368" s="292">
        <f>VLOOKUP(G1368,CLIENTES!B:D,3,FALSE)</f>
        <v/>
      </c>
      <c r="AL1368" s="278" t="n"/>
    </row>
    <row r="1369" ht="15" customFormat="1" customHeight="1" s="278">
      <c r="B1369" s="279" t="n"/>
      <c r="C1369" s="278" t="inlineStr">
        <is>
          <t>c/ Las Cruzadas 3A, local D</t>
        </is>
      </c>
      <c r="D1369" s="278" t="inlineStr">
        <is>
          <t>Sevilla 41004</t>
        </is>
      </c>
      <c r="E1369" s="278" t="inlineStr">
        <is>
          <t>CIF B91938662</t>
        </is>
      </c>
      <c r="F1369" s="278" t="inlineStr">
        <is>
          <t>aBalados@abalados.es</t>
        </is>
      </c>
      <c r="G1369" s="278" t="inlineStr">
        <is>
          <t>China Triumph International Engineering Co., LTD EP EN SPAIN</t>
        </is>
      </c>
      <c r="H1369" s="278">
        <f>VLOOKUP($G1369,DATOS!$B:$E,2,FALSE)</f>
        <v/>
      </c>
      <c r="I1369" s="278">
        <f>VLOOKUP($G1369,DATOS!$B:$E,3,FALSE)</f>
        <v/>
      </c>
      <c r="J1369" s="278">
        <f>VLOOKUP($G1369,DATOS!$B:$E,4,FALSE)</f>
        <v/>
      </c>
      <c r="K1369" s="278" t="inlineStr">
        <is>
          <t>O&amp;M Supervision and Management</t>
        </is>
      </c>
      <c r="L1369" s="280" t="n"/>
      <c r="N1369" s="280" t="n"/>
      <c r="O1369" s="278" t="inlineStr">
        <is>
          <t>Puerto Real 1 PV - Cádiz | Spain</t>
        </is>
      </c>
      <c r="P1369" s="280">
        <f>15430*1.089</f>
        <v/>
      </c>
      <c r="Q1369" s="278" t="inlineStr">
        <is>
          <t>O&amp;M Management services provided on November 2022</t>
        </is>
      </c>
      <c r="R1369" s="280" t="n"/>
      <c r="T1369" s="280" t="n"/>
      <c r="V1369" s="280" t="n"/>
      <c r="X1369" s="280" t="n"/>
      <c r="Z1369" s="280" t="n"/>
      <c r="AA1369" s="280" t="n"/>
      <c r="AB1369" s="281" t="inlineStr">
        <is>
          <t>ES11 0081 7069 2700 0122 7724</t>
        </is>
      </c>
      <c r="AC1369" s="278" t="inlineStr">
        <is>
          <t>pendiente</t>
        </is>
      </c>
      <c r="AD1369" s="280">
        <f>L1369+N1369+P1369+R1369+T1369+V1369+X1369+Z1369</f>
        <v/>
      </c>
      <c r="AE1369" s="280">
        <f>IF((LEFT(K1369,6))="Contab",L1369,0)</f>
        <v/>
      </c>
      <c r="AF1369" s="281">
        <f>VLOOKUP(G1369,CLIENTES!B:E,4,FALSE)</f>
        <v/>
      </c>
      <c r="AG1369" s="280">
        <f>AF1369*AE1369</f>
        <v/>
      </c>
      <c r="AH1369" s="280">
        <f>AD1369*1.21</f>
        <v/>
      </c>
      <c r="AI1369" s="284">
        <f>IF(AE1369&lt;&gt;0,AG1369/AD1369,"N/A")</f>
        <v/>
      </c>
      <c r="AJ1369" s="280">
        <f>IF(AC1369="pendiente",AD1369,0)</f>
        <v/>
      </c>
      <c r="AK1369" s="278">
        <f>VLOOKUP(G1369,CLIENTES!B:D,3,FALSE)</f>
        <v/>
      </c>
    </row>
    <row r="1370" ht="15" customFormat="1" customHeight="1" s="192">
      <c r="B1370" s="199" t="n"/>
      <c r="C1370" s="192" t="inlineStr">
        <is>
          <t>c/ Las Cruzadas 3A, local D</t>
        </is>
      </c>
      <c r="D1370" s="192" t="inlineStr">
        <is>
          <t>Sevilla 41004</t>
        </is>
      </c>
      <c r="E1370" s="192" t="inlineStr">
        <is>
          <t>CIF B91938662</t>
        </is>
      </c>
      <c r="F1370" s="192" t="inlineStr">
        <is>
          <t>aBalados@abalados.es</t>
        </is>
      </c>
      <c r="G1370" s="192" t="inlineStr">
        <is>
          <t>China Triumph International Engineering Co., LTD EP EN SPAIN</t>
        </is>
      </c>
      <c r="H1370" s="192">
        <f>VLOOKUP($G1370,DATOS!$B:$E,2,FALSE)</f>
        <v/>
      </c>
      <c r="I1370" s="192">
        <f>VLOOKUP($G1370,DATOS!$B:$E,3,FALSE)</f>
        <v/>
      </c>
      <c r="J1370" s="192">
        <f>VLOOKUP($G1370,DATOS!$B:$E,4,FALSE)</f>
        <v/>
      </c>
      <c r="K1370" s="192" t="inlineStr">
        <is>
          <t>Technical Advisory - Support with Commissioning and EPC Closing</t>
        </is>
      </c>
      <c r="L1370" s="200" t="n"/>
      <c r="N1370" s="200" t="n"/>
      <c r="O1370" s="192" t="inlineStr">
        <is>
          <t>Puerto Real 2 PV - Cádiz | Spain</t>
        </is>
      </c>
      <c r="P1370" s="200" t="n">
        <v>25680</v>
      </c>
      <c r="Q1370" s="192" t="inlineStr">
        <is>
          <t>TA Services provided on November 2022</t>
        </is>
      </c>
      <c r="R1370" s="200" t="n"/>
      <c r="S1370" s="192" t="inlineStr">
        <is>
          <t>Setup and project implementation</t>
        </is>
      </c>
      <c r="T1370" s="200" t="n">
        <v>6945</v>
      </c>
      <c r="U1370" s="200" t="n"/>
      <c r="V1370" s="200" t="n"/>
      <c r="W1370" s="200" t="inlineStr">
        <is>
          <t>Extraordinary: Arrangement of Inspection works for Auxiliary Services</t>
        </is>
      </c>
      <c r="X1370" s="200" t="n">
        <v>330</v>
      </c>
      <c r="Y1370" s="200" t="inlineStr">
        <is>
          <t>(SGS: 7993810416 invoice)</t>
        </is>
      </c>
      <c r="Z1370" s="200" t="n"/>
      <c r="AA1370" s="200" t="n"/>
      <c r="AB1370" s="201" t="inlineStr">
        <is>
          <t>ES11 0081 7069 2700 0122 7724</t>
        </is>
      </c>
      <c r="AC1370" s="192" t="inlineStr">
        <is>
          <t>pendiente</t>
        </is>
      </c>
      <c r="AD1370" s="200">
        <f>L1370+N1370+P1370+R1370+T1370+V1370+X1370+Z1370</f>
        <v/>
      </c>
      <c r="AE1370" s="200">
        <f>IF((LEFT(K1370,6))="Contab",L1370,0)</f>
        <v/>
      </c>
      <c r="AF1370" s="201">
        <f>VLOOKUP(G1370,CLIENTES!B:E,4,FALSE)</f>
        <v/>
      </c>
      <c r="AG1370" s="200">
        <f>AF1370*AE1370</f>
        <v/>
      </c>
      <c r="AH1370" s="200">
        <f>AD1370*1.21</f>
        <v/>
      </c>
      <c r="AI1370" s="283">
        <f>IF(AE1370&lt;&gt;0,AG1370/AD1370,"N/A")</f>
        <v/>
      </c>
      <c r="AJ1370" s="200">
        <f>IF(AC1370="pendiente",AD1370,0)</f>
        <v/>
      </c>
      <c r="AK1370" s="192">
        <f>VLOOKUP(G1370,CLIENTES!B:D,3,FALSE)</f>
        <v/>
      </c>
    </row>
    <row r="1371" ht="15" customFormat="1" customHeight="1" s="278">
      <c r="B1371" s="279" t="n"/>
      <c r="C1371" s="278" t="inlineStr">
        <is>
          <t>c/ Las Cruzadas 3A, local D</t>
        </is>
      </c>
      <c r="D1371" s="278" t="inlineStr">
        <is>
          <t>Sevilla 41004</t>
        </is>
      </c>
      <c r="E1371" s="278" t="inlineStr">
        <is>
          <t>CIF B91938662</t>
        </is>
      </c>
      <c r="F1371" s="278" t="inlineStr">
        <is>
          <t>aBalados@abalados.es</t>
        </is>
      </c>
      <c r="G1371" s="278" t="inlineStr">
        <is>
          <t>Valcabado Renovables 220 kV, S.L.</t>
        </is>
      </c>
      <c r="H1371" s="278">
        <f>VLOOKUP($G1371,DATOS!$B:$E,2,FALSE)</f>
        <v/>
      </c>
      <c r="I1371" s="278">
        <f>VLOOKUP($G1371,DATOS!$B:$E,3,FALSE)</f>
        <v/>
      </c>
      <c r="J1371" s="278">
        <f>VLOOKUP($G1371,DATOS!$B:$E,4,FALSE)</f>
        <v/>
      </c>
      <c r="K1371" s="278" t="inlineStr">
        <is>
          <t>Contrato de Asset Management - Subestación Valcabado</t>
        </is>
      </c>
      <c r="L1371" s="280" t="n"/>
      <c r="N1371" s="280" t="n"/>
      <c r="O1371" s="278" t="inlineStr">
        <is>
          <t>Fee Trimestral - 1Octubre/31Diciembre 2022</t>
        </is>
      </c>
      <c r="P1371" s="280">
        <f>1173*3*1.098</f>
        <v/>
      </c>
      <c r="R1371" s="280" t="n"/>
      <c r="T1371" s="280" t="n"/>
      <c r="V1371" s="280" t="n"/>
      <c r="X1371" s="280" t="n"/>
      <c r="Z1371" s="280" t="n"/>
      <c r="AA1371" s="280" t="n"/>
      <c r="AB1371" s="281" t="inlineStr">
        <is>
          <t>ES11 0081 7069 2700 0122 7724</t>
        </is>
      </c>
      <c r="AC1371" s="278" t="inlineStr">
        <is>
          <t>pendiente</t>
        </is>
      </c>
      <c r="AD1371" s="280">
        <f>L1371+N1371+P1371+R1371+T1371+V1371+X1371+Z1371</f>
        <v/>
      </c>
      <c r="AE1371" s="280">
        <f>IF((LEFT(K1371,6))="Contab",L1371,0)</f>
        <v/>
      </c>
      <c r="AF1371" s="281">
        <f>VLOOKUP(G1371,CLIENTES!B:E,4,FALSE)</f>
        <v/>
      </c>
      <c r="AG1371" s="280">
        <f>AF1371*AE1371</f>
        <v/>
      </c>
      <c r="AH1371" s="280">
        <f>AD1371*1.21</f>
        <v/>
      </c>
      <c r="AI1371" s="284">
        <f>IF(AE1371&lt;&gt;0,AG1371/AD1371,"N/A")</f>
        <v/>
      </c>
      <c r="AJ1371" s="280">
        <f>IF(AC1371="pendiente",AD1371,0)</f>
        <v/>
      </c>
      <c r="AK1371" s="278">
        <f>VLOOKUP(G1371,CLIENTES!B:D,3,FALSE)</f>
        <v/>
      </c>
    </row>
    <row r="1372" ht="15" customFormat="1" customHeight="1" s="278">
      <c r="B1372" s="279" t="n"/>
      <c r="C1372" s="278" t="inlineStr">
        <is>
          <t>c/ Las Cruzadas 3A, local D</t>
        </is>
      </c>
      <c r="D1372" s="278" t="inlineStr">
        <is>
          <t>Sevilla 41004</t>
        </is>
      </c>
      <c r="E1372" s="278" t="inlineStr">
        <is>
          <t>CIF B91938662</t>
        </is>
      </c>
      <c r="F1372" s="278" t="inlineStr">
        <is>
          <t>aBalados@abalados.es</t>
        </is>
      </c>
      <c r="G1372" s="278" t="inlineStr">
        <is>
          <t>Grijota Renovables, S.L.</t>
        </is>
      </c>
      <c r="H1372" s="278">
        <f>VLOOKUP($G1372,DATOS!$B:$E,2,FALSE)</f>
        <v/>
      </c>
      <c r="I1372" s="278">
        <f>VLOOKUP($G1372,DATOS!$B:$E,3,FALSE)</f>
        <v/>
      </c>
      <c r="J1372" s="278">
        <f>VLOOKUP($G1372,DATOS!$B:$E,4,FALSE)</f>
        <v/>
      </c>
      <c r="K1372" s="278" t="inlineStr">
        <is>
          <t>Contrato de Asset Management - Subestación Grijota</t>
        </is>
      </c>
      <c r="L1372" s="280" t="n"/>
      <c r="N1372" s="280" t="n"/>
      <c r="O1372" s="278" t="inlineStr">
        <is>
          <t>Fee Trimestral - 1Octubre/31Diciembre 2022</t>
        </is>
      </c>
      <c r="P1372" s="280">
        <f>1035*3*1.108</f>
        <v/>
      </c>
      <c r="R1372" s="280" t="n"/>
      <c r="S1372" s="280" t="n"/>
      <c r="T1372" s="280" t="n"/>
      <c r="V1372" s="280" t="n"/>
      <c r="X1372" s="280" t="n"/>
      <c r="Z1372" s="280" t="n"/>
      <c r="AA1372" s="280" t="n"/>
      <c r="AB1372" s="281" t="inlineStr">
        <is>
          <t>ES11 0081 7069 2700 0122 7724</t>
        </is>
      </c>
      <c r="AC1372" s="278" t="inlineStr">
        <is>
          <t>pagado</t>
        </is>
      </c>
      <c r="AD1372" s="280">
        <f>L1372+N1372+P1372+R1372+T1372+V1372+X1372+Z1372</f>
        <v/>
      </c>
      <c r="AE1372" s="280">
        <f>IF((LEFT(K1372,6))="Contab",L1372,0)</f>
        <v/>
      </c>
      <c r="AF1372" s="281">
        <f>VLOOKUP(G1372,CLIENTES!B:E,4,FALSE)</f>
        <v/>
      </c>
      <c r="AG1372" s="280">
        <f>AF1372*AE1372</f>
        <v/>
      </c>
      <c r="AH1372" s="280">
        <f>AD1372*1.21</f>
        <v/>
      </c>
      <c r="AI1372" s="284">
        <f>IF(AE1372&lt;&gt;0,AG1372/AD1372,"N/A")</f>
        <v/>
      </c>
      <c r="AJ1372" s="280">
        <f>IF(AC1372="pendiente",AD1372,0)</f>
        <v/>
      </c>
      <c r="AK1372" s="278">
        <f>VLOOKUP(G1372,CLIENTES!B:D,3,FALSE)</f>
        <v/>
      </c>
    </row>
    <row r="1373" ht="15" customFormat="1" customHeight="1" s="278">
      <c r="B1373" s="279" t="n"/>
      <c r="C1373" s="278" t="inlineStr">
        <is>
          <t>c/ Las Cruzadas 3A, local D</t>
        </is>
      </c>
      <c r="D1373" s="278" t="inlineStr">
        <is>
          <t>Sevilla 41004</t>
        </is>
      </c>
      <c r="E1373" s="278" t="inlineStr">
        <is>
          <t>CIF B91938662</t>
        </is>
      </c>
      <c r="F1373" s="278" t="inlineStr">
        <is>
          <t>aBalados@abalados.es</t>
        </is>
      </c>
      <c r="G1373" s="278" t="inlineStr">
        <is>
          <t>Cubillos Renovables, S.L.</t>
        </is>
      </c>
      <c r="H1373" s="278">
        <f>VLOOKUP($G1373,DATOS!$B:$E,2,FALSE)</f>
        <v/>
      </c>
      <c r="I1373" s="278">
        <f>VLOOKUP($G1373,DATOS!$B:$E,3,FALSE)</f>
        <v/>
      </c>
      <c r="J1373" s="278">
        <f>VLOOKUP($G1373,DATOS!$B:$E,4,FALSE)</f>
        <v/>
      </c>
      <c r="K1373" s="278" t="inlineStr">
        <is>
          <t>Contrato de Asset Management - Subestación Majuelo</t>
        </is>
      </c>
      <c r="L1373" s="280" t="n"/>
      <c r="N1373" s="280" t="n"/>
      <c r="O1373" s="278" t="inlineStr">
        <is>
          <t>Fee Trimestral - 1Octubre/31Diciembre 2022</t>
        </is>
      </c>
      <c r="P1373" s="280">
        <f>1173*3*1.105</f>
        <v/>
      </c>
      <c r="R1373" s="280" t="n"/>
      <c r="S1373" s="280" t="n"/>
      <c r="T1373" s="280" t="n"/>
      <c r="V1373" s="280" t="n"/>
      <c r="X1373" s="280" t="n"/>
      <c r="Z1373" s="280" t="n"/>
      <c r="AA1373" s="280" t="n"/>
      <c r="AB1373" s="281" t="inlineStr">
        <is>
          <t>ES11 0081 7069 2700 0122 7724</t>
        </is>
      </c>
      <c r="AC1373" s="278" t="inlineStr">
        <is>
          <t>pendiente</t>
        </is>
      </c>
      <c r="AD1373" s="280">
        <f>L1373+N1373+P1373+R1373+T1373+V1373+X1373+Z1373</f>
        <v/>
      </c>
      <c r="AE1373" s="280">
        <f>IF((LEFT(K1373,6))="Contab",L1373,0)</f>
        <v/>
      </c>
      <c r="AF1373" s="281">
        <f>VLOOKUP(G1373,CLIENTES!B:E,4,FALSE)</f>
        <v/>
      </c>
      <c r="AG1373" s="280">
        <f>AF1373*AE1373</f>
        <v/>
      </c>
      <c r="AH1373" s="280">
        <f>AD1373*1.21</f>
        <v/>
      </c>
      <c r="AI1373" s="284">
        <f>IF(AE1373&lt;&gt;0,AG1373/AD1373,"N/A")</f>
        <v/>
      </c>
      <c r="AJ1373" s="280">
        <f>IF(AC1373="pendiente",AD1373,0)</f>
        <v/>
      </c>
      <c r="AK1373" s="278">
        <f>VLOOKUP(G1373,CLIENTES!B:D,3,FALSE)</f>
        <v/>
      </c>
    </row>
    <row r="1374" ht="15" customFormat="1" customHeight="1" s="278">
      <c r="B1374" s="279" t="n"/>
      <c r="C1374" s="278" t="inlineStr">
        <is>
          <t>c/ Las Cruzadas 3A, local D</t>
        </is>
      </c>
      <c r="D1374" s="278" t="inlineStr">
        <is>
          <t>Sevilla 41004</t>
        </is>
      </c>
      <c r="E1374" s="278" t="inlineStr">
        <is>
          <t>CIF B91938662</t>
        </is>
      </c>
      <c r="F1374" s="278" t="inlineStr">
        <is>
          <t>aBalados@abalados.es</t>
        </is>
      </c>
      <c r="G1374" s="278" t="inlineStr">
        <is>
          <t>Tordesillas Renovables, S.L.</t>
        </is>
      </c>
      <c r="H1374" s="278">
        <f>VLOOKUP($G1374,DATOS!$B:$E,2,FALSE)</f>
        <v/>
      </c>
      <c r="I1374" s="278">
        <f>VLOOKUP($G1374,DATOS!$B:$E,3,FALSE)</f>
        <v/>
      </c>
      <c r="J1374" s="278">
        <f>VLOOKUP($G1374,DATOS!$B:$E,4,FALSE)</f>
        <v/>
      </c>
      <c r="K1374" s="278" t="inlineStr">
        <is>
          <t>Contrato de Asset Management - Subestación Tordesillas</t>
        </is>
      </c>
      <c r="L1374" s="280" t="n"/>
      <c r="N1374" s="280" t="n"/>
      <c r="O1374" s="278" t="inlineStr">
        <is>
          <t>Fee Trimestral - 1Octubre/31Diciembre 2022</t>
        </is>
      </c>
      <c r="P1374" s="280">
        <f>1200*7/31  +  1200*1.073*24/31  +  1200*2*1.073</f>
        <v/>
      </c>
      <c r="Q1374" s="278" t="inlineStr">
        <is>
          <t>Tasa actualización IPC General (Octubre 2021 - Octubre 2022): 7,3%</t>
        </is>
      </c>
      <c r="R1374" s="280" t="n"/>
      <c r="S1374" s="280" t="inlineStr">
        <is>
          <t>Fecha actualización: 8 Octubre</t>
        </is>
      </c>
      <c r="T1374" s="280" t="n"/>
      <c r="V1374" s="280" t="n"/>
      <c r="X1374" s="280" t="n"/>
      <c r="Z1374" s="280" t="n"/>
      <c r="AA1374" s="280" t="n"/>
      <c r="AB1374" s="281" t="inlineStr">
        <is>
          <t>ES11 0081 7069 2700 0122 7724</t>
        </is>
      </c>
      <c r="AC1374" s="278" t="inlineStr">
        <is>
          <t>pendiente</t>
        </is>
      </c>
      <c r="AD1374" s="280">
        <f>L1374+N1374+P1374+R1374+T1374+V1374+X1374+Z1374</f>
        <v/>
      </c>
      <c r="AE1374" s="280">
        <f>IF((LEFT(K1374,6))="Contab",L1374,0)</f>
        <v/>
      </c>
      <c r="AF1374" s="281">
        <f>VLOOKUP(G1374,CLIENTES!B:E,4,FALSE)</f>
        <v/>
      </c>
      <c r="AG1374" s="280">
        <f>AF1374*AE1374</f>
        <v/>
      </c>
      <c r="AH1374" s="280">
        <f>AD1374*1.21</f>
        <v/>
      </c>
      <c r="AI1374" s="284">
        <f>IF(AE1374&lt;&gt;0,AG1374/AD1374,"N/A")</f>
        <v/>
      </c>
      <c r="AJ1374" s="280">
        <f>IF(AC1374="pendiente",AD1374,0)</f>
        <v/>
      </c>
      <c r="AK1374" s="278">
        <f>VLOOKUP(G1374,CLIENTES!B:D,3,FALSE)</f>
        <v/>
      </c>
    </row>
    <row r="1375" ht="15" customFormat="1" customHeight="1" s="278">
      <c r="B1375" s="279" t="n"/>
      <c r="C1375" s="278" t="inlineStr">
        <is>
          <t>c/ Las Cruzadas 3A, local D</t>
        </is>
      </c>
      <c r="D1375" s="278" t="inlineStr">
        <is>
          <t>Sevilla 41004</t>
        </is>
      </c>
      <c r="E1375" s="278" t="inlineStr">
        <is>
          <t>CIF B91938662</t>
        </is>
      </c>
      <c r="F1375" s="278" t="inlineStr">
        <is>
          <t>aBalados@abalados.es</t>
        </is>
      </c>
      <c r="G1375" s="278" t="inlineStr">
        <is>
          <t>Monte Reina Renovables, S.L.</t>
        </is>
      </c>
      <c r="H1375" s="278">
        <f>VLOOKUP($G1375,DATOS!$B:$E,2,FALSE)</f>
        <v/>
      </c>
      <c r="I1375" s="278">
        <f>VLOOKUP($G1375,DATOS!$B:$E,3,FALSE)</f>
        <v/>
      </c>
      <c r="J1375" s="278">
        <f>VLOOKUP($G1375,DATOS!$B:$E,4,FALSE)</f>
        <v/>
      </c>
      <c r="K1375" s="278" t="inlineStr">
        <is>
          <t>Contrato de Asset Management - Subestación Valdecarretas</t>
        </is>
      </c>
      <c r="L1375" s="280" t="n"/>
      <c r="N1375" s="280" t="n"/>
      <c r="O1375" s="278" t="inlineStr">
        <is>
          <t>Fee Trimestral - 1Octubre/31Diciembre 2022</t>
        </is>
      </c>
      <c r="P1375" s="280">
        <f>1380*9/31  +  1380*1.073*22/31  +  1380*2*1.073</f>
        <v/>
      </c>
      <c r="Q1375" s="278" t="inlineStr">
        <is>
          <t>Tasa actualización IPC General (Octubre 2021 - Octubre 2022): 7,3%</t>
        </is>
      </c>
      <c r="R1375" s="280" t="n"/>
      <c r="S1375" s="280" t="inlineStr">
        <is>
          <t>Fecha actualización: 10 Octubre</t>
        </is>
      </c>
      <c r="T1375" s="280" t="n"/>
      <c r="V1375" s="280" t="n"/>
      <c r="X1375" s="280" t="n"/>
      <c r="Z1375" s="280" t="n"/>
      <c r="AA1375" s="280" t="n"/>
      <c r="AB1375" s="281" t="inlineStr">
        <is>
          <t>ES11 0081 7069 2700 0122 7724</t>
        </is>
      </c>
      <c r="AC1375" s="278" t="inlineStr">
        <is>
          <t>pendiente</t>
        </is>
      </c>
      <c r="AD1375" s="280">
        <f>L1375+N1375+P1375+R1375+T1375+V1375+X1375+Z1375</f>
        <v/>
      </c>
      <c r="AE1375" s="280">
        <f>IF((LEFT(K1375,6))="Contab",L1375,0)</f>
        <v/>
      </c>
      <c r="AF1375" s="281">
        <f>VLOOKUP(G1375,CLIENTES!B:E,4,FALSE)</f>
        <v/>
      </c>
      <c r="AG1375" s="280">
        <f>AF1375*AE1375</f>
        <v/>
      </c>
      <c r="AH1375" s="280">
        <f>AD1375*1.21</f>
        <v/>
      </c>
      <c r="AI1375" s="284">
        <f>IF(AE1375&lt;&gt;0,AG1375/AD1375,"N/A")</f>
        <v/>
      </c>
      <c r="AJ1375" s="280">
        <f>IF(AC1375="pendiente",AD1375,0)</f>
        <v/>
      </c>
      <c r="AK1375" s="278">
        <f>VLOOKUP(G1375,CLIENTES!B:D,3,FALSE)</f>
        <v/>
      </c>
    </row>
    <row r="1376" ht="15" customFormat="1" customHeight="1" s="278">
      <c r="B1376" s="279" t="n"/>
      <c r="C1376" s="278" t="inlineStr">
        <is>
          <t>c/ Las Cruzadas 3A, local D</t>
        </is>
      </c>
      <c r="D1376" s="278" t="inlineStr">
        <is>
          <t>Sevilla 41004</t>
        </is>
      </c>
      <c r="E1376" s="278" t="inlineStr">
        <is>
          <t>CIF B91938662</t>
        </is>
      </c>
      <c r="F1376" s="278" t="inlineStr">
        <is>
          <t>aBalados@abalados.es</t>
        </is>
      </c>
      <c r="G1376" s="278" t="inlineStr">
        <is>
          <t>Herrera Renovables 400, A.I.E.</t>
        </is>
      </c>
      <c r="H1376" s="278">
        <f>VLOOKUP($G1376,DATOS!$B:$E,2,FALSE)</f>
        <v/>
      </c>
      <c r="I1376" s="278">
        <f>VLOOKUP($G1376,DATOS!$B:$E,3,FALSE)</f>
        <v/>
      </c>
      <c r="J1376" s="278">
        <f>VLOOKUP($G1376,DATOS!$B:$E,4,FALSE)</f>
        <v/>
      </c>
      <c r="K1376" s="278" t="inlineStr">
        <is>
          <t>Contrato de Asset Management - Subestación Herrera</t>
        </is>
      </c>
      <c r="L1376" s="280" t="n"/>
      <c r="N1376" s="280" t="n"/>
      <c r="O1376" s="278" t="inlineStr">
        <is>
          <t>Fee Trimestral - 1Octubre/31Diciembre 2022</t>
        </is>
      </c>
      <c r="P1376" s="280">
        <f>1250  +  1250*17/30  +  1250*1.068*13/30  +  1250*1.068</f>
        <v/>
      </c>
      <c r="Q1376" s="278" t="inlineStr">
        <is>
          <t>Tasa actualización IPC General (Noviembre 2021 - Noviembre 2022): 6,8%</t>
        </is>
      </c>
      <c r="R1376" s="280" t="n"/>
      <c r="S1376" s="280" t="inlineStr">
        <is>
          <t>Fecha actualización: 18 Noviembre</t>
        </is>
      </c>
      <c r="T1376" s="280" t="n"/>
      <c r="V1376" s="280" t="n"/>
      <c r="X1376" s="280" t="n"/>
      <c r="Z1376" s="280" t="n"/>
      <c r="AA1376" s="280" t="n"/>
      <c r="AB1376" s="281" t="inlineStr">
        <is>
          <t>ES11 0081 7069 2700 0122 7724</t>
        </is>
      </c>
      <c r="AC1376" s="278" t="inlineStr">
        <is>
          <t>pendiente</t>
        </is>
      </c>
      <c r="AD1376" s="280">
        <f>L1376+N1376+P1376+R1376+T1376+V1376+X1376+Z1376</f>
        <v/>
      </c>
      <c r="AE1376" s="280">
        <f>IF((LEFT(K1376,6))="Contab",L1376,0)</f>
        <v/>
      </c>
      <c r="AF1376" s="281">
        <f>VLOOKUP(G1376,CLIENTES!B:E,4,FALSE)</f>
        <v/>
      </c>
      <c r="AG1376" s="280">
        <f>AF1376*AE1376</f>
        <v/>
      </c>
      <c r="AH1376" s="280">
        <f>AD1376*1.21</f>
        <v/>
      </c>
      <c r="AI1376" s="284">
        <f>IF(AE1376&lt;&gt;0,AG1376/AD1376,"N/A")</f>
        <v/>
      </c>
      <c r="AJ1376" s="280">
        <f>IF(AC1376="pendiente",AD1376,0)</f>
        <v/>
      </c>
      <c r="AK1376" s="278">
        <f>VLOOKUP(G1376,CLIENTES!B:D,3,FALSE)</f>
        <v/>
      </c>
    </row>
    <row r="1377" ht="15" customFormat="1" customHeight="1" s="278">
      <c r="B1377" s="279" t="n"/>
      <c r="C1377" s="278" t="inlineStr">
        <is>
          <t>c/ Las Cruzadas 3A, local D</t>
        </is>
      </c>
      <c r="D1377" s="278" t="inlineStr">
        <is>
          <t>Sevilla 41004</t>
        </is>
      </c>
      <c r="E1377" s="278" t="inlineStr">
        <is>
          <t>CIF B91938662</t>
        </is>
      </c>
      <c r="F1377" s="278" t="inlineStr">
        <is>
          <t>aBalados@abalados.es</t>
        </is>
      </c>
      <c r="G1377" s="278" t="inlineStr">
        <is>
          <t>Gazules Renovables, S.L.</t>
        </is>
      </c>
      <c r="H1377" s="278">
        <f>VLOOKUP($G1377,DATOS!$B:$E,2,FALSE)</f>
        <v/>
      </c>
      <c r="I1377" s="278">
        <f>VLOOKUP($G1377,DATOS!$B:$E,3,FALSE)</f>
        <v/>
      </c>
      <c r="J1377" s="278">
        <f>VLOOKUP($G1377,DATOS!$B:$E,4,FALSE)</f>
        <v/>
      </c>
      <c r="K1377" s="278" t="inlineStr">
        <is>
          <t>Contrato de Asset Management - Subestación Gazules</t>
        </is>
      </c>
      <c r="L1377" s="280" t="n"/>
      <c r="N1377" s="280" t="n"/>
      <c r="O1377" s="278" t="inlineStr">
        <is>
          <t>Fee Trimestral - 1Octubre/31Diciembre 2022</t>
        </is>
      </c>
      <c r="P1377" s="280">
        <f>1200  +  1200*23/30  +  1200*1.068*7/30  +  1200*1.068</f>
        <v/>
      </c>
      <c r="Q1377" s="278" t="inlineStr">
        <is>
          <t>Tasa actualización IPC General (Noviembre 2021 - Noviembre 2022): 6,8%</t>
        </is>
      </c>
      <c r="R1377" s="280" t="n"/>
      <c r="S1377" s="280" t="inlineStr">
        <is>
          <t>Fecha actualización: 24 Noviembre</t>
        </is>
      </c>
      <c r="T1377" s="280" t="n"/>
      <c r="V1377" s="280" t="n"/>
      <c r="X1377" s="280" t="n"/>
      <c r="Z1377" s="280" t="n"/>
      <c r="AA1377" s="280" t="n"/>
      <c r="AB1377" s="281" t="inlineStr">
        <is>
          <t>ES11 0081 7069 2700 0122 7724</t>
        </is>
      </c>
      <c r="AC1377" s="278" t="inlineStr">
        <is>
          <t>pendiente</t>
        </is>
      </c>
      <c r="AD1377" s="280">
        <f>L1377+N1377+P1377+R1377+T1377+V1377+X1377+Z1377</f>
        <v/>
      </c>
      <c r="AE1377" s="280">
        <f>IF((LEFT(K1377,6))="Contab",L1377,0)</f>
        <v/>
      </c>
      <c r="AF1377" s="281">
        <f>VLOOKUP(G1377,CLIENTES!B:E,4,FALSE)</f>
        <v/>
      </c>
      <c r="AG1377" s="280">
        <f>AF1377*AE1377</f>
        <v/>
      </c>
      <c r="AH1377" s="280">
        <f>AD1377*1.21</f>
        <v/>
      </c>
      <c r="AI1377" s="284">
        <f>IF(AE1377&lt;&gt;0,AG1377/AD1377,"N/A")</f>
        <v/>
      </c>
      <c r="AJ1377" s="280">
        <f>IF(AC1377="pendiente",AD1377,0)</f>
        <v/>
      </c>
      <c r="AK1377" s="278">
        <f>VLOOKUP(G1377,CLIENTES!B:D,3,FALSE)</f>
        <v/>
      </c>
    </row>
    <row r="1378" ht="15" customFormat="1" customHeight="1" s="278">
      <c r="B1378" s="279" t="n"/>
      <c r="C1378" s="278" t="inlineStr">
        <is>
          <t>c/ Las Cruzadas 3A, local D</t>
        </is>
      </c>
      <c r="D1378" s="278" t="inlineStr">
        <is>
          <t>Sevilla 41004</t>
        </is>
      </c>
      <c r="E1378" s="278" t="inlineStr">
        <is>
          <t>CIF B91938662</t>
        </is>
      </c>
      <c r="F1378" s="278" t="inlineStr">
        <is>
          <t>aBalados@abalados.es</t>
        </is>
      </c>
      <c r="G1378" s="278" t="inlineStr">
        <is>
          <t>Gazules Renovables, S.L.</t>
        </is>
      </c>
      <c r="H1378" s="278">
        <f>VLOOKUP($G1378,DATOS!$B:$E,2,FALSE)</f>
        <v/>
      </c>
      <c r="I1378" s="278">
        <f>VLOOKUP($G1378,DATOS!$B:$E,3,FALSE)</f>
        <v/>
      </c>
      <c r="J1378" s="278">
        <f>VLOOKUP($G1378,DATOS!$B:$E,4,FALSE)</f>
        <v/>
      </c>
      <c r="K1378" s="278" t="inlineStr">
        <is>
          <t>Servicios extraordinarios - Asset Management (subestación Álamo)</t>
        </is>
      </c>
      <c r="L1378" s="280" t="n"/>
      <c r="M1378" s="278" t="inlineStr">
        <is>
          <t>Asistencia técnica para la interlocución con REE en nombre de la Sociedad</t>
        </is>
      </c>
      <c r="N1378" s="280" t="n"/>
      <c r="O1378" s="278" t="inlineStr">
        <is>
          <t>Fee Trimestral - Inicio contrato (15 Septiembre 2022) / 31Diciembre 2022</t>
        </is>
      </c>
      <c r="P1378" s="280">
        <f>285*3.5</f>
        <v/>
      </c>
      <c r="R1378" s="280" t="n"/>
      <c r="T1378" s="280" t="n"/>
      <c r="V1378" s="280" t="n"/>
      <c r="X1378" s="280" t="n"/>
      <c r="Z1378" s="280" t="n"/>
      <c r="AA1378" s="280" t="n"/>
      <c r="AB1378" s="281" t="inlineStr">
        <is>
          <t>ES11 0081 7069 2700 0122 7724</t>
        </is>
      </c>
      <c r="AC1378" s="278" t="inlineStr">
        <is>
          <t>pendiente</t>
        </is>
      </c>
      <c r="AD1378" s="280">
        <f>L1378+N1378+P1378+R1378+T1378+V1378+X1378+Z1378</f>
        <v/>
      </c>
      <c r="AE1378" s="280">
        <f>IF((LEFT(K1378,6))="Contab",L1378,0)</f>
        <v/>
      </c>
      <c r="AF1378" s="281">
        <f>VLOOKUP(G1378,CLIENTES!B:E,4,FALSE)</f>
        <v/>
      </c>
      <c r="AG1378" s="280">
        <f>AF1378*AE1378</f>
        <v/>
      </c>
      <c r="AH1378" s="280">
        <f>AD1378*1.21</f>
        <v/>
      </c>
      <c r="AI1378" s="284">
        <f>IF(AE1378&lt;&gt;0,AG1378/AD1378,"N/A")</f>
        <v/>
      </c>
      <c r="AJ1378" s="280">
        <f>IF(AC1378="pendiente",AD1378,0)</f>
        <v/>
      </c>
      <c r="AK1378" s="278">
        <f>VLOOKUP(G1378,CLIENTES!B:D,3,FALSE)</f>
        <v/>
      </c>
    </row>
    <row r="1379" ht="15" customFormat="1" customHeight="1" s="278">
      <c r="B1379" s="279" t="n"/>
      <c r="C1379" s="278" t="inlineStr">
        <is>
          <t>c/ Las Cruzadas 3A, local D</t>
        </is>
      </c>
      <c r="D1379" s="278" t="inlineStr">
        <is>
          <t>Sevilla 41004</t>
        </is>
      </c>
      <c r="E1379" s="278" t="inlineStr">
        <is>
          <t>CIF B91938662</t>
        </is>
      </c>
      <c r="F1379" s="278" t="inlineStr">
        <is>
          <t>aBalados@abalados.es</t>
        </is>
      </c>
      <c r="G1379" s="278" t="inlineStr">
        <is>
          <t>Evacuación Tordesillas 400 kV, S.L.</t>
        </is>
      </c>
      <c r="H1379" s="278">
        <f>VLOOKUP($G1379,DATOS!$B:$E,2,FALSE)</f>
        <v/>
      </c>
      <c r="I1379" s="278">
        <f>VLOOKUP($G1379,DATOS!$B:$E,3,FALSE)</f>
        <v/>
      </c>
      <c r="J1379" s="278">
        <f>VLOOKUP($G1379,DATOS!$B:$E,4,FALSE)</f>
        <v/>
      </c>
      <c r="K1379" s="278" t="inlineStr">
        <is>
          <t>Contrato de Asset Management - LAAT T2 (Tordesillas)</t>
        </is>
      </c>
      <c r="L1379" s="280" t="n"/>
      <c r="N1379" s="280" t="n"/>
      <c r="O1379" s="278" t="inlineStr">
        <is>
          <t>Fee Trimestral - 1Octubre/31Diciembre 2022</t>
        </is>
      </c>
      <c r="P1379" s="280">
        <f>1200*3</f>
        <v/>
      </c>
      <c r="R1379" s="280" t="n"/>
      <c r="T1379" s="280" t="n"/>
      <c r="V1379" s="280" t="n"/>
      <c r="X1379" s="280" t="n"/>
      <c r="Z1379" s="280" t="n"/>
      <c r="AA1379" s="280" t="n"/>
      <c r="AB1379" s="281" t="inlineStr">
        <is>
          <t>ES11 0081 7069 2700 0122 7724</t>
        </is>
      </c>
      <c r="AC1379" s="278" t="inlineStr">
        <is>
          <t>pendiente</t>
        </is>
      </c>
      <c r="AD1379" s="280">
        <f>L1379+N1379+P1379+R1379+T1379+V1379+X1379+Z1379</f>
        <v/>
      </c>
      <c r="AE1379" s="280">
        <f>IF((LEFT(K1379,6))="Contab",L1379,0)</f>
        <v/>
      </c>
      <c r="AF1379" s="281">
        <f>VLOOKUP(G1379,CLIENTES!B:E,4,FALSE)</f>
        <v/>
      </c>
      <c r="AG1379" s="280">
        <f>AF1379*AE1379</f>
        <v/>
      </c>
      <c r="AH1379" s="280">
        <f>AD1379*1.21</f>
        <v/>
      </c>
      <c r="AI1379" s="284">
        <f>IF(AE1379&lt;&gt;0,AG1379/AD1379,"N/A")</f>
        <v/>
      </c>
      <c r="AJ1379" s="280">
        <f>IF(AC1379="pendiente",AD1379,0)</f>
        <v/>
      </c>
      <c r="AK1379" s="278">
        <f>VLOOKUP(G1379,CLIENTES!B:D,3,FALSE)</f>
        <v/>
      </c>
    </row>
    <row r="1380" ht="15" customFormat="1" customHeight="1" s="278">
      <c r="B1380" s="279" t="n"/>
      <c r="C1380" s="278" t="inlineStr">
        <is>
          <t>c/ Las Cruzadas 3A, local D</t>
        </is>
      </c>
      <c r="D1380" s="278" t="inlineStr">
        <is>
          <t>Sevilla 41004</t>
        </is>
      </c>
      <c r="E1380" s="278" t="inlineStr">
        <is>
          <t>CIF B91938662</t>
        </is>
      </c>
      <c r="F1380" s="278" t="inlineStr">
        <is>
          <t>aBalados@abalados.es</t>
        </is>
      </c>
      <c r="G1380" s="278" t="inlineStr">
        <is>
          <t>Energías Limpias de Carmona, S.L.</t>
        </is>
      </c>
      <c r="H1380" s="278">
        <f>VLOOKUP($G1380,DATOS!$B:$E,2,FALSE)</f>
        <v/>
      </c>
      <c r="I1380" s="278">
        <f>VLOOKUP($G1380,DATOS!$B:$E,3,FALSE)</f>
        <v/>
      </c>
      <c r="J1380" s="278">
        <f>VLOOKUP($G1380,DATOS!$B:$E,4,FALSE)</f>
        <v/>
      </c>
      <c r="K1380" s="278" t="inlineStr">
        <is>
          <t>Contrato de Asset Management - Subestación Carmona220</t>
        </is>
      </c>
      <c r="L1380" s="280" t="n"/>
      <c r="N1380" s="280" t="n"/>
      <c r="O1380" s="278" t="inlineStr">
        <is>
          <t>Fee Trimestral - 1Octubre/31Diciembre 2022</t>
        </is>
      </c>
      <c r="P1380" s="280">
        <f>1250*3</f>
        <v/>
      </c>
      <c r="R1380" s="280" t="n"/>
      <c r="T1380" s="280" t="n"/>
      <c r="V1380" s="280" t="n"/>
      <c r="X1380" s="280" t="n"/>
      <c r="Z1380" s="280" t="n"/>
      <c r="AA1380" s="280" t="n"/>
      <c r="AB1380" s="281" t="inlineStr">
        <is>
          <t>ES11 0081 7069 2700 0122 7724</t>
        </is>
      </c>
      <c r="AC1380" s="278" t="inlineStr">
        <is>
          <t>pendiente</t>
        </is>
      </c>
      <c r="AD1380" s="280">
        <f>L1380+N1380+P1380+R1380+T1380+V1380+X1380+Z1380</f>
        <v/>
      </c>
      <c r="AE1380" s="280">
        <f>IF((LEFT(K1380,6))="Contab",L1380,0)</f>
        <v/>
      </c>
      <c r="AF1380" s="281">
        <f>VLOOKUP(G1380,CLIENTES!B:E,4,FALSE)</f>
        <v/>
      </c>
      <c r="AG1380" s="280">
        <f>AF1380*AE1380</f>
        <v/>
      </c>
      <c r="AH1380" s="280">
        <f>AD1380*1.21</f>
        <v/>
      </c>
      <c r="AI1380" s="284">
        <f>IF(AE1380&lt;&gt;0,AG1380/AD1380,"N/A")</f>
        <v/>
      </c>
      <c r="AJ1380" s="280">
        <f>IF(AC1380="pendiente",AD1380,0)</f>
        <v/>
      </c>
      <c r="AK1380" s="278">
        <f>VLOOKUP(G1380,CLIENTES!B:D,3,FALSE)</f>
        <v/>
      </c>
    </row>
    <row r="1381" ht="15" customFormat="1" customHeight="1" s="278">
      <c r="B1381" s="279" t="n"/>
      <c r="C1381" s="278" t="inlineStr">
        <is>
          <t>c/ Las Cruzadas 3A, local D</t>
        </is>
      </c>
      <c r="D1381" s="278" t="inlineStr">
        <is>
          <t>Sevilla 41004</t>
        </is>
      </c>
      <c r="E1381" s="278" t="inlineStr">
        <is>
          <t>CIF B91938662</t>
        </is>
      </c>
      <c r="F1381" s="278" t="inlineStr">
        <is>
          <t>aBalados@abalados.es</t>
        </is>
      </c>
      <c r="G1381" s="278" t="inlineStr">
        <is>
          <t>LAAT 132 kV Doble Circuito-Tordesillas 400 kV, S.L.</t>
        </is>
      </c>
      <c r="H1381" s="278">
        <f>VLOOKUP($G1381,DATOS!$B:$E,2,FALSE)</f>
        <v/>
      </c>
      <c r="I1381" s="278">
        <f>VLOOKUP($G1381,DATOS!$B:$E,3,FALSE)</f>
        <v/>
      </c>
      <c r="J1381" s="278">
        <f>VLOOKUP($G1381,DATOS!$B:$E,4,FALSE)</f>
        <v/>
      </c>
      <c r="K1381" s="278" t="inlineStr">
        <is>
          <t>Contrato de Asset Management - LAAT T3 (Tordesillas)</t>
        </is>
      </c>
      <c r="L1381" s="280" t="n"/>
      <c r="N1381" s="280" t="n"/>
      <c r="O1381" s="278" t="inlineStr">
        <is>
          <t>Fee Trimestral - 1Octubre/31Diciembre 2022</t>
        </is>
      </c>
      <c r="P1381" s="280">
        <f>1200*3</f>
        <v/>
      </c>
      <c r="R1381" s="280" t="n"/>
      <c r="T1381" s="280" t="n"/>
      <c r="V1381" s="280" t="n"/>
      <c r="X1381" s="280" t="n"/>
      <c r="Z1381" s="280" t="n"/>
      <c r="AA1381" s="280" t="n"/>
      <c r="AB1381" s="281" t="inlineStr">
        <is>
          <t>ES11 0081 7069 2700 0122 7724</t>
        </is>
      </c>
      <c r="AC1381" s="278" t="inlineStr">
        <is>
          <t>pendiente</t>
        </is>
      </c>
      <c r="AD1381" s="280">
        <f>L1381+N1381+P1381+R1381+T1381+V1381+X1381+Z1381</f>
        <v/>
      </c>
      <c r="AE1381" s="280">
        <f>IF((LEFT(K1381,6))="Contab",L1381,0)</f>
        <v/>
      </c>
      <c r="AF1381" s="281">
        <f>VLOOKUP(G1381,CLIENTES!B:E,4,FALSE)</f>
        <v/>
      </c>
      <c r="AG1381" s="280">
        <f>AF1381*AE1381</f>
        <v/>
      </c>
      <c r="AH1381" s="280">
        <f>AD1381*1.21</f>
        <v/>
      </c>
      <c r="AI1381" s="284">
        <f>IF(AE1381&lt;&gt;0,AG1381/AD1381,"N/A")</f>
        <v/>
      </c>
      <c r="AJ1381" s="280">
        <f>IF(AC1381="pendiente",AD1381,0)</f>
        <v/>
      </c>
      <c r="AK1381" s="278">
        <f>VLOOKUP(G1381,CLIENTES!B:D,3,FALSE)</f>
        <v/>
      </c>
    </row>
    <row r="1382" ht="15" customFormat="1" customHeight="1" s="278">
      <c r="B1382" s="279" t="n"/>
      <c r="C1382" s="278" t="inlineStr">
        <is>
          <t>c/ Las Cruzadas 3A, local D</t>
        </is>
      </c>
      <c r="D1382" s="278" t="inlineStr">
        <is>
          <t>Sevilla 41004</t>
        </is>
      </c>
      <c r="E1382" s="278" t="inlineStr">
        <is>
          <t>CIF B91938662</t>
        </is>
      </c>
      <c r="G1382" s="278" t="inlineStr">
        <is>
          <t>SET Carmona 400 kV Renovables, S.L.</t>
        </is>
      </c>
      <c r="H1382" s="278">
        <f>VLOOKUP($G1382,DATOS!$B:$E,2,FALSE)</f>
        <v/>
      </c>
      <c r="I1382" s="278">
        <f>VLOOKUP($G1382,DATOS!$B:$E,3,FALSE)</f>
        <v/>
      </c>
      <c r="J1382" s="278">
        <f>VLOOKUP($G1382,DATOS!$B:$E,4,FALSE)</f>
        <v/>
      </c>
      <c r="K1382" s="278" t="inlineStr">
        <is>
          <t>Contrato de Asset Management - Subestación Carmona400</t>
        </is>
      </c>
      <c r="L1382" s="280" t="n"/>
      <c r="N1382" s="280" t="n"/>
      <c r="O1382" s="278" t="inlineStr">
        <is>
          <t>Fee Trimestral - 1Octubre/31Diciembre 2022</t>
        </is>
      </c>
      <c r="P1382" s="280">
        <f>1250*3</f>
        <v/>
      </c>
      <c r="R1382" s="280" t="n"/>
      <c r="T1382" s="280" t="n"/>
      <c r="V1382" s="280" t="n"/>
      <c r="X1382" s="280" t="n"/>
      <c r="Z1382" s="280" t="n"/>
      <c r="AA1382" s="280" t="n"/>
      <c r="AB1382" s="281" t="inlineStr">
        <is>
          <t>ES11 0081 7069 2700 0122 7724</t>
        </is>
      </c>
      <c r="AC1382" s="278" t="inlineStr">
        <is>
          <t>pendiente</t>
        </is>
      </c>
      <c r="AD1382" s="280">
        <f>L1382+N1382+P1382+R1382+T1382+V1382+X1382+Z1382</f>
        <v/>
      </c>
      <c r="AE1382" s="280">
        <f>IF((LEFT(K1382,6))="Contab",L1382,0)</f>
        <v/>
      </c>
      <c r="AF1382" s="281">
        <f>VLOOKUP(G1382,CLIENTES!B:E,4,FALSE)</f>
        <v/>
      </c>
      <c r="AG1382" s="280">
        <f>AF1382*AE1382</f>
        <v/>
      </c>
      <c r="AH1382" s="280">
        <f>AD1382*1.21</f>
        <v/>
      </c>
      <c r="AI1382" s="284">
        <f>IF(AE1382&lt;&gt;0,AG1382/AD1382,"N/A")</f>
        <v/>
      </c>
      <c r="AJ1382" s="280">
        <f>IF(AC1382="pendiente",AD1382,0)</f>
        <v/>
      </c>
      <c r="AK1382" s="278">
        <f>VLOOKUP(G1382,CLIENTES!B:D,3,FALSE)</f>
        <v/>
      </c>
    </row>
    <row r="1383" ht="15" customFormat="1" customHeight="1" s="278">
      <c r="B1383" s="279" t="n"/>
      <c r="C1383" s="278" t="inlineStr">
        <is>
          <t>c/ Las Cruzadas 3A, local D</t>
        </is>
      </c>
      <c r="D1383" s="278" t="inlineStr">
        <is>
          <t>Sevilla 41004</t>
        </is>
      </c>
      <c r="E1383" s="278" t="inlineStr">
        <is>
          <t>CIF B91938662</t>
        </is>
      </c>
      <c r="G1383" s="278" t="inlineStr">
        <is>
          <t>Evacuación Carmona 400-220 kV Renovables, S.L.</t>
        </is>
      </c>
      <c r="H1383" s="278">
        <f>VLOOKUP($G1383,DATOS!$B:$E,2,FALSE)</f>
        <v/>
      </c>
      <c r="I1383" s="278">
        <f>VLOOKUP($G1383,DATOS!$B:$E,3,FALSE)</f>
        <v/>
      </c>
      <c r="J1383" s="278">
        <f>VLOOKUP($G1383,DATOS!$B:$E,4,FALSE)</f>
        <v/>
      </c>
      <c r="K1383" s="278" t="inlineStr">
        <is>
          <t>Contrato de Asset Management - LAAT 220/400kV</t>
        </is>
      </c>
      <c r="L1383" s="280" t="n"/>
      <c r="N1383" s="280" t="n"/>
      <c r="O1383" s="278" t="inlineStr">
        <is>
          <t>Fee Trimestral - 1Octubre/31Diciembre 2022</t>
        </is>
      </c>
      <c r="P1383" s="280">
        <f>1200*3</f>
        <v/>
      </c>
      <c r="R1383" s="280" t="n"/>
      <c r="T1383" s="280" t="n"/>
      <c r="V1383" s="280" t="n"/>
      <c r="X1383" s="280" t="n"/>
      <c r="Z1383" s="280" t="n"/>
      <c r="AA1383" s="280" t="n"/>
      <c r="AB1383" s="281" t="inlineStr">
        <is>
          <t>ES11 0081 7069 2700 0122 7724</t>
        </is>
      </c>
      <c r="AC1383" s="278" t="inlineStr">
        <is>
          <t>pendiente</t>
        </is>
      </c>
      <c r="AD1383" s="280">
        <f>L1383+N1383+P1383+R1383+T1383+V1383+X1383+Z1383</f>
        <v/>
      </c>
      <c r="AE1383" s="280">
        <f>IF((LEFT(K1383,6))="Contab",L1383,0)</f>
        <v/>
      </c>
      <c r="AF1383" s="281">
        <f>VLOOKUP(G1383,CLIENTES!B:E,4,FALSE)</f>
        <v/>
      </c>
      <c r="AG1383" s="280">
        <f>AF1383*AE1383</f>
        <v/>
      </c>
      <c r="AH1383" s="280">
        <f>AD1383*1.21</f>
        <v/>
      </c>
      <c r="AI1383" s="284">
        <f>IF(AE1383&lt;&gt;0,AG1383/AD1383,"N/A")</f>
        <v/>
      </c>
      <c r="AJ1383" s="280">
        <f>IF(AC1383="pendiente",AD1383,0)</f>
        <v/>
      </c>
      <c r="AK1383" s="278">
        <f>VLOOKUP(G1383,CLIENTES!B:D,3,FALSE)</f>
        <v/>
      </c>
    </row>
    <row r="1384" ht="15" customFormat="1" customHeight="1" s="278">
      <c r="B1384" s="279" t="n"/>
      <c r="C1384" s="278" t="inlineStr">
        <is>
          <t>c/ Las Cruzadas 3A, local D</t>
        </is>
      </c>
      <c r="D1384" s="278" t="inlineStr">
        <is>
          <t>Sevilla 41004</t>
        </is>
      </c>
      <c r="E1384" s="278" t="inlineStr">
        <is>
          <t>CIF B91938662</t>
        </is>
      </c>
      <c r="G1384" s="278" t="inlineStr">
        <is>
          <t>La Serranilla Renovables 132 kV, A.I.E.</t>
        </is>
      </c>
      <c r="H1384" s="278">
        <f>VLOOKUP($G1384,DATOS!$B:$E,2,FALSE)</f>
        <v/>
      </c>
      <c r="I1384" s="278">
        <f>VLOOKUP($G1384,DATOS!$B:$E,3,FALSE)</f>
        <v/>
      </c>
      <c r="J1384" s="278">
        <f>VLOOKUP($G1384,DATOS!$B:$E,4,FALSE)</f>
        <v/>
      </c>
      <c r="K1384" s="278" t="inlineStr">
        <is>
          <t>Contrato de Asset Management - Subestación María Castro</t>
        </is>
      </c>
      <c r="L1384" s="280" t="n"/>
      <c r="N1384" s="280" t="n"/>
      <c r="O1384" s="278" t="inlineStr">
        <is>
          <t>Fee Trimestral - 1Octubre/31Diciembre 2022</t>
        </is>
      </c>
      <c r="P1384" s="280">
        <f>1275*3</f>
        <v/>
      </c>
      <c r="R1384" s="280" t="n"/>
      <c r="T1384" s="280" t="n"/>
      <c r="V1384" s="280" t="n"/>
      <c r="X1384" s="280" t="n"/>
      <c r="Z1384" s="280" t="n"/>
      <c r="AA1384" s="280" t="n"/>
      <c r="AB1384" s="281" t="inlineStr">
        <is>
          <t>ES11 0081 7069 2700 0122 7724</t>
        </is>
      </c>
      <c r="AC1384" s="278" t="inlineStr">
        <is>
          <t>pendiente</t>
        </is>
      </c>
      <c r="AD1384" s="280">
        <f>L1384+N1384+P1384+R1384+T1384+V1384+X1384+Z1384</f>
        <v/>
      </c>
      <c r="AE1384" s="280">
        <f>IF((LEFT(K1384,6))="Contab",L1384,0)</f>
        <v/>
      </c>
      <c r="AF1384" s="281">
        <f>VLOOKUP(G1384,CLIENTES!B:E,4,FALSE)</f>
        <v/>
      </c>
      <c r="AG1384" s="280">
        <f>AF1384*AE1384</f>
        <v/>
      </c>
      <c r="AH1384" s="280">
        <f>AD1384*1.21</f>
        <v/>
      </c>
      <c r="AI1384" s="284">
        <f>IF(AE1384&lt;&gt;0,AG1384/AD1384,"N/A")</f>
        <v/>
      </c>
      <c r="AJ1384" s="280">
        <f>IF(AC1384="pendiente",AD1384,0)</f>
        <v/>
      </c>
      <c r="AK1384" s="278">
        <f>VLOOKUP(G1384,CLIENTES!B:D,3,FALSE)</f>
        <v/>
      </c>
    </row>
    <row r="1385" ht="15" customFormat="1" customHeight="1" s="278">
      <c r="B1385" s="279" t="n"/>
      <c r="C1385" s="278" t="inlineStr">
        <is>
          <t>c/ Las Cruzadas 3A, local D</t>
        </is>
      </c>
      <c r="D1385" s="278" t="inlineStr">
        <is>
          <t>Sevilla 41004</t>
        </is>
      </c>
      <c r="E1385" s="278" t="inlineStr">
        <is>
          <t>CIF B91938662</t>
        </is>
      </c>
      <c r="G1385" s="278" t="inlineStr">
        <is>
          <t>Línea Covatillas, A.I.E.</t>
        </is>
      </c>
      <c r="H1385" s="278">
        <f>VLOOKUP($G1385,DATOS!$B:$E,2,FALSE)</f>
        <v/>
      </c>
      <c r="I1385" s="278">
        <f>VLOOKUP($G1385,DATOS!$B:$E,3,FALSE)</f>
        <v/>
      </c>
      <c r="J1385" s="278">
        <f>VLOOKUP($G1385,DATOS!$B:$E,4,FALSE)</f>
        <v/>
      </c>
      <c r="K1385" s="278" t="inlineStr">
        <is>
          <t>Contrato de Asset Management - LAAT 132kV</t>
        </is>
      </c>
      <c r="L1385" s="280" t="n"/>
      <c r="N1385" s="280" t="n"/>
      <c r="O1385" s="278" t="inlineStr">
        <is>
          <t>Fee Trimestral - 1Octubre/31Diciembre 2022</t>
        </is>
      </c>
      <c r="P1385" s="280">
        <f>1275*3</f>
        <v/>
      </c>
      <c r="R1385" s="280" t="n"/>
      <c r="T1385" s="280" t="n"/>
      <c r="V1385" s="280" t="n"/>
      <c r="X1385" s="280" t="n"/>
      <c r="Z1385" s="280" t="n"/>
      <c r="AA1385" s="280" t="n"/>
      <c r="AB1385" s="281" t="inlineStr">
        <is>
          <t>ES11 0081 7069 2700 0122 7724</t>
        </is>
      </c>
      <c r="AC1385" s="278" t="inlineStr">
        <is>
          <t>pendiente</t>
        </is>
      </c>
      <c r="AD1385" s="280">
        <f>L1385+N1385+P1385+R1385+T1385+V1385+X1385+Z1385</f>
        <v/>
      </c>
      <c r="AE1385" s="280">
        <f>IF((LEFT(K1385,6))="Contab",L1385,0)</f>
        <v/>
      </c>
      <c r="AF1385" s="281">
        <f>VLOOKUP(G1385,CLIENTES!B:E,4,FALSE)</f>
        <v/>
      </c>
      <c r="AG1385" s="280">
        <f>AF1385*AE1385</f>
        <v/>
      </c>
      <c r="AH1385" s="280">
        <f>AD1385*1.21</f>
        <v/>
      </c>
      <c r="AI1385" s="284">
        <f>IF(AE1385&lt;&gt;0,AG1385/AD1385,"N/A")</f>
        <v/>
      </c>
      <c r="AJ1385" s="280">
        <f>IF(AC1385="pendiente",AD1385,0)</f>
        <v/>
      </c>
      <c r="AK1385" s="278">
        <f>VLOOKUP(G1385,CLIENTES!B:D,3,FALSE)</f>
        <v/>
      </c>
    </row>
    <row r="1386" ht="15" customFormat="1" customHeight="1" s="278">
      <c r="B1386" s="279" t="n"/>
      <c r="C1386" s="278" t="inlineStr">
        <is>
          <t>c/ Las Cruzadas 3A, local D</t>
        </is>
      </c>
      <c r="D1386" s="278" t="inlineStr">
        <is>
          <t>Sevilla 41004</t>
        </is>
      </c>
      <c r="E1386" s="278" t="inlineStr">
        <is>
          <t>CIF B91938662</t>
        </is>
      </c>
      <c r="G1386" s="278" t="inlineStr">
        <is>
          <t>Herrera Sotillo Renovables, A.I.E.</t>
        </is>
      </c>
      <c r="H1386" s="278">
        <f>VLOOKUP($G1386,DATOS!$B:$E,2,FALSE)</f>
        <v/>
      </c>
      <c r="I1386" s="278">
        <f>VLOOKUP($G1386,DATOS!$B:$E,3,FALSE)</f>
        <v/>
      </c>
      <c r="J1386" s="278">
        <f>VLOOKUP($G1386,DATOS!$B:$E,4,FALSE)</f>
        <v/>
      </c>
      <c r="K1386" s="278" t="inlineStr">
        <is>
          <t>Contrato de Asset Management - Subestación Sotillo</t>
        </is>
      </c>
      <c r="L1386" s="280" t="n"/>
      <c r="N1386" s="280" t="n"/>
      <c r="O1386" s="278" t="inlineStr">
        <is>
          <t>Fee Trimestral - 1Octubre/31Diciembre 2022</t>
        </is>
      </c>
      <c r="P1386" s="280">
        <f>1250*3</f>
        <v/>
      </c>
      <c r="R1386" s="280" t="n"/>
      <c r="T1386" s="280" t="n"/>
      <c r="V1386" s="280" t="n"/>
      <c r="X1386" s="280" t="n"/>
      <c r="Z1386" s="280" t="n"/>
      <c r="AA1386" s="280" t="n"/>
      <c r="AB1386" s="281" t="inlineStr">
        <is>
          <t>ES11 0081 7069 2700 0122 7724</t>
        </is>
      </c>
      <c r="AC1386" s="278" t="inlineStr">
        <is>
          <t>pendiente</t>
        </is>
      </c>
      <c r="AD1386" s="280">
        <f>L1386+N1386+P1386+R1386+T1386+V1386+X1386+Z1386</f>
        <v/>
      </c>
      <c r="AE1386" s="280">
        <f>IF((LEFT(K1386,6))="Contab",L1386,0)</f>
        <v/>
      </c>
      <c r="AF1386" s="281">
        <f>VLOOKUP(G1386,CLIENTES!B:E,4,FALSE)</f>
        <v/>
      </c>
      <c r="AG1386" s="280">
        <f>AF1386*AE1386</f>
        <v/>
      </c>
      <c r="AH1386" s="280">
        <f>AD1386*1.21</f>
        <v/>
      </c>
      <c r="AI1386" s="284">
        <f>IF(AE1386&lt;&gt;0,AG1386/AD1386,"N/A")</f>
        <v/>
      </c>
      <c r="AJ1386" s="280">
        <f>IF(AC1386="pendiente",AD1386,0)</f>
        <v/>
      </c>
      <c r="AK1386" s="278">
        <f>VLOOKUP(G1386,CLIENTES!B:D,3,FALSE)</f>
        <v/>
      </c>
    </row>
    <row r="1387" ht="15" customFormat="1" customHeight="1" s="278">
      <c r="B1387" s="279" t="n"/>
      <c r="C1387" s="278" t="inlineStr">
        <is>
          <t>c/ Las Cruzadas 3A, local D</t>
        </is>
      </c>
      <c r="D1387" s="278" t="inlineStr">
        <is>
          <t>Sevilla 41004</t>
        </is>
      </c>
      <c r="E1387" s="278" t="inlineStr">
        <is>
          <t>CIF B91938662</t>
        </is>
      </c>
      <c r="G1387" s="278" t="inlineStr">
        <is>
          <t>OTRAS PRODUCCIONES DE ENERGÍA FOTOVOLTAICA, S.A.</t>
        </is>
      </c>
      <c r="H1387" s="278">
        <f>VLOOKUP($G1387,DATOS!$B:$E,2,FALSE)</f>
        <v/>
      </c>
      <c r="I1387" s="278">
        <f>VLOOKUP($G1387,DATOS!$B:$E,3,FALSE)</f>
        <v/>
      </c>
      <c r="J1387" s="278">
        <f>VLOOKUP($G1387,DATOS!$B:$E,4,FALSE)</f>
        <v/>
      </c>
      <c r="K1387" s="278" t="inlineStr">
        <is>
          <t>Servicios de gestión - (11)SPVs en desarrollo</t>
        </is>
      </c>
      <c r="L1387" s="280" t="n"/>
      <c r="N1387" s="280" t="n"/>
      <c r="O1387" s="278" t="inlineStr">
        <is>
          <t>Fee Trimestral - Inicio contrato (16 Noviembre 2022) / 31Diciembre 2022</t>
        </is>
      </c>
      <c r="P1387" s="280">
        <f>11*(6835/12)*16/30  +  11*(6835/12)</f>
        <v/>
      </c>
      <c r="R1387" s="280" t="n"/>
      <c r="S1387" s="278" t="inlineStr">
        <is>
          <t>SPVs de instalaciones de generación de Cliente:</t>
        </is>
      </c>
      <c r="T1387" s="280" t="n"/>
      <c r="U1387" s="278" t="inlineStr">
        <is>
          <t>Ormode46, Ormonde47, OPDE33, Ormonde34, Ormonde37</t>
        </is>
      </c>
      <c r="V1387" s="280" t="n"/>
      <c r="W1387" s="278" t="inlineStr">
        <is>
          <t>OPDE44, OPDE45, OPDE46, OPDE38, OPDE18, OPDE22</t>
        </is>
      </c>
      <c r="X1387" s="280" t="n"/>
      <c r="Z1387" s="280" t="n"/>
      <c r="AA1387" s="280" t="n"/>
      <c r="AB1387" s="281" t="inlineStr">
        <is>
          <t>ES11 0081 7069 2700 0122 7724</t>
        </is>
      </c>
      <c r="AC1387" s="278" t="inlineStr">
        <is>
          <t>pendiente</t>
        </is>
      </c>
      <c r="AD1387" s="280">
        <f>L1387+N1387+P1387+R1387+T1387+V1387+X1387+Z1387</f>
        <v/>
      </c>
      <c r="AE1387" s="280">
        <f>IF((LEFT(K1387,6))="Contab",L1387,0)</f>
        <v/>
      </c>
      <c r="AF1387" s="281">
        <f>VLOOKUP(G1387,CLIENTES!B:E,4,FALSE)</f>
        <v/>
      </c>
      <c r="AG1387" s="280">
        <f>AF1387*AE1387</f>
        <v/>
      </c>
      <c r="AH1387" s="280">
        <f>AD1387*1.21</f>
        <v/>
      </c>
      <c r="AI1387" s="284">
        <f>IF(AE1387&lt;&gt;0,AG1387/AD1387,"N/A")</f>
        <v/>
      </c>
      <c r="AJ1387" s="280">
        <f>IF(AC1387="pendiente",AD1387,0)</f>
        <v/>
      </c>
      <c r="AK1387" s="278">
        <f>VLOOKUP(G1387,CLIENTES!B:D,3,FALSE)</f>
        <v/>
      </c>
    </row>
    <row r="1388" ht="15" customFormat="1" customHeight="1" s="278">
      <c r="B1388" s="279" t="n"/>
      <c r="C1388" s="278" t="inlineStr">
        <is>
          <t>c/ Las Cruzadas 3A, local D</t>
        </is>
      </c>
      <c r="D1388" s="278" t="inlineStr">
        <is>
          <t>Sevilla 41004</t>
        </is>
      </c>
      <c r="E1388" s="278" t="inlineStr">
        <is>
          <t>CIF B91938662</t>
        </is>
      </c>
      <c r="F1388" s="278" t="inlineStr">
        <is>
          <t>aBalados@abalados.es</t>
        </is>
      </c>
      <c r="G1388" s="278" t="inlineStr">
        <is>
          <t>China Triumph International Engineering Co., LTD EP EN SPAIN</t>
        </is>
      </c>
      <c r="H1388" s="278">
        <f>VLOOKUP($G1388,DATOS!$B:$E,2,FALSE)</f>
        <v/>
      </c>
      <c r="I1388" s="278">
        <f>VLOOKUP($G1388,DATOS!$B:$E,3,FALSE)</f>
        <v/>
      </c>
      <c r="J1388" s="278">
        <f>VLOOKUP($G1388,DATOS!$B:$E,4,FALSE)</f>
        <v/>
      </c>
      <c r="K1388" s="278" t="inlineStr">
        <is>
          <t>O&amp;M Supervision and Management</t>
        </is>
      </c>
      <c r="L1388" s="280" t="n"/>
      <c r="N1388" s="280" t="n"/>
      <c r="O1388" s="278" t="inlineStr">
        <is>
          <t>Puerto Real 1 PV - Cádiz | Spain</t>
        </is>
      </c>
      <c r="P1388" s="280">
        <f>15430*1.089</f>
        <v/>
      </c>
      <c r="Q1388" s="278" t="inlineStr">
        <is>
          <t>O&amp;M Management services provided on December 2022</t>
        </is>
      </c>
      <c r="R1388" s="280" t="n"/>
      <c r="T1388" s="280" t="n"/>
      <c r="V1388" s="280" t="n"/>
      <c r="X1388" s="280" t="n"/>
      <c r="Z1388" s="280" t="n"/>
      <c r="AA1388" s="280" t="n"/>
      <c r="AB1388" s="281" t="inlineStr">
        <is>
          <t>ES11 0081 7069 2700 0122 7724</t>
        </is>
      </c>
      <c r="AC1388" s="278" t="inlineStr">
        <is>
          <t>pendiente</t>
        </is>
      </c>
      <c r="AD1388" s="280">
        <f>L1388+N1388+P1388+R1388+T1388+V1388+X1388+Z1388</f>
        <v/>
      </c>
      <c r="AE1388" s="280">
        <f>IF((LEFT(K1388,6))="Contab",L1388,0)</f>
        <v/>
      </c>
      <c r="AF1388" s="281">
        <f>VLOOKUP(G1388,CLIENTES!B:E,4,FALSE)</f>
        <v/>
      </c>
      <c r="AG1388" s="280">
        <f>AF1388*AE1388</f>
        <v/>
      </c>
      <c r="AH1388" s="280">
        <f>AD1388*1.21</f>
        <v/>
      </c>
      <c r="AI1388" s="284">
        <f>IF(AE1388&lt;&gt;0,AG1388/AD1388,"N/A")</f>
        <v/>
      </c>
      <c r="AJ1388" s="280">
        <f>IF(AC1388="pendiente",AD1388,0)</f>
        <v/>
      </c>
      <c r="AK1388" s="278">
        <f>VLOOKUP(G1388,CLIENTES!B:D,3,FALSE)</f>
        <v/>
      </c>
    </row>
    <row r="1389" ht="15" customFormat="1" customHeight="1" s="192">
      <c r="B1389" s="199" t="n"/>
      <c r="C1389" s="192" t="inlineStr">
        <is>
          <t>c/ Las Cruzadas 3A, local D</t>
        </is>
      </c>
      <c r="D1389" s="192" t="inlineStr">
        <is>
          <t>Sevilla 41004</t>
        </is>
      </c>
      <c r="E1389" s="192" t="inlineStr">
        <is>
          <t>CIF B91938662</t>
        </is>
      </c>
      <c r="F1389" s="192" t="inlineStr">
        <is>
          <t>aBalados@abalados.es</t>
        </is>
      </c>
      <c r="G1389" s="192" t="inlineStr">
        <is>
          <t>China Triumph International Engineering Co., LTD EP EN SPAIN</t>
        </is>
      </c>
      <c r="H1389" s="192">
        <f>VLOOKUP($G1389,DATOS!$B:$E,2,FALSE)</f>
        <v/>
      </c>
      <c r="I1389" s="192">
        <f>VLOOKUP($G1389,DATOS!$B:$E,3,FALSE)</f>
        <v/>
      </c>
      <c r="J1389" s="192">
        <f>VLOOKUP($G1389,DATOS!$B:$E,4,FALSE)</f>
        <v/>
      </c>
      <c r="K1389" s="192" t="inlineStr">
        <is>
          <t>Technical Advisory - Support with Commissioning and EPC Closing</t>
        </is>
      </c>
      <c r="L1389" s="200" t="n"/>
      <c r="N1389" s="200" t="n"/>
      <c r="O1389" s="192" t="inlineStr">
        <is>
          <t>Puerto Real 2 PV - Cádiz | Spain</t>
        </is>
      </c>
      <c r="P1389" s="200" t="n">
        <v>25680</v>
      </c>
      <c r="Q1389" s="192" t="inlineStr">
        <is>
          <t>TA Services provided on December 2022</t>
        </is>
      </c>
      <c r="R1389" s="200" t="n"/>
      <c r="T1389" s="200" t="n"/>
      <c r="U1389" s="200" t="n"/>
      <c r="V1389" s="200" t="n"/>
      <c r="W1389" s="200" t="n"/>
      <c r="X1389" s="200" t="n"/>
      <c r="Y1389" s="200" t="n"/>
      <c r="Z1389" s="200" t="n"/>
      <c r="AA1389" s="200" t="n"/>
      <c r="AB1389" s="201" t="inlineStr">
        <is>
          <t>ES11 0081 7069 2700 0122 7724</t>
        </is>
      </c>
      <c r="AC1389" s="192" t="inlineStr">
        <is>
          <t>pendiente</t>
        </is>
      </c>
      <c r="AD1389" s="200">
        <f>L1389+N1389+P1389+R1389+T1389+V1389+X1389+Z1389</f>
        <v/>
      </c>
      <c r="AE1389" s="200">
        <f>IF((LEFT(K1389,6))="Contab",L1389,0)</f>
        <v/>
      </c>
      <c r="AF1389" s="201">
        <f>VLOOKUP(G1389,CLIENTES!B:E,4,FALSE)</f>
        <v/>
      </c>
      <c r="AG1389" s="200">
        <f>AF1389*AE1389</f>
        <v/>
      </c>
      <c r="AH1389" s="200">
        <f>AD1389*1.21</f>
        <v/>
      </c>
      <c r="AI1389" s="283">
        <f>IF(AE1389&lt;&gt;0,AG1389/AD1389,"N/A")</f>
        <v/>
      </c>
      <c r="AJ1389" s="200">
        <f>IF(AC1389="pendiente",AD1389,0)</f>
        <v/>
      </c>
      <c r="AK1389" s="192">
        <f>VLOOKUP(G1389,CLIENTES!B:D,3,FALSE)</f>
        <v/>
      </c>
    </row>
    <row r="1390" ht="15" customFormat="1" customHeight="1" s="189">
      <c r="B1390" s="188" t="n"/>
      <c r="C1390" s="189" t="inlineStr">
        <is>
          <t>c/ Las Cruzadas 3A, local D</t>
        </is>
      </c>
      <c r="D1390" s="189" t="inlineStr">
        <is>
          <t>Sevilla 41004</t>
        </is>
      </c>
      <c r="E1390" s="189" t="inlineStr">
        <is>
          <t>CIF B91938662</t>
        </is>
      </c>
      <c r="F1390" s="189" t="inlineStr">
        <is>
          <t>aBalados@abalados.es</t>
        </is>
      </c>
      <c r="G1390" s="189" t="inlineStr">
        <is>
          <t>FP LUX REIO PV ZARAGOZA SL.</t>
        </is>
      </c>
      <c r="H1390" s="189">
        <f>VLOOKUP($G1390,DATOS!$B:$E,2,FALSE)</f>
        <v/>
      </c>
      <c r="I1390" s="189">
        <f>VLOOKUP($G1390,DATOS!$B:$E,3,FALSE)</f>
        <v/>
      </c>
      <c r="J1390" s="189">
        <f>VLOOKUP($G1390,DATOS!$B:$E,4,FALSE)</f>
        <v/>
      </c>
      <c r="K1390" s="189" t="inlineStr">
        <is>
          <t>Proyecto El Marqués - Zaragoza</t>
        </is>
      </c>
      <c r="L1390" s="190" t="n"/>
      <c r="M1390" s="189" t="inlineStr">
        <is>
          <t>Refacturación gastos</t>
        </is>
      </c>
      <c r="N1390" s="190" t="n"/>
      <c r="O1390" s="189" t="inlineStr">
        <is>
          <t>Mensajería IASOL</t>
        </is>
      </c>
      <c r="P1390" s="190">
        <f>15.39+33.72</f>
        <v/>
      </c>
      <c r="Q1390" s="189" t="inlineStr">
        <is>
          <t>Burofax TRINA</t>
        </is>
      </c>
      <c r="R1390" s="190" t="n">
        <v>25.19</v>
      </c>
      <c r="S1390" s="189" t="inlineStr">
        <is>
          <t>Envío documentación Bankinter</t>
        </is>
      </c>
      <c r="T1390" s="190" t="n">
        <v>32.81</v>
      </c>
      <c r="U1390" s="189" t="inlineStr">
        <is>
          <t>Correos - Burofax JINKO</t>
        </is>
      </c>
      <c r="V1390" s="190">
        <f>7.55+1.65</f>
        <v/>
      </c>
      <c r="X1390" s="190" t="n"/>
      <c r="Z1390" s="190" t="n"/>
      <c r="AA1390" s="190" t="n"/>
      <c r="AB1390" s="191" t="inlineStr">
        <is>
          <t>ES11 0081 7069 2700 0122 7724</t>
        </is>
      </c>
      <c r="AC1390" s="189" t="inlineStr">
        <is>
          <t>pendiente</t>
        </is>
      </c>
      <c r="AD1390" s="190">
        <f>L1390+N1390+P1390+R1390+T1390+V1390+X1390+Z1390</f>
        <v/>
      </c>
      <c r="AE1390" s="190">
        <f>IF((LEFT(K1390,6))="Contab",L1390,0)</f>
        <v/>
      </c>
      <c r="AF1390" s="191">
        <f>VLOOKUP(G1390,CLIENTES!B:E,4,FALSE)</f>
        <v/>
      </c>
      <c r="AG1390" s="190">
        <f>AF1390*AE1390</f>
        <v/>
      </c>
      <c r="AH1390" s="190">
        <f>AD1390*1.21</f>
        <v/>
      </c>
      <c r="AI1390" s="289">
        <f>IF(AE1390&lt;&gt;0,AG1390/AD1390,"N/A")</f>
        <v/>
      </c>
      <c r="AJ1390" s="190">
        <f>IF(AC1390="pendiente",AD1390,0)</f>
        <v/>
      </c>
      <c r="AK1390" s="189">
        <f>VLOOKUP(G1390,CLIENTES!B:D,3,FALSE)</f>
        <v/>
      </c>
    </row>
    <row r="1391" ht="15" customFormat="1" customHeight="1" s="278">
      <c r="B1391" s="279" t="n"/>
      <c r="C1391" s="278" t="inlineStr">
        <is>
          <t>c/ Las Cruzadas 3A, local D</t>
        </is>
      </c>
      <c r="D1391" s="278" t="inlineStr">
        <is>
          <t>Sevilla 41004</t>
        </is>
      </c>
      <c r="E1391" s="278" t="inlineStr">
        <is>
          <t>CIF B91938662</t>
        </is>
      </c>
      <c r="F1391" s="278" t="inlineStr">
        <is>
          <t>aBalados@abalados.es</t>
        </is>
      </c>
      <c r="G1391" s="278" t="inlineStr">
        <is>
          <t>Valcabado Renovables 220 kV, S.L.</t>
        </is>
      </c>
      <c r="H1391" s="278">
        <f>VLOOKUP($G1391,DATOS!$B:$E,2,FALSE)</f>
        <v/>
      </c>
      <c r="I1391" s="278">
        <f>VLOOKUP($G1391,DATOS!$B:$E,3,FALSE)</f>
        <v/>
      </c>
      <c r="J1391" s="278">
        <f>VLOOKUP($G1391,DATOS!$B:$E,4,FALSE)</f>
        <v/>
      </c>
      <c r="K1391" s="278" t="inlineStr">
        <is>
          <t>Factura de suplidos</t>
        </is>
      </c>
      <c r="L1391" s="280" t="n"/>
      <c r="N1391" s="280" t="n"/>
      <c r="P1391" s="280" t="n"/>
      <c r="R1391" s="280" t="n"/>
      <c r="T1391" s="280" t="n"/>
      <c r="V1391" s="280" t="n"/>
      <c r="X1391" s="280" t="n"/>
      <c r="Z1391" s="280" t="n"/>
      <c r="AA1391" s="280" t="n">
        <v>16.94</v>
      </c>
      <c r="AB1391" s="281" t="inlineStr">
        <is>
          <t>ES11 0081 7069 2700 0122 7724</t>
        </is>
      </c>
      <c r="AC1391" s="278" t="inlineStr">
        <is>
          <t>pendiente</t>
        </is>
      </c>
      <c r="AD1391" s="280">
        <f>L1391+N1391+P1391+R1391+T1391+V1391+X1391+Z1391</f>
        <v/>
      </c>
      <c r="AE1391" s="280">
        <f>IF((LEFT(K1391,6))="Contab",L1391,0)</f>
        <v/>
      </c>
      <c r="AF1391" s="297" t="n">
        <v>0</v>
      </c>
      <c r="AG1391" s="280">
        <f>AF1391*AE1391</f>
        <v/>
      </c>
      <c r="AH1391" s="280">
        <f>AD1391*1.21</f>
        <v/>
      </c>
      <c r="AI1391" s="284">
        <f>IF(AE1391&lt;&gt;0,AG1391/AD1391,"N/A")</f>
        <v/>
      </c>
      <c r="AJ1391" s="280">
        <f>IF(AC1391="pendiente",AD1391,0)</f>
        <v/>
      </c>
      <c r="AK1391" s="278">
        <f>VLOOKUP(G1391,CLIENTES!B:D,3,FALSE)</f>
        <v/>
      </c>
    </row>
    <row r="1392" ht="15" customFormat="1" customHeight="1" s="278">
      <c r="B1392" s="279" t="n"/>
      <c r="C1392" s="278" t="inlineStr">
        <is>
          <t>c/ Las Cruzadas 3A, local D</t>
        </is>
      </c>
      <c r="D1392" s="278" t="inlineStr">
        <is>
          <t>Sevilla 41004</t>
        </is>
      </c>
      <c r="E1392" s="278" t="inlineStr">
        <is>
          <t>CIF B91938662</t>
        </is>
      </c>
      <c r="F1392" s="278" t="inlineStr">
        <is>
          <t>aBalados@abalados.es</t>
        </is>
      </c>
      <c r="G1392" s="278" t="inlineStr">
        <is>
          <t>Cubillos Renovables, S.L.</t>
        </is>
      </c>
      <c r="H1392" s="278">
        <f>VLOOKUP($G1392,DATOS!$B:$E,2,FALSE)</f>
        <v/>
      </c>
      <c r="I1392" s="278">
        <f>VLOOKUP($G1392,DATOS!$B:$E,3,FALSE)</f>
        <v/>
      </c>
      <c r="J1392" s="278">
        <f>VLOOKUP($G1392,DATOS!$B:$E,4,FALSE)</f>
        <v/>
      </c>
      <c r="K1392" s="278" t="inlineStr">
        <is>
          <t>Refacturación gastos y/o servicios prestados a nombre de la sociedad</t>
        </is>
      </c>
      <c r="L1392" s="280" t="n"/>
      <c r="M1392" s="278" t="inlineStr">
        <is>
          <t>Envío de documentación</t>
        </is>
      </c>
      <c r="N1392" s="280" t="n">
        <v>11.76</v>
      </c>
      <c r="P1392" s="280" t="n"/>
      <c r="R1392" s="280" t="n"/>
      <c r="S1392" s="280" t="n"/>
      <c r="T1392" s="280" t="n"/>
      <c r="V1392" s="280" t="n"/>
      <c r="X1392" s="280" t="n"/>
      <c r="Z1392" s="280" t="n"/>
      <c r="AA1392" s="280" t="n"/>
      <c r="AB1392" s="281" t="inlineStr">
        <is>
          <t>ES11 0081 7069 2700 0122 7724</t>
        </is>
      </c>
      <c r="AC1392" s="278" t="inlineStr">
        <is>
          <t>pendiente</t>
        </is>
      </c>
      <c r="AD1392" s="280">
        <f>L1392+N1392+P1392+R1392+T1392+V1392+X1392+Z1392</f>
        <v/>
      </c>
      <c r="AE1392" s="280">
        <f>IF((LEFT(K1392,6))="Contab",L1392,0)</f>
        <v/>
      </c>
      <c r="AF1392" s="297" t="n">
        <v>0</v>
      </c>
      <c r="AG1392" s="280">
        <f>AF1392*AE1392</f>
        <v/>
      </c>
      <c r="AH1392" s="280">
        <f>AD1392*1.21</f>
        <v/>
      </c>
      <c r="AI1392" s="284">
        <f>IF(AE1392&lt;&gt;0,AG1392/AD1392,"N/A")</f>
        <v/>
      </c>
      <c r="AJ1392" s="280">
        <f>IF(AC1392="pendiente",AD1392,0)</f>
        <v/>
      </c>
      <c r="AK1392" s="278">
        <f>VLOOKUP(G1392,CLIENTES!B:D,3,FALSE)</f>
        <v/>
      </c>
    </row>
    <row r="1393" ht="15" customFormat="1" customHeight="1" s="278">
      <c r="B1393" s="279" t="n"/>
      <c r="C1393" s="278" t="inlineStr">
        <is>
          <t>c/ Las Cruzadas 3A, local D</t>
        </is>
      </c>
      <c r="D1393" s="278" t="inlineStr">
        <is>
          <t>Sevilla 41004</t>
        </is>
      </c>
      <c r="E1393" s="278" t="inlineStr">
        <is>
          <t>CIF B91938662</t>
        </is>
      </c>
      <c r="F1393" s="278" t="inlineStr">
        <is>
          <t>aBalados@abalados.es</t>
        </is>
      </c>
      <c r="G1393" s="278" t="inlineStr">
        <is>
          <t>Tordesillas Renovables, S.L.</t>
        </is>
      </c>
      <c r="H1393" s="278">
        <f>VLOOKUP($G1393,DATOS!$B:$E,2,FALSE)</f>
        <v/>
      </c>
      <c r="I1393" s="278">
        <f>VLOOKUP($G1393,DATOS!$B:$E,3,FALSE)</f>
        <v/>
      </c>
      <c r="J1393" s="278">
        <f>VLOOKUP($G1393,DATOS!$B:$E,4,FALSE)</f>
        <v/>
      </c>
      <c r="K1393" s="278" t="inlineStr">
        <is>
          <t>Refacturación gastos y/o servicios prestados a nombre de la sociedad</t>
        </is>
      </c>
      <c r="L1393" s="280" t="n"/>
      <c r="M1393" s="278" t="inlineStr">
        <is>
          <t>Envío de documentación</t>
        </is>
      </c>
      <c r="N1393" s="280" t="n">
        <v>5.88</v>
      </c>
      <c r="P1393" s="280" t="n"/>
      <c r="R1393" s="280" t="n"/>
      <c r="S1393" s="280" t="n"/>
      <c r="T1393" s="280" t="n"/>
      <c r="V1393" s="280" t="n"/>
      <c r="X1393" s="280" t="n"/>
      <c r="Z1393" s="280" t="n"/>
      <c r="AA1393" s="280" t="n">
        <v>458.66</v>
      </c>
      <c r="AB1393" s="281" t="inlineStr">
        <is>
          <t>ES11 0081 7069 2700 0122 7724</t>
        </is>
      </c>
      <c r="AC1393" s="278" t="inlineStr">
        <is>
          <t>pendiente</t>
        </is>
      </c>
      <c r="AD1393" s="280">
        <f>L1393+N1393+P1393+R1393+T1393+V1393+X1393+Z1393</f>
        <v/>
      </c>
      <c r="AE1393" s="280">
        <f>IF((LEFT(K1393,6))="Contab",L1393,0)</f>
        <v/>
      </c>
      <c r="AF1393" s="297" t="n">
        <v>0</v>
      </c>
      <c r="AG1393" s="280">
        <f>AF1393*AE1393</f>
        <v/>
      </c>
      <c r="AH1393" s="280">
        <f>AD1393*1.21</f>
        <v/>
      </c>
      <c r="AI1393" s="284">
        <f>IF(AE1393&lt;&gt;0,AG1393/AD1393,"N/A")</f>
        <v/>
      </c>
      <c r="AJ1393" s="280">
        <f>IF(AC1393="pendiente",AD1393,0)</f>
        <v/>
      </c>
      <c r="AK1393" s="278">
        <f>VLOOKUP(G1393,CLIENTES!B:D,3,FALSE)</f>
        <v/>
      </c>
    </row>
    <row r="1394" ht="15" customFormat="1" customHeight="1" s="278">
      <c r="B1394" s="279" t="n"/>
      <c r="C1394" s="278" t="inlineStr">
        <is>
          <t>c/ Las Cruzadas 3A, local D</t>
        </is>
      </c>
      <c r="D1394" s="278" t="inlineStr">
        <is>
          <t>Sevilla 41004</t>
        </is>
      </c>
      <c r="E1394" s="278" t="inlineStr">
        <is>
          <t>CIF B91938662</t>
        </is>
      </c>
      <c r="F1394" s="278" t="inlineStr">
        <is>
          <t>aBalados@abalados.es</t>
        </is>
      </c>
      <c r="G1394" s="278" t="inlineStr">
        <is>
          <t>Gazules Renovables, S.L.</t>
        </is>
      </c>
      <c r="H1394" s="278">
        <f>VLOOKUP($G1394,DATOS!$B:$E,2,FALSE)</f>
        <v/>
      </c>
      <c r="I1394" s="278">
        <f>VLOOKUP($G1394,DATOS!$B:$E,3,FALSE)</f>
        <v/>
      </c>
      <c r="J1394" s="278">
        <f>VLOOKUP($G1394,DATOS!$B:$E,4,FALSE)</f>
        <v/>
      </c>
      <c r="K1394" s="278" t="inlineStr">
        <is>
          <t>Refacturación gastos y/o servicios prestados a nombre de la sociedad</t>
        </is>
      </c>
      <c r="L1394" s="280" t="n"/>
      <c r="M1394" s="278" t="inlineStr">
        <is>
          <t>Envío burofax</t>
        </is>
      </c>
      <c r="N1394" s="280" t="n">
        <v>26.14</v>
      </c>
      <c r="O1394" s="278" t="inlineStr">
        <is>
          <t>Envío documentación</t>
        </is>
      </c>
      <c r="P1394" s="280" t="n">
        <v>29.91</v>
      </c>
      <c r="R1394" s="280" t="n"/>
      <c r="S1394" s="280" t="n"/>
      <c r="T1394" s="280" t="n"/>
      <c r="V1394" s="280" t="n"/>
      <c r="X1394" s="280" t="n"/>
      <c r="Z1394" s="280" t="n"/>
      <c r="AA1394" s="280" t="n">
        <v>204</v>
      </c>
      <c r="AB1394" s="281" t="inlineStr">
        <is>
          <t>ES11 0081 7069 2700 0122 7724</t>
        </is>
      </c>
      <c r="AC1394" s="278" t="inlineStr">
        <is>
          <t>pendiente</t>
        </is>
      </c>
      <c r="AD1394" s="280">
        <f>L1394+N1394+P1394+R1394+T1394+V1394+X1394+Z1394</f>
        <v/>
      </c>
      <c r="AE1394" s="280">
        <f>IF((LEFT(K1394,6))="Contab",L1394,0)</f>
        <v/>
      </c>
      <c r="AF1394" s="297" t="n">
        <v>0</v>
      </c>
      <c r="AG1394" s="280">
        <f>AF1394*AE1394</f>
        <v/>
      </c>
      <c r="AH1394" s="280">
        <f>AD1394*1.21</f>
        <v/>
      </c>
      <c r="AI1394" s="284">
        <f>IF(AE1394&lt;&gt;0,AG1394/AD1394,"N/A")</f>
        <v/>
      </c>
      <c r="AJ1394" s="280">
        <f>IF(AC1394="pendiente",AD1394,0)</f>
        <v/>
      </c>
      <c r="AK1394" s="278">
        <f>VLOOKUP(G1394,CLIENTES!B:D,3,FALSE)</f>
        <v/>
      </c>
    </row>
    <row r="1395" ht="15" customFormat="1" customHeight="1" s="278">
      <c r="B1395" s="279" t="n"/>
      <c r="C1395" s="278" t="inlineStr">
        <is>
          <t>c/ Las Cruzadas 3A, local D</t>
        </is>
      </c>
      <c r="D1395" s="278" t="inlineStr">
        <is>
          <t>Sevilla 41004</t>
        </is>
      </c>
      <c r="E1395" s="278" t="inlineStr">
        <is>
          <t>CIF B91938662</t>
        </is>
      </c>
      <c r="F1395" s="278" t="inlineStr">
        <is>
          <t>aBalados@abalados.es</t>
        </is>
      </c>
      <c r="G1395" s="278" t="inlineStr">
        <is>
          <t>Monte Reina Renovables, S.L.</t>
        </is>
      </c>
      <c r="H1395" s="278">
        <f>VLOOKUP($G1395,DATOS!$B:$E,2,FALSE)</f>
        <v/>
      </c>
      <c r="I1395" s="278">
        <f>VLOOKUP($G1395,DATOS!$B:$E,3,FALSE)</f>
        <v/>
      </c>
      <c r="J1395" s="278">
        <f>VLOOKUP($G1395,DATOS!$B:$E,4,FALSE)</f>
        <v/>
      </c>
      <c r="K1395" s="278" t="inlineStr">
        <is>
          <t>Refacturación gastos y/o servicios prestados a nombre de la sociedad</t>
        </is>
      </c>
      <c r="L1395" s="280" t="n"/>
      <c r="M1395" s="278" t="inlineStr">
        <is>
          <t>Envío de documentación</t>
        </is>
      </c>
      <c r="N1395" s="280" t="n">
        <v>61.71</v>
      </c>
      <c r="P1395" s="280" t="n"/>
      <c r="R1395" s="280" t="n"/>
      <c r="S1395" s="280" t="n"/>
      <c r="T1395" s="280" t="n"/>
      <c r="V1395" s="280" t="n"/>
      <c r="X1395" s="280" t="n"/>
      <c r="Z1395" s="280" t="n"/>
      <c r="AA1395" s="280" t="n">
        <v>16.94</v>
      </c>
      <c r="AB1395" s="281" t="inlineStr">
        <is>
          <t>ES11 0081 7069 2700 0122 7724</t>
        </is>
      </c>
      <c r="AC1395" s="278" t="inlineStr">
        <is>
          <t>pendiente</t>
        </is>
      </c>
      <c r="AD1395" s="280">
        <f>L1395+N1395+P1395+R1395+T1395+V1395+X1395+Z1395</f>
        <v/>
      </c>
      <c r="AE1395" s="280">
        <f>IF((LEFT(K1395,6))="Contab",L1395,0)</f>
        <v/>
      </c>
      <c r="AF1395" s="297" t="n">
        <v>0</v>
      </c>
      <c r="AG1395" s="280">
        <f>AF1395*AE1395</f>
        <v/>
      </c>
      <c r="AH1395" s="280">
        <f>AD1395*1.21</f>
        <v/>
      </c>
      <c r="AI1395" s="284">
        <f>IF(AE1395&lt;&gt;0,AG1395/AD1395,"N/A")</f>
        <v/>
      </c>
      <c r="AJ1395" s="280">
        <f>IF(AC1395="pendiente",AD1395,0)</f>
        <v/>
      </c>
      <c r="AK1395" s="278">
        <f>VLOOKUP(G1395,CLIENTES!B:D,3,FALSE)</f>
        <v/>
      </c>
    </row>
    <row r="1396" ht="15" customFormat="1" customHeight="1" s="278">
      <c r="B1396" s="279" t="n"/>
      <c r="C1396" s="278" t="inlineStr">
        <is>
          <t>c/ Las Cruzadas 3A, local D</t>
        </is>
      </c>
      <c r="D1396" s="278" t="inlineStr">
        <is>
          <t>Sevilla 41004</t>
        </is>
      </c>
      <c r="E1396" s="278" t="inlineStr">
        <is>
          <t>CIF B91938662</t>
        </is>
      </c>
      <c r="F1396" s="278" t="inlineStr">
        <is>
          <t>aBalados@abalados.es</t>
        </is>
      </c>
      <c r="G1396" s="278" t="inlineStr">
        <is>
          <t>Evacuación Tordesillas 400 kV, S.L.</t>
        </is>
      </c>
      <c r="H1396" s="278">
        <f>VLOOKUP($G1396,DATOS!$B:$E,2,FALSE)</f>
        <v/>
      </c>
      <c r="I1396" s="278">
        <f>VLOOKUP($G1396,DATOS!$B:$E,3,FALSE)</f>
        <v/>
      </c>
      <c r="J1396" s="278">
        <f>VLOOKUP($G1396,DATOS!$B:$E,4,FALSE)</f>
        <v/>
      </c>
      <c r="K1396" s="278" t="inlineStr">
        <is>
          <t>Refacturación gastos y/o servicios prestados a nombre de la sociedad</t>
        </is>
      </c>
      <c r="L1396" s="280" t="n"/>
      <c r="M1396" s="278" t="inlineStr">
        <is>
          <t>Envío de documentación</t>
        </is>
      </c>
      <c r="N1396" s="280" t="n">
        <v>5.88</v>
      </c>
      <c r="P1396" s="280" t="n"/>
      <c r="R1396" s="280" t="n"/>
      <c r="T1396" s="280" t="n"/>
      <c r="V1396" s="280" t="n"/>
      <c r="X1396" s="280" t="n"/>
      <c r="Z1396" s="280" t="n"/>
      <c r="AA1396" s="280" t="n">
        <v>16.94</v>
      </c>
      <c r="AB1396" s="281" t="inlineStr">
        <is>
          <t>ES11 0081 7069 2700 0122 7724</t>
        </is>
      </c>
      <c r="AC1396" s="278" t="inlineStr">
        <is>
          <t>pendiente</t>
        </is>
      </c>
      <c r="AD1396" s="280">
        <f>L1396+N1396+P1396+R1396+T1396+V1396+X1396+Z1396</f>
        <v/>
      </c>
      <c r="AE1396" s="280">
        <f>IF((LEFT(K1396,6))="Contab",L1396,0)</f>
        <v/>
      </c>
      <c r="AF1396" s="297" t="n">
        <v>0</v>
      </c>
      <c r="AG1396" s="280">
        <f>AF1396*AE1396</f>
        <v/>
      </c>
      <c r="AH1396" s="280">
        <f>AD1396*1.21</f>
        <v/>
      </c>
      <c r="AI1396" s="284">
        <f>IF(AE1396&lt;&gt;0,AG1396/AD1396,"N/A")</f>
        <v/>
      </c>
      <c r="AJ1396" s="280">
        <f>IF(AC1396="pendiente",AD1396,0)</f>
        <v/>
      </c>
      <c r="AK1396" s="278">
        <f>VLOOKUP(G1396,CLIENTES!B:D,3,FALSE)</f>
        <v/>
      </c>
    </row>
    <row r="1397" ht="15" customFormat="1" customHeight="1" s="278">
      <c r="B1397" s="279" t="n"/>
      <c r="C1397" s="278" t="inlineStr">
        <is>
          <t>c/ Las Cruzadas 3A, local D</t>
        </is>
      </c>
      <c r="D1397" s="278" t="inlineStr">
        <is>
          <t>Sevilla 41004</t>
        </is>
      </c>
      <c r="E1397" s="278" t="inlineStr">
        <is>
          <t>CIF B91938662</t>
        </is>
      </c>
      <c r="F1397" s="278" t="inlineStr">
        <is>
          <t>aBalados@abalados.es</t>
        </is>
      </c>
      <c r="G1397" s="278" t="inlineStr">
        <is>
          <t>Herrera Renovables 400, A.I.E.</t>
        </is>
      </c>
      <c r="H1397" s="278">
        <f>VLOOKUP($G1397,DATOS!$B:$E,2,FALSE)</f>
        <v/>
      </c>
      <c r="I1397" s="278">
        <f>VLOOKUP($G1397,DATOS!$B:$E,3,FALSE)</f>
        <v/>
      </c>
      <c r="J1397" s="278">
        <f>VLOOKUP($G1397,DATOS!$B:$E,4,FALSE)</f>
        <v/>
      </c>
      <c r="K1397" s="278" t="inlineStr">
        <is>
          <t>Refacturación gastos y/o servicios prestados a nombre de la sociedad</t>
        </is>
      </c>
      <c r="L1397" s="280" t="n"/>
      <c r="M1397" s="278" t="inlineStr">
        <is>
          <t>Envío de documentación</t>
        </is>
      </c>
      <c r="N1397" s="280" t="n">
        <v>5.88</v>
      </c>
      <c r="P1397" s="280" t="n"/>
      <c r="R1397" s="280" t="n"/>
      <c r="T1397" s="280" t="n"/>
      <c r="V1397" s="280" t="n"/>
      <c r="X1397" s="280" t="n"/>
      <c r="Z1397" s="280" t="n"/>
      <c r="AA1397" s="280" t="n">
        <v>16.94</v>
      </c>
      <c r="AB1397" s="281" t="inlineStr">
        <is>
          <t>ES11 0081 7069 2700 0122 7724</t>
        </is>
      </c>
      <c r="AC1397" s="278" t="inlineStr">
        <is>
          <t>pendiente</t>
        </is>
      </c>
      <c r="AD1397" s="280">
        <f>L1397+N1397+P1397+R1397+T1397+V1397+X1397+Z1397</f>
        <v/>
      </c>
      <c r="AE1397" s="280">
        <f>IF((LEFT(K1397,6))="Contab",L1397,0)</f>
        <v/>
      </c>
      <c r="AF1397" s="297" t="n">
        <v>0</v>
      </c>
      <c r="AG1397" s="280">
        <f>AF1397*AE1397</f>
        <v/>
      </c>
      <c r="AH1397" s="280">
        <f>AD1397*1.21</f>
        <v/>
      </c>
      <c r="AI1397" s="284">
        <f>IF(AE1397&lt;&gt;0,AG1397/AD1397,"N/A")</f>
        <v/>
      </c>
      <c r="AJ1397" s="280">
        <f>IF(AC1397="pendiente",AD1397,0)</f>
        <v/>
      </c>
      <c r="AK1397" s="278">
        <f>VLOOKUP(G1397,CLIENTES!B:D,3,FALSE)</f>
        <v/>
      </c>
    </row>
    <row r="1398" ht="15" customFormat="1" customHeight="1" s="278">
      <c r="B1398" s="279" t="n"/>
      <c r="C1398" s="278" t="inlineStr">
        <is>
          <t>c/ Las Cruzadas 3A, local D</t>
        </is>
      </c>
      <c r="D1398" s="278" t="inlineStr">
        <is>
          <t>Sevilla 41004</t>
        </is>
      </c>
      <c r="E1398" s="278" t="inlineStr">
        <is>
          <t>CIF B91938662</t>
        </is>
      </c>
      <c r="G1398" s="278" t="inlineStr">
        <is>
          <t>Evacuación Carmona 400-220 kV Renovables, S.L.</t>
        </is>
      </c>
      <c r="H1398" s="278">
        <f>VLOOKUP($G1398,DATOS!$B:$E,2,FALSE)</f>
        <v/>
      </c>
      <c r="I1398" s="278">
        <f>VLOOKUP($G1398,DATOS!$B:$E,3,FALSE)</f>
        <v/>
      </c>
      <c r="J1398" s="278">
        <f>VLOOKUP($G1398,DATOS!$B:$E,4,FALSE)</f>
        <v/>
      </c>
      <c r="K1398" s="278" t="inlineStr">
        <is>
          <t>Refacturación gastos y/o servicios prestados a nombre de la sociedad</t>
        </is>
      </c>
      <c r="L1398" s="280" t="n"/>
      <c r="M1398" s="278" t="inlineStr">
        <is>
          <t>Registro Mercantil - Nota Informativa</t>
        </is>
      </c>
      <c r="N1398" s="280" t="n">
        <v>5.98</v>
      </c>
      <c r="P1398" s="280" t="n"/>
      <c r="R1398" s="280" t="n"/>
      <c r="T1398" s="280" t="n"/>
      <c r="V1398" s="280" t="n"/>
      <c r="X1398" s="280" t="n"/>
      <c r="Z1398" s="280" t="n"/>
      <c r="AA1398" s="280" t="n"/>
      <c r="AB1398" s="281" t="inlineStr">
        <is>
          <t>ES11 0081 7069 2700 0122 7724</t>
        </is>
      </c>
      <c r="AC1398" s="278" t="inlineStr">
        <is>
          <t>pendiente</t>
        </is>
      </c>
      <c r="AD1398" s="280">
        <f>L1398+N1398+P1398+R1398+T1398+V1398+X1398+Z1398</f>
        <v/>
      </c>
      <c r="AE1398" s="280">
        <f>IF((LEFT(K1398,6))="Contab",L1398,0)</f>
        <v/>
      </c>
      <c r="AF1398" s="297" t="n">
        <v>0</v>
      </c>
      <c r="AG1398" s="280">
        <f>AF1398*AE1398</f>
        <v/>
      </c>
      <c r="AH1398" s="280">
        <f>AD1398*1.21</f>
        <v/>
      </c>
      <c r="AI1398" s="284">
        <f>IF(AE1398&lt;&gt;0,AG1398/AD1398,"N/A")</f>
        <v/>
      </c>
      <c r="AJ1398" s="280">
        <f>IF(AC1398="pendiente",AD1398,0)</f>
        <v/>
      </c>
      <c r="AK1398" s="278">
        <f>VLOOKUP(G1398,CLIENTES!B:D,3,FALSE)</f>
        <v/>
      </c>
    </row>
    <row r="1399" ht="15" customFormat="1" customHeight="1" s="278">
      <c r="B1399" s="279" t="n"/>
      <c r="C1399" s="278" t="inlineStr">
        <is>
          <t>c/ Las Cruzadas 3A, local D</t>
        </is>
      </c>
      <c r="D1399" s="278" t="inlineStr">
        <is>
          <t>Sevilla 41004</t>
        </is>
      </c>
      <c r="E1399" s="278" t="inlineStr">
        <is>
          <t>CIF B91938662</t>
        </is>
      </c>
      <c r="G1399" s="278" t="inlineStr">
        <is>
          <t>SET Carmona 400 kV Renovables, S.L.</t>
        </is>
      </c>
      <c r="H1399" s="278">
        <f>VLOOKUP($G1399,DATOS!$B:$E,2,FALSE)</f>
        <v/>
      </c>
      <c r="I1399" s="278">
        <f>VLOOKUP($G1399,DATOS!$B:$E,3,FALSE)</f>
        <v/>
      </c>
      <c r="J1399" s="278">
        <f>VLOOKUP($G1399,DATOS!$B:$E,4,FALSE)</f>
        <v/>
      </c>
      <c r="K1399" s="278" t="inlineStr">
        <is>
          <t>Refacturación gastos y/o servicios prestados a nombre de la sociedad</t>
        </is>
      </c>
      <c r="L1399" s="280" t="n"/>
      <c r="M1399" s="278" t="inlineStr">
        <is>
          <t>Envío de documentación</t>
        </is>
      </c>
      <c r="N1399" s="280" t="n">
        <v>5.88</v>
      </c>
      <c r="O1399" s="278" t="inlineStr">
        <is>
          <t>Registro Mercantil - Nota Informativa</t>
        </is>
      </c>
      <c r="P1399" s="280" t="n">
        <v>5.98</v>
      </c>
      <c r="Q1399" s="278" t="inlineStr">
        <is>
          <t>Certificación de poderes</t>
        </is>
      </c>
      <c r="R1399" s="280" t="n">
        <v>27.95</v>
      </c>
      <c r="T1399" s="280" t="n"/>
      <c r="V1399" s="280" t="n"/>
      <c r="X1399" s="280" t="n"/>
      <c r="Z1399" s="280" t="n"/>
      <c r="AA1399" s="280" t="n">
        <v>16.94</v>
      </c>
      <c r="AB1399" s="281" t="inlineStr">
        <is>
          <t>ES11 0081 7069 2700 0122 7724</t>
        </is>
      </c>
      <c r="AC1399" s="278" t="inlineStr">
        <is>
          <t>pendiente</t>
        </is>
      </c>
      <c r="AD1399" s="280">
        <f>L1399+N1399+P1399+R1399+T1399+V1399+X1399+Z1399</f>
        <v/>
      </c>
      <c r="AE1399" s="280">
        <f>IF((LEFT(K1399,6))="Contab",L1399,0)</f>
        <v/>
      </c>
      <c r="AF1399" s="297" t="n">
        <v>0</v>
      </c>
      <c r="AG1399" s="280">
        <f>AF1399*AE1399</f>
        <v/>
      </c>
      <c r="AH1399" s="280">
        <f>AD1399*1.21</f>
        <v/>
      </c>
      <c r="AI1399" s="284">
        <f>IF(AE1399&lt;&gt;0,AG1399/AD1399,"N/A")</f>
        <v/>
      </c>
      <c r="AJ1399" s="280">
        <f>IF(AC1399="pendiente",AD1399,0)</f>
        <v/>
      </c>
      <c r="AK1399" s="278">
        <f>VLOOKUP(G1399,CLIENTES!B:D,3,FALSE)</f>
        <v/>
      </c>
    </row>
    <row r="1400" ht="15" customFormat="1" customHeight="1" s="278">
      <c r="B1400" s="279" t="n"/>
      <c r="C1400" s="278" t="inlineStr">
        <is>
          <t>c/ Las Cruzadas 3A, local D</t>
        </is>
      </c>
      <c r="D1400" s="278" t="inlineStr">
        <is>
          <t>Sevilla 41004</t>
        </is>
      </c>
      <c r="E1400" s="278" t="inlineStr">
        <is>
          <t>CIF B91938662</t>
        </is>
      </c>
      <c r="F1400" s="278" t="inlineStr">
        <is>
          <t>aBalados@abalados.es</t>
        </is>
      </c>
      <c r="G1400" s="278" t="inlineStr">
        <is>
          <t>Energías Limpias de Carmona, S.L.</t>
        </is>
      </c>
      <c r="H1400" s="278">
        <f>VLOOKUP($G1400,DATOS!$B:$E,2,FALSE)</f>
        <v/>
      </c>
      <c r="I1400" s="278">
        <f>VLOOKUP($G1400,DATOS!$B:$E,3,FALSE)</f>
        <v/>
      </c>
      <c r="J1400" s="278">
        <f>VLOOKUP($G1400,DATOS!$B:$E,4,FALSE)</f>
        <v/>
      </c>
      <c r="K1400" s="278" t="inlineStr">
        <is>
          <t>Refacturación gastos y/o servicios prestados a nombre de la sociedad</t>
        </is>
      </c>
      <c r="L1400" s="280" t="n"/>
      <c r="M1400" s="278" t="inlineStr">
        <is>
          <t>Envío de documentación</t>
        </is>
      </c>
      <c r="N1400" s="280" t="n">
        <v>5.88</v>
      </c>
      <c r="O1400" s="278" t="inlineStr">
        <is>
          <t>Registro Mercantil - Nota Informativa</t>
        </is>
      </c>
      <c r="P1400" s="280" t="n">
        <v>5.98</v>
      </c>
      <c r="Q1400" s="278" t="inlineStr">
        <is>
          <t>Certificación de poderes</t>
        </is>
      </c>
      <c r="R1400" s="280" t="n">
        <v>27.95</v>
      </c>
      <c r="T1400" s="280" t="n"/>
      <c r="V1400" s="280" t="n"/>
      <c r="X1400" s="280" t="n"/>
      <c r="Z1400" s="280" t="n"/>
      <c r="AA1400" s="280" t="n">
        <v>16.94</v>
      </c>
      <c r="AB1400" s="281" t="inlineStr">
        <is>
          <t>ES11 0081 7069 2700 0122 7724</t>
        </is>
      </c>
      <c r="AC1400" s="278" t="inlineStr">
        <is>
          <t>pendiente</t>
        </is>
      </c>
      <c r="AD1400" s="280">
        <f>L1400+N1400+P1400+R1400+T1400+V1400+X1400+Z1400</f>
        <v/>
      </c>
      <c r="AE1400" s="280">
        <f>IF((LEFT(K1400,6))="Contab",L1400,0)</f>
        <v/>
      </c>
      <c r="AF1400" s="297" t="n">
        <v>0</v>
      </c>
      <c r="AG1400" s="280">
        <f>AF1400*AE1400</f>
        <v/>
      </c>
      <c r="AH1400" s="280">
        <f>AD1400*1.21</f>
        <v/>
      </c>
      <c r="AI1400" s="284">
        <f>IF(AE1400&lt;&gt;0,AG1400/AD1400,"N/A")</f>
        <v/>
      </c>
      <c r="AJ1400" s="280">
        <f>IF(AC1400="pendiente",AD1400,0)</f>
        <v/>
      </c>
      <c r="AK1400" s="278">
        <f>VLOOKUP(G1400,CLIENTES!B:D,3,FALSE)</f>
        <v/>
      </c>
    </row>
    <row r="1401" ht="15" customFormat="1" customHeight="1" s="278">
      <c r="B1401" s="279" t="n"/>
      <c r="C1401" s="278" t="inlineStr">
        <is>
          <t>c/ Las Cruzadas 3A, local D</t>
        </is>
      </c>
      <c r="D1401" s="278" t="inlineStr">
        <is>
          <t>Sevilla 41004</t>
        </is>
      </c>
      <c r="E1401" s="278" t="inlineStr">
        <is>
          <t>CIF B91938662</t>
        </is>
      </c>
      <c r="G1401" s="278" t="inlineStr">
        <is>
          <t>La Serranilla Renovables 132 kV, A.I.E.</t>
        </is>
      </c>
      <c r="H1401" s="278">
        <f>VLOOKUP($G1401,DATOS!$B:$E,2,FALSE)</f>
        <v/>
      </c>
      <c r="I1401" s="278">
        <f>VLOOKUP($G1401,DATOS!$B:$E,3,FALSE)</f>
        <v/>
      </c>
      <c r="J1401" s="278">
        <f>VLOOKUP($G1401,DATOS!$B:$E,4,FALSE)</f>
        <v/>
      </c>
      <c r="K1401" s="278" t="inlineStr">
        <is>
          <t>Refacturación gastos y/o servicios prestados a nombre de la sociedad</t>
        </is>
      </c>
      <c r="L1401" s="280" t="n"/>
      <c r="M1401" s="278" t="inlineStr">
        <is>
          <t>Envío de documentación</t>
        </is>
      </c>
      <c r="N1401" s="280" t="n">
        <v>54.46</v>
      </c>
      <c r="P1401" s="280" t="n"/>
      <c r="R1401" s="280" t="n"/>
      <c r="T1401" s="280" t="n"/>
      <c r="V1401" s="280" t="n"/>
      <c r="X1401" s="280" t="n"/>
      <c r="Z1401" s="280" t="n"/>
      <c r="AA1401" s="280" t="n">
        <v>244.48</v>
      </c>
      <c r="AB1401" s="281" t="inlineStr">
        <is>
          <t>ES11 0081 7069 2700 0122 7724</t>
        </is>
      </c>
      <c r="AC1401" s="278" t="inlineStr">
        <is>
          <t>pendiente</t>
        </is>
      </c>
      <c r="AD1401" s="280">
        <f>L1401+N1401+P1401+R1401+T1401+V1401+X1401+Z1401</f>
        <v/>
      </c>
      <c r="AE1401" s="280">
        <f>IF((LEFT(K1401,6))="Contab",L1401,0)</f>
        <v/>
      </c>
      <c r="AF1401" s="297" t="n">
        <v>0</v>
      </c>
      <c r="AG1401" s="280">
        <f>AF1401*AE1401</f>
        <v/>
      </c>
      <c r="AH1401" s="280">
        <f>AD1401*1.21</f>
        <v/>
      </c>
      <c r="AI1401" s="284">
        <f>IF(AE1401&lt;&gt;0,AG1401/AD1401,"N/A")</f>
        <v/>
      </c>
      <c r="AJ1401" s="280">
        <f>IF(AC1401="pendiente",AD1401,0)</f>
        <v/>
      </c>
      <c r="AK1401" s="278">
        <f>VLOOKUP(G1401,CLIENTES!B:D,3,FALSE)</f>
        <v/>
      </c>
    </row>
    <row r="1402" ht="15" customFormat="1" customHeight="1" s="278">
      <c r="B1402" s="279" t="n"/>
      <c r="C1402" s="278" t="inlineStr">
        <is>
          <t>c/ Las Cruzadas 3A, local D</t>
        </is>
      </c>
      <c r="D1402" s="278" t="inlineStr">
        <is>
          <t>Sevilla 41004</t>
        </is>
      </c>
      <c r="E1402" s="278" t="inlineStr">
        <is>
          <t>CIF B91938662</t>
        </is>
      </c>
      <c r="G1402" s="278" t="inlineStr">
        <is>
          <t>Línea Covatillas, A.I.E.</t>
        </is>
      </c>
      <c r="H1402" s="278">
        <f>VLOOKUP($G1402,DATOS!$B:$E,2,FALSE)</f>
        <v/>
      </c>
      <c r="I1402" s="278">
        <f>VLOOKUP($G1402,DATOS!$B:$E,3,FALSE)</f>
        <v/>
      </c>
      <c r="J1402" s="278">
        <f>VLOOKUP($G1402,DATOS!$B:$E,4,FALSE)</f>
        <v/>
      </c>
      <c r="K1402" s="278" t="inlineStr">
        <is>
          <t>Refacturación gastos y/o servicios prestados a nombre de la sociedad</t>
        </is>
      </c>
      <c r="L1402" s="280" t="n"/>
      <c r="M1402" s="278" t="inlineStr">
        <is>
          <t>Envío de documentación</t>
        </is>
      </c>
      <c r="N1402" s="280" t="n">
        <v>11.76</v>
      </c>
      <c r="P1402" s="280" t="n"/>
      <c r="R1402" s="280" t="n"/>
      <c r="T1402" s="280" t="n"/>
      <c r="V1402" s="280" t="n"/>
      <c r="X1402" s="280" t="n"/>
      <c r="Z1402" s="280" t="n"/>
      <c r="AA1402" s="280" t="n">
        <v>126.75</v>
      </c>
      <c r="AB1402" s="281" t="inlineStr">
        <is>
          <t>ES11 0081 7069 2700 0122 7724</t>
        </is>
      </c>
      <c r="AC1402" s="278" t="inlineStr">
        <is>
          <t>pendiente</t>
        </is>
      </c>
      <c r="AD1402" s="280">
        <f>L1402+N1402+P1402+R1402+T1402+V1402+X1402+Z1402</f>
        <v/>
      </c>
      <c r="AE1402" s="280">
        <f>IF((LEFT(K1402,6))="Contab",L1402,0)</f>
        <v/>
      </c>
      <c r="AF1402" s="297" t="n">
        <v>0</v>
      </c>
      <c r="AG1402" s="280">
        <f>AF1402*AE1402</f>
        <v/>
      </c>
      <c r="AH1402" s="280">
        <f>AD1402*1.21</f>
        <v/>
      </c>
      <c r="AI1402" s="284">
        <f>IF(AE1402&lt;&gt;0,AG1402/AD1402,"N/A")</f>
        <v/>
      </c>
      <c r="AJ1402" s="280">
        <f>IF(AC1402="pendiente",AD1402,0)</f>
        <v/>
      </c>
      <c r="AK1402" s="278">
        <f>VLOOKUP(G1402,CLIENTES!B:D,3,FALSE)</f>
        <v/>
      </c>
    </row>
    <row r="1403" ht="15" customFormat="1" customHeight="1" s="278">
      <c r="B1403" s="279" t="n"/>
      <c r="C1403" s="278" t="inlineStr">
        <is>
          <t>c/ Las Cruzadas 3A, local D</t>
        </is>
      </c>
      <c r="D1403" s="278" t="inlineStr">
        <is>
          <t>Sevilla 41004</t>
        </is>
      </c>
      <c r="E1403" s="278" t="inlineStr">
        <is>
          <t>CIF B91938662</t>
        </is>
      </c>
      <c r="G1403" s="278" t="inlineStr">
        <is>
          <t>Herrera Sotillo Renovables, A.I.E.</t>
        </is>
      </c>
      <c r="H1403" s="278">
        <f>VLOOKUP($G1403,DATOS!$B:$E,2,FALSE)</f>
        <v/>
      </c>
      <c r="I1403" s="278">
        <f>VLOOKUP($G1403,DATOS!$B:$E,3,FALSE)</f>
        <v/>
      </c>
      <c r="J1403" s="278">
        <f>VLOOKUP($G1403,DATOS!$B:$E,4,FALSE)</f>
        <v/>
      </c>
      <c r="K1403" s="278" t="inlineStr">
        <is>
          <t>Refacturación gastos y/o servicios prestados a nombre de la sociedad</t>
        </is>
      </c>
      <c r="L1403" s="280" t="n"/>
      <c r="M1403" s="278" t="inlineStr">
        <is>
          <t>Envío de documentación</t>
        </is>
      </c>
      <c r="N1403" s="280" t="n">
        <v>11.76</v>
      </c>
      <c r="P1403" s="280" t="n"/>
      <c r="R1403" s="280" t="n"/>
      <c r="T1403" s="280" t="n"/>
      <c r="V1403" s="280" t="n"/>
      <c r="X1403" s="280" t="n"/>
      <c r="Z1403" s="280" t="n"/>
      <c r="AA1403" s="280" t="n"/>
      <c r="AB1403" s="281" t="inlineStr">
        <is>
          <t>ES11 0081 7069 2700 0122 7724</t>
        </is>
      </c>
      <c r="AC1403" s="278" t="inlineStr">
        <is>
          <t>pendiente</t>
        </is>
      </c>
      <c r="AD1403" s="280">
        <f>L1403+N1403+P1403+R1403+T1403+V1403+X1403+Z1403</f>
        <v/>
      </c>
      <c r="AE1403" s="280">
        <f>IF((LEFT(K1403,6))="Contab",L1403,0)</f>
        <v/>
      </c>
      <c r="AF1403" s="297" t="n">
        <v>0</v>
      </c>
      <c r="AG1403" s="280">
        <f>AF1403*AE1403</f>
        <v/>
      </c>
      <c r="AH1403" s="280">
        <f>AD1403*1.21</f>
        <v/>
      </c>
      <c r="AI1403" s="284">
        <f>IF(AE1403&lt;&gt;0,AG1403/AD1403,"N/A")</f>
        <v/>
      </c>
      <c r="AJ1403" s="280">
        <f>IF(AC1403="pendiente",AD1403,0)</f>
        <v/>
      </c>
      <c r="AK1403" s="278">
        <f>VLOOKUP(G1403,CLIENTES!B:D,3,FALSE)</f>
        <v/>
      </c>
    </row>
    <row r="1404" ht="15" customFormat="1" customHeight="1" s="195">
      <c r="B1404" s="194" t="n"/>
      <c r="C1404" s="195" t="inlineStr">
        <is>
          <t>c/ Las Cruzadas 3A, local D</t>
        </is>
      </c>
      <c r="D1404" s="195" t="inlineStr">
        <is>
          <t>Sevilla 41004</t>
        </is>
      </c>
      <c r="E1404" s="195" t="inlineStr">
        <is>
          <t>CIF B91938662</t>
        </is>
      </c>
      <c r="F1404" s="195" t="inlineStr">
        <is>
          <t>aBalados@abalados.es</t>
        </is>
      </c>
      <c r="G1404" s="195" t="inlineStr">
        <is>
          <t>FP LUX REIO PV ZARAGOZA SL.</t>
        </is>
      </c>
      <c r="H1404" s="195">
        <f>VLOOKUP($G1404,DATOS!$B:$E,2,FALSE)</f>
        <v/>
      </c>
      <c r="I1404" s="195">
        <f>VLOOKUP($G1404,DATOS!$B:$E,3,FALSE)</f>
        <v/>
      </c>
      <c r="J1404" s="195">
        <f>VLOOKUP($G1404,DATOS!$B:$E,4,FALSE)</f>
        <v/>
      </c>
      <c r="K1404" s="195" t="inlineStr">
        <is>
          <t>Proyecto El Marqués - Zaragoza</t>
        </is>
      </c>
      <c r="L1404" s="196" t="n"/>
      <c r="M1404" s="195" t="inlineStr">
        <is>
          <t>Mantenimiento Correctivo 2º año mantenimiento</t>
        </is>
      </c>
      <c r="N1404" s="196" t="n">
        <v>975</v>
      </c>
      <c r="O1404" s="195" t="inlineStr">
        <is>
          <t>Corrective maintenance - 2nd year O&amp;M</t>
        </is>
      </c>
      <c r="P1404" s="196">
        <f>15.39+33.72</f>
        <v/>
      </c>
      <c r="R1404" s="196" t="n"/>
      <c r="T1404" s="196" t="n"/>
      <c r="V1404" s="196" t="n"/>
      <c r="X1404" s="196" t="n"/>
      <c r="Z1404" s="196" t="n"/>
      <c r="AA1404" s="196" t="n"/>
      <c r="AB1404" s="197" t="inlineStr">
        <is>
          <t>ES11 0081 7069 2700 0122 7724</t>
        </is>
      </c>
      <c r="AC1404" s="195" t="inlineStr">
        <is>
          <t>pendiente</t>
        </is>
      </c>
      <c r="AD1404" s="196">
        <f>L1404+N1404+P1404+R1404+T1404+V1404+X1404+Z1404</f>
        <v/>
      </c>
      <c r="AE1404" s="196">
        <f>IF((LEFT(K1404,6))="Contab",L1404,0)</f>
        <v/>
      </c>
      <c r="AF1404" s="197">
        <f>VLOOKUP(G1404,CLIENTES!B:E,4,FALSE)</f>
        <v/>
      </c>
      <c r="AG1404" s="196">
        <f>AF1404*AE1404</f>
        <v/>
      </c>
      <c r="AH1404" s="196">
        <f>AD1404*1.21</f>
        <v/>
      </c>
      <c r="AI1404" s="285">
        <f>IF(AE1404&lt;&gt;0,AG1404/AD1404,"N/A")</f>
        <v/>
      </c>
      <c r="AJ1404" s="196">
        <f>IF(AC1404="pendiente",AD1404,0)</f>
        <v/>
      </c>
      <c r="AK1404" s="195">
        <f>VLOOKUP(G1404,CLIENTES!B:D,3,FALSE)</f>
        <v/>
      </c>
    </row>
    <row r="1405" ht="15" customFormat="1" customHeight="1" s="278">
      <c r="B1405" s="279" t="n"/>
      <c r="C1405" s="278" t="inlineStr">
        <is>
          <t>c/ Las Cruzadas 3A, local D</t>
        </is>
      </c>
      <c r="D1405" s="278" t="inlineStr">
        <is>
          <t>Sevilla 41004</t>
        </is>
      </c>
      <c r="E1405" s="278" t="inlineStr">
        <is>
          <t>CIF B91938662</t>
        </is>
      </c>
      <c r="F1405" s="278" t="inlineStr">
        <is>
          <t>aBalados@abalados.es</t>
        </is>
      </c>
      <c r="G1405" s="278" t="inlineStr">
        <is>
          <t>FP LUX REIO PV ZARAGOZA SL.</t>
        </is>
      </c>
      <c r="H1405" s="278">
        <f>VLOOKUP($G1405,DATOS!$B:$E,2,FALSE)</f>
        <v/>
      </c>
      <c r="I1405" s="278">
        <f>VLOOKUP($G1405,DATOS!$B:$E,3,FALSE)</f>
        <v/>
      </c>
      <c r="J1405" s="278">
        <f>VLOOKUP($G1405,DATOS!$B:$E,4,FALSE)</f>
        <v/>
      </c>
      <c r="K1405" s="278" t="inlineStr">
        <is>
          <t>Proyecto El Marqués - Zaragoza</t>
        </is>
      </c>
      <c r="L1405" s="280" t="n"/>
      <c r="M1405" s="278" t="inlineStr">
        <is>
          <t>Servicios prestados</t>
        </is>
      </c>
      <c r="N1405" s="280" t="n">
        <v>950</v>
      </c>
      <c r="O1405" s="278" t="inlineStr">
        <is>
          <t>Proposal for: Repair clamping torque tube tracker 3.16.7 &amp; 1.16.3</t>
        </is>
      </c>
      <c r="P1405" s="280">
        <f>15.39+33.72</f>
        <v/>
      </c>
      <c r="R1405" s="280" t="n"/>
      <c r="T1405" s="280" t="n"/>
      <c r="V1405" s="280" t="n"/>
      <c r="X1405" s="280" t="n"/>
      <c r="Z1405" s="280" t="n"/>
      <c r="AA1405" s="280" t="n"/>
      <c r="AB1405" s="281" t="inlineStr">
        <is>
          <t>ES11 0081 7069 2700 0122 7724</t>
        </is>
      </c>
      <c r="AC1405" s="278" t="inlineStr">
        <is>
          <t>pendiente</t>
        </is>
      </c>
      <c r="AD1405" s="280">
        <f>L1405+N1405+P1405+R1405+T1405+V1405+X1405+Z1405</f>
        <v/>
      </c>
      <c r="AE1405" s="280">
        <f>IF((LEFT(K1405,6))="Contab",L1405,0)</f>
        <v/>
      </c>
      <c r="AF1405" s="281">
        <f>VLOOKUP(G1405,CLIENTES!B:E,4,FALSE)</f>
        <v/>
      </c>
      <c r="AG1405" s="280">
        <f>AF1405*AE1405</f>
        <v/>
      </c>
      <c r="AH1405" s="280">
        <f>AD1405*1.21</f>
        <v/>
      </c>
      <c r="AI1405" s="284">
        <f>IF(AE1405&lt;&gt;0,AG1405/AD1405,"N/A")</f>
        <v/>
      </c>
      <c r="AJ1405" s="280">
        <f>IF(AC1405="pendiente",AD1405,0)</f>
        <v/>
      </c>
      <c r="AK1405" s="278">
        <f>VLOOKUP(G1405,CLIENTES!B:D,3,FALSE)</f>
        <v/>
      </c>
    </row>
    <row r="1406" ht="15" customFormat="1" customHeight="1" s="192">
      <c r="B1406" s="199" t="n"/>
      <c r="C1406" s="192" t="inlineStr">
        <is>
          <t>c/ Las Cruzadas 3A, local D</t>
        </is>
      </c>
      <c r="D1406" s="192" t="inlineStr">
        <is>
          <t>Sevilla 41004</t>
        </is>
      </c>
      <c r="E1406" s="192" t="inlineStr">
        <is>
          <t>CIF B91938662</t>
        </is>
      </c>
      <c r="F1406" s="192" t="inlineStr">
        <is>
          <t>aBalados@abalados.es</t>
        </is>
      </c>
      <c r="G1406" s="192" t="inlineStr">
        <is>
          <t>FP LUX REIO PV ZARAGOZA SL.</t>
        </is>
      </c>
      <c r="H1406" s="192">
        <f>VLOOKUP($G1406,DATOS!$B:$E,2,FALSE)</f>
        <v/>
      </c>
      <c r="I1406" s="192">
        <f>VLOOKUP($G1406,DATOS!$B:$E,3,FALSE)</f>
        <v/>
      </c>
      <c r="J1406" s="192">
        <f>VLOOKUP($G1406,DATOS!$B:$E,4,FALSE)</f>
        <v/>
      </c>
      <c r="K1406" s="192" t="inlineStr">
        <is>
          <t>Proyecto El Marqués - Zaragoza</t>
        </is>
      </c>
      <c r="L1406" s="200" t="n"/>
      <c r="M1406" s="192" t="inlineStr">
        <is>
          <t>Servicios prestados</t>
        </is>
      </c>
      <c r="N1406" s="200" t="n">
        <v>950</v>
      </c>
      <c r="O1406" s="192" t="inlineStr">
        <is>
          <t>Repair clamping torque tube tracker  1.10.5 and 2.11.1</t>
        </is>
      </c>
      <c r="P1406" s="200">
        <f>15.39+33.72</f>
        <v/>
      </c>
      <c r="R1406" s="200" t="n"/>
      <c r="T1406" s="200" t="n"/>
      <c r="V1406" s="200" t="n"/>
      <c r="X1406" s="200" t="n"/>
      <c r="Z1406" s="200" t="n"/>
      <c r="AA1406" s="200" t="n"/>
      <c r="AB1406" s="201" t="inlineStr">
        <is>
          <t>ES11 0081 7069 2700 0122 7724</t>
        </is>
      </c>
      <c r="AC1406" s="192" t="inlineStr">
        <is>
          <t>pendiente</t>
        </is>
      </c>
      <c r="AD1406" s="200">
        <f>L1406+N1406+P1406+R1406+T1406+V1406+X1406+Z1406</f>
        <v/>
      </c>
      <c r="AE1406" s="200">
        <f>IF((LEFT(K1406,6))="Contab",L1406,0)</f>
        <v/>
      </c>
      <c r="AF1406" s="201">
        <f>VLOOKUP(G1406,CLIENTES!B:E,4,FALSE)</f>
        <v/>
      </c>
      <c r="AG1406" s="200">
        <f>AF1406*AE1406</f>
        <v/>
      </c>
      <c r="AH1406" s="200">
        <f>AD1406*1.21</f>
        <v/>
      </c>
      <c r="AI1406" s="283">
        <f>IF(AE1406&lt;&gt;0,AG1406/AD1406,"N/A")</f>
        <v/>
      </c>
      <c r="AJ1406" s="200">
        <f>IF(AC1406="pendiente",AD1406,0)</f>
        <v/>
      </c>
      <c r="AK1406" s="192">
        <f>VLOOKUP(G1406,CLIENTES!B:D,3,FALSE)</f>
        <v/>
      </c>
    </row>
    <row r="1407" ht="15" customFormat="1" customHeight="1" s="278">
      <c r="B1407" s="279" t="n"/>
      <c r="C1407" s="278" t="inlineStr">
        <is>
          <t>c/ Las Cruzadas 3A, local D</t>
        </is>
      </c>
      <c r="D1407" s="278" t="inlineStr">
        <is>
          <t>Sevilla 41004</t>
        </is>
      </c>
      <c r="E1407" s="278" t="inlineStr">
        <is>
          <t>CIF B91938662</t>
        </is>
      </c>
      <c r="F1407" s="278" t="inlineStr">
        <is>
          <t>aBalados@abalados.es</t>
        </is>
      </c>
      <c r="G1407" s="278" t="inlineStr">
        <is>
          <t>Herrera Renovables 400, A.I.E.</t>
        </is>
      </c>
      <c r="H1407" s="278">
        <f>VLOOKUP($G1407,DATOS!$B:$E,2,FALSE)</f>
        <v/>
      </c>
      <c r="I1407" s="278">
        <f>VLOOKUP($G1407,DATOS!$B:$E,3,FALSE)</f>
        <v/>
      </c>
      <c r="J1407" s="278">
        <f>VLOOKUP($G1407,DATOS!$B:$E,4,FALSE)</f>
        <v/>
      </c>
      <c r="K1407" s="278" t="inlineStr">
        <is>
          <t>Servicios extraordinarios - Asset Management (subestación Herrera)</t>
        </is>
      </c>
      <c r="L1407" s="280" t="n"/>
      <c r="N1407" s="280" t="n"/>
      <c r="O1407" s="278" t="inlineStr">
        <is>
          <t>Acuerdo de Cesión entre Meissa y Herrera de un Contrato de Promesa de Arrendamiento</t>
        </is>
      </c>
      <c r="P1407" s="280" t="n">
        <v>400</v>
      </c>
      <c r="Q1407" s="278" t="inlineStr">
        <is>
          <t>Asistencia presencial en notaría de Herrera del Pisuerga - 14/12/22</t>
        </is>
      </c>
      <c r="R1407" s="280">
        <f>900 + 58 + 82.94</f>
        <v/>
      </c>
      <c r="T1407" s="280" t="n"/>
      <c r="V1407" s="280" t="n"/>
      <c r="X1407" s="280" t="n"/>
      <c r="Z1407" s="280" t="n"/>
      <c r="AA1407" s="280" t="n"/>
      <c r="AB1407" s="281" t="inlineStr">
        <is>
          <t>ES11 0081 7069 2700 0122 7724</t>
        </is>
      </c>
      <c r="AC1407" s="278" t="inlineStr">
        <is>
          <t>pendiente</t>
        </is>
      </c>
      <c r="AD1407" s="280">
        <f>L1407+N1407+P1407+R1407+T1407+V1407+X1407+Z1407</f>
        <v/>
      </c>
      <c r="AE1407" s="280">
        <f>IF((LEFT(K1407,6))="Contab",L1407,0)</f>
        <v/>
      </c>
      <c r="AF1407" s="297" t="n">
        <v>0</v>
      </c>
      <c r="AG1407" s="280">
        <f>AF1407*AE1407</f>
        <v/>
      </c>
      <c r="AH1407" s="280">
        <f>AD1407*1.21</f>
        <v/>
      </c>
      <c r="AI1407" s="284">
        <f>IF(AE1407&lt;&gt;0,AG1407/AD1407,"N/A")</f>
        <v/>
      </c>
      <c r="AJ1407" s="280">
        <f>IF(AC1407="pendiente",AD1407,0)</f>
        <v/>
      </c>
      <c r="AK1407" s="278">
        <f>VLOOKUP(G1407,CLIENTES!B:D,3,FALSE)</f>
        <v/>
      </c>
    </row>
    <row r="1408" ht="15" customFormat="1" customHeight="1" s="192">
      <c r="B1408" s="199" t="n"/>
      <c r="C1408" s="192" t="inlineStr">
        <is>
          <t>c/ Las Cruzadas 3A, local D</t>
        </is>
      </c>
      <c r="D1408" s="192" t="inlineStr">
        <is>
          <t>Sevilla 41004</t>
        </is>
      </c>
      <c r="E1408" s="192" t="inlineStr">
        <is>
          <t>CIF B91938662</t>
        </is>
      </c>
      <c r="F1408" s="192" t="inlineStr">
        <is>
          <t>aBalados@abalados.es</t>
        </is>
      </c>
      <c r="G1408" s="192" t="inlineStr">
        <is>
          <t>ENEL GREEN POWER ESPAÑA, S.L.</t>
        </is>
      </c>
      <c r="H1408" s="192">
        <f>VLOOKUP($G1408,DATOS!$B:$E,2,FALSE)</f>
        <v/>
      </c>
      <c r="I1408" s="192">
        <f>VLOOKUP($G1408,DATOS!$B:$E,3,FALSE)</f>
        <v/>
      </c>
      <c r="J1408" s="192">
        <f>VLOOKUP($G1408,DATOS!$B:$E,4,FALSE)</f>
        <v/>
      </c>
      <c r="K1408" s="192" t="inlineStr">
        <is>
          <t>Pedido 4500784848_LICITAC 1000414220</t>
        </is>
      </c>
      <c r="L1408" s="200" t="n"/>
      <c r="M1408" s="192" t="inlineStr">
        <is>
          <t xml:space="preserve"> “Soporte cambio titularidad sociedades por fusión ESAD 2022”</t>
        </is>
      </c>
      <c r="N1408" s="200" t="n"/>
      <c r="P1408" s="200" t="n"/>
      <c r="Q1408" s="192" t="inlineStr">
        <is>
          <t>50% de los honorarios a la aceptación de oferta</t>
        </is>
      </c>
      <c r="R1408" s="200">
        <f>14700 * 50%</f>
        <v/>
      </c>
      <c r="S1408" s="192" t="inlineStr">
        <is>
          <t>(221215 ENEL - Cambio Titularidad Expdt. Administartivo)</t>
        </is>
      </c>
      <c r="T1408" s="200" t="n"/>
      <c r="V1408" s="200" t="n"/>
      <c r="X1408" s="200" t="n"/>
      <c r="Z1408" s="200" t="n"/>
      <c r="AA1408" s="200" t="n"/>
      <c r="AB1408" s="201" t="inlineStr">
        <is>
          <t>ES11 0081 7069 2700 0122 7724</t>
        </is>
      </c>
      <c r="AC1408" s="192" t="inlineStr">
        <is>
          <t>pendiente</t>
        </is>
      </c>
      <c r="AD1408" s="200">
        <f>L1408+N1408+P1408+R1408+T1408+V1408+X1408+Z1408</f>
        <v/>
      </c>
      <c r="AE1408" s="200">
        <f>IF((LEFT(K1408,6))="Contab",L1408,0)</f>
        <v/>
      </c>
      <c r="AF1408" s="298" t="n">
        <v>0</v>
      </c>
      <c r="AG1408" s="200">
        <f>AF1408*AE1408</f>
        <v/>
      </c>
      <c r="AH1408" s="200">
        <f>AD1408*1.21</f>
        <v/>
      </c>
      <c r="AI1408" s="283">
        <f>IF(AE1408&lt;&gt;0,AG1408/AD1408,"N/A")</f>
        <v/>
      </c>
      <c r="AJ1408" s="200">
        <f>IF(AC1408="pendiente",AD1408,0)</f>
        <v/>
      </c>
      <c r="AK1408" s="192">
        <f>VLOOKUP(G1408,CLIENTES!B:D,3,FALSE)</f>
        <v/>
      </c>
    </row>
    <row r="1409" ht="15" customFormat="1" customHeight="1" s="189">
      <c r="A1409" t="n"/>
      <c r="B1409" s="188" t="n"/>
      <c r="C1409" s="189" t="inlineStr">
        <is>
          <t>c/ Las Cruzadas 3A, local D</t>
        </is>
      </c>
      <c r="D1409" s="189" t="inlineStr">
        <is>
          <t>Sevilla 41004</t>
        </is>
      </c>
      <c r="E1409" s="189" t="inlineStr">
        <is>
          <t>CIF B91938662</t>
        </is>
      </c>
      <c r="F1409" s="189" t="inlineStr">
        <is>
          <t>aBalados@abalados.es</t>
        </is>
      </c>
      <c r="G1409" s="189" t="inlineStr">
        <is>
          <t>China Triumph International Engineering Co., LTD EP EN SPAIN</t>
        </is>
      </c>
      <c r="H1409" s="189">
        <f>VLOOKUP($G1409,DATOS!$B:$E,2,FALSE)</f>
        <v/>
      </c>
      <c r="I1409" s="189">
        <f>VLOOKUP($G1409,DATOS!$B:$E,3,FALSE)</f>
        <v/>
      </c>
      <c r="J1409" s="189">
        <f>VLOOKUP($G1409,DATOS!$B:$E,4,FALSE)</f>
        <v/>
      </c>
      <c r="K1409" s="189" t="inlineStr">
        <is>
          <t>Extraordinary Services - O&amp;M Supervision and Management</t>
        </is>
      </c>
      <c r="L1409" s="190" t="n"/>
      <c r="M1409" s="189" t="inlineStr">
        <is>
          <t>Puerto Real 1 PV - Cádiz | Spain</t>
        </is>
      </c>
      <c r="N1409" s="190" t="n"/>
      <c r="P1409" s="190" t="n"/>
      <c r="Q1409" s="189" t="inlineStr">
        <is>
          <t>Arrangements of measures described in the Environmental Monitoring Plan</t>
        </is>
      </c>
      <c r="R1409" s="190" t="n">
        <v>22755.4</v>
      </c>
      <c r="S1409" s="189" t="inlineStr">
        <is>
          <t>(as agreed on the DoA - December 5th, 2022)</t>
        </is>
      </c>
      <c r="T1409" s="190" t="n"/>
      <c r="V1409" s="190" t="n"/>
      <c r="X1409" s="190" t="n"/>
      <c r="Z1409" s="190" t="n"/>
      <c r="AA1409" s="190" t="n"/>
      <c r="AB1409" s="191" t="inlineStr">
        <is>
          <t>ES11 0081 7069 2700 0122 7724</t>
        </is>
      </c>
      <c r="AC1409" s="192" t="inlineStr">
        <is>
          <t>pendiente</t>
        </is>
      </c>
      <c r="AD1409" s="200">
        <f>L1409+N1409+P1409+R1409+T1409+V1409+X1409+Z1409</f>
        <v/>
      </c>
      <c r="AE1409" s="190">
        <f>IF((LEFT(K1409,6))="Contab",L1409,0)</f>
        <v/>
      </c>
      <c r="AF1409" s="191">
        <f>VLOOKUP(G1409,CLIENTES!B:E,4,FALSE)</f>
        <v/>
      </c>
      <c r="AG1409" s="190">
        <f>AF1409*AE1409</f>
        <v/>
      </c>
      <c r="AH1409" s="190">
        <f>AD1409*1.21</f>
        <v/>
      </c>
      <c r="AI1409" s="289">
        <f>IF(AE1409&lt;&gt;0,AG1409/AD1409,"N/A")</f>
        <v/>
      </c>
      <c r="AJ1409" s="190">
        <f>IF(AC1409="pendiente",AD1409,0)</f>
        <v/>
      </c>
      <c r="AK1409" s="189">
        <f>VLOOKUP(G1409,CLIENTES!B:D,3,FALSE)</f>
        <v/>
      </c>
    </row>
    <row r="1411" ht="15" customFormat="1" customHeight="1" s="170">
      <c r="B1411" s="169" t="n"/>
      <c r="C1411" s="170" t="inlineStr">
        <is>
          <t>c/ Las Cruzadas 3A, local D</t>
        </is>
      </c>
      <c r="D1411" s="170" t="inlineStr">
        <is>
          <t>Sevilla 41004</t>
        </is>
      </c>
      <c r="E1411" s="170" t="inlineStr">
        <is>
          <t>CIF B91938662</t>
        </is>
      </c>
      <c r="F1411" s="170" t="inlineStr">
        <is>
          <t>aBalados@abalados.es</t>
        </is>
      </c>
      <c r="G1411" s="170" t="inlineStr">
        <is>
          <t>Dehesa Asomadilla Inversiones S.L.U.</t>
        </is>
      </c>
      <c r="H1411" s="170">
        <f>VLOOKUP($G1411,DATOS!$B:$E,2,FALSE)</f>
        <v/>
      </c>
      <c r="I1411" s="170">
        <f>VLOOKUP($G1411,DATOS!$B:$E,3,FALSE)</f>
        <v/>
      </c>
      <c r="J1411" s="170">
        <f>VLOOKUP($G1411,DATOS!$B:$E,4,FALSE)</f>
        <v/>
      </c>
      <c r="K1411" s="170" t="inlineStr">
        <is>
          <t>Correctivo O&amp;M</t>
        </is>
      </c>
      <c r="L1411" s="27" t="n"/>
      <c r="M1411" s="170" t="inlineStr">
        <is>
          <t>Sustitución de inversores</t>
        </is>
      </c>
      <c r="N1411" s="27" t="n">
        <v>325.8</v>
      </c>
      <c r="O1411" s="170" t="inlineStr">
        <is>
          <t>Gestión stock equipos SMA</t>
        </is>
      </c>
      <c r="P1411" s="27" t="n">
        <v>250</v>
      </c>
      <c r="R1411" s="27" t="n"/>
      <c r="T1411" s="27" t="n"/>
      <c r="V1411" s="27" t="n"/>
      <c r="X1411" s="27" t="n"/>
      <c r="Y1411" s="170" t="inlineStr">
        <is>
          <t>Gastos derivados de contrato (3,5%)</t>
        </is>
      </c>
      <c r="Z1411" s="27">
        <f>(L1411+N1411+P1411+R1411+T1411+V1411+X1411)*0.035</f>
        <v/>
      </c>
      <c r="AA1411" s="27" t="n"/>
      <c r="AB1411" s="171" t="inlineStr">
        <is>
          <t>ES11 0081 7069 2700 0122 7724</t>
        </is>
      </c>
      <c r="AC1411" s="170" t="inlineStr">
        <is>
          <t>pendiente</t>
        </is>
      </c>
      <c r="AD1411" s="27">
        <f>L1411+N1411+P1411+R1411+T1411+V1411+X1411+Z1411</f>
        <v/>
      </c>
      <c r="AE1411" s="27">
        <f>IF((LEFT(K1411,6))="Contab",L1411,0)</f>
        <v/>
      </c>
      <c r="AF1411" s="171">
        <f>VLOOKUP(G1411,CLIENTES!B:E,4,FALSE)</f>
        <v/>
      </c>
      <c r="AG1411" s="27">
        <f>AF1411*AE1411</f>
        <v/>
      </c>
      <c r="AH1411" s="27">
        <f>AD1411*1.21</f>
        <v/>
      </c>
      <c r="AI1411" s="172">
        <f>IF(AE1411&lt;&gt;0,AG1411/AD1411,"N/A")</f>
        <v/>
      </c>
      <c r="AJ1411" s="27">
        <f>IF(AC1411="pendiente",AD1411,0)</f>
        <v/>
      </c>
      <c r="AK1411" s="170">
        <f>VLOOKUP(G1411,CLIENTES!B:D,3,FALSE)</f>
        <v/>
      </c>
    </row>
    <row r="1412" ht="15" customFormat="1" customHeight="1" s="170">
      <c r="B1412" s="169" t="n"/>
      <c r="C1412" s="170" t="inlineStr">
        <is>
          <t>c/ Las Cruzadas 3A, local D</t>
        </is>
      </c>
      <c r="D1412" s="170" t="inlineStr">
        <is>
          <t>Sevilla 41004</t>
        </is>
      </c>
      <c r="E1412" s="170" t="inlineStr">
        <is>
          <t>CIF B91938662</t>
        </is>
      </c>
      <c r="F1412" s="170" t="inlineStr">
        <is>
          <t>aBalados@abalados.es</t>
        </is>
      </c>
      <c r="G1412" s="170" t="inlineStr">
        <is>
          <t>Asomadilla Solar 2007 S.L.U.</t>
        </is>
      </c>
      <c r="H1412" s="170">
        <f>VLOOKUP($G1412,DATOS!$B:$E,2,FALSE)</f>
        <v/>
      </c>
      <c r="I1412" s="170">
        <f>VLOOKUP($G1412,DATOS!$B:$E,3,FALSE)</f>
        <v/>
      </c>
      <c r="J1412" s="170">
        <f>VLOOKUP($G1412,DATOS!$B:$E,4,FALSE)</f>
        <v/>
      </c>
      <c r="K1412" s="170" t="inlineStr">
        <is>
          <t>Correctivo O&amp;M</t>
        </is>
      </c>
      <c r="L1412" s="27" t="n"/>
      <c r="M1412" s="170" t="inlineStr">
        <is>
          <t>Correctivo comunicaciones</t>
        </is>
      </c>
      <c r="N1412" s="27" t="n">
        <v>83.14</v>
      </c>
      <c r="O1412" s="170" t="inlineStr">
        <is>
          <t>Sustitución inversores</t>
        </is>
      </c>
      <c r="P1412" s="27" t="n">
        <v>108.6</v>
      </c>
      <c r="Q1412" s="170" t="inlineStr">
        <is>
          <t>Gestión stock equipos SMA</t>
        </is>
      </c>
      <c r="R1412" s="27" t="n">
        <v>250</v>
      </c>
      <c r="T1412" s="27" t="n"/>
      <c r="V1412" s="27" t="n"/>
      <c r="X1412" s="27" t="n"/>
      <c r="Y1412" s="170" t="inlineStr">
        <is>
          <t>Gastos derivados de contrato (3,5%)</t>
        </is>
      </c>
      <c r="Z1412" s="27">
        <f>(L1412+N1412+P1412+R1412+T1412+V1412+X1412)*0.035</f>
        <v/>
      </c>
      <c r="AA1412" s="27" t="n"/>
      <c r="AB1412" s="171" t="inlineStr">
        <is>
          <t>ES11 0081 7069 2700 0122 7724</t>
        </is>
      </c>
      <c r="AC1412" s="170" t="inlineStr">
        <is>
          <t>pendiente</t>
        </is>
      </c>
      <c r="AD1412" s="27">
        <f>L1412+N1412+P1412+R1412+T1412+V1412+X1412+Z1412</f>
        <v/>
      </c>
      <c r="AE1412" s="27">
        <f>IF((LEFT(K1412,6))="Contab",L1412,0)</f>
        <v/>
      </c>
      <c r="AF1412" s="171">
        <f>VLOOKUP(G1412,CLIENTES!B:E,4,FALSE)</f>
        <v/>
      </c>
      <c r="AG1412" s="27">
        <f>AF1412*AE1412</f>
        <v/>
      </c>
      <c r="AH1412" s="27">
        <f>AD1412*1.21</f>
        <v/>
      </c>
      <c r="AI1412" s="172">
        <f>IF(AE1412&lt;&gt;0,AG1412/AD1412,"N/A")</f>
        <v/>
      </c>
      <c r="AJ1412" s="27">
        <f>IF(AC1412="pendiente",AD1412,0)</f>
        <v/>
      </c>
      <c r="AK1412" s="170">
        <f>VLOOKUP(G1412,CLIENTES!B:D,3,FALSE)</f>
        <v/>
      </c>
    </row>
    <row r="1413" ht="15" customFormat="1" customHeight="1" s="170">
      <c r="B1413" s="169" t="n"/>
      <c r="C1413" s="170" t="inlineStr">
        <is>
          <t>c/ Las Cruzadas 3A, local D</t>
        </is>
      </c>
      <c r="D1413" s="170" t="inlineStr">
        <is>
          <t>Sevilla 41004</t>
        </is>
      </c>
      <c r="E1413" s="170" t="inlineStr">
        <is>
          <t>CIF B91938662</t>
        </is>
      </c>
      <c r="F1413" s="170" t="inlineStr">
        <is>
          <t>aBalados@abalados.es</t>
        </is>
      </c>
      <c r="G1413" s="170" t="inlineStr">
        <is>
          <t>Lugec Inversión Solar S.L.U.</t>
        </is>
      </c>
      <c r="H1413" s="170">
        <f>VLOOKUP($G1413,DATOS!$B:$E,2,FALSE)</f>
        <v/>
      </c>
      <c r="I1413" s="170">
        <f>VLOOKUP($G1413,DATOS!$B:$E,3,FALSE)</f>
        <v/>
      </c>
      <c r="J1413" s="170">
        <f>VLOOKUP($G1413,DATOS!$B:$E,4,FALSE)</f>
        <v/>
      </c>
      <c r="K1413" s="170" t="inlineStr">
        <is>
          <t>Correctivo O&amp;M</t>
        </is>
      </c>
      <c r="L1413" s="27" t="n"/>
      <c r="M1413" s="170" t="inlineStr">
        <is>
          <t>Instalación una etapa</t>
        </is>
      </c>
      <c r="N1413" s="27" t="n">
        <v>120</v>
      </c>
      <c r="P1413" s="27" t="n"/>
      <c r="R1413" s="27" t="n"/>
      <c r="T1413" s="27" t="n"/>
      <c r="V1413" s="27" t="n"/>
      <c r="X1413" s="27" t="n"/>
      <c r="Y1413" s="170" t="inlineStr">
        <is>
          <t>Gastos derivados de contrato (3,5%)</t>
        </is>
      </c>
      <c r="Z1413" s="27">
        <f>(L1413+N1413+P1413+R1413+T1413+V1413+X1413)*0.035</f>
        <v/>
      </c>
      <c r="AA1413" s="27" t="n"/>
      <c r="AB1413" s="171" t="inlineStr">
        <is>
          <t>ES11 0081 7069 2700 0122 7724</t>
        </is>
      </c>
      <c r="AC1413" s="170" t="inlineStr">
        <is>
          <t>pendiente</t>
        </is>
      </c>
      <c r="AD1413" s="27">
        <f>L1413+N1413+P1413+R1413+T1413+V1413+X1413+Z1413</f>
        <v/>
      </c>
      <c r="AE1413" s="27">
        <f>IF((LEFT(K1413,6))="Contab",L1413,0)</f>
        <v/>
      </c>
      <c r="AF1413" s="171">
        <f>VLOOKUP(G1413,CLIENTES!B:E,4,FALSE)</f>
        <v/>
      </c>
      <c r="AG1413" s="27">
        <f>AF1413*AE1413</f>
        <v/>
      </c>
      <c r="AH1413" s="27">
        <f>AD1413*1.21</f>
        <v/>
      </c>
      <c r="AI1413" s="172">
        <f>IF(AE1413&lt;&gt;0,AG1413/AD1413,"N/A")</f>
        <v/>
      </c>
      <c r="AJ1413" s="27">
        <f>IF(AC1413="pendiente",AD1413,0)</f>
        <v/>
      </c>
      <c r="AK1413" s="170">
        <f>VLOOKUP(G1413,CLIENTES!B:D,3,FALSE)</f>
        <v/>
      </c>
    </row>
    <row r="1414" ht="15" customFormat="1" customHeight="1" s="170">
      <c r="B1414" s="169" t="n"/>
      <c r="C1414" s="170" t="inlineStr">
        <is>
          <t>c/ Las Cruzadas 3A, local D</t>
        </is>
      </c>
      <c r="D1414" s="170" t="inlineStr">
        <is>
          <t>Sevilla 41004</t>
        </is>
      </c>
      <c r="E1414" s="170" t="inlineStr">
        <is>
          <t>CIF B91938662</t>
        </is>
      </c>
      <c r="F1414" s="170" t="inlineStr">
        <is>
          <t>aBalados@abalados.es</t>
        </is>
      </c>
      <c r="G1414" s="170" t="inlineStr">
        <is>
          <t>Solar Photo Collect S.L.U.</t>
        </is>
      </c>
      <c r="H1414" s="170">
        <f>VLOOKUP($G1414,DATOS!$B:$E,2,FALSE)</f>
        <v/>
      </c>
      <c r="I1414" s="170">
        <f>VLOOKUP($G1414,DATOS!$B:$E,3,FALSE)</f>
        <v/>
      </c>
      <c r="J1414" s="170">
        <f>VLOOKUP($G1414,DATOS!$B:$E,4,FALSE)</f>
        <v/>
      </c>
      <c r="K1414" s="170" t="inlineStr">
        <is>
          <t>Correctivo O&amp;M</t>
        </is>
      </c>
      <c r="L1414" s="27" t="n"/>
      <c r="M1414" s="170" t="inlineStr">
        <is>
          <t>OCA Baja Tensión</t>
        </is>
      </c>
      <c r="N1414" s="27" t="n">
        <v>632</v>
      </c>
      <c r="P1414" s="27" t="n"/>
      <c r="R1414" s="27" t="n"/>
      <c r="T1414" s="27" t="n"/>
      <c r="V1414" s="27" t="n"/>
      <c r="X1414" s="27" t="n"/>
      <c r="Y1414" s="170" t="inlineStr">
        <is>
          <t>Gastos derivados de contrato (3,5%)</t>
        </is>
      </c>
      <c r="Z1414" s="27">
        <f>(L1414+N1414+P1414+R1414+T1414+V1414+X1414)*0.035</f>
        <v/>
      </c>
      <c r="AA1414" s="27" t="n"/>
      <c r="AB1414" s="171" t="inlineStr">
        <is>
          <t>ES11 0081 7069 2700 0122 7724</t>
        </is>
      </c>
      <c r="AC1414" s="170" t="inlineStr">
        <is>
          <t>pendiente</t>
        </is>
      </c>
      <c r="AD1414" s="27">
        <f>L1414+N1414+P1414+R1414+T1414+V1414+X1414+Z1414</f>
        <v/>
      </c>
      <c r="AE1414" s="27">
        <f>IF((LEFT(K1414,6))="Contab",L1414,0)</f>
        <v/>
      </c>
      <c r="AF1414" s="171">
        <f>VLOOKUP(G1414,CLIENTES!B:E,4,FALSE)</f>
        <v/>
      </c>
      <c r="AG1414" s="27">
        <f>AF1414*AE1414</f>
        <v/>
      </c>
      <c r="AH1414" s="27">
        <f>AD1414*1.21</f>
        <v/>
      </c>
      <c r="AI1414" s="172">
        <f>IF(AE1414&lt;&gt;0,AG1414/AD1414,"N/A")</f>
        <v/>
      </c>
      <c r="AJ1414" s="27">
        <f>IF(AC1414="pendiente",AD1414,0)</f>
        <v/>
      </c>
      <c r="AK1414" s="170">
        <f>VLOOKUP(G1414,CLIENTES!B:D,3,FALSE)</f>
        <v/>
      </c>
    </row>
    <row r="1415" ht="15" customFormat="1" customHeight="1" s="234">
      <c r="B1415" s="235" t="n"/>
      <c r="C1415" s="234" t="inlineStr">
        <is>
          <t>c/ Las Cruzadas 3A, local D</t>
        </is>
      </c>
      <c r="D1415" s="234" t="inlineStr">
        <is>
          <t>Sevilla 41004</t>
        </is>
      </c>
      <c r="E1415" s="234" t="inlineStr">
        <is>
          <t>CIF B91938662</t>
        </is>
      </c>
      <c r="F1415" s="234" t="inlineStr">
        <is>
          <t>aBalados@abalados.es</t>
        </is>
      </c>
      <c r="G1415" s="234" t="inlineStr">
        <is>
          <t>Amberg II S.L.U.</t>
        </is>
      </c>
      <c r="H1415" s="234">
        <f>VLOOKUP($G1415,DATOS!$B:$E,2,FALSE)</f>
        <v/>
      </c>
      <c r="I1415" s="234">
        <f>VLOOKUP($G1415,DATOS!$B:$E,3,FALSE)</f>
        <v/>
      </c>
      <c r="J1415" s="234">
        <f>VLOOKUP($G1415,DATOS!$B:$E,4,FALSE)</f>
        <v/>
      </c>
      <c r="K1415" s="234" t="inlineStr">
        <is>
          <t>Correctivo O&amp;M</t>
        </is>
      </c>
      <c r="L1415" s="236" t="n"/>
      <c r="M1415" s="234" t="inlineStr">
        <is>
          <t>OCA Baja Tensión</t>
        </is>
      </c>
      <c r="N1415" s="236" t="n">
        <v>673.85</v>
      </c>
      <c r="P1415" s="236" t="n"/>
      <c r="R1415" s="236" t="n"/>
      <c r="T1415" s="236" t="n"/>
      <c r="V1415" s="236" t="n"/>
      <c r="X1415" s="236" t="n"/>
      <c r="Y1415" s="234" t="inlineStr">
        <is>
          <t>Gastos derivados de contrato (3,5%)</t>
        </is>
      </c>
      <c r="Z1415" s="236">
        <f>(L1415+N1415+P1415+R1415+T1415+V1415+X1415)*0.035</f>
        <v/>
      </c>
      <c r="AA1415" s="236" t="n"/>
      <c r="AB1415" s="237" t="inlineStr">
        <is>
          <t>ES11 0081 7069 2700 0122 7724</t>
        </is>
      </c>
      <c r="AC1415" s="234" t="inlineStr">
        <is>
          <t>pendiente</t>
        </is>
      </c>
      <c r="AD1415" s="236">
        <f>L1415+N1415+P1415+R1415+T1415+V1415+X1415+Z1415</f>
        <v/>
      </c>
      <c r="AE1415" s="236">
        <f>IF((LEFT(K1415,6))="Contab",L1415,0)</f>
        <v/>
      </c>
      <c r="AF1415" s="237">
        <f>VLOOKUP(G1415,CLIENTES!B:E,4,FALSE)</f>
        <v/>
      </c>
      <c r="AG1415" s="236">
        <f>AF1415*AE1415</f>
        <v/>
      </c>
      <c r="AH1415" s="236">
        <f>AD1415*1.21</f>
        <v/>
      </c>
      <c r="AI1415" s="238">
        <f>IF(AE1415&lt;&gt;0,AG1415/AD1415,"N/A")</f>
        <v/>
      </c>
      <c r="AJ1415" s="236">
        <f>IF(AC1415="pendiente",AD1415,0)</f>
        <v/>
      </c>
      <c r="AK1415" s="234">
        <f>VLOOKUP(G1415,CLIENTES!B:D,3,FALSE)</f>
        <v/>
      </c>
    </row>
    <row r="1416" ht="15" customFormat="1" customHeight="1" s="234">
      <c r="B1416" s="235" t="n"/>
      <c r="C1416" s="234" t="inlineStr">
        <is>
          <t>c/ Las Cruzadas 3A, local D</t>
        </is>
      </c>
      <c r="D1416" s="234" t="inlineStr">
        <is>
          <t>Sevilla 41004</t>
        </is>
      </c>
      <c r="E1416" s="234" t="inlineStr">
        <is>
          <t>CIF B91938662</t>
        </is>
      </c>
      <c r="F1416" s="234" t="inlineStr">
        <is>
          <t>aBalados@abalados.es</t>
        </is>
      </c>
      <c r="G1416" s="234" t="inlineStr">
        <is>
          <t>Valcabado Renovables 220 kV, S.L.</t>
        </is>
      </c>
      <c r="H1416" s="234">
        <f>VLOOKUP($G1416,DATOS!$B:$E,2,FALSE)</f>
        <v/>
      </c>
      <c r="I1416" s="234">
        <f>VLOOKUP($G1416,DATOS!$B:$E,3,FALSE)</f>
        <v/>
      </c>
      <c r="J1416" s="234">
        <f>VLOOKUP($G1416,DATOS!$B:$E,4,FALSE)</f>
        <v/>
      </c>
      <c r="K1416" s="234" t="inlineStr">
        <is>
          <t>Contrato de Asset Management - Subestación Valcabado</t>
        </is>
      </c>
      <c r="L1416" s="236" t="n"/>
      <c r="N1416" s="236" t="n"/>
      <c r="O1416" s="234" t="inlineStr">
        <is>
          <t>Fee mensual - Parcial_Marzo 2021 &amp; Abril 2021</t>
        </is>
      </c>
      <c r="P1416" s="236">
        <f>1173*(DATE(2021,4,1)-DATE(2021,3,22))/31  +  1173</f>
        <v/>
      </c>
      <c r="Q1416" s="234" t="inlineStr">
        <is>
          <t>Honorarios de gestión de activo - Inicio contractual 22/03/2021</t>
        </is>
      </c>
      <c r="R1416" s="236" t="n"/>
      <c r="T1416" s="236" t="n"/>
      <c r="V1416" s="236" t="n"/>
      <c r="X1416" s="236" t="n"/>
      <c r="Z1416" s="236" t="n"/>
      <c r="AA1416" s="236" t="n"/>
      <c r="AB1416" s="237" t="inlineStr">
        <is>
          <t>ES11 0081 7069 2700 0122 7724</t>
        </is>
      </c>
      <c r="AC1416" s="234" t="inlineStr">
        <is>
          <t>pendiente</t>
        </is>
      </c>
      <c r="AD1416" s="236">
        <f>L1416+N1416+P1416+R1416+T1416+V1416+X1416+Z1416</f>
        <v/>
      </c>
      <c r="AE1416" s="236">
        <f>IF((LEFT(K1416,6))="Contab",L1416,0)</f>
        <v/>
      </c>
      <c r="AF1416" s="237">
        <f>VLOOKUP(G1416,CLIENTES!B:E,4,FALSE)</f>
        <v/>
      </c>
      <c r="AG1416" s="236">
        <f>AF1416*AE1416</f>
        <v/>
      </c>
      <c r="AH1416" s="236">
        <f>AD1416*1.21</f>
        <v/>
      </c>
      <c r="AI1416" s="238">
        <f>IF(AE1416&lt;&gt;0,AG1416/AD1416,"N/A")</f>
        <v/>
      </c>
      <c r="AJ1416" s="236">
        <f>IF(AC1416="pendiente",AD1416,0)</f>
        <v/>
      </c>
      <c r="AK1416" s="234">
        <f>VLOOKUP(G1416,CLIENTES!B:D,3,FALSE)</f>
        <v/>
      </c>
    </row>
    <row r="1417" ht="15" customFormat="1" customHeight="1" s="234">
      <c r="B1417" s="235" t="n"/>
      <c r="C1417" s="234" t="inlineStr">
        <is>
          <t>c/ Las Cruzadas 3A, local D</t>
        </is>
      </c>
      <c r="D1417" s="234" t="inlineStr">
        <is>
          <t>Sevilla 41004</t>
        </is>
      </c>
      <c r="E1417" s="234" t="inlineStr">
        <is>
          <t>CIF B91938662</t>
        </is>
      </c>
      <c r="F1417" s="234" t="inlineStr">
        <is>
          <t>aBalados@abalados.es</t>
        </is>
      </c>
      <c r="G1417" s="234" t="inlineStr">
        <is>
          <t>Langsyne Spain S.L.U.</t>
        </is>
      </c>
      <c r="H1417" s="234">
        <f>VLOOKUP($G1417,DATOS!$B:$E,2,FALSE)</f>
        <v/>
      </c>
      <c r="I1417" s="234">
        <f>VLOOKUP($G1417,DATOS!$B:$E,3,FALSE)</f>
        <v/>
      </c>
      <c r="J1417" s="234">
        <f>VLOOKUP($G1417,DATOS!$B:$E,4,FALSE)</f>
        <v/>
      </c>
      <c r="K1417" s="234" t="inlineStr">
        <is>
          <t>Planta Solar El Calaverón</t>
        </is>
      </c>
      <c r="L1417" s="236" t="n"/>
      <c r="M1417" s="234" t="inlineStr">
        <is>
          <t>Propuesta 201127: Asistencia técnica para revamping de módulos</t>
        </is>
      </c>
      <c r="N1417" s="236" t="n">
        <v>10000</v>
      </c>
      <c r="O1417" s="234" t="inlineStr">
        <is>
          <t>Ingeniería + revisión in situ (10 instalaciones)</t>
        </is>
      </c>
      <c r="P1417" s="236" t="n"/>
      <c r="R1417" s="236" t="n"/>
      <c r="T1417" s="236" t="n"/>
      <c r="V1417" s="236" t="n"/>
      <c r="X1417" s="236" t="n"/>
      <c r="Z1417" s="236" t="n"/>
      <c r="AA1417" s="236" t="n"/>
      <c r="AB1417" s="237" t="inlineStr">
        <is>
          <t>ES11 0081 7069 2700 0122 7724</t>
        </is>
      </c>
      <c r="AC1417" s="234" t="inlineStr">
        <is>
          <t>pendiente</t>
        </is>
      </c>
      <c r="AD1417" s="236">
        <f>L1417+N1417+P1417+R1417+T1417+V1417+X1417+Z1417</f>
        <v/>
      </c>
      <c r="AE1417" s="236">
        <f>IF((LEFT(K1417,6))="Contab",L1417,0)</f>
        <v/>
      </c>
      <c r="AF1417" s="237">
        <f>VLOOKUP(G1417,CLIENTES!B:E,4,FALSE)</f>
        <v/>
      </c>
      <c r="AG1417" s="236">
        <f>AF1417*AE1417</f>
        <v/>
      </c>
      <c r="AH1417" s="236">
        <f>AD1417*1.21</f>
        <v/>
      </c>
      <c r="AI1417" s="238">
        <f>IF(AE1417&lt;&gt;0,AG1417/AD1417,"N/A")</f>
        <v/>
      </c>
      <c r="AJ1417" s="236">
        <f>IF(AC1417="pendiente",AD1417,0)</f>
        <v/>
      </c>
      <c r="AK1417" s="234">
        <f>VLOOKUP(G1417,CLIENTES!B:D,3,FALSE)</f>
        <v/>
      </c>
    </row>
    <row r="1418" ht="15" customFormat="1" customHeight="1" s="234">
      <c r="B1418" s="235" t="n"/>
      <c r="C1418" s="234" t="inlineStr">
        <is>
          <t>c/ Las Cruzadas 3A, local D</t>
        </is>
      </c>
      <c r="D1418" s="234" t="inlineStr">
        <is>
          <t>Sevilla 41004</t>
        </is>
      </c>
      <c r="E1418" s="234" t="inlineStr">
        <is>
          <t>CIF B91938662</t>
        </is>
      </c>
      <c r="F1418" s="234" t="inlineStr">
        <is>
          <t>aBalados@abalados.es</t>
        </is>
      </c>
      <c r="G1418" s="234" t="inlineStr">
        <is>
          <t>Valcabado Renovables 220 kV, S.L.</t>
        </is>
      </c>
      <c r="H1418" s="234">
        <f>VLOOKUP($G1418,DATOS!$B:$E,2,FALSE)</f>
        <v/>
      </c>
      <c r="I1418" s="234">
        <f>VLOOKUP($G1418,DATOS!$B:$E,3,FALSE)</f>
        <v/>
      </c>
      <c r="J1418" s="234">
        <f>VLOOKUP($G1418,DATOS!$B:$E,4,FALSE)</f>
        <v/>
      </c>
      <c r="K1418" s="234" t="inlineStr">
        <is>
          <t>Contrato de Asset Management - Subestación Valcabado</t>
        </is>
      </c>
      <c r="L1418" s="236" t="n"/>
      <c r="N1418" s="236" t="n"/>
      <c r="O1418" s="234" t="inlineStr">
        <is>
          <t>Fee mensual - Mayo 2022</t>
        </is>
      </c>
      <c r="P1418" s="236">
        <f>1173</f>
        <v/>
      </c>
      <c r="R1418" s="236" t="n"/>
      <c r="T1418" s="236" t="n"/>
      <c r="V1418" s="236" t="n"/>
      <c r="X1418" s="236" t="n"/>
      <c r="Z1418" s="236" t="n"/>
      <c r="AA1418" s="236" t="n"/>
      <c r="AB1418" s="237" t="inlineStr">
        <is>
          <t>ES11 0081 7069 2700 0122 7724</t>
        </is>
      </c>
      <c r="AC1418" s="234" t="inlineStr">
        <is>
          <t>pendiente</t>
        </is>
      </c>
      <c r="AD1418" s="236">
        <f>L1418+N1418+P1418+R1418+T1418+V1418+X1418+Z1418</f>
        <v/>
      </c>
      <c r="AE1418" s="236">
        <f>IF((LEFT(K1418,6))="Contab",L1418,0)</f>
        <v/>
      </c>
      <c r="AF1418" s="237">
        <f>VLOOKUP(G1418,CLIENTES!B:E,4,FALSE)</f>
        <v/>
      </c>
      <c r="AG1418" s="236">
        <f>AF1418*AE1418</f>
        <v/>
      </c>
      <c r="AH1418" s="236">
        <f>AD1418*1.21</f>
        <v/>
      </c>
      <c r="AI1418" s="238">
        <f>IF(AE1418&lt;&gt;0,AG1418/AD1418,"N/A")</f>
        <v/>
      </c>
      <c r="AJ1418" s="236">
        <f>IF(AC1418="pendiente",AD1418,0)</f>
        <v/>
      </c>
      <c r="AK1418" s="234">
        <f>VLOOKUP(G1418,CLIENTES!B:D,3,FALSE)</f>
        <v/>
      </c>
    </row>
    <row r="1419" ht="15" customFormat="1" customHeight="1" s="234">
      <c r="B1419" s="239" t="n"/>
      <c r="C1419" s="234" t="inlineStr">
        <is>
          <t>c/ Las Cruzadas 3A, local D</t>
        </is>
      </c>
      <c r="D1419" s="234" t="inlineStr">
        <is>
          <t>Sevilla 41004</t>
        </is>
      </c>
      <c r="E1419" s="234" t="inlineStr">
        <is>
          <t>CIF B91938662</t>
        </is>
      </c>
      <c r="F1419" s="234" t="inlineStr">
        <is>
          <t>aBalados@abalados.es</t>
        </is>
      </c>
      <c r="G1419" s="240" t="inlineStr">
        <is>
          <t>BayWa r.e. España S.L.U.</t>
        </is>
      </c>
      <c r="H1419" s="234">
        <f>VLOOKUP($G1419,DATOS!$B:$E,2,FALSE)</f>
        <v/>
      </c>
      <c r="I1419" s="234">
        <f>VLOOKUP($G1419,DATOS!$B:$E,3,FALSE)</f>
        <v/>
      </c>
      <c r="J1419" s="234">
        <f>VLOOKUP($G1419,DATOS!$B:$E,4,FALSE)</f>
        <v/>
      </c>
      <c r="K1419" s="234" t="inlineStr">
        <is>
          <t>Instalación Fotovoltaica Llano de Bejar 1</t>
        </is>
      </c>
      <c r="L1419" s="236" t="n"/>
      <c r="M1419" s="234" t="inlineStr">
        <is>
          <t>ALECTORIS FV CARAVACA, S.L.</t>
        </is>
      </c>
      <c r="N1419" s="236" t="n"/>
      <c r="P1419" s="236" t="n"/>
      <c r="Q1419" s="234" t="inlineStr">
        <is>
          <t>Auditoría revamping módulos (20%)</t>
        </is>
      </c>
      <c r="R1419" s="236">
        <f>0.2*3760</f>
        <v/>
      </c>
      <c r="T1419" s="236" t="n"/>
      <c r="V1419" s="236" t="n"/>
      <c r="X1419" s="236" t="n"/>
      <c r="Z1419" s="236" t="n"/>
      <c r="AA1419" s="236" t="n"/>
      <c r="AB1419" s="237" t="inlineStr">
        <is>
          <t>ES11 0081 7069 2700 0122 7724</t>
        </is>
      </c>
      <c r="AC1419" s="234" t="inlineStr">
        <is>
          <t>pendiente</t>
        </is>
      </c>
      <c r="AD1419" s="236">
        <f>L1419+N1419+P1419+R1419+T1419+V1419+X1419+Z1419</f>
        <v/>
      </c>
      <c r="AE1419" s="236">
        <f>IF((LEFT(K1419,6))="Contab",L1419,0)</f>
        <v/>
      </c>
      <c r="AF1419" s="237">
        <f>VLOOKUP(G1419,CLIENTES!B:E,4,FALSE)</f>
        <v/>
      </c>
      <c r="AG1419" s="236">
        <f>AF1419*AE1419</f>
        <v/>
      </c>
      <c r="AH1419" s="236">
        <f>AD1419*1.21</f>
        <v/>
      </c>
      <c r="AI1419" s="238">
        <f>IF(AE1419&lt;&gt;0,AG1419/AD1419,"N/A")</f>
        <v/>
      </c>
      <c r="AJ1419" s="236">
        <f>IF(AC1419="pendiente",AD1419,0)</f>
        <v/>
      </c>
      <c r="AK1419" s="234">
        <f>VLOOKUP(G1419,CLIENTES!B:D,3,FALSE)</f>
        <v/>
      </c>
    </row>
    <row r="1420" ht="15" customFormat="1" customHeight="1" s="234">
      <c r="B1420" s="239" t="n"/>
      <c r="C1420" s="234" t="inlineStr">
        <is>
          <t>c/ Las Cruzadas 3A, local D</t>
        </is>
      </c>
      <c r="D1420" s="234" t="inlineStr">
        <is>
          <t>Sevilla 41004</t>
        </is>
      </c>
      <c r="E1420" s="234" t="inlineStr">
        <is>
          <t>CIF B91938662</t>
        </is>
      </c>
      <c r="F1420" s="234" t="inlineStr">
        <is>
          <t>aBalados@abalados.es</t>
        </is>
      </c>
      <c r="G1420" s="240" t="inlineStr">
        <is>
          <t>PLANTA SOLAR EL CALAVERÓN A.I.E.</t>
        </is>
      </c>
      <c r="H1420" s="234">
        <f>VLOOKUP($G1420,DATOS!$B:$E,2,FALSE)</f>
        <v/>
      </c>
      <c r="I1420" s="234">
        <f>VLOOKUP($G1420,DATOS!$B:$E,3,FALSE)</f>
        <v/>
      </c>
      <c r="J1420" s="234">
        <f>VLOOKUP($G1420,DATOS!$B:$E,4,FALSE)</f>
        <v/>
      </c>
      <c r="K1420" s="234" t="inlineStr">
        <is>
          <t>Instalación Fotovoltaica El Calaverón</t>
        </is>
      </c>
      <c r="L1420" s="236" t="n"/>
      <c r="M1420" s="234" t="inlineStr">
        <is>
          <t xml:space="preserve">Mantenimiento preventivo y documentación - Inversor Conergy. </t>
        </is>
      </c>
      <c r="N1420" s="236" t="n">
        <v>2040</v>
      </c>
      <c r="P1420" s="236" t="n"/>
      <c r="R1420" s="236" t="n"/>
      <c r="T1420" s="236" t="n"/>
      <c r="V1420" s="236" t="n"/>
      <c r="X1420" s="236" t="n"/>
      <c r="Z1420" s="236" t="n"/>
      <c r="AA1420" s="236" t="n"/>
      <c r="AB1420" s="237" t="inlineStr">
        <is>
          <t>ES11 0081 7069 2700 0122 7724</t>
        </is>
      </c>
      <c r="AC1420" s="234" t="inlineStr">
        <is>
          <t>pendiente</t>
        </is>
      </c>
      <c r="AD1420" s="236">
        <f>L1420+N1420+P1420+R1420+T1420+V1420+X1420+Z1420</f>
        <v/>
      </c>
      <c r="AE1420" s="236">
        <f>IF((LEFT(K1420,6))="Contab",L1420,0)</f>
        <v/>
      </c>
      <c r="AF1420" s="237">
        <f>VLOOKUP(G1420,CLIENTES!B:E,4,FALSE)</f>
        <v/>
      </c>
      <c r="AG1420" s="236">
        <f>AF1420*AE1420</f>
        <v/>
      </c>
      <c r="AH1420" s="236">
        <f>AD1420*1.21</f>
        <v/>
      </c>
      <c r="AI1420" s="238">
        <f>IF(AE1420&lt;&gt;0,AG1420/AD1420,"N/A")</f>
        <v/>
      </c>
      <c r="AJ1420" s="236">
        <f>IF(AC1420="pendiente",AD1420,0)</f>
        <v/>
      </c>
      <c r="AK1420" s="234">
        <f>VLOOKUP(G1420,CLIENTES!B:D,3,FALSE)</f>
        <v/>
      </c>
    </row>
    <row r="1423" ht="15" customFormat="1" customHeight="1" s="234">
      <c r="B1423" s="235" t="n"/>
      <c r="C1423" s="234" t="inlineStr">
        <is>
          <t>c/ Las Cruzadas 3A, local D</t>
        </is>
      </c>
      <c r="D1423" s="234" t="inlineStr">
        <is>
          <t>Sevilla 41004</t>
        </is>
      </c>
      <c r="E1423" s="234" t="inlineStr">
        <is>
          <t>CIF B91938662</t>
        </is>
      </c>
      <c r="F1423" s="234" t="inlineStr">
        <is>
          <t>aBalados@abalados.es</t>
        </is>
      </c>
      <c r="G1423" s="234" t="inlineStr">
        <is>
          <t>Valcabado Renovables 220 kV, S.L.</t>
        </is>
      </c>
      <c r="H1423" s="234">
        <f>VLOOKUP($G1423,DATOS!$B:$E,2,FALSE)</f>
        <v/>
      </c>
      <c r="I1423" s="234">
        <f>VLOOKUP($G1423,DATOS!$B:$E,3,FALSE)</f>
        <v/>
      </c>
      <c r="J1423" s="234">
        <f>VLOOKUP($G1423,DATOS!$B:$E,4,FALSE)</f>
        <v/>
      </c>
      <c r="K1423" s="234" t="inlineStr">
        <is>
          <t>Contrato de Asset Management - Subestación Valcabado</t>
        </is>
      </c>
      <c r="L1423" s="236" t="n"/>
      <c r="N1423" s="236" t="n"/>
      <c r="O1423" s="234" t="inlineStr">
        <is>
          <t>Fee mensual - Junio 2022</t>
        </is>
      </c>
      <c r="P1423" s="236">
        <f>1173</f>
        <v/>
      </c>
      <c r="R1423" s="236" t="n"/>
      <c r="T1423" s="236" t="n"/>
      <c r="V1423" s="236" t="n"/>
      <c r="X1423" s="236" t="n"/>
      <c r="Z1423" s="236" t="n"/>
      <c r="AA1423" s="236" t="n"/>
      <c r="AB1423" s="237" t="inlineStr">
        <is>
          <t>ES11 0081 7069 2700 0122 7724</t>
        </is>
      </c>
      <c r="AC1423" s="234" t="inlineStr">
        <is>
          <t>pendiente</t>
        </is>
      </c>
      <c r="AD1423" s="236">
        <f>L1423+N1423+P1423+R1423+T1423+V1423+X1423+Z1423</f>
        <v/>
      </c>
      <c r="AE1423" s="236">
        <f>IF((LEFT(K1423,6))="Contab",L1423,0)</f>
        <v/>
      </c>
      <c r="AF1423" s="237">
        <f>VLOOKUP(G1423,CLIENTES!B:E,4,FALSE)</f>
        <v/>
      </c>
      <c r="AG1423" s="236">
        <f>AF1423*AE1423</f>
        <v/>
      </c>
      <c r="AH1423" s="236">
        <f>AD1423*1.21</f>
        <v/>
      </c>
      <c r="AI1423" s="238">
        <f>IF(AE1423&lt;&gt;0,AG1423/AD1423,"N/A")</f>
        <v/>
      </c>
      <c r="AJ1423" s="236">
        <f>IF(AC1423="pendiente",AD1423,0)</f>
        <v/>
      </c>
      <c r="AK1423" s="234">
        <f>VLOOKUP(G1423,CLIENTES!B:D,3,FALSE)</f>
        <v/>
      </c>
    </row>
    <row r="1424" ht="15" customFormat="1" customHeight="1" s="170">
      <c r="B1424" s="169" t="n"/>
      <c r="C1424" s="170" t="inlineStr">
        <is>
          <t>c/ Las Cruzadas 3A, local D</t>
        </is>
      </c>
      <c r="D1424" s="170" t="inlineStr">
        <is>
          <t>Sevilla 41004</t>
        </is>
      </c>
      <c r="E1424" s="170" t="inlineStr">
        <is>
          <t>CIF B91938662</t>
        </is>
      </c>
      <c r="F1424" s="170" t="inlineStr">
        <is>
          <t>aBalados@abalados.es</t>
        </is>
      </c>
      <c r="G1424" s="170" t="inlineStr">
        <is>
          <t>Dehesa Asomadilla Inversiones S.L.U.</t>
        </is>
      </c>
      <c r="H1424" s="170">
        <f>VLOOKUP($G1424,DATOS!$B:$E,2,FALSE)</f>
        <v/>
      </c>
      <c r="I1424" s="170">
        <f>VLOOKUP($G1424,DATOS!$B:$E,3,FALSE)</f>
        <v/>
      </c>
      <c r="J1424" s="170">
        <f>VLOOKUP($G1424,DATOS!$B:$E,4,FALSE)</f>
        <v/>
      </c>
      <c r="K1424" s="170" t="inlineStr">
        <is>
          <t>Contabilidad y Fiscalidad de proyecto Valverde - 3º Trimestre</t>
        </is>
      </c>
      <c r="L1424" s="27">
        <f>'Tarifa 2025'!$D$5/4</f>
        <v/>
      </c>
      <c r="M1424" s="170" t="inlineStr">
        <is>
          <t>SPV Management  Proyecto Valverde - 3º Trimestre</t>
        </is>
      </c>
      <c r="N1424" s="27">
        <f>'Tarifa 2025'!$F$5/4</f>
        <v/>
      </c>
      <c r="O1424" s="170" t="inlineStr">
        <is>
          <t>O&amp;M Management Proyecto Valverde - 3º Trimestre</t>
        </is>
      </c>
      <c r="P1424" s="27">
        <f>'Tarifa 2025'!$H$5/4</f>
        <v/>
      </c>
      <c r="Q1424" s="170" t="inlineStr">
        <is>
          <t>Consultoría - 2º Trimestre</t>
        </is>
      </c>
      <c r="R1424" s="27">
        <f>'Tarifa 2025'!$J$5/4</f>
        <v/>
      </c>
      <c r="T1424" s="27" t="n"/>
      <c r="V1424" s="27" t="n"/>
      <c r="X1424" s="27" t="n"/>
      <c r="Y1424" s="170" t="inlineStr">
        <is>
          <t>Gastos derivados de contrato (3,5%)</t>
        </is>
      </c>
      <c r="Z1424" s="27">
        <f>(L1424+N1424+P1424+R1424+T1424+V1424+X1424)*0.035</f>
        <v/>
      </c>
      <c r="AA1424" s="27" t="n"/>
      <c r="AB1424" s="171" t="inlineStr">
        <is>
          <t>ES11 0081 7069 2700 0122 7724</t>
        </is>
      </c>
      <c r="AC1424" s="170" t="inlineStr">
        <is>
          <t>pendiente</t>
        </is>
      </c>
      <c r="AD1424" s="27">
        <f>L1424+N1424+P1424+R1424+T1424+V1424+X1424+Z1424</f>
        <v/>
      </c>
      <c r="AE1424" s="27">
        <f>IF((LEFT(K1424,6))="Contab",L1424,0)</f>
        <v/>
      </c>
      <c r="AF1424" s="171">
        <f>VLOOKUP(G1424,CLIENTES!B:E,4,FALSE)</f>
        <v/>
      </c>
      <c r="AG1424" s="27">
        <f>AF1424*AE1424</f>
        <v/>
      </c>
      <c r="AH1424" s="27">
        <f>AD1424*1.21</f>
        <v/>
      </c>
      <c r="AI1424" s="172">
        <f>IF(AE1424&lt;&gt;0,AG1424/AD1424,"N/A")</f>
        <v/>
      </c>
      <c r="AJ1424" s="27">
        <f>IF(AC1424="pendiente",AD1424,0)</f>
        <v/>
      </c>
      <c r="AK1424" s="170">
        <f>VLOOKUP(G1424,CLIENTES!B:D,3,FALSE)</f>
        <v/>
      </c>
    </row>
    <row r="1425" ht="15" customFormat="1" customHeight="1" s="170">
      <c r="B1425" s="169" t="n"/>
      <c r="C1425" s="170" t="inlineStr">
        <is>
          <t>c/ Las Cruzadas 3A, local D</t>
        </is>
      </c>
      <c r="D1425" s="170" t="inlineStr">
        <is>
          <t>Sevilla 41004</t>
        </is>
      </c>
      <c r="E1425" s="170" t="inlineStr">
        <is>
          <t>CIF B91938662</t>
        </is>
      </c>
      <c r="F1425" s="170" t="inlineStr">
        <is>
          <t>aBalados@abalados.es</t>
        </is>
      </c>
      <c r="G1425" s="170" t="inlineStr">
        <is>
          <t>Asomadilla Solar 2007 S.L.U.</t>
        </is>
      </c>
      <c r="H1425" s="170">
        <f>VLOOKUP($G1425,DATOS!$B:$E,2,FALSE)</f>
        <v/>
      </c>
      <c r="I1425" s="170">
        <f>VLOOKUP($G1425,DATOS!$B:$E,3,FALSE)</f>
        <v/>
      </c>
      <c r="J1425" s="170">
        <f>VLOOKUP($G1425,DATOS!$B:$E,4,FALSE)</f>
        <v/>
      </c>
      <c r="K1425" s="170" t="inlineStr">
        <is>
          <t>Contabilidad y Fiscalidad de proyecto Castuera - 3º Trimestre</t>
        </is>
      </c>
      <c r="L1425" s="27">
        <f>'Tarifa 2025'!$D$6/4</f>
        <v/>
      </c>
      <c r="M1425" s="170" t="inlineStr">
        <is>
          <t>SPV Management  Proyecto Castuera - 3º Trimestre</t>
        </is>
      </c>
      <c r="N1425" s="27">
        <f>'Tarifa 2025'!$F$6/4</f>
        <v/>
      </c>
      <c r="O1425" s="170" t="inlineStr">
        <is>
          <t>O&amp;M Management Proyecto Castuera - 3º Trimestre</t>
        </is>
      </c>
      <c r="P1425" s="27">
        <f>'Tarifa 2025'!$H$6/4</f>
        <v/>
      </c>
      <c r="Q1425" s="170" t="inlineStr">
        <is>
          <t>Consultoría - 2º Trimestre</t>
        </is>
      </c>
      <c r="R1425" s="27">
        <f>'Tarifa 2025'!$J$6/4</f>
        <v/>
      </c>
      <c r="T1425" s="27" t="n"/>
      <c r="V1425" s="27" t="n"/>
      <c r="X1425" s="27" t="n"/>
      <c r="Y1425" s="170" t="inlineStr">
        <is>
          <t>Gastos derivados de contrato (3,5%)</t>
        </is>
      </c>
      <c r="Z1425" s="27">
        <f>(L1425+N1425+P1425+R1425+T1425+V1425+X1425)*0.035</f>
        <v/>
      </c>
      <c r="AA1425" s="27" t="n"/>
      <c r="AB1425" s="171" t="inlineStr">
        <is>
          <t>ES11 0081 7069 2700 0122 7724</t>
        </is>
      </c>
      <c r="AC1425" s="170" t="inlineStr">
        <is>
          <t>pendiente</t>
        </is>
      </c>
      <c r="AD1425" s="27">
        <f>L1425+N1425+P1425+R1425+T1425+V1425+X1425+Z1425</f>
        <v/>
      </c>
      <c r="AE1425" s="27">
        <f>IF((LEFT(K1425,6))="Contab",L1425,0)</f>
        <v/>
      </c>
      <c r="AF1425" s="171">
        <f>VLOOKUP(G1425,CLIENTES!B:E,4,FALSE)</f>
        <v/>
      </c>
      <c r="AG1425" s="27">
        <f>AF1425*AE1425</f>
        <v/>
      </c>
      <c r="AH1425" s="27">
        <f>AD1425*1.21</f>
        <v/>
      </c>
      <c r="AI1425" s="172">
        <f>IF(AE1425&lt;&gt;0,AG1425/AD1425,"N/A")</f>
        <v/>
      </c>
      <c r="AJ1425" s="27">
        <f>IF(AC1425="pendiente",AD1425,0)</f>
        <v/>
      </c>
      <c r="AK1425" s="170">
        <f>VLOOKUP(G1425,CLIENTES!B:D,3,FALSE)</f>
        <v/>
      </c>
    </row>
    <row r="1426" ht="15" customFormat="1" customHeight="1" s="170">
      <c r="B1426" s="169" t="n"/>
      <c r="C1426" s="170" t="inlineStr">
        <is>
          <t>c/ Las Cruzadas 3A, local D</t>
        </is>
      </c>
      <c r="D1426" s="170" t="inlineStr">
        <is>
          <t>Sevilla 41004</t>
        </is>
      </c>
      <c r="E1426" s="170" t="inlineStr">
        <is>
          <t>CIF B91938662</t>
        </is>
      </c>
      <c r="F1426" s="170" t="inlineStr">
        <is>
          <t>aBalados@abalados.es</t>
        </is>
      </c>
      <c r="G1426" s="170" t="inlineStr">
        <is>
          <t>Inversión Cubiertas Solares S.L.U.</t>
        </is>
      </c>
      <c r="H1426" s="170">
        <f>VLOOKUP($G1426,DATOS!$B:$E,2,FALSE)</f>
        <v/>
      </c>
      <c r="I1426" s="170">
        <f>VLOOKUP($G1426,DATOS!$B:$E,3,FALSE)</f>
        <v/>
      </c>
      <c r="J1426" s="170">
        <f>VLOOKUP($G1426,DATOS!$B:$E,4,FALSE)</f>
        <v/>
      </c>
      <c r="K1426" s="170" t="inlineStr">
        <is>
          <t>Contabilidad y Fiscalidad de proyecto Paiporta - 3º Trimestre</t>
        </is>
      </c>
      <c r="L1426" s="27">
        <f>'Tarifa 2025'!$D$7/4</f>
        <v/>
      </c>
      <c r="M1426" s="170" t="inlineStr">
        <is>
          <t>SPV Management  Proyecto Paiporta - 3º Trimestre</t>
        </is>
      </c>
      <c r="N1426" s="27">
        <f>'Tarifa 2025'!$F$7/4</f>
        <v/>
      </c>
      <c r="O1426" s="170" t="inlineStr">
        <is>
          <t>O&amp;M Management Proyecto Paiporta - 3º Trimestre</t>
        </is>
      </c>
      <c r="P1426" s="27">
        <f>'Tarifa 2025'!$H$7/4</f>
        <v/>
      </c>
      <c r="Q1426" s="170" t="inlineStr">
        <is>
          <t>Consultoría - 2º Trimestre</t>
        </is>
      </c>
      <c r="R1426" s="27">
        <f>'Tarifa 2025'!$J$7/4</f>
        <v/>
      </c>
      <c r="T1426" s="27" t="n"/>
      <c r="V1426" s="27" t="n"/>
      <c r="X1426" s="27" t="n"/>
      <c r="Y1426" s="170" t="inlineStr">
        <is>
          <t>Gastos derivados de contrato (3,5%)</t>
        </is>
      </c>
      <c r="Z1426" s="27">
        <f>(L1426+N1426+P1426+R1426+T1426+V1426+X1426)*0.035</f>
        <v/>
      </c>
      <c r="AA1426" s="27" t="n"/>
      <c r="AB1426" s="171" t="inlineStr">
        <is>
          <t>ES11 0081 7069 2700 0122 7724</t>
        </is>
      </c>
      <c r="AC1426" s="170" t="inlineStr">
        <is>
          <t>pendiente</t>
        </is>
      </c>
      <c r="AD1426" s="27">
        <f>L1426+N1426+P1426+R1426+T1426+V1426+X1426+Z1426</f>
        <v/>
      </c>
      <c r="AE1426" s="27">
        <f>IF((LEFT(K1426,6))="Contab",L1426,0)</f>
        <v/>
      </c>
      <c r="AF1426" s="171">
        <f>VLOOKUP(G1426,CLIENTES!B:E,4,FALSE)</f>
        <v/>
      </c>
      <c r="AG1426" s="27">
        <f>AF1426*AE1426</f>
        <v/>
      </c>
      <c r="AH1426" s="27">
        <f>AD1426*1.21</f>
        <v/>
      </c>
      <c r="AI1426" s="172">
        <f>IF(AE1426&lt;&gt;0,AG1426/AD1426,"N/A")</f>
        <v/>
      </c>
      <c r="AJ1426" s="27">
        <f>IF(AC1426="pendiente",AD1426,0)</f>
        <v/>
      </c>
      <c r="AK1426" s="170">
        <f>VLOOKUP(G1426,CLIENTES!B:D,3,FALSE)</f>
        <v/>
      </c>
    </row>
    <row r="1427" ht="15" customFormat="1" customHeight="1" s="170">
      <c r="B1427" s="169" t="n"/>
      <c r="C1427" s="170" t="inlineStr">
        <is>
          <t>c/ Las Cruzadas 3A, local D</t>
        </is>
      </c>
      <c r="D1427" s="170" t="inlineStr">
        <is>
          <t>Sevilla 41004</t>
        </is>
      </c>
      <c r="E1427" s="170" t="inlineStr">
        <is>
          <t>CIF B91938662</t>
        </is>
      </c>
      <c r="F1427" s="170" t="inlineStr">
        <is>
          <t>aBalados@abalados.es</t>
        </is>
      </c>
      <c r="G1427" s="170" t="inlineStr">
        <is>
          <t>Lugec Inversión Solar S.L.U.</t>
        </is>
      </c>
      <c r="H1427" s="170">
        <f>VLOOKUP($G1427,DATOS!$B:$E,2,FALSE)</f>
        <v/>
      </c>
      <c r="I1427" s="170">
        <f>VLOOKUP($G1427,DATOS!$B:$E,3,FALSE)</f>
        <v/>
      </c>
      <c r="J1427" s="170">
        <f>VLOOKUP($G1427,DATOS!$B:$E,4,FALSE)</f>
        <v/>
      </c>
      <c r="K1427" s="170" t="inlineStr">
        <is>
          <t>Contabilidad y Fiscalidad de proyecto Bonaire - 3º Trimestre</t>
        </is>
      </c>
      <c r="L1427" s="27">
        <f>'Tarifa 2025'!$D$8/4</f>
        <v/>
      </c>
      <c r="M1427" s="170" t="inlineStr">
        <is>
          <t>SPV Management  Proyecto Bonaire - 3º Trimestre</t>
        </is>
      </c>
      <c r="N1427" s="27">
        <f>'Tarifa 2025'!$F$8/4</f>
        <v/>
      </c>
      <c r="O1427" s="170" t="inlineStr">
        <is>
          <t>O&amp;M Management Proyecto Bonaire - 3º Trimestre</t>
        </is>
      </c>
      <c r="P1427" s="27">
        <f>'Tarifa 2025'!$H$8/4</f>
        <v/>
      </c>
      <c r="Q1427" s="170" t="inlineStr">
        <is>
          <t>Consultoría - 2º Trimestre</t>
        </is>
      </c>
      <c r="R1427" s="27">
        <f>'Tarifa 2025'!$J$8/4</f>
        <v/>
      </c>
      <c r="T1427" s="27" t="n"/>
      <c r="V1427" s="27" t="n"/>
      <c r="X1427" s="27" t="n"/>
      <c r="Y1427" s="170" t="inlineStr">
        <is>
          <t>Gastos derivados de contrato (3,5%)</t>
        </is>
      </c>
      <c r="Z1427" s="27">
        <f>(L1427+N1427+P1427+R1427+T1427+V1427+X1427)*0.035</f>
        <v/>
      </c>
      <c r="AA1427" s="27" t="n"/>
      <c r="AB1427" s="171" t="inlineStr">
        <is>
          <t>ES11 0081 7069 2700 0122 7724</t>
        </is>
      </c>
      <c r="AC1427" s="170" t="inlineStr">
        <is>
          <t>pendiente</t>
        </is>
      </c>
      <c r="AD1427" s="27">
        <f>L1427+N1427+P1427+R1427+T1427+V1427+X1427+Z1427</f>
        <v/>
      </c>
      <c r="AE1427" s="27">
        <f>IF((LEFT(K1427,6))="Contab",L1427,0)</f>
        <v/>
      </c>
      <c r="AF1427" s="171">
        <f>VLOOKUP(G1427,CLIENTES!B:E,4,FALSE)</f>
        <v/>
      </c>
      <c r="AG1427" s="27">
        <f>AF1427*AE1427</f>
        <v/>
      </c>
      <c r="AH1427" s="27">
        <f>AD1427*1.21</f>
        <v/>
      </c>
      <c r="AI1427" s="172">
        <f>IF(AE1427&lt;&gt;0,AG1427/AD1427,"N/A")</f>
        <v/>
      </c>
      <c r="AJ1427" s="27">
        <f>IF(AC1427="pendiente",AD1427,0)</f>
        <v/>
      </c>
      <c r="AK1427" s="170">
        <f>VLOOKUP(G1427,CLIENTES!B:D,3,FALSE)</f>
        <v/>
      </c>
    </row>
    <row r="1428" ht="15" customFormat="1" customHeight="1" s="170">
      <c r="B1428" s="169" t="n"/>
      <c r="C1428" s="170" t="inlineStr">
        <is>
          <t>c/ Las Cruzadas 3A, local D</t>
        </is>
      </c>
      <c r="D1428" s="170" t="inlineStr">
        <is>
          <t>Sevilla 41004</t>
        </is>
      </c>
      <c r="E1428" s="170" t="inlineStr">
        <is>
          <t>CIF B91938662</t>
        </is>
      </c>
      <c r="F1428" s="170" t="inlineStr">
        <is>
          <t>aBalados@abalados.es</t>
        </is>
      </c>
      <c r="G1428" s="170" t="inlineStr">
        <is>
          <t>LOCABA SOLAR S.L.U.</t>
        </is>
      </c>
      <c r="H1428" s="170">
        <f>VLOOKUP($G1428,DATOS!$B:$E,2,FALSE)</f>
        <v/>
      </c>
      <c r="I1428" s="170">
        <f>VLOOKUP($G1428,DATOS!$B:$E,3,FALSE)</f>
        <v/>
      </c>
      <c r="J1428" s="170">
        <f>VLOOKUP($G1428,DATOS!$B:$E,4,FALSE)</f>
        <v/>
      </c>
      <c r="K1428" s="170" t="inlineStr">
        <is>
          <t>Contabilidad y Fiscalidad de proyecto Coreses - 3º Trimestre</t>
        </is>
      </c>
      <c r="L1428" s="27">
        <f>'Tarifa 2025'!$D$9/4</f>
        <v/>
      </c>
      <c r="M1428" s="170" t="inlineStr">
        <is>
          <t>SPV Management  Proyecto Coreses - 3º Trimestre</t>
        </is>
      </c>
      <c r="N1428" s="27">
        <f>'Tarifa 2025'!$F$9/4</f>
        <v/>
      </c>
      <c r="O1428" s="170" t="inlineStr">
        <is>
          <t>O&amp;M Management Proyecto Coreses - 3º Trimestre</t>
        </is>
      </c>
      <c r="P1428" s="27">
        <f>'Tarifa 2025'!$H$9/4</f>
        <v/>
      </c>
      <c r="Q1428" s="170" t="inlineStr">
        <is>
          <t>Consultoría - 2º Trimestre</t>
        </is>
      </c>
      <c r="R1428" s="27">
        <f>'Tarifa 2025'!$J$9/4</f>
        <v/>
      </c>
      <c r="T1428" s="27" t="n"/>
      <c r="V1428" s="27" t="n"/>
      <c r="X1428" s="27" t="n"/>
      <c r="Y1428" s="170" t="inlineStr">
        <is>
          <t>Gastos derivados de contrato (3,5%)</t>
        </is>
      </c>
      <c r="Z1428" s="27">
        <f>(L1428+N1428+P1428+R1428+T1428+V1428+X1428)*0.035</f>
        <v/>
      </c>
      <c r="AA1428" s="27" t="n"/>
      <c r="AB1428" s="171" t="inlineStr">
        <is>
          <t>ES11 0081 7069 2700 0122 7724</t>
        </is>
      </c>
      <c r="AC1428" s="170" t="inlineStr">
        <is>
          <t>pendiente</t>
        </is>
      </c>
      <c r="AD1428" s="27">
        <f>L1428+N1428+P1428+R1428+T1428+V1428+X1428+Z1428</f>
        <v/>
      </c>
      <c r="AE1428" s="27">
        <f>IF((LEFT(K1428,6))="Contab",L1428,0)</f>
        <v/>
      </c>
      <c r="AF1428" s="171">
        <f>VLOOKUP(G1428,CLIENTES!B:E,4,FALSE)</f>
        <v/>
      </c>
      <c r="AG1428" s="27">
        <f>AF1428*AE1428</f>
        <v/>
      </c>
      <c r="AH1428" s="27">
        <f>AD1428*1.21</f>
        <v/>
      </c>
      <c r="AI1428" s="172">
        <f>IF(AE1428&lt;&gt;0,AG1428/AD1428,"N/A")</f>
        <v/>
      </c>
      <c r="AJ1428" s="27">
        <f>IF(AC1428="pendiente",AD1428,0)</f>
        <v/>
      </c>
      <c r="AK1428" s="170">
        <f>VLOOKUP(G1428,CLIENTES!B:D,3,FALSE)</f>
        <v/>
      </c>
    </row>
    <row r="1429" ht="15" customFormat="1" customHeight="1" s="170">
      <c r="B1429" s="169" t="n"/>
      <c r="C1429" s="170" t="inlineStr">
        <is>
          <t>c/ Las Cruzadas 3A, local D</t>
        </is>
      </c>
      <c r="D1429" s="170" t="inlineStr">
        <is>
          <t>Sevilla 41004</t>
        </is>
      </c>
      <c r="E1429" s="170" t="inlineStr">
        <is>
          <t>CIF B91938662</t>
        </is>
      </c>
      <c r="F1429" s="170" t="inlineStr">
        <is>
          <t>aBalados@abalados.es</t>
        </is>
      </c>
      <c r="G1429" s="170" t="inlineStr">
        <is>
          <t>Agrupación Solar el Algarrobo I, S.L.U.</t>
        </is>
      </c>
      <c r="H1429" s="170">
        <f>VLOOKUP($G1429,DATOS!$B:$E,2,FALSE)</f>
        <v/>
      </c>
      <c r="I1429" s="170">
        <f>VLOOKUP($G1429,DATOS!$B:$E,3,FALSE)</f>
        <v/>
      </c>
      <c r="J1429" s="170">
        <f>VLOOKUP($G1429,DATOS!$B:$E,4,FALSE)</f>
        <v/>
      </c>
      <c r="K1429" s="170" t="inlineStr">
        <is>
          <t>Contabilidad y Fiscalidad de proyecto Algarrobo I - 3º Trimestre</t>
        </is>
      </c>
      <c r="L1429" s="27">
        <f>'Tarifa 2025'!$D$12*1.89/5.49/4</f>
        <v/>
      </c>
      <c r="M1429" s="170" t="inlineStr">
        <is>
          <t>SPV Management  Proyecto Algarrobo I -  3º Trimestre</t>
        </is>
      </c>
      <c r="N1429" s="27">
        <f>'Tarifa 2025'!$F$12*1.89/5.49/4</f>
        <v/>
      </c>
      <c r="O1429" s="170" t="inlineStr">
        <is>
          <t>O&amp;M Management Proyecto Algarrobo I - 3º Trimestre</t>
        </is>
      </c>
      <c r="P1429" s="27">
        <f>'Tarifa 2025'!$H$12*1.89/5.49/4</f>
        <v/>
      </c>
      <c r="Q1429" s="170" t="inlineStr">
        <is>
          <t>Consultoría - 2º Trimestre</t>
        </is>
      </c>
      <c r="R1429" s="27">
        <f>'Tarifas 2016'!$K$12*3*(1.89/(1.89+1.89+1.71))</f>
        <v/>
      </c>
      <c r="T1429" s="27" t="n"/>
      <c r="V1429" s="27" t="n"/>
      <c r="X1429" s="27" t="n"/>
      <c r="Y1429" s="170" t="inlineStr">
        <is>
          <t>Gastos derivados de contrato (3,5%)</t>
        </is>
      </c>
      <c r="Z1429" s="27">
        <f>(L1429+N1429+P1429+R1429+T1429+V1429+X1429)*0.035</f>
        <v/>
      </c>
      <c r="AA1429" s="27" t="n"/>
      <c r="AB1429" s="171" t="inlineStr">
        <is>
          <t>ES11 0081 7069 2700 0122 7724</t>
        </is>
      </c>
      <c r="AC1429" s="170" t="inlineStr">
        <is>
          <t>pendiente</t>
        </is>
      </c>
      <c r="AD1429" s="27">
        <f>L1429+N1429+P1429+R1429+T1429+V1429+X1429+Z1429</f>
        <v/>
      </c>
      <c r="AE1429" s="27">
        <f>IF((LEFT(K1429,6))="Contab",L1429,0)</f>
        <v/>
      </c>
      <c r="AF1429" s="171">
        <f>VLOOKUP(G1429,CLIENTES!B:E,4,FALSE)</f>
        <v/>
      </c>
      <c r="AG1429" s="27">
        <f>AF1429*AE1429</f>
        <v/>
      </c>
      <c r="AH1429" s="27">
        <f>AD1429*1.21</f>
        <v/>
      </c>
      <c r="AI1429" s="172">
        <f>IF(AE1429&lt;&gt;0,AG1429/AD1429,"N/A")</f>
        <v/>
      </c>
      <c r="AJ1429" s="27">
        <f>IF(AC1429="pendiente",AD1429,0)</f>
        <v/>
      </c>
      <c r="AK1429" s="170">
        <f>VLOOKUP(G1429,CLIENTES!B:D,3,FALSE)</f>
        <v/>
      </c>
    </row>
    <row r="1430" ht="15" customFormat="1" customHeight="1" s="170">
      <c r="B1430" s="169" t="n"/>
      <c r="C1430" s="170" t="inlineStr">
        <is>
          <t>c/ Las Cruzadas 3A, local D</t>
        </is>
      </c>
      <c r="D1430" s="170" t="inlineStr">
        <is>
          <t>Sevilla 41004</t>
        </is>
      </c>
      <c r="E1430" s="170" t="inlineStr">
        <is>
          <t>CIF B91938662</t>
        </is>
      </c>
      <c r="F1430" s="170" t="inlineStr">
        <is>
          <t>aBalados@abalados.es</t>
        </is>
      </c>
      <c r="G1430" s="170" t="inlineStr">
        <is>
          <t>Agrupación Solar el Algarrobo II, S.L.U.</t>
        </is>
      </c>
      <c r="H1430" s="170">
        <f>VLOOKUP($G1430,DATOS!$B:$E,2,FALSE)</f>
        <v/>
      </c>
      <c r="I1430" s="170">
        <f>VLOOKUP($G1430,DATOS!$B:$E,3,FALSE)</f>
        <v/>
      </c>
      <c r="J1430" s="170">
        <f>VLOOKUP($G1430,DATOS!$B:$E,4,FALSE)</f>
        <v/>
      </c>
      <c r="K1430" s="170" t="inlineStr">
        <is>
          <t>Contabilidad y Fiscalidad de proyecto Algarrobo II - 3º Trimestre</t>
        </is>
      </c>
      <c r="L1430" s="27">
        <f>'Tarifa 2025'!$D$12*1.89/5.49/4</f>
        <v/>
      </c>
      <c r="M1430" s="170" t="inlineStr">
        <is>
          <t>SPV Management  Proyecto Algarrobo II -  3º Trimestre</t>
        </is>
      </c>
      <c r="N1430" s="27">
        <f>'Tarifa 2025'!$F$12*1.89/5.49/4</f>
        <v/>
      </c>
      <c r="O1430" s="170" t="inlineStr">
        <is>
          <t>O&amp;M Management Proyecto Algarrobo II - 3º Trimestre</t>
        </is>
      </c>
      <c r="P1430" s="27">
        <f>'Tarifa 2025'!$H$12*1.89/5.49/4</f>
        <v/>
      </c>
      <c r="Q1430" s="170" t="inlineStr">
        <is>
          <t>Consultoría - 2º Trimestre</t>
        </is>
      </c>
      <c r="R1430" s="27">
        <f>'Tarifas 2016'!$K$12*3*(1.89/(1.89+1.89+1.71))</f>
        <v/>
      </c>
      <c r="T1430" s="27" t="n"/>
      <c r="V1430" s="27" t="n"/>
      <c r="X1430" s="27" t="n"/>
      <c r="Y1430" s="170" t="inlineStr">
        <is>
          <t>Gastos derivados de contrato (3,5%)</t>
        </is>
      </c>
      <c r="Z1430" s="27">
        <f>(L1430+N1430+P1430+R1430+T1430+V1430+X1430)*0.035</f>
        <v/>
      </c>
      <c r="AA1430" s="27" t="n"/>
      <c r="AB1430" s="171" t="inlineStr">
        <is>
          <t>ES11 0081 7069 2700 0122 7724</t>
        </is>
      </c>
      <c r="AC1430" s="170" t="inlineStr">
        <is>
          <t>pendiente</t>
        </is>
      </c>
      <c r="AD1430" s="27">
        <f>L1430+N1430+P1430+R1430+T1430+V1430+X1430+Z1430</f>
        <v/>
      </c>
      <c r="AE1430" s="27">
        <f>IF((LEFT(K1430,6))="Contab",L1430,0)</f>
        <v/>
      </c>
      <c r="AF1430" s="171">
        <f>VLOOKUP(G1430,CLIENTES!B:E,4,FALSE)</f>
        <v/>
      </c>
      <c r="AG1430" s="27">
        <f>AF1430*AE1430</f>
        <v/>
      </c>
      <c r="AH1430" s="27">
        <f>AD1430*1.21</f>
        <v/>
      </c>
      <c r="AI1430" s="172">
        <f>IF(AE1430&lt;&gt;0,AG1430/AD1430,"N/A")</f>
        <v/>
      </c>
      <c r="AJ1430" s="27">
        <f>IF(AC1430="pendiente",AD1430,0)</f>
        <v/>
      </c>
      <c r="AK1430" s="170">
        <f>VLOOKUP(G1430,CLIENTES!B:D,3,FALSE)</f>
        <v/>
      </c>
    </row>
    <row r="1431" ht="15" customFormat="1" customHeight="1" s="170">
      <c r="B1431" s="169" t="n"/>
      <c r="C1431" s="170" t="inlineStr">
        <is>
          <t>c/ Las Cruzadas 3A, local D</t>
        </is>
      </c>
      <c r="D1431" s="170" t="inlineStr">
        <is>
          <t>Sevilla 41004</t>
        </is>
      </c>
      <c r="E1431" s="170" t="inlineStr">
        <is>
          <t>CIF B91938662</t>
        </is>
      </c>
      <c r="F1431" s="170" t="inlineStr">
        <is>
          <t>aBalados@abalados.es</t>
        </is>
      </c>
      <c r="G1431" s="170" t="inlineStr">
        <is>
          <t>Agrupación Solar el Algarrobo III, S.L.U.</t>
        </is>
      </c>
      <c r="H1431" s="170">
        <f>VLOOKUP($G1431,DATOS!$B:$E,2,FALSE)</f>
        <v/>
      </c>
      <c r="I1431" s="170">
        <f>VLOOKUP($G1431,DATOS!$B:$E,3,FALSE)</f>
        <v/>
      </c>
      <c r="J1431" s="170">
        <f>VLOOKUP($G1431,DATOS!$B:$E,4,FALSE)</f>
        <v/>
      </c>
      <c r="K1431" s="170" t="inlineStr">
        <is>
          <t>Contabilidad y Fiscalidad de proyecto Algarrobo III - 3º Trimestre</t>
        </is>
      </c>
      <c r="L1431" s="27">
        <f>'Tarifa 2025'!$D$12*1.71/5.49/4</f>
        <v/>
      </c>
      <c r="M1431" s="170" t="inlineStr">
        <is>
          <t>SPV Management  Proyecto Algarrobo III -  3º Trimestre</t>
        </is>
      </c>
      <c r="N1431" s="27">
        <f>'Tarifa 2025'!$F$12*1.71/5.49/4</f>
        <v/>
      </c>
      <c r="O1431" s="170" t="inlineStr">
        <is>
          <t>O&amp;M Management Proyecto Algarrobo III - 3º Trimestre</t>
        </is>
      </c>
      <c r="P1431" s="27">
        <f>'Tarifa 2025'!$H$12*1.71/5.49/4</f>
        <v/>
      </c>
      <c r="Q1431" s="170" t="inlineStr">
        <is>
          <t>Consultoría - 2º Trimestre</t>
        </is>
      </c>
      <c r="R1431" s="27">
        <f>'Tarifas 2016'!$K$12*3*(1.71/(1.89+1.89+1.71))</f>
        <v/>
      </c>
      <c r="T1431" s="27" t="n"/>
      <c r="V1431" s="27" t="n"/>
      <c r="X1431" s="27" t="n"/>
      <c r="Y1431" s="170" t="inlineStr">
        <is>
          <t>Gastos derivados de contrato (3,5%)</t>
        </is>
      </c>
      <c r="Z1431" s="27">
        <f>(L1431+N1431+P1431+R1431+T1431+V1431+X1431)*0.035</f>
        <v/>
      </c>
      <c r="AA1431" s="27" t="n"/>
      <c r="AB1431" s="171" t="inlineStr">
        <is>
          <t>ES11 0081 7069 2700 0122 7724</t>
        </is>
      </c>
      <c r="AC1431" s="170" t="inlineStr">
        <is>
          <t>pendiente</t>
        </is>
      </c>
      <c r="AD1431" s="27">
        <f>L1431+N1431+P1431+R1431+T1431+V1431+X1431+Z1431</f>
        <v/>
      </c>
      <c r="AE1431" s="27">
        <f>IF((LEFT(K1431,6))="Contab",L1431,0)</f>
        <v/>
      </c>
      <c r="AF1431" s="171">
        <f>VLOOKUP(G1431,CLIENTES!B:E,4,FALSE)</f>
        <v/>
      </c>
      <c r="AG1431" s="27">
        <f>AF1431*AE1431</f>
        <v/>
      </c>
      <c r="AH1431" s="27">
        <f>AD1431*1.21</f>
        <v/>
      </c>
      <c r="AI1431" s="172">
        <f>IF(AE1431&lt;&gt;0,AG1431/AD1431,"N/A")</f>
        <v/>
      </c>
      <c r="AJ1431" s="27">
        <f>IF(AC1431="pendiente",AD1431,0)</f>
        <v/>
      </c>
      <c r="AK1431" s="170">
        <f>VLOOKUP(G1431,CLIENTES!B:D,3,FALSE)</f>
        <v/>
      </c>
    </row>
    <row r="1432" ht="15" customFormat="1" customHeight="1" s="170">
      <c r="B1432" s="169" t="n"/>
      <c r="C1432" s="170" t="inlineStr">
        <is>
          <t>c/ Las Cruzadas 3A, local D</t>
        </is>
      </c>
      <c r="D1432" s="170" t="inlineStr">
        <is>
          <t>Sevilla 41004</t>
        </is>
      </c>
      <c r="E1432" s="170" t="inlineStr">
        <is>
          <t>CIF B91938662</t>
        </is>
      </c>
      <c r="F1432" s="170" t="inlineStr">
        <is>
          <t>aBalados@abalados.es</t>
        </is>
      </c>
      <c r="G1432" s="170" t="inlineStr">
        <is>
          <t>WOC Fotovoltaica España Proyecto Sollana S.L.U.</t>
        </is>
      </c>
      <c r="H1432" s="170">
        <f>VLOOKUP($G1432,DATOS!$B:$E,2,FALSE)</f>
        <v/>
      </c>
      <c r="I1432" s="170">
        <f>VLOOKUP($G1432,DATOS!$B:$E,3,FALSE)</f>
        <v/>
      </c>
      <c r="J1432" s="170">
        <f>VLOOKUP($G1432,DATOS!$B:$E,4,FALSE)</f>
        <v/>
      </c>
      <c r="K1432" s="170" t="inlineStr">
        <is>
          <t>Contabilidad y Fiscalidad de proyecto Sollana - 3º Trimestre</t>
        </is>
      </c>
      <c r="L1432" s="27">
        <f>'Tarifa 2025'!$D$13/4</f>
        <v/>
      </c>
      <c r="M1432" s="170" t="inlineStr">
        <is>
          <t>SPV Management  Proyecto Sollana - 3º Trimestre</t>
        </is>
      </c>
      <c r="N1432" s="27">
        <f>'Tarifa 2025'!$F$13/4</f>
        <v/>
      </c>
      <c r="O1432" s="170" t="inlineStr">
        <is>
          <t>O&amp;M Management Proyecto Sollana - 3º Trimestre</t>
        </is>
      </c>
      <c r="P1432" s="27">
        <f>'Tarifa 2025'!$H$13/4</f>
        <v/>
      </c>
      <c r="Q1432" s="170" t="inlineStr">
        <is>
          <t>Consultoría - 2º Trimestre</t>
        </is>
      </c>
      <c r="R1432" s="27">
        <f>'Tarifa 2025'!$J$13/4</f>
        <v/>
      </c>
      <c r="T1432" s="27" t="n"/>
      <c r="V1432" s="27" t="n"/>
      <c r="X1432" s="27" t="n"/>
      <c r="Y1432" s="170" t="inlineStr">
        <is>
          <t>Gastos derivados de contrato (3,5%)</t>
        </is>
      </c>
      <c r="Z1432" s="27">
        <f>(L1432+N1432+P1432+R1432+T1432+V1432+X1432)*0.035</f>
        <v/>
      </c>
      <c r="AA1432" s="27" t="n"/>
      <c r="AB1432" s="171" t="inlineStr">
        <is>
          <t>ES11 0081 7069 2700 0122 7724</t>
        </is>
      </c>
      <c r="AC1432" s="170" t="inlineStr">
        <is>
          <t>pendiente</t>
        </is>
      </c>
      <c r="AD1432" s="27">
        <f>L1432+N1432+P1432+R1432+T1432+V1432+X1432+Z1432</f>
        <v/>
      </c>
      <c r="AE1432" s="27">
        <f>IF((LEFT(K1432,6))="Contab",L1432,0)</f>
        <v/>
      </c>
      <c r="AF1432" s="171">
        <f>VLOOKUP(G1432,CLIENTES!B:E,4,FALSE)</f>
        <v/>
      </c>
      <c r="AG1432" s="27">
        <f>AF1432*AE1432</f>
        <v/>
      </c>
      <c r="AH1432" s="27">
        <f>AD1432*1.21</f>
        <v/>
      </c>
      <c r="AI1432" s="172">
        <f>IF(AE1432&lt;&gt;0,AG1432/AD1432,"N/A")</f>
        <v/>
      </c>
      <c r="AJ1432" s="27">
        <f>IF(AC1432="pendiente",AD1432,0)</f>
        <v/>
      </c>
      <c r="AK1432" s="170">
        <f>VLOOKUP(G1432,CLIENTES!B:D,3,FALSE)</f>
        <v/>
      </c>
    </row>
    <row r="1433" ht="15" customFormat="1" customHeight="1" s="170">
      <c r="B1433" s="169" t="n"/>
      <c r="C1433" s="170" t="inlineStr">
        <is>
          <t>c/ Las Cruzadas 3A, local D</t>
        </is>
      </c>
      <c r="D1433" s="170" t="inlineStr">
        <is>
          <t>Sevilla 41004</t>
        </is>
      </c>
      <c r="E1433" s="170" t="inlineStr">
        <is>
          <t>CIF B91938662</t>
        </is>
      </c>
      <c r="F1433" s="170" t="inlineStr">
        <is>
          <t>aBalados@abalados.es</t>
        </is>
      </c>
      <c r="G1433" s="170" t="inlineStr">
        <is>
          <t>ES Garrovers Energía Solar S.L.U.</t>
        </is>
      </c>
      <c r="H1433" s="170">
        <f>VLOOKUP($G1433,DATOS!$B:$E,2,FALSE)</f>
        <v/>
      </c>
      <c r="I1433" s="170">
        <f>VLOOKUP($G1433,DATOS!$B:$E,3,FALSE)</f>
        <v/>
      </c>
      <c r="J1433" s="170">
        <f>VLOOKUP($G1433,DATOS!$B:$E,4,FALSE)</f>
        <v/>
      </c>
      <c r="K1433" s="170" t="inlineStr">
        <is>
          <t>Contabilidad y Fiscalidad de proyecto Artà - 3º Trimestre</t>
        </is>
      </c>
      <c r="L1433" s="27">
        <f>'Tarifa 2025'!$D$14/4</f>
        <v/>
      </c>
      <c r="M1433" s="170" t="inlineStr">
        <is>
          <t>SPV Management  Proyecto Artà - 3º Trimestre</t>
        </is>
      </c>
      <c r="N1433" s="27">
        <f>'Tarifa 2025'!$F$14/4</f>
        <v/>
      </c>
      <c r="O1433" s="170" t="inlineStr">
        <is>
          <t>O&amp;M Management Proyecto Artà - 3º Trimestre</t>
        </is>
      </c>
      <c r="P1433" s="27">
        <f>'Tarifa 2025'!$H$14/4</f>
        <v/>
      </c>
      <c r="Q1433" s="170" t="inlineStr">
        <is>
          <t>Consultoría - 2º Trimestre</t>
        </is>
      </c>
      <c r="R1433" s="27">
        <f>'Tarifa 2025'!$J$14/4</f>
        <v/>
      </c>
      <c r="T1433" s="27" t="n"/>
      <c r="V1433" s="27" t="n"/>
      <c r="X1433" s="27" t="n"/>
      <c r="Y1433" s="170" t="inlineStr">
        <is>
          <t>Gastos derivados de contrato (3,5%)</t>
        </is>
      </c>
      <c r="Z1433" s="27">
        <f>(L1433+N1433+P1433+R1433+T1433+V1433+X1433)*0.035</f>
        <v/>
      </c>
      <c r="AA1433" s="27" t="n"/>
      <c r="AB1433" s="171" t="inlineStr">
        <is>
          <t>ES11 0081 7069 2700 0122 7724</t>
        </is>
      </c>
      <c r="AC1433" s="170" t="inlineStr">
        <is>
          <t>pendiente</t>
        </is>
      </c>
      <c r="AD1433" s="27">
        <f>L1433+N1433+P1433+R1433+T1433+V1433+X1433+Z1433</f>
        <v/>
      </c>
      <c r="AE1433" s="27">
        <f>IF((LEFT(K1433,6))="Contab",L1433,0)</f>
        <v/>
      </c>
      <c r="AF1433" s="171">
        <f>VLOOKUP(G1433,CLIENTES!B:E,4,FALSE)</f>
        <v/>
      </c>
      <c r="AG1433" s="27">
        <f>AF1433*AE1433</f>
        <v/>
      </c>
      <c r="AH1433" s="27">
        <f>AD1433*1.21</f>
        <v/>
      </c>
      <c r="AI1433" s="172">
        <f>IF(AE1433&lt;&gt;0,AG1433/AD1433,"N/A")</f>
        <v/>
      </c>
      <c r="AJ1433" s="27">
        <f>IF(AC1433="pendiente",AD1433,0)</f>
        <v/>
      </c>
      <c r="AK1433" s="170">
        <f>VLOOKUP(G1433,CLIENTES!B:D,3,FALSE)</f>
        <v/>
      </c>
    </row>
    <row r="1434" ht="15" customFormat="1" customHeight="1" s="170">
      <c r="B1434" s="169" t="n"/>
      <c r="C1434" s="170" t="inlineStr">
        <is>
          <t>c/ Las Cruzadas 3A, local D</t>
        </is>
      </c>
      <c r="D1434" s="170" t="inlineStr">
        <is>
          <t>Sevilla 41004</t>
        </is>
      </c>
      <c r="E1434" s="170" t="inlineStr">
        <is>
          <t>CIF B91938662</t>
        </is>
      </c>
      <c r="F1434" s="170" t="inlineStr">
        <is>
          <t>aBalados@abalados.es</t>
        </is>
      </c>
      <c r="G1434" s="170" t="inlineStr">
        <is>
          <t>Contreras Parque Solar S.L.U.</t>
        </is>
      </c>
      <c r="H1434" s="170">
        <f>VLOOKUP($G1434,DATOS!$B:$E,2,FALSE)</f>
        <v/>
      </c>
      <c r="I1434" s="170">
        <f>VLOOKUP($G1434,DATOS!$B:$E,3,FALSE)</f>
        <v/>
      </c>
      <c r="J1434" s="170">
        <f>VLOOKUP($G1434,DATOS!$B:$E,4,FALSE)</f>
        <v/>
      </c>
      <c r="K1434" s="170" t="inlineStr">
        <is>
          <t>Contabilidad y Fiscalidad de proyecto Casa Roja - 3º Trimestre</t>
        </is>
      </c>
      <c r="L1434" s="27">
        <f>'Tarifa 2025'!$D$15/4</f>
        <v/>
      </c>
      <c r="M1434" s="170" t="inlineStr">
        <is>
          <t>SPV Management  Proyecto Contreras - 3º Trimestre</t>
        </is>
      </c>
      <c r="N1434" s="27">
        <f>'Tarifa 2025'!$F$15/4</f>
        <v/>
      </c>
      <c r="O1434" s="170" t="inlineStr">
        <is>
          <t>O&amp;M Management Proyecto Contreras - 3º Trimestre</t>
        </is>
      </c>
      <c r="P1434" s="27">
        <f>'Tarifa 2025'!$H$15/4</f>
        <v/>
      </c>
      <c r="Q1434" s="170" t="inlineStr">
        <is>
          <t>Consultoría - 2º Trimestre</t>
        </is>
      </c>
      <c r="R1434" s="27">
        <f>'Tarifa 2025'!$J$15/4</f>
        <v/>
      </c>
      <c r="T1434" s="27" t="n"/>
      <c r="V1434" s="27" t="n"/>
      <c r="X1434" s="27" t="n"/>
      <c r="Y1434" s="170" t="inlineStr">
        <is>
          <t>Gastos derivados de contrato (3,5%)</t>
        </is>
      </c>
      <c r="Z1434" s="27">
        <f>(L1434+N1434+P1434+R1434+T1434+V1434+X1434)*0.035</f>
        <v/>
      </c>
      <c r="AA1434" s="27" t="n"/>
      <c r="AB1434" s="171" t="inlineStr">
        <is>
          <t>ES11 0081 7069 2700 0122 7724</t>
        </is>
      </c>
      <c r="AC1434" s="170" t="inlineStr">
        <is>
          <t>pendiente</t>
        </is>
      </c>
      <c r="AD1434" s="27">
        <f>L1434+N1434+P1434+R1434+T1434+V1434+X1434+Z1434</f>
        <v/>
      </c>
      <c r="AE1434" s="27">
        <f>IF((LEFT(K1434,6))="Contab",L1434,0)</f>
        <v/>
      </c>
      <c r="AF1434" s="171">
        <f>VLOOKUP(G1434,CLIENTES!B:E,4,FALSE)</f>
        <v/>
      </c>
      <c r="AG1434" s="27">
        <f>AF1434*AE1434</f>
        <v/>
      </c>
      <c r="AH1434" s="27">
        <f>AD1434*1.21</f>
        <v/>
      </c>
      <c r="AI1434" s="172">
        <f>IF(AE1434&lt;&gt;0,AG1434/AD1434,"N/A")</f>
        <v/>
      </c>
      <c r="AJ1434" s="27">
        <f>IF(AC1434="pendiente",AD1434,0)</f>
        <v/>
      </c>
      <c r="AK1434" s="170">
        <f>VLOOKUP(G1434,CLIENTES!B:D,3,FALSE)</f>
        <v/>
      </c>
    </row>
    <row r="1435" ht="15" customFormat="1" customHeight="1" s="170">
      <c r="B1435" s="169" t="n"/>
      <c r="C1435" s="170" t="inlineStr">
        <is>
          <t>c/ Las Cruzadas 3A, local D</t>
        </is>
      </c>
      <c r="D1435" s="170" t="inlineStr">
        <is>
          <t>Sevilla 41004</t>
        </is>
      </c>
      <c r="E1435" s="170" t="inlineStr">
        <is>
          <t>CIF B91938662</t>
        </is>
      </c>
      <c r="F1435" s="170" t="inlineStr">
        <is>
          <t>aBalados@abalados.es</t>
        </is>
      </c>
      <c r="G1435" s="170" t="inlineStr">
        <is>
          <t>Lo Illán  Parque Solar S.L.U.</t>
        </is>
      </c>
      <c r="H1435" s="170">
        <f>VLOOKUP($G1435,DATOS!$B:$E,2,FALSE)</f>
        <v/>
      </c>
      <c r="I1435" s="170">
        <f>VLOOKUP($G1435,DATOS!$B:$E,3,FALSE)</f>
        <v/>
      </c>
      <c r="J1435" s="170">
        <f>VLOOKUP($G1435,DATOS!$B:$E,4,FALSE)</f>
        <v/>
      </c>
      <c r="K1435" s="170" t="inlineStr">
        <is>
          <t>Contabilidad y Fiscalidad de proyecto Casa Roja - 3º Trimestre</t>
        </is>
      </c>
      <c r="L1435" s="27">
        <f>'Tarifa 2025'!$D$16/4</f>
        <v/>
      </c>
      <c r="M1435" s="170" t="inlineStr">
        <is>
          <t>SPV Management  Proyecto Lo Illán - 3º Trimestre</t>
        </is>
      </c>
      <c r="N1435" s="27">
        <f>'Tarifa 2025'!$F$16/4</f>
        <v/>
      </c>
      <c r="O1435" s="170" t="inlineStr">
        <is>
          <t>O&amp;M Management Proyecto Lo Illán - 3º Trimestre</t>
        </is>
      </c>
      <c r="P1435" s="27">
        <f>'Tarifa 2025'!$H$16/4</f>
        <v/>
      </c>
      <c r="Q1435" s="170" t="inlineStr">
        <is>
          <t>Consultoría - 2º Trimestre</t>
        </is>
      </c>
      <c r="R1435" s="27">
        <f>'Tarifa 2025'!$J$16/4</f>
        <v/>
      </c>
      <c r="T1435" s="27" t="n"/>
      <c r="V1435" s="27" t="n"/>
      <c r="X1435" s="27" t="n"/>
      <c r="Y1435" s="170" t="inlineStr">
        <is>
          <t>Gastos derivados de contrato (3,5%)</t>
        </is>
      </c>
      <c r="Z1435" s="27">
        <f>(L1435+N1435+P1435+R1435+T1435+V1435+X1435)*0.035</f>
        <v/>
      </c>
      <c r="AA1435" s="27" t="n"/>
      <c r="AB1435" s="171" t="inlineStr">
        <is>
          <t>ES11 0081 7069 2700 0122 7724</t>
        </is>
      </c>
      <c r="AC1435" s="170" t="inlineStr">
        <is>
          <t>pendiente</t>
        </is>
      </c>
      <c r="AD1435" s="27">
        <f>L1435+N1435+P1435+R1435+T1435+V1435+X1435+Z1435</f>
        <v/>
      </c>
      <c r="AE1435" s="27">
        <f>IF((LEFT(K1435,6))="Contab",L1435,0)</f>
        <v/>
      </c>
      <c r="AF1435" s="171">
        <f>VLOOKUP(G1435,CLIENTES!B:E,4,FALSE)</f>
        <v/>
      </c>
      <c r="AG1435" s="27">
        <f>AF1435*AE1435</f>
        <v/>
      </c>
      <c r="AH1435" s="27">
        <f>AD1435*1.21</f>
        <v/>
      </c>
      <c r="AI1435" s="172">
        <f>IF(AE1435&lt;&gt;0,AG1435/AD1435,"N/A")</f>
        <v/>
      </c>
      <c r="AJ1435" s="27">
        <f>IF(AC1435="pendiente",AD1435,0)</f>
        <v/>
      </c>
      <c r="AK1435" s="170">
        <f>VLOOKUP(G1435,CLIENTES!B:D,3,FALSE)</f>
        <v/>
      </c>
    </row>
    <row r="1436" ht="15" customFormat="1" customHeight="1" s="170">
      <c r="B1436" s="169" t="n"/>
      <c r="C1436" s="170" t="inlineStr">
        <is>
          <t>c/ Las Cruzadas 3A, local D</t>
        </is>
      </c>
      <c r="D1436" s="170" t="inlineStr">
        <is>
          <t>Sevilla 41004</t>
        </is>
      </c>
      <c r="E1436" s="170" t="inlineStr">
        <is>
          <t>CIF B91938662</t>
        </is>
      </c>
      <c r="F1436" s="170" t="inlineStr">
        <is>
          <t>aBalados@abalados.es</t>
        </is>
      </c>
      <c r="G1436" s="170" t="inlineStr">
        <is>
          <t>Turbinto Parque Solar S.L.U.</t>
        </is>
      </c>
      <c r="H1436" s="170">
        <f>VLOOKUP($G1436,DATOS!$B:$E,2,FALSE)</f>
        <v/>
      </c>
      <c r="I1436" s="170">
        <f>VLOOKUP($G1436,DATOS!$B:$E,3,FALSE)</f>
        <v/>
      </c>
      <c r="J1436" s="170">
        <f>VLOOKUP($G1436,DATOS!$B:$E,4,FALSE)</f>
        <v/>
      </c>
      <c r="K1436" s="170" t="inlineStr">
        <is>
          <t>Contabilidad y Fiscalidad de proyecto Casa Roja - 3º Trimestre</t>
        </is>
      </c>
      <c r="L1436" s="27">
        <f>'Tarifa 2025'!$D$17/4</f>
        <v/>
      </c>
      <c r="M1436" s="170" t="inlineStr">
        <is>
          <t>SPV Management  Proyecto Turbinto - 3º Trimestre</t>
        </is>
      </c>
      <c r="N1436" s="27">
        <f>'Tarifa 2025'!$F$17/4</f>
        <v/>
      </c>
      <c r="O1436" s="170" t="inlineStr">
        <is>
          <t>O&amp;M Management Proyecto Turbinto - 3º Trimestre</t>
        </is>
      </c>
      <c r="P1436" s="27">
        <f>'Tarifa 2025'!$H$17/4</f>
        <v/>
      </c>
      <c r="Q1436" s="170" t="inlineStr">
        <is>
          <t>Consultoría - 2º Trimestre</t>
        </is>
      </c>
      <c r="R1436" s="27">
        <f>'Tarifa 2025'!$J$17/4</f>
        <v/>
      </c>
      <c r="T1436" s="27" t="n"/>
      <c r="V1436" s="27" t="n"/>
      <c r="X1436" s="27" t="n"/>
      <c r="Y1436" s="170" t="inlineStr">
        <is>
          <t>Gastos derivados de contrato (3,5%)</t>
        </is>
      </c>
      <c r="Z1436" s="27">
        <f>(L1436+N1436+P1436+R1436+T1436+V1436+X1436)*0.035</f>
        <v/>
      </c>
      <c r="AA1436" s="27" t="n"/>
      <c r="AB1436" s="171" t="inlineStr">
        <is>
          <t>ES11 0081 7069 2700 0122 7724</t>
        </is>
      </c>
      <c r="AC1436" s="170" t="inlineStr">
        <is>
          <t>pendiente</t>
        </is>
      </c>
      <c r="AD1436" s="27">
        <f>L1436+N1436+P1436+R1436+T1436+V1436+X1436+Z1436</f>
        <v/>
      </c>
      <c r="AE1436" s="27">
        <f>IF((LEFT(K1436,6))="Contab",L1436,0)</f>
        <v/>
      </c>
      <c r="AF1436" s="171">
        <f>VLOOKUP(G1436,CLIENTES!B:E,4,FALSE)</f>
        <v/>
      </c>
      <c r="AG1436" s="27">
        <f>AF1436*AE1436</f>
        <v/>
      </c>
      <c r="AH1436" s="27">
        <f>AD1436*1.21</f>
        <v/>
      </c>
      <c r="AI1436" s="172">
        <f>IF(AE1436&lt;&gt;0,AG1436/AD1436,"N/A")</f>
        <v/>
      </c>
      <c r="AJ1436" s="27">
        <f>IF(AC1436="pendiente",AD1436,0)</f>
        <v/>
      </c>
      <c r="AK1436" s="170">
        <f>VLOOKUP(G1436,CLIENTES!B:D,3,FALSE)</f>
        <v/>
      </c>
    </row>
    <row r="1437" ht="15" customFormat="1" customHeight="1" s="170">
      <c r="B1437" s="169" t="n"/>
      <c r="C1437" s="170" t="inlineStr">
        <is>
          <t>c/ Las Cruzadas 3A, local D</t>
        </is>
      </c>
      <c r="D1437" s="170" t="inlineStr">
        <is>
          <t>Sevilla 41004</t>
        </is>
      </c>
      <c r="E1437" s="170" t="inlineStr">
        <is>
          <t>CIF B91938662</t>
        </is>
      </c>
      <c r="F1437" s="170" t="inlineStr">
        <is>
          <t>aBalados@abalados.es</t>
        </is>
      </c>
      <c r="G1437" s="170" t="inlineStr">
        <is>
          <t>Amberg V S.L.U.</t>
        </is>
      </c>
      <c r="H1437" s="170">
        <f>VLOOKUP($G1437,DATOS!$B:$E,2,FALSE)</f>
        <v/>
      </c>
      <c r="I1437" s="170">
        <f>VLOOKUP($G1437,DATOS!$B:$E,3,FALSE)</f>
        <v/>
      </c>
      <c r="J1437" s="170">
        <f>VLOOKUP($G1437,DATOS!$B:$E,4,FALSE)</f>
        <v/>
      </c>
      <c r="K1437" s="170" t="inlineStr">
        <is>
          <t>Contabilidad y Fiscalidad de proyecto - 3º Trimestre</t>
        </is>
      </c>
      <c r="L1437" s="27">
        <f>'Tarifa 2025'!$D$18/4/6</f>
        <v/>
      </c>
      <c r="M1437" s="170" t="inlineStr">
        <is>
          <t>SPV Management de Proyecto - 3º Trimestre</t>
        </is>
      </c>
      <c r="N1437" s="27">
        <f>'Tarifa 2025'!$F$18/6/4</f>
        <v/>
      </c>
      <c r="O1437" s="170" t="inlineStr">
        <is>
          <t>O&amp;M Management de Proyecto - 3º Trimestre</t>
        </is>
      </c>
      <c r="P1437" s="27">
        <f>'Tarifa 2025'!$H$18/6/4</f>
        <v/>
      </c>
      <c r="R1437" s="27" t="n"/>
      <c r="T1437" s="27" t="n"/>
      <c r="V1437" s="27" t="n"/>
      <c r="X1437" s="27" t="n"/>
      <c r="Y1437" s="170" t="inlineStr">
        <is>
          <t>Gastos derivados de contrato (3,5%)</t>
        </is>
      </c>
      <c r="Z1437" s="27">
        <f>(L1437+N1437+P1437+R1437+T1437+V1437+X1437)*0.035</f>
        <v/>
      </c>
      <c r="AA1437" s="27" t="n"/>
      <c r="AB1437" s="171" t="inlineStr">
        <is>
          <t>ES11 0081 7069 2700 0122 7724</t>
        </is>
      </c>
      <c r="AC1437" s="170" t="inlineStr">
        <is>
          <t>pendiente</t>
        </is>
      </c>
      <c r="AD1437" s="27">
        <f>L1437+N1437+P1437+R1437+T1437+V1437+X1437+Z1437</f>
        <v/>
      </c>
      <c r="AE1437" s="27">
        <f>IF((LEFT(K1437,6))="Contab",L1437,0)</f>
        <v/>
      </c>
      <c r="AF1437" s="171">
        <f>VLOOKUP(G1437,CLIENTES!B:E,4,FALSE)</f>
        <v/>
      </c>
      <c r="AG1437" s="27">
        <f>AF1437*AE1437</f>
        <v/>
      </c>
      <c r="AH1437" s="27">
        <f>AD1437*1.21</f>
        <v/>
      </c>
      <c r="AI1437" s="172">
        <f>IF(AE1437&lt;&gt;0,AG1437/AD1437,"N/A")</f>
        <v/>
      </c>
      <c r="AJ1437" s="27">
        <f>IF(AC1437="pendiente",AD1437,0)</f>
        <v/>
      </c>
      <c r="AK1437" s="170">
        <f>VLOOKUP(G1437,CLIENTES!B:D,3,FALSE)</f>
        <v/>
      </c>
    </row>
    <row r="1438" ht="15" customFormat="1" customHeight="1" s="170">
      <c r="B1438" s="169" t="n"/>
      <c r="C1438" s="170" t="inlineStr">
        <is>
          <t>c/ Las Cruzadas 3A, local D</t>
        </is>
      </c>
      <c r="D1438" s="170" t="inlineStr">
        <is>
          <t>Sevilla 41004</t>
        </is>
      </c>
      <c r="E1438" s="170" t="inlineStr">
        <is>
          <t>CIF B91938662</t>
        </is>
      </c>
      <c r="F1438" s="170" t="inlineStr">
        <is>
          <t>aBalados@abalados.es</t>
        </is>
      </c>
      <c r="G1438" s="170" t="inlineStr">
        <is>
          <t>Solar Photo Collect S.L.U.</t>
        </is>
      </c>
      <c r="H1438" s="170">
        <f>VLOOKUP($G1438,DATOS!$B:$E,2,FALSE)</f>
        <v/>
      </c>
      <c r="I1438" s="170">
        <f>VLOOKUP($G1438,DATOS!$B:$E,3,FALSE)</f>
        <v/>
      </c>
      <c r="J1438" s="170">
        <f>VLOOKUP($G1438,DATOS!$B:$E,4,FALSE)</f>
        <v/>
      </c>
      <c r="K1438" s="170" t="inlineStr">
        <is>
          <t>Contabilidad y Fiscalidad de proyecto - 3º Trimestre</t>
        </is>
      </c>
      <c r="L1438" s="27">
        <f>'Tarifa 2025'!$D$18/4/6</f>
        <v/>
      </c>
      <c r="M1438" s="170" t="inlineStr">
        <is>
          <t>SPV Management de Proyecto - 3º Trimestre</t>
        </is>
      </c>
      <c r="N1438" s="27">
        <f>'Tarifa 2025'!$F$18/6/4</f>
        <v/>
      </c>
      <c r="O1438" s="170" t="inlineStr">
        <is>
          <t>O&amp;M Management de Proyecto - 3º Trimestre</t>
        </is>
      </c>
      <c r="P1438" s="27">
        <f>'Tarifa 2025'!$H$18/6/4</f>
        <v/>
      </c>
      <c r="R1438" s="27" t="n"/>
      <c r="T1438" s="27" t="n"/>
      <c r="V1438" s="27" t="n"/>
      <c r="X1438" s="27" t="n"/>
      <c r="Y1438" s="170" t="inlineStr">
        <is>
          <t>Gastos derivados de contrato (3,5%)</t>
        </is>
      </c>
      <c r="Z1438" s="27">
        <f>(L1438+N1438+P1438+R1438+T1438+V1438+X1438)*0.035</f>
        <v/>
      </c>
      <c r="AA1438" s="27" t="n"/>
      <c r="AB1438" s="171" t="inlineStr">
        <is>
          <t>ES11 0081 7069 2700 0122 7724</t>
        </is>
      </c>
      <c r="AC1438" s="170" t="inlineStr">
        <is>
          <t>pendiente</t>
        </is>
      </c>
      <c r="AD1438" s="27">
        <f>L1438+N1438+P1438+R1438+T1438+V1438+X1438+Z1438</f>
        <v/>
      </c>
      <c r="AE1438" s="27">
        <f>IF((LEFT(K1438,6))="Contab",L1438,0)</f>
        <v/>
      </c>
      <c r="AF1438" s="171">
        <f>VLOOKUP(G1438,CLIENTES!B:E,4,FALSE)</f>
        <v/>
      </c>
      <c r="AG1438" s="27">
        <f>AF1438*AE1438</f>
        <v/>
      </c>
      <c r="AH1438" s="27">
        <f>AD1438*1.21</f>
        <v/>
      </c>
      <c r="AI1438" s="172">
        <f>IF(AE1438&lt;&gt;0,AG1438/AD1438,"N/A")</f>
        <v/>
      </c>
      <c r="AJ1438" s="27">
        <f>IF(AC1438="pendiente",AD1438,0)</f>
        <v/>
      </c>
      <c r="AK1438" s="170">
        <f>VLOOKUP(G1438,CLIENTES!B:D,3,FALSE)</f>
        <v/>
      </c>
    </row>
    <row r="1439" ht="15" customFormat="1" customHeight="1" s="170">
      <c r="B1439" s="169" t="n"/>
      <c r="C1439" s="170" t="inlineStr">
        <is>
          <t>c/ Las Cruzadas 3A, local D</t>
        </is>
      </c>
      <c r="D1439" s="170" t="inlineStr">
        <is>
          <t>Sevilla 41004</t>
        </is>
      </c>
      <c r="E1439" s="170" t="inlineStr">
        <is>
          <t>CIF B91938662</t>
        </is>
      </c>
      <c r="F1439" s="170" t="inlineStr">
        <is>
          <t>aBalados@abalados.es</t>
        </is>
      </c>
      <c r="G1439" s="170" t="inlineStr">
        <is>
          <t xml:space="preserve">Rasteding PV I, S.L.U. </t>
        </is>
      </c>
      <c r="H1439" s="170">
        <f>VLOOKUP($G1439,DATOS!$B:$E,2,FALSE)</f>
        <v/>
      </c>
      <c r="I1439" s="170">
        <f>VLOOKUP($G1439,DATOS!$B:$E,3,FALSE)</f>
        <v/>
      </c>
      <c r="J1439" s="170">
        <f>VLOOKUP($G1439,DATOS!$B:$E,4,FALSE)</f>
        <v/>
      </c>
      <c r="K1439" s="170" t="inlineStr">
        <is>
          <t>Contabilidad y Fiscalidad de proyecto - 3º Trimestre</t>
        </is>
      </c>
      <c r="L1439" s="27">
        <f>'Tarifa 2025'!$D$18/4/6</f>
        <v/>
      </c>
      <c r="M1439" s="170" t="inlineStr">
        <is>
          <t>SPV Management de Proyecto - 3º Trimestre</t>
        </is>
      </c>
      <c r="N1439" s="27">
        <f>'Tarifa 2025'!$F$18/6/4</f>
        <v/>
      </c>
      <c r="O1439" s="170" t="inlineStr">
        <is>
          <t>O&amp;M Management de Proyecto - 3º Trimestre</t>
        </is>
      </c>
      <c r="P1439" s="27">
        <f>'Tarifa 2025'!$H$18/6/4</f>
        <v/>
      </c>
      <c r="R1439" s="27" t="n"/>
      <c r="T1439" s="27" t="n"/>
      <c r="V1439" s="27" t="n"/>
      <c r="X1439" s="27" t="n"/>
      <c r="Y1439" s="170" t="inlineStr">
        <is>
          <t>Gastos derivados de contrato (3,5%)</t>
        </is>
      </c>
      <c r="Z1439" s="27">
        <f>(L1439+N1439+P1439+R1439+T1439+V1439+X1439)*0.035</f>
        <v/>
      </c>
      <c r="AA1439" s="27" t="n"/>
      <c r="AB1439" s="171" t="inlineStr">
        <is>
          <t>ES11 0081 7069 2700 0122 7724</t>
        </is>
      </c>
      <c r="AC1439" s="170" t="inlineStr">
        <is>
          <t>pendiente</t>
        </is>
      </c>
      <c r="AD1439" s="27">
        <f>L1439+N1439+P1439+R1439+T1439+V1439+X1439+Z1439</f>
        <v/>
      </c>
      <c r="AE1439" s="27">
        <f>IF((LEFT(K1439,6))="Contab",L1439,0)</f>
        <v/>
      </c>
      <c r="AF1439" s="171">
        <f>VLOOKUP(G1439,CLIENTES!B:E,4,FALSE)</f>
        <v/>
      </c>
      <c r="AG1439" s="27">
        <f>AF1439*AE1439</f>
        <v/>
      </c>
      <c r="AH1439" s="27">
        <f>AD1439*1.21</f>
        <v/>
      </c>
      <c r="AI1439" s="172">
        <f>IF(AE1439&lt;&gt;0,AG1439/AD1439,"N/A")</f>
        <v/>
      </c>
      <c r="AJ1439" s="27">
        <f>IF(AC1439="pendiente",AD1439,0)</f>
        <v/>
      </c>
      <c r="AK1439" s="170">
        <f>VLOOKUP(G1439,CLIENTES!B:D,3,FALSE)</f>
        <v/>
      </c>
    </row>
    <row r="1440" ht="15" customFormat="1" customHeight="1" s="170">
      <c r="B1440" s="169" t="n"/>
      <c r="C1440" s="170" t="inlineStr">
        <is>
          <t>c/ Las Cruzadas 3A, local D</t>
        </is>
      </c>
      <c r="D1440" s="170" t="inlineStr">
        <is>
          <t>Sevilla 41004</t>
        </is>
      </c>
      <c r="E1440" s="170" t="inlineStr">
        <is>
          <t>CIF B91938662</t>
        </is>
      </c>
      <c r="F1440" s="170" t="inlineStr">
        <is>
          <t>aBalados@abalados.es</t>
        </is>
      </c>
      <c r="G1440" s="170" t="inlineStr">
        <is>
          <t>Amberg II S.L.U.</t>
        </is>
      </c>
      <c r="H1440" s="170">
        <f>VLOOKUP($G1440,DATOS!$B:$E,2,FALSE)</f>
        <v/>
      </c>
      <c r="I1440" s="170">
        <f>VLOOKUP($G1440,DATOS!$B:$E,3,FALSE)</f>
        <v/>
      </c>
      <c r="J1440" s="170">
        <f>VLOOKUP($G1440,DATOS!$B:$E,4,FALSE)</f>
        <v/>
      </c>
      <c r="K1440" s="170" t="inlineStr">
        <is>
          <t>Contabilidad y Fiscalidad de proyecto - 3º Trimestre</t>
        </is>
      </c>
      <c r="L1440" s="27">
        <f>'Tarifa 2025'!$D$18/4/6</f>
        <v/>
      </c>
      <c r="M1440" s="170" t="inlineStr">
        <is>
          <t>SPV Management de Proyecto - 3º Trimestre</t>
        </is>
      </c>
      <c r="N1440" s="27">
        <f>'Tarifa 2025'!$F$18/6/4</f>
        <v/>
      </c>
      <c r="O1440" s="170" t="inlineStr">
        <is>
          <t>O&amp;M Management de Proyecto - 3º Trimestre</t>
        </is>
      </c>
      <c r="P1440" s="27">
        <f>'Tarifa 2025'!$H$18/6/4</f>
        <v/>
      </c>
      <c r="R1440" s="27" t="n"/>
      <c r="T1440" s="27" t="n"/>
      <c r="V1440" s="27" t="n"/>
      <c r="X1440" s="27" t="n"/>
      <c r="Y1440" s="170" t="inlineStr">
        <is>
          <t>Gastos derivados de contrato (3,5%)</t>
        </is>
      </c>
      <c r="Z1440" s="27">
        <f>(L1440+N1440+P1440+R1440+T1440+V1440+X1440)*0.035</f>
        <v/>
      </c>
      <c r="AA1440" s="27" t="n"/>
      <c r="AB1440" s="171" t="inlineStr">
        <is>
          <t>ES11 0081 7069 2700 0122 7724</t>
        </is>
      </c>
      <c r="AC1440" s="170" t="inlineStr">
        <is>
          <t>pendiente</t>
        </is>
      </c>
      <c r="AD1440" s="27">
        <f>L1440+N1440+P1440+R1440+T1440+V1440+X1440+Z1440</f>
        <v/>
      </c>
      <c r="AE1440" s="27">
        <f>IF((LEFT(K1440,6))="Contab",L1440,0)</f>
        <v/>
      </c>
      <c r="AF1440" s="171">
        <f>VLOOKUP(G1440,CLIENTES!B:E,4,FALSE)</f>
        <v/>
      </c>
      <c r="AG1440" s="27">
        <f>AF1440*AE1440</f>
        <v/>
      </c>
      <c r="AH1440" s="27">
        <f>AD1440*1.21</f>
        <v/>
      </c>
      <c r="AI1440" s="172">
        <f>IF(AE1440&lt;&gt;0,AG1440/AD1440,"N/A")</f>
        <v/>
      </c>
      <c r="AJ1440" s="27">
        <f>IF(AC1440="pendiente",AD1440,0)</f>
        <v/>
      </c>
      <c r="AK1440" s="170">
        <f>VLOOKUP(G1440,CLIENTES!B:D,3,FALSE)</f>
        <v/>
      </c>
    </row>
    <row r="1441" ht="15" customFormat="1" customHeight="1" s="170">
      <c r="B1441" s="169" t="n"/>
      <c r="C1441" s="170" t="inlineStr">
        <is>
          <t>c/ Las Cruzadas 3A, local D</t>
        </is>
      </c>
      <c r="D1441" s="170" t="inlineStr">
        <is>
          <t>Sevilla 41004</t>
        </is>
      </c>
      <c r="E1441" s="170" t="inlineStr">
        <is>
          <t>CIF B91938662</t>
        </is>
      </c>
      <c r="F1441" s="170" t="inlineStr">
        <is>
          <t>aBalados@abalados.es</t>
        </is>
      </c>
      <c r="G1441" s="170" t="inlineStr">
        <is>
          <t>Tiksi PV II S.L.U.</t>
        </is>
      </c>
      <c r="H1441" s="170">
        <f>VLOOKUP($G1441,DATOS!$B:$E,2,FALSE)</f>
        <v/>
      </c>
      <c r="I1441" s="170">
        <f>VLOOKUP($G1441,DATOS!$B:$E,3,FALSE)</f>
        <v/>
      </c>
      <c r="J1441" s="170">
        <f>VLOOKUP($G1441,DATOS!$B:$E,4,FALSE)</f>
        <v/>
      </c>
      <c r="K1441" s="170" t="inlineStr">
        <is>
          <t>Contabilidad y Fiscalidad de proyecto - 3º Trimestre</t>
        </is>
      </c>
      <c r="L1441" s="27">
        <f>'Tarifa 2025'!$D$18/4/6</f>
        <v/>
      </c>
      <c r="M1441" s="170" t="inlineStr">
        <is>
          <t>SPV Management de Proyecto - 3º Trimestre</t>
        </is>
      </c>
      <c r="N1441" s="27">
        <f>'Tarifa 2025'!$F$18/6/4</f>
        <v/>
      </c>
      <c r="O1441" s="170" t="inlineStr">
        <is>
          <t>O&amp;M Management de Proyecto - 3º Trimestre</t>
        </is>
      </c>
      <c r="P1441" s="27">
        <f>'Tarifa 2025'!$H$18/6/4</f>
        <v/>
      </c>
      <c r="R1441" s="27" t="n"/>
      <c r="T1441" s="27" t="n"/>
      <c r="V1441" s="27" t="n"/>
      <c r="X1441" s="27" t="n"/>
      <c r="Y1441" s="170" t="inlineStr">
        <is>
          <t>Gastos derivados de contrato (3,5%)</t>
        </is>
      </c>
      <c r="Z1441" s="27">
        <f>(L1441+N1441+P1441+R1441+T1441+V1441+X1441)*0.035</f>
        <v/>
      </c>
      <c r="AA1441" s="27" t="n"/>
      <c r="AB1441" s="171" t="inlineStr">
        <is>
          <t>ES11 0081 7069 2700 0122 7724</t>
        </is>
      </c>
      <c r="AC1441" s="170" t="inlineStr">
        <is>
          <t>pendiente</t>
        </is>
      </c>
      <c r="AD1441" s="27">
        <f>L1441+N1441+P1441+R1441+T1441+V1441+X1441+Z1441</f>
        <v/>
      </c>
      <c r="AE1441" s="27">
        <f>IF((LEFT(K1441,6))="Contab",L1441,0)</f>
        <v/>
      </c>
      <c r="AF1441" s="171">
        <f>VLOOKUP(G1441,CLIENTES!B:E,4,FALSE)</f>
        <v/>
      </c>
      <c r="AG1441" s="27">
        <f>AF1441*AE1441</f>
        <v/>
      </c>
      <c r="AH1441" s="27">
        <f>AD1441*1.21</f>
        <v/>
      </c>
      <c r="AI1441" s="172">
        <f>IF(AE1441&lt;&gt;0,AG1441/AD1441,"N/A")</f>
        <v/>
      </c>
      <c r="AJ1441" s="27">
        <f>IF(AC1441="pendiente",AD1441,0)</f>
        <v/>
      </c>
      <c r="AK1441" s="170">
        <f>VLOOKUP(G1441,CLIENTES!B:D,3,FALSE)</f>
        <v/>
      </c>
    </row>
    <row r="1442" ht="15" customFormat="1" customHeight="1" s="234">
      <c r="B1442" s="235" t="n"/>
      <c r="C1442" s="234" t="inlineStr">
        <is>
          <t>c/ Las Cruzadas 3A, local D</t>
        </is>
      </c>
      <c r="D1442" s="234" t="inlineStr">
        <is>
          <t>Sevilla 41004</t>
        </is>
      </c>
      <c r="E1442" s="234" t="inlineStr">
        <is>
          <t>CIF B91938662</t>
        </is>
      </c>
      <c r="F1442" s="234" t="inlineStr">
        <is>
          <t>aBalados@abalados.es</t>
        </is>
      </c>
      <c r="G1442" s="234" t="inlineStr">
        <is>
          <t>Solar Photo Corp S.L.U.</t>
        </is>
      </c>
      <c r="H1442" s="234">
        <f>VLOOKUP($G1442,DATOS!$B:$E,2,FALSE)</f>
        <v/>
      </c>
      <c r="I1442" s="234">
        <f>VLOOKUP($G1442,DATOS!$B:$E,3,FALSE)</f>
        <v/>
      </c>
      <c r="J1442" s="234">
        <f>VLOOKUP($G1442,DATOS!$B:$E,4,FALSE)</f>
        <v/>
      </c>
      <c r="K1442" s="234" t="inlineStr">
        <is>
          <t>Contabilidad y Fiscalidad de proyecto - 3º Trimestre</t>
        </is>
      </c>
      <c r="L1442" s="236">
        <f>'Tarifa 2025'!$D$18/4/6</f>
        <v/>
      </c>
      <c r="M1442" s="234" t="inlineStr">
        <is>
          <t>SPV Management de Proyecto - 3º Trimestre</t>
        </is>
      </c>
      <c r="N1442" s="236">
        <f>'Tarifa 2025'!$F$18/6/4</f>
        <v/>
      </c>
      <c r="O1442" s="234" t="inlineStr">
        <is>
          <t>O&amp;M Management de Proyecto - 3º Trimestre</t>
        </is>
      </c>
      <c r="P1442" s="236">
        <f>'Tarifa 2025'!$H$18/6/4</f>
        <v/>
      </c>
      <c r="R1442" s="236" t="n"/>
      <c r="T1442" s="236" t="n"/>
      <c r="V1442" s="236" t="n"/>
      <c r="X1442" s="236" t="n"/>
      <c r="Y1442" s="234" t="inlineStr">
        <is>
          <t>Gastos derivados de contrato (3,5%)</t>
        </is>
      </c>
      <c r="Z1442" s="236">
        <f>(L1442+N1442+P1442+R1442+T1442+V1442+X1442)*0.035</f>
        <v/>
      </c>
      <c r="AA1442" s="236" t="n"/>
      <c r="AB1442" s="237" t="inlineStr">
        <is>
          <t>ES11 0081 7069 2700 0122 7724</t>
        </is>
      </c>
      <c r="AC1442" s="170" t="inlineStr">
        <is>
          <t>pendiente</t>
        </is>
      </c>
      <c r="AD1442" s="236">
        <f>L1442+N1442+P1442+R1442+T1442+V1442+X1442+Z1442</f>
        <v/>
      </c>
      <c r="AE1442" s="236">
        <f>IF((LEFT(K1442,6))="Contab",L1442,0)</f>
        <v/>
      </c>
      <c r="AF1442" s="237">
        <f>VLOOKUP(G1442,CLIENTES!B:E,4,FALSE)</f>
        <v/>
      </c>
      <c r="AG1442" s="236">
        <f>AF1442*AE1442</f>
        <v/>
      </c>
      <c r="AH1442" s="236">
        <f>AD1442*1.21</f>
        <v/>
      </c>
      <c r="AI1442" s="238">
        <f>IF(AE1442&lt;&gt;0,AG1442/AD1442,"N/A")</f>
        <v/>
      </c>
      <c r="AJ1442" s="236">
        <f>IF(AC1442="pendiente",AD1442,0)</f>
        <v/>
      </c>
      <c r="AK1442" s="234">
        <f>VLOOKUP(G1442,CLIENTES!B:D,3,FALSE)</f>
        <v/>
      </c>
    </row>
    <row r="1443" ht="15" customFormat="1" customHeight="1" s="170">
      <c r="B1443" s="169" t="n"/>
      <c r="C1443" s="170" t="inlineStr">
        <is>
          <t>c/ Las Cruzadas 3A, local D</t>
        </is>
      </c>
      <c r="D1443" s="170" t="inlineStr">
        <is>
          <t>Sevilla 41004</t>
        </is>
      </c>
      <c r="E1443" s="170" t="inlineStr">
        <is>
          <t>CIF B91938662</t>
        </is>
      </c>
      <c r="F1443" s="170" t="inlineStr">
        <is>
          <t>aBalados@abalados.es</t>
        </is>
      </c>
      <c r="G1443" s="170" t="inlineStr">
        <is>
          <t>Dehesa Asomadilla Inversiones S.L.U.</t>
        </is>
      </c>
      <c r="H1443" s="170">
        <f>VLOOKUP($G1443,DATOS!$B:$E,2,FALSE)</f>
        <v/>
      </c>
      <c r="I1443" s="170">
        <f>VLOOKUP($G1443,DATOS!$B:$E,3,FALSE)</f>
        <v/>
      </c>
      <c r="J1443" s="170">
        <f>VLOOKUP($G1443,DATOS!$B:$E,4,FALSE)</f>
        <v/>
      </c>
      <c r="K1443" s="170" t="inlineStr">
        <is>
          <t>Honorarios - Contrato O&amp;M 3º Trimestre</t>
        </is>
      </c>
      <c r="L1443" s="27" t="n">
        <v>28730.36764271932</v>
      </c>
      <c r="N1443" s="27" t="n"/>
      <c r="P1443" s="27" t="n"/>
      <c r="R1443" s="27" t="n"/>
      <c r="T1443" s="27" t="n"/>
      <c r="V1443" s="27" t="n"/>
      <c r="X1443" s="27" t="n"/>
      <c r="Z1443" s="27" t="n"/>
      <c r="AA1443" s="27" t="n"/>
      <c r="AB1443" s="171" t="inlineStr">
        <is>
          <t>ES11 0081 7069 2700 0122 7724</t>
        </is>
      </c>
      <c r="AC1443" s="170" t="inlineStr">
        <is>
          <t>pendiente</t>
        </is>
      </c>
      <c r="AD1443" s="27">
        <f>L1443+N1443+P1443+R1443+T1443+V1443+X1443+Z1443</f>
        <v/>
      </c>
      <c r="AE1443" s="27">
        <f>IF((LEFT(K1443,6))="Contab",L1443,0)</f>
        <v/>
      </c>
      <c r="AF1443" s="171">
        <f>VLOOKUP(G1443,CLIENTES!B:E,4,FALSE)</f>
        <v/>
      </c>
      <c r="AG1443" s="27">
        <f>AF1443*AE1443</f>
        <v/>
      </c>
      <c r="AH1443" s="27">
        <f>AD1443*1.21</f>
        <v/>
      </c>
      <c r="AI1443" s="172">
        <f>IF(AE1443&lt;&gt;0,AG1443/AD1443,"N/A")</f>
        <v/>
      </c>
      <c r="AJ1443" s="27">
        <f>IF(AC1443="pendiente",AD1443,0)</f>
        <v/>
      </c>
      <c r="AK1443" s="170">
        <f>VLOOKUP(G1443,CLIENTES!B:D,3,FALSE)</f>
        <v/>
      </c>
    </row>
    <row r="1444" ht="15" customFormat="1" customHeight="1" s="170">
      <c r="B1444" s="169" t="n"/>
      <c r="C1444" s="170" t="inlineStr">
        <is>
          <t>c/ Las Cruzadas 3A, local D</t>
        </is>
      </c>
      <c r="D1444" s="170" t="inlineStr">
        <is>
          <t>Sevilla 41004</t>
        </is>
      </c>
      <c r="E1444" s="170" t="inlineStr">
        <is>
          <t>CIF B91938662</t>
        </is>
      </c>
      <c r="F1444" s="170" t="inlineStr">
        <is>
          <t>aBalados@abalados.es</t>
        </is>
      </c>
      <c r="G1444" s="170" t="inlineStr">
        <is>
          <t>Asomadilla Solar 2007 S.L.U.</t>
        </is>
      </c>
      <c r="H1444" s="170">
        <f>VLOOKUP($G1444,DATOS!$B:$E,2,FALSE)</f>
        <v/>
      </c>
      <c r="I1444" s="170">
        <f>VLOOKUP($G1444,DATOS!$B:$E,3,FALSE)</f>
        <v/>
      </c>
      <c r="J1444" s="170">
        <f>VLOOKUP($G1444,DATOS!$B:$E,4,FALSE)</f>
        <v/>
      </c>
      <c r="K1444" s="170" t="inlineStr">
        <is>
          <t>Honorarios - Contrato O&amp;M 3º Trimestre</t>
        </is>
      </c>
      <c r="L1444" s="27" t="n">
        <v>18387.43529134037</v>
      </c>
      <c r="N1444" s="27" t="n"/>
      <c r="P1444" s="27" t="n"/>
      <c r="R1444" s="27" t="n"/>
      <c r="T1444" s="27" t="n"/>
      <c r="V1444" s="27" t="n"/>
      <c r="X1444" s="27" t="n"/>
      <c r="Z1444" s="27" t="n"/>
      <c r="AA1444" s="27" t="n"/>
      <c r="AB1444" s="171" t="inlineStr">
        <is>
          <t>ES11 0081 7069 2700 0122 7724</t>
        </is>
      </c>
      <c r="AC1444" s="170" t="inlineStr">
        <is>
          <t>pendiente</t>
        </is>
      </c>
      <c r="AD1444" s="27">
        <f>L1444+N1444+P1444+R1444+T1444+V1444+X1444+Z1444</f>
        <v/>
      </c>
      <c r="AE1444" s="27">
        <f>IF((LEFT(K1444,6))="Contab",L1444,0)</f>
        <v/>
      </c>
      <c r="AF1444" s="171">
        <f>VLOOKUP(G1444,CLIENTES!B:E,4,FALSE)</f>
        <v/>
      </c>
      <c r="AG1444" s="27">
        <f>AF1444*AE1444</f>
        <v/>
      </c>
      <c r="AH1444" s="27">
        <f>AD1444*1.21</f>
        <v/>
      </c>
      <c r="AI1444" s="172">
        <f>IF(AE1444&lt;&gt;0,AG1444/AD1444,"N/A")</f>
        <v/>
      </c>
      <c r="AJ1444" s="27">
        <f>IF(AC1444="pendiente",AD1444,0)</f>
        <v/>
      </c>
      <c r="AK1444" s="170">
        <f>VLOOKUP(G1444,CLIENTES!B:D,3,FALSE)</f>
        <v/>
      </c>
    </row>
    <row r="1445" ht="15" customFormat="1" customHeight="1" s="170">
      <c r="B1445" s="169" t="n"/>
      <c r="C1445" s="170" t="inlineStr">
        <is>
          <t>c/ Las Cruzadas 3A, local D</t>
        </is>
      </c>
      <c r="D1445" s="170" t="inlineStr">
        <is>
          <t>Sevilla 41004</t>
        </is>
      </c>
      <c r="E1445" s="170" t="inlineStr">
        <is>
          <t>CIF B91938662</t>
        </is>
      </c>
      <c r="F1445" s="170" t="inlineStr">
        <is>
          <t>aBalados@abalados.es</t>
        </is>
      </c>
      <c r="G1445" s="170" t="inlineStr">
        <is>
          <t>ES Garrovers Energía Solar S.L.U.</t>
        </is>
      </c>
      <c r="H1445" s="170">
        <f>VLOOKUP($G1445,DATOS!$B:$E,2,FALSE)</f>
        <v/>
      </c>
      <c r="I1445" s="170">
        <f>VLOOKUP($G1445,DATOS!$B:$E,3,FALSE)</f>
        <v/>
      </c>
      <c r="J1445" s="170">
        <f>VLOOKUP($G1445,DATOS!$B:$E,4,FALSE)</f>
        <v/>
      </c>
      <c r="K1445" s="170" t="inlineStr">
        <is>
          <t>Honorarios - Contrato O&amp;M 3º Trimestre</t>
        </is>
      </c>
      <c r="L1445" s="27" t="n">
        <v>21658.14637476112</v>
      </c>
      <c r="N1445" s="27" t="n"/>
      <c r="P1445" s="27" t="n"/>
      <c r="R1445" s="27" t="n"/>
      <c r="T1445" s="27" t="n"/>
      <c r="V1445" s="27" t="n"/>
      <c r="X1445" s="27" t="n"/>
      <c r="Z1445" s="27" t="n"/>
      <c r="AA1445" s="27" t="n"/>
      <c r="AB1445" s="171" t="inlineStr">
        <is>
          <t>ES11 0081 7069 2700 0122 7724</t>
        </is>
      </c>
      <c r="AC1445" s="170" t="inlineStr">
        <is>
          <t>pendiente</t>
        </is>
      </c>
      <c r="AD1445" s="27">
        <f>L1445+N1445+P1445+R1445+T1445+V1445+X1445+Z1445</f>
        <v/>
      </c>
      <c r="AE1445" s="27">
        <f>IF((LEFT(K1445,6))="Contab",L1445,0)</f>
        <v/>
      </c>
      <c r="AF1445" s="171">
        <f>VLOOKUP(G1445,CLIENTES!B:E,4,FALSE)</f>
        <v/>
      </c>
      <c r="AG1445" s="27">
        <f>AF1445*AE1445</f>
        <v/>
      </c>
      <c r="AH1445" s="27">
        <f>AD1445*1.21</f>
        <v/>
      </c>
      <c r="AI1445" s="172">
        <f>IF(AE1445&lt;&gt;0,AG1445/AD1445,"N/A")</f>
        <v/>
      </c>
      <c r="AJ1445" s="27">
        <f>IF(AC1445="pendiente",AD1445,0)</f>
        <v/>
      </c>
      <c r="AK1445" s="170">
        <f>VLOOKUP(G1445,CLIENTES!B:D,3,FALSE)</f>
        <v/>
      </c>
    </row>
    <row r="1446" ht="15" customFormat="1" customHeight="1" s="170">
      <c r="B1446" s="169" t="n"/>
      <c r="C1446" s="170" t="inlineStr">
        <is>
          <t>c/ Las Cruzadas 3A, local D</t>
        </is>
      </c>
      <c r="D1446" s="170" t="inlineStr">
        <is>
          <t>Sevilla 41004</t>
        </is>
      </c>
      <c r="E1446" s="170" t="inlineStr">
        <is>
          <t>CIF B91938662</t>
        </is>
      </c>
      <c r="F1446" s="170" t="inlineStr">
        <is>
          <t>aBalados@abalados.es</t>
        </is>
      </c>
      <c r="G1446" s="170" t="inlineStr">
        <is>
          <t>WOC Fotovoltaica España Proyecto Sollana S.L.U.</t>
        </is>
      </c>
      <c r="H1446" s="170">
        <f>VLOOKUP($G1446,DATOS!$B:$E,2,FALSE)</f>
        <v/>
      </c>
      <c r="I1446" s="170">
        <f>VLOOKUP($G1446,DATOS!$B:$E,3,FALSE)</f>
        <v/>
      </c>
      <c r="J1446" s="170">
        <f>VLOOKUP($G1446,DATOS!$B:$E,4,FALSE)</f>
        <v/>
      </c>
      <c r="K1446" s="170" t="inlineStr">
        <is>
          <t>Honorarios - Contrato O&amp;M 3º Trimestre</t>
        </is>
      </c>
      <c r="L1446" s="27" t="n">
        <v>11919.82344370187</v>
      </c>
      <c r="N1446" s="27" t="n"/>
      <c r="P1446" s="27" t="n"/>
      <c r="R1446" s="27" t="n"/>
      <c r="T1446" s="27" t="n"/>
      <c r="V1446" s="27" t="n"/>
      <c r="X1446" s="27" t="n"/>
      <c r="Z1446" s="27" t="n"/>
      <c r="AA1446" s="27" t="n"/>
      <c r="AB1446" s="171" t="inlineStr">
        <is>
          <t>ES11 0081 7069 2700 0122 7724</t>
        </is>
      </c>
      <c r="AC1446" s="170" t="inlineStr">
        <is>
          <t>pendiente</t>
        </is>
      </c>
      <c r="AD1446" s="27">
        <f>L1446+N1446+P1446+R1446+T1446+V1446+X1446+Z1446</f>
        <v/>
      </c>
      <c r="AE1446" s="27">
        <f>IF((LEFT(K1446,6))="Contab",L1446,0)</f>
        <v/>
      </c>
      <c r="AF1446" s="171">
        <f>VLOOKUP(G1446,CLIENTES!B:E,4,FALSE)</f>
        <v/>
      </c>
      <c r="AG1446" s="27">
        <f>AF1446*AE1446</f>
        <v/>
      </c>
      <c r="AH1446" s="27">
        <f>AD1446*1.21</f>
        <v/>
      </c>
      <c r="AI1446" s="172">
        <f>IF(AE1446&lt;&gt;0,AG1446/AD1446,"N/A")</f>
        <v/>
      </c>
      <c r="AJ1446" s="27">
        <f>IF(AC1446="pendiente",AD1446,0)</f>
        <v/>
      </c>
      <c r="AK1446" s="170">
        <f>VLOOKUP(G1446,CLIENTES!B:D,3,FALSE)</f>
        <v/>
      </c>
    </row>
    <row r="1447" ht="15" customFormat="1" customHeight="1" s="170">
      <c r="B1447" s="169" t="n"/>
      <c r="C1447" s="170" t="inlineStr">
        <is>
          <t>c/ Las Cruzadas 3A, local D</t>
        </is>
      </c>
      <c r="D1447" s="170" t="inlineStr">
        <is>
          <t>Sevilla 41004</t>
        </is>
      </c>
      <c r="E1447" s="170" t="inlineStr">
        <is>
          <t>CIF B91938662</t>
        </is>
      </c>
      <c r="F1447" s="170" t="inlineStr">
        <is>
          <t>aBalados@abalados.es</t>
        </is>
      </c>
      <c r="G1447" s="170" t="inlineStr">
        <is>
          <t>Inversión Cubiertas Solares S.L.U.</t>
        </is>
      </c>
      <c r="H1447" s="170">
        <f>VLOOKUP($G1447,DATOS!$B:$E,2,FALSE)</f>
        <v/>
      </c>
      <c r="I1447" s="170">
        <f>VLOOKUP($G1447,DATOS!$B:$E,3,FALSE)</f>
        <v/>
      </c>
      <c r="J1447" s="170">
        <f>VLOOKUP($G1447,DATOS!$B:$E,4,FALSE)</f>
        <v/>
      </c>
      <c r="K1447" s="170" t="inlineStr">
        <is>
          <t>Honorarios - Contrato O&amp;M 3º Trimestre</t>
        </is>
      </c>
      <c r="L1447" s="27" t="n">
        <v>1271.841835461094</v>
      </c>
      <c r="N1447" s="27" t="n"/>
      <c r="P1447" s="27" t="n"/>
      <c r="R1447" s="27" t="n"/>
      <c r="T1447" s="27" t="n"/>
      <c r="V1447" s="27" t="n"/>
      <c r="X1447" s="27" t="n"/>
      <c r="Z1447" s="27" t="n"/>
      <c r="AA1447" s="27" t="n"/>
      <c r="AB1447" s="171" t="inlineStr">
        <is>
          <t>ES11 0081 7069 2700 0122 7724</t>
        </is>
      </c>
      <c r="AC1447" s="170" t="inlineStr">
        <is>
          <t>pendiente</t>
        </is>
      </c>
      <c r="AD1447" s="27">
        <f>L1447+N1447+P1447+R1447+T1447+V1447+X1447+Z1447</f>
        <v/>
      </c>
      <c r="AE1447" s="27">
        <f>IF((LEFT(K1447,6))="Contab",L1447,0)</f>
        <v/>
      </c>
      <c r="AF1447" s="171">
        <f>VLOOKUP(G1447,CLIENTES!B:E,4,FALSE)</f>
        <v/>
      </c>
      <c r="AG1447" s="27">
        <f>AF1447*AE1447</f>
        <v/>
      </c>
      <c r="AH1447" s="27">
        <f>AD1447*1.21</f>
        <v/>
      </c>
      <c r="AI1447" s="172">
        <f>IF(AE1447&lt;&gt;0,AG1447/AD1447,"N/A")</f>
        <v/>
      </c>
      <c r="AJ1447" s="27">
        <f>IF(AC1447="pendiente",AD1447,0)</f>
        <v/>
      </c>
      <c r="AK1447" s="170">
        <f>VLOOKUP(G1447,CLIENTES!B:D,3,FALSE)</f>
        <v/>
      </c>
    </row>
    <row r="1448" ht="15" customFormat="1" customHeight="1" s="170">
      <c r="B1448" s="169" t="n"/>
      <c r="C1448" s="170" t="inlineStr">
        <is>
          <t>c/ Las Cruzadas 3A, local D</t>
        </is>
      </c>
      <c r="D1448" s="170" t="inlineStr">
        <is>
          <t>Sevilla 41004</t>
        </is>
      </c>
      <c r="E1448" s="170" t="inlineStr">
        <is>
          <t>CIF B91938662</t>
        </is>
      </c>
      <c r="F1448" s="170" t="inlineStr">
        <is>
          <t>aBalados@abalados.es</t>
        </is>
      </c>
      <c r="G1448" s="170" t="inlineStr">
        <is>
          <t>Lugec Inversión Solar S.L.U.</t>
        </is>
      </c>
      <c r="H1448" s="170">
        <f>VLOOKUP($G1448,DATOS!$B:$E,2,FALSE)</f>
        <v/>
      </c>
      <c r="I1448" s="170">
        <f>VLOOKUP($G1448,DATOS!$B:$E,3,FALSE)</f>
        <v/>
      </c>
      <c r="J1448" s="170">
        <f>VLOOKUP($G1448,DATOS!$B:$E,4,FALSE)</f>
        <v/>
      </c>
      <c r="K1448" s="170" t="inlineStr">
        <is>
          <t>Honorarios - Contrato O&amp;M 3º Trimestre</t>
        </is>
      </c>
      <c r="L1448" s="27" t="n">
        <v>3435.320686511403</v>
      </c>
      <c r="N1448" s="27" t="n"/>
      <c r="P1448" s="27" t="n"/>
      <c r="R1448" s="27" t="n"/>
      <c r="T1448" s="27" t="n"/>
      <c r="V1448" s="27" t="n"/>
      <c r="X1448" s="27" t="n"/>
      <c r="Z1448" s="27" t="n"/>
      <c r="AA1448" s="27" t="n"/>
      <c r="AB1448" s="171" t="inlineStr">
        <is>
          <t>ES11 0081 7069 2700 0122 7724</t>
        </is>
      </c>
      <c r="AC1448" s="170" t="inlineStr">
        <is>
          <t>pendiente</t>
        </is>
      </c>
      <c r="AD1448" s="27">
        <f>L1448+N1448+P1448+R1448+T1448+V1448+X1448+Z1448</f>
        <v/>
      </c>
      <c r="AE1448" s="27">
        <f>IF((LEFT(K1448,6))="Contab",L1448,0)</f>
        <v/>
      </c>
      <c r="AF1448" s="171">
        <f>VLOOKUP(G1448,CLIENTES!B:E,4,FALSE)</f>
        <v/>
      </c>
      <c r="AG1448" s="27">
        <f>AF1448*AE1448</f>
        <v/>
      </c>
      <c r="AH1448" s="27">
        <f>AD1448*1.21</f>
        <v/>
      </c>
      <c r="AI1448" s="172">
        <f>IF(AE1448&lt;&gt;0,AG1448/AD1448,"N/A")</f>
        <v/>
      </c>
      <c r="AJ1448" s="27">
        <f>IF(AC1448="pendiente",AD1448,0)</f>
        <v/>
      </c>
      <c r="AK1448" s="170">
        <f>VLOOKUP(G1448,CLIENTES!B:D,3,FALSE)</f>
        <v/>
      </c>
    </row>
    <row r="1449" ht="15" customFormat="1" customHeight="1" s="170">
      <c r="B1449" s="169" t="n"/>
      <c r="C1449" s="170" t="inlineStr">
        <is>
          <t>c/ Las Cruzadas 3A, local D</t>
        </is>
      </c>
      <c r="D1449" s="170" t="inlineStr">
        <is>
          <t>Sevilla 41004</t>
        </is>
      </c>
      <c r="E1449" s="170" t="inlineStr">
        <is>
          <t>CIF B91938662</t>
        </is>
      </c>
      <c r="F1449" s="170" t="inlineStr">
        <is>
          <t>aBalados@abalados.es</t>
        </is>
      </c>
      <c r="G1449" s="170" t="inlineStr">
        <is>
          <t>Solar Photo Collect S.L.U.</t>
        </is>
      </c>
      <c r="H1449" s="170">
        <f>VLOOKUP($G1449,DATOS!$B:$E,2,FALSE)</f>
        <v/>
      </c>
      <c r="I1449" s="170">
        <f>VLOOKUP($G1449,DATOS!$B:$E,3,FALSE)</f>
        <v/>
      </c>
      <c r="J1449" s="170">
        <f>VLOOKUP($G1449,DATOS!$B:$E,4,FALSE)</f>
        <v/>
      </c>
      <c r="K1449" s="170" t="inlineStr">
        <is>
          <t>Honorarios - Contrato O&amp;M 3º Trimestre</t>
        </is>
      </c>
      <c r="L1449" s="27" t="n">
        <v>13982.075780365</v>
      </c>
      <c r="M1449" s="170" t="inlineStr">
        <is>
          <t>Garantía 40% (dotada en 2017)</t>
        </is>
      </c>
      <c r="N1449" s="27" t="n"/>
      <c r="P1449" s="27" t="n"/>
      <c r="R1449" s="27" t="n"/>
      <c r="T1449" s="27" t="n"/>
      <c r="V1449" s="27" t="n"/>
      <c r="X1449" s="27" t="n"/>
      <c r="Z1449" s="27" t="n"/>
      <c r="AA1449" s="27" t="n"/>
      <c r="AB1449" s="171" t="inlineStr">
        <is>
          <t>ES11 0081 7069 2700 0122 7724</t>
        </is>
      </c>
      <c r="AC1449" s="170" t="inlineStr">
        <is>
          <t>pendiente</t>
        </is>
      </c>
      <c r="AD1449" s="27">
        <f>L1449+N1449+P1449+R1449+T1449+V1449+X1449+Z1449</f>
        <v/>
      </c>
      <c r="AE1449" s="27">
        <f>IF((LEFT(K1449,6))="Contab",L1449,0)</f>
        <v/>
      </c>
      <c r="AF1449" s="171">
        <f>VLOOKUP(G1449,CLIENTES!B:E,4,FALSE)</f>
        <v/>
      </c>
      <c r="AG1449" s="27">
        <f>AF1449*AE1449</f>
        <v/>
      </c>
      <c r="AH1449" s="27">
        <f>AD1449*1.21</f>
        <v/>
      </c>
      <c r="AI1449" s="172">
        <f>IF(AE1449&lt;&gt;0,AG1449/AD1449,"N/A")</f>
        <v/>
      </c>
      <c r="AJ1449" s="27">
        <f>IF(AC1449="pendiente",AD1449,0)</f>
        <v/>
      </c>
      <c r="AK1449" s="170">
        <f>VLOOKUP(G1449,CLIENTES!B:D,3,FALSE)</f>
        <v/>
      </c>
    </row>
    <row r="1450" ht="15" customFormat="1" customHeight="1" s="170">
      <c r="B1450" s="169" t="n"/>
      <c r="C1450" s="170" t="inlineStr">
        <is>
          <t>c/ Las Cruzadas 3A, local D</t>
        </is>
      </c>
      <c r="D1450" s="170" t="inlineStr">
        <is>
          <t>Sevilla 41004</t>
        </is>
      </c>
      <c r="E1450" s="170" t="inlineStr">
        <is>
          <t>CIF B91938662</t>
        </is>
      </c>
      <c r="F1450" s="170" t="inlineStr">
        <is>
          <t>aBalados@abalados.es</t>
        </is>
      </c>
      <c r="G1450" s="170" t="inlineStr">
        <is>
          <t>Solar Photo Corp S.L.U.</t>
        </is>
      </c>
      <c r="H1450" s="170">
        <f>VLOOKUP($G1450,DATOS!$B:$E,2,FALSE)</f>
        <v/>
      </c>
      <c r="I1450" s="170">
        <f>VLOOKUP($G1450,DATOS!$B:$E,3,FALSE)</f>
        <v/>
      </c>
      <c r="J1450" s="170">
        <f>VLOOKUP($G1450,DATOS!$B:$E,4,FALSE)</f>
        <v/>
      </c>
      <c r="K1450" s="170" t="inlineStr">
        <is>
          <t>Honorarios - Contrato O&amp;M 3º Trimestre</t>
        </is>
      </c>
      <c r="L1450" s="27" t="n">
        <v>6214.2269967175</v>
      </c>
      <c r="M1450" s="170" t="inlineStr">
        <is>
          <t>Garantía 40% (dotada en 2017)</t>
        </is>
      </c>
      <c r="N1450" s="27" t="n"/>
      <c r="P1450" s="27" t="n"/>
      <c r="R1450" s="27" t="n"/>
      <c r="T1450" s="27" t="n"/>
      <c r="V1450" s="27" t="n"/>
      <c r="X1450" s="27" t="n"/>
      <c r="Z1450" s="27" t="n"/>
      <c r="AA1450" s="27" t="n"/>
      <c r="AB1450" s="171" t="inlineStr">
        <is>
          <t>ES11 0081 7069 2700 0122 7724</t>
        </is>
      </c>
      <c r="AC1450" s="170" t="inlineStr">
        <is>
          <t>pendiente</t>
        </is>
      </c>
      <c r="AD1450" s="27">
        <f>L1450+N1450+P1450+R1450+T1450+V1450+X1450+Z1450</f>
        <v/>
      </c>
      <c r="AE1450" s="27">
        <f>IF((LEFT(K1450,6))="Contab",L1450,0)</f>
        <v/>
      </c>
      <c r="AF1450" s="171">
        <f>VLOOKUP(G1450,CLIENTES!B:E,4,FALSE)</f>
        <v/>
      </c>
      <c r="AG1450" s="27">
        <f>AF1450*AE1450</f>
        <v/>
      </c>
      <c r="AH1450" s="27">
        <f>AD1450*1.21</f>
        <v/>
      </c>
      <c r="AI1450" s="172">
        <f>IF(AE1450&lt;&gt;0,AG1450/AD1450,"N/A")</f>
        <v/>
      </c>
      <c r="AJ1450" s="27">
        <f>IF(AC1450="pendiente",AD1450,0)</f>
        <v/>
      </c>
      <c r="AK1450" s="170">
        <f>VLOOKUP(G1450,CLIENTES!B:D,3,FALSE)</f>
        <v/>
      </c>
    </row>
    <row r="1451" ht="15" customFormat="1" customHeight="1" s="170">
      <c r="B1451" s="169" t="n"/>
      <c r="C1451" s="170" t="inlineStr">
        <is>
          <t>c/ Las Cruzadas 3A, local D</t>
        </is>
      </c>
      <c r="D1451" s="170" t="inlineStr">
        <is>
          <t>Sevilla 41004</t>
        </is>
      </c>
      <c r="E1451" s="170" t="inlineStr">
        <is>
          <t>CIF B91938662</t>
        </is>
      </c>
      <c r="F1451" s="170" t="inlineStr">
        <is>
          <t>aBalados@abalados.es</t>
        </is>
      </c>
      <c r="G1451" s="170" t="inlineStr">
        <is>
          <t xml:space="preserve">Rasteding PV I, S.L.U. </t>
        </is>
      </c>
      <c r="H1451" s="170">
        <f>VLOOKUP($G1451,DATOS!$B:$E,2,FALSE)</f>
        <v/>
      </c>
      <c r="I1451" s="170">
        <f>VLOOKUP($G1451,DATOS!$B:$E,3,FALSE)</f>
        <v/>
      </c>
      <c r="J1451" s="170">
        <f>VLOOKUP($G1451,DATOS!$B:$E,4,FALSE)</f>
        <v/>
      </c>
      <c r="K1451" s="170" t="inlineStr">
        <is>
          <t>Honorarios - Contrato O&amp;M 3º Trimestre</t>
        </is>
      </c>
      <c r="L1451" s="27" t="n">
        <v>3208.007861658325</v>
      </c>
      <c r="M1451" s="170" t="inlineStr">
        <is>
          <t>Garantía 40% (dotada en 2017)</t>
        </is>
      </c>
      <c r="N1451" s="27" t="n"/>
      <c r="P1451" s="27" t="n"/>
      <c r="R1451" s="27" t="n"/>
      <c r="T1451" s="27" t="n"/>
      <c r="V1451" s="27" t="n"/>
      <c r="X1451" s="27" t="n"/>
      <c r="Z1451" s="27" t="n"/>
      <c r="AA1451" s="27" t="n"/>
      <c r="AB1451" s="171" t="inlineStr">
        <is>
          <t>ES11 0081 7069 2700 0122 7724</t>
        </is>
      </c>
      <c r="AC1451" s="170" t="inlineStr">
        <is>
          <t>pendiente</t>
        </is>
      </c>
      <c r="AD1451" s="27">
        <f>L1451+N1451+P1451+R1451+T1451+V1451+X1451+Z1451</f>
        <v/>
      </c>
      <c r="AE1451" s="27">
        <f>IF((LEFT(K1451,6))="Contab",L1451,0)</f>
        <v/>
      </c>
      <c r="AF1451" s="171">
        <f>VLOOKUP(G1451,CLIENTES!B:E,4,FALSE)</f>
        <v/>
      </c>
      <c r="AG1451" s="27">
        <f>AF1451*AE1451</f>
        <v/>
      </c>
      <c r="AH1451" s="27">
        <f>AD1451*1.21</f>
        <v/>
      </c>
      <c r="AI1451" s="172">
        <f>IF(AE1451&lt;&gt;0,AG1451/AD1451,"N/A")</f>
        <v/>
      </c>
      <c r="AJ1451" s="27">
        <f>IF(AC1451="pendiente",AD1451,0)</f>
        <v/>
      </c>
      <c r="AK1451" s="170">
        <f>VLOOKUP(G1451,CLIENTES!B:D,3,FALSE)</f>
        <v/>
      </c>
    </row>
    <row r="1452" ht="15" customFormat="1" customHeight="1" s="170">
      <c r="B1452" s="169" t="n"/>
      <c r="C1452" s="170" t="inlineStr">
        <is>
          <t>c/ Las Cruzadas 3A, local D</t>
        </is>
      </c>
      <c r="D1452" s="170" t="inlineStr">
        <is>
          <t>Sevilla 41004</t>
        </is>
      </c>
      <c r="E1452" s="170" t="inlineStr">
        <is>
          <t>CIF B91938662</t>
        </is>
      </c>
      <c r="F1452" s="170" t="inlineStr">
        <is>
          <t>aBalados@abalados.es</t>
        </is>
      </c>
      <c r="G1452" s="170" t="inlineStr">
        <is>
          <t>Tiksi PV II S.L.U.</t>
        </is>
      </c>
      <c r="H1452" s="170">
        <f>VLOOKUP($G1452,DATOS!$B:$E,2,FALSE)</f>
        <v/>
      </c>
      <c r="I1452" s="170">
        <f>VLOOKUP($G1452,DATOS!$B:$E,3,FALSE)</f>
        <v/>
      </c>
      <c r="J1452" s="170">
        <f>VLOOKUP($G1452,DATOS!$B:$E,4,FALSE)</f>
        <v/>
      </c>
      <c r="K1452" s="170" t="inlineStr">
        <is>
          <t>Honorarios - Contrato O&amp;M 3º Trimestre</t>
        </is>
      </c>
      <c r="L1452" s="27" t="n">
        <v>4354.92778185</v>
      </c>
      <c r="M1452" s="170" t="inlineStr">
        <is>
          <t>Garantía 40% (dotada en 2017)</t>
        </is>
      </c>
      <c r="N1452" s="27" t="n"/>
      <c r="P1452" s="27" t="n"/>
      <c r="R1452" s="27" t="n"/>
      <c r="T1452" s="27" t="n"/>
      <c r="V1452" s="27" t="n"/>
      <c r="X1452" s="27" t="n"/>
      <c r="Z1452" s="27" t="n"/>
      <c r="AA1452" s="27" t="n"/>
      <c r="AB1452" s="171" t="inlineStr">
        <is>
          <t>ES11 0081 7069 2700 0122 7724</t>
        </is>
      </c>
      <c r="AC1452" s="170" t="inlineStr">
        <is>
          <t>pendiente</t>
        </is>
      </c>
      <c r="AD1452" s="27">
        <f>L1452+N1452+P1452+R1452+T1452+V1452+X1452+Z1452</f>
        <v/>
      </c>
      <c r="AE1452" s="27">
        <f>IF((LEFT(K1452,6))="Contab",L1452,0)</f>
        <v/>
      </c>
      <c r="AF1452" s="171">
        <f>VLOOKUP(G1452,CLIENTES!B:E,4,FALSE)</f>
        <v/>
      </c>
      <c r="AG1452" s="27">
        <f>AF1452*AE1452</f>
        <v/>
      </c>
      <c r="AH1452" s="27">
        <f>AD1452*1.21</f>
        <v/>
      </c>
      <c r="AI1452" s="172">
        <f>IF(AE1452&lt;&gt;0,AG1452/AD1452,"N/A")</f>
        <v/>
      </c>
      <c r="AJ1452" s="27">
        <f>IF(AC1452="pendiente",AD1452,0)</f>
        <v/>
      </c>
      <c r="AK1452" s="170">
        <f>VLOOKUP(G1452,CLIENTES!B:D,3,FALSE)</f>
        <v/>
      </c>
    </row>
    <row r="1453" ht="15" customFormat="1" customHeight="1" s="170">
      <c r="B1453" s="169" t="n"/>
      <c r="C1453" s="170" t="inlineStr">
        <is>
          <t>c/ Las Cruzadas 3A, local D</t>
        </is>
      </c>
      <c r="D1453" s="170" t="inlineStr">
        <is>
          <t>Sevilla 41004</t>
        </is>
      </c>
      <c r="E1453" s="170" t="inlineStr">
        <is>
          <t>CIF B91938662</t>
        </is>
      </c>
      <c r="F1453" s="170" t="inlineStr">
        <is>
          <t>aBalados@abalados.es</t>
        </is>
      </c>
      <c r="G1453" s="170" t="inlineStr">
        <is>
          <t>Amberg V S.L.U.</t>
        </is>
      </c>
      <c r="H1453" s="170">
        <f>VLOOKUP($G1453,DATOS!$B:$E,2,FALSE)</f>
        <v/>
      </c>
      <c r="I1453" s="170">
        <f>VLOOKUP($G1453,DATOS!$B:$E,3,FALSE)</f>
        <v/>
      </c>
      <c r="J1453" s="170">
        <f>VLOOKUP($G1453,DATOS!$B:$E,4,FALSE)</f>
        <v/>
      </c>
      <c r="K1453" s="170" t="inlineStr">
        <is>
          <t>Honorarios - Contrato O&amp;M 3º Trimestre</t>
        </is>
      </c>
      <c r="L1453" s="27" t="n">
        <v>6147.472249476001</v>
      </c>
      <c r="M1453" s="170" t="inlineStr">
        <is>
          <t>Garantía 40% (dotada en 2017)</t>
        </is>
      </c>
      <c r="N1453" s="27" t="n"/>
      <c r="P1453" s="27" t="n"/>
      <c r="R1453" s="27" t="n"/>
      <c r="T1453" s="27" t="n"/>
      <c r="V1453" s="27" t="n"/>
      <c r="X1453" s="27" t="n"/>
      <c r="Z1453" s="27" t="n"/>
      <c r="AA1453" s="27" t="n"/>
      <c r="AB1453" s="171" t="inlineStr">
        <is>
          <t>ES11 0081 7069 2700 0122 7724</t>
        </is>
      </c>
      <c r="AC1453" s="170" t="inlineStr">
        <is>
          <t>pendiente</t>
        </is>
      </c>
      <c r="AD1453" s="27">
        <f>L1453+N1453+P1453+R1453+T1453+V1453+X1453+Z1453</f>
        <v/>
      </c>
      <c r="AE1453" s="27">
        <f>IF((LEFT(K1453,6))="Contab",L1453,0)</f>
        <v/>
      </c>
      <c r="AF1453" s="171">
        <f>VLOOKUP(G1453,CLIENTES!B:E,4,FALSE)</f>
        <v/>
      </c>
      <c r="AG1453" s="27">
        <f>AF1453*AE1453</f>
        <v/>
      </c>
      <c r="AH1453" s="27">
        <f>AD1453*1.21</f>
        <v/>
      </c>
      <c r="AI1453" s="172">
        <f>IF(AE1453&lt;&gt;0,AG1453/AD1453,"N/A")</f>
        <v/>
      </c>
      <c r="AJ1453" s="27">
        <f>IF(AC1453="pendiente",AD1453,0)</f>
        <v/>
      </c>
      <c r="AK1453" s="170">
        <f>VLOOKUP(G1453,CLIENTES!B:D,3,FALSE)</f>
        <v/>
      </c>
    </row>
    <row r="1454" ht="15" customFormat="1" customHeight="1" s="170">
      <c r="B1454" s="169" t="n"/>
      <c r="C1454" s="170" t="inlineStr">
        <is>
          <t>c/ Las Cruzadas 3A, local D</t>
        </is>
      </c>
      <c r="D1454" s="170" t="inlineStr">
        <is>
          <t>Sevilla 41004</t>
        </is>
      </c>
      <c r="E1454" s="170" t="inlineStr">
        <is>
          <t>CIF B91938662</t>
        </is>
      </c>
      <c r="F1454" s="170" t="inlineStr">
        <is>
          <t>aBalados@abalados.es</t>
        </is>
      </c>
      <c r="G1454" s="170" t="inlineStr">
        <is>
          <t>Amberg II S.L.U.</t>
        </is>
      </c>
      <c r="H1454" s="170">
        <f>VLOOKUP($G1454,DATOS!$B:$E,2,FALSE)</f>
        <v/>
      </c>
      <c r="I1454" s="170">
        <f>VLOOKUP($G1454,DATOS!$B:$E,3,FALSE)</f>
        <v/>
      </c>
      <c r="J1454" s="170">
        <f>VLOOKUP($G1454,DATOS!$B:$E,4,FALSE)</f>
        <v/>
      </c>
      <c r="K1454" s="170" t="inlineStr">
        <is>
          <t>Honorarios - Contrato O&amp;M 3º Trimestre</t>
        </is>
      </c>
      <c r="L1454" s="27" t="n">
        <v>3310.681657815</v>
      </c>
      <c r="M1454" s="170" t="inlineStr">
        <is>
          <t>Garantía 40% (dotada en 2017)</t>
        </is>
      </c>
      <c r="N1454" s="27" t="n"/>
      <c r="P1454" s="27" t="n"/>
      <c r="R1454" s="27" t="n"/>
      <c r="T1454" s="27" t="n"/>
      <c r="V1454" s="27" t="n"/>
      <c r="X1454" s="27" t="n"/>
      <c r="Z1454" s="27" t="n"/>
      <c r="AA1454" s="27" t="n"/>
      <c r="AB1454" s="171" t="inlineStr">
        <is>
          <t>ES11 0081 7069 2700 0122 7724</t>
        </is>
      </c>
      <c r="AC1454" s="170" t="inlineStr">
        <is>
          <t>pendiente</t>
        </is>
      </c>
      <c r="AD1454" s="27">
        <f>L1454+N1454+P1454+R1454+T1454+V1454+X1454+Z1454</f>
        <v/>
      </c>
      <c r="AE1454" s="27">
        <f>IF((LEFT(K1454,6))="Contab",L1454,0)</f>
        <v/>
      </c>
      <c r="AF1454" s="171">
        <f>VLOOKUP(G1454,CLIENTES!B:E,4,FALSE)</f>
        <v/>
      </c>
      <c r="AG1454" s="27">
        <f>AF1454*AE1454</f>
        <v/>
      </c>
      <c r="AH1454" s="27">
        <f>AD1454*1.21</f>
        <v/>
      </c>
      <c r="AI1454" s="172">
        <f>IF(AE1454&lt;&gt;0,AG1454/AD1454,"N/A")</f>
        <v/>
      </c>
      <c r="AJ1454" s="27">
        <f>IF(AC1454="pendiente",AD1454,0)</f>
        <v/>
      </c>
      <c r="AK1454" s="170">
        <f>VLOOKUP(G1454,CLIENTES!B:D,3,FALSE)</f>
        <v/>
      </c>
    </row>
    <row r="1455" ht="15" customFormat="1" customHeight="1" s="170">
      <c r="B1455" s="169" t="n"/>
      <c r="C1455" s="170" t="inlineStr">
        <is>
          <t>c/ Las Cruzadas 3A, local D</t>
        </is>
      </c>
      <c r="D1455" s="170" t="inlineStr">
        <is>
          <t>Sevilla 41004</t>
        </is>
      </c>
      <c r="E1455" s="170" t="inlineStr">
        <is>
          <t>CIF B91938662</t>
        </is>
      </c>
      <c r="F1455" s="170" t="inlineStr">
        <is>
          <t>aBalados@abalados.es</t>
        </is>
      </c>
      <c r="G1455" s="170" t="inlineStr">
        <is>
          <t>Agrupación Solar el Algarrobo I, S.L.U.</t>
        </is>
      </c>
      <c r="H1455" s="170">
        <f>VLOOKUP($G1455,DATOS!$B:$E,2,FALSE)</f>
        <v/>
      </c>
      <c r="I1455" s="170">
        <f>VLOOKUP($G1455,DATOS!$B:$E,3,FALSE)</f>
        <v/>
      </c>
      <c r="J1455" s="170">
        <f>VLOOKUP($G1455,DATOS!$B:$E,4,FALSE)</f>
        <v/>
      </c>
      <c r="K1455" s="170" t="inlineStr">
        <is>
          <t>Honorarios - Contrato O&amp;M 3º Trimestre</t>
        </is>
      </c>
      <c r="L1455" s="27" t="n">
        <v>9789.449935790179</v>
      </c>
      <c r="M1455" s="170" t="inlineStr">
        <is>
          <t>Garantía 30% (dotada en 2017)</t>
        </is>
      </c>
      <c r="N1455" s="27" t="n"/>
      <c r="P1455" s="27" t="n"/>
      <c r="R1455" s="27" t="n"/>
      <c r="T1455" s="27" t="n"/>
      <c r="V1455" s="27" t="n"/>
      <c r="X1455" s="27" t="n"/>
      <c r="Z1455" s="27" t="n"/>
      <c r="AA1455" s="27" t="n"/>
      <c r="AB1455" s="171" t="inlineStr">
        <is>
          <t>ES11 0081 7069 2700 0122 7724</t>
        </is>
      </c>
      <c r="AC1455" s="170" t="inlineStr">
        <is>
          <t>pendiente</t>
        </is>
      </c>
      <c r="AD1455" s="27">
        <f>L1455+N1455+P1455+R1455+T1455+V1455+X1455+Z1455</f>
        <v/>
      </c>
      <c r="AE1455" s="27">
        <f>IF((LEFT(K1455,6))="Contab",L1455,0)</f>
        <v/>
      </c>
      <c r="AF1455" s="171">
        <f>VLOOKUP(G1455,CLIENTES!B:E,4,FALSE)</f>
        <v/>
      </c>
      <c r="AG1455" s="27">
        <f>AF1455*AE1455</f>
        <v/>
      </c>
      <c r="AH1455" s="27">
        <f>AD1455*1.21</f>
        <v/>
      </c>
      <c r="AI1455" s="172">
        <f>IF(AE1455&lt;&gt;0,AG1455/AD1455,"N/A")</f>
        <v/>
      </c>
      <c r="AJ1455" s="27">
        <f>IF(AC1455="pendiente",AD1455,0)</f>
        <v/>
      </c>
      <c r="AK1455" s="170">
        <f>VLOOKUP(G1455,CLIENTES!B:D,3,FALSE)</f>
        <v/>
      </c>
    </row>
    <row r="1456" ht="15" customFormat="1" customHeight="1" s="170">
      <c r="B1456" s="169" t="n"/>
      <c r="C1456" s="170" t="inlineStr">
        <is>
          <t>c/ Las Cruzadas 3A, local D</t>
        </is>
      </c>
      <c r="D1456" s="170" t="inlineStr">
        <is>
          <t>Sevilla 41004</t>
        </is>
      </c>
      <c r="E1456" s="170" t="inlineStr">
        <is>
          <t>CIF B91938662</t>
        </is>
      </c>
      <c r="F1456" s="170" t="inlineStr">
        <is>
          <t>aBalados@abalados.es</t>
        </is>
      </c>
      <c r="G1456" s="170" t="inlineStr">
        <is>
          <t>Agrupación Solar el Algarrobo II, S.L.U.</t>
        </is>
      </c>
      <c r="H1456" s="170">
        <f>VLOOKUP($G1456,DATOS!$B:$E,2,FALSE)</f>
        <v/>
      </c>
      <c r="I1456" s="170">
        <f>VLOOKUP($G1456,DATOS!$B:$E,3,FALSE)</f>
        <v/>
      </c>
      <c r="J1456" s="170">
        <f>VLOOKUP($G1456,DATOS!$B:$E,4,FALSE)</f>
        <v/>
      </c>
      <c r="K1456" s="170" t="inlineStr">
        <is>
          <t>Honorarios - Contrato O&amp;M 3º Trimestre</t>
        </is>
      </c>
      <c r="L1456" s="27" t="n">
        <v>9789.449935790179</v>
      </c>
      <c r="M1456" s="170" t="inlineStr">
        <is>
          <t>Garantía 30% (dotada en 2017)</t>
        </is>
      </c>
      <c r="N1456" s="27" t="n"/>
      <c r="P1456" s="27" t="n"/>
      <c r="R1456" s="27" t="n"/>
      <c r="T1456" s="27" t="n"/>
      <c r="V1456" s="27" t="n"/>
      <c r="X1456" s="27" t="n"/>
      <c r="Z1456" s="27" t="n"/>
      <c r="AA1456" s="27" t="n"/>
      <c r="AB1456" s="171" t="inlineStr">
        <is>
          <t>ES11 0081 7069 2700 0122 7724</t>
        </is>
      </c>
      <c r="AC1456" s="170" t="inlineStr">
        <is>
          <t>pendiente</t>
        </is>
      </c>
      <c r="AD1456" s="27">
        <f>L1456+N1456+P1456+R1456+T1456+V1456+X1456+Z1456</f>
        <v/>
      </c>
      <c r="AE1456" s="27">
        <f>IF((LEFT(K1456,6))="Contab",L1456,0)</f>
        <v/>
      </c>
      <c r="AF1456" s="171">
        <f>VLOOKUP(G1456,CLIENTES!B:E,4,FALSE)</f>
        <v/>
      </c>
      <c r="AG1456" s="27">
        <f>AF1456*AE1456</f>
        <v/>
      </c>
      <c r="AH1456" s="27">
        <f>AD1456*1.21</f>
        <v/>
      </c>
      <c r="AI1456" s="172">
        <f>IF(AE1456&lt;&gt;0,AG1456/AD1456,"N/A")</f>
        <v/>
      </c>
      <c r="AJ1456" s="27">
        <f>IF(AC1456="pendiente",AD1456,0)</f>
        <v/>
      </c>
      <c r="AK1456" s="170">
        <f>VLOOKUP(G1456,CLIENTES!B:D,3,FALSE)</f>
        <v/>
      </c>
    </row>
    <row r="1457" ht="15" customFormat="1" customHeight="1" s="170">
      <c r="B1457" s="169" t="n"/>
      <c r="C1457" s="170" t="inlineStr">
        <is>
          <t>c/ Las Cruzadas 3A, local D</t>
        </is>
      </c>
      <c r="D1457" s="170" t="inlineStr">
        <is>
          <t>Sevilla 41004</t>
        </is>
      </c>
      <c r="E1457" s="170" t="inlineStr">
        <is>
          <t>CIF B91938662</t>
        </is>
      </c>
      <c r="F1457" s="170" t="inlineStr">
        <is>
          <t>aBalados@abalados.es</t>
        </is>
      </c>
      <c r="G1457" s="170" t="inlineStr">
        <is>
          <t>Agrupación Solar el Algarrobo III, S.L.U.</t>
        </is>
      </c>
      <c r="H1457" s="170">
        <f>VLOOKUP($G1457,DATOS!$B:$E,2,FALSE)</f>
        <v/>
      </c>
      <c r="I1457" s="170">
        <f>VLOOKUP($G1457,DATOS!$B:$E,3,FALSE)</f>
        <v/>
      </c>
      <c r="J1457" s="170">
        <f>VLOOKUP($G1457,DATOS!$B:$E,4,FALSE)</f>
        <v/>
      </c>
      <c r="K1457" s="170" t="inlineStr">
        <is>
          <t>Honorarios - Contrato O&amp;M 3º Trimestre</t>
        </is>
      </c>
      <c r="L1457" s="27" t="n">
        <v>8857.121370476829</v>
      </c>
      <c r="M1457" s="170" t="inlineStr">
        <is>
          <t>Garantía 30% (dotada en 2017)</t>
        </is>
      </c>
      <c r="N1457" s="27" t="n"/>
      <c r="P1457" s="27" t="n"/>
      <c r="R1457" s="27" t="n"/>
      <c r="T1457" s="27" t="n"/>
      <c r="V1457" s="27" t="n"/>
      <c r="X1457" s="27" t="n"/>
      <c r="Z1457" s="27" t="n"/>
      <c r="AA1457" s="27" t="n"/>
      <c r="AB1457" s="171" t="inlineStr">
        <is>
          <t>ES11 0081 7069 2700 0122 7724</t>
        </is>
      </c>
      <c r="AC1457" s="170" t="inlineStr">
        <is>
          <t>pendiente</t>
        </is>
      </c>
      <c r="AD1457" s="27">
        <f>L1457+N1457+P1457+R1457+T1457+V1457+X1457+Z1457</f>
        <v/>
      </c>
      <c r="AE1457" s="27">
        <f>IF((LEFT(K1457,6))="Contab",L1457,0)</f>
        <v/>
      </c>
      <c r="AF1457" s="171">
        <f>VLOOKUP(G1457,CLIENTES!B:E,4,FALSE)</f>
        <v/>
      </c>
      <c r="AG1457" s="27">
        <f>AF1457*AE1457</f>
        <v/>
      </c>
      <c r="AH1457" s="27">
        <f>AD1457*1.21</f>
        <v/>
      </c>
      <c r="AI1457" s="172">
        <f>IF(AE1457&lt;&gt;0,AG1457/AD1457,"N/A")</f>
        <v/>
      </c>
      <c r="AJ1457" s="27">
        <f>IF(AC1457="pendiente",AD1457,0)</f>
        <v/>
      </c>
      <c r="AK1457" s="170">
        <f>VLOOKUP(G1457,CLIENTES!B:D,3,FALSE)</f>
        <v/>
      </c>
    </row>
    <row r="1458" ht="15" customFormat="1" customHeight="1" s="170">
      <c r="B1458" s="169" t="n"/>
      <c r="C1458" s="170" t="inlineStr">
        <is>
          <t>c/ Las Cruzadas 3A, local D</t>
        </is>
      </c>
      <c r="D1458" s="170" t="inlineStr">
        <is>
          <t>Sevilla 41004</t>
        </is>
      </c>
      <c r="E1458" s="170" t="inlineStr">
        <is>
          <t>CIF B91938662</t>
        </is>
      </c>
      <c r="F1458" s="170" t="inlineStr">
        <is>
          <t>aBalados@abalados.es</t>
        </is>
      </c>
      <c r="G1458" s="170" t="inlineStr">
        <is>
          <t>Locaba Solar S.L.U.</t>
        </is>
      </c>
      <c r="H1458" s="170">
        <f>VLOOKUP($G1458,DATOS!$B:$E,2,FALSE)</f>
        <v/>
      </c>
      <c r="I1458" s="170">
        <f>VLOOKUP($G1458,DATOS!$B:$E,3,FALSE)</f>
        <v/>
      </c>
      <c r="J1458" s="170">
        <f>VLOOKUP($G1458,DATOS!$B:$E,4,FALSE)</f>
        <v/>
      </c>
      <c r="K1458" s="170" t="inlineStr">
        <is>
          <t>Honorarios - Contrato O&amp;M 3º Trimestre</t>
        </is>
      </c>
      <c r="L1458" s="27" t="n">
        <v>19469.92640290737</v>
      </c>
      <c r="M1458" s="170" t="inlineStr">
        <is>
          <t>Garantía 30% (dotada en 2017)</t>
        </is>
      </c>
      <c r="N1458" s="27" t="n"/>
      <c r="P1458" s="27" t="n"/>
      <c r="R1458" s="27" t="n"/>
      <c r="T1458" s="27" t="n"/>
      <c r="V1458" s="27" t="n"/>
      <c r="X1458" s="27" t="n"/>
      <c r="Z1458" s="27" t="n"/>
      <c r="AA1458" s="27" t="n"/>
      <c r="AB1458" s="171" t="inlineStr">
        <is>
          <t>ES11 0081 7069 2700 0122 7724</t>
        </is>
      </c>
      <c r="AC1458" s="170" t="inlineStr">
        <is>
          <t>pendiente</t>
        </is>
      </c>
      <c r="AD1458" s="27">
        <f>L1458+N1458+P1458+R1458+T1458+V1458+X1458+Z1458</f>
        <v/>
      </c>
      <c r="AE1458" s="27">
        <f>IF((LEFT(K1458,6))="Contab",L1458,0)</f>
        <v/>
      </c>
      <c r="AF1458" s="171">
        <f>VLOOKUP(G1458,CLIENTES!B:E,4,FALSE)</f>
        <v/>
      </c>
      <c r="AG1458" s="27">
        <f>AF1458*AE1458</f>
        <v/>
      </c>
      <c r="AH1458" s="27">
        <f>AD1458*1.21</f>
        <v/>
      </c>
      <c r="AI1458" s="172">
        <f>IF(AE1458&lt;&gt;0,AG1458/AD1458,"N/A")</f>
        <v/>
      </c>
      <c r="AJ1458" s="27">
        <f>IF(AC1458="pendiente",AD1458,0)</f>
        <v/>
      </c>
      <c r="AK1458" s="170">
        <f>VLOOKUP(G1458,CLIENTES!B:D,3,FALSE)</f>
        <v/>
      </c>
    </row>
    <row r="1459" ht="15" customFormat="1" customHeight="1" s="170">
      <c r="B1459" s="169" t="n"/>
      <c r="C1459" s="170" t="inlineStr">
        <is>
          <t>c/ Las Cruzadas 3A, local D</t>
        </is>
      </c>
      <c r="D1459" s="170" t="inlineStr">
        <is>
          <t>Sevilla 41004</t>
        </is>
      </c>
      <c r="E1459" s="170" t="inlineStr">
        <is>
          <t>CIF B91938662</t>
        </is>
      </c>
      <c r="F1459" s="170" t="inlineStr">
        <is>
          <t>aBalados@abalados.es</t>
        </is>
      </c>
      <c r="G1459" s="170" t="inlineStr">
        <is>
          <t>Lo Illán  Parque Solar S.L.U.</t>
        </is>
      </c>
      <c r="H1459" s="170">
        <f>VLOOKUP($G1459,DATOS!$B:$E,2,FALSE)</f>
        <v/>
      </c>
      <c r="I1459" s="170">
        <f>VLOOKUP($G1459,DATOS!$B:$E,3,FALSE)</f>
        <v/>
      </c>
      <c r="J1459" s="170">
        <f>VLOOKUP($G1459,DATOS!$B:$E,4,FALSE)</f>
        <v/>
      </c>
      <c r="K1459" s="170" t="inlineStr">
        <is>
          <t>Honorarios - Contrato O&amp;M 3º Trimestre</t>
        </is>
      </c>
      <c r="L1459" s="27" t="n">
        <v>9644.033265199501</v>
      </c>
      <c r="N1459" s="27" t="n"/>
      <c r="P1459" s="27" t="n"/>
      <c r="R1459" s="27" t="n"/>
      <c r="T1459" s="27" t="n"/>
      <c r="V1459" s="27" t="n"/>
      <c r="X1459" s="27" t="n"/>
      <c r="Z1459" s="27" t="n"/>
      <c r="AA1459" s="27" t="n"/>
      <c r="AB1459" s="171" t="inlineStr">
        <is>
          <t>ES11 0081 7069 2700 0122 7724</t>
        </is>
      </c>
      <c r="AC1459" s="170" t="inlineStr">
        <is>
          <t>pendiente</t>
        </is>
      </c>
      <c r="AD1459" s="27">
        <f>L1459+N1459+P1459+R1459+T1459+V1459+X1459+Z1459</f>
        <v/>
      </c>
      <c r="AE1459" s="27">
        <f>IF((LEFT(K1459,6))="Contab",L1459,0)</f>
        <v/>
      </c>
      <c r="AF1459" s="171">
        <f>VLOOKUP(G1459,CLIENTES!B:E,4,FALSE)</f>
        <v/>
      </c>
      <c r="AG1459" s="27">
        <f>AF1459*AE1459</f>
        <v/>
      </c>
      <c r="AH1459" s="27">
        <f>AD1459*1.21</f>
        <v/>
      </c>
      <c r="AI1459" s="172">
        <f>IF(AE1459&lt;&gt;0,AG1459/AD1459,"N/A")</f>
        <v/>
      </c>
      <c r="AJ1459" s="27">
        <f>IF(AC1459="pendiente",AD1459,0)</f>
        <v/>
      </c>
      <c r="AK1459" s="170">
        <f>VLOOKUP(G1459,CLIENTES!B:D,3,FALSE)</f>
        <v/>
      </c>
    </row>
    <row r="1460" ht="15" customFormat="1" customHeight="1" s="170">
      <c r="B1460" s="169" t="n"/>
      <c r="C1460" s="170" t="inlineStr">
        <is>
          <t>c/ Las Cruzadas 3A, local D</t>
        </is>
      </c>
      <c r="D1460" s="170" t="inlineStr">
        <is>
          <t>Sevilla 41004</t>
        </is>
      </c>
      <c r="E1460" s="170" t="inlineStr">
        <is>
          <t>CIF B91938662</t>
        </is>
      </c>
      <c r="F1460" s="170" t="inlineStr">
        <is>
          <t>aBalados@abalados.es</t>
        </is>
      </c>
      <c r="G1460" s="170" t="inlineStr">
        <is>
          <t>Contreras Parque Solar S.L.U.</t>
        </is>
      </c>
      <c r="H1460" s="170">
        <f>VLOOKUP($G1460,DATOS!$B:$E,2,FALSE)</f>
        <v/>
      </c>
      <c r="I1460" s="170">
        <f>VLOOKUP($G1460,DATOS!$B:$E,3,FALSE)</f>
        <v/>
      </c>
      <c r="J1460" s="170">
        <f>VLOOKUP($G1460,DATOS!$B:$E,4,FALSE)</f>
        <v/>
      </c>
      <c r="K1460" s="170" t="inlineStr">
        <is>
          <t>Honorarios - Contrato O&amp;M 3º Trimestre</t>
        </is>
      </c>
      <c r="L1460" s="27" t="n">
        <v>14694.70898497972</v>
      </c>
      <c r="N1460" s="27" t="n"/>
      <c r="P1460" s="27" t="n"/>
      <c r="R1460" s="27" t="n"/>
      <c r="T1460" s="27" t="n"/>
      <c r="V1460" s="27" t="n"/>
      <c r="X1460" s="27" t="n"/>
      <c r="Z1460" s="27" t="n"/>
      <c r="AA1460" s="27" t="n"/>
      <c r="AB1460" s="171" t="inlineStr">
        <is>
          <t>ES11 0081 7069 2700 0122 7724</t>
        </is>
      </c>
      <c r="AC1460" s="170" t="inlineStr">
        <is>
          <t>pendiente</t>
        </is>
      </c>
      <c r="AD1460" s="27">
        <f>L1460+N1460+P1460+R1460+T1460+V1460+X1460+Z1460</f>
        <v/>
      </c>
      <c r="AE1460" s="27">
        <f>IF((LEFT(K1460,6))="Contab",L1460,0)</f>
        <v/>
      </c>
      <c r="AF1460" s="171">
        <f>VLOOKUP(G1460,CLIENTES!B:E,4,FALSE)</f>
        <v/>
      </c>
      <c r="AG1460" s="27">
        <f>AF1460*AE1460</f>
        <v/>
      </c>
      <c r="AH1460" s="27">
        <f>AD1460*1.21</f>
        <v/>
      </c>
      <c r="AI1460" s="172">
        <f>IF(AE1460&lt;&gt;0,AG1460/AD1460,"N/A")</f>
        <v/>
      </c>
      <c r="AJ1460" s="27">
        <f>IF(AC1460="pendiente",AD1460,0)</f>
        <v/>
      </c>
      <c r="AK1460" s="170">
        <f>VLOOKUP(G1460,CLIENTES!B:D,3,FALSE)</f>
        <v/>
      </c>
    </row>
    <row r="1461" ht="15" customFormat="1" customHeight="1" s="234">
      <c r="B1461" s="235" t="n"/>
      <c r="C1461" s="234" t="inlineStr">
        <is>
          <t>c/ Las Cruzadas 3A, local D</t>
        </is>
      </c>
      <c r="D1461" s="234" t="inlineStr">
        <is>
          <t>Sevilla 41004</t>
        </is>
      </c>
      <c r="E1461" s="234" t="inlineStr">
        <is>
          <t>CIF B91938662</t>
        </is>
      </c>
      <c r="F1461" s="234" t="inlineStr">
        <is>
          <t>aBalados@abalados.es</t>
        </is>
      </c>
      <c r="G1461" s="234" t="inlineStr">
        <is>
          <t>Turbinto Parque Solar S.L.U.</t>
        </is>
      </c>
      <c r="H1461" s="234">
        <f>VLOOKUP($G1461,DATOS!$B:$E,2,FALSE)</f>
        <v/>
      </c>
      <c r="I1461" s="234">
        <f>VLOOKUP($G1461,DATOS!$B:$E,3,FALSE)</f>
        <v/>
      </c>
      <c r="J1461" s="234">
        <f>VLOOKUP($G1461,DATOS!$B:$E,4,FALSE)</f>
        <v/>
      </c>
      <c r="K1461" s="234" t="inlineStr">
        <is>
          <t>Honorarios - Contrato O&amp;M 3º Trimestre</t>
        </is>
      </c>
      <c r="L1461" s="236" t="n">
        <v>10470.40048100242</v>
      </c>
      <c r="N1461" s="236" t="n"/>
      <c r="P1461" s="236" t="n"/>
      <c r="R1461" s="236" t="n"/>
      <c r="T1461" s="236" t="n"/>
      <c r="V1461" s="236" t="n"/>
      <c r="X1461" s="236" t="n"/>
      <c r="Z1461" s="236" t="n"/>
      <c r="AA1461" s="236" t="n"/>
      <c r="AB1461" s="237" t="inlineStr">
        <is>
          <t>ES11 0081 7069 2700 0122 7724</t>
        </is>
      </c>
      <c r="AC1461" s="170" t="inlineStr">
        <is>
          <t>pendiente</t>
        </is>
      </c>
      <c r="AD1461" s="236">
        <f>L1461+N1461+P1461+R1461+T1461+V1461+X1461+Z1461</f>
        <v/>
      </c>
      <c r="AE1461" s="236">
        <f>IF((LEFT(K1461,6))="Contab",L1461,0)</f>
        <v/>
      </c>
      <c r="AF1461" s="237">
        <f>VLOOKUP(G1461,CLIENTES!B:E,4,FALSE)</f>
        <v/>
      </c>
      <c r="AG1461" s="236">
        <f>AF1461*AE1461</f>
        <v/>
      </c>
      <c r="AH1461" s="236">
        <f>AD1461*1.21</f>
        <v/>
      </c>
      <c r="AI1461" s="238">
        <f>IF(AE1461&lt;&gt;0,AG1461/AD1461,"N/A")</f>
        <v/>
      </c>
      <c r="AJ1461" s="236">
        <f>IF(AC1461="pendiente",AD1461,0)</f>
        <v/>
      </c>
      <c r="AK1461" s="234">
        <f>VLOOKUP(G1461,CLIENTES!B:D,3,FALSE)</f>
        <v/>
      </c>
    </row>
    <row r="1462" ht="15" customFormat="1" customHeight="1" s="234">
      <c r="B1462" s="235" t="n"/>
      <c r="C1462" s="234" t="inlineStr">
        <is>
          <t>c/ Puente y Pellón 14 - 2G</t>
        </is>
      </c>
      <c r="D1462" s="234" t="inlineStr">
        <is>
          <t>Sevilla 41004</t>
        </is>
      </c>
      <c r="E1462" s="234" t="inlineStr">
        <is>
          <t>CIF B91938662</t>
        </is>
      </c>
      <c r="F1462" s="234" t="inlineStr">
        <is>
          <t>aBalados@abalados.es</t>
        </is>
      </c>
      <c r="G1462" s="240" t="inlineStr">
        <is>
          <t>FP LUX REIO PV ZARAGOZA SL.</t>
        </is>
      </c>
      <c r="H1462" s="234">
        <f>VLOOKUP($G1462,DATOS!$B:$E,2,FALSE)</f>
        <v/>
      </c>
      <c r="I1462" s="234">
        <f>VLOOKUP($G1462,DATOS!$B:$E,3,FALSE)</f>
        <v/>
      </c>
      <c r="J1462" s="234">
        <f>VLOOKUP($G1462,DATOS!$B:$E,4,FALSE)</f>
        <v/>
      </c>
      <c r="K1462" s="234" t="inlineStr">
        <is>
          <t>Proyecto El Marqués - Zaragoza</t>
        </is>
      </c>
      <c r="L1462" s="236" t="n"/>
      <c r="M1462" s="234" t="inlineStr">
        <is>
          <t>Asset Management fee - 3rd quarter 2022</t>
        </is>
      </c>
      <c r="N1462" s="236">
        <f>'Tarifa 2025'!#REF!/4</f>
        <v/>
      </c>
      <c r="O1462" s="234" t="inlineStr">
        <is>
          <t>Honorarios de gestión de activo - 3º trimestre</t>
        </is>
      </c>
      <c r="P1462" s="236" t="n"/>
      <c r="R1462" s="236" t="n"/>
      <c r="T1462" s="236" t="n"/>
      <c r="V1462" s="236" t="n"/>
      <c r="X1462" s="236" t="n"/>
      <c r="Z1462" s="236" t="n"/>
      <c r="AA1462" s="236" t="n"/>
      <c r="AB1462" s="237" t="inlineStr">
        <is>
          <t>ES11 0081 7069 2700 0122 7724</t>
        </is>
      </c>
      <c r="AC1462" s="234" t="inlineStr">
        <is>
          <t>pendiente</t>
        </is>
      </c>
      <c r="AD1462" s="236">
        <f>L1462+N1462+P1462+R1462+T1462+V1462+X1462+Z1462</f>
        <v/>
      </c>
      <c r="AE1462" s="236">
        <f>IF((LEFT(K1462,6))="Contab",L1462,0)</f>
        <v/>
      </c>
      <c r="AF1462" s="237">
        <f>VLOOKUP(G1462,CLIENTES!B:E,4,FALSE)</f>
        <v/>
      </c>
      <c r="AG1462" s="236">
        <f>AF1462*AE1462</f>
        <v/>
      </c>
      <c r="AH1462" s="236">
        <f>AD1462*1.21</f>
        <v/>
      </c>
      <c r="AI1462" s="238">
        <f>IF(AE1462&lt;&gt;0,AG1462/AD1462,"N/A")</f>
        <v/>
      </c>
      <c r="AJ1462" s="236">
        <f>IF(AC1462="pendiente",AD1462,0)</f>
        <v/>
      </c>
      <c r="AK1462" s="234">
        <f>VLOOKUP(G1462,CLIENTES!B:D,3,FALSE)</f>
        <v/>
      </c>
    </row>
    <row r="1463" ht="15" customFormat="1" customHeight="1" s="234">
      <c r="B1463" s="235" t="n"/>
      <c r="C1463" s="234" t="inlineStr">
        <is>
          <t>c/ Las Cruzadas 3A, local D</t>
        </is>
      </c>
      <c r="D1463" s="234" t="inlineStr">
        <is>
          <t>Sevilla 41004</t>
        </is>
      </c>
      <c r="E1463" s="234" t="inlineStr">
        <is>
          <t>CIF B91938662</t>
        </is>
      </c>
      <c r="F1463" s="234" t="inlineStr">
        <is>
          <t>aBalados@abalados.es</t>
        </is>
      </c>
      <c r="G1463" s="234" t="inlineStr">
        <is>
          <t>Inver Generación 1, S.L.</t>
        </is>
      </c>
      <c r="H1463" s="234">
        <f>VLOOKUP($G1463,DATOS!$B:$E,2,FALSE)</f>
        <v/>
      </c>
      <c r="I1463" s="234">
        <f>VLOOKUP($G1463,DATOS!$B:$E,3,FALSE)</f>
        <v/>
      </c>
      <c r="J1463" s="234">
        <f>VLOOKUP($G1463,DATOS!$B:$E,4,FALSE)</f>
        <v/>
      </c>
      <c r="K1463" s="234" t="inlineStr">
        <is>
          <t>Asset Management 3Q2021 | 01.07 - 30.09</t>
        </is>
      </c>
      <c r="L1463" s="236">
        <f>'Tarifa 2025'!$D$29/4</f>
        <v/>
      </c>
      <c r="M1463" s="234" t="inlineStr">
        <is>
          <t>Gestión de Activos 3T2022 | 01.07 - 30.09</t>
        </is>
      </c>
      <c r="N1463" s="236" t="n"/>
      <c r="P1463" s="236" t="n"/>
      <c r="R1463" s="236" t="n"/>
      <c r="T1463" s="236" t="n"/>
      <c r="V1463" s="236" t="n"/>
      <c r="X1463" s="236" t="n"/>
      <c r="Z1463" s="236" t="n"/>
      <c r="AA1463" s="236" t="n"/>
      <c r="AB1463" s="237" t="inlineStr">
        <is>
          <t>ES11 0081 7069 2700 0122 7724</t>
        </is>
      </c>
      <c r="AC1463" s="234" t="inlineStr">
        <is>
          <t>pendiente</t>
        </is>
      </c>
      <c r="AD1463" s="236">
        <f>L1463+N1463+P1463+R1463+T1463+V1463+X1463+Z1463</f>
        <v/>
      </c>
      <c r="AE1463" s="236">
        <f>IF((LEFT(K1463,6))="Contab",L1463,0)</f>
        <v/>
      </c>
      <c r="AF1463" s="237">
        <f>VLOOKUP(G1463,CLIENTES!B:E,4,FALSE)</f>
        <v/>
      </c>
      <c r="AG1463" s="236">
        <f>AF1463*AE1463</f>
        <v/>
      </c>
      <c r="AH1463" s="236">
        <f>AD1463*1.21</f>
        <v/>
      </c>
      <c r="AI1463" s="238">
        <f>IF(AE1463&lt;&gt;0,AG1463/AD1463,"N/A")</f>
        <v/>
      </c>
      <c r="AJ1463" s="236">
        <f>IF(AC1463="pendiente",AD1463,0)</f>
        <v/>
      </c>
      <c r="AK1463" s="234">
        <f>VLOOKUP(G1463,CLIENTES!B:D,3,FALSE)</f>
        <v/>
      </c>
    </row>
    <row r="1464" ht="15" customFormat="1" customHeight="1" s="234">
      <c r="B1464" s="235" t="n"/>
      <c r="C1464" s="234" t="inlineStr">
        <is>
          <t>c/ Las Cruzadas 3A, local D</t>
        </is>
      </c>
      <c r="D1464" s="234" t="inlineStr">
        <is>
          <t>Sevilla 41004</t>
        </is>
      </c>
      <c r="E1464" s="234" t="inlineStr">
        <is>
          <t>CIF B91938662</t>
        </is>
      </c>
      <c r="F1464" s="234" t="inlineStr">
        <is>
          <t>aBalados@abalados.es</t>
        </is>
      </c>
      <c r="G1464" s="234" t="inlineStr">
        <is>
          <t>Soluciones Aeconova S.L.</t>
        </is>
      </c>
      <c r="H1464" s="234">
        <f>VLOOKUP($G1464,DATOS!$B:$E,2,FALSE)</f>
        <v/>
      </c>
      <c r="I1464" s="234">
        <f>VLOOKUP($G1464,DATOS!$B:$E,3,FALSE)</f>
        <v/>
      </c>
      <c r="J1464" s="234">
        <f>VLOOKUP($G1464,DATOS!$B:$E,4,FALSE)</f>
        <v/>
      </c>
      <c r="K1464" s="234" t="inlineStr">
        <is>
          <t>Servicios Contabilidad 3T2021</t>
        </is>
      </c>
      <c r="L1464" s="236">
        <f>110.25</f>
        <v/>
      </c>
      <c r="N1464" s="236" t="n"/>
      <c r="P1464" s="236" t="n"/>
      <c r="R1464" s="236" t="n"/>
      <c r="T1464" s="236" t="n"/>
      <c r="V1464" s="236" t="n"/>
      <c r="X1464" s="236" t="n"/>
      <c r="Z1464" s="236" t="n"/>
      <c r="AA1464" s="236" t="n"/>
      <c r="AB1464" s="237" t="inlineStr">
        <is>
          <t>ES11 0081 7069 2700 0122 7724</t>
        </is>
      </c>
      <c r="AC1464" s="234" t="inlineStr">
        <is>
          <t>pendiente</t>
        </is>
      </c>
      <c r="AD1464" s="236">
        <f>L1464+N1464+P1464+R1464+T1464+V1464+X1464+Z1464</f>
        <v/>
      </c>
      <c r="AE1464" s="236">
        <f>IF((LEFT(K1464,6))="Contab",L1464,0)</f>
        <v/>
      </c>
      <c r="AF1464" s="237">
        <f>VLOOKUP(G1464,CLIENTES!B:E,4,FALSE)</f>
        <v/>
      </c>
      <c r="AG1464" s="236">
        <f>AF1464*AE1464</f>
        <v/>
      </c>
      <c r="AH1464" s="236">
        <f>AD1464*1.21</f>
        <v/>
      </c>
      <c r="AI1464" s="238">
        <f>IF(AE1464&lt;&gt;0,AG1464/AD1464,"N/A")</f>
        <v/>
      </c>
      <c r="AJ1464" s="236">
        <f>IF(AC1464="pendiente",AD1464,0)</f>
        <v/>
      </c>
      <c r="AK1464" s="234">
        <f>VLOOKUP(G1464,CLIENTES!B:D,3,FALSE)</f>
        <v/>
      </c>
    </row>
    <row r="1465" ht="15" customFormat="1" customHeight="1" s="234">
      <c r="B1465" s="235" t="n"/>
      <c r="C1465" s="234" t="inlineStr">
        <is>
          <t>c/ Las Cruzadas 3A, local D</t>
        </is>
      </c>
      <c r="D1465" s="234" t="inlineStr">
        <is>
          <t>Sevilla 41004</t>
        </is>
      </c>
      <c r="E1465" s="234" t="inlineStr">
        <is>
          <t>CIF B91938662</t>
        </is>
      </c>
      <c r="F1465" s="234" t="inlineStr">
        <is>
          <t>aBalados@abalados.es</t>
        </is>
      </c>
      <c r="G1465" s="234" t="inlineStr">
        <is>
          <t>Valcabado Renovables 220 kV, S.L.</t>
        </is>
      </c>
      <c r="H1465" s="234">
        <f>VLOOKUP($G1465,DATOS!$B:$E,2,FALSE)</f>
        <v/>
      </c>
      <c r="I1465" s="234">
        <f>VLOOKUP($G1465,DATOS!$B:$E,3,FALSE)</f>
        <v/>
      </c>
      <c r="J1465" s="234">
        <f>VLOOKUP($G1465,DATOS!$B:$E,4,FALSE)</f>
        <v/>
      </c>
      <c r="K1465" s="234" t="inlineStr">
        <is>
          <t>Contrato de Asset Management - Subestación Valcabado</t>
        </is>
      </c>
      <c r="L1465" s="236" t="n"/>
      <c r="N1465" s="236" t="n"/>
      <c r="O1465" s="234" t="inlineStr">
        <is>
          <t>Fee mensual - Julio 2022</t>
        </is>
      </c>
      <c r="P1465" s="236">
        <f>1173</f>
        <v/>
      </c>
      <c r="R1465" s="236" t="n"/>
      <c r="T1465" s="236" t="n"/>
      <c r="V1465" s="236" t="n"/>
      <c r="X1465" s="236" t="n"/>
      <c r="Z1465" s="236" t="n"/>
      <c r="AA1465" s="236" t="n"/>
      <c r="AB1465" s="237" t="inlineStr">
        <is>
          <t>ES11 0081 7069 2700 0122 7724</t>
        </is>
      </c>
      <c r="AC1465" s="234" t="inlineStr">
        <is>
          <t>pendiente</t>
        </is>
      </c>
      <c r="AD1465" s="236">
        <f>L1465+N1465+P1465+R1465+T1465+V1465+X1465+Z1465</f>
        <v/>
      </c>
      <c r="AE1465" s="236">
        <f>IF((LEFT(K1465,6))="Contab",L1465,0)</f>
        <v/>
      </c>
      <c r="AF1465" s="237">
        <f>VLOOKUP(G1465,CLIENTES!B:E,4,FALSE)</f>
        <v/>
      </c>
      <c r="AG1465" s="236">
        <f>AF1465*AE1465</f>
        <v/>
      </c>
      <c r="AH1465" s="236">
        <f>AD1465*1.21</f>
        <v/>
      </c>
      <c r="AI1465" s="238">
        <f>IF(AE1465&lt;&gt;0,AG1465/AD1465,"N/A")</f>
        <v/>
      </c>
      <c r="AJ1465" s="236">
        <f>IF(AC1465="pendiente",AD1465,0)</f>
        <v/>
      </c>
      <c r="AK1465" s="234">
        <f>VLOOKUP(G1465,CLIENTES!B:D,3,FALSE)</f>
        <v/>
      </c>
    </row>
    <row r="1466" ht="15" customFormat="1" customHeight="1" s="234">
      <c r="B1466" s="235" t="n"/>
      <c r="C1466" s="234" t="inlineStr">
        <is>
          <t>c/ Las Cruzadas 3A, local D</t>
        </is>
      </c>
      <c r="D1466" s="234" t="inlineStr">
        <is>
          <t>Sevilla 41004</t>
        </is>
      </c>
      <c r="E1466" s="234" t="inlineStr">
        <is>
          <t>CIF B91938662</t>
        </is>
      </c>
      <c r="F1466" s="234" t="inlineStr">
        <is>
          <t>aBalados@abalados.es</t>
        </is>
      </c>
      <c r="G1466" s="234" t="inlineStr">
        <is>
          <t>Valcabado Renovables 220 kV, S.L.</t>
        </is>
      </c>
      <c r="H1466" s="234">
        <f>VLOOKUP($G1466,DATOS!$B:$E,2,FALSE)</f>
        <v/>
      </c>
      <c r="I1466" s="234">
        <f>VLOOKUP($G1466,DATOS!$B:$E,3,FALSE)</f>
        <v/>
      </c>
      <c r="J1466" s="234">
        <f>VLOOKUP($G1466,DATOS!$B:$E,4,FALSE)</f>
        <v/>
      </c>
      <c r="K1466" s="234" t="inlineStr">
        <is>
          <t>Contrato de Asset Management - Subestación Valcabado</t>
        </is>
      </c>
      <c r="L1466" s="236" t="n"/>
      <c r="N1466" s="236" t="n"/>
      <c r="O1466" s="234" t="inlineStr">
        <is>
          <t>Fee mensual - Agosto 2022</t>
        </is>
      </c>
      <c r="P1466" s="236">
        <f>1173</f>
        <v/>
      </c>
      <c r="R1466" s="236" t="n"/>
      <c r="T1466" s="236" t="n"/>
      <c r="V1466" s="236" t="n"/>
      <c r="X1466" s="236" t="n"/>
      <c r="Z1466" s="236" t="n"/>
      <c r="AA1466" s="236" t="n"/>
      <c r="AB1466" s="237" t="inlineStr">
        <is>
          <t>ES11 0081 7069 2700 0122 7724</t>
        </is>
      </c>
      <c r="AC1466" s="234" t="inlineStr">
        <is>
          <t>pendiente</t>
        </is>
      </c>
      <c r="AD1466" s="236">
        <f>L1466+N1466+P1466+R1466+T1466+V1466+X1466+Z1466</f>
        <v/>
      </c>
      <c r="AE1466" s="236">
        <f>IF((LEFT(K1466,6))="Contab",L1466,0)</f>
        <v/>
      </c>
      <c r="AF1466" s="237">
        <f>VLOOKUP(G1466,CLIENTES!B:E,4,FALSE)</f>
        <v/>
      </c>
      <c r="AG1466" s="236">
        <f>AF1466*AE1466</f>
        <v/>
      </c>
      <c r="AH1466" s="236">
        <f>AD1466*1.21</f>
        <v/>
      </c>
      <c r="AI1466" s="238">
        <f>IF(AE1466&lt;&gt;0,AG1466/AD1466,"N/A")</f>
        <v/>
      </c>
      <c r="AJ1466" s="236">
        <f>IF(AC1466="pendiente",AD1466,0)</f>
        <v/>
      </c>
      <c r="AK1466" s="234">
        <f>VLOOKUP(G1466,CLIENTES!B:D,3,FALSE)</f>
        <v/>
      </c>
    </row>
    <row r="1467" ht="15" customFormat="1" customHeight="1" s="240">
      <c r="A1467" s="234" t="n"/>
      <c r="B1467" s="239" t="n"/>
      <c r="C1467" s="240" t="inlineStr">
        <is>
          <t>c/ Las Cruzadas 3A, local D</t>
        </is>
      </c>
      <c r="D1467" s="240" t="inlineStr">
        <is>
          <t>Sevilla 41004</t>
        </is>
      </c>
      <c r="E1467" s="240" t="inlineStr">
        <is>
          <t>CIF B91938662</t>
        </is>
      </c>
      <c r="F1467" s="240" t="inlineStr">
        <is>
          <t>aBalados@abalados.es</t>
        </is>
      </c>
      <c r="G1467" s="240" t="inlineStr">
        <is>
          <t>FP LUX REIO PV ZARAGOZA SL.</t>
        </is>
      </c>
      <c r="H1467" s="240">
        <f>VLOOKUP($G1467,DATOS!$B:$E,2,FALSE)</f>
        <v/>
      </c>
      <c r="I1467" s="240">
        <f>VLOOKUP($G1467,DATOS!$B:$E,3,FALSE)</f>
        <v/>
      </c>
      <c r="J1467" s="240">
        <f>VLOOKUP($G1467,DATOS!$B:$E,4,FALSE)</f>
        <v/>
      </c>
      <c r="K1467" s="240" t="inlineStr">
        <is>
          <t>Proyecto El Marqués - Zaragoza</t>
        </is>
      </c>
      <c r="L1467" s="241" t="n"/>
      <c r="M1467" s="240" t="inlineStr">
        <is>
          <t>Honorarios - Contrato O&amp;M 3º Trimestre</t>
        </is>
      </c>
      <c r="N1467" s="241" t="n">
        <v>19684.38024</v>
      </c>
      <c r="P1467" s="241" t="n"/>
      <c r="Q1467" s="241" t="n"/>
      <c r="R1467" s="241" t="n"/>
      <c r="T1467" s="241" t="n"/>
      <c r="W1467" s="241" t="n"/>
      <c r="Y1467" s="241" t="n"/>
      <c r="Z1467" s="241" t="n"/>
      <c r="AA1467" s="241" t="n"/>
      <c r="AB1467" s="242" t="inlineStr">
        <is>
          <t>ES11 0081 7069 2700 0122 7724</t>
        </is>
      </c>
      <c r="AC1467" s="240" t="inlineStr">
        <is>
          <t>pendiente</t>
        </is>
      </c>
      <c r="AD1467" s="241">
        <f>L1467+N1467+P1467+R1467+T1467+V1467+X1467+Z1467</f>
        <v/>
      </c>
      <c r="AE1467" s="241">
        <f>IF((LEFT(K1467,6))="Contab",L1467,0)</f>
        <v/>
      </c>
      <c r="AF1467" s="242" t="n">
        <v>0.1</v>
      </c>
      <c r="AG1467" s="236">
        <f>AF1467*AE1467</f>
        <v/>
      </c>
      <c r="AH1467" s="241">
        <f>AD1467*1.21</f>
        <v/>
      </c>
      <c r="AI1467" s="243">
        <f>IF(AE1467&lt;&gt;0,AG1467/AD1467,"N/A")</f>
        <v/>
      </c>
      <c r="AJ1467" s="241">
        <f>IF(AC1467="pendiente",AD1467,0)</f>
        <v/>
      </c>
      <c r="AK1467" s="240">
        <f>VLOOKUP(G1467,CLIENTES!B:D,3,FALSE)</f>
        <v/>
      </c>
    </row>
    <row r="1468" ht="15" customFormat="1" customHeight="1" s="234">
      <c r="B1468" s="235" t="n"/>
      <c r="C1468" s="234" t="inlineStr">
        <is>
          <t>c/ Las Cruzadas 3A, local D</t>
        </is>
      </c>
      <c r="D1468" s="234" t="inlineStr">
        <is>
          <t>Sevilla 41004</t>
        </is>
      </c>
      <c r="E1468" s="234" t="inlineStr">
        <is>
          <t>CIF B91938662</t>
        </is>
      </c>
      <c r="F1468" s="234" t="inlineStr">
        <is>
          <t>aBalados@abalados.es</t>
        </is>
      </c>
      <c r="G1468" s="234" t="inlineStr">
        <is>
          <t>White Summit Capital Asesores, S.L.</t>
        </is>
      </c>
      <c r="H1468" s="234">
        <f>VLOOKUP($G1468,DATOS!$B:$E,2,FALSE)</f>
        <v/>
      </c>
      <c r="I1468" s="234">
        <f>VLOOKUP($G1468,DATOS!$B:$E,3,FALSE)</f>
        <v/>
      </c>
      <c r="J1468" s="234">
        <f>VLOOKUP($G1468,DATOS!$B:$E,4,FALSE)</f>
        <v/>
      </c>
      <c r="K1468" s="234" t="inlineStr">
        <is>
          <t>Contrato de Asset Management- Proyecto La Isla</t>
        </is>
      </c>
      <c r="L1468" s="236" t="n"/>
      <c r="M1468" s="234" t="inlineStr">
        <is>
          <t>Fee trimestral 3T'2022</t>
        </is>
      </c>
      <c r="N1468" s="236">
        <f>'Tarifa 2025'!$D$32/12*3</f>
        <v/>
      </c>
      <c r="O1468" s="234" t="inlineStr">
        <is>
          <t>Quarterly fee - 2Q2022</t>
        </is>
      </c>
      <c r="P1468" s="236" t="n"/>
      <c r="R1468" s="236" t="n"/>
      <c r="T1468" s="236" t="n"/>
      <c r="V1468" s="236" t="n"/>
      <c r="X1468" s="236" t="n"/>
      <c r="Z1468" s="236" t="n"/>
      <c r="AA1468" s="236" t="n"/>
      <c r="AB1468" s="237" t="inlineStr">
        <is>
          <t>ES11 0081 7069 2700 0122 7724</t>
        </is>
      </c>
      <c r="AC1468" s="234" t="inlineStr">
        <is>
          <t>pendiente</t>
        </is>
      </c>
      <c r="AD1468" s="236">
        <f>L1468+N1468+P1468+R1468+T1468+V1468+X1468+Z1468</f>
        <v/>
      </c>
      <c r="AE1468" s="236">
        <f>IF((LEFT(K1468,4))="Cont",N1468,0)</f>
        <v/>
      </c>
      <c r="AF1468" s="237">
        <f>VLOOKUP(G1468,CLIENTES!B:E,4,FALSE)</f>
        <v/>
      </c>
      <c r="AG1468" s="236">
        <f>AF1468*AE1468</f>
        <v/>
      </c>
      <c r="AH1468" s="236">
        <f>AD1468*1.21</f>
        <v/>
      </c>
      <c r="AI1468" s="238">
        <f>IF(AE1468&lt;&gt;0,AG1468/AD1468,"N/A")</f>
        <v/>
      </c>
      <c r="AJ1468" s="236">
        <f>IF(AC1468="pendiente",AD1468,0)</f>
        <v/>
      </c>
      <c r="AK1468" s="234">
        <f>VLOOKUP(G1468,CLIENTES!B:D,3,FALSE)</f>
        <v/>
      </c>
    </row>
    <row r="1469" ht="15" customFormat="1" customHeight="1" s="234" thickBot="1">
      <c r="A1469" s="170" t="n"/>
      <c r="B1469" s="169" t="n"/>
      <c r="C1469" s="170" t="inlineStr">
        <is>
          <t>c/ Las Cruzadas 3A, local D</t>
        </is>
      </c>
      <c r="D1469" s="170" t="inlineStr">
        <is>
          <t>Sevilla 41004</t>
        </is>
      </c>
      <c r="E1469" s="170" t="inlineStr">
        <is>
          <t>CIF B91938662</t>
        </is>
      </c>
      <c r="F1469" s="170" t="inlineStr">
        <is>
          <t>aBalados@abalados.es</t>
        </is>
      </c>
      <c r="G1469" s="170" t="inlineStr">
        <is>
          <t>Sun Tol I, S.L.U.</t>
        </is>
      </c>
      <c r="H1469" s="170">
        <f>VLOOKUP($G1469,DATOS!$B:$E,2,FALSE)</f>
        <v/>
      </c>
      <c r="I1469" s="170">
        <f>VLOOKUP($G1469,DATOS!$B:$E,3,FALSE)</f>
        <v/>
      </c>
      <c r="J1469" s="170">
        <f>VLOOKUP($G1469,DATOS!$B:$E,4,FALSE)</f>
        <v/>
      </c>
      <c r="K1469" s="170" t="inlineStr">
        <is>
          <t>PV Solar Plant Development Service Agreement</t>
        </is>
      </c>
      <c r="L1469" s="27" t="n"/>
      <c r="M1469" s="170" t="inlineStr">
        <is>
          <t>PSF Castillejo I  -  31,21 MWp</t>
        </is>
      </c>
      <c r="N1469" s="27" t="n"/>
      <c r="O1469" s="170" t="n"/>
      <c r="P1469" s="27" t="n"/>
      <c r="Q1469" s="170" t="inlineStr">
        <is>
          <t>10% on the notice to proceed</t>
        </is>
      </c>
      <c r="R1469" s="27">
        <f>10%*45630</f>
        <v/>
      </c>
      <c r="S1469" s="170" t="n"/>
      <c r="T1469" s="27" t="n"/>
      <c r="U1469" s="170" t="n"/>
      <c r="V1469" s="27" t="n"/>
      <c r="W1469" s="170" t="n"/>
      <c r="X1469" s="27" t="n"/>
      <c r="Y1469" s="170" t="n"/>
      <c r="Z1469" s="27" t="n"/>
      <c r="AA1469" s="27" t="n"/>
      <c r="AB1469" s="171" t="inlineStr">
        <is>
          <t>ES11 0081 7069 2700 0122 7724</t>
        </is>
      </c>
      <c r="AC1469" s="170" t="inlineStr">
        <is>
          <t>pendiente</t>
        </is>
      </c>
      <c r="AD1469" s="27">
        <f>L1469+N1469+P1469+R1469+T1469+V1469+X1469+Z1469</f>
        <v/>
      </c>
      <c r="AE1469" s="27">
        <f>IF((LEFT(K1469,4))="Cont",N1469,0)</f>
        <v/>
      </c>
      <c r="AF1469" s="171">
        <f>VLOOKUP(G1469,CLIENTES!B:E,4,FALSE)</f>
        <v/>
      </c>
      <c r="AG1469" s="27">
        <f>AF1469*AE1469</f>
        <v/>
      </c>
      <c r="AH1469" s="27">
        <f>AD1469*1.21</f>
        <v/>
      </c>
      <c r="AI1469" s="172">
        <f>IF(AE1469&lt;&gt;0,AG1469/AD1469,"N/A")</f>
        <v/>
      </c>
      <c r="AJ1469" s="27">
        <f>IF(AC1469="pendiente",AD1469,0)</f>
        <v/>
      </c>
      <c r="AK1469" s="170">
        <f>VLOOKUP(G1469,CLIENTES!B:D,3,FALSE)</f>
        <v/>
      </c>
      <c r="AL1469" s="170" t="n"/>
    </row>
    <row r="1470" ht="15" customFormat="1" customHeight="1" s="170" thickBot="1">
      <c r="A1470" s="244" t="n"/>
      <c r="B1470" s="245" t="n"/>
      <c r="C1470" s="246" t="inlineStr">
        <is>
          <t>c/ Las Cruzadas 3A, local D</t>
        </is>
      </c>
      <c r="D1470" s="246" t="inlineStr">
        <is>
          <t>Sevilla 41004</t>
        </is>
      </c>
      <c r="E1470" s="246" t="inlineStr">
        <is>
          <t>CIF B91938662</t>
        </is>
      </c>
      <c r="F1470" s="246" t="inlineStr">
        <is>
          <t>aBalados@abalados.es</t>
        </is>
      </c>
      <c r="G1470" s="246" t="inlineStr">
        <is>
          <t>SAECO de la Dirección de infraestructura del E.T.</t>
        </is>
      </c>
      <c r="H1470" s="246" t="inlineStr">
        <is>
          <t>NIF S2830108C</t>
        </is>
      </c>
      <c r="I1470" s="246">
        <f>VLOOKUP($G1470,DATOS!$B:$E,3,FALSE)</f>
        <v/>
      </c>
      <c r="J1470" s="246">
        <f>VLOOKUP($G1470,DATOS!$B:$E,4,FALSE)</f>
        <v/>
      </c>
      <c r="K1470" s="246" t="inlineStr">
        <is>
          <t xml:space="preserve">Servicio de asistencia técnica </t>
        </is>
      </c>
      <c r="L1470" s="247" t="n">
        <v>14800</v>
      </c>
      <c r="M1470" s="246" t="inlineStr">
        <is>
          <t>Calculo del Movimiento de tierras en excavaciones rellenos y prestamos</t>
        </is>
      </c>
      <c r="N1470" s="247" t="n"/>
      <c r="O1470" s="246" t="inlineStr">
        <is>
          <t>Base logística General Varela</t>
        </is>
      </c>
      <c r="P1470" s="247" t="n"/>
      <c r="Q1470" s="246" t="n"/>
      <c r="R1470" s="247" t="n"/>
      <c r="S1470" s="246" t="n"/>
      <c r="T1470" s="247" t="n"/>
      <c r="U1470" s="246" t="n"/>
      <c r="V1470" s="247" t="n"/>
      <c r="W1470" s="246" t="n"/>
      <c r="X1470" s="247" t="n"/>
      <c r="Y1470" s="246" t="n"/>
      <c r="Z1470" s="247" t="n"/>
      <c r="AA1470" s="247" t="n"/>
      <c r="AB1470" s="248" t="inlineStr">
        <is>
          <t>ES11 0081 7069 2700 0122 7724</t>
        </is>
      </c>
      <c r="AC1470" s="246" t="inlineStr">
        <is>
          <t>pendiente</t>
        </is>
      </c>
      <c r="AD1470" s="247">
        <f>L1470+N1470+P1470+R1470+T1470+V1470+X1470+Z1470</f>
        <v/>
      </c>
      <c r="AE1470" s="247">
        <f>IF((LEFT(K1470,4))="Cont",N1470,0)</f>
        <v/>
      </c>
      <c r="AF1470" s="248">
        <f>VLOOKUP(G1470,CLIENTES!B:E,4,FALSE)</f>
        <v/>
      </c>
      <c r="AG1470" s="247">
        <f>AF1470*AE1470</f>
        <v/>
      </c>
      <c r="AH1470" s="247">
        <f>AD1470*1.21</f>
        <v/>
      </c>
      <c r="AI1470" s="249">
        <f>IF(AE1470&lt;&gt;0,AG1470/AD1470,"N/A")</f>
        <v/>
      </c>
      <c r="AJ1470" s="247">
        <f>IF(AC1470="pendiente",AD1470,0)</f>
        <v/>
      </c>
      <c r="AK1470" s="250">
        <f>VLOOKUP(G1470,CLIENTES!B:D,3,FALSE)</f>
        <v/>
      </c>
      <c r="AL1470" s="246" t="n"/>
    </row>
    <row r="1471" ht="15" customFormat="1" customHeight="1" s="170">
      <c r="B1471" s="169" t="n"/>
      <c r="C1471" s="170" t="inlineStr">
        <is>
          <t>c/ Las Cruzadas 3A, local D</t>
        </is>
      </c>
      <c r="D1471" s="170" t="inlineStr">
        <is>
          <t>Sevilla 41004</t>
        </is>
      </c>
      <c r="E1471" s="170" t="inlineStr">
        <is>
          <t>CIF B91938662</t>
        </is>
      </c>
      <c r="F1471" s="170" t="inlineStr">
        <is>
          <t>aBalados@abalados.es</t>
        </is>
      </c>
      <c r="G1471" s="170" t="inlineStr">
        <is>
          <t>Valcabado Renovables 220 kV, S.L.</t>
        </is>
      </c>
      <c r="H1471" s="170">
        <f>VLOOKUP($G1471,DATOS!$B:$E,2,FALSE)</f>
        <v/>
      </c>
      <c r="I1471" s="170">
        <f>VLOOKUP($G1471,DATOS!$B:$E,3,FALSE)</f>
        <v/>
      </c>
      <c r="J1471" s="170">
        <f>VLOOKUP($G1471,DATOS!$B:$E,4,FALSE)</f>
        <v/>
      </c>
      <c r="K1471" s="170" t="inlineStr">
        <is>
          <t>Contrato de Asset Management - Subestación Valcabado</t>
        </is>
      </c>
      <c r="L1471" s="27" t="n"/>
      <c r="N1471" s="27" t="n"/>
      <c r="O1471" s="170" t="inlineStr">
        <is>
          <t>Fee mensual - Septiembre 2022</t>
        </is>
      </c>
      <c r="P1471" s="27">
        <f>1173</f>
        <v/>
      </c>
      <c r="R1471" s="27" t="n"/>
      <c r="T1471" s="27" t="n"/>
      <c r="V1471" s="27" t="n"/>
      <c r="X1471" s="27" t="n"/>
      <c r="Z1471" s="27" t="n"/>
      <c r="AA1471" s="27" t="n"/>
      <c r="AB1471" s="171" t="inlineStr">
        <is>
          <t>ES11 0081 7069 2700 0122 7724</t>
        </is>
      </c>
      <c r="AC1471" s="170" t="inlineStr">
        <is>
          <t>pendiente</t>
        </is>
      </c>
      <c r="AD1471" s="27">
        <f>L1471+N1471+P1471+R1471+T1471+V1471+X1471+Z1471</f>
        <v/>
      </c>
      <c r="AE1471" s="27">
        <f>IF((LEFT(K1471,6))="Contab",L1471,0)</f>
        <v/>
      </c>
      <c r="AF1471" s="171">
        <f>VLOOKUP(G1471,CLIENTES!B:E,4,FALSE)</f>
        <v/>
      </c>
      <c r="AG1471" s="27">
        <f>AF1471*AE1471</f>
        <v/>
      </c>
      <c r="AH1471" s="27">
        <f>AD1471*1.21</f>
        <v/>
      </c>
      <c r="AI1471" s="172">
        <f>IF(AE1471&lt;&gt;0,AG1471/AD1471,"N/A")</f>
        <v/>
      </c>
      <c r="AJ1471" s="27">
        <f>IF(AC1471="pendiente",AD1471,0)</f>
        <v/>
      </c>
      <c r="AK1471" s="170">
        <f>VLOOKUP(G1471,CLIENTES!B:D,3,FALSE)</f>
        <v/>
      </c>
    </row>
    <row r="1472" ht="15" customFormat="1" customHeight="1" s="170">
      <c r="B1472" s="169" t="n"/>
      <c r="C1472" s="170" t="inlineStr">
        <is>
          <t>c/ Las Cruzadas 3A, local D</t>
        </is>
      </c>
      <c r="D1472" s="170" t="inlineStr">
        <is>
          <t>Sevilla 41004</t>
        </is>
      </c>
      <c r="E1472" s="170" t="inlineStr">
        <is>
          <t>CIF B91938662</t>
        </is>
      </c>
      <c r="F1472" s="170" t="inlineStr">
        <is>
          <t>aBalados@abalados.es</t>
        </is>
      </c>
      <c r="G1472" s="170" t="inlineStr">
        <is>
          <t>Grijota Renovables, S.L.</t>
        </is>
      </c>
      <c r="H1472" s="170">
        <f>VLOOKUP($G1472,DATOS!$B:$E,2,FALSE)</f>
        <v/>
      </c>
      <c r="I1472" s="170">
        <f>VLOOKUP($G1472,DATOS!$B:$E,3,FALSE)</f>
        <v/>
      </c>
      <c r="J1472" s="170">
        <f>VLOOKUP($G1472,DATOS!$B:$E,4,FALSE)</f>
        <v/>
      </c>
      <c r="K1472" s="170" t="inlineStr">
        <is>
          <t>Contrato de Asset Management - Subestación Grijota</t>
        </is>
      </c>
      <c r="L1472" s="27" t="n"/>
      <c r="N1472" s="27" t="n"/>
      <c r="O1472" s="170" t="inlineStr">
        <is>
          <t>Fee Trimestral - 12Julio/30Septiembre 2022</t>
        </is>
      </c>
      <c r="P1472" s="27">
        <f>(1035*20/31) + 1035*2</f>
        <v/>
      </c>
      <c r="R1472" s="27" t="n"/>
      <c r="T1472" s="27" t="n"/>
      <c r="V1472" s="27" t="n"/>
      <c r="X1472" s="27" t="n"/>
      <c r="Z1472" s="27" t="n"/>
      <c r="AA1472" s="27" t="n"/>
      <c r="AB1472" s="171" t="inlineStr">
        <is>
          <t>ES11 0081 7069 2700 0122 7724</t>
        </is>
      </c>
      <c r="AC1472" s="170" t="inlineStr">
        <is>
          <t>pendiente</t>
        </is>
      </c>
      <c r="AD1472" s="27">
        <f>L1472+N1472+P1472+R1472+T1472+V1472+X1472+Z1472</f>
        <v/>
      </c>
      <c r="AE1472" s="27">
        <f>IF((LEFT(K1472,6))="Contab",L1472,0)</f>
        <v/>
      </c>
      <c r="AF1472" s="171">
        <f>VLOOKUP(G1472,CLIENTES!B:E,4,FALSE)</f>
        <v/>
      </c>
      <c r="AG1472" s="27">
        <f>AF1472*AE1472</f>
        <v/>
      </c>
      <c r="AH1472" s="27">
        <f>AD1472*1.21</f>
        <v/>
      </c>
      <c r="AI1472" s="172">
        <f>IF(AE1472&lt;&gt;0,AG1472/AD1472,"N/A")</f>
        <v/>
      </c>
      <c r="AJ1472" s="27">
        <f>IF(AC1472="pendiente",AD1472,0)</f>
        <v/>
      </c>
      <c r="AK1472" s="170">
        <f>VLOOKUP(G1472,CLIENTES!B:D,3,FALSE)</f>
        <v/>
      </c>
    </row>
    <row r="1473" ht="15" customFormat="1" customHeight="1" s="170">
      <c r="B1473" s="169" t="n"/>
      <c r="C1473" s="170" t="inlineStr">
        <is>
          <t>c/ Las Cruzadas 3A, local D</t>
        </is>
      </c>
      <c r="D1473" s="170" t="inlineStr">
        <is>
          <t>Sevilla 41004</t>
        </is>
      </c>
      <c r="E1473" s="170" t="inlineStr">
        <is>
          <t>CIF B91938662</t>
        </is>
      </c>
      <c r="F1473" s="170" t="inlineStr">
        <is>
          <t>aBalados@abalados.es</t>
        </is>
      </c>
      <c r="G1473" s="170" t="inlineStr">
        <is>
          <t>Cubillos Renovables 66kV, S.L.</t>
        </is>
      </c>
      <c r="H1473" s="170">
        <f>VLOOKUP($G1473,DATOS!$B:$E,2,FALSE)</f>
        <v/>
      </c>
      <c r="I1473" s="170">
        <f>VLOOKUP($G1473,DATOS!$B:$E,3,FALSE)</f>
        <v/>
      </c>
      <c r="J1473" s="170">
        <f>VLOOKUP($G1473,DATOS!$B:$E,4,FALSE)</f>
        <v/>
      </c>
      <c r="K1473" s="170" t="inlineStr">
        <is>
          <t>Contrato de Asset Management - Subestación Majuelo</t>
        </is>
      </c>
      <c r="L1473" s="27" t="n"/>
      <c r="N1473" s="27" t="n"/>
      <c r="O1473" s="170" t="inlineStr">
        <is>
          <t>Fee Trimestral - 1Agosto/30Septiembre 2022</t>
        </is>
      </c>
      <c r="P1473" s="27">
        <f>1173*2</f>
        <v/>
      </c>
      <c r="R1473" s="27" t="n"/>
      <c r="T1473" s="27" t="n"/>
      <c r="V1473" s="27" t="n"/>
      <c r="X1473" s="27" t="n"/>
      <c r="Z1473" s="27" t="n"/>
      <c r="AA1473" s="27" t="n"/>
      <c r="AB1473" s="171" t="inlineStr">
        <is>
          <t>ES11 0081 7069 2700 0122 7724</t>
        </is>
      </c>
      <c r="AC1473" s="170" t="inlineStr">
        <is>
          <t>pendiente</t>
        </is>
      </c>
      <c r="AD1473" s="27">
        <f>L1473+N1473+P1473+R1473+T1473+V1473+X1473+Z1473</f>
        <v/>
      </c>
      <c r="AE1473" s="27">
        <f>IF((LEFT(K1473,6))="Contab",L1473,0)</f>
        <v/>
      </c>
      <c r="AF1473" s="171">
        <f>VLOOKUP(G1473,CLIENTES!B:E,4,FALSE)</f>
        <v/>
      </c>
      <c r="AG1473" s="27">
        <f>AF1473*AE1473</f>
        <v/>
      </c>
      <c r="AH1473" s="27">
        <f>AD1473*1.21</f>
        <v/>
      </c>
      <c r="AI1473" s="172">
        <f>IF(AE1473&lt;&gt;0,AG1473/AD1473,"N/A")</f>
        <v/>
      </c>
      <c r="AJ1473" s="27">
        <f>IF(AC1473="pendiente",AD1473,0)</f>
        <v/>
      </c>
      <c r="AK1473" s="170">
        <f>VLOOKUP(G1473,CLIENTES!B:D,3,FALSE)</f>
        <v/>
      </c>
    </row>
    <row r="1474" ht="15" customFormat="1" customHeight="1" s="170">
      <c r="B1474" s="169" t="n"/>
      <c r="C1474" s="170" t="inlineStr">
        <is>
          <t>c/ Las Cruzadas 3A, local D</t>
        </is>
      </c>
      <c r="D1474" s="170" t="inlineStr">
        <is>
          <t>Sevilla 41004</t>
        </is>
      </c>
      <c r="E1474" s="170" t="inlineStr">
        <is>
          <t>CIF B91938662</t>
        </is>
      </c>
      <c r="F1474" s="170" t="inlineStr">
        <is>
          <t>aBalados@abalados.es</t>
        </is>
      </c>
      <c r="G1474" s="170" t="inlineStr">
        <is>
          <t>China Triumph International Engineering Co., LTD EP EN SPAIN</t>
        </is>
      </c>
      <c r="H1474" s="170">
        <f>VLOOKUP($G1474,DATOS!$B:$E,2,FALSE)</f>
        <v/>
      </c>
      <c r="I1474" s="170">
        <f>VLOOKUP($G1474,DATOS!$B:$E,3,FALSE)</f>
        <v/>
      </c>
      <c r="J1474" s="170">
        <f>VLOOKUP($G1474,DATOS!$B:$E,4,FALSE)</f>
        <v/>
      </c>
      <c r="K1474" s="170" t="inlineStr">
        <is>
          <t>O&amp;M Supervision and Management</t>
        </is>
      </c>
      <c r="L1474" s="27" t="n"/>
      <c r="N1474" s="27" t="n"/>
      <c r="O1474" s="170" t="inlineStr">
        <is>
          <t>Puerto Real 1 PV - Cádiz | Spain</t>
        </is>
      </c>
      <c r="P1474" s="27" t="n">
        <v>8700</v>
      </c>
      <c r="Q1474" s="170" t="inlineStr">
        <is>
          <t>Setup and project implementation</t>
        </is>
      </c>
      <c r="R1474" s="27" t="n"/>
      <c r="T1474" s="27" t="n"/>
      <c r="V1474" s="27" t="n"/>
      <c r="X1474" s="27" t="n"/>
      <c r="Z1474" s="27" t="n"/>
      <c r="AA1474" s="27" t="n"/>
      <c r="AB1474" s="171" t="inlineStr">
        <is>
          <t>ES11 0081 7069 2700 0122 7724</t>
        </is>
      </c>
      <c r="AC1474" s="170" t="inlineStr">
        <is>
          <t>pendiente</t>
        </is>
      </c>
      <c r="AD1474" s="27">
        <f>L1474+N1474+P1474+R1474+T1474+V1474+X1474+Z1474</f>
        <v/>
      </c>
      <c r="AE1474" s="27">
        <f>IF((LEFT(K1474,6))="Contab",L1474,0)</f>
        <v/>
      </c>
      <c r="AF1474" s="171">
        <f>VLOOKUP(G1474,CLIENTES!B:E,4,FALSE)</f>
        <v/>
      </c>
      <c r="AG1474" s="27">
        <f>AF1474*AE1474</f>
        <v/>
      </c>
      <c r="AH1474" s="27">
        <f>AD1474*1.21</f>
        <v/>
      </c>
      <c r="AI1474" s="172">
        <f>IF(AE1474&lt;&gt;0,AG1474/AD1474,"N/A")</f>
        <v/>
      </c>
      <c r="AJ1474" s="27">
        <f>IF(AC1474="pendiente",AD1474,0)</f>
        <v/>
      </c>
      <c r="AK1474" s="170">
        <f>VLOOKUP(G1474,CLIENTES!B:D,3,FALSE)</f>
        <v/>
      </c>
    </row>
    <row r="1475" ht="15" customFormat="1" customHeight="1" s="170">
      <c r="A1475" s="234" t="n"/>
      <c r="B1475" s="235" t="n"/>
      <c r="C1475" s="234" t="inlineStr">
        <is>
          <t>c/ Las Cruzadas 3A, local D</t>
        </is>
      </c>
      <c r="D1475" s="234" t="inlineStr">
        <is>
          <t>Sevilla 41004</t>
        </is>
      </c>
      <c r="E1475" s="234" t="inlineStr">
        <is>
          <t>CIF B91938662</t>
        </is>
      </c>
      <c r="F1475" s="234" t="inlineStr">
        <is>
          <t>aBalados@abalados.es</t>
        </is>
      </c>
      <c r="G1475" s="234" t="inlineStr">
        <is>
          <t>China Triumph International Engineering Co., LTD EP EN SPAIN</t>
        </is>
      </c>
      <c r="H1475" s="234">
        <f>VLOOKUP($G1475,DATOS!$B:$E,2,FALSE)</f>
        <v/>
      </c>
      <c r="I1475" s="234">
        <f>VLOOKUP($G1475,DATOS!$B:$E,3,FALSE)</f>
        <v/>
      </c>
      <c r="J1475" s="234">
        <f>VLOOKUP($G1475,DATOS!$B:$E,4,FALSE)</f>
        <v/>
      </c>
      <c r="K1475" s="234" t="inlineStr">
        <is>
          <t>O&amp;M Supervision and Management</t>
        </is>
      </c>
      <c r="L1475" s="236" t="n"/>
      <c r="M1475" s="234" t="n"/>
      <c r="N1475" s="236" t="n"/>
      <c r="O1475" s="234" t="inlineStr">
        <is>
          <t>Puerto Real 1 PV - Cádiz | Spain</t>
        </is>
      </c>
      <c r="P1475" s="236" t="n">
        <v>15430</v>
      </c>
      <c r="Q1475" s="234" t="inlineStr">
        <is>
          <t>O&amp;M Management services provided on September 2021</t>
        </is>
      </c>
      <c r="R1475" s="236" t="n"/>
      <c r="S1475" s="234" t="n"/>
      <c r="T1475" s="236" t="n"/>
      <c r="U1475" s="234" t="n"/>
      <c r="V1475" s="236" t="n"/>
      <c r="W1475" s="234" t="n"/>
      <c r="X1475" s="236" t="n"/>
      <c r="Y1475" s="234" t="n"/>
      <c r="Z1475" s="236" t="n"/>
      <c r="AA1475" s="236" t="n"/>
      <c r="AB1475" s="237" t="inlineStr">
        <is>
          <t>ES11 0081 7069 2700 0122 7724</t>
        </is>
      </c>
      <c r="AC1475" s="234" t="inlineStr">
        <is>
          <t>pendiente</t>
        </is>
      </c>
      <c r="AD1475" s="236">
        <f>L1475+N1475+P1475+R1475+T1475+V1475+X1475+Z1475</f>
        <v/>
      </c>
      <c r="AE1475" s="236">
        <f>IF((LEFT(K1475,6))="Contab",L1475,0)</f>
        <v/>
      </c>
      <c r="AF1475" s="237">
        <f>VLOOKUP(G1475,CLIENTES!B:E,4,FALSE)</f>
        <v/>
      </c>
      <c r="AG1475" s="236">
        <f>AF1475*AE1475</f>
        <v/>
      </c>
      <c r="AH1475" s="236">
        <f>AD1475*1.21</f>
        <v/>
      </c>
      <c r="AI1475" s="238">
        <f>IF(AE1475&lt;&gt;0,AG1475/AD1475,"N/A")</f>
        <v/>
      </c>
      <c r="AJ1475" s="236">
        <f>IF(AC1475="pendiente",AD1475,0)</f>
        <v/>
      </c>
      <c r="AK1475" s="234">
        <f>VLOOKUP(G1475,CLIENTES!B:D,3,FALSE)</f>
        <v/>
      </c>
      <c r="AL1475" s="234" t="n"/>
    </row>
    <row r="1476" ht="15" customFormat="1" customHeight="1" s="170">
      <c r="B1476" s="169" t="n"/>
      <c r="C1476" s="170" t="inlineStr">
        <is>
          <t>c/ Las Cruzadas 3A, local D</t>
        </is>
      </c>
      <c r="D1476" s="170" t="inlineStr">
        <is>
          <t>Sevilla 41004</t>
        </is>
      </c>
      <c r="E1476" s="170" t="inlineStr">
        <is>
          <t>CIF B91938662</t>
        </is>
      </c>
      <c r="F1476" s="170" t="inlineStr">
        <is>
          <t>aBalados@abalados.es</t>
        </is>
      </c>
      <c r="G1476" s="170" t="inlineStr">
        <is>
          <t>Dehesa Asomadilla Inversiones S.L.U.</t>
        </is>
      </c>
      <c r="H1476" s="170">
        <f>VLOOKUP($G1476,DATOS!$B:$E,2,FALSE)</f>
        <v/>
      </c>
      <c r="I1476" s="170">
        <f>VLOOKUP($G1476,DATOS!$B:$E,3,FALSE)</f>
        <v/>
      </c>
      <c r="J1476" s="170">
        <f>VLOOKUP($G1476,DATOS!$B:$E,4,FALSE)</f>
        <v/>
      </c>
      <c r="K1476" s="170" t="inlineStr">
        <is>
          <t>Contabilidad y Fiscalidad de proyecto Valverde - 4º Trimestre</t>
        </is>
      </c>
      <c r="L1476" s="27">
        <f>'Tarifa 2025'!$D$5/4</f>
        <v/>
      </c>
      <c r="M1476" s="170" t="inlineStr">
        <is>
          <t>SPV Management  Proyecto Valverde - 4º Trimestre</t>
        </is>
      </c>
      <c r="N1476" s="27">
        <f>'Tarifa 2025'!$F$5/4</f>
        <v/>
      </c>
      <c r="O1476" s="170" t="inlineStr">
        <is>
          <t>O&amp;M Management Proyecto Valverde - 4º Trimestre</t>
        </is>
      </c>
      <c r="P1476" s="27">
        <f>'Tarifa 2025'!$H$5/4</f>
        <v/>
      </c>
      <c r="Q1476" s="170" t="inlineStr">
        <is>
          <t>Consultoría - 4º Trimestre</t>
        </is>
      </c>
      <c r="R1476" s="27">
        <f>'Tarifa 2025'!$J$5/4</f>
        <v/>
      </c>
      <c r="T1476" s="27" t="n"/>
      <c r="V1476" s="27" t="n"/>
      <c r="X1476" s="27" t="n"/>
      <c r="Y1476" s="170" t="inlineStr">
        <is>
          <t>Gastos derivados de contrato (3,5%)</t>
        </is>
      </c>
      <c r="Z1476" s="27">
        <f>(L1476+N1476+P1476+R1476+T1476+V1476+X1476)*0.035</f>
        <v/>
      </c>
      <c r="AA1476" s="27" t="n"/>
      <c r="AB1476" s="171" t="inlineStr">
        <is>
          <t>ES11 0081 7069 2700 0122 7724</t>
        </is>
      </c>
      <c r="AC1476" s="170" t="inlineStr">
        <is>
          <t>pendiente</t>
        </is>
      </c>
      <c r="AD1476" s="27">
        <f>L1476+N1476+P1476+R1476+T1476+V1476+X1476+Z1476</f>
        <v/>
      </c>
      <c r="AE1476" s="27">
        <f>IF((LEFT(K1476,6))="Contab",L1476,0)</f>
        <v/>
      </c>
      <c r="AF1476" s="171">
        <f>VLOOKUP(G1476,CLIENTES!B:E,4,FALSE)</f>
        <v/>
      </c>
      <c r="AG1476" s="27">
        <f>AF1476*AE1476</f>
        <v/>
      </c>
      <c r="AH1476" s="27">
        <f>AD1476*1.21</f>
        <v/>
      </c>
      <c r="AI1476" s="172">
        <f>IF(AE1476&lt;&gt;0,AG1476/AD1476,"N/A")</f>
        <v/>
      </c>
      <c r="AJ1476" s="27">
        <f>IF(AC1476="pendiente",AD1476,0)</f>
        <v/>
      </c>
      <c r="AK1476" s="170">
        <f>VLOOKUP(G1476,CLIENTES!B:D,3,FALSE)</f>
        <v/>
      </c>
    </row>
    <row r="1477" ht="15" customFormat="1" customHeight="1" s="170">
      <c r="B1477" s="169" t="n"/>
      <c r="C1477" s="170" t="inlineStr">
        <is>
          <t>c/ Las Cruzadas 3A, local D</t>
        </is>
      </c>
      <c r="D1477" s="170" t="inlineStr">
        <is>
          <t>Sevilla 41004</t>
        </is>
      </c>
      <c r="E1477" s="170" t="inlineStr">
        <is>
          <t>CIF B91938662</t>
        </is>
      </c>
      <c r="F1477" s="170" t="inlineStr">
        <is>
          <t>aBalados@abalados.es</t>
        </is>
      </c>
      <c r="G1477" s="170" t="inlineStr">
        <is>
          <t>Asomadilla Solar 2007 S.L.U.</t>
        </is>
      </c>
      <c r="H1477" s="170">
        <f>VLOOKUP($G1477,DATOS!$B:$E,2,FALSE)</f>
        <v/>
      </c>
      <c r="I1477" s="170">
        <f>VLOOKUP($G1477,DATOS!$B:$E,3,FALSE)</f>
        <v/>
      </c>
      <c r="J1477" s="170">
        <f>VLOOKUP($G1477,DATOS!$B:$E,4,FALSE)</f>
        <v/>
      </c>
      <c r="K1477" s="170" t="inlineStr">
        <is>
          <t>Contabilidad y Fiscalidad de proyecto Castuera - 4º Trimestre</t>
        </is>
      </c>
      <c r="L1477" s="27">
        <f>'Tarifa 2025'!$D$6/4</f>
        <v/>
      </c>
      <c r="M1477" s="170" t="inlineStr">
        <is>
          <t>SPV Management  Proyecto Castuera - 4º Trimestre</t>
        </is>
      </c>
      <c r="N1477" s="27">
        <f>'Tarifa 2025'!$F$6/4</f>
        <v/>
      </c>
      <c r="O1477" s="170" t="inlineStr">
        <is>
          <t>O&amp;M Management Proyecto Castuera - 4º Trimestre</t>
        </is>
      </c>
      <c r="P1477" s="27">
        <f>'Tarifa 2025'!$H$6/4</f>
        <v/>
      </c>
      <c r="Q1477" s="170" t="inlineStr">
        <is>
          <t>Consultoría - 4º Trimestre</t>
        </is>
      </c>
      <c r="R1477" s="27">
        <f>'Tarifa 2025'!$J$6/4</f>
        <v/>
      </c>
      <c r="T1477" s="27" t="n"/>
      <c r="V1477" s="27" t="n"/>
      <c r="X1477" s="27" t="n"/>
      <c r="Y1477" s="170" t="inlineStr">
        <is>
          <t>Gastos derivados de contrato (3,5%)</t>
        </is>
      </c>
      <c r="Z1477" s="27">
        <f>(L1477+N1477+P1477+R1477+T1477+V1477+X1477)*0.035</f>
        <v/>
      </c>
      <c r="AA1477" s="27" t="n"/>
      <c r="AB1477" s="171" t="inlineStr">
        <is>
          <t>ES11 0081 7069 2700 0122 7724</t>
        </is>
      </c>
      <c r="AC1477" s="170" t="inlineStr">
        <is>
          <t>pendiente</t>
        </is>
      </c>
      <c r="AD1477" s="27">
        <f>L1477+N1477+P1477+R1477+T1477+V1477+X1477+Z1477</f>
        <v/>
      </c>
      <c r="AE1477" s="27">
        <f>IF((LEFT(K1477,6))="Contab",L1477,0)</f>
        <v/>
      </c>
      <c r="AF1477" s="171">
        <f>VLOOKUP(G1477,CLIENTES!B:E,4,FALSE)</f>
        <v/>
      </c>
      <c r="AG1477" s="27">
        <f>AF1477*AE1477</f>
        <v/>
      </c>
      <c r="AH1477" s="27">
        <f>AD1477*1.21</f>
        <v/>
      </c>
      <c r="AI1477" s="172">
        <f>IF(AE1477&lt;&gt;0,AG1477/AD1477,"N/A")</f>
        <v/>
      </c>
      <c r="AJ1477" s="27">
        <f>IF(AC1477="pendiente",AD1477,0)</f>
        <v/>
      </c>
      <c r="AK1477" s="170">
        <f>VLOOKUP(G1477,CLIENTES!B:D,3,FALSE)</f>
        <v/>
      </c>
    </row>
    <row r="1478" ht="15" customFormat="1" customHeight="1" s="170">
      <c r="B1478" s="169" t="n"/>
      <c r="C1478" s="170" t="inlineStr">
        <is>
          <t>c/ Las Cruzadas 3A, local D</t>
        </is>
      </c>
      <c r="D1478" s="170" t="inlineStr">
        <is>
          <t>Sevilla 41004</t>
        </is>
      </c>
      <c r="E1478" s="170" t="inlineStr">
        <is>
          <t>CIF B91938662</t>
        </is>
      </c>
      <c r="F1478" s="170" t="inlineStr">
        <is>
          <t>aBalados@abalados.es</t>
        </is>
      </c>
      <c r="G1478" s="170" t="inlineStr">
        <is>
          <t>Inversión Cubiertas Solares S.L.U.</t>
        </is>
      </c>
      <c r="H1478" s="170">
        <f>VLOOKUP($G1478,DATOS!$B:$E,2,FALSE)</f>
        <v/>
      </c>
      <c r="I1478" s="170">
        <f>VLOOKUP($G1478,DATOS!$B:$E,3,FALSE)</f>
        <v/>
      </c>
      <c r="J1478" s="170">
        <f>VLOOKUP($G1478,DATOS!$B:$E,4,FALSE)</f>
        <v/>
      </c>
      <c r="K1478" s="170" t="inlineStr">
        <is>
          <t>Contabilidad y Fiscalidad de proyecto Paiporta - 4º Trimestre</t>
        </is>
      </c>
      <c r="L1478" s="27">
        <f>'Tarifa 2025'!$D$7/4</f>
        <v/>
      </c>
      <c r="M1478" s="170" t="inlineStr">
        <is>
          <t>SPV Management  Proyecto Paiporta - 4º Trimestre</t>
        </is>
      </c>
      <c r="N1478" s="27">
        <f>'Tarifa 2025'!$F$7/4</f>
        <v/>
      </c>
      <c r="O1478" s="170" t="inlineStr">
        <is>
          <t>O&amp;M Management Proyecto Paiporta - 4º Trimestre</t>
        </is>
      </c>
      <c r="P1478" s="27">
        <f>'Tarifa 2025'!$H$7/4</f>
        <v/>
      </c>
      <c r="Q1478" s="170" t="inlineStr">
        <is>
          <t>Consultoría - 4º Trimestre</t>
        </is>
      </c>
      <c r="R1478" s="27">
        <f>'Tarifa 2025'!$J$7/4</f>
        <v/>
      </c>
      <c r="T1478" s="27" t="n"/>
      <c r="V1478" s="27" t="n"/>
      <c r="X1478" s="27" t="n"/>
      <c r="Y1478" s="170" t="inlineStr">
        <is>
          <t>Gastos derivados de contrato (3,5%)</t>
        </is>
      </c>
      <c r="Z1478" s="27">
        <f>(L1478+N1478+P1478+R1478+T1478+V1478+X1478)*0.035</f>
        <v/>
      </c>
      <c r="AA1478" s="27" t="n"/>
      <c r="AB1478" s="171" t="inlineStr">
        <is>
          <t>ES11 0081 7069 2700 0122 7724</t>
        </is>
      </c>
      <c r="AC1478" s="170" t="inlineStr">
        <is>
          <t>pendiente</t>
        </is>
      </c>
      <c r="AD1478" s="27">
        <f>L1478+N1478+P1478+R1478+T1478+V1478+X1478+Z1478</f>
        <v/>
      </c>
      <c r="AE1478" s="27">
        <f>IF((LEFT(K1478,6))="Contab",L1478,0)</f>
        <v/>
      </c>
      <c r="AF1478" s="171">
        <f>VLOOKUP(G1478,CLIENTES!B:E,4,FALSE)</f>
        <v/>
      </c>
      <c r="AG1478" s="27">
        <f>AF1478*AE1478</f>
        <v/>
      </c>
      <c r="AH1478" s="27">
        <f>AD1478*1.21</f>
        <v/>
      </c>
      <c r="AI1478" s="172">
        <f>IF(AE1478&lt;&gt;0,AG1478/AD1478,"N/A")</f>
        <v/>
      </c>
      <c r="AJ1478" s="27">
        <f>IF(AC1478="pendiente",AD1478,0)</f>
        <v/>
      </c>
      <c r="AK1478" s="170">
        <f>VLOOKUP(G1478,CLIENTES!B:D,3,FALSE)</f>
        <v/>
      </c>
    </row>
    <row r="1479" ht="15" customFormat="1" customHeight="1" s="170">
      <c r="B1479" s="169" t="n"/>
      <c r="C1479" s="170" t="inlineStr">
        <is>
          <t>c/ Las Cruzadas 3A, local D</t>
        </is>
      </c>
      <c r="D1479" s="170" t="inlineStr">
        <is>
          <t>Sevilla 41004</t>
        </is>
      </c>
      <c r="E1479" s="170" t="inlineStr">
        <is>
          <t>CIF B91938662</t>
        </is>
      </c>
      <c r="F1479" s="170" t="inlineStr">
        <is>
          <t>aBalados@abalados.es</t>
        </is>
      </c>
      <c r="G1479" s="170" t="inlineStr">
        <is>
          <t>Lugec Inversión Solar S.L.U.</t>
        </is>
      </c>
      <c r="H1479" s="170">
        <f>VLOOKUP($G1479,DATOS!$B:$E,2,FALSE)</f>
        <v/>
      </c>
      <c r="I1479" s="170">
        <f>VLOOKUP($G1479,DATOS!$B:$E,3,FALSE)</f>
        <v/>
      </c>
      <c r="J1479" s="170">
        <f>VLOOKUP($G1479,DATOS!$B:$E,4,FALSE)</f>
        <v/>
      </c>
      <c r="K1479" s="170" t="inlineStr">
        <is>
          <t>Contabilidad y Fiscalidad de proyecto Bonaire - 4º Trimestre</t>
        </is>
      </c>
      <c r="L1479" s="27">
        <f>'Tarifa 2025'!$D$8/4</f>
        <v/>
      </c>
      <c r="M1479" s="170" t="inlineStr">
        <is>
          <t>SPV Management  Proyecto Bonaire - 4º Trimestre</t>
        </is>
      </c>
      <c r="N1479" s="27">
        <f>'Tarifa 2025'!$F$8/4</f>
        <v/>
      </c>
      <c r="O1479" s="170" t="inlineStr">
        <is>
          <t>O&amp;M Management Proyecto Bonaire - 4º Trimestre</t>
        </is>
      </c>
      <c r="P1479" s="27">
        <f>'Tarifa 2025'!$H$8/4</f>
        <v/>
      </c>
      <c r="Q1479" s="170" t="inlineStr">
        <is>
          <t>Consultoría - 4º Trimestre</t>
        </is>
      </c>
      <c r="R1479" s="27">
        <f>'Tarifa 2025'!$J$8/4</f>
        <v/>
      </c>
      <c r="T1479" s="27" t="n"/>
      <c r="V1479" s="27" t="n"/>
      <c r="X1479" s="27" t="n"/>
      <c r="Y1479" s="170" t="inlineStr">
        <is>
          <t>Gastos derivados de contrato (3,5%)</t>
        </is>
      </c>
      <c r="Z1479" s="27">
        <f>(L1479+N1479+P1479+R1479+T1479+V1479+X1479)*0.035</f>
        <v/>
      </c>
      <c r="AA1479" s="27" t="n"/>
      <c r="AB1479" s="171" t="inlineStr">
        <is>
          <t>ES11 0081 7069 2700 0122 7724</t>
        </is>
      </c>
      <c r="AC1479" s="170" t="inlineStr">
        <is>
          <t>pendiente</t>
        </is>
      </c>
      <c r="AD1479" s="27">
        <f>L1479+N1479+P1479+R1479+T1479+V1479+X1479+Z1479</f>
        <v/>
      </c>
      <c r="AE1479" s="27">
        <f>IF((LEFT(K1479,6))="Contab",L1479,0)</f>
        <v/>
      </c>
      <c r="AF1479" s="171">
        <f>VLOOKUP(G1479,CLIENTES!B:E,4,FALSE)</f>
        <v/>
      </c>
      <c r="AG1479" s="27">
        <f>AF1479*AE1479</f>
        <v/>
      </c>
      <c r="AH1479" s="27">
        <f>AD1479*1.21</f>
        <v/>
      </c>
      <c r="AI1479" s="172">
        <f>IF(AE1479&lt;&gt;0,AG1479/AD1479,"N/A")</f>
        <v/>
      </c>
      <c r="AJ1479" s="27">
        <f>IF(AC1479="pendiente",AD1479,0)</f>
        <v/>
      </c>
      <c r="AK1479" s="170">
        <f>VLOOKUP(G1479,CLIENTES!B:D,3,FALSE)</f>
        <v/>
      </c>
    </row>
    <row r="1480" ht="15" customFormat="1" customHeight="1" s="170">
      <c r="B1480" s="169" t="n"/>
      <c r="C1480" s="170" t="inlineStr">
        <is>
          <t>c/ Las Cruzadas 3A, local D</t>
        </is>
      </c>
      <c r="D1480" s="170" t="inlineStr">
        <is>
          <t>Sevilla 41004</t>
        </is>
      </c>
      <c r="E1480" s="170" t="inlineStr">
        <is>
          <t>CIF B91938662</t>
        </is>
      </c>
      <c r="F1480" s="170" t="inlineStr">
        <is>
          <t>aBalados@abalados.es</t>
        </is>
      </c>
      <c r="G1480" s="170" t="inlineStr">
        <is>
          <t>LOCABA SOLAR S.L.U.</t>
        </is>
      </c>
      <c r="H1480" s="170">
        <f>VLOOKUP($G1480,DATOS!$B:$E,2,FALSE)</f>
        <v/>
      </c>
      <c r="I1480" s="170">
        <f>VLOOKUP($G1480,DATOS!$B:$E,3,FALSE)</f>
        <v/>
      </c>
      <c r="J1480" s="170">
        <f>VLOOKUP($G1480,DATOS!$B:$E,4,FALSE)</f>
        <v/>
      </c>
      <c r="K1480" s="170" t="inlineStr">
        <is>
          <t>Contabilidad y Fiscalidad de proyecto Coreses - 4º Trimestre</t>
        </is>
      </c>
      <c r="L1480" s="27">
        <f>'Tarifa 2025'!$D$9/4</f>
        <v/>
      </c>
      <c r="M1480" s="170" t="inlineStr">
        <is>
          <t>SPV Management  Proyecto Coreses - 4º Trimestre</t>
        </is>
      </c>
      <c r="N1480" s="27">
        <f>'Tarifa 2025'!$F$9/4</f>
        <v/>
      </c>
      <c r="O1480" s="170" t="inlineStr">
        <is>
          <t>O&amp;M Management Proyecto Coreses - 4º Trimestre</t>
        </is>
      </c>
      <c r="P1480" s="27">
        <f>'Tarifa 2025'!$H$9/4</f>
        <v/>
      </c>
      <c r="Q1480" s="170" t="inlineStr">
        <is>
          <t>Consultoría - 4º Trimestre</t>
        </is>
      </c>
      <c r="R1480" s="27">
        <f>'Tarifa 2025'!$J$9/4</f>
        <v/>
      </c>
      <c r="T1480" s="27" t="n"/>
      <c r="V1480" s="27" t="n"/>
      <c r="X1480" s="27" t="n"/>
      <c r="Y1480" s="170" t="inlineStr">
        <is>
          <t>Gastos derivados de contrato (3,5%)</t>
        </is>
      </c>
      <c r="Z1480" s="27">
        <f>(L1480+N1480+P1480+R1480+T1480+V1480+X1480)*0.035</f>
        <v/>
      </c>
      <c r="AA1480" s="27" t="n"/>
      <c r="AB1480" s="171" t="inlineStr">
        <is>
          <t>ES11 0081 7069 2700 0122 7724</t>
        </is>
      </c>
      <c r="AC1480" s="170" t="inlineStr">
        <is>
          <t>pendiente</t>
        </is>
      </c>
      <c r="AD1480" s="27">
        <f>L1480+N1480+P1480+R1480+T1480+V1480+X1480+Z1480</f>
        <v/>
      </c>
      <c r="AE1480" s="27">
        <f>IF((LEFT(K1480,6))="Contab",L1480,0)</f>
        <v/>
      </c>
      <c r="AF1480" s="171">
        <f>VLOOKUP(G1480,CLIENTES!B:E,4,FALSE)</f>
        <v/>
      </c>
      <c r="AG1480" s="27">
        <f>AF1480*AE1480</f>
        <v/>
      </c>
      <c r="AH1480" s="27">
        <f>AD1480*1.21</f>
        <v/>
      </c>
      <c r="AI1480" s="172">
        <f>IF(AE1480&lt;&gt;0,AG1480/AD1480,"N/A")</f>
        <v/>
      </c>
      <c r="AJ1480" s="27">
        <f>IF(AC1480="pendiente",AD1480,0)</f>
        <v/>
      </c>
      <c r="AK1480" s="170">
        <f>VLOOKUP(G1480,CLIENTES!B:D,3,FALSE)</f>
        <v/>
      </c>
    </row>
    <row r="1481" ht="15" customFormat="1" customHeight="1" s="170">
      <c r="B1481" s="169" t="n"/>
      <c r="C1481" s="170" t="inlineStr">
        <is>
          <t>c/ Las Cruzadas 3A, local D</t>
        </is>
      </c>
      <c r="D1481" s="170" t="inlineStr">
        <is>
          <t>Sevilla 41004</t>
        </is>
      </c>
      <c r="E1481" s="170" t="inlineStr">
        <is>
          <t>CIF B91938662</t>
        </is>
      </c>
      <c r="F1481" s="170" t="inlineStr">
        <is>
          <t>aBalados@abalados.es</t>
        </is>
      </c>
      <c r="G1481" s="170" t="inlineStr">
        <is>
          <t>Agrupación Solar el Algarrobo I, S.L.U.</t>
        </is>
      </c>
      <c r="H1481" s="170">
        <f>VLOOKUP($G1481,DATOS!$B:$E,2,FALSE)</f>
        <v/>
      </c>
      <c r="I1481" s="170">
        <f>VLOOKUP($G1481,DATOS!$B:$E,3,FALSE)</f>
        <v/>
      </c>
      <c r="J1481" s="170">
        <f>VLOOKUP($G1481,DATOS!$B:$E,4,FALSE)</f>
        <v/>
      </c>
      <c r="K1481" s="170" t="inlineStr">
        <is>
          <t>Contabilidad y Fiscalidad de proyecto Algarrobo I - 4º Trimestre</t>
        </is>
      </c>
      <c r="L1481" s="27">
        <f>'Tarifa 2025'!$D$12*1.89/5.49/4</f>
        <v/>
      </c>
      <c r="M1481" s="170" t="inlineStr">
        <is>
          <t>SPV Management  Proyecto Algarrobo I -  4º Trimestre</t>
        </is>
      </c>
      <c r="N1481" s="27">
        <f>'Tarifa 2025'!$F$12*1.89/5.49/4</f>
        <v/>
      </c>
      <c r="O1481" s="170" t="inlineStr">
        <is>
          <t>O&amp;M Management Proyecto Algarrobo I - 4º Trimestre</t>
        </is>
      </c>
      <c r="P1481" s="27">
        <f>'Tarifa 2025'!$H$12*1.89/5.49/4</f>
        <v/>
      </c>
      <c r="Q1481" s="170" t="inlineStr">
        <is>
          <t>Consultoría - 4º Trimestre</t>
        </is>
      </c>
      <c r="R1481" s="27">
        <f>'Tarifas 2016'!$K$12*3*(1.89/(1.89+1.89+1.71))</f>
        <v/>
      </c>
      <c r="T1481" s="27" t="n"/>
      <c r="V1481" s="27" t="n"/>
      <c r="X1481" s="27" t="n"/>
      <c r="Y1481" s="170" t="inlineStr">
        <is>
          <t>Gastos derivados de contrato (3,5%)</t>
        </is>
      </c>
      <c r="Z1481" s="27">
        <f>(L1481+N1481+P1481+R1481+T1481+V1481+X1481)*0.035</f>
        <v/>
      </c>
      <c r="AA1481" s="27" t="n"/>
      <c r="AB1481" s="171" t="inlineStr">
        <is>
          <t>ES11 0081 7069 2700 0122 7724</t>
        </is>
      </c>
      <c r="AC1481" s="170" t="inlineStr">
        <is>
          <t>pendiente</t>
        </is>
      </c>
      <c r="AD1481" s="27">
        <f>L1481+N1481+P1481+R1481+T1481+V1481+X1481+Z1481</f>
        <v/>
      </c>
      <c r="AE1481" s="27">
        <f>IF((LEFT(K1481,6))="Contab",L1481,0)</f>
        <v/>
      </c>
      <c r="AF1481" s="171">
        <f>VLOOKUP(G1481,CLIENTES!B:E,4,FALSE)</f>
        <v/>
      </c>
      <c r="AG1481" s="27">
        <f>AF1481*AE1481</f>
        <v/>
      </c>
      <c r="AH1481" s="27">
        <f>AD1481*1.21</f>
        <v/>
      </c>
      <c r="AI1481" s="172">
        <f>IF(AE1481&lt;&gt;0,AG1481/AD1481,"N/A")</f>
        <v/>
      </c>
      <c r="AJ1481" s="27">
        <f>IF(AC1481="pendiente",AD1481,0)</f>
        <v/>
      </c>
      <c r="AK1481" s="170">
        <f>VLOOKUP(G1481,CLIENTES!B:D,3,FALSE)</f>
        <v/>
      </c>
    </row>
    <row r="1482" ht="15" customFormat="1" customHeight="1" s="170">
      <c r="B1482" s="169" t="n"/>
      <c r="C1482" s="170" t="inlineStr">
        <is>
          <t>c/ Las Cruzadas 3A, local D</t>
        </is>
      </c>
      <c r="D1482" s="170" t="inlineStr">
        <is>
          <t>Sevilla 41004</t>
        </is>
      </c>
      <c r="E1482" s="170" t="inlineStr">
        <is>
          <t>CIF B91938662</t>
        </is>
      </c>
      <c r="F1482" s="170" t="inlineStr">
        <is>
          <t>aBalados@abalados.es</t>
        </is>
      </c>
      <c r="G1482" s="170" t="inlineStr">
        <is>
          <t>Agrupación Solar el Algarrobo II, S.L.U.</t>
        </is>
      </c>
      <c r="H1482" s="170">
        <f>VLOOKUP($G1482,DATOS!$B:$E,2,FALSE)</f>
        <v/>
      </c>
      <c r="I1482" s="170">
        <f>VLOOKUP($G1482,DATOS!$B:$E,3,FALSE)</f>
        <v/>
      </c>
      <c r="J1482" s="170">
        <f>VLOOKUP($G1482,DATOS!$B:$E,4,FALSE)</f>
        <v/>
      </c>
      <c r="K1482" s="170" t="inlineStr">
        <is>
          <t>Contabilidad y Fiscalidad de proyecto Algarrobo II - 4º Trimestre</t>
        </is>
      </c>
      <c r="L1482" s="27">
        <f>'Tarifa 2025'!$D$12*1.89/5.49/4</f>
        <v/>
      </c>
      <c r="M1482" s="170" t="inlineStr">
        <is>
          <t>SPV Management  Proyecto Algarrobo II -  4º Trimestre</t>
        </is>
      </c>
      <c r="N1482" s="27">
        <f>'Tarifa 2025'!$F$12*1.89/5.49/4</f>
        <v/>
      </c>
      <c r="O1482" s="170" t="inlineStr">
        <is>
          <t>O&amp;M Management Proyecto Algarrobo II - 4º Trimestre</t>
        </is>
      </c>
      <c r="P1482" s="27">
        <f>'Tarifa 2025'!$H$12*1.89/5.49/4</f>
        <v/>
      </c>
      <c r="Q1482" s="170" t="inlineStr">
        <is>
          <t>Consultoría - 4º Trimestre</t>
        </is>
      </c>
      <c r="R1482" s="27">
        <f>'Tarifas 2016'!$K$12*3*(1.89/(1.89+1.89+1.71))</f>
        <v/>
      </c>
      <c r="T1482" s="27" t="n"/>
      <c r="V1482" s="27" t="n"/>
      <c r="X1482" s="27" t="n"/>
      <c r="Y1482" s="170" t="inlineStr">
        <is>
          <t>Gastos derivados de contrato (3,5%)</t>
        </is>
      </c>
      <c r="Z1482" s="27">
        <f>(L1482+N1482+P1482+R1482+T1482+V1482+X1482)*0.035</f>
        <v/>
      </c>
      <c r="AA1482" s="27" t="n"/>
      <c r="AB1482" s="171" t="inlineStr">
        <is>
          <t>ES11 0081 7069 2700 0122 7724</t>
        </is>
      </c>
      <c r="AC1482" s="170" t="inlineStr">
        <is>
          <t>pendiente</t>
        </is>
      </c>
      <c r="AD1482" s="27">
        <f>L1482+N1482+P1482+R1482+T1482+V1482+X1482+Z1482</f>
        <v/>
      </c>
      <c r="AE1482" s="27">
        <f>IF((LEFT(K1482,6))="Contab",L1482,0)</f>
        <v/>
      </c>
      <c r="AF1482" s="171">
        <f>VLOOKUP(G1482,CLIENTES!B:E,4,FALSE)</f>
        <v/>
      </c>
      <c r="AG1482" s="27">
        <f>AF1482*AE1482</f>
        <v/>
      </c>
      <c r="AH1482" s="27">
        <f>AD1482*1.21</f>
        <v/>
      </c>
      <c r="AI1482" s="172">
        <f>IF(AE1482&lt;&gt;0,AG1482/AD1482,"N/A")</f>
        <v/>
      </c>
      <c r="AJ1482" s="27">
        <f>IF(AC1482="pendiente",AD1482,0)</f>
        <v/>
      </c>
      <c r="AK1482" s="170">
        <f>VLOOKUP(G1482,CLIENTES!B:D,3,FALSE)</f>
        <v/>
      </c>
    </row>
    <row r="1483" ht="15" customFormat="1" customHeight="1" s="170">
      <c r="B1483" s="169" t="n"/>
      <c r="C1483" s="170" t="inlineStr">
        <is>
          <t>c/ Las Cruzadas 3A, local D</t>
        </is>
      </c>
      <c r="D1483" s="170" t="inlineStr">
        <is>
          <t>Sevilla 41004</t>
        </is>
      </c>
      <c r="E1483" s="170" t="inlineStr">
        <is>
          <t>CIF B91938662</t>
        </is>
      </c>
      <c r="F1483" s="170" t="inlineStr">
        <is>
          <t>aBalados@abalados.es</t>
        </is>
      </c>
      <c r="G1483" s="170" t="inlineStr">
        <is>
          <t>Agrupación Solar el Algarrobo III, S.L.U.</t>
        </is>
      </c>
      <c r="H1483" s="170">
        <f>VLOOKUP($G1483,DATOS!$B:$E,2,FALSE)</f>
        <v/>
      </c>
      <c r="I1483" s="170">
        <f>VLOOKUP($G1483,DATOS!$B:$E,3,FALSE)</f>
        <v/>
      </c>
      <c r="J1483" s="170">
        <f>VLOOKUP($G1483,DATOS!$B:$E,4,FALSE)</f>
        <v/>
      </c>
      <c r="K1483" s="170" t="inlineStr">
        <is>
          <t>Contabilidad y Fiscalidad de proyecto Algarrobo III - 4º Trimestre</t>
        </is>
      </c>
      <c r="L1483" s="27">
        <f>'Tarifa 2025'!$D$12*1.71/5.49/4</f>
        <v/>
      </c>
      <c r="M1483" s="170" t="inlineStr">
        <is>
          <t>SPV Management  Proyecto Algarrobo III -  4º Trimestre</t>
        </is>
      </c>
      <c r="N1483" s="27">
        <f>'Tarifa 2025'!$F$12*1.71/5.49/4</f>
        <v/>
      </c>
      <c r="O1483" s="170" t="inlineStr">
        <is>
          <t>O&amp;M Management Proyecto Algarrobo III - 4º Trimestre</t>
        </is>
      </c>
      <c r="P1483" s="27">
        <f>'Tarifa 2025'!$H$12*1.71/5.49/4</f>
        <v/>
      </c>
      <c r="Q1483" s="170" t="inlineStr">
        <is>
          <t>Consultoría - 4º Trimestre</t>
        </is>
      </c>
      <c r="R1483" s="27">
        <f>'Tarifas 2016'!$K$12*3*(1.71/(1.89+1.89+1.71))</f>
        <v/>
      </c>
      <c r="T1483" s="27" t="n"/>
      <c r="V1483" s="27" t="n"/>
      <c r="X1483" s="27" t="n"/>
      <c r="Y1483" s="170" t="inlineStr">
        <is>
          <t>Gastos derivados de contrato (3,5%)</t>
        </is>
      </c>
      <c r="Z1483" s="27">
        <f>(L1483+N1483+P1483+R1483+T1483+V1483+X1483)*0.035</f>
        <v/>
      </c>
      <c r="AA1483" s="27" t="n"/>
      <c r="AB1483" s="171" t="inlineStr">
        <is>
          <t>ES11 0081 7069 2700 0122 7724</t>
        </is>
      </c>
      <c r="AC1483" s="170" t="inlineStr">
        <is>
          <t>pendiente</t>
        </is>
      </c>
      <c r="AD1483" s="27">
        <f>L1483+N1483+P1483+R1483+T1483+V1483+X1483+Z1483</f>
        <v/>
      </c>
      <c r="AE1483" s="27">
        <f>IF((LEFT(K1483,6))="Contab",L1483,0)</f>
        <v/>
      </c>
      <c r="AF1483" s="171">
        <f>VLOOKUP(G1483,CLIENTES!B:E,4,FALSE)</f>
        <v/>
      </c>
      <c r="AG1483" s="27">
        <f>AF1483*AE1483</f>
        <v/>
      </c>
      <c r="AH1483" s="27">
        <f>AD1483*1.21</f>
        <v/>
      </c>
      <c r="AI1483" s="172">
        <f>IF(AE1483&lt;&gt;0,AG1483/AD1483,"N/A")</f>
        <v/>
      </c>
      <c r="AJ1483" s="27">
        <f>IF(AC1483="pendiente",AD1483,0)</f>
        <v/>
      </c>
      <c r="AK1483" s="170">
        <f>VLOOKUP(G1483,CLIENTES!B:D,3,FALSE)</f>
        <v/>
      </c>
    </row>
    <row r="1484" ht="15" customFormat="1" customHeight="1" s="170">
      <c r="B1484" s="169" t="n"/>
      <c r="C1484" s="170" t="inlineStr">
        <is>
          <t>c/ Las Cruzadas 3A, local D</t>
        </is>
      </c>
      <c r="D1484" s="170" t="inlineStr">
        <is>
          <t>Sevilla 41004</t>
        </is>
      </c>
      <c r="E1484" s="170" t="inlineStr">
        <is>
          <t>CIF B91938662</t>
        </is>
      </c>
      <c r="F1484" s="170" t="inlineStr">
        <is>
          <t>aBalados@abalados.es</t>
        </is>
      </c>
      <c r="G1484" s="170" t="inlineStr">
        <is>
          <t>WOC Fotovoltaica España Proyecto Sollana S.L.U.</t>
        </is>
      </c>
      <c r="H1484" s="170">
        <f>VLOOKUP($G1484,DATOS!$B:$E,2,FALSE)</f>
        <v/>
      </c>
      <c r="I1484" s="170">
        <f>VLOOKUP($G1484,DATOS!$B:$E,3,FALSE)</f>
        <v/>
      </c>
      <c r="J1484" s="170">
        <f>VLOOKUP($G1484,DATOS!$B:$E,4,FALSE)</f>
        <v/>
      </c>
      <c r="K1484" s="170" t="inlineStr">
        <is>
          <t>Contabilidad y Fiscalidad de proyecto Sollana - 4º Trimestre</t>
        </is>
      </c>
      <c r="L1484" s="27">
        <f>'Tarifa 2025'!$D$13/4</f>
        <v/>
      </c>
      <c r="M1484" s="170" t="inlineStr">
        <is>
          <t>SPV Management  Proyecto Sollana - 4º Trimestre</t>
        </is>
      </c>
      <c r="N1484" s="27">
        <f>'Tarifa 2025'!$F$13/4</f>
        <v/>
      </c>
      <c r="O1484" s="170" t="inlineStr">
        <is>
          <t>O&amp;M Management Proyecto Sollana - 4º Trimestre</t>
        </is>
      </c>
      <c r="P1484" s="27">
        <f>'Tarifa 2025'!$H$13/4</f>
        <v/>
      </c>
      <c r="Q1484" s="170" t="inlineStr">
        <is>
          <t>Consultoría - 4º Trimestre</t>
        </is>
      </c>
      <c r="R1484" s="27">
        <f>'Tarifa 2025'!$J$13/4</f>
        <v/>
      </c>
      <c r="T1484" s="27" t="n"/>
      <c r="V1484" s="27" t="n"/>
      <c r="X1484" s="27" t="n"/>
      <c r="Y1484" s="170" t="inlineStr">
        <is>
          <t>Gastos derivados de contrato (3,5%)</t>
        </is>
      </c>
      <c r="Z1484" s="27">
        <f>(L1484+N1484+P1484+R1484+T1484+V1484+X1484)*0.035</f>
        <v/>
      </c>
      <c r="AA1484" s="27" t="n"/>
      <c r="AB1484" s="171" t="inlineStr">
        <is>
          <t>ES11 0081 7069 2700 0122 7724</t>
        </is>
      </c>
      <c r="AC1484" s="170" t="inlineStr">
        <is>
          <t>pendiente</t>
        </is>
      </c>
      <c r="AD1484" s="27">
        <f>L1484+N1484+P1484+R1484+T1484+V1484+X1484+Z1484</f>
        <v/>
      </c>
      <c r="AE1484" s="27">
        <f>IF((LEFT(K1484,6))="Contab",L1484,0)</f>
        <v/>
      </c>
      <c r="AF1484" s="171">
        <f>VLOOKUP(G1484,CLIENTES!B:E,4,FALSE)</f>
        <v/>
      </c>
      <c r="AG1484" s="27">
        <f>AF1484*AE1484</f>
        <v/>
      </c>
      <c r="AH1484" s="27">
        <f>AD1484*1.21</f>
        <v/>
      </c>
      <c r="AI1484" s="172">
        <f>IF(AE1484&lt;&gt;0,AG1484/AD1484,"N/A")</f>
        <v/>
      </c>
      <c r="AJ1484" s="27">
        <f>IF(AC1484="pendiente",AD1484,0)</f>
        <v/>
      </c>
      <c r="AK1484" s="170">
        <f>VLOOKUP(G1484,CLIENTES!B:D,3,FALSE)</f>
        <v/>
      </c>
    </row>
    <row r="1485" ht="15" customFormat="1" customHeight="1" s="170">
      <c r="B1485" s="169" t="n"/>
      <c r="C1485" s="170" t="inlineStr">
        <is>
          <t>c/ Las Cruzadas 3A, local D</t>
        </is>
      </c>
      <c r="D1485" s="170" t="inlineStr">
        <is>
          <t>Sevilla 41004</t>
        </is>
      </c>
      <c r="E1485" s="170" t="inlineStr">
        <is>
          <t>CIF B91938662</t>
        </is>
      </c>
      <c r="F1485" s="170" t="inlineStr">
        <is>
          <t>aBalados@abalados.es</t>
        </is>
      </c>
      <c r="G1485" s="170" t="inlineStr">
        <is>
          <t>ES Garrovers Energía Solar S.L.U.</t>
        </is>
      </c>
      <c r="H1485" s="170">
        <f>VLOOKUP($G1485,DATOS!$B:$E,2,FALSE)</f>
        <v/>
      </c>
      <c r="I1485" s="170">
        <f>VLOOKUP($G1485,DATOS!$B:$E,3,FALSE)</f>
        <v/>
      </c>
      <c r="J1485" s="170">
        <f>VLOOKUP($G1485,DATOS!$B:$E,4,FALSE)</f>
        <v/>
      </c>
      <c r="K1485" s="170" t="inlineStr">
        <is>
          <t>Contabilidad y Fiscalidad de proyecto Artà - 4º Trimestre</t>
        </is>
      </c>
      <c r="L1485" s="27">
        <f>'Tarifa 2025'!$D$14/4</f>
        <v/>
      </c>
      <c r="M1485" s="170" t="inlineStr">
        <is>
          <t>SPV Management  Proyecto Artà - 4º Trimestre</t>
        </is>
      </c>
      <c r="N1485" s="27">
        <f>'Tarifa 2025'!$F$14/4</f>
        <v/>
      </c>
      <c r="O1485" s="170" t="inlineStr">
        <is>
          <t>O&amp;M Management Proyecto Artà - 4º Trimestre</t>
        </is>
      </c>
      <c r="P1485" s="27">
        <f>'Tarifa 2025'!$H$14/4</f>
        <v/>
      </c>
      <c r="Q1485" s="170" t="inlineStr">
        <is>
          <t>Consultoría - 4º Trimestre</t>
        </is>
      </c>
      <c r="R1485" s="27">
        <f>'Tarifa 2025'!$J$14/4</f>
        <v/>
      </c>
      <c r="T1485" s="27" t="n"/>
      <c r="V1485" s="27" t="n"/>
      <c r="X1485" s="27" t="n"/>
      <c r="Y1485" s="170" t="inlineStr">
        <is>
          <t>Gastos derivados de contrato (3,5%)</t>
        </is>
      </c>
      <c r="Z1485" s="27">
        <f>(L1485+N1485+P1485+R1485+T1485+V1485+X1485)*0.035</f>
        <v/>
      </c>
      <c r="AA1485" s="27" t="n"/>
      <c r="AB1485" s="171" t="inlineStr">
        <is>
          <t>ES11 0081 7069 2700 0122 7724</t>
        </is>
      </c>
      <c r="AC1485" s="170" t="inlineStr">
        <is>
          <t>pendiente</t>
        </is>
      </c>
      <c r="AD1485" s="27">
        <f>L1485+N1485+P1485+R1485+T1485+V1485+X1485+Z1485</f>
        <v/>
      </c>
      <c r="AE1485" s="27">
        <f>IF((LEFT(K1485,6))="Contab",L1485,0)</f>
        <v/>
      </c>
      <c r="AF1485" s="171">
        <f>VLOOKUP(G1485,CLIENTES!B:E,4,FALSE)</f>
        <v/>
      </c>
      <c r="AG1485" s="27">
        <f>AF1485*AE1485</f>
        <v/>
      </c>
      <c r="AH1485" s="27">
        <f>AD1485*1.21</f>
        <v/>
      </c>
      <c r="AI1485" s="172">
        <f>IF(AE1485&lt;&gt;0,AG1485/AD1485,"N/A")</f>
        <v/>
      </c>
      <c r="AJ1485" s="27">
        <f>IF(AC1485="pendiente",AD1485,0)</f>
        <v/>
      </c>
      <c r="AK1485" s="170">
        <f>VLOOKUP(G1485,CLIENTES!B:D,3,FALSE)</f>
        <v/>
      </c>
    </row>
    <row r="1486" ht="15" customFormat="1" customHeight="1" s="170">
      <c r="B1486" s="169" t="n"/>
      <c r="C1486" s="170" t="inlineStr">
        <is>
          <t>c/ Las Cruzadas 3A, local D</t>
        </is>
      </c>
      <c r="D1486" s="170" t="inlineStr">
        <is>
          <t>Sevilla 41004</t>
        </is>
      </c>
      <c r="E1486" s="170" t="inlineStr">
        <is>
          <t>CIF B91938662</t>
        </is>
      </c>
      <c r="F1486" s="170" t="inlineStr">
        <is>
          <t>aBalados@abalados.es</t>
        </is>
      </c>
      <c r="G1486" s="170" t="inlineStr">
        <is>
          <t>Contreras Parque Solar S.L.U.</t>
        </is>
      </c>
      <c r="H1486" s="170">
        <f>VLOOKUP($G1486,DATOS!$B:$E,2,FALSE)</f>
        <v/>
      </c>
      <c r="I1486" s="170">
        <f>VLOOKUP($G1486,DATOS!$B:$E,3,FALSE)</f>
        <v/>
      </c>
      <c r="J1486" s="170">
        <f>VLOOKUP($G1486,DATOS!$B:$E,4,FALSE)</f>
        <v/>
      </c>
      <c r="K1486" s="170" t="inlineStr">
        <is>
          <t>Contabilidad y Fiscalidad de proyecto Casa Roja - 4º Trimestre</t>
        </is>
      </c>
      <c r="L1486" s="27">
        <f>'Tarifa 2025'!$D$15/4</f>
        <v/>
      </c>
      <c r="M1486" s="170" t="inlineStr">
        <is>
          <t>SPV Management  Proyecto Contreras - 4º Trimestre</t>
        </is>
      </c>
      <c r="N1486" s="27">
        <f>'Tarifa 2025'!$F$15/4</f>
        <v/>
      </c>
      <c r="O1486" s="170" t="inlineStr">
        <is>
          <t>O&amp;M Management Proyecto Contreras - 4º Trimestre</t>
        </is>
      </c>
      <c r="P1486" s="27">
        <f>'Tarifa 2025'!$H$15/4</f>
        <v/>
      </c>
      <c r="Q1486" s="170" t="inlineStr">
        <is>
          <t>Consultoría - 4º Trimestre</t>
        </is>
      </c>
      <c r="R1486" s="27">
        <f>'Tarifa 2025'!$J$15/4</f>
        <v/>
      </c>
      <c r="T1486" s="27" t="n"/>
      <c r="V1486" s="27" t="n"/>
      <c r="X1486" s="27" t="n"/>
      <c r="Y1486" s="170" t="inlineStr">
        <is>
          <t>Gastos derivados de contrato (3,5%)</t>
        </is>
      </c>
      <c r="Z1486" s="27">
        <f>(L1486+N1486+P1486+R1486+T1486+V1486+X1486)*0.035</f>
        <v/>
      </c>
      <c r="AA1486" s="27" t="n"/>
      <c r="AB1486" s="171" t="inlineStr">
        <is>
          <t>ES11 0081 7069 2700 0122 7724</t>
        </is>
      </c>
      <c r="AC1486" s="170" t="inlineStr">
        <is>
          <t>pendiente</t>
        </is>
      </c>
      <c r="AD1486" s="27">
        <f>L1486+N1486+P1486+R1486+T1486+V1486+X1486+Z1486</f>
        <v/>
      </c>
      <c r="AE1486" s="27">
        <f>IF((LEFT(K1486,6))="Contab",L1486,0)</f>
        <v/>
      </c>
      <c r="AF1486" s="171">
        <f>VLOOKUP(G1486,CLIENTES!B:E,4,FALSE)</f>
        <v/>
      </c>
      <c r="AG1486" s="27">
        <f>AF1486*AE1486</f>
        <v/>
      </c>
      <c r="AH1486" s="27">
        <f>AD1486*1.21</f>
        <v/>
      </c>
      <c r="AI1486" s="172">
        <f>IF(AE1486&lt;&gt;0,AG1486/AD1486,"N/A")</f>
        <v/>
      </c>
      <c r="AJ1486" s="27">
        <f>IF(AC1486="pendiente",AD1486,0)</f>
        <v/>
      </c>
      <c r="AK1486" s="170">
        <f>VLOOKUP(G1486,CLIENTES!B:D,3,FALSE)</f>
        <v/>
      </c>
    </row>
    <row r="1487" ht="15" customFormat="1" customHeight="1" s="170">
      <c r="B1487" s="169" t="n"/>
      <c r="C1487" s="170" t="inlineStr">
        <is>
          <t>c/ Las Cruzadas 3A, local D</t>
        </is>
      </c>
      <c r="D1487" s="170" t="inlineStr">
        <is>
          <t>Sevilla 41004</t>
        </is>
      </c>
      <c r="E1487" s="170" t="inlineStr">
        <is>
          <t>CIF B91938662</t>
        </is>
      </c>
      <c r="F1487" s="170" t="inlineStr">
        <is>
          <t>aBalados@abalados.es</t>
        </is>
      </c>
      <c r="G1487" s="170" t="inlineStr">
        <is>
          <t>Lo Illán  Parque Solar S.L.U.</t>
        </is>
      </c>
      <c r="H1487" s="170">
        <f>VLOOKUP($G1487,DATOS!$B:$E,2,FALSE)</f>
        <v/>
      </c>
      <c r="I1487" s="170">
        <f>VLOOKUP($G1487,DATOS!$B:$E,3,FALSE)</f>
        <v/>
      </c>
      <c r="J1487" s="170">
        <f>VLOOKUP($G1487,DATOS!$B:$E,4,FALSE)</f>
        <v/>
      </c>
      <c r="K1487" s="170" t="inlineStr">
        <is>
          <t>Contabilidad y Fiscalidad de proyecto Casa Roja - 4º Trimestre</t>
        </is>
      </c>
      <c r="L1487" s="27">
        <f>'Tarifa 2025'!$D$16/4</f>
        <v/>
      </c>
      <c r="M1487" s="170" t="inlineStr">
        <is>
          <t>SPV Management  Proyecto Lo Illán - 4º Trimestre</t>
        </is>
      </c>
      <c r="N1487" s="27">
        <f>'Tarifa 2025'!$F$16/4</f>
        <v/>
      </c>
      <c r="O1487" s="170" t="inlineStr">
        <is>
          <t>O&amp;M Management Proyecto Lo Illán - 4º Trimestre</t>
        </is>
      </c>
      <c r="P1487" s="27">
        <f>'Tarifa 2025'!$H$16/4</f>
        <v/>
      </c>
      <c r="Q1487" s="170" t="inlineStr">
        <is>
          <t>Consultoría - 4º Trimestre</t>
        </is>
      </c>
      <c r="R1487" s="27">
        <f>'Tarifa 2025'!$J$16/4</f>
        <v/>
      </c>
      <c r="T1487" s="27" t="n"/>
      <c r="V1487" s="27" t="n"/>
      <c r="X1487" s="27" t="n"/>
      <c r="Y1487" s="170" t="inlineStr">
        <is>
          <t>Gastos derivados de contrato (3,5%)</t>
        </is>
      </c>
      <c r="Z1487" s="27">
        <f>(L1487+N1487+P1487+R1487+T1487+V1487+X1487)*0.035</f>
        <v/>
      </c>
      <c r="AA1487" s="27" t="n"/>
      <c r="AB1487" s="171" t="inlineStr">
        <is>
          <t>ES11 0081 7069 2700 0122 7724</t>
        </is>
      </c>
      <c r="AC1487" s="170" t="inlineStr">
        <is>
          <t>pendiente</t>
        </is>
      </c>
      <c r="AD1487" s="27">
        <f>L1487+N1487+P1487+R1487+T1487+V1487+X1487+Z1487</f>
        <v/>
      </c>
      <c r="AE1487" s="27">
        <f>IF((LEFT(K1487,6))="Contab",L1487,0)</f>
        <v/>
      </c>
      <c r="AF1487" s="171">
        <f>VLOOKUP(G1487,CLIENTES!B:E,4,FALSE)</f>
        <v/>
      </c>
      <c r="AG1487" s="27">
        <f>AF1487*AE1487</f>
        <v/>
      </c>
      <c r="AH1487" s="27">
        <f>AD1487*1.21</f>
        <v/>
      </c>
      <c r="AI1487" s="172">
        <f>IF(AE1487&lt;&gt;0,AG1487/AD1487,"N/A")</f>
        <v/>
      </c>
      <c r="AJ1487" s="27">
        <f>IF(AC1487="pendiente",AD1487,0)</f>
        <v/>
      </c>
      <c r="AK1487" s="170">
        <f>VLOOKUP(G1487,CLIENTES!B:D,3,FALSE)</f>
        <v/>
      </c>
    </row>
    <row r="1488" ht="15" customFormat="1" customHeight="1" s="170">
      <c r="B1488" s="169" t="n"/>
      <c r="C1488" s="170" t="inlineStr">
        <is>
          <t>c/ Las Cruzadas 3A, local D</t>
        </is>
      </c>
      <c r="D1488" s="170" t="inlineStr">
        <is>
          <t>Sevilla 41004</t>
        </is>
      </c>
      <c r="E1488" s="170" t="inlineStr">
        <is>
          <t>CIF B91938662</t>
        </is>
      </c>
      <c r="F1488" s="170" t="inlineStr">
        <is>
          <t>aBalados@abalados.es</t>
        </is>
      </c>
      <c r="G1488" s="170" t="inlineStr">
        <is>
          <t>Turbinto Parque Solar S.L.U.</t>
        </is>
      </c>
      <c r="H1488" s="170">
        <f>VLOOKUP($G1488,DATOS!$B:$E,2,FALSE)</f>
        <v/>
      </c>
      <c r="I1488" s="170">
        <f>VLOOKUP($G1488,DATOS!$B:$E,3,FALSE)</f>
        <v/>
      </c>
      <c r="J1488" s="170">
        <f>VLOOKUP($G1488,DATOS!$B:$E,4,FALSE)</f>
        <v/>
      </c>
      <c r="K1488" s="170" t="inlineStr">
        <is>
          <t>Contabilidad y Fiscalidad de proyecto Casa Roja - 4º Trimestre</t>
        </is>
      </c>
      <c r="L1488" s="27">
        <f>'Tarifa 2025'!$D$17/4</f>
        <v/>
      </c>
      <c r="M1488" s="170" t="inlineStr">
        <is>
          <t>SPV Management  Proyecto Turbinto - 4º Trimestre</t>
        </is>
      </c>
      <c r="N1488" s="27">
        <f>'Tarifa 2025'!$F$17/4</f>
        <v/>
      </c>
      <c r="O1488" s="170" t="inlineStr">
        <is>
          <t>O&amp;M Management Proyecto Turbinto - 4º Trimestre</t>
        </is>
      </c>
      <c r="P1488" s="27">
        <f>'Tarifa 2025'!$H$17/4</f>
        <v/>
      </c>
      <c r="Q1488" s="170" t="inlineStr">
        <is>
          <t>Consultoría - 4º Trimestre</t>
        </is>
      </c>
      <c r="R1488" s="27">
        <f>'Tarifa 2025'!$J$17/4</f>
        <v/>
      </c>
      <c r="T1488" s="27" t="n"/>
      <c r="V1488" s="27" t="n"/>
      <c r="X1488" s="27" t="n"/>
      <c r="Y1488" s="170" t="inlineStr">
        <is>
          <t>Gastos derivados de contrato (3,5%)</t>
        </is>
      </c>
      <c r="Z1488" s="27">
        <f>(L1488+N1488+P1488+R1488+T1488+V1488+X1488)*0.035</f>
        <v/>
      </c>
      <c r="AA1488" s="27" t="n"/>
      <c r="AB1488" s="171" t="inlineStr">
        <is>
          <t>ES11 0081 7069 2700 0122 7724</t>
        </is>
      </c>
      <c r="AC1488" s="170" t="inlineStr">
        <is>
          <t>pendiente</t>
        </is>
      </c>
      <c r="AD1488" s="27">
        <f>L1488+N1488+P1488+R1488+T1488+V1488+X1488+Z1488</f>
        <v/>
      </c>
      <c r="AE1488" s="27">
        <f>IF((LEFT(K1488,6))="Contab",L1488,0)</f>
        <v/>
      </c>
      <c r="AF1488" s="171">
        <f>VLOOKUP(G1488,CLIENTES!B:E,4,FALSE)</f>
        <v/>
      </c>
      <c r="AG1488" s="27">
        <f>AF1488*AE1488</f>
        <v/>
      </c>
      <c r="AH1488" s="27">
        <f>AD1488*1.21</f>
        <v/>
      </c>
      <c r="AI1488" s="172">
        <f>IF(AE1488&lt;&gt;0,AG1488/AD1488,"N/A")</f>
        <v/>
      </c>
      <c r="AJ1488" s="27">
        <f>IF(AC1488="pendiente",AD1488,0)</f>
        <v/>
      </c>
      <c r="AK1488" s="170">
        <f>VLOOKUP(G1488,CLIENTES!B:D,3,FALSE)</f>
        <v/>
      </c>
    </row>
    <row r="1489" ht="15" customFormat="1" customHeight="1" s="170">
      <c r="B1489" s="169" t="n"/>
      <c r="C1489" s="170" t="inlineStr">
        <is>
          <t>c/ Las Cruzadas 3A, local D</t>
        </is>
      </c>
      <c r="D1489" s="170" t="inlineStr">
        <is>
          <t>Sevilla 41004</t>
        </is>
      </c>
      <c r="E1489" s="170" t="inlineStr">
        <is>
          <t>CIF B91938662</t>
        </is>
      </c>
      <c r="F1489" s="170" t="inlineStr">
        <is>
          <t>aBalados@abalados.es</t>
        </is>
      </c>
      <c r="G1489" s="170" t="inlineStr">
        <is>
          <t>Amberg V S.L.U.</t>
        </is>
      </c>
      <c r="H1489" s="170">
        <f>VLOOKUP($G1489,DATOS!$B:$E,2,FALSE)</f>
        <v/>
      </c>
      <c r="I1489" s="170">
        <f>VLOOKUP($G1489,DATOS!$B:$E,3,FALSE)</f>
        <v/>
      </c>
      <c r="J1489" s="170">
        <f>VLOOKUP($G1489,DATOS!$B:$E,4,FALSE)</f>
        <v/>
      </c>
      <c r="K1489" s="170" t="inlineStr">
        <is>
          <t>Contabilidad y Fiscalidad de proyecto - 4º Trimestre</t>
        </is>
      </c>
      <c r="L1489" s="27">
        <f>'Tarifa 2025'!$D$18/4/6</f>
        <v/>
      </c>
      <c r="M1489" s="170" t="inlineStr">
        <is>
          <t>SPV Management de Proyecto - 4º Trimestre</t>
        </is>
      </c>
      <c r="N1489" s="27">
        <f>'Tarifa 2025'!$F$18/6/4</f>
        <v/>
      </c>
      <c r="O1489" s="170" t="inlineStr">
        <is>
          <t>O&amp;M Management de Proyecto - 4º Trimestre</t>
        </is>
      </c>
      <c r="P1489" s="27">
        <f>'Tarifa 2025'!$H$18/6/4</f>
        <v/>
      </c>
      <c r="R1489" s="27" t="n"/>
      <c r="T1489" s="27" t="n"/>
      <c r="V1489" s="27" t="n"/>
      <c r="X1489" s="27" t="n"/>
      <c r="Y1489" s="170" t="inlineStr">
        <is>
          <t>Gastos derivados de contrato (3,5%)</t>
        </is>
      </c>
      <c r="Z1489" s="27">
        <f>(L1489+N1489+P1489+R1489+T1489+V1489+X1489)*0.035</f>
        <v/>
      </c>
      <c r="AA1489" s="27" t="n"/>
      <c r="AB1489" s="171" t="inlineStr">
        <is>
          <t>ES11 0081 7069 2700 0122 7724</t>
        </is>
      </c>
      <c r="AC1489" s="170" t="inlineStr">
        <is>
          <t>pendiente</t>
        </is>
      </c>
      <c r="AD1489" s="27">
        <f>L1489+N1489+P1489+R1489+T1489+V1489+X1489+Z1489</f>
        <v/>
      </c>
      <c r="AE1489" s="27">
        <f>IF((LEFT(K1489,6))="Contab",L1489,0)</f>
        <v/>
      </c>
      <c r="AF1489" s="171">
        <f>VLOOKUP(G1489,CLIENTES!B:E,4,FALSE)</f>
        <v/>
      </c>
      <c r="AG1489" s="27">
        <f>AF1489*AE1489</f>
        <v/>
      </c>
      <c r="AH1489" s="27">
        <f>AD1489*1.21</f>
        <v/>
      </c>
      <c r="AI1489" s="172">
        <f>IF(AE1489&lt;&gt;0,AG1489/AD1489,"N/A")</f>
        <v/>
      </c>
      <c r="AJ1489" s="27">
        <f>IF(AC1489="pendiente",AD1489,0)</f>
        <v/>
      </c>
      <c r="AK1489" s="170">
        <f>VLOOKUP(G1489,CLIENTES!B:D,3,FALSE)</f>
        <v/>
      </c>
    </row>
    <row r="1490" ht="15" customFormat="1" customHeight="1" s="170">
      <c r="B1490" s="169" t="n"/>
      <c r="C1490" s="170" t="inlineStr">
        <is>
          <t>c/ Las Cruzadas 3A, local D</t>
        </is>
      </c>
      <c r="D1490" s="170" t="inlineStr">
        <is>
          <t>Sevilla 41004</t>
        </is>
      </c>
      <c r="E1490" s="170" t="inlineStr">
        <is>
          <t>CIF B91938662</t>
        </is>
      </c>
      <c r="F1490" s="170" t="inlineStr">
        <is>
          <t>aBalados@abalados.es</t>
        </is>
      </c>
      <c r="G1490" s="170" t="inlineStr">
        <is>
          <t>Solar Photo Collect S.L.U.</t>
        </is>
      </c>
      <c r="H1490" s="170">
        <f>VLOOKUP($G1490,DATOS!$B:$E,2,FALSE)</f>
        <v/>
      </c>
      <c r="I1490" s="170">
        <f>VLOOKUP($G1490,DATOS!$B:$E,3,FALSE)</f>
        <v/>
      </c>
      <c r="J1490" s="170">
        <f>VLOOKUP($G1490,DATOS!$B:$E,4,FALSE)</f>
        <v/>
      </c>
      <c r="K1490" s="170" t="inlineStr">
        <is>
          <t>Contabilidad y Fiscalidad de proyecto - 4º Trimestre</t>
        </is>
      </c>
      <c r="L1490" s="27">
        <f>'Tarifa 2025'!$D$18/4/6</f>
        <v/>
      </c>
      <c r="M1490" s="170" t="inlineStr">
        <is>
          <t>SPV Management de Proyecto - 4º Trimestre</t>
        </is>
      </c>
      <c r="N1490" s="27">
        <f>'Tarifa 2025'!$F$18/6/4</f>
        <v/>
      </c>
      <c r="O1490" s="170" t="inlineStr">
        <is>
          <t>O&amp;M Management de Proyecto - 4º Trimestre</t>
        </is>
      </c>
      <c r="P1490" s="27">
        <f>'Tarifa 2025'!$H$18/6/4</f>
        <v/>
      </c>
      <c r="R1490" s="27" t="n"/>
      <c r="T1490" s="27" t="n"/>
      <c r="V1490" s="27" t="n"/>
      <c r="X1490" s="27" t="n"/>
      <c r="Y1490" s="170" t="inlineStr">
        <is>
          <t>Gastos derivados de contrato (3,5%)</t>
        </is>
      </c>
      <c r="Z1490" s="27">
        <f>(L1490+N1490+P1490+R1490+T1490+V1490+X1490)*0.035</f>
        <v/>
      </c>
      <c r="AA1490" s="27" t="n"/>
      <c r="AB1490" s="171" t="inlineStr">
        <is>
          <t>ES11 0081 7069 2700 0122 7724</t>
        </is>
      </c>
      <c r="AC1490" s="170" t="inlineStr">
        <is>
          <t>pendiente</t>
        </is>
      </c>
      <c r="AD1490" s="27">
        <f>L1490+N1490+P1490+R1490+T1490+V1490+X1490+Z1490</f>
        <v/>
      </c>
      <c r="AE1490" s="27">
        <f>IF((LEFT(K1490,6))="Contab",L1490,0)</f>
        <v/>
      </c>
      <c r="AF1490" s="171">
        <f>VLOOKUP(G1490,CLIENTES!B:E,4,FALSE)</f>
        <v/>
      </c>
      <c r="AG1490" s="27">
        <f>AF1490*AE1490</f>
        <v/>
      </c>
      <c r="AH1490" s="27">
        <f>AD1490*1.21</f>
        <v/>
      </c>
      <c r="AI1490" s="172">
        <f>IF(AE1490&lt;&gt;0,AG1490/AD1490,"N/A")</f>
        <v/>
      </c>
      <c r="AJ1490" s="27">
        <f>IF(AC1490="pendiente",AD1490,0)</f>
        <v/>
      </c>
      <c r="AK1490" s="170">
        <f>VLOOKUP(G1490,CLIENTES!B:D,3,FALSE)</f>
        <v/>
      </c>
    </row>
    <row r="1491" ht="15" customFormat="1" customHeight="1" s="170">
      <c r="B1491" s="169" t="n"/>
      <c r="C1491" s="170" t="inlineStr">
        <is>
          <t>c/ Las Cruzadas 3A, local D</t>
        </is>
      </c>
      <c r="D1491" s="170" t="inlineStr">
        <is>
          <t>Sevilla 41004</t>
        </is>
      </c>
      <c r="E1491" s="170" t="inlineStr">
        <is>
          <t>CIF B91938662</t>
        </is>
      </c>
      <c r="F1491" s="170" t="inlineStr">
        <is>
          <t>aBalados@abalados.es</t>
        </is>
      </c>
      <c r="G1491" s="170" t="inlineStr">
        <is>
          <t xml:space="preserve">Rasteding PV I, S.L.U. </t>
        </is>
      </c>
      <c r="H1491" s="170">
        <f>VLOOKUP($G1491,DATOS!$B:$E,2,FALSE)</f>
        <v/>
      </c>
      <c r="I1491" s="170">
        <f>VLOOKUP($G1491,DATOS!$B:$E,3,FALSE)</f>
        <v/>
      </c>
      <c r="J1491" s="170">
        <f>VLOOKUP($G1491,DATOS!$B:$E,4,FALSE)</f>
        <v/>
      </c>
      <c r="K1491" s="170" t="inlineStr">
        <is>
          <t>Contabilidad y Fiscalidad de proyecto - 4º Trimestre</t>
        </is>
      </c>
      <c r="L1491" s="27">
        <f>'Tarifa 2025'!$D$18/4/6</f>
        <v/>
      </c>
      <c r="M1491" s="170" t="inlineStr">
        <is>
          <t>SPV Management de Proyecto - 4º Trimestre</t>
        </is>
      </c>
      <c r="N1491" s="27">
        <f>'Tarifa 2025'!$F$18/6/4</f>
        <v/>
      </c>
      <c r="O1491" s="170" t="inlineStr">
        <is>
          <t>O&amp;M Management de Proyecto - 4º Trimestre</t>
        </is>
      </c>
      <c r="P1491" s="27">
        <f>'Tarifa 2025'!$H$18/6/4</f>
        <v/>
      </c>
      <c r="R1491" s="27" t="n"/>
      <c r="T1491" s="27" t="n"/>
      <c r="V1491" s="27" t="n"/>
      <c r="X1491" s="27" t="n"/>
      <c r="Y1491" s="170" t="inlineStr">
        <is>
          <t>Gastos derivados de contrato (3,5%)</t>
        </is>
      </c>
      <c r="Z1491" s="27">
        <f>(L1491+N1491+P1491+R1491+T1491+V1491+X1491)*0.035</f>
        <v/>
      </c>
      <c r="AA1491" s="27" t="n"/>
      <c r="AB1491" s="171" t="inlineStr">
        <is>
          <t>ES11 0081 7069 2700 0122 7724</t>
        </is>
      </c>
      <c r="AC1491" s="170" t="inlineStr">
        <is>
          <t>pendiente</t>
        </is>
      </c>
      <c r="AD1491" s="27">
        <f>L1491+N1491+P1491+R1491+T1491+V1491+X1491+Z1491</f>
        <v/>
      </c>
      <c r="AE1491" s="27">
        <f>IF((LEFT(K1491,6))="Contab",L1491,0)</f>
        <v/>
      </c>
      <c r="AF1491" s="171">
        <f>VLOOKUP(G1491,CLIENTES!B:E,4,FALSE)</f>
        <v/>
      </c>
      <c r="AG1491" s="27">
        <f>AF1491*AE1491</f>
        <v/>
      </c>
      <c r="AH1491" s="27">
        <f>AD1491*1.21</f>
        <v/>
      </c>
      <c r="AI1491" s="172">
        <f>IF(AE1491&lt;&gt;0,AG1491/AD1491,"N/A")</f>
        <v/>
      </c>
      <c r="AJ1491" s="27">
        <f>IF(AC1491="pendiente",AD1491,0)</f>
        <v/>
      </c>
      <c r="AK1491" s="170">
        <f>VLOOKUP(G1491,CLIENTES!B:D,3,FALSE)</f>
        <v/>
      </c>
    </row>
    <row r="1492" ht="15" customFormat="1" customHeight="1" s="170">
      <c r="B1492" s="169" t="n"/>
      <c r="C1492" s="170" t="inlineStr">
        <is>
          <t>c/ Las Cruzadas 3A, local D</t>
        </is>
      </c>
      <c r="D1492" s="170" t="inlineStr">
        <is>
          <t>Sevilla 41004</t>
        </is>
      </c>
      <c r="E1492" s="170" t="inlineStr">
        <is>
          <t>CIF B91938662</t>
        </is>
      </c>
      <c r="F1492" s="170" t="inlineStr">
        <is>
          <t>aBalados@abalados.es</t>
        </is>
      </c>
      <c r="G1492" s="170" t="inlineStr">
        <is>
          <t>Amberg II S.L.U.</t>
        </is>
      </c>
      <c r="H1492" s="170">
        <f>VLOOKUP($G1492,DATOS!$B:$E,2,FALSE)</f>
        <v/>
      </c>
      <c r="I1492" s="170">
        <f>VLOOKUP($G1492,DATOS!$B:$E,3,FALSE)</f>
        <v/>
      </c>
      <c r="J1492" s="170">
        <f>VLOOKUP($G1492,DATOS!$B:$E,4,FALSE)</f>
        <v/>
      </c>
      <c r="K1492" s="170" t="inlineStr">
        <is>
          <t>Contabilidad y Fiscalidad de proyecto - 4º Trimestre</t>
        </is>
      </c>
      <c r="L1492" s="27">
        <f>'Tarifa 2025'!$D$18/4/6</f>
        <v/>
      </c>
      <c r="M1492" s="170" t="inlineStr">
        <is>
          <t>SPV Management de Proyecto - 4º Trimestre</t>
        </is>
      </c>
      <c r="N1492" s="27">
        <f>'Tarifa 2025'!$F$18/6/4</f>
        <v/>
      </c>
      <c r="O1492" s="170" t="inlineStr">
        <is>
          <t>O&amp;M Management de Proyecto - 4º Trimestre</t>
        </is>
      </c>
      <c r="P1492" s="27">
        <f>'Tarifa 2025'!$H$18/6/4</f>
        <v/>
      </c>
      <c r="R1492" s="27" t="n"/>
      <c r="T1492" s="27" t="n"/>
      <c r="V1492" s="27" t="n"/>
      <c r="X1492" s="27" t="n"/>
      <c r="Y1492" s="170" t="inlineStr">
        <is>
          <t>Gastos derivados de contrato (3,5%)</t>
        </is>
      </c>
      <c r="Z1492" s="27">
        <f>(L1492+N1492+P1492+R1492+T1492+V1492+X1492)*0.035</f>
        <v/>
      </c>
      <c r="AA1492" s="27" t="n"/>
      <c r="AB1492" s="171" t="inlineStr">
        <is>
          <t>ES11 0081 7069 2700 0122 7724</t>
        </is>
      </c>
      <c r="AC1492" s="170" t="inlineStr">
        <is>
          <t>pendiente</t>
        </is>
      </c>
      <c r="AD1492" s="27">
        <f>L1492+N1492+P1492+R1492+T1492+V1492+X1492+Z1492</f>
        <v/>
      </c>
      <c r="AE1492" s="27">
        <f>IF((LEFT(K1492,6))="Contab",L1492,0)</f>
        <v/>
      </c>
      <c r="AF1492" s="171">
        <f>VLOOKUP(G1492,CLIENTES!B:E,4,FALSE)</f>
        <v/>
      </c>
      <c r="AG1492" s="27">
        <f>AF1492*AE1492</f>
        <v/>
      </c>
      <c r="AH1492" s="27">
        <f>AD1492*1.21</f>
        <v/>
      </c>
      <c r="AI1492" s="172">
        <f>IF(AE1492&lt;&gt;0,AG1492/AD1492,"N/A")</f>
        <v/>
      </c>
      <c r="AJ1492" s="27">
        <f>IF(AC1492="pendiente",AD1492,0)</f>
        <v/>
      </c>
      <c r="AK1492" s="170">
        <f>VLOOKUP(G1492,CLIENTES!B:D,3,FALSE)</f>
        <v/>
      </c>
    </row>
    <row r="1493" ht="15" customFormat="1" customHeight="1" s="170">
      <c r="B1493" s="169" t="n"/>
      <c r="C1493" s="170" t="inlineStr">
        <is>
          <t>c/ Las Cruzadas 3A, local D</t>
        </is>
      </c>
      <c r="D1493" s="170" t="inlineStr">
        <is>
          <t>Sevilla 41004</t>
        </is>
      </c>
      <c r="E1493" s="170" t="inlineStr">
        <is>
          <t>CIF B91938662</t>
        </is>
      </c>
      <c r="F1493" s="170" t="inlineStr">
        <is>
          <t>aBalados@abalados.es</t>
        </is>
      </c>
      <c r="G1493" s="170" t="inlineStr">
        <is>
          <t>Tiksi PV II S.L.U.</t>
        </is>
      </c>
      <c r="H1493" s="170">
        <f>VLOOKUP($G1493,DATOS!$B:$E,2,FALSE)</f>
        <v/>
      </c>
      <c r="I1493" s="170">
        <f>VLOOKUP($G1493,DATOS!$B:$E,3,FALSE)</f>
        <v/>
      </c>
      <c r="J1493" s="170">
        <f>VLOOKUP($G1493,DATOS!$B:$E,4,FALSE)</f>
        <v/>
      </c>
      <c r="K1493" s="170" t="inlineStr">
        <is>
          <t>Contabilidad y Fiscalidad de proyecto - 4º Trimestre</t>
        </is>
      </c>
      <c r="L1493" s="27">
        <f>'Tarifa 2025'!$D$18/4/6</f>
        <v/>
      </c>
      <c r="M1493" s="170" t="inlineStr">
        <is>
          <t>SPV Management de Proyecto - 4º Trimestre</t>
        </is>
      </c>
      <c r="N1493" s="27">
        <f>'Tarifa 2025'!$F$18/6/4</f>
        <v/>
      </c>
      <c r="O1493" s="170" t="inlineStr">
        <is>
          <t>O&amp;M Management de Proyecto - 4º Trimestre</t>
        </is>
      </c>
      <c r="P1493" s="27">
        <f>'Tarifa 2025'!$H$18/6/4</f>
        <v/>
      </c>
      <c r="R1493" s="27" t="n"/>
      <c r="T1493" s="27" t="n"/>
      <c r="V1493" s="27" t="n"/>
      <c r="X1493" s="27" t="n"/>
      <c r="Y1493" s="170" t="inlineStr">
        <is>
          <t>Gastos derivados de contrato (3,5%)</t>
        </is>
      </c>
      <c r="Z1493" s="27">
        <f>(L1493+N1493+P1493+R1493+T1493+V1493+X1493)*0.035</f>
        <v/>
      </c>
      <c r="AA1493" s="27" t="n"/>
      <c r="AB1493" s="171" t="inlineStr">
        <is>
          <t>ES11 0081 7069 2700 0122 7724</t>
        </is>
      </c>
      <c r="AC1493" s="170" t="inlineStr">
        <is>
          <t>pendiente</t>
        </is>
      </c>
      <c r="AD1493" s="27">
        <f>L1493+N1493+P1493+R1493+T1493+V1493+X1493+Z1493</f>
        <v/>
      </c>
      <c r="AE1493" s="27">
        <f>IF((LEFT(K1493,6))="Contab",L1493,0)</f>
        <v/>
      </c>
      <c r="AF1493" s="171">
        <f>VLOOKUP(G1493,CLIENTES!B:E,4,FALSE)</f>
        <v/>
      </c>
      <c r="AG1493" s="27">
        <f>AF1493*AE1493</f>
        <v/>
      </c>
      <c r="AH1493" s="27">
        <f>AD1493*1.21</f>
        <v/>
      </c>
      <c r="AI1493" s="172">
        <f>IF(AE1493&lt;&gt;0,AG1493/AD1493,"N/A")</f>
        <v/>
      </c>
      <c r="AJ1493" s="27">
        <f>IF(AC1493="pendiente",AD1493,0)</f>
        <v/>
      </c>
      <c r="AK1493" s="170">
        <f>VLOOKUP(G1493,CLIENTES!B:D,3,FALSE)</f>
        <v/>
      </c>
    </row>
    <row r="1494" ht="15" customFormat="1" customHeight="1" s="234">
      <c r="B1494" s="235" t="n"/>
      <c r="C1494" s="234" t="inlineStr">
        <is>
          <t>c/ Las Cruzadas 3A, local D</t>
        </is>
      </c>
      <c r="D1494" s="234" t="inlineStr">
        <is>
          <t>Sevilla 41004</t>
        </is>
      </c>
      <c r="E1494" s="234" t="inlineStr">
        <is>
          <t>CIF B91938662</t>
        </is>
      </c>
      <c r="F1494" s="234" t="inlineStr">
        <is>
          <t>aBalados@abalados.es</t>
        </is>
      </c>
      <c r="G1494" s="234" t="inlineStr">
        <is>
          <t>Solar Photo Corp S.L.U.</t>
        </is>
      </c>
      <c r="H1494" s="234">
        <f>VLOOKUP($G1494,DATOS!$B:$E,2,FALSE)</f>
        <v/>
      </c>
      <c r="I1494" s="234">
        <f>VLOOKUP($G1494,DATOS!$B:$E,3,FALSE)</f>
        <v/>
      </c>
      <c r="J1494" s="234">
        <f>VLOOKUP($G1494,DATOS!$B:$E,4,FALSE)</f>
        <v/>
      </c>
      <c r="K1494" s="234" t="inlineStr">
        <is>
          <t>Contabilidad y Fiscalidad de proyecto - 4º Trimestre</t>
        </is>
      </c>
      <c r="L1494" s="236">
        <f>'Tarifa 2025'!$D$18/4/6</f>
        <v/>
      </c>
      <c r="M1494" s="234" t="inlineStr">
        <is>
          <t>SPV Management de Proyecto - 4º Trimestre</t>
        </is>
      </c>
      <c r="N1494" s="236">
        <f>'Tarifa 2025'!$F$18/6/4</f>
        <v/>
      </c>
      <c r="O1494" s="234" t="inlineStr">
        <is>
          <t>O&amp;M Management de Proyecto - 4º Trimestre</t>
        </is>
      </c>
      <c r="P1494" s="236">
        <f>'Tarifa 2025'!$H$18/6/4</f>
        <v/>
      </c>
      <c r="R1494" s="236" t="n"/>
      <c r="T1494" s="236" t="n"/>
      <c r="V1494" s="236" t="n"/>
      <c r="X1494" s="236" t="n"/>
      <c r="Y1494" s="234" t="inlineStr">
        <is>
          <t>Gastos derivados de contrato (3,5%)</t>
        </is>
      </c>
      <c r="Z1494" s="236">
        <f>(L1494+N1494+P1494+R1494+T1494+V1494+X1494)*0.035</f>
        <v/>
      </c>
      <c r="AA1494" s="236" t="n"/>
      <c r="AB1494" s="237" t="inlineStr">
        <is>
          <t>ES11 0081 7069 2700 0122 7724</t>
        </is>
      </c>
      <c r="AC1494" s="170" t="inlineStr">
        <is>
          <t>pendiente</t>
        </is>
      </c>
      <c r="AD1494" s="236">
        <f>L1494+N1494+P1494+R1494+T1494+V1494+X1494+Z1494</f>
        <v/>
      </c>
      <c r="AE1494" s="236">
        <f>IF((LEFT(K1494,6))="Contab",L1494,0)</f>
        <v/>
      </c>
      <c r="AF1494" s="237">
        <f>VLOOKUP(G1494,CLIENTES!B:E,4,FALSE)</f>
        <v/>
      </c>
      <c r="AG1494" s="236">
        <f>AF1494*AE1494</f>
        <v/>
      </c>
      <c r="AH1494" s="236">
        <f>AD1494*1.21</f>
        <v/>
      </c>
      <c r="AI1494" s="238">
        <f>IF(AE1494&lt;&gt;0,AG1494/AD1494,"N/A")</f>
        <v/>
      </c>
      <c r="AJ1494" s="236">
        <f>IF(AC1494="pendiente",AD1494,0)</f>
        <v/>
      </c>
      <c r="AK1494" s="234">
        <f>VLOOKUP(G1494,CLIENTES!B:D,3,FALSE)</f>
        <v/>
      </c>
    </row>
    <row r="1495" ht="15" customFormat="1" customHeight="1" s="170">
      <c r="B1495" s="169" t="n"/>
      <c r="C1495" s="170" t="inlineStr">
        <is>
          <t>c/ Las Cruzadas 3A, local D</t>
        </is>
      </c>
      <c r="D1495" s="170" t="inlineStr">
        <is>
          <t>Sevilla 41004</t>
        </is>
      </c>
      <c r="E1495" s="170" t="inlineStr">
        <is>
          <t>CIF B91938662</t>
        </is>
      </c>
      <c r="F1495" s="170" t="inlineStr">
        <is>
          <t>aBalados@abalados.es</t>
        </is>
      </c>
      <c r="G1495" s="170" t="inlineStr">
        <is>
          <t>Dehesa Asomadilla Inversiones S.L.U.</t>
        </is>
      </c>
      <c r="H1495" s="170">
        <f>VLOOKUP($G1495,DATOS!$B:$E,2,FALSE)</f>
        <v/>
      </c>
      <c r="I1495" s="170">
        <f>VLOOKUP($G1495,DATOS!$B:$E,3,FALSE)</f>
        <v/>
      </c>
      <c r="J1495" s="170">
        <f>VLOOKUP($G1495,DATOS!$B:$E,4,FALSE)</f>
        <v/>
      </c>
      <c r="K1495" s="170" t="inlineStr">
        <is>
          <t>Honorarios - Contrato O&amp;M 4º Trimestre</t>
        </is>
      </c>
      <c r="L1495" s="27" t="n">
        <v>28730.36764271932</v>
      </c>
      <c r="N1495" s="27" t="n"/>
      <c r="P1495" s="27" t="n"/>
      <c r="R1495" s="27" t="n"/>
      <c r="T1495" s="27" t="n"/>
      <c r="V1495" s="27" t="n"/>
      <c r="X1495" s="27" t="n"/>
      <c r="Z1495" s="27" t="n"/>
      <c r="AA1495" s="27" t="n"/>
      <c r="AB1495" s="171" t="inlineStr">
        <is>
          <t>ES11 0081 7069 2700 0122 7724</t>
        </is>
      </c>
      <c r="AC1495" s="170" t="inlineStr">
        <is>
          <t>pendiente</t>
        </is>
      </c>
      <c r="AD1495" s="27">
        <f>L1495+N1495+P1495+R1495+T1495+V1495+X1495+Z1495</f>
        <v/>
      </c>
      <c r="AE1495" s="27">
        <f>IF((LEFT(K1495,6))="Contab",L1495,0)</f>
        <v/>
      </c>
      <c r="AF1495" s="171">
        <f>VLOOKUP(G1495,CLIENTES!B:E,4,FALSE)</f>
        <v/>
      </c>
      <c r="AG1495" s="27">
        <f>AF1495*AE1495</f>
        <v/>
      </c>
      <c r="AH1495" s="27">
        <f>AD1495*1.21</f>
        <v/>
      </c>
      <c r="AI1495" s="172">
        <f>IF(AE1495&lt;&gt;0,AG1495/AD1495,"N/A")</f>
        <v/>
      </c>
      <c r="AJ1495" s="27">
        <f>IF(AC1495="pendiente",AD1495,0)</f>
        <v/>
      </c>
      <c r="AK1495" s="170">
        <f>VLOOKUP(G1495,CLIENTES!B:D,3,FALSE)</f>
        <v/>
      </c>
    </row>
    <row r="1496" ht="15" customFormat="1" customHeight="1" s="170">
      <c r="B1496" s="169" t="n"/>
      <c r="C1496" s="170" t="inlineStr">
        <is>
          <t>c/ Las Cruzadas 3A, local D</t>
        </is>
      </c>
      <c r="D1496" s="170" t="inlineStr">
        <is>
          <t>Sevilla 41004</t>
        </is>
      </c>
      <c r="E1496" s="170" t="inlineStr">
        <is>
          <t>CIF B91938662</t>
        </is>
      </c>
      <c r="F1496" s="170" t="inlineStr">
        <is>
          <t>aBalados@abalados.es</t>
        </is>
      </c>
      <c r="G1496" s="170" t="inlineStr">
        <is>
          <t>Asomadilla Solar 2007 S.L.U.</t>
        </is>
      </c>
      <c r="H1496" s="170">
        <f>VLOOKUP($G1496,DATOS!$B:$E,2,FALSE)</f>
        <v/>
      </c>
      <c r="I1496" s="170">
        <f>VLOOKUP($G1496,DATOS!$B:$E,3,FALSE)</f>
        <v/>
      </c>
      <c r="J1496" s="170">
        <f>VLOOKUP($G1496,DATOS!$B:$E,4,FALSE)</f>
        <v/>
      </c>
      <c r="K1496" s="170" t="inlineStr">
        <is>
          <t>Honorarios - Contrato O&amp;M 4º Trimestre</t>
        </is>
      </c>
      <c r="L1496" s="27" t="n">
        <v>18387.43529134037</v>
      </c>
      <c r="N1496" s="27" t="n"/>
      <c r="P1496" s="27" t="n"/>
      <c r="R1496" s="27" t="n"/>
      <c r="T1496" s="27" t="n"/>
      <c r="V1496" s="27" t="n"/>
      <c r="X1496" s="27" t="n"/>
      <c r="Z1496" s="27" t="n"/>
      <c r="AA1496" s="27" t="n"/>
      <c r="AB1496" s="171" t="inlineStr">
        <is>
          <t>ES11 0081 7069 2700 0122 7724</t>
        </is>
      </c>
      <c r="AC1496" s="170" t="inlineStr">
        <is>
          <t>pendiente</t>
        </is>
      </c>
      <c r="AD1496" s="27">
        <f>L1496+N1496+P1496+R1496+T1496+V1496+X1496+Z1496</f>
        <v/>
      </c>
      <c r="AE1496" s="27">
        <f>IF((LEFT(K1496,6))="Contab",L1496,0)</f>
        <v/>
      </c>
      <c r="AF1496" s="171">
        <f>VLOOKUP(G1496,CLIENTES!B:E,4,FALSE)</f>
        <v/>
      </c>
      <c r="AG1496" s="27">
        <f>AF1496*AE1496</f>
        <v/>
      </c>
      <c r="AH1496" s="27">
        <f>AD1496*1.21</f>
        <v/>
      </c>
      <c r="AI1496" s="172">
        <f>IF(AE1496&lt;&gt;0,AG1496/AD1496,"N/A")</f>
        <v/>
      </c>
      <c r="AJ1496" s="27">
        <f>IF(AC1496="pendiente",AD1496,0)</f>
        <v/>
      </c>
      <c r="AK1496" s="170">
        <f>VLOOKUP(G1496,CLIENTES!B:D,3,FALSE)</f>
        <v/>
      </c>
    </row>
    <row r="1497" ht="15" customFormat="1" customHeight="1" s="170">
      <c r="B1497" s="169" t="n"/>
      <c r="C1497" s="170" t="inlineStr">
        <is>
          <t>c/ Las Cruzadas 3A, local D</t>
        </is>
      </c>
      <c r="D1497" s="170" t="inlineStr">
        <is>
          <t>Sevilla 41004</t>
        </is>
      </c>
      <c r="E1497" s="170" t="inlineStr">
        <is>
          <t>CIF B91938662</t>
        </is>
      </c>
      <c r="F1497" s="170" t="inlineStr">
        <is>
          <t>aBalados@abalados.es</t>
        </is>
      </c>
      <c r="G1497" s="170" t="inlineStr">
        <is>
          <t>ES Garrovers Energía Solar S.L.U.</t>
        </is>
      </c>
      <c r="H1497" s="170">
        <f>VLOOKUP($G1497,DATOS!$B:$E,2,FALSE)</f>
        <v/>
      </c>
      <c r="I1497" s="170">
        <f>VLOOKUP($G1497,DATOS!$B:$E,3,FALSE)</f>
        <v/>
      </c>
      <c r="J1497" s="170">
        <f>VLOOKUP($G1497,DATOS!$B:$E,4,FALSE)</f>
        <v/>
      </c>
      <c r="K1497" s="170" t="inlineStr">
        <is>
          <t>Honorarios - Contrato O&amp;M 4º Trimestre</t>
        </is>
      </c>
      <c r="L1497" s="27" t="n">
        <v>21658.14637476112</v>
      </c>
      <c r="N1497" s="27" t="n"/>
      <c r="P1497" s="27" t="n"/>
      <c r="R1497" s="27" t="n"/>
      <c r="T1497" s="27" t="n"/>
      <c r="V1497" s="27" t="n"/>
      <c r="X1497" s="27" t="n"/>
      <c r="Z1497" s="27" t="n"/>
      <c r="AA1497" s="27" t="n"/>
      <c r="AB1497" s="171" t="inlineStr">
        <is>
          <t>ES11 0081 7069 2700 0122 7724</t>
        </is>
      </c>
      <c r="AC1497" s="170" t="inlineStr">
        <is>
          <t>pendiente</t>
        </is>
      </c>
      <c r="AD1497" s="27">
        <f>L1497+N1497+P1497+R1497+T1497+V1497+X1497+Z1497</f>
        <v/>
      </c>
      <c r="AE1497" s="27">
        <f>IF((LEFT(K1497,6))="Contab",L1497,0)</f>
        <v/>
      </c>
      <c r="AF1497" s="171">
        <f>VLOOKUP(G1497,CLIENTES!B:E,4,FALSE)</f>
        <v/>
      </c>
      <c r="AG1497" s="27">
        <f>AF1497*AE1497</f>
        <v/>
      </c>
      <c r="AH1497" s="27">
        <f>AD1497*1.21</f>
        <v/>
      </c>
      <c r="AI1497" s="172">
        <f>IF(AE1497&lt;&gt;0,AG1497/AD1497,"N/A")</f>
        <v/>
      </c>
      <c r="AJ1497" s="27">
        <f>IF(AC1497="pendiente",AD1497,0)</f>
        <v/>
      </c>
      <c r="AK1497" s="170">
        <f>VLOOKUP(G1497,CLIENTES!B:D,3,FALSE)</f>
        <v/>
      </c>
    </row>
    <row r="1498" ht="15" customFormat="1" customHeight="1" s="170">
      <c r="B1498" s="169" t="n"/>
      <c r="C1498" s="170" t="inlineStr">
        <is>
          <t>c/ Las Cruzadas 3A, local D</t>
        </is>
      </c>
      <c r="D1498" s="170" t="inlineStr">
        <is>
          <t>Sevilla 41004</t>
        </is>
      </c>
      <c r="E1498" s="170" t="inlineStr">
        <is>
          <t>CIF B91938662</t>
        </is>
      </c>
      <c r="F1498" s="170" t="inlineStr">
        <is>
          <t>aBalados@abalados.es</t>
        </is>
      </c>
      <c r="G1498" s="170" t="inlineStr">
        <is>
          <t>WOC Fotovoltaica España Proyecto Sollana S.L.U.</t>
        </is>
      </c>
      <c r="H1498" s="170">
        <f>VLOOKUP($G1498,DATOS!$B:$E,2,FALSE)</f>
        <v/>
      </c>
      <c r="I1498" s="170">
        <f>VLOOKUP($G1498,DATOS!$B:$E,3,FALSE)</f>
        <v/>
      </c>
      <c r="J1498" s="170">
        <f>VLOOKUP($G1498,DATOS!$B:$E,4,FALSE)</f>
        <v/>
      </c>
      <c r="K1498" s="170" t="inlineStr">
        <is>
          <t>Honorarios - Contrato O&amp;M 4º Trimestre</t>
        </is>
      </c>
      <c r="L1498" s="27" t="n">
        <v>11919.82344370187</v>
      </c>
      <c r="N1498" s="27" t="n"/>
      <c r="P1498" s="27" t="n"/>
      <c r="R1498" s="27" t="n"/>
      <c r="T1498" s="27" t="n"/>
      <c r="V1498" s="27" t="n"/>
      <c r="X1498" s="27" t="n"/>
      <c r="Z1498" s="27" t="n"/>
      <c r="AA1498" s="27" t="n"/>
      <c r="AB1498" s="171" t="inlineStr">
        <is>
          <t>ES11 0081 7069 2700 0122 7724</t>
        </is>
      </c>
      <c r="AC1498" s="170" t="inlineStr">
        <is>
          <t>pendiente</t>
        </is>
      </c>
      <c r="AD1498" s="27">
        <f>L1498+N1498+P1498+R1498+T1498+V1498+X1498+Z1498</f>
        <v/>
      </c>
      <c r="AE1498" s="27">
        <f>IF((LEFT(K1498,6))="Contab",L1498,0)</f>
        <v/>
      </c>
      <c r="AF1498" s="171">
        <f>VLOOKUP(G1498,CLIENTES!B:E,4,FALSE)</f>
        <v/>
      </c>
      <c r="AG1498" s="27">
        <f>AF1498*AE1498</f>
        <v/>
      </c>
      <c r="AH1498" s="27">
        <f>AD1498*1.21</f>
        <v/>
      </c>
      <c r="AI1498" s="172">
        <f>IF(AE1498&lt;&gt;0,AG1498/AD1498,"N/A")</f>
        <v/>
      </c>
      <c r="AJ1498" s="27">
        <f>IF(AC1498="pendiente",AD1498,0)</f>
        <v/>
      </c>
      <c r="AK1498" s="170">
        <f>VLOOKUP(G1498,CLIENTES!B:D,3,FALSE)</f>
        <v/>
      </c>
    </row>
    <row r="1499" ht="15" customFormat="1" customHeight="1" s="170">
      <c r="B1499" s="169" t="n"/>
      <c r="C1499" s="170" t="inlineStr">
        <is>
          <t>c/ Las Cruzadas 3A, local D</t>
        </is>
      </c>
      <c r="D1499" s="170" t="inlineStr">
        <is>
          <t>Sevilla 41004</t>
        </is>
      </c>
      <c r="E1499" s="170" t="inlineStr">
        <is>
          <t>CIF B91938662</t>
        </is>
      </c>
      <c r="F1499" s="170" t="inlineStr">
        <is>
          <t>aBalados@abalados.es</t>
        </is>
      </c>
      <c r="G1499" s="170" t="inlineStr">
        <is>
          <t>Inversión Cubiertas Solares S.L.U.</t>
        </is>
      </c>
      <c r="H1499" s="170">
        <f>VLOOKUP($G1499,DATOS!$B:$E,2,FALSE)</f>
        <v/>
      </c>
      <c r="I1499" s="170">
        <f>VLOOKUP($G1499,DATOS!$B:$E,3,FALSE)</f>
        <v/>
      </c>
      <c r="J1499" s="170">
        <f>VLOOKUP($G1499,DATOS!$B:$E,4,FALSE)</f>
        <v/>
      </c>
      <c r="K1499" s="170" t="inlineStr">
        <is>
          <t>Honorarios - Contrato O&amp;M 4º Trimestre</t>
        </is>
      </c>
      <c r="L1499" s="27" t="n">
        <v>1271.841835461094</v>
      </c>
      <c r="N1499" s="27" t="n"/>
      <c r="P1499" s="27" t="n"/>
      <c r="R1499" s="27" t="n"/>
      <c r="T1499" s="27" t="n"/>
      <c r="V1499" s="27" t="n"/>
      <c r="X1499" s="27" t="n"/>
      <c r="Z1499" s="27" t="n"/>
      <c r="AA1499" s="27" t="n"/>
      <c r="AB1499" s="171" t="inlineStr">
        <is>
          <t>ES11 0081 7069 2700 0122 7724</t>
        </is>
      </c>
      <c r="AC1499" s="170" t="inlineStr">
        <is>
          <t>pendiente</t>
        </is>
      </c>
      <c r="AD1499" s="27">
        <f>L1499+N1499+P1499+R1499+T1499+V1499+X1499+Z1499</f>
        <v/>
      </c>
      <c r="AE1499" s="27">
        <f>IF((LEFT(K1499,6))="Contab",L1499,0)</f>
        <v/>
      </c>
      <c r="AF1499" s="171">
        <f>VLOOKUP(G1499,CLIENTES!B:E,4,FALSE)</f>
        <v/>
      </c>
      <c r="AG1499" s="27">
        <f>AF1499*AE1499</f>
        <v/>
      </c>
      <c r="AH1499" s="27">
        <f>AD1499*1.21</f>
        <v/>
      </c>
      <c r="AI1499" s="172">
        <f>IF(AE1499&lt;&gt;0,AG1499/AD1499,"N/A")</f>
        <v/>
      </c>
      <c r="AJ1499" s="27">
        <f>IF(AC1499="pendiente",AD1499,0)</f>
        <v/>
      </c>
      <c r="AK1499" s="170">
        <f>VLOOKUP(G1499,CLIENTES!B:D,3,FALSE)</f>
        <v/>
      </c>
    </row>
    <row r="1500" ht="15" customFormat="1" customHeight="1" s="170">
      <c r="B1500" s="169" t="n"/>
      <c r="C1500" s="170" t="inlineStr">
        <is>
          <t>c/ Las Cruzadas 3A, local D</t>
        </is>
      </c>
      <c r="D1500" s="170" t="inlineStr">
        <is>
          <t>Sevilla 41004</t>
        </is>
      </c>
      <c r="E1500" s="170" t="inlineStr">
        <is>
          <t>CIF B91938662</t>
        </is>
      </c>
      <c r="F1500" s="170" t="inlineStr">
        <is>
          <t>aBalados@abalados.es</t>
        </is>
      </c>
      <c r="G1500" s="170" t="inlineStr">
        <is>
          <t>Lugec Inversión Solar S.L.U.</t>
        </is>
      </c>
      <c r="H1500" s="170">
        <f>VLOOKUP($G1500,DATOS!$B:$E,2,FALSE)</f>
        <v/>
      </c>
      <c r="I1500" s="170">
        <f>VLOOKUP($G1500,DATOS!$B:$E,3,FALSE)</f>
        <v/>
      </c>
      <c r="J1500" s="170">
        <f>VLOOKUP($G1500,DATOS!$B:$E,4,FALSE)</f>
        <v/>
      </c>
      <c r="K1500" s="170" t="inlineStr">
        <is>
          <t>Honorarios - Contrato O&amp;M 4º Trimestre</t>
        </is>
      </c>
      <c r="L1500" s="27" t="n">
        <v>3435.320686511403</v>
      </c>
      <c r="N1500" s="27" t="n"/>
      <c r="P1500" s="27" t="n"/>
      <c r="R1500" s="27" t="n"/>
      <c r="T1500" s="27" t="n"/>
      <c r="V1500" s="27" t="n"/>
      <c r="X1500" s="27" t="n"/>
      <c r="Z1500" s="27" t="n"/>
      <c r="AA1500" s="27" t="n"/>
      <c r="AB1500" s="171" t="inlineStr">
        <is>
          <t>ES11 0081 7069 2700 0122 7724</t>
        </is>
      </c>
      <c r="AC1500" s="170" t="inlineStr">
        <is>
          <t>pendiente</t>
        </is>
      </c>
      <c r="AD1500" s="27">
        <f>L1500+N1500+P1500+R1500+T1500+V1500+X1500+Z1500</f>
        <v/>
      </c>
      <c r="AE1500" s="27">
        <f>IF((LEFT(K1500,6))="Contab",L1500,0)</f>
        <v/>
      </c>
      <c r="AF1500" s="171">
        <f>VLOOKUP(G1500,CLIENTES!B:E,4,FALSE)</f>
        <v/>
      </c>
      <c r="AG1500" s="27">
        <f>AF1500*AE1500</f>
        <v/>
      </c>
      <c r="AH1500" s="27">
        <f>AD1500*1.21</f>
        <v/>
      </c>
      <c r="AI1500" s="172">
        <f>IF(AE1500&lt;&gt;0,AG1500/AD1500,"N/A")</f>
        <v/>
      </c>
      <c r="AJ1500" s="27">
        <f>IF(AC1500="pendiente",AD1500,0)</f>
        <v/>
      </c>
      <c r="AK1500" s="170">
        <f>VLOOKUP(G1500,CLIENTES!B:D,3,FALSE)</f>
        <v/>
      </c>
    </row>
    <row r="1501" ht="15" customFormat="1" customHeight="1" s="170">
      <c r="B1501" s="169" t="n"/>
      <c r="C1501" s="170" t="inlineStr">
        <is>
          <t>c/ Las Cruzadas 3A, local D</t>
        </is>
      </c>
      <c r="D1501" s="170" t="inlineStr">
        <is>
          <t>Sevilla 41004</t>
        </is>
      </c>
      <c r="E1501" s="170" t="inlineStr">
        <is>
          <t>CIF B91938662</t>
        </is>
      </c>
      <c r="F1501" s="170" t="inlineStr">
        <is>
          <t>aBalados@abalados.es</t>
        </is>
      </c>
      <c r="G1501" s="170" t="inlineStr">
        <is>
          <t>Solar Photo Collect S.L.U.</t>
        </is>
      </c>
      <c r="H1501" s="170">
        <f>VLOOKUP($G1501,DATOS!$B:$E,2,FALSE)</f>
        <v/>
      </c>
      <c r="I1501" s="170">
        <f>VLOOKUP($G1501,DATOS!$B:$E,3,FALSE)</f>
        <v/>
      </c>
      <c r="J1501" s="170">
        <f>VLOOKUP($G1501,DATOS!$B:$E,4,FALSE)</f>
        <v/>
      </c>
      <c r="K1501" s="170" t="inlineStr">
        <is>
          <t>Honorarios - Contrato O&amp;M 4º Trimestre</t>
        </is>
      </c>
      <c r="L1501" s="27" t="n">
        <v>13982.075780365</v>
      </c>
      <c r="M1501" s="170" t="inlineStr">
        <is>
          <t>Garantía 40% (dotada en 2017)</t>
        </is>
      </c>
      <c r="N1501" s="27" t="n"/>
      <c r="P1501" s="27" t="n"/>
      <c r="R1501" s="27" t="n"/>
      <c r="T1501" s="27" t="n"/>
      <c r="V1501" s="27" t="n"/>
      <c r="X1501" s="27" t="n"/>
      <c r="Z1501" s="27" t="n"/>
      <c r="AA1501" s="27" t="n"/>
      <c r="AB1501" s="171" t="inlineStr">
        <is>
          <t>ES11 0081 7069 2700 0122 7724</t>
        </is>
      </c>
      <c r="AC1501" s="170" t="inlineStr">
        <is>
          <t>pendiente</t>
        </is>
      </c>
      <c r="AD1501" s="27">
        <f>L1501+N1501+P1501+R1501+T1501+V1501+X1501+Z1501</f>
        <v/>
      </c>
      <c r="AE1501" s="27">
        <f>IF((LEFT(K1501,6))="Contab",L1501,0)</f>
        <v/>
      </c>
      <c r="AF1501" s="171">
        <f>VLOOKUP(G1501,CLIENTES!B:E,4,FALSE)</f>
        <v/>
      </c>
      <c r="AG1501" s="27">
        <f>AF1501*AE1501</f>
        <v/>
      </c>
      <c r="AH1501" s="27">
        <f>AD1501*1.21</f>
        <v/>
      </c>
      <c r="AI1501" s="172">
        <f>IF(AE1501&lt;&gt;0,AG1501/AD1501,"N/A")</f>
        <v/>
      </c>
      <c r="AJ1501" s="27">
        <f>IF(AC1501="pendiente",AD1501,0)</f>
        <v/>
      </c>
      <c r="AK1501" s="170">
        <f>VLOOKUP(G1501,CLIENTES!B:D,3,FALSE)</f>
        <v/>
      </c>
    </row>
    <row r="1502" ht="15" customFormat="1" customHeight="1" s="170">
      <c r="B1502" s="169" t="n"/>
      <c r="C1502" s="170" t="inlineStr">
        <is>
          <t>c/ Las Cruzadas 3A, local D</t>
        </is>
      </c>
      <c r="D1502" s="170" t="inlineStr">
        <is>
          <t>Sevilla 41004</t>
        </is>
      </c>
      <c r="E1502" s="170" t="inlineStr">
        <is>
          <t>CIF B91938662</t>
        </is>
      </c>
      <c r="F1502" s="170" t="inlineStr">
        <is>
          <t>aBalados@abalados.es</t>
        </is>
      </c>
      <c r="G1502" s="170" t="inlineStr">
        <is>
          <t>Solar Photo Corp S.L.U.</t>
        </is>
      </c>
      <c r="H1502" s="170">
        <f>VLOOKUP($G1502,DATOS!$B:$E,2,FALSE)</f>
        <v/>
      </c>
      <c r="I1502" s="170">
        <f>VLOOKUP($G1502,DATOS!$B:$E,3,FALSE)</f>
        <v/>
      </c>
      <c r="J1502" s="170">
        <f>VLOOKUP($G1502,DATOS!$B:$E,4,FALSE)</f>
        <v/>
      </c>
      <c r="K1502" s="170" t="inlineStr">
        <is>
          <t>Honorarios - Contrato O&amp;M 4º Trimestre</t>
        </is>
      </c>
      <c r="L1502" s="27" t="n">
        <v>6214.2269967175</v>
      </c>
      <c r="M1502" s="170" t="inlineStr">
        <is>
          <t>Garantía 40% (dotada en 2017)</t>
        </is>
      </c>
      <c r="N1502" s="27" t="n"/>
      <c r="P1502" s="27" t="n"/>
      <c r="R1502" s="27" t="n"/>
      <c r="T1502" s="27" t="n"/>
      <c r="V1502" s="27" t="n"/>
      <c r="X1502" s="27" t="n"/>
      <c r="Z1502" s="27" t="n"/>
      <c r="AA1502" s="27" t="n"/>
      <c r="AB1502" s="171" t="inlineStr">
        <is>
          <t>ES11 0081 7069 2700 0122 7724</t>
        </is>
      </c>
      <c r="AC1502" s="170" t="inlineStr">
        <is>
          <t>pendiente</t>
        </is>
      </c>
      <c r="AD1502" s="27">
        <f>L1502+N1502+P1502+R1502+T1502+V1502+X1502+Z1502</f>
        <v/>
      </c>
      <c r="AE1502" s="27">
        <f>IF((LEFT(K1502,6))="Contab",L1502,0)</f>
        <v/>
      </c>
      <c r="AF1502" s="171">
        <f>VLOOKUP(G1502,CLIENTES!B:E,4,FALSE)</f>
        <v/>
      </c>
      <c r="AG1502" s="27">
        <f>AF1502*AE1502</f>
        <v/>
      </c>
      <c r="AH1502" s="27">
        <f>AD1502*1.21</f>
        <v/>
      </c>
      <c r="AI1502" s="172">
        <f>IF(AE1502&lt;&gt;0,AG1502/AD1502,"N/A")</f>
        <v/>
      </c>
      <c r="AJ1502" s="27">
        <f>IF(AC1502="pendiente",AD1502,0)</f>
        <v/>
      </c>
      <c r="AK1502" s="170">
        <f>VLOOKUP(G1502,CLIENTES!B:D,3,FALSE)</f>
        <v/>
      </c>
    </row>
    <row r="1503" ht="15" customFormat="1" customHeight="1" s="170">
      <c r="B1503" s="169" t="n"/>
      <c r="C1503" s="170" t="inlineStr">
        <is>
          <t>c/ Las Cruzadas 3A, local D</t>
        </is>
      </c>
      <c r="D1503" s="170" t="inlineStr">
        <is>
          <t>Sevilla 41004</t>
        </is>
      </c>
      <c r="E1503" s="170" t="inlineStr">
        <is>
          <t>CIF B91938662</t>
        </is>
      </c>
      <c r="F1503" s="170" t="inlineStr">
        <is>
          <t>aBalados@abalados.es</t>
        </is>
      </c>
      <c r="G1503" s="170" t="inlineStr">
        <is>
          <t xml:space="preserve">Rasteding PV I, S.L.U. </t>
        </is>
      </c>
      <c r="H1503" s="170">
        <f>VLOOKUP($G1503,DATOS!$B:$E,2,FALSE)</f>
        <v/>
      </c>
      <c r="I1503" s="170">
        <f>VLOOKUP($G1503,DATOS!$B:$E,3,FALSE)</f>
        <v/>
      </c>
      <c r="J1503" s="170">
        <f>VLOOKUP($G1503,DATOS!$B:$E,4,FALSE)</f>
        <v/>
      </c>
      <c r="K1503" s="170" t="inlineStr">
        <is>
          <t>Honorarios - Contrato O&amp;M 4º Trimestre</t>
        </is>
      </c>
      <c r="L1503" s="27" t="n">
        <v>3208.007861658325</v>
      </c>
      <c r="M1503" s="170" t="inlineStr">
        <is>
          <t>Garantía 40% (dotada en 2017)</t>
        </is>
      </c>
      <c r="N1503" s="27" t="n"/>
      <c r="P1503" s="27" t="n"/>
      <c r="R1503" s="27" t="n"/>
      <c r="T1503" s="27" t="n"/>
      <c r="V1503" s="27" t="n"/>
      <c r="X1503" s="27" t="n"/>
      <c r="Z1503" s="27" t="n"/>
      <c r="AA1503" s="27" t="n"/>
      <c r="AB1503" s="171" t="inlineStr">
        <is>
          <t>ES11 0081 7069 2700 0122 7724</t>
        </is>
      </c>
      <c r="AC1503" s="170" t="inlineStr">
        <is>
          <t>pendiente</t>
        </is>
      </c>
      <c r="AD1503" s="27">
        <f>L1503+N1503+P1503+R1503+T1503+V1503+X1503+Z1503</f>
        <v/>
      </c>
      <c r="AE1503" s="27">
        <f>IF((LEFT(K1503,6))="Contab",L1503,0)</f>
        <v/>
      </c>
      <c r="AF1503" s="171">
        <f>VLOOKUP(G1503,CLIENTES!B:E,4,FALSE)</f>
        <v/>
      </c>
      <c r="AG1503" s="27">
        <f>AF1503*AE1503</f>
        <v/>
      </c>
      <c r="AH1503" s="27">
        <f>AD1503*1.21</f>
        <v/>
      </c>
      <c r="AI1503" s="172">
        <f>IF(AE1503&lt;&gt;0,AG1503/AD1503,"N/A")</f>
        <v/>
      </c>
      <c r="AJ1503" s="27">
        <f>IF(AC1503="pendiente",AD1503,0)</f>
        <v/>
      </c>
      <c r="AK1503" s="170">
        <f>VLOOKUP(G1503,CLIENTES!B:D,3,FALSE)</f>
        <v/>
      </c>
    </row>
    <row r="1504" ht="15" customFormat="1" customHeight="1" s="170">
      <c r="B1504" s="169" t="n"/>
      <c r="C1504" s="170" t="inlineStr">
        <is>
          <t>c/ Las Cruzadas 3A, local D</t>
        </is>
      </c>
      <c r="D1504" s="170" t="inlineStr">
        <is>
          <t>Sevilla 41004</t>
        </is>
      </c>
      <c r="E1504" s="170" t="inlineStr">
        <is>
          <t>CIF B91938662</t>
        </is>
      </c>
      <c r="F1504" s="170" t="inlineStr">
        <is>
          <t>aBalados@abalados.es</t>
        </is>
      </c>
      <c r="G1504" s="170" t="inlineStr">
        <is>
          <t>Tiksi PV II S.L.U.</t>
        </is>
      </c>
      <c r="H1504" s="170">
        <f>VLOOKUP($G1504,DATOS!$B:$E,2,FALSE)</f>
        <v/>
      </c>
      <c r="I1504" s="170">
        <f>VLOOKUP($G1504,DATOS!$B:$E,3,FALSE)</f>
        <v/>
      </c>
      <c r="J1504" s="170">
        <f>VLOOKUP($G1504,DATOS!$B:$E,4,FALSE)</f>
        <v/>
      </c>
      <c r="K1504" s="170" t="inlineStr">
        <is>
          <t>Honorarios - Contrato O&amp;M 4º Trimestre</t>
        </is>
      </c>
      <c r="L1504" s="27" t="n">
        <v>4354.92778185</v>
      </c>
      <c r="M1504" s="170" t="inlineStr">
        <is>
          <t>Garantía 40% (dotada en 2017)</t>
        </is>
      </c>
      <c r="N1504" s="27" t="n"/>
      <c r="P1504" s="27" t="n"/>
      <c r="R1504" s="27" t="n"/>
      <c r="T1504" s="27" t="n"/>
      <c r="V1504" s="27" t="n"/>
      <c r="X1504" s="27" t="n"/>
      <c r="Z1504" s="27" t="n"/>
      <c r="AA1504" s="27" t="n"/>
      <c r="AB1504" s="171" t="inlineStr">
        <is>
          <t>ES11 0081 7069 2700 0122 7724</t>
        </is>
      </c>
      <c r="AC1504" s="170" t="inlineStr">
        <is>
          <t>pendiente</t>
        </is>
      </c>
      <c r="AD1504" s="27">
        <f>L1504+N1504+P1504+R1504+T1504+V1504+X1504+Z1504</f>
        <v/>
      </c>
      <c r="AE1504" s="27">
        <f>IF((LEFT(K1504,6))="Contab",L1504,0)</f>
        <v/>
      </c>
      <c r="AF1504" s="171">
        <f>VLOOKUP(G1504,CLIENTES!B:E,4,FALSE)</f>
        <v/>
      </c>
      <c r="AG1504" s="27">
        <f>AF1504*AE1504</f>
        <v/>
      </c>
      <c r="AH1504" s="27">
        <f>AD1504*1.21</f>
        <v/>
      </c>
      <c r="AI1504" s="172">
        <f>IF(AE1504&lt;&gt;0,AG1504/AD1504,"N/A")</f>
        <v/>
      </c>
      <c r="AJ1504" s="27">
        <f>IF(AC1504="pendiente",AD1504,0)</f>
        <v/>
      </c>
      <c r="AK1504" s="170">
        <f>VLOOKUP(G1504,CLIENTES!B:D,3,FALSE)</f>
        <v/>
      </c>
    </row>
    <row r="1505" ht="15" customFormat="1" customHeight="1" s="170">
      <c r="B1505" s="169" t="n"/>
      <c r="C1505" s="170" t="inlineStr">
        <is>
          <t>c/ Las Cruzadas 3A, local D</t>
        </is>
      </c>
      <c r="D1505" s="170" t="inlineStr">
        <is>
          <t>Sevilla 41004</t>
        </is>
      </c>
      <c r="E1505" s="170" t="inlineStr">
        <is>
          <t>CIF B91938662</t>
        </is>
      </c>
      <c r="F1505" s="170" t="inlineStr">
        <is>
          <t>aBalados@abalados.es</t>
        </is>
      </c>
      <c r="G1505" s="170" t="inlineStr">
        <is>
          <t>Amberg V S.L.U.</t>
        </is>
      </c>
      <c r="H1505" s="170">
        <f>VLOOKUP($G1505,DATOS!$B:$E,2,FALSE)</f>
        <v/>
      </c>
      <c r="I1505" s="170">
        <f>VLOOKUP($G1505,DATOS!$B:$E,3,FALSE)</f>
        <v/>
      </c>
      <c r="J1505" s="170">
        <f>VLOOKUP($G1505,DATOS!$B:$E,4,FALSE)</f>
        <v/>
      </c>
      <c r="K1505" s="170" t="inlineStr">
        <is>
          <t>Honorarios - Contrato O&amp;M 4º Trimestre</t>
        </is>
      </c>
      <c r="L1505" s="27" t="n">
        <v>6147.472249476001</v>
      </c>
      <c r="M1505" s="170" t="inlineStr">
        <is>
          <t>Garantía 40% (dotada en 2017)</t>
        </is>
      </c>
      <c r="N1505" s="27" t="n"/>
      <c r="P1505" s="27" t="n"/>
      <c r="R1505" s="27" t="n"/>
      <c r="T1505" s="27" t="n"/>
      <c r="V1505" s="27" t="n"/>
      <c r="X1505" s="27" t="n"/>
      <c r="Z1505" s="27" t="n"/>
      <c r="AA1505" s="27" t="n"/>
      <c r="AB1505" s="171" t="inlineStr">
        <is>
          <t>ES11 0081 7069 2700 0122 7724</t>
        </is>
      </c>
      <c r="AC1505" s="170" t="inlineStr">
        <is>
          <t>pendiente</t>
        </is>
      </c>
      <c r="AD1505" s="27">
        <f>L1505+N1505+P1505+R1505+T1505+V1505+X1505+Z1505</f>
        <v/>
      </c>
      <c r="AE1505" s="27">
        <f>IF((LEFT(K1505,6))="Contab",L1505,0)</f>
        <v/>
      </c>
      <c r="AF1505" s="171">
        <f>VLOOKUP(G1505,CLIENTES!B:E,4,FALSE)</f>
        <v/>
      </c>
      <c r="AG1505" s="27">
        <f>AF1505*AE1505</f>
        <v/>
      </c>
      <c r="AH1505" s="27">
        <f>AD1505*1.21</f>
        <v/>
      </c>
      <c r="AI1505" s="172">
        <f>IF(AE1505&lt;&gt;0,AG1505/AD1505,"N/A")</f>
        <v/>
      </c>
      <c r="AJ1505" s="27">
        <f>IF(AC1505="pendiente",AD1505,0)</f>
        <v/>
      </c>
      <c r="AK1505" s="170">
        <f>VLOOKUP(G1505,CLIENTES!B:D,3,FALSE)</f>
        <v/>
      </c>
    </row>
    <row r="1506" ht="15" customFormat="1" customHeight="1" s="170">
      <c r="B1506" s="169" t="n"/>
      <c r="C1506" s="170" t="inlineStr">
        <is>
          <t>c/ Las Cruzadas 3A, local D</t>
        </is>
      </c>
      <c r="D1506" s="170" t="inlineStr">
        <is>
          <t>Sevilla 41004</t>
        </is>
      </c>
      <c r="E1506" s="170" t="inlineStr">
        <is>
          <t>CIF B91938662</t>
        </is>
      </c>
      <c r="F1506" s="170" t="inlineStr">
        <is>
          <t>aBalados@abalados.es</t>
        </is>
      </c>
      <c r="G1506" s="170" t="inlineStr">
        <is>
          <t>Amberg II S.L.U.</t>
        </is>
      </c>
      <c r="H1506" s="170">
        <f>VLOOKUP($G1506,DATOS!$B:$E,2,FALSE)</f>
        <v/>
      </c>
      <c r="I1506" s="170">
        <f>VLOOKUP($G1506,DATOS!$B:$E,3,FALSE)</f>
        <v/>
      </c>
      <c r="J1506" s="170">
        <f>VLOOKUP($G1506,DATOS!$B:$E,4,FALSE)</f>
        <v/>
      </c>
      <c r="K1506" s="170" t="inlineStr">
        <is>
          <t>Honorarios - Contrato O&amp;M 4º Trimestre</t>
        </is>
      </c>
      <c r="L1506" s="27" t="n">
        <v>3310.681657815</v>
      </c>
      <c r="M1506" s="170" t="inlineStr">
        <is>
          <t>Garantía 40% (dotada en 2017)</t>
        </is>
      </c>
      <c r="N1506" s="27" t="n"/>
      <c r="P1506" s="27" t="n"/>
      <c r="R1506" s="27" t="n"/>
      <c r="T1506" s="27" t="n"/>
      <c r="V1506" s="27" t="n"/>
      <c r="X1506" s="27" t="n"/>
      <c r="Z1506" s="27" t="n"/>
      <c r="AA1506" s="27" t="n"/>
      <c r="AB1506" s="171" t="inlineStr">
        <is>
          <t>ES11 0081 7069 2700 0122 7724</t>
        </is>
      </c>
      <c r="AC1506" s="170" t="inlineStr">
        <is>
          <t>pendiente</t>
        </is>
      </c>
      <c r="AD1506" s="27">
        <f>L1506+N1506+P1506+R1506+T1506+V1506+X1506+Z1506</f>
        <v/>
      </c>
      <c r="AE1506" s="27">
        <f>IF((LEFT(K1506,6))="Contab",L1506,0)</f>
        <v/>
      </c>
      <c r="AF1506" s="171">
        <f>VLOOKUP(G1506,CLIENTES!B:E,4,FALSE)</f>
        <v/>
      </c>
      <c r="AG1506" s="27">
        <f>AF1506*AE1506</f>
        <v/>
      </c>
      <c r="AH1506" s="27">
        <f>AD1506*1.21</f>
        <v/>
      </c>
      <c r="AI1506" s="172">
        <f>IF(AE1506&lt;&gt;0,AG1506/AD1506,"N/A")</f>
        <v/>
      </c>
      <c r="AJ1506" s="27">
        <f>IF(AC1506="pendiente",AD1506,0)</f>
        <v/>
      </c>
      <c r="AK1506" s="170">
        <f>VLOOKUP(G1506,CLIENTES!B:D,3,FALSE)</f>
        <v/>
      </c>
    </row>
    <row r="1507" ht="15" customFormat="1" customHeight="1" s="170">
      <c r="B1507" s="169" t="n"/>
      <c r="C1507" s="170" t="inlineStr">
        <is>
          <t>c/ Las Cruzadas 3A, local D</t>
        </is>
      </c>
      <c r="D1507" s="170" t="inlineStr">
        <is>
          <t>Sevilla 41004</t>
        </is>
      </c>
      <c r="E1507" s="170" t="inlineStr">
        <is>
          <t>CIF B91938662</t>
        </is>
      </c>
      <c r="F1507" s="170" t="inlineStr">
        <is>
          <t>aBalados@abalados.es</t>
        </is>
      </c>
      <c r="G1507" s="170" t="inlineStr">
        <is>
          <t>Agrupación Solar el Algarrobo I, S.L.U.</t>
        </is>
      </c>
      <c r="H1507" s="170">
        <f>VLOOKUP($G1507,DATOS!$B:$E,2,FALSE)</f>
        <v/>
      </c>
      <c r="I1507" s="170">
        <f>VLOOKUP($G1507,DATOS!$B:$E,3,FALSE)</f>
        <v/>
      </c>
      <c r="J1507" s="170">
        <f>VLOOKUP($G1507,DATOS!$B:$E,4,FALSE)</f>
        <v/>
      </c>
      <c r="K1507" s="170" t="inlineStr">
        <is>
          <t>Honorarios - Contrato O&amp;M 4º Trimestre</t>
        </is>
      </c>
      <c r="L1507" s="27" t="n">
        <v>9789.449935790179</v>
      </c>
      <c r="M1507" s="170" t="inlineStr">
        <is>
          <t>Garantía 30% (dotada en 2017)</t>
        </is>
      </c>
      <c r="N1507" s="27" t="n"/>
      <c r="P1507" s="27" t="n"/>
      <c r="R1507" s="27" t="n"/>
      <c r="T1507" s="27" t="n"/>
      <c r="V1507" s="27" t="n"/>
      <c r="X1507" s="27" t="n"/>
      <c r="Z1507" s="27" t="n"/>
      <c r="AA1507" s="27" t="n"/>
      <c r="AB1507" s="171" t="inlineStr">
        <is>
          <t>ES11 0081 7069 2700 0122 7724</t>
        </is>
      </c>
      <c r="AC1507" s="170" t="inlineStr">
        <is>
          <t>pendiente</t>
        </is>
      </c>
      <c r="AD1507" s="27">
        <f>L1507+N1507+P1507+R1507+T1507+V1507+X1507+Z1507</f>
        <v/>
      </c>
      <c r="AE1507" s="27">
        <f>IF((LEFT(K1507,6))="Contab",L1507,0)</f>
        <v/>
      </c>
      <c r="AF1507" s="171">
        <f>VLOOKUP(G1507,CLIENTES!B:E,4,FALSE)</f>
        <v/>
      </c>
      <c r="AG1507" s="27">
        <f>AF1507*AE1507</f>
        <v/>
      </c>
      <c r="AH1507" s="27">
        <f>AD1507*1.21</f>
        <v/>
      </c>
      <c r="AI1507" s="172">
        <f>IF(AE1507&lt;&gt;0,AG1507/AD1507,"N/A")</f>
        <v/>
      </c>
      <c r="AJ1507" s="27">
        <f>IF(AC1507="pendiente",AD1507,0)</f>
        <v/>
      </c>
      <c r="AK1507" s="170">
        <f>VLOOKUP(G1507,CLIENTES!B:D,3,FALSE)</f>
        <v/>
      </c>
    </row>
    <row r="1508" ht="15" customFormat="1" customHeight="1" s="170">
      <c r="B1508" s="169" t="n"/>
      <c r="C1508" s="170" t="inlineStr">
        <is>
          <t>c/ Las Cruzadas 3A, local D</t>
        </is>
      </c>
      <c r="D1508" s="170" t="inlineStr">
        <is>
          <t>Sevilla 41004</t>
        </is>
      </c>
      <c r="E1508" s="170" t="inlineStr">
        <is>
          <t>CIF B91938662</t>
        </is>
      </c>
      <c r="F1508" s="170" t="inlineStr">
        <is>
          <t>aBalados@abalados.es</t>
        </is>
      </c>
      <c r="G1508" s="170" t="inlineStr">
        <is>
          <t>Agrupación Solar el Algarrobo II, S.L.U.</t>
        </is>
      </c>
      <c r="H1508" s="170">
        <f>VLOOKUP($G1508,DATOS!$B:$E,2,FALSE)</f>
        <v/>
      </c>
      <c r="I1508" s="170">
        <f>VLOOKUP($G1508,DATOS!$B:$E,3,FALSE)</f>
        <v/>
      </c>
      <c r="J1508" s="170">
        <f>VLOOKUP($G1508,DATOS!$B:$E,4,FALSE)</f>
        <v/>
      </c>
      <c r="K1508" s="170" t="inlineStr">
        <is>
          <t>Honorarios - Contrato O&amp;M 4º Trimestre</t>
        </is>
      </c>
      <c r="L1508" s="27" t="n">
        <v>9789.449935790179</v>
      </c>
      <c r="M1508" s="170" t="inlineStr">
        <is>
          <t>Garantía 30% (dotada en 2017)</t>
        </is>
      </c>
      <c r="N1508" s="27" t="n"/>
      <c r="P1508" s="27" t="n"/>
      <c r="R1508" s="27" t="n"/>
      <c r="T1508" s="27" t="n"/>
      <c r="V1508" s="27" t="n"/>
      <c r="X1508" s="27" t="n"/>
      <c r="Z1508" s="27" t="n"/>
      <c r="AA1508" s="27" t="n"/>
      <c r="AB1508" s="171" t="inlineStr">
        <is>
          <t>ES11 0081 7069 2700 0122 7724</t>
        </is>
      </c>
      <c r="AC1508" s="170" t="inlineStr">
        <is>
          <t>pendiente</t>
        </is>
      </c>
      <c r="AD1508" s="27">
        <f>L1508+N1508+P1508+R1508+T1508+V1508+X1508+Z1508</f>
        <v/>
      </c>
      <c r="AE1508" s="27">
        <f>IF((LEFT(K1508,6))="Contab",L1508,0)</f>
        <v/>
      </c>
      <c r="AF1508" s="171">
        <f>VLOOKUP(G1508,CLIENTES!B:E,4,FALSE)</f>
        <v/>
      </c>
      <c r="AG1508" s="27">
        <f>AF1508*AE1508</f>
        <v/>
      </c>
      <c r="AH1508" s="27">
        <f>AD1508*1.21</f>
        <v/>
      </c>
      <c r="AI1508" s="172">
        <f>IF(AE1508&lt;&gt;0,AG1508/AD1508,"N/A")</f>
        <v/>
      </c>
      <c r="AJ1508" s="27">
        <f>IF(AC1508="pendiente",AD1508,0)</f>
        <v/>
      </c>
      <c r="AK1508" s="170">
        <f>VLOOKUP(G1508,CLIENTES!B:D,3,FALSE)</f>
        <v/>
      </c>
    </row>
    <row r="1509" ht="15" customFormat="1" customHeight="1" s="170">
      <c r="B1509" s="169" t="n"/>
      <c r="C1509" s="170" t="inlineStr">
        <is>
          <t>c/ Las Cruzadas 3A, local D</t>
        </is>
      </c>
      <c r="D1509" s="170" t="inlineStr">
        <is>
          <t>Sevilla 41004</t>
        </is>
      </c>
      <c r="E1509" s="170" t="inlineStr">
        <is>
          <t>CIF B91938662</t>
        </is>
      </c>
      <c r="F1509" s="170" t="inlineStr">
        <is>
          <t>aBalados@abalados.es</t>
        </is>
      </c>
      <c r="G1509" s="170" t="inlineStr">
        <is>
          <t>Agrupación Solar el Algarrobo III, S.L.U.</t>
        </is>
      </c>
      <c r="H1509" s="170">
        <f>VLOOKUP($G1509,DATOS!$B:$E,2,FALSE)</f>
        <v/>
      </c>
      <c r="I1509" s="170">
        <f>VLOOKUP($G1509,DATOS!$B:$E,3,FALSE)</f>
        <v/>
      </c>
      <c r="J1509" s="170">
        <f>VLOOKUP($G1509,DATOS!$B:$E,4,FALSE)</f>
        <v/>
      </c>
      <c r="K1509" s="170" t="inlineStr">
        <is>
          <t>Honorarios - Contrato O&amp;M 4º Trimestre</t>
        </is>
      </c>
      <c r="L1509" s="27" t="n">
        <v>8857.121370476829</v>
      </c>
      <c r="M1509" s="170" t="inlineStr">
        <is>
          <t>Garantía 30% (dotada en 2017)</t>
        </is>
      </c>
      <c r="N1509" s="27" t="n"/>
      <c r="P1509" s="27" t="n"/>
      <c r="R1509" s="27" t="n"/>
      <c r="T1509" s="27" t="n"/>
      <c r="V1509" s="27" t="n"/>
      <c r="X1509" s="27" t="n"/>
      <c r="Z1509" s="27" t="n"/>
      <c r="AA1509" s="27" t="n"/>
      <c r="AB1509" s="171" t="inlineStr">
        <is>
          <t>ES11 0081 7069 2700 0122 7724</t>
        </is>
      </c>
      <c r="AC1509" s="170" t="inlineStr">
        <is>
          <t>pendiente</t>
        </is>
      </c>
      <c r="AD1509" s="27">
        <f>L1509+N1509+P1509+R1509+T1509+V1509+X1509+Z1509</f>
        <v/>
      </c>
      <c r="AE1509" s="27">
        <f>IF((LEFT(K1509,6))="Contab",L1509,0)</f>
        <v/>
      </c>
      <c r="AF1509" s="171">
        <f>VLOOKUP(G1509,CLIENTES!B:E,4,FALSE)</f>
        <v/>
      </c>
      <c r="AG1509" s="27">
        <f>AF1509*AE1509</f>
        <v/>
      </c>
      <c r="AH1509" s="27">
        <f>AD1509*1.21</f>
        <v/>
      </c>
      <c r="AI1509" s="172">
        <f>IF(AE1509&lt;&gt;0,AG1509/AD1509,"N/A")</f>
        <v/>
      </c>
      <c r="AJ1509" s="27">
        <f>IF(AC1509="pendiente",AD1509,0)</f>
        <v/>
      </c>
      <c r="AK1509" s="170">
        <f>VLOOKUP(G1509,CLIENTES!B:D,3,FALSE)</f>
        <v/>
      </c>
    </row>
    <row r="1510" ht="15" customFormat="1" customHeight="1" s="170">
      <c r="B1510" s="169" t="n"/>
      <c r="C1510" s="170" t="inlineStr">
        <is>
          <t>c/ Las Cruzadas 3A, local D</t>
        </is>
      </c>
      <c r="D1510" s="170" t="inlineStr">
        <is>
          <t>Sevilla 41004</t>
        </is>
      </c>
      <c r="E1510" s="170" t="inlineStr">
        <is>
          <t>CIF B91938662</t>
        </is>
      </c>
      <c r="F1510" s="170" t="inlineStr">
        <is>
          <t>aBalados@abalados.es</t>
        </is>
      </c>
      <c r="G1510" s="170" t="inlineStr">
        <is>
          <t>Locaba Solar S.L.U.</t>
        </is>
      </c>
      <c r="H1510" s="170">
        <f>VLOOKUP($G1510,DATOS!$B:$E,2,FALSE)</f>
        <v/>
      </c>
      <c r="I1510" s="170">
        <f>VLOOKUP($G1510,DATOS!$B:$E,3,FALSE)</f>
        <v/>
      </c>
      <c r="J1510" s="170">
        <f>VLOOKUP($G1510,DATOS!$B:$E,4,FALSE)</f>
        <v/>
      </c>
      <c r="K1510" s="170" t="inlineStr">
        <is>
          <t>Honorarios - Contrato O&amp;M 4º Trimestre</t>
        </is>
      </c>
      <c r="L1510" s="27" t="n">
        <v>19469.92640290737</v>
      </c>
      <c r="M1510" s="170" t="inlineStr">
        <is>
          <t>Garantía 30% (dotada en 2017)</t>
        </is>
      </c>
      <c r="N1510" s="27" t="n"/>
      <c r="P1510" s="27" t="n"/>
      <c r="R1510" s="27" t="n"/>
      <c r="T1510" s="27" t="n"/>
      <c r="V1510" s="27" t="n"/>
      <c r="X1510" s="27" t="n"/>
      <c r="Z1510" s="27" t="n"/>
      <c r="AA1510" s="27" t="n"/>
      <c r="AB1510" s="171" t="inlineStr">
        <is>
          <t>ES11 0081 7069 2700 0122 7724</t>
        </is>
      </c>
      <c r="AC1510" s="170" t="inlineStr">
        <is>
          <t>pendiente</t>
        </is>
      </c>
      <c r="AD1510" s="27">
        <f>L1510+N1510+P1510+R1510+T1510+V1510+X1510+Z1510</f>
        <v/>
      </c>
      <c r="AE1510" s="27">
        <f>IF((LEFT(K1510,6))="Contab",L1510,0)</f>
        <v/>
      </c>
      <c r="AF1510" s="171">
        <f>VLOOKUP(G1510,CLIENTES!B:E,4,FALSE)</f>
        <v/>
      </c>
      <c r="AG1510" s="27">
        <f>AF1510*AE1510</f>
        <v/>
      </c>
      <c r="AH1510" s="27">
        <f>AD1510*1.21</f>
        <v/>
      </c>
      <c r="AI1510" s="172">
        <f>IF(AE1510&lt;&gt;0,AG1510/AD1510,"N/A")</f>
        <v/>
      </c>
      <c r="AJ1510" s="27">
        <f>IF(AC1510="pendiente",AD1510,0)</f>
        <v/>
      </c>
      <c r="AK1510" s="170">
        <f>VLOOKUP(G1510,CLIENTES!B:D,3,FALSE)</f>
        <v/>
      </c>
    </row>
    <row r="1511" ht="15" customFormat="1" customHeight="1" s="170">
      <c r="B1511" s="169" t="n"/>
      <c r="C1511" s="170" t="inlineStr">
        <is>
          <t>c/ Las Cruzadas 3A, local D</t>
        </is>
      </c>
      <c r="D1511" s="170" t="inlineStr">
        <is>
          <t>Sevilla 41004</t>
        </is>
      </c>
      <c r="E1511" s="170" t="inlineStr">
        <is>
          <t>CIF B91938662</t>
        </is>
      </c>
      <c r="F1511" s="170" t="inlineStr">
        <is>
          <t>aBalados@abalados.es</t>
        </is>
      </c>
      <c r="G1511" s="170" t="inlineStr">
        <is>
          <t>Lo Illán  Parque Solar S.L.U.</t>
        </is>
      </c>
      <c r="H1511" s="170">
        <f>VLOOKUP($G1511,DATOS!$B:$E,2,FALSE)</f>
        <v/>
      </c>
      <c r="I1511" s="170">
        <f>VLOOKUP($G1511,DATOS!$B:$E,3,FALSE)</f>
        <v/>
      </c>
      <c r="J1511" s="170">
        <f>VLOOKUP($G1511,DATOS!$B:$E,4,FALSE)</f>
        <v/>
      </c>
      <c r="K1511" s="170" t="inlineStr">
        <is>
          <t>Honorarios - Contrato O&amp;M 4º Trimestre</t>
        </is>
      </c>
      <c r="L1511" s="27" t="n">
        <v>9644.033265199501</v>
      </c>
      <c r="N1511" s="27" t="n"/>
      <c r="P1511" s="27" t="n"/>
      <c r="R1511" s="27" t="n"/>
      <c r="T1511" s="27" t="n"/>
      <c r="V1511" s="27" t="n"/>
      <c r="X1511" s="27" t="n"/>
      <c r="Z1511" s="27" t="n"/>
      <c r="AA1511" s="27" t="n"/>
      <c r="AB1511" s="171" t="inlineStr">
        <is>
          <t>ES11 0081 7069 2700 0122 7724</t>
        </is>
      </c>
      <c r="AC1511" s="170" t="inlineStr">
        <is>
          <t>pendiente</t>
        </is>
      </c>
      <c r="AD1511" s="27">
        <f>L1511+N1511+P1511+R1511+T1511+V1511+X1511+Z1511</f>
        <v/>
      </c>
      <c r="AE1511" s="27">
        <f>IF((LEFT(K1511,6))="Contab",L1511,0)</f>
        <v/>
      </c>
      <c r="AF1511" s="171">
        <f>VLOOKUP(G1511,CLIENTES!B:E,4,FALSE)</f>
        <v/>
      </c>
      <c r="AG1511" s="27">
        <f>AF1511*AE1511</f>
        <v/>
      </c>
      <c r="AH1511" s="27">
        <f>AD1511*1.21</f>
        <v/>
      </c>
      <c r="AI1511" s="172">
        <f>IF(AE1511&lt;&gt;0,AG1511/AD1511,"N/A")</f>
        <v/>
      </c>
      <c r="AJ1511" s="27">
        <f>IF(AC1511="pendiente",AD1511,0)</f>
        <v/>
      </c>
      <c r="AK1511" s="170">
        <f>VLOOKUP(G1511,CLIENTES!B:D,3,FALSE)</f>
        <v/>
      </c>
    </row>
    <row r="1512" ht="15" customFormat="1" customHeight="1" s="170">
      <c r="B1512" s="169" t="n"/>
      <c r="C1512" s="170" t="inlineStr">
        <is>
          <t>c/ Las Cruzadas 3A, local D</t>
        </is>
      </c>
      <c r="D1512" s="170" t="inlineStr">
        <is>
          <t>Sevilla 41004</t>
        </is>
      </c>
      <c r="E1512" s="170" t="inlineStr">
        <is>
          <t>CIF B91938662</t>
        </is>
      </c>
      <c r="F1512" s="170" t="inlineStr">
        <is>
          <t>aBalados@abalados.es</t>
        </is>
      </c>
      <c r="G1512" s="170" t="inlineStr">
        <is>
          <t>Contreras Parque Solar S.L.U.</t>
        </is>
      </c>
      <c r="H1512" s="170">
        <f>VLOOKUP($G1512,DATOS!$B:$E,2,FALSE)</f>
        <v/>
      </c>
      <c r="I1512" s="170">
        <f>VLOOKUP($G1512,DATOS!$B:$E,3,FALSE)</f>
        <v/>
      </c>
      <c r="J1512" s="170">
        <f>VLOOKUP($G1512,DATOS!$B:$E,4,FALSE)</f>
        <v/>
      </c>
      <c r="K1512" s="170" t="inlineStr">
        <is>
          <t>Honorarios - Contrato O&amp;M 4º Trimestre</t>
        </is>
      </c>
      <c r="L1512" s="27" t="n">
        <v>14694.70898497972</v>
      </c>
      <c r="N1512" s="27" t="n"/>
      <c r="P1512" s="27" t="n"/>
      <c r="R1512" s="27" t="n"/>
      <c r="T1512" s="27" t="n"/>
      <c r="V1512" s="27" t="n"/>
      <c r="X1512" s="27" t="n"/>
      <c r="Z1512" s="27" t="n"/>
      <c r="AA1512" s="27" t="n"/>
      <c r="AB1512" s="171" t="inlineStr">
        <is>
          <t>ES11 0081 7069 2700 0122 7724</t>
        </is>
      </c>
      <c r="AC1512" s="170" t="inlineStr">
        <is>
          <t>pendiente</t>
        </is>
      </c>
      <c r="AD1512" s="27">
        <f>L1512+N1512+P1512+R1512+T1512+V1512+X1512+Z1512</f>
        <v/>
      </c>
      <c r="AE1512" s="27">
        <f>IF((LEFT(K1512,6))="Contab",L1512,0)</f>
        <v/>
      </c>
      <c r="AF1512" s="171">
        <f>VLOOKUP(G1512,CLIENTES!B:E,4,FALSE)</f>
        <v/>
      </c>
      <c r="AG1512" s="27">
        <f>AF1512*AE1512</f>
        <v/>
      </c>
      <c r="AH1512" s="27">
        <f>AD1512*1.21</f>
        <v/>
      </c>
      <c r="AI1512" s="172">
        <f>IF(AE1512&lt;&gt;0,AG1512/AD1512,"N/A")</f>
        <v/>
      </c>
      <c r="AJ1512" s="27">
        <f>IF(AC1512="pendiente",AD1512,0)</f>
        <v/>
      </c>
      <c r="AK1512" s="170">
        <f>VLOOKUP(G1512,CLIENTES!B:D,3,FALSE)</f>
        <v/>
      </c>
    </row>
    <row r="1513" ht="15" customFormat="1" customHeight="1" s="234">
      <c r="B1513" s="235" t="n"/>
      <c r="C1513" s="234" t="inlineStr">
        <is>
          <t>c/ Las Cruzadas 3A, local D</t>
        </is>
      </c>
      <c r="D1513" s="234" t="inlineStr">
        <is>
          <t>Sevilla 41004</t>
        </is>
      </c>
      <c r="E1513" s="234" t="inlineStr">
        <is>
          <t>CIF B91938662</t>
        </is>
      </c>
      <c r="F1513" s="234" t="inlineStr">
        <is>
          <t>aBalados@abalados.es</t>
        </is>
      </c>
      <c r="G1513" s="234" t="inlineStr">
        <is>
          <t>Turbinto Parque Solar S.L.U.</t>
        </is>
      </c>
      <c r="H1513" s="234">
        <f>VLOOKUP($G1513,DATOS!$B:$E,2,FALSE)</f>
        <v/>
      </c>
      <c r="I1513" s="234">
        <f>VLOOKUP($G1513,DATOS!$B:$E,3,FALSE)</f>
        <v/>
      </c>
      <c r="J1513" s="234">
        <f>VLOOKUP($G1513,DATOS!$B:$E,4,FALSE)</f>
        <v/>
      </c>
      <c r="K1513" s="234" t="inlineStr">
        <is>
          <t>Honorarios - Contrato O&amp;M 4º Trimestre</t>
        </is>
      </c>
      <c r="L1513" s="236" t="n">
        <v>10470.40048100242</v>
      </c>
      <c r="N1513" s="236" t="n"/>
      <c r="P1513" s="236" t="n"/>
      <c r="R1513" s="236" t="n"/>
      <c r="T1513" s="236" t="n"/>
      <c r="V1513" s="236" t="n"/>
      <c r="X1513" s="236" t="n"/>
      <c r="Z1513" s="236" t="n"/>
      <c r="AA1513" s="236" t="n"/>
      <c r="AB1513" s="237" t="inlineStr">
        <is>
          <t>ES11 0081 7069 2700 0122 7724</t>
        </is>
      </c>
      <c r="AC1513" s="170" t="inlineStr">
        <is>
          <t>pendiente</t>
        </is>
      </c>
      <c r="AD1513" s="236">
        <f>L1513+N1513+P1513+R1513+T1513+V1513+X1513+Z1513</f>
        <v/>
      </c>
      <c r="AE1513" s="236">
        <f>IF((LEFT(K1513,6))="Contab",L1513,0)</f>
        <v/>
      </c>
      <c r="AF1513" s="237">
        <f>VLOOKUP(G1513,CLIENTES!B:E,4,FALSE)</f>
        <v/>
      </c>
      <c r="AG1513" s="236">
        <f>AF1513*AE1513</f>
        <v/>
      </c>
      <c r="AH1513" s="236">
        <f>AD1513*1.21</f>
        <v/>
      </c>
      <c r="AI1513" s="238">
        <f>IF(AE1513&lt;&gt;0,AG1513/AD1513,"N/A")</f>
        <v/>
      </c>
      <c r="AJ1513" s="236">
        <f>IF(AC1513="pendiente",AD1513,0)</f>
        <v/>
      </c>
      <c r="AK1513" s="234">
        <f>VLOOKUP(G1513,CLIENTES!B:D,3,FALSE)</f>
        <v/>
      </c>
    </row>
    <row r="1514" ht="15" customFormat="1" customHeight="1" s="234">
      <c r="B1514" s="235" t="n"/>
      <c r="C1514" s="234" t="inlineStr">
        <is>
          <t>c/ Las Cruzadas 3A, local D</t>
        </is>
      </c>
      <c r="D1514" s="234" t="inlineStr">
        <is>
          <t>Sevilla 41004</t>
        </is>
      </c>
      <c r="E1514" s="234" t="inlineStr">
        <is>
          <t>CIF B91938662</t>
        </is>
      </c>
      <c r="F1514" s="234" t="inlineStr">
        <is>
          <t>aBalados@abalados.es</t>
        </is>
      </c>
      <c r="G1514" s="240" t="inlineStr">
        <is>
          <t>FP LUX REIO PV ZARAGOZA SL.</t>
        </is>
      </c>
      <c r="H1514" s="234">
        <f>VLOOKUP($G1514,DATOS!$B:$E,2,FALSE)</f>
        <v/>
      </c>
      <c r="I1514" s="234">
        <f>VLOOKUP($G1514,DATOS!$B:$E,3,FALSE)</f>
        <v/>
      </c>
      <c r="J1514" s="234">
        <f>VLOOKUP($G1514,DATOS!$B:$E,4,FALSE)</f>
        <v/>
      </c>
      <c r="K1514" s="234" t="inlineStr">
        <is>
          <t>Proyecto El Marqués - Zaragoza</t>
        </is>
      </c>
      <c r="L1514" s="236" t="n"/>
      <c r="M1514" s="234" t="inlineStr">
        <is>
          <t>Asset Management fee - 4th quarter 2022</t>
        </is>
      </c>
      <c r="N1514" s="236">
        <f>'Tarifa 2025'!#REF!/4</f>
        <v/>
      </c>
      <c r="O1514" s="234" t="inlineStr">
        <is>
          <t>Honorarios de gestión de activo - 4º trimestre</t>
        </is>
      </c>
      <c r="P1514" s="236" t="n"/>
      <c r="R1514" s="236" t="n"/>
      <c r="T1514" s="236" t="n"/>
      <c r="V1514" s="236" t="n"/>
      <c r="X1514" s="236" t="n"/>
      <c r="Z1514" s="236" t="n"/>
      <c r="AA1514" s="236" t="n"/>
      <c r="AB1514" s="237" t="inlineStr">
        <is>
          <t>ES11 0081 7069 2700 0122 7724</t>
        </is>
      </c>
      <c r="AC1514" s="234" t="inlineStr">
        <is>
          <t>pendiente</t>
        </is>
      </c>
      <c r="AD1514" s="236">
        <f>L1514+N1514+P1514+R1514+T1514+V1514+X1514+Z1514</f>
        <v/>
      </c>
      <c r="AE1514" s="236">
        <f>IF((LEFT(K1514,6))="Contab",L1514,0)</f>
        <v/>
      </c>
      <c r="AF1514" s="237">
        <f>VLOOKUP(G1514,CLIENTES!B:E,4,FALSE)</f>
        <v/>
      </c>
      <c r="AG1514" s="236">
        <f>AF1514*AE1514</f>
        <v/>
      </c>
      <c r="AH1514" s="236">
        <f>AD1514*1.21</f>
        <v/>
      </c>
      <c r="AI1514" s="238">
        <f>IF(AE1514&lt;&gt;0,AG1514/AD1514,"N/A")</f>
        <v/>
      </c>
      <c r="AJ1514" s="236">
        <f>IF(AC1514="pendiente",AD1514,0)</f>
        <v/>
      </c>
      <c r="AK1514" s="234">
        <f>VLOOKUP(G1514,CLIENTES!B:D,3,FALSE)</f>
        <v/>
      </c>
    </row>
    <row r="1515" ht="15" customFormat="1" customHeight="1" s="234">
      <c r="B1515" s="235" t="n"/>
      <c r="C1515" s="234" t="inlineStr">
        <is>
          <t>c/ Las Cruzadas 3A, local D</t>
        </is>
      </c>
      <c r="D1515" s="234" t="inlineStr">
        <is>
          <t>Sevilla 41004</t>
        </is>
      </c>
      <c r="E1515" s="234" t="inlineStr">
        <is>
          <t>CIF B91938662</t>
        </is>
      </c>
      <c r="F1515" s="234" t="inlineStr">
        <is>
          <t>aBalados@abalados.es</t>
        </is>
      </c>
      <c r="G1515" s="234" t="inlineStr">
        <is>
          <t>Inver Generación 1, S.L.</t>
        </is>
      </c>
      <c r="H1515" s="234">
        <f>VLOOKUP($G1515,DATOS!$B:$E,2,FALSE)</f>
        <v/>
      </c>
      <c r="I1515" s="234">
        <f>VLOOKUP($G1515,DATOS!$B:$E,3,FALSE)</f>
        <v/>
      </c>
      <c r="J1515" s="234">
        <f>VLOOKUP($G1515,DATOS!$B:$E,4,FALSE)</f>
        <v/>
      </c>
      <c r="K1515" s="234" t="inlineStr">
        <is>
          <t>Asset Management 4Q2021 | 01.10 - 31.12</t>
        </is>
      </c>
      <c r="L1515" s="236">
        <f>'Tarifa 2025'!$D$29/4</f>
        <v/>
      </c>
      <c r="M1515" s="234" t="inlineStr">
        <is>
          <t>Gestión de Activos 4T2022 | 01.10 - 31.12</t>
        </is>
      </c>
      <c r="N1515" s="236" t="n"/>
      <c r="P1515" s="236" t="n"/>
      <c r="R1515" s="236" t="n"/>
      <c r="T1515" s="236" t="n"/>
      <c r="V1515" s="236" t="n"/>
      <c r="X1515" s="236" t="n"/>
      <c r="Z1515" s="236" t="n"/>
      <c r="AA1515" s="236" t="n"/>
      <c r="AB1515" s="237" t="inlineStr">
        <is>
          <t>ES11 0081 7069 2700 0122 7724</t>
        </is>
      </c>
      <c r="AC1515" s="234" t="inlineStr">
        <is>
          <t>pendiente</t>
        </is>
      </c>
      <c r="AD1515" s="236">
        <f>L1515+N1515+P1515+R1515+T1515+V1515+X1515+Z1515</f>
        <v/>
      </c>
      <c r="AE1515" s="236">
        <f>IF((LEFT(K1515,6))="Contab",L1515,0)</f>
        <v/>
      </c>
      <c r="AF1515" s="237">
        <f>VLOOKUP(G1515,CLIENTES!B:E,4,FALSE)</f>
        <v/>
      </c>
      <c r="AG1515" s="236">
        <f>AF1515*AE1515</f>
        <v/>
      </c>
      <c r="AH1515" s="236">
        <f>AD1515*1.21</f>
        <v/>
      </c>
      <c r="AI1515" s="238">
        <f>IF(AE1515&lt;&gt;0,AG1515/AD1515,"N/A")</f>
        <v/>
      </c>
      <c r="AJ1515" s="236">
        <f>IF(AC1515="pendiente",AD1515,0)</f>
        <v/>
      </c>
      <c r="AK1515" s="234">
        <f>VLOOKUP(G1515,CLIENTES!B:D,3,FALSE)</f>
        <v/>
      </c>
    </row>
    <row r="1516" ht="15" customFormat="1" customHeight="1" s="234">
      <c r="B1516" s="235" t="n"/>
      <c r="C1516" s="234" t="inlineStr">
        <is>
          <t>c/ Las Cruzadas 3A, local D</t>
        </is>
      </c>
      <c r="D1516" s="234" t="inlineStr">
        <is>
          <t>Sevilla 41004</t>
        </is>
      </c>
      <c r="E1516" s="234" t="inlineStr">
        <is>
          <t>CIF B91938662</t>
        </is>
      </c>
      <c r="F1516" s="234" t="inlineStr">
        <is>
          <t>aBalados@abalados.es</t>
        </is>
      </c>
      <c r="G1516" s="240" t="inlineStr">
        <is>
          <t>FP LUX REIO PV ZARAGOZA SL.</t>
        </is>
      </c>
      <c r="H1516" s="234">
        <f>VLOOKUP($G1516,DATOS!$B:$E,2,FALSE)</f>
        <v/>
      </c>
      <c r="I1516" s="234">
        <f>VLOOKUP($G1516,DATOS!$B:$E,3,FALSE)</f>
        <v/>
      </c>
      <c r="J1516" s="234">
        <f>VLOOKUP($G1516,DATOS!$B:$E,4,FALSE)</f>
        <v/>
      </c>
      <c r="K1516" s="234" t="inlineStr">
        <is>
          <t>Proyecto El Marqués - Zaragoza</t>
        </is>
      </c>
      <c r="L1516" s="236" t="n"/>
      <c r="M1516" s="234" t="inlineStr">
        <is>
          <t>Revision of Balance Sheet, P&amp;L and Annual Statements</t>
        </is>
      </c>
      <c r="N1516" s="236" t="n">
        <v>500</v>
      </c>
      <c r="O1516" s="234" t="inlineStr">
        <is>
          <t>Revisión de Balances, PyG y cuentas anuales</t>
        </is>
      </c>
      <c r="P1516" s="236" t="n"/>
      <c r="R1516" s="236" t="n"/>
      <c r="T1516" s="236" t="n"/>
      <c r="V1516" s="236" t="n"/>
      <c r="X1516" s="236" t="n"/>
      <c r="Z1516" s="236" t="n"/>
      <c r="AA1516" s="236" t="n"/>
      <c r="AB1516" s="237" t="inlineStr">
        <is>
          <t>ES11 0081 7069 2700 0122 7724</t>
        </is>
      </c>
      <c r="AC1516" s="234" t="inlineStr">
        <is>
          <t>pendiente</t>
        </is>
      </c>
      <c r="AD1516" s="236">
        <f>L1516+N1516+P1516+R1516+T1516+V1516+X1516+Z1516</f>
        <v/>
      </c>
      <c r="AE1516" s="236">
        <f>IF((LEFT(K1516,6))="Contab",L1516,0)</f>
        <v/>
      </c>
      <c r="AF1516" s="237">
        <f>VLOOKUP(G1516,CLIENTES!B:E,4,FALSE)</f>
        <v/>
      </c>
      <c r="AG1516" s="236">
        <f>AF1516*AE1516</f>
        <v/>
      </c>
      <c r="AH1516" s="236">
        <f>AD1516*1.21</f>
        <v/>
      </c>
      <c r="AI1516" s="238">
        <f>IF(AE1516&lt;&gt;0,AG1516/AD1516,"N/A")</f>
        <v/>
      </c>
      <c r="AJ1516" s="236">
        <f>IF(AC1516="pendiente",AD1516,0)</f>
        <v/>
      </c>
      <c r="AK1516" s="234">
        <f>VLOOKUP(G1516,CLIENTES!B:D,3,FALSE)</f>
        <v/>
      </c>
    </row>
    <row r="1517" ht="15" customFormat="1" customHeight="1" s="170">
      <c r="A1517" s="234" t="n"/>
      <c r="B1517" s="235" t="n"/>
      <c r="C1517" s="234" t="inlineStr">
        <is>
          <t>c/ Las Cruzadas 3A, local D</t>
        </is>
      </c>
      <c r="D1517" s="234" t="inlineStr">
        <is>
          <t>Sevilla 41004</t>
        </is>
      </c>
      <c r="E1517" s="234" t="inlineStr">
        <is>
          <t>CIF B91938662</t>
        </is>
      </c>
      <c r="F1517" s="234" t="inlineStr">
        <is>
          <t>aBalados@abalados.es</t>
        </is>
      </c>
      <c r="G1517" s="234" t="inlineStr">
        <is>
          <t>China Triumph International Engineering Co., LTD EP EN SPAIN</t>
        </is>
      </c>
      <c r="H1517" s="234">
        <f>VLOOKUP($G1517,DATOS!$B:$E,2,FALSE)</f>
        <v/>
      </c>
      <c r="I1517" s="234">
        <f>VLOOKUP($G1517,DATOS!$B:$E,3,FALSE)</f>
        <v/>
      </c>
      <c r="J1517" s="234">
        <f>VLOOKUP($G1517,DATOS!$B:$E,4,FALSE)</f>
        <v/>
      </c>
      <c r="K1517" s="234" t="inlineStr">
        <is>
          <t>O&amp;M Supervision and Management</t>
        </is>
      </c>
      <c r="L1517" s="236" t="n"/>
      <c r="M1517" s="234" t="n"/>
      <c r="N1517" s="236" t="n"/>
      <c r="O1517" s="234" t="inlineStr">
        <is>
          <t>Puerto Real 1 PV - Cádiz | Spain</t>
        </is>
      </c>
      <c r="P1517" s="236" t="n">
        <v>15430</v>
      </c>
      <c r="Q1517" s="234" t="inlineStr">
        <is>
          <t>O&amp;M Management services provided on October 2022</t>
        </is>
      </c>
      <c r="R1517" s="236" t="n"/>
      <c r="S1517" s="234" t="n"/>
      <c r="T1517" s="236" t="n"/>
      <c r="U1517" s="234" t="n"/>
      <c r="V1517" s="236" t="n"/>
      <c r="W1517" s="234" t="n"/>
      <c r="X1517" s="236" t="n"/>
      <c r="Y1517" s="234" t="n"/>
      <c r="Z1517" s="236" t="n"/>
      <c r="AA1517" s="236" t="n"/>
      <c r="AB1517" s="237" t="inlineStr">
        <is>
          <t>ES11 0081 7069 2700 0122 7724</t>
        </is>
      </c>
      <c r="AC1517" s="234" t="inlineStr">
        <is>
          <t>pendiente</t>
        </is>
      </c>
      <c r="AD1517" s="236">
        <f>L1517+N1517+P1517+R1517+T1517+V1517+X1517+Z1517</f>
        <v/>
      </c>
      <c r="AE1517" s="236">
        <f>IF((LEFT(K1517,6))="Contab",L1517,0)</f>
        <v/>
      </c>
      <c r="AF1517" s="237">
        <f>VLOOKUP(G1517,CLIENTES!B:E,4,FALSE)</f>
        <v/>
      </c>
      <c r="AG1517" s="236">
        <f>AF1517*AE1517</f>
        <v/>
      </c>
      <c r="AH1517" s="236">
        <f>AD1517*1.21</f>
        <v/>
      </c>
      <c r="AI1517" s="238">
        <f>IF(AE1517&lt;&gt;0,AG1517/AD1517,"N/A")</f>
        <v/>
      </c>
      <c r="AJ1517" s="236">
        <f>IF(AC1517="pendiente",AD1517,0)</f>
        <v/>
      </c>
      <c r="AK1517" s="234">
        <f>VLOOKUP(G1517,CLIENTES!B:D,3,FALSE)</f>
        <v/>
      </c>
      <c r="AL1517" s="234" t="n"/>
    </row>
    <row r="1518" ht="15" customFormat="1" customHeight="1" s="234">
      <c r="B1518" s="235" t="n"/>
      <c r="C1518" s="234" t="inlineStr">
        <is>
          <t>c/ Las Cruzadas 3A, local D</t>
        </is>
      </c>
      <c r="D1518" s="234" t="inlineStr">
        <is>
          <t>Sevilla 41004</t>
        </is>
      </c>
      <c r="E1518" s="234" t="inlineStr">
        <is>
          <t>CIF B91938662</t>
        </is>
      </c>
      <c r="F1518" s="234" t="inlineStr">
        <is>
          <t>aBalados@abalados.es</t>
        </is>
      </c>
      <c r="G1518" s="234" t="inlineStr">
        <is>
          <t>Soluciones Aeconova S.L.</t>
        </is>
      </c>
      <c r="H1518" s="234">
        <f>VLOOKUP($G1518,DATOS!$B:$E,2,FALSE)</f>
        <v/>
      </c>
      <c r="I1518" s="234">
        <f>VLOOKUP($G1518,DATOS!$B:$E,3,FALSE)</f>
        <v/>
      </c>
      <c r="J1518" s="234">
        <f>VLOOKUP($G1518,DATOS!$B:$E,4,FALSE)</f>
        <v/>
      </c>
      <c r="K1518" s="234" t="inlineStr">
        <is>
          <t>Servicios Contabilidad 4T2021</t>
        </is>
      </c>
      <c r="L1518" s="236">
        <f>110.25</f>
        <v/>
      </c>
      <c r="N1518" s="236" t="n"/>
      <c r="P1518" s="236" t="n"/>
      <c r="R1518" s="236" t="n"/>
      <c r="T1518" s="236" t="n"/>
      <c r="V1518" s="236" t="n"/>
      <c r="X1518" s="236" t="n"/>
      <c r="Z1518" s="236" t="n"/>
      <c r="AA1518" s="236" t="n"/>
      <c r="AB1518" s="237" t="inlineStr">
        <is>
          <t>ES11 0081 7069 2700 0122 7724</t>
        </is>
      </c>
      <c r="AC1518" s="234" t="inlineStr">
        <is>
          <t>pendiente</t>
        </is>
      </c>
      <c r="AD1518" s="236">
        <f>L1518+N1518+P1518+R1518+T1518+V1518+X1518+Z1518</f>
        <v/>
      </c>
      <c r="AE1518" s="236">
        <f>IF((LEFT(K1518,6))="Contab",L1518,0)</f>
        <v/>
      </c>
      <c r="AF1518" s="237">
        <f>VLOOKUP(G1518,CLIENTES!B:E,4,FALSE)</f>
        <v/>
      </c>
      <c r="AG1518" s="236">
        <f>AF1518*AE1518</f>
        <v/>
      </c>
      <c r="AH1518" s="236">
        <f>AD1518*1.21</f>
        <v/>
      </c>
      <c r="AI1518" s="238">
        <f>IF(AE1518&lt;&gt;0,AG1518/AD1518,"N/A")</f>
        <v/>
      </c>
      <c r="AJ1518" s="236">
        <f>IF(AC1518="pendiente",AD1518,0)</f>
        <v/>
      </c>
      <c r="AK1518" s="234">
        <f>VLOOKUP(G1518,CLIENTES!B:D,3,FALSE)</f>
        <v/>
      </c>
    </row>
    <row r="1519" ht="15" customFormat="1" customHeight="1" s="170">
      <c r="B1519" s="169" t="n"/>
      <c r="C1519" s="170" t="inlineStr">
        <is>
          <t>c/ Las Cruzadas 3A, local D</t>
        </is>
      </c>
      <c r="D1519" s="170" t="inlineStr">
        <is>
          <t>Sevilla 41004</t>
        </is>
      </c>
      <c r="E1519" s="170" t="inlineStr">
        <is>
          <t>CIF B91938662</t>
        </is>
      </c>
      <c r="F1519" s="170" t="inlineStr">
        <is>
          <t>aBalados@abalados.es</t>
        </is>
      </c>
      <c r="G1519" s="170" t="inlineStr">
        <is>
          <t>China Triumph International Engineering Co., LTD EP EN SPAIN</t>
        </is>
      </c>
      <c r="H1519" s="170">
        <f>VLOOKUP($G1519,DATOS!$B:$E,2,FALSE)</f>
        <v/>
      </c>
      <c r="I1519" s="170">
        <f>VLOOKUP($G1519,DATOS!$B:$E,3,FALSE)</f>
        <v/>
      </c>
      <c r="J1519" s="170">
        <f>VLOOKUP($G1519,DATOS!$B:$E,4,FALSE)</f>
        <v/>
      </c>
      <c r="K1519" s="170" t="inlineStr">
        <is>
          <t>O&amp;M Supervision and Management</t>
        </is>
      </c>
      <c r="L1519" s="27" t="n"/>
      <c r="N1519" s="27" t="n"/>
      <c r="O1519" s="170" t="inlineStr">
        <is>
          <t>Puerto Real 1 PV - Cádiz | Spain</t>
        </is>
      </c>
      <c r="P1519" s="27" t="n">
        <v>15430</v>
      </c>
      <c r="Q1519" s="170" t="inlineStr">
        <is>
          <t>O&amp;M Management services provided on November 2022</t>
        </is>
      </c>
      <c r="R1519" s="27" t="n"/>
      <c r="T1519" s="27" t="n"/>
      <c r="V1519" s="27" t="n"/>
      <c r="X1519" s="27" t="n"/>
      <c r="Z1519" s="27" t="n"/>
      <c r="AA1519" s="27" t="n"/>
      <c r="AB1519" s="171" t="inlineStr">
        <is>
          <t>ES11 0081 7069 2700 0122 7724</t>
        </is>
      </c>
      <c r="AC1519" s="170" t="inlineStr">
        <is>
          <t>pendiente</t>
        </is>
      </c>
      <c r="AD1519" s="27">
        <f>L1519+N1519+P1519+R1519+T1519+V1519+X1519+Z1519</f>
        <v/>
      </c>
      <c r="AE1519" s="27">
        <f>IF((LEFT(K1519,6))="Contab",L1519,0)</f>
        <v/>
      </c>
      <c r="AF1519" s="171">
        <f>VLOOKUP(G1519,CLIENTES!B:E,4,FALSE)</f>
        <v/>
      </c>
      <c r="AG1519" s="27">
        <f>AF1519*AE1519</f>
        <v/>
      </c>
      <c r="AH1519" s="27">
        <f>AD1519*1.21</f>
        <v/>
      </c>
      <c r="AI1519" s="172">
        <f>IF(AE1519&lt;&gt;0,AG1519/AD1519,"N/A")</f>
        <v/>
      </c>
      <c r="AJ1519" s="27">
        <f>IF(AC1519="pendiente",AD1519,0)</f>
        <v/>
      </c>
      <c r="AK1519" s="170">
        <f>VLOOKUP(G1519,CLIENTES!B:D,3,FALSE)</f>
        <v/>
      </c>
    </row>
    <row r="1520" ht="15" customFormat="1" customHeight="1" s="251">
      <c r="B1520" s="252" t="n"/>
      <c r="C1520" s="251" t="inlineStr">
        <is>
          <t>c/ Las Cruzadas 3A, local D</t>
        </is>
      </c>
      <c r="D1520" s="251" t="inlineStr">
        <is>
          <t>Sevilla 41004</t>
        </is>
      </c>
      <c r="E1520" s="251" t="inlineStr">
        <is>
          <t>CIF B91938662</t>
        </is>
      </c>
      <c r="F1520" s="251" t="inlineStr">
        <is>
          <t>aBalados@abalados.es</t>
        </is>
      </c>
      <c r="G1520" s="251" t="inlineStr">
        <is>
          <t>WOC Fotovoltaica España Proyecto Sollana S.L.U.</t>
        </is>
      </c>
      <c r="H1520" s="251">
        <f>VLOOKUP($G1520,DATOS!$B:$E,2,FALSE)</f>
        <v/>
      </c>
      <c r="I1520" s="251">
        <f>VLOOKUP($G1520,DATOS!$B:$E,3,FALSE)</f>
        <v/>
      </c>
      <c r="J1520" s="251">
        <f>VLOOKUP($G1520,DATOS!$B:$E,4,FALSE)</f>
        <v/>
      </c>
      <c r="K1520" s="251" t="inlineStr">
        <is>
          <t>O&amp;M - Correctivo</t>
        </is>
      </c>
      <c r="L1520" s="253" t="n"/>
      <c r="M1520" s="251" t="inlineStr">
        <is>
          <t>OCA de BT - SCI</t>
        </is>
      </c>
      <c r="N1520" s="253" t="n">
        <v>350</v>
      </c>
      <c r="P1520" s="253" t="n"/>
      <c r="R1520" s="253" t="n"/>
      <c r="T1520" s="253" t="n"/>
      <c r="V1520" s="253" t="n"/>
      <c r="X1520" s="253" t="n"/>
      <c r="Y1520" s="251" t="inlineStr">
        <is>
          <t>Gastos derivados de contrato (3,5%)</t>
        </is>
      </c>
      <c r="Z1520" s="253">
        <f>(L1520+N1520+P1520+R1520+T1520+V1520+X1520)*0.035</f>
        <v/>
      </c>
      <c r="AA1520" s="253" t="n"/>
      <c r="AB1520" s="254" t="inlineStr">
        <is>
          <t>ES11 0081 7069 2700 0122 7724</t>
        </is>
      </c>
      <c r="AC1520" s="251" t="inlineStr">
        <is>
          <t>pendiente</t>
        </is>
      </c>
      <c r="AD1520" s="253">
        <f>L1520+N1520+P1520+R1520+T1520+V1520+X1520+Z1520</f>
        <v/>
      </c>
      <c r="AE1520" s="253">
        <f>IF((LEFT(K1520,6))="Contab",L1520,0)</f>
        <v/>
      </c>
      <c r="AF1520" s="254">
        <f>VLOOKUP(G1520,CLIENTES!B:E,4,FALSE)</f>
        <v/>
      </c>
      <c r="AG1520" s="253">
        <f>AF1520*AE1520</f>
        <v/>
      </c>
      <c r="AH1520" s="253">
        <f>AD1520*1.21</f>
        <v/>
      </c>
      <c r="AI1520" s="255">
        <f>IF(AE1520&lt;&gt;0,AG1520/AD1520,"N/A")</f>
        <v/>
      </c>
      <c r="AJ1520" s="253">
        <f>IF(AC1520="pendiente",AD1520,0)</f>
        <v/>
      </c>
      <c r="AK1520" s="251">
        <f>VLOOKUP(G1520,CLIENTES!B:D,3,FALSE)</f>
        <v/>
      </c>
    </row>
    <row r="1521" ht="15" customFormat="1" customHeight="1" s="170">
      <c r="B1521" s="169" t="n"/>
      <c r="C1521" s="170" t="inlineStr">
        <is>
          <t>c/ Las Cruzadas 3A, local D</t>
        </is>
      </c>
      <c r="D1521" s="170" t="inlineStr">
        <is>
          <t>Sevilla 41004</t>
        </is>
      </c>
      <c r="E1521" s="170" t="inlineStr">
        <is>
          <t>CIF B91938662</t>
        </is>
      </c>
      <c r="F1521" s="170" t="inlineStr">
        <is>
          <t>aBalados@abalados.es</t>
        </is>
      </c>
      <c r="G1521" s="170" t="inlineStr">
        <is>
          <t>Locaba Solar S.L.U.</t>
        </is>
      </c>
      <c r="H1521" s="170">
        <f>VLOOKUP($G1521,DATOS!$B:$E,2,FALSE)</f>
        <v/>
      </c>
      <c r="I1521" s="170">
        <f>VLOOKUP($G1521,DATOS!$B:$E,3,FALSE)</f>
        <v/>
      </c>
      <c r="J1521" s="170">
        <f>VLOOKUP($G1521,DATOS!$B:$E,4,FALSE)</f>
        <v/>
      </c>
      <c r="K1521" s="170" t="inlineStr">
        <is>
          <t>O&amp;M - Correctivo</t>
        </is>
      </c>
      <c r="L1521" s="27" t="n"/>
      <c r="M1521" s="170" t="inlineStr">
        <is>
          <t>Suministro de módulos FS-275 (50 uds)</t>
        </is>
      </c>
      <c r="N1521" s="27" t="n">
        <v>2255</v>
      </c>
      <c r="P1521" s="27" t="n"/>
      <c r="R1521" s="27" t="n"/>
      <c r="T1521" s="27" t="n"/>
      <c r="V1521" s="27" t="n"/>
      <c r="X1521" s="27" t="n"/>
      <c r="Y1521" s="170" t="inlineStr">
        <is>
          <t>Gastos derivados de contrato (3,5%)</t>
        </is>
      </c>
      <c r="Z1521" s="27">
        <f>(L1521+N1521+P1521+R1521+T1521+V1521+X1521)*0.035</f>
        <v/>
      </c>
      <c r="AA1521" s="27" t="n"/>
      <c r="AB1521" s="171" t="inlineStr">
        <is>
          <t>ES11 0081 7069 2700 0122 7724</t>
        </is>
      </c>
      <c r="AC1521" s="170" t="inlineStr">
        <is>
          <t>pendiente</t>
        </is>
      </c>
      <c r="AD1521" s="27">
        <f>L1521+N1521+P1521+R1521+T1521+V1521+X1521+Z1521</f>
        <v/>
      </c>
      <c r="AE1521" s="27">
        <f>IF((LEFT(K1521,6))="Contab",L1521,0)</f>
        <v/>
      </c>
      <c r="AF1521" s="171">
        <f>VLOOKUP(G1521,CLIENTES!B:E,4,FALSE)</f>
        <v/>
      </c>
      <c r="AG1521" s="27">
        <f>AF1521*AE1521</f>
        <v/>
      </c>
      <c r="AH1521" s="27">
        <f>AD1521*1.21</f>
        <v/>
      </c>
      <c r="AI1521" s="172">
        <f>IF(AE1521&lt;&gt;0,AG1521/AD1521,"N/A")</f>
        <v/>
      </c>
      <c r="AJ1521" s="27">
        <f>IF(AC1521="pendiente",AD1521,0)</f>
        <v/>
      </c>
      <c r="AK1521" s="170">
        <f>VLOOKUP(G1521,CLIENTES!B:D,3,FALSE)</f>
        <v/>
      </c>
    </row>
    <row r="1522" ht="15" customFormat="1" customHeight="1" s="170">
      <c r="B1522" s="169" t="n"/>
      <c r="C1522" s="170" t="inlineStr">
        <is>
          <t>c/ Las Cruzadas 3A, local D</t>
        </is>
      </c>
      <c r="D1522" s="170" t="inlineStr">
        <is>
          <t>Sevilla 41004</t>
        </is>
      </c>
      <c r="E1522" s="170" t="inlineStr">
        <is>
          <t>CIF B91938662</t>
        </is>
      </c>
      <c r="F1522" s="170" t="inlineStr">
        <is>
          <t>aBalados@abalados.es</t>
        </is>
      </c>
      <c r="G1522" s="170" t="inlineStr">
        <is>
          <t>Lo Illán  Parque Solar S.L.U.</t>
        </is>
      </c>
      <c r="H1522" s="170">
        <f>VLOOKUP($G1522,DATOS!$B:$E,2,FALSE)</f>
        <v/>
      </c>
      <c r="I1522" s="170">
        <f>VLOOKUP($G1522,DATOS!$B:$E,3,FALSE)</f>
        <v/>
      </c>
      <c r="J1522" s="170">
        <f>VLOOKUP($G1522,DATOS!$B:$E,4,FALSE)</f>
        <v/>
      </c>
      <c r="K1522" s="170" t="inlineStr">
        <is>
          <t>O&amp;M - Correctivo</t>
        </is>
      </c>
      <c r="L1522" s="27" t="n"/>
      <c r="M1522" s="170" t="inlineStr">
        <is>
          <t>OCA de BT - SCI</t>
        </is>
      </c>
      <c r="N1522" s="27" t="n">
        <v>475</v>
      </c>
      <c r="O1522" s="170" t="inlineStr">
        <is>
          <t>Burofax Caixa 15/09/2021</t>
        </is>
      </c>
      <c r="P1522" s="27" t="n">
        <v>12.59</v>
      </c>
      <c r="R1522" s="27" t="n"/>
      <c r="T1522" s="27" t="n"/>
      <c r="V1522" s="27" t="n"/>
      <c r="X1522" s="27" t="n"/>
      <c r="Y1522" s="170" t="inlineStr">
        <is>
          <t>Gastos derivados de contrato (3,5%)</t>
        </is>
      </c>
      <c r="Z1522" s="27">
        <f>(L1522+N1522+P1522+R1522+T1522+V1522+X1522)*0.035</f>
        <v/>
      </c>
      <c r="AA1522" s="27" t="n"/>
      <c r="AB1522" s="171" t="inlineStr">
        <is>
          <t>ES11 0081 7069 2700 0122 7724</t>
        </is>
      </c>
      <c r="AC1522" s="170" t="inlineStr">
        <is>
          <t>pendiente</t>
        </is>
      </c>
      <c r="AD1522" s="27">
        <f>L1522+N1522+P1522+R1522+T1522+V1522+X1522+Z1522</f>
        <v/>
      </c>
      <c r="AE1522" s="27">
        <f>IF((LEFT(K1522,6))="Contab",L1522,0)</f>
        <v/>
      </c>
      <c r="AF1522" s="171">
        <f>VLOOKUP(G1522,CLIENTES!B:E,4,FALSE)</f>
        <v/>
      </c>
      <c r="AG1522" s="27">
        <f>AF1522*AE1522</f>
        <v/>
      </c>
      <c r="AH1522" s="27">
        <f>AD1522*1.21</f>
        <v/>
      </c>
      <c r="AI1522" s="172">
        <f>IF(AE1522&lt;&gt;0,AG1522/AD1522,"N/A")</f>
        <v/>
      </c>
      <c r="AJ1522" s="27">
        <f>IF(AC1522="pendiente",AD1522,0)</f>
        <v/>
      </c>
      <c r="AK1522" s="170">
        <f>VLOOKUP(G1522,CLIENTES!B:D,3,FALSE)</f>
        <v/>
      </c>
    </row>
    <row r="1523" ht="15" customFormat="1" customHeight="1" s="170">
      <c r="B1523" s="169" t="n"/>
      <c r="C1523" s="170" t="inlineStr">
        <is>
          <t>c/ Las Cruzadas 3A, local D</t>
        </is>
      </c>
      <c r="D1523" s="170" t="inlineStr">
        <is>
          <t>Sevilla 41004</t>
        </is>
      </c>
      <c r="E1523" s="170" t="inlineStr">
        <is>
          <t>CIF B91938662</t>
        </is>
      </c>
      <c r="F1523" s="170" t="inlineStr">
        <is>
          <t>aBalados@abalados.es</t>
        </is>
      </c>
      <c r="G1523" s="170" t="inlineStr">
        <is>
          <t>Contreras Parque Solar S.L.U.</t>
        </is>
      </c>
      <c r="H1523" s="170">
        <f>VLOOKUP($G1523,DATOS!$B:$E,2,FALSE)</f>
        <v/>
      </c>
      <c r="I1523" s="170">
        <f>VLOOKUP($G1523,DATOS!$B:$E,3,FALSE)</f>
        <v/>
      </c>
      <c r="J1523" s="170">
        <f>VLOOKUP($G1523,DATOS!$B:$E,4,FALSE)</f>
        <v/>
      </c>
      <c r="K1523" s="170" t="inlineStr">
        <is>
          <t>O&amp;M - Correctivo</t>
        </is>
      </c>
      <c r="L1523" s="27" t="n"/>
      <c r="M1523" s="170" t="inlineStr">
        <is>
          <t>OCA de BT - SCI</t>
        </is>
      </c>
      <c r="N1523" s="27" t="n">
        <v>475</v>
      </c>
      <c r="O1523" s="170" t="inlineStr">
        <is>
          <t>Burofax Caixa 15/09/2021</t>
        </is>
      </c>
      <c r="P1523" s="27" t="n">
        <v>12.59</v>
      </c>
      <c r="Q1523" s="170" t="inlineStr">
        <is>
          <t>Siniestro Junio 2021</t>
        </is>
      </c>
      <c r="R1523" s="27" t="n"/>
      <c r="S1523" s="27" t="inlineStr">
        <is>
          <t>Mano de obra, subcontratación, gastos de desplazamiento</t>
        </is>
      </c>
      <c r="T1523" s="170" t="n">
        <v>7737.23</v>
      </c>
      <c r="U1523" s="27" t="inlineStr">
        <is>
          <t>Actualización equipos Ingeteam</t>
        </is>
      </c>
      <c r="V1523" s="170" t="n">
        <v>5337.08</v>
      </c>
      <c r="X1523" s="27" t="n"/>
      <c r="Y1523" s="170" t="inlineStr">
        <is>
          <t>Gastos derivados de contrato (3,5%)</t>
        </is>
      </c>
      <c r="Z1523" s="27">
        <f>(L1523+N1523+P1523+R1523+T1523+V1523+X1523)*0.035</f>
        <v/>
      </c>
      <c r="AA1523" s="27" t="n"/>
      <c r="AB1523" s="171" t="inlineStr">
        <is>
          <t>ES11 0081 7069 2700 0122 7724</t>
        </is>
      </c>
      <c r="AC1523" s="170" t="inlineStr">
        <is>
          <t>pendiente</t>
        </is>
      </c>
      <c r="AD1523" s="27">
        <f>L1523+N1523+P1523+R1523+T1523+V1523+X1523+Z1523</f>
        <v/>
      </c>
      <c r="AE1523" s="27">
        <f>IF((LEFT(K1523,6))="Contab",L1523,0)</f>
        <v/>
      </c>
      <c r="AF1523" s="171">
        <f>VLOOKUP(G1523,CLIENTES!B:E,4,FALSE)</f>
        <v/>
      </c>
      <c r="AG1523" s="27">
        <f>AF1523*AE1523</f>
        <v/>
      </c>
      <c r="AH1523" s="27">
        <f>AD1523*1.21</f>
        <v/>
      </c>
      <c r="AI1523" s="172">
        <f>IF(AE1523&lt;&gt;0,AG1523/AD1523,"N/A")</f>
        <v/>
      </c>
      <c r="AJ1523" s="27">
        <f>IF(AC1523="pendiente",AD1523,0)</f>
        <v/>
      </c>
      <c r="AK1523" s="170">
        <f>VLOOKUP(G1523,CLIENTES!B:D,3,FALSE)</f>
        <v/>
      </c>
    </row>
    <row r="1524" ht="15" customFormat="1" customHeight="1" s="170">
      <c r="B1524" s="169" t="n"/>
      <c r="C1524" s="170" t="inlineStr">
        <is>
          <t>c/ Las Cruzadas 3A, local D</t>
        </is>
      </c>
      <c r="D1524" s="170" t="inlineStr">
        <is>
          <t>Sevilla 41004</t>
        </is>
      </c>
      <c r="E1524" s="170" t="inlineStr">
        <is>
          <t>CIF B91938662</t>
        </is>
      </c>
      <c r="F1524" s="170" t="inlineStr">
        <is>
          <t>aBalados@abalados.es</t>
        </is>
      </c>
      <c r="G1524" s="170" t="inlineStr">
        <is>
          <t>Turbinto Parque Solar S.L.U.</t>
        </is>
      </c>
      <c r="H1524" s="170">
        <f>VLOOKUP($G1524,DATOS!$B:$E,2,FALSE)</f>
        <v/>
      </c>
      <c r="I1524" s="170">
        <f>VLOOKUP($G1524,DATOS!$B:$E,3,FALSE)</f>
        <v/>
      </c>
      <c r="J1524" s="170">
        <f>VLOOKUP($G1524,DATOS!$B:$E,4,FALSE)</f>
        <v/>
      </c>
      <c r="K1524" s="170" t="inlineStr">
        <is>
          <t>O&amp;M - Correctivo</t>
        </is>
      </c>
      <c r="L1524" s="27" t="n"/>
      <c r="M1524" s="170" t="inlineStr">
        <is>
          <t>OCA de BT - SCI</t>
        </is>
      </c>
      <c r="N1524" s="27" t="n">
        <v>475</v>
      </c>
      <c r="O1524" s="170" t="inlineStr">
        <is>
          <t>Burofax Caixa 15/09/2021</t>
        </is>
      </c>
      <c r="P1524" s="27" t="n">
        <v>12.59</v>
      </c>
      <c r="R1524" s="27" t="n"/>
      <c r="T1524" s="27" t="n"/>
      <c r="V1524" s="27" t="n"/>
      <c r="X1524" s="27" t="n"/>
      <c r="Y1524" s="170" t="inlineStr">
        <is>
          <t>Gastos derivados de contrato (3,5%)</t>
        </is>
      </c>
      <c r="Z1524" s="27">
        <f>(L1524+N1524+P1524+R1524+T1524+V1524+X1524)*0.035</f>
        <v/>
      </c>
      <c r="AA1524" s="27" t="n"/>
      <c r="AB1524" s="171" t="inlineStr">
        <is>
          <t>ES11 0081 7069 2700 0122 7724</t>
        </is>
      </c>
      <c r="AC1524" s="170" t="inlineStr">
        <is>
          <t>pendiente</t>
        </is>
      </c>
      <c r="AD1524" s="27">
        <f>L1524+N1524+P1524+R1524+T1524+V1524+X1524+Z1524</f>
        <v/>
      </c>
      <c r="AE1524" s="27">
        <f>IF((LEFT(K1524,6))="Contab",L1524,0)</f>
        <v/>
      </c>
      <c r="AF1524" s="171">
        <f>VLOOKUP(G1524,CLIENTES!B:E,4,FALSE)</f>
        <v/>
      </c>
      <c r="AG1524" s="27">
        <f>AF1524*AE1524</f>
        <v/>
      </c>
      <c r="AH1524" s="27">
        <f>AD1524*1.21</f>
        <v/>
      </c>
      <c r="AI1524" s="172">
        <f>IF(AE1524&lt;&gt;0,AG1524/AD1524,"N/A")</f>
        <v/>
      </c>
      <c r="AJ1524" s="27">
        <f>IF(AC1524="pendiente",AD1524,0)</f>
        <v/>
      </c>
      <c r="AK1524" s="170">
        <f>VLOOKUP(G1524,CLIENTES!B:D,3,FALSE)</f>
        <v/>
      </c>
    </row>
    <row r="1525" ht="15" customFormat="1" customHeight="1" s="170">
      <c r="B1525" s="169" t="n"/>
      <c r="C1525" s="170" t="inlineStr">
        <is>
          <t>c/ Las Cruzadas 3A, local D</t>
        </is>
      </c>
      <c r="D1525" s="170" t="inlineStr">
        <is>
          <t>Sevilla 41004</t>
        </is>
      </c>
      <c r="E1525" s="170" t="inlineStr">
        <is>
          <t>CIF B91938662</t>
        </is>
      </c>
      <c r="F1525" s="170" t="inlineStr">
        <is>
          <t>aBalados@abalados.es</t>
        </is>
      </c>
      <c r="G1525" s="170" t="inlineStr">
        <is>
          <t xml:space="preserve">Rasteding PV I, S.L.U. </t>
        </is>
      </c>
      <c r="H1525" s="170">
        <f>VLOOKUP($G1525,DATOS!$B:$E,2,FALSE)</f>
        <v/>
      </c>
      <c r="I1525" s="170">
        <f>VLOOKUP($G1525,DATOS!$B:$E,3,FALSE)</f>
        <v/>
      </c>
      <c r="J1525" s="170">
        <f>VLOOKUP($G1525,DATOS!$B:$E,4,FALSE)</f>
        <v/>
      </c>
      <c r="K1525" s="170" t="inlineStr">
        <is>
          <t>O&amp;M - Correctivo</t>
        </is>
      </c>
      <c r="L1525" s="27" t="n"/>
      <c r="M1525" s="170" t="inlineStr">
        <is>
          <t>OCA de BT - SCI</t>
        </is>
      </c>
      <c r="N1525" s="27" t="n">
        <v>700.95</v>
      </c>
      <c r="P1525" s="27" t="n"/>
      <c r="R1525" s="27" t="n"/>
      <c r="T1525" s="27" t="n"/>
      <c r="V1525" s="27" t="n"/>
      <c r="X1525" s="27" t="n"/>
      <c r="Y1525" s="170" t="inlineStr">
        <is>
          <t>Gastos derivados de contrato (3,5%)</t>
        </is>
      </c>
      <c r="Z1525" s="27">
        <f>(L1525+N1525+P1525+R1525+T1525+V1525+X1525)*0.035</f>
        <v/>
      </c>
      <c r="AA1525" s="27" t="n"/>
      <c r="AB1525" s="171" t="inlineStr">
        <is>
          <t>ES11 0081 7069 2700 0122 7724</t>
        </is>
      </c>
      <c r="AC1525" s="170" t="inlineStr">
        <is>
          <t>pendiente</t>
        </is>
      </c>
      <c r="AD1525" s="27">
        <f>L1525+N1525+P1525+R1525+T1525+V1525+X1525+Z1525</f>
        <v/>
      </c>
      <c r="AE1525" s="27">
        <f>IF((LEFT(K1525,6))="Contab",L1525,0)</f>
        <v/>
      </c>
      <c r="AF1525" s="171">
        <f>VLOOKUP(G1525,CLIENTES!B:E,4,FALSE)</f>
        <v/>
      </c>
      <c r="AG1525" s="27">
        <f>AF1525*AE1525</f>
        <v/>
      </c>
      <c r="AH1525" s="27">
        <f>AD1525*1.21</f>
        <v/>
      </c>
      <c r="AI1525" s="172">
        <f>IF(AE1525&lt;&gt;0,AG1525/AD1525,"N/A")</f>
        <v/>
      </c>
      <c r="AJ1525" s="27">
        <f>IF(AC1525="pendiente",AD1525,0)</f>
        <v/>
      </c>
      <c r="AK1525" s="170">
        <f>VLOOKUP(G1525,CLIENTES!B:D,3,FALSE)</f>
        <v/>
      </c>
    </row>
    <row r="1526" ht="15" customFormat="1" customHeight="1" s="170">
      <c r="B1526" s="169" t="n"/>
      <c r="C1526" s="170" t="inlineStr">
        <is>
          <t>c/ Las Cruzadas 3A, local D</t>
        </is>
      </c>
      <c r="D1526" s="170" t="inlineStr">
        <is>
          <t>Sevilla 41004</t>
        </is>
      </c>
      <c r="E1526" s="170" t="inlineStr">
        <is>
          <t>CIF B91938662</t>
        </is>
      </c>
      <c r="F1526" s="170" t="inlineStr">
        <is>
          <t>aBalados@abalados.es</t>
        </is>
      </c>
      <c r="G1526" s="170" t="inlineStr">
        <is>
          <t>Tiksi PV II S.L.U.</t>
        </is>
      </c>
      <c r="H1526" s="170">
        <f>VLOOKUP($G1526,DATOS!$B:$E,2,FALSE)</f>
        <v/>
      </c>
      <c r="I1526" s="170">
        <f>VLOOKUP($G1526,DATOS!$B:$E,3,FALSE)</f>
        <v/>
      </c>
      <c r="J1526" s="170">
        <f>VLOOKUP($G1526,DATOS!$B:$E,4,FALSE)</f>
        <v/>
      </c>
      <c r="K1526" s="170" t="inlineStr">
        <is>
          <t>O&amp;M - Correctivo</t>
        </is>
      </c>
      <c r="L1526" s="27" t="n"/>
      <c r="M1526" s="170" t="inlineStr">
        <is>
          <t>Siniestro Fruilar | Sept 2021</t>
        </is>
      </c>
      <c r="N1526" s="27" t="n"/>
      <c r="O1526" s="27" t="inlineStr">
        <is>
          <t>Mano de obra, subcontratación, gastos de desplazamiento</t>
        </is>
      </c>
      <c r="P1526" s="170" t="n">
        <v>3870.61</v>
      </c>
      <c r="Q1526" s="27" t="inlineStr">
        <is>
          <t>Actualización equipos Ingeteam</t>
        </is>
      </c>
      <c r="R1526" s="170" t="n">
        <v>4476.75</v>
      </c>
      <c r="T1526" s="27" t="n"/>
      <c r="V1526" s="27" t="n"/>
      <c r="X1526" s="27" t="n"/>
      <c r="Y1526" s="170" t="inlineStr">
        <is>
          <t>Gastos derivados de contrato (3,5%)</t>
        </is>
      </c>
      <c r="Z1526" s="27">
        <f>(L1526+N1526+P1526+R1526+T1526+V1526+X1526)*0.035</f>
        <v/>
      </c>
      <c r="AA1526" s="27" t="n"/>
      <c r="AB1526" s="171" t="inlineStr">
        <is>
          <t>ES11 0081 7069 2700 0122 7724</t>
        </is>
      </c>
      <c r="AC1526" s="170" t="inlineStr">
        <is>
          <t>pendiente</t>
        </is>
      </c>
      <c r="AD1526" s="27">
        <f>L1526+N1526+P1526+R1526+T1526+V1526+X1526+Z1526</f>
        <v/>
      </c>
      <c r="AE1526" s="27">
        <f>IF((LEFT(K1526,6))="Contab",L1526,0)</f>
        <v/>
      </c>
      <c r="AF1526" s="171">
        <f>VLOOKUP(G1526,CLIENTES!B:E,4,FALSE)</f>
        <v/>
      </c>
      <c r="AG1526" s="27">
        <f>AF1526*AE1526</f>
        <v/>
      </c>
      <c r="AH1526" s="27">
        <f>AD1526*1.21</f>
        <v/>
      </c>
      <c r="AI1526" s="172">
        <f>IF(AE1526&lt;&gt;0,AG1526/AD1526,"N/A")</f>
        <v/>
      </c>
      <c r="AJ1526" s="27">
        <f>IF(AC1526="pendiente",AD1526,0)</f>
        <v/>
      </c>
      <c r="AK1526" s="170">
        <f>VLOOKUP(G1526,CLIENTES!B:D,3,FALSE)</f>
        <v/>
      </c>
    </row>
    <row r="1527" ht="15" customFormat="1" customHeight="1" s="170">
      <c r="B1527" s="169" t="n"/>
      <c r="C1527" s="170" t="inlineStr">
        <is>
          <t>c/ Las Cruzadas 3A, local D</t>
        </is>
      </c>
      <c r="D1527" s="170" t="inlineStr">
        <is>
          <t>Sevilla 41004</t>
        </is>
      </c>
      <c r="E1527" s="170" t="inlineStr">
        <is>
          <t>CIF B91938662</t>
        </is>
      </c>
      <c r="F1527" s="170" t="inlineStr">
        <is>
          <t>aBalados@abalados.es</t>
        </is>
      </c>
      <c r="G1527" s="170" t="inlineStr">
        <is>
          <t>Amberg V S.L.U.</t>
        </is>
      </c>
      <c r="H1527" s="170">
        <f>VLOOKUP($G1527,DATOS!$B:$E,2,FALSE)</f>
        <v/>
      </c>
      <c r="I1527" s="170">
        <f>VLOOKUP($G1527,DATOS!$B:$E,3,FALSE)</f>
        <v/>
      </c>
      <c r="J1527" s="170">
        <f>VLOOKUP($G1527,DATOS!$B:$E,4,FALSE)</f>
        <v/>
      </c>
      <c r="K1527" s="170" t="inlineStr">
        <is>
          <t>O&amp;M - Correctivo</t>
        </is>
      </c>
      <c r="L1527" s="27" t="n"/>
      <c r="M1527" s="170" t="inlineStr">
        <is>
          <t>OCA de BT - SCI</t>
        </is>
      </c>
      <c r="N1527" s="27" t="n">
        <v>410.95</v>
      </c>
      <c r="P1527" s="27" t="n"/>
      <c r="R1527" s="27" t="n"/>
      <c r="T1527" s="27" t="n"/>
      <c r="V1527" s="27" t="n"/>
      <c r="X1527" s="27" t="n"/>
      <c r="Y1527" s="170" t="inlineStr">
        <is>
          <t>Gastos derivados de contrato (3,5%)</t>
        </is>
      </c>
      <c r="Z1527" s="27">
        <f>(L1527+N1527+P1527+R1527+T1527+V1527+X1527)*0.035</f>
        <v/>
      </c>
      <c r="AA1527" s="27" t="n"/>
      <c r="AB1527" s="171" t="inlineStr">
        <is>
          <t>ES11 0081 7069 2700 0122 7724</t>
        </is>
      </c>
      <c r="AC1527" s="170" t="inlineStr">
        <is>
          <t>pendiente</t>
        </is>
      </c>
      <c r="AD1527" s="27">
        <f>L1527+N1527+P1527+R1527+T1527+V1527+X1527+Z1527</f>
        <v/>
      </c>
      <c r="AE1527" s="27">
        <f>IF((LEFT(K1527,6))="Contab",L1527,0)</f>
        <v/>
      </c>
      <c r="AF1527" s="171">
        <f>VLOOKUP(G1527,CLIENTES!B:E,4,FALSE)</f>
        <v/>
      </c>
      <c r="AG1527" s="27">
        <f>AF1527*AE1527</f>
        <v/>
      </c>
      <c r="AH1527" s="27">
        <f>AD1527*1.21</f>
        <v/>
      </c>
      <c r="AI1527" s="172">
        <f>IF(AE1527&lt;&gt;0,AG1527/AD1527,"N/A")</f>
        <v/>
      </c>
      <c r="AJ1527" s="27">
        <f>IF(AC1527="pendiente",AD1527,0)</f>
        <v/>
      </c>
      <c r="AK1527" s="170">
        <f>VLOOKUP(G1527,CLIENTES!B:D,3,FALSE)</f>
        <v/>
      </c>
    </row>
    <row r="1528" ht="15" customFormat="1" customHeight="1" s="170">
      <c r="B1528" s="169" t="n"/>
      <c r="C1528" s="170" t="inlineStr">
        <is>
          <t>c/ Las Cruzadas 3A, local D</t>
        </is>
      </c>
      <c r="D1528" s="170" t="inlineStr">
        <is>
          <t>Sevilla 41004</t>
        </is>
      </c>
      <c r="E1528" s="170" t="inlineStr">
        <is>
          <t>CIF B91938662</t>
        </is>
      </c>
      <c r="F1528" s="170" t="inlineStr">
        <is>
          <t>aBalados@abalados.es</t>
        </is>
      </c>
      <c r="G1528" s="170" t="inlineStr">
        <is>
          <t>Dehesa Asomadilla Inversiones S.L.U.</t>
        </is>
      </c>
      <c r="H1528" s="170" t="inlineStr">
        <is>
          <t>CIF B97996201</t>
        </is>
      </c>
      <c r="I1528" s="170" t="inlineStr">
        <is>
          <t>c/ Las Cruzadas 3A, local D</t>
        </is>
      </c>
      <c r="J1528" s="170" t="inlineStr">
        <is>
          <t>Sevilla 41004</t>
        </is>
      </c>
      <c r="K1528" s="170" t="inlineStr">
        <is>
          <t>O&amp;M - Correctivo</t>
        </is>
      </c>
      <c r="L1528" s="27" t="n"/>
      <c r="M1528" s="170" t="inlineStr">
        <is>
          <t>Sustitución de inversores</t>
        </is>
      </c>
      <c r="N1528" s="27" t="n">
        <v>217.2</v>
      </c>
      <c r="O1528" s="170" t="inlineStr">
        <is>
          <t>Gestión stock equipos SMA</t>
        </is>
      </c>
      <c r="P1528" s="27" t="n">
        <v>250</v>
      </c>
      <c r="R1528" s="27" t="n"/>
      <c r="T1528" s="27" t="n"/>
      <c r="V1528" s="27" t="n"/>
      <c r="X1528" s="27" t="n"/>
      <c r="Y1528" s="170" t="inlineStr">
        <is>
          <t>Gastos derivados de contrato (3,5%)</t>
        </is>
      </c>
      <c r="Z1528" s="27">
        <f>(L1528+N1528+P1528+R1528+T1528+V1528+X1528)*0.035</f>
        <v/>
      </c>
      <c r="AA1528" s="27" t="n"/>
      <c r="AB1528" s="171" t="inlineStr">
        <is>
          <t>ES11 0081 7069 2700 0122 7724</t>
        </is>
      </c>
      <c r="AC1528" s="170" t="inlineStr">
        <is>
          <t>pendiente</t>
        </is>
      </c>
      <c r="AD1528" s="27">
        <f>L1528+N1528+P1528+R1528+T1528+V1528+X1528+Z1528</f>
        <v/>
      </c>
      <c r="AE1528" s="27">
        <f>IF((LEFT(K1528,6))="Contab",L1528,0)</f>
        <v/>
      </c>
      <c r="AF1528" s="171">
        <f>VLOOKUP(G1528,CLIENTES!B:E,4,FALSE)</f>
        <v/>
      </c>
      <c r="AG1528" s="27">
        <f>AF1528*AE1528</f>
        <v/>
      </c>
      <c r="AH1528" s="27">
        <f>AD1528*1.21</f>
        <v/>
      </c>
      <c r="AI1528" s="172">
        <f>IF(AE1528&lt;&gt;0,AG1528/AD1528,"N/A")</f>
        <v/>
      </c>
      <c r="AJ1528" s="27">
        <f>IF(AC1528="pendiente",AD1528,0)</f>
        <v/>
      </c>
      <c r="AK1528" s="170">
        <f>VLOOKUP(G1528,CLIENTES!B:D,3,FALSE)</f>
        <v/>
      </c>
    </row>
    <row r="1529" ht="15" customFormat="1" customHeight="1" s="170">
      <c r="B1529" s="169" t="n"/>
      <c r="C1529" s="170" t="inlineStr">
        <is>
          <t>c/ Las Cruzadas 3A, local D</t>
        </is>
      </c>
      <c r="D1529" s="170" t="inlineStr">
        <is>
          <t>Sevilla 41004</t>
        </is>
      </c>
      <c r="E1529" s="170" t="inlineStr">
        <is>
          <t>CIF B91938662</t>
        </is>
      </c>
      <c r="F1529" s="170" t="inlineStr">
        <is>
          <t>aBalados@abalados.es</t>
        </is>
      </c>
      <c r="G1529" s="170" t="inlineStr">
        <is>
          <t>Asomadilla Solar 2007 S.L.U.</t>
        </is>
      </c>
      <c r="H1529" s="170" t="inlineStr">
        <is>
          <t>CIF B97932743</t>
        </is>
      </c>
      <c r="I1529" s="170" t="inlineStr">
        <is>
          <t>c/ Las Cruzadas 3A, local D</t>
        </is>
      </c>
      <c r="J1529" s="170" t="inlineStr">
        <is>
          <t>Sevilla 41004</t>
        </is>
      </c>
      <c r="K1529" s="170" t="inlineStr">
        <is>
          <t>O&amp;M - Correctivo</t>
        </is>
      </c>
      <c r="L1529" s="27" t="n"/>
      <c r="M1529" s="170" t="inlineStr">
        <is>
          <t>Tratamiento terrenos</t>
        </is>
      </c>
      <c r="N1529" s="27" t="n">
        <v>1182.5</v>
      </c>
      <c r="O1529" s="170" t="inlineStr">
        <is>
          <t>Sustitución inversores</t>
        </is>
      </c>
      <c r="P1529" s="27">
        <f>3*108.6</f>
        <v/>
      </c>
      <c r="Q1529" s="170" t="inlineStr">
        <is>
          <t>Módulos para sustitución</t>
        </is>
      </c>
      <c r="R1529" s="27" t="n">
        <v>1363.5</v>
      </c>
      <c r="S1529" s="170" t="inlineStr">
        <is>
          <t>Comunicaciones</t>
        </is>
      </c>
      <c r="T1529" s="27">
        <f>20+24.79+15+15+15</f>
        <v/>
      </c>
      <c r="U1529" s="170" t="inlineStr">
        <is>
          <t>Gestión stock equipos SMA</t>
        </is>
      </c>
      <c r="V1529" s="27" t="n">
        <v>250</v>
      </c>
      <c r="X1529" s="27" t="n"/>
      <c r="Y1529" s="170" t="inlineStr">
        <is>
          <t>Gastos derivados de contrato (3,5%)</t>
        </is>
      </c>
      <c r="Z1529" s="27">
        <f>(L1529+N1529+P1529+R1529+T1529+V1529+X1529)*0.035</f>
        <v/>
      </c>
      <c r="AA1529" s="27" t="n"/>
      <c r="AB1529" s="171" t="inlineStr">
        <is>
          <t>ES11 0081 7069 2700 0122 7724</t>
        </is>
      </c>
      <c r="AC1529" s="170" t="inlineStr">
        <is>
          <t>pendiente</t>
        </is>
      </c>
      <c r="AD1529" s="27">
        <f>L1529+N1529+P1529+R1529+T1529+V1529+X1529+Z1529</f>
        <v/>
      </c>
      <c r="AE1529" s="27">
        <f>IF((LEFT(K1529,6))="Contab",L1529,0)</f>
        <v/>
      </c>
      <c r="AF1529" s="171">
        <f>VLOOKUP(G1529,CLIENTES!B:E,4,FALSE)</f>
        <v/>
      </c>
      <c r="AG1529" s="27">
        <f>AF1529*AE1529</f>
        <v/>
      </c>
      <c r="AH1529" s="27">
        <f>AD1529*1.21</f>
        <v/>
      </c>
      <c r="AI1529" s="172">
        <f>IF(AE1529&lt;&gt;0,AG1529/AD1529,"N/A")</f>
        <v/>
      </c>
      <c r="AJ1529" s="27">
        <f>IF(AC1529="pendiente",AD1529,0)</f>
        <v/>
      </c>
      <c r="AK1529" s="170">
        <f>VLOOKUP(G1529,CLIENTES!B:D,3,FALSE)</f>
        <v/>
      </c>
    </row>
    <row r="1530" ht="15" customFormat="1" customHeight="1" s="170">
      <c r="B1530" s="169" t="n"/>
      <c r="C1530" s="170" t="inlineStr">
        <is>
          <t>c/ Las Cruzadas 3A, local D</t>
        </is>
      </c>
      <c r="D1530" s="170" t="inlineStr">
        <is>
          <t>Sevilla 41004</t>
        </is>
      </c>
      <c r="E1530" s="170" t="inlineStr">
        <is>
          <t>CIF B91938662</t>
        </is>
      </c>
      <c r="F1530" s="170" t="inlineStr">
        <is>
          <t>aBalados@abalados.es</t>
        </is>
      </c>
      <c r="G1530" s="170" t="inlineStr">
        <is>
          <t>Inversión Cubiertas Solares S.L.U.</t>
        </is>
      </c>
      <c r="H1530" s="170" t="inlineStr">
        <is>
          <t>CIF B97996219</t>
        </is>
      </c>
      <c r="I1530" s="170" t="inlineStr">
        <is>
          <t>c/ Las Cruzadas 3A, local D</t>
        </is>
      </c>
      <c r="J1530" s="170" t="inlineStr">
        <is>
          <t>Sevilla 41004</t>
        </is>
      </c>
      <c r="K1530" s="170" t="inlineStr">
        <is>
          <t>O&amp;M - Correctivo</t>
        </is>
      </c>
      <c r="L1530" s="27" t="n"/>
      <c r="M1530" s="170" t="inlineStr">
        <is>
          <t>OCA de BT - SCI</t>
        </is>
      </c>
      <c r="N1530" s="27" t="n">
        <v>175</v>
      </c>
      <c r="P1530" s="27" t="n"/>
      <c r="R1530" s="27" t="n"/>
      <c r="T1530" s="27" t="n"/>
      <c r="V1530" s="27" t="n"/>
      <c r="X1530" s="27" t="n"/>
      <c r="Y1530" s="170" t="inlineStr">
        <is>
          <t>Gastos derivados de contrato (3,5%)</t>
        </is>
      </c>
      <c r="Z1530" s="27">
        <f>(L1530+N1530+P1530+R1530+T1530+V1530+X1530)*0.035</f>
        <v/>
      </c>
      <c r="AA1530" s="27" t="n"/>
      <c r="AB1530" s="171" t="inlineStr">
        <is>
          <t>ES11 0081 7069 2700 0122 7724</t>
        </is>
      </c>
      <c r="AC1530" s="170" t="inlineStr">
        <is>
          <t>pendiente</t>
        </is>
      </c>
      <c r="AD1530" s="27">
        <f>L1530+N1530+P1530+R1530+T1530+V1530+X1530+Z1530</f>
        <v/>
      </c>
      <c r="AE1530" s="27">
        <f>IF((LEFT(K1530,6))="Contab",L1530,0)</f>
        <v/>
      </c>
      <c r="AF1530" s="171">
        <f>VLOOKUP(G1530,CLIENTES!B:E,4,FALSE)</f>
        <v/>
      </c>
      <c r="AG1530" s="27">
        <f>AF1530*AE1530</f>
        <v/>
      </c>
      <c r="AH1530" s="27">
        <f>AD1530*1.21</f>
        <v/>
      </c>
      <c r="AI1530" s="172">
        <f>IF(AE1530&lt;&gt;0,AG1530/AD1530,"N/A")</f>
        <v/>
      </c>
      <c r="AJ1530" s="27">
        <f>IF(AC1530="pendiente",AD1530,0)</f>
        <v/>
      </c>
      <c r="AK1530" s="170">
        <f>VLOOKUP(G1530,CLIENTES!B:D,3,FALSE)</f>
        <v/>
      </c>
    </row>
    <row r="1531" ht="15" customFormat="1" customHeight="1" s="234">
      <c r="B1531" s="235" t="n"/>
      <c r="C1531" s="234" t="inlineStr">
        <is>
          <t>c/ Las Cruzadas 3A, local D</t>
        </is>
      </c>
      <c r="D1531" s="234" t="inlineStr">
        <is>
          <t>Sevilla 41004</t>
        </is>
      </c>
      <c r="E1531" s="234" t="inlineStr">
        <is>
          <t>CIF B91938662</t>
        </is>
      </c>
      <c r="F1531" s="234" t="inlineStr">
        <is>
          <t>aBalados@abalados.es</t>
        </is>
      </c>
      <c r="G1531" s="234" t="inlineStr">
        <is>
          <t>Lugec Inversión Solar S.L.U.</t>
        </is>
      </c>
      <c r="H1531" s="234" t="inlineStr">
        <is>
          <t>CIF B97932768</t>
        </is>
      </c>
      <c r="I1531" s="234" t="inlineStr">
        <is>
          <t>c/ Las Cruzadas 3A, local D</t>
        </is>
      </c>
      <c r="J1531" s="234" t="inlineStr">
        <is>
          <t>Sevilla 41004</t>
        </is>
      </c>
      <c r="K1531" s="234" t="inlineStr">
        <is>
          <t>O&amp;M - Correctivo</t>
        </is>
      </c>
      <c r="L1531" s="236" t="n"/>
      <c r="M1531" s="234" t="inlineStr">
        <is>
          <t>OCA de BT - SCI</t>
        </is>
      </c>
      <c r="N1531" s="236" t="n">
        <v>525</v>
      </c>
      <c r="O1531" s="234" t="inlineStr">
        <is>
          <t>Retrofit 100 kW - Huawei - 50%</t>
        </is>
      </c>
      <c r="P1531" s="236" t="n">
        <v>6625</v>
      </c>
      <c r="Q1531" s="234" t="inlineStr">
        <is>
          <t>Reparación 2 etapas Mastervolt</t>
        </is>
      </c>
      <c r="R1531" s="236" t="n">
        <v>660</v>
      </c>
      <c r="S1531" s="234" t="inlineStr">
        <is>
          <t>Retrofit parcial (33 kW)</t>
        </is>
      </c>
      <c r="T1531" s="236" t="n">
        <v>4417</v>
      </c>
      <c r="V1531" s="236" t="n"/>
      <c r="X1531" s="236" t="n"/>
      <c r="Y1531" s="234" t="inlineStr">
        <is>
          <t>Gastos derivados de contrato (3,5%)</t>
        </is>
      </c>
      <c r="Z1531" s="236">
        <f>(L1531+N1531+P1531+R1531+T1531+V1531+X1531)*0.035</f>
        <v/>
      </c>
      <c r="AA1531" s="236" t="n"/>
      <c r="AB1531" s="237" t="inlineStr">
        <is>
          <t>ES11 0081 7069 2700 0122 7724</t>
        </is>
      </c>
      <c r="AC1531" s="234" t="inlineStr">
        <is>
          <t>pendiente</t>
        </is>
      </c>
      <c r="AD1531" s="236">
        <f>L1531+N1531+P1531+R1531+T1531+V1531+X1531+Z1531</f>
        <v/>
      </c>
      <c r="AE1531" s="236">
        <f>IF((LEFT(K1531,6))="Contab",L1531,0)</f>
        <v/>
      </c>
      <c r="AF1531" s="237">
        <f>VLOOKUP(G1531,CLIENTES!B:E,4,FALSE)</f>
        <v/>
      </c>
      <c r="AG1531" s="236">
        <f>AF1531*AE1531</f>
        <v/>
      </c>
      <c r="AH1531" s="236">
        <f>AD1531*1.21</f>
        <v/>
      </c>
      <c r="AI1531" s="238">
        <f>IF(AE1531&lt;&gt;0,AG1531/AD1531,"N/A")</f>
        <v/>
      </c>
      <c r="AJ1531" s="236">
        <f>IF(AC1531="pendiente",AD1531,0)</f>
        <v/>
      </c>
      <c r="AK1531" s="234">
        <f>VLOOKUP(G1531,CLIENTES!B:D,3,FALSE)</f>
        <v/>
      </c>
    </row>
    <row r="1532" ht="15" customFormat="1" customHeight="1" s="234">
      <c r="B1532" s="235" t="n"/>
      <c r="C1532" s="234" t="inlineStr">
        <is>
          <t>c/ Las Cruzadas 3A, local D</t>
        </is>
      </c>
      <c r="D1532" s="234" t="inlineStr">
        <is>
          <t>Sevilla 41004</t>
        </is>
      </c>
      <c r="E1532" s="234" t="inlineStr">
        <is>
          <t>CIF B91938662</t>
        </is>
      </c>
      <c r="F1532" s="234" t="inlineStr">
        <is>
          <t>aBalados@abalados.es</t>
        </is>
      </c>
      <c r="G1532" s="234" t="inlineStr">
        <is>
          <t>Langsyne Spain S.L.U.</t>
        </is>
      </c>
      <c r="H1532" s="234">
        <f>VLOOKUP($G1532,DATOS!$B:$E,2,FALSE)</f>
        <v/>
      </c>
      <c r="I1532" s="234">
        <f>VLOOKUP($G1532,DATOS!$B:$E,3,FALSE)</f>
        <v/>
      </c>
      <c r="J1532" s="234">
        <f>VLOOKUP($G1532,DATOS!$B:$E,4,FALSE)</f>
        <v/>
      </c>
      <c r="K1532" s="234" t="inlineStr">
        <is>
          <t>Planta Solar El Calaverón</t>
        </is>
      </c>
      <c r="L1532" s="236" t="n"/>
      <c r="M1532" s="234" t="inlineStr">
        <is>
          <t>Asistencia técnica para revamping de módulos</t>
        </is>
      </c>
      <c r="N1532" s="236" t="n">
        <v>1000</v>
      </c>
      <c r="Q1532" s="234" t="inlineStr">
        <is>
          <t>Análisis viabilidad y compatibilidad - módulo fotovoltaico</t>
        </is>
      </c>
      <c r="R1532" s="236" t="n"/>
      <c r="S1532" s="234" t="inlineStr">
        <is>
          <t>Canadian Solar CS3L-375MS,</t>
        </is>
      </c>
      <c r="T1532" s="236" t="n"/>
      <c r="U1532" s="234" t="inlineStr">
        <is>
          <t>Longi LR4-60HIH-370M</t>
        </is>
      </c>
      <c r="V1532" s="236" t="n"/>
      <c r="X1532" s="236" t="n"/>
      <c r="Z1532" s="236" t="n"/>
      <c r="AA1532" s="236" t="n"/>
      <c r="AB1532" s="237" t="inlineStr">
        <is>
          <t>ES11 0081 7069 2700 0122 7724</t>
        </is>
      </c>
      <c r="AC1532" s="234" t="inlineStr">
        <is>
          <t>pendiente</t>
        </is>
      </c>
      <c r="AD1532" s="241">
        <f>L1532+N1532+P1532+R1532+T1532+V1532+X1532+Z1532</f>
        <v/>
      </c>
      <c r="AE1532" s="241">
        <f>IF((LEFT(K1532,6))="Contab",L1532,0)</f>
        <v/>
      </c>
      <c r="AF1532" s="242">
        <f>VLOOKUP(G1532,CLIENTES!B:E,4,FALSE)</f>
        <v/>
      </c>
      <c r="AG1532" s="241">
        <f>AF1532*AE1532</f>
        <v/>
      </c>
      <c r="AH1532" s="241">
        <f>AD1532*1.21</f>
        <v/>
      </c>
      <c r="AI1532" s="243">
        <f>IF(AE1532&lt;&gt;0,AG1532/AD1532,"N/A")</f>
        <v/>
      </c>
      <c r="AJ1532" s="241">
        <f>IF(AC1532="pendiente",AD1532,0)</f>
        <v/>
      </c>
      <c r="AK1532" s="240">
        <f>VLOOKUP(G1532,CLIENTES!B:D,3,FALSE)</f>
        <v/>
      </c>
    </row>
    <row r="1533" ht="15" customFormat="1" customHeight="1" s="240">
      <c r="B1533" s="239" t="n"/>
      <c r="C1533" s="240" t="inlineStr">
        <is>
          <t>c/ Las Cruzadas 3A, local D</t>
        </is>
      </c>
      <c r="D1533" s="240" t="inlineStr">
        <is>
          <t>Sevilla 41004</t>
        </is>
      </c>
      <c r="E1533" s="240" t="inlineStr">
        <is>
          <t>CIF B91938662</t>
        </is>
      </c>
      <c r="F1533" s="240" t="inlineStr">
        <is>
          <t>aBalados@abalados.es</t>
        </is>
      </c>
      <c r="G1533" s="240" t="inlineStr">
        <is>
          <t>China Triumph International Engineering Co., LTD EP EN SPAIN</t>
        </is>
      </c>
      <c r="H1533" s="240">
        <f>VLOOKUP($G1533,DATOS!$B:$E,2,FALSE)</f>
        <v/>
      </c>
      <c r="I1533" s="240">
        <f>VLOOKUP($G1533,DATOS!$B:$E,3,FALSE)</f>
        <v/>
      </c>
      <c r="J1533" s="240">
        <f>VLOOKUP($G1533,DATOS!$B:$E,4,FALSE)</f>
        <v/>
      </c>
      <c r="K1533" s="240" t="inlineStr">
        <is>
          <t>O&amp;M Supervision and Management</t>
        </is>
      </c>
      <c r="L1533" s="241" t="n"/>
      <c r="N1533" s="241" t="n"/>
      <c r="O1533" s="240" t="inlineStr">
        <is>
          <t>Puerto Real 1 PV - Cádiz | Spain</t>
        </is>
      </c>
      <c r="P1533" s="241" t="n">
        <v>15430</v>
      </c>
      <c r="Q1533" s="240" t="inlineStr">
        <is>
          <t>O&amp;M Management services provided on December 2022</t>
        </is>
      </c>
      <c r="R1533" s="241" t="n"/>
      <c r="T1533" s="241" t="n"/>
      <c r="V1533" s="241" t="n"/>
      <c r="X1533" s="241" t="n"/>
      <c r="Z1533" s="241" t="n"/>
      <c r="AA1533" s="241" t="n"/>
      <c r="AB1533" s="242" t="inlineStr">
        <is>
          <t>ES11 0081 7069 2700 0122 7724</t>
        </is>
      </c>
      <c r="AC1533" s="240" t="inlineStr">
        <is>
          <t>pendiente</t>
        </is>
      </c>
      <c r="AD1533" s="241">
        <f>L1533+N1533+P1533+R1533+T1533+V1533+X1533+Z1533</f>
        <v/>
      </c>
      <c r="AE1533" s="241">
        <f>IF((LEFT(K1533,6))="Contab",L1533,0)</f>
        <v/>
      </c>
      <c r="AF1533" s="242">
        <f>VLOOKUP(G1533,CLIENTES!B:E,4,FALSE)</f>
        <v/>
      </c>
      <c r="AG1533" s="241">
        <f>AF1533*AE1533</f>
        <v/>
      </c>
      <c r="AH1533" s="241">
        <f>AD1533*1.21</f>
        <v/>
      </c>
      <c r="AI1533" s="243">
        <f>IF(AE1533&lt;&gt;0,AG1533/AD1533,"N/A")</f>
        <v/>
      </c>
      <c r="AJ1533" s="241">
        <f>IF(AC1533="pendiente",AD1533,0)</f>
        <v/>
      </c>
      <c r="AK1533" s="240">
        <f>VLOOKUP(G1533,CLIENTES!B:D,3,FALSE)</f>
        <v/>
      </c>
    </row>
    <row r="1534" ht="15" customFormat="1" customHeight="1" s="234">
      <c r="A1534" s="240" t="n"/>
      <c r="B1534" s="235" t="n"/>
      <c r="C1534" s="234" t="inlineStr">
        <is>
          <t>c/ Las Cruzadas 3A, local D</t>
        </is>
      </c>
      <c r="D1534" s="234" t="inlineStr">
        <is>
          <t>Sevilla 41004</t>
        </is>
      </c>
      <c r="E1534" s="234" t="inlineStr">
        <is>
          <t>CIF B91938662</t>
        </is>
      </c>
      <c r="F1534" s="234" t="inlineStr">
        <is>
          <t>aBalados@abalados.es</t>
        </is>
      </c>
      <c r="G1534" s="234" t="inlineStr">
        <is>
          <t>White Summit Capital Asesores, S.L.</t>
        </is>
      </c>
      <c r="H1534" s="234">
        <f>VLOOKUP($G1534,DATOS!$B:$E,2,FALSE)</f>
        <v/>
      </c>
      <c r="I1534" s="234">
        <f>VLOOKUP($G1534,DATOS!$B:$E,3,FALSE)</f>
        <v/>
      </c>
      <c r="J1534" s="234">
        <f>VLOOKUP($G1534,DATOS!$B:$E,4,FALSE)</f>
        <v/>
      </c>
      <c r="K1534" s="234" t="inlineStr">
        <is>
          <t>Contrato de Asset Management- Proyecto La Isla</t>
        </is>
      </c>
      <c r="L1534" s="236" t="n"/>
      <c r="M1534" s="234" t="inlineStr">
        <is>
          <t>Fee trimestral 4T'2022</t>
        </is>
      </c>
      <c r="N1534" s="236">
        <f>'Tarifa 2025'!$D$32/12*3</f>
        <v/>
      </c>
      <c r="O1534" s="234" t="inlineStr">
        <is>
          <t>Quarterly fee - 4Q2022</t>
        </is>
      </c>
      <c r="P1534" s="236" t="n"/>
      <c r="R1534" s="236" t="n"/>
      <c r="T1534" s="236" t="n"/>
      <c r="V1534" s="236" t="n"/>
      <c r="X1534" s="236" t="n"/>
      <c r="Z1534" s="236" t="n"/>
      <c r="AA1534" s="236" t="n"/>
      <c r="AB1534" s="237" t="inlineStr">
        <is>
          <t>ES11 0081 7069 2700 0122 7724</t>
        </is>
      </c>
      <c r="AC1534" s="234" t="inlineStr">
        <is>
          <t>pendiente</t>
        </is>
      </c>
      <c r="AD1534" s="236">
        <f>L1534+N1534+P1534+R1534+T1534+V1534+X1534+Z1534</f>
        <v/>
      </c>
      <c r="AE1534" s="236">
        <f>IF((LEFT(K1534,4))="Cont",N1534,0)</f>
        <v/>
      </c>
      <c r="AF1534" s="237">
        <f>VLOOKUP(G1534,CLIENTES!B:E,4,FALSE)</f>
        <v/>
      </c>
      <c r="AG1534" s="236">
        <f>AF1534*AE1534</f>
        <v/>
      </c>
      <c r="AH1534" s="236">
        <f>AD1534*1.21</f>
        <v/>
      </c>
      <c r="AI1534" s="238">
        <f>IF(AE1534&lt;&gt;0,AG1534/AD1534,"N/A")</f>
        <v/>
      </c>
      <c r="AJ1534" s="236">
        <f>IF(AC1534="pendiente",AD1534,0)</f>
        <v/>
      </c>
      <c r="AK1534" s="234">
        <f>VLOOKUP(G1534,CLIENTES!B:D,3,FALSE)</f>
        <v/>
      </c>
    </row>
    <row r="1535" ht="15" customFormat="1" customHeight="1" s="240">
      <c r="A1535" s="234" t="n"/>
      <c r="B1535" s="239" t="n"/>
      <c r="C1535" s="234" t="inlineStr">
        <is>
          <t>c/ Las Cruzadas 3A, local D</t>
        </is>
      </c>
      <c r="D1535" s="240" t="inlineStr">
        <is>
          <t>Sevilla 41004</t>
        </is>
      </c>
      <c r="E1535" s="240" t="inlineStr">
        <is>
          <t>CIF B91938662</t>
        </is>
      </c>
      <c r="F1535" s="240" t="inlineStr">
        <is>
          <t>aBalados@abalados.es</t>
        </is>
      </c>
      <c r="G1535" s="240" t="inlineStr">
        <is>
          <t>FP LUX REIO PV ZARAGOZA SL.</t>
        </is>
      </c>
      <c r="H1535" s="240">
        <f>VLOOKUP($G1535,DATOS!$B:$E,2,FALSE)</f>
        <v/>
      </c>
      <c r="I1535" s="240">
        <f>VLOOKUP($G1535,DATOS!$B:$E,3,FALSE)</f>
        <v/>
      </c>
      <c r="J1535" s="240">
        <f>VLOOKUP($G1535,DATOS!$B:$E,4,FALSE)</f>
        <v/>
      </c>
      <c r="K1535" s="240" t="inlineStr">
        <is>
          <t>Proyecto El Marqués - Zaragoza</t>
        </is>
      </c>
      <c r="L1535" s="241" t="n"/>
      <c r="M1535" s="240" t="inlineStr">
        <is>
          <t>Honorarios - Contrato O&amp;M 4º Trimestre</t>
        </is>
      </c>
      <c r="N1535" s="241" t="n">
        <v>19684.38024</v>
      </c>
      <c r="P1535" s="241" t="n"/>
      <c r="Q1535" s="241" t="n"/>
      <c r="R1535" s="241" t="n"/>
      <c r="T1535" s="241" t="n"/>
      <c r="W1535" s="241" t="n"/>
      <c r="Y1535" s="241" t="n"/>
      <c r="Z1535" s="241" t="n"/>
      <c r="AA1535" s="241" t="n"/>
      <c r="AB1535" s="242" t="inlineStr">
        <is>
          <t>ES11 0081 7069 2700 0122 7724</t>
        </is>
      </c>
      <c r="AC1535" s="240" t="inlineStr">
        <is>
          <t>pendiente</t>
        </is>
      </c>
      <c r="AD1535" s="241">
        <f>L1535+N1535+P1535+R1535+T1535+V1535+X1535+Z1535</f>
        <v/>
      </c>
      <c r="AE1535" s="241">
        <f>IF((LEFT(K1535,6))="Contab",L1535,0)</f>
        <v/>
      </c>
      <c r="AF1535" s="242" t="n">
        <v>0.1</v>
      </c>
      <c r="AG1535" s="236">
        <f>AF1535*AE1535</f>
        <v/>
      </c>
      <c r="AH1535" s="241">
        <f>AD1535*1.21</f>
        <v/>
      </c>
      <c r="AI1535" s="243">
        <f>IF(AE1535&lt;&gt;0,AG1535/AD1535,"N/A")</f>
        <v/>
      </c>
      <c r="AJ1535" s="241">
        <f>IF(AC1535="pendiente",AD1535,0)</f>
        <v/>
      </c>
      <c r="AK1535" s="240">
        <f>VLOOKUP(G1535,CLIENTES!B:D,3,FALSE)</f>
        <v/>
      </c>
    </row>
  </sheetData>
  <autoFilter ref="A1:AN1151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C2:AE39 AC48:AE179 AC183:AE320 AC323:AE328 AC406:AE445 AC448:AE478 AC498:AC544 AC543:AE549 AC632:AE645 AC696:AE698 AC705:AE732 AC734:AE735 AC737:AE805 AC803:AC806 AC808:AE849 AC852:AE957 AC964:AE965 AC1076:AE1151 AC1167:AE1185 AC1208:AE1208 AC1211:AE1215 AC1226:AE1226 AC1423:AE1423 AD704:AE704 AD806:AE806 AD1536:AD1048576 AE40:AE44 AE180:AE182 AE321:AE322 AE446:AE447 AG2:AG44 AG48:AG328 AG406:AG478 AG543:AG549 AG632:AG645 AG696:AG698 AG704:AG732 AG734:AG735 AG737:AG806 AG808:AG849 AG852:AG957 AG964:AG965 AG1076:AG1151 AG1167:AG1185 AG1208 AG1211:AG1215 AG1226 AG1423">
    <cfRule type="containsText" priority="6401" operator="containsText" dxfId="1" text="pendiente">
      <formula>NOT(ISERROR(SEARCH("pendiente",AC2)))</formula>
    </cfRule>
  </conditionalFormatting>
  <conditionalFormatting sqref="AC2:AE39 AC48:AE105 AC142:AE179 AC185:AE240 AC407:AE407 AC498:AC544 AC543:AE545 AC632:AE645 AC706:AE707 AC709:AE730 AC734:AC735 AC737:AC742 AC743:AE765 AC766:AC786 AC786:AE799 AC800:AC801 AC802:AE806 AC808 AC809:AE810 AC812:AC849 AC852:AE866 AC867:AC908 AC909:AE919 AC920:AC957 AC1076:AC1111 AC1076:AE1087 AC1112:AE1115 AC1144:AE1145 AC1167:AE1185 AC1208:AE1208 AC1211:AC1215 AC1226:AE1226 AC1423:AE1423 AD739:AE742 AD831:AE849 AD887:AE908 AD939:AE957 AD1211:AE1212">
    <cfRule type="cellIs" priority="6396" operator="equal" dxfId="1">
      <formula>"pendiente"</formula>
    </cfRule>
    <cfRule type="containsText" priority="6397" operator="containsText" dxfId="0" text="pagado">
      <formula>NOT(ISERROR(SEARCH("pagado",AC2)))</formula>
    </cfRule>
  </conditionalFormatting>
  <conditionalFormatting sqref="AC2:AC44 AC48:AC328 AC406:AC549 AC632:AC645 AC696:AC698 AC705:AC732 AC734:AC806 AC808:AC967 AC969:AC1151 AC1167:AC1185 AC1194 AC1208 AC1211:AC1215 AC1226:AC1227 AC1423">
    <cfRule type="cellIs" priority="5467" operator="equal" dxfId="6">
      <formula>"abonado"</formula>
    </cfRule>
  </conditionalFormatting>
  <conditionalFormatting sqref="AD1226:AE1226 AG1226">
    <cfRule type="containsText" priority="4029" operator="containsText" dxfId="1" text="pendiente">
      <formula>NOT(ISERROR(SEARCH("pendiente",AD1226)))</formula>
    </cfRule>
  </conditionalFormatting>
  <conditionalFormatting sqref="AD1226:AE1226">
    <cfRule type="cellIs" priority="4027" operator="equal" dxfId="1">
      <formula>"pendiente"</formula>
    </cfRule>
    <cfRule type="containsText" priority="4028" operator="containsText" dxfId="0" text="pagado">
      <formula>NOT(ISERROR(SEARCH("pagado",AD1226)))</formula>
    </cfRule>
  </conditionalFormatting>
  <conditionalFormatting sqref="AC1226:AC1227">
    <cfRule type="cellIs" priority="4011" operator="equal" dxfId="6">
      <formula>"abonado"</formula>
    </cfRule>
    <cfRule type="containsText" priority="4014" operator="containsText" dxfId="1" text="pendiente">
      <formula>NOT(ISERROR(SEARCH("pendiente",AC1226)))</formula>
    </cfRule>
    <cfRule type="cellIs" priority="4012" operator="equal" dxfId="1">
      <formula>"pendiente"</formula>
    </cfRule>
    <cfRule type="containsText" priority="4013" operator="containsText" dxfId="0" text="pagado">
      <formula>NOT(ISERROR(SEARCH("pagado",AC1226)))</formula>
    </cfRule>
  </conditionalFormatting>
  <conditionalFormatting sqref="AD1411:AE1415 AG1411:AG1415">
    <cfRule type="containsText" priority="3334" operator="containsText" dxfId="1" text="pendiente">
      <formula>NOT(ISERROR(SEARCH("pendiente",AD1411)))</formula>
    </cfRule>
    <cfRule type="containsText" priority="3327" operator="containsText" dxfId="1" text="pendiente">
      <formula>NOT(ISERROR(SEARCH("pendiente",AD1411)))</formula>
    </cfRule>
  </conditionalFormatting>
  <conditionalFormatting sqref="AD1411:AE1415">
    <cfRule type="cellIs" priority="3332" operator="equal" dxfId="1">
      <formula>"pendiente"</formula>
    </cfRule>
    <cfRule type="containsText" priority="3333" operator="containsText" dxfId="0" text="pagado">
      <formula>NOT(ISERROR(SEARCH("pagado",AD1411)))</formula>
    </cfRule>
    <cfRule type="cellIs" priority="3325" operator="equal" dxfId="1">
      <formula>"pendiente"</formula>
    </cfRule>
    <cfRule type="containsText" priority="3326" operator="containsText" dxfId="0" text="pagado">
      <formula>NOT(ISERROR(SEARCH("pagado",AD1411)))</formula>
    </cfRule>
  </conditionalFormatting>
  <conditionalFormatting sqref="AC1411:AC1415">
    <cfRule type="cellIs" priority="3321" operator="equal" dxfId="6">
      <formula>"abonado"</formula>
    </cfRule>
    <cfRule type="cellIs" priority="3328" operator="equal" dxfId="6">
      <formula>"abonado"</formula>
    </cfRule>
    <cfRule type="containsText" priority="3331" operator="containsText" dxfId="1" text="pendiente">
      <formula>NOT(ISERROR(SEARCH("pendiente",AC1411)))</formula>
    </cfRule>
    <cfRule type="cellIs" priority="3329" operator="equal" dxfId="1">
      <formula>"pendiente"</formula>
    </cfRule>
    <cfRule type="containsText" priority="3330" operator="containsText" dxfId="0" text="pagado">
      <formula>NOT(ISERROR(SEARCH("pagado",AC1411)))</formula>
    </cfRule>
    <cfRule type="containsText" priority="3324" operator="containsText" dxfId="1" text="pendiente">
      <formula>NOT(ISERROR(SEARCH("pendiente",AC1411)))</formula>
    </cfRule>
    <cfRule type="cellIs" priority="3322" operator="equal" dxfId="1">
      <formula>"pendiente"</formula>
    </cfRule>
    <cfRule type="containsText" priority="3323" operator="containsText" dxfId="0" text="pagado">
      <formula>NOT(ISERROR(SEARCH("pagado",AC1411)))</formula>
    </cfRule>
  </conditionalFormatting>
  <conditionalFormatting sqref="AC1416">
    <cfRule type="cellIs" priority="3307" operator="equal" dxfId="6">
      <formula>"abonado"</formula>
    </cfRule>
    <cfRule type="cellIs" priority="3314" operator="equal" dxfId="6">
      <formula>"abonado"</formula>
    </cfRule>
    <cfRule type="containsText" priority="3317" operator="containsText" dxfId="1" text="pendiente">
      <formula>NOT(ISERROR(SEARCH("pendiente",AC1416)))</formula>
    </cfRule>
    <cfRule type="cellIs" priority="3315" operator="equal" dxfId="1">
      <formula>"pendiente"</formula>
    </cfRule>
    <cfRule type="containsText" priority="3316" operator="containsText" dxfId="0" text="pagado">
      <formula>NOT(ISERROR(SEARCH("pagado",AC1416)))</formula>
    </cfRule>
    <cfRule type="containsText" priority="3310" operator="containsText" dxfId="1" text="pendiente">
      <formula>NOT(ISERROR(SEARCH("pendiente",AC1416)))</formula>
    </cfRule>
    <cfRule type="cellIs" priority="3308" operator="equal" dxfId="1">
      <formula>"pendiente"</formula>
    </cfRule>
    <cfRule type="containsText" priority="3309" operator="containsText" dxfId="0" text="pagado">
      <formula>NOT(ISERROR(SEARCH("pagado",AC1416)))</formula>
    </cfRule>
  </conditionalFormatting>
  <conditionalFormatting sqref="AD1416:AE1416 AG1416">
    <cfRule type="containsText" priority="3320" operator="containsText" dxfId="1" text="pendiente">
      <formula>NOT(ISERROR(SEARCH("pendiente",AD1416)))</formula>
    </cfRule>
    <cfRule type="containsText" priority="3313" operator="containsText" dxfId="1" text="pendiente">
      <formula>NOT(ISERROR(SEARCH("pendiente",AD1416)))</formula>
    </cfRule>
  </conditionalFormatting>
  <conditionalFormatting sqref="AD1416:AE1416">
    <cfRule type="cellIs" priority="3318" operator="equal" dxfId="1">
      <formula>"pendiente"</formula>
    </cfRule>
    <cfRule type="containsText" priority="3319" operator="containsText" dxfId="0" text="pagado">
      <formula>NOT(ISERROR(SEARCH("pagado",AD1416)))</formula>
    </cfRule>
    <cfRule type="cellIs" priority="3311" operator="equal" dxfId="1">
      <formula>"pendiente"</formula>
    </cfRule>
    <cfRule type="containsText" priority="3312" operator="containsText" dxfId="0" text="pagado">
      <formula>NOT(ISERROR(SEARCH("pagado",AD1416)))</formula>
    </cfRule>
  </conditionalFormatting>
  <conditionalFormatting sqref="AC1417">
    <cfRule type="cellIs" priority="3293" operator="equal" dxfId="6">
      <formula>"abonado"</formula>
    </cfRule>
    <cfRule type="cellIs" priority="3300" operator="equal" dxfId="6">
      <formula>"abonado"</formula>
    </cfRule>
    <cfRule type="containsText" priority="3303" operator="containsText" dxfId="1" text="pendiente">
      <formula>NOT(ISERROR(SEARCH("pendiente",AC1417)))</formula>
    </cfRule>
    <cfRule type="cellIs" priority="3301" operator="equal" dxfId="1">
      <formula>"pendiente"</formula>
    </cfRule>
    <cfRule type="containsText" priority="3302" operator="containsText" dxfId="0" text="pagado">
      <formula>NOT(ISERROR(SEARCH("pagado",AC1417)))</formula>
    </cfRule>
    <cfRule type="containsText" priority="3296" operator="containsText" dxfId="1" text="pendiente">
      <formula>NOT(ISERROR(SEARCH("pendiente",AC1417)))</formula>
    </cfRule>
    <cfRule type="cellIs" priority="3294" operator="equal" dxfId="1">
      <formula>"pendiente"</formula>
    </cfRule>
    <cfRule type="containsText" priority="3295" operator="containsText" dxfId="0" text="pagado">
      <formula>NOT(ISERROR(SEARCH("pagado",AC1417)))</formula>
    </cfRule>
  </conditionalFormatting>
  <conditionalFormatting sqref="AD1417:AE1417 AG1417">
    <cfRule type="containsText" priority="3306" operator="containsText" dxfId="1" text="pendiente">
      <formula>NOT(ISERROR(SEARCH("pendiente",AD1417)))</formula>
    </cfRule>
    <cfRule type="containsText" priority="3299" operator="containsText" dxfId="1" text="pendiente">
      <formula>NOT(ISERROR(SEARCH("pendiente",AD1417)))</formula>
    </cfRule>
  </conditionalFormatting>
  <conditionalFormatting sqref="AD1417:AE1417">
    <cfRule type="cellIs" priority="3304" operator="equal" dxfId="1">
      <formula>"pendiente"</formula>
    </cfRule>
    <cfRule type="containsText" priority="3305" operator="containsText" dxfId="0" text="pagado">
      <formula>NOT(ISERROR(SEARCH("pagado",AD1417)))</formula>
    </cfRule>
    <cfRule type="cellIs" priority="3297" operator="equal" dxfId="1">
      <formula>"pendiente"</formula>
    </cfRule>
    <cfRule type="containsText" priority="3298" operator="containsText" dxfId="0" text="pagado">
      <formula>NOT(ISERROR(SEARCH("pagado",AD1417)))</formula>
    </cfRule>
  </conditionalFormatting>
  <conditionalFormatting sqref="AC1418">
    <cfRule type="cellIs" priority="3279" operator="equal" dxfId="6">
      <formula>"abonado"</formula>
    </cfRule>
    <cfRule type="cellIs" priority="3286" operator="equal" dxfId="6">
      <formula>"abonado"</formula>
    </cfRule>
    <cfRule type="containsText" priority="3289" operator="containsText" dxfId="1" text="pendiente">
      <formula>NOT(ISERROR(SEARCH("pendiente",AC1418)))</formula>
    </cfRule>
    <cfRule type="cellIs" priority="3287" operator="equal" dxfId="1">
      <formula>"pendiente"</formula>
    </cfRule>
    <cfRule type="containsText" priority="3288" operator="containsText" dxfId="0" text="pagado">
      <formula>NOT(ISERROR(SEARCH("pagado",AC1418)))</formula>
    </cfRule>
    <cfRule type="containsText" priority="3282" operator="containsText" dxfId="1" text="pendiente">
      <formula>NOT(ISERROR(SEARCH("pendiente",AC1418)))</formula>
    </cfRule>
    <cfRule type="cellIs" priority="3280" operator="equal" dxfId="1">
      <formula>"pendiente"</formula>
    </cfRule>
    <cfRule type="containsText" priority="3281" operator="containsText" dxfId="0" text="pagado">
      <formula>NOT(ISERROR(SEARCH("pagado",AC1418)))</formula>
    </cfRule>
  </conditionalFormatting>
  <conditionalFormatting sqref="AD1418:AE1418 AG1418">
    <cfRule type="containsText" priority="3292" operator="containsText" dxfId="1" text="pendiente">
      <formula>NOT(ISERROR(SEARCH("pendiente",AD1418)))</formula>
    </cfRule>
    <cfRule type="containsText" priority="3285" operator="containsText" dxfId="1" text="pendiente">
      <formula>NOT(ISERROR(SEARCH("pendiente",AD1418)))</formula>
    </cfRule>
  </conditionalFormatting>
  <conditionalFormatting sqref="AD1418:AE1418">
    <cfRule type="cellIs" priority="3290" operator="equal" dxfId="1">
      <formula>"pendiente"</formula>
    </cfRule>
    <cfRule type="containsText" priority="3291" operator="containsText" dxfId="0" text="pagado">
      <formula>NOT(ISERROR(SEARCH("pagado",AD1418)))</formula>
    </cfRule>
    <cfRule type="cellIs" priority="3283" operator="equal" dxfId="1">
      <formula>"pendiente"</formula>
    </cfRule>
    <cfRule type="containsText" priority="3284" operator="containsText" dxfId="0" text="pagado">
      <formula>NOT(ISERROR(SEARCH("pagado",AD1418)))</formula>
    </cfRule>
  </conditionalFormatting>
  <conditionalFormatting sqref="AD1419:AE1419">
    <cfRule type="cellIs" priority="3272" operator="equal" dxfId="1">
      <formula>"pendiente"</formula>
    </cfRule>
    <cfRule type="containsText" priority="3273" operator="containsText" dxfId="0" text="pagado">
      <formula>NOT(ISERROR(SEARCH("pagado",AD1419)))</formula>
    </cfRule>
  </conditionalFormatting>
  <conditionalFormatting sqref="AD1419:AE1419 AG1419">
    <cfRule type="containsText" priority="3274" operator="containsText" dxfId="1" text="pendiente">
      <formula>NOT(ISERROR(SEARCH("pendiente",AD1419)))</formula>
    </cfRule>
  </conditionalFormatting>
  <conditionalFormatting sqref="AC1419">
    <cfRule type="cellIs" priority="3264" operator="equal" dxfId="6">
      <formula>"abonado"</formula>
    </cfRule>
    <cfRule type="cellIs" priority="3268" operator="equal" dxfId="6">
      <formula>"abonado"</formula>
    </cfRule>
    <cfRule type="containsText" priority="3271" operator="containsText" dxfId="1" text="pendiente">
      <formula>NOT(ISERROR(SEARCH("pendiente",AC1419)))</formula>
    </cfRule>
    <cfRule type="cellIs" priority="3269" operator="equal" dxfId="1">
      <formula>"pendiente"</formula>
    </cfRule>
    <cfRule type="containsText" priority="3270" operator="containsText" dxfId="0" text="pagado">
      <formula>NOT(ISERROR(SEARCH("pagado",AC1419)))</formula>
    </cfRule>
    <cfRule type="containsText" priority="3267" operator="containsText" dxfId="1" text="pendiente">
      <formula>NOT(ISERROR(SEARCH("pendiente",AC1419)))</formula>
    </cfRule>
    <cfRule type="cellIs" priority="3265" operator="equal" dxfId="1">
      <formula>"pendiente"</formula>
    </cfRule>
    <cfRule type="containsText" priority="3266" operator="containsText" dxfId="0" text="pagado">
      <formula>NOT(ISERROR(SEARCH("pagado",AC1419)))</formula>
    </cfRule>
  </conditionalFormatting>
  <conditionalFormatting sqref="AD1420:AE1420">
    <cfRule type="cellIs" priority="3261" operator="equal" dxfId="1">
      <formula>"pendiente"</formula>
    </cfRule>
    <cfRule type="containsText" priority="3262" operator="containsText" dxfId="0" text="pagado">
      <formula>NOT(ISERROR(SEARCH("pagado",AD1420)))</formula>
    </cfRule>
  </conditionalFormatting>
  <conditionalFormatting sqref="AD1420:AE1420 AG1420">
    <cfRule type="containsText" priority="3263" operator="containsText" dxfId="1" text="pendiente">
      <formula>NOT(ISERROR(SEARCH("pendiente",AD1420)))</formula>
    </cfRule>
  </conditionalFormatting>
  <conditionalFormatting sqref="AC1420">
    <cfRule type="cellIs" priority="3253" operator="equal" dxfId="6">
      <formula>"abonado"</formula>
    </cfRule>
    <cfRule type="cellIs" priority="3257" operator="equal" dxfId="6">
      <formula>"abonado"</formula>
    </cfRule>
    <cfRule type="containsText" priority="3260" operator="containsText" dxfId="1" text="pendiente">
      <formula>NOT(ISERROR(SEARCH("pendiente",AC1420)))</formula>
    </cfRule>
    <cfRule type="cellIs" priority="3258" operator="equal" dxfId="1">
      <formula>"pendiente"</formula>
    </cfRule>
    <cfRule type="containsText" priority="3259" operator="containsText" dxfId="0" text="pagado">
      <formula>NOT(ISERROR(SEARCH("pagado",AC1420)))</formula>
    </cfRule>
    <cfRule type="containsText" priority="3256" operator="containsText" dxfId="1" text="pendiente">
      <formula>NOT(ISERROR(SEARCH("pendiente",AC1420)))</formula>
    </cfRule>
    <cfRule type="cellIs" priority="3254" operator="equal" dxfId="1">
      <formula>"pendiente"</formula>
    </cfRule>
    <cfRule type="containsText" priority="3255" operator="containsText" dxfId="0" text="pagado">
      <formula>NOT(ISERROR(SEARCH("pagado",AC1420)))</formula>
    </cfRule>
  </conditionalFormatting>
  <conditionalFormatting sqref="AC1423">
    <cfRule type="cellIs" priority="3239" operator="equal" dxfId="6">
      <formula>"abonado"</formula>
    </cfRule>
    <cfRule type="cellIs" priority="3246" operator="equal" dxfId="6">
      <formula>"abonado"</formula>
    </cfRule>
    <cfRule type="containsText" priority="3249" operator="containsText" dxfId="1" text="pendiente">
      <formula>NOT(ISERROR(SEARCH("pendiente",AC1423)))</formula>
    </cfRule>
    <cfRule type="cellIs" priority="3247" operator="equal" dxfId="1">
      <formula>"pendiente"</formula>
    </cfRule>
    <cfRule type="containsText" priority="3248" operator="containsText" dxfId="0" text="pagado">
      <formula>NOT(ISERROR(SEARCH("pagado",AC1423)))</formula>
    </cfRule>
    <cfRule type="containsText" priority="3242" operator="containsText" dxfId="1" text="pendiente">
      <formula>NOT(ISERROR(SEARCH("pendiente",AC1423)))</formula>
    </cfRule>
    <cfRule type="cellIs" priority="3240" operator="equal" dxfId="1">
      <formula>"pendiente"</formula>
    </cfRule>
    <cfRule type="containsText" priority="3241" operator="containsText" dxfId="0" text="pagado">
      <formula>NOT(ISERROR(SEARCH("pagado",AC1423)))</formula>
    </cfRule>
  </conditionalFormatting>
  <conditionalFormatting sqref="AD1423:AE1423 AG1423">
    <cfRule type="containsText" priority="3252" operator="containsText" dxfId="1" text="pendiente">
      <formula>NOT(ISERROR(SEARCH("pendiente",AD1423)))</formula>
    </cfRule>
    <cfRule type="containsText" priority="3245" operator="containsText" dxfId="1" text="pendiente">
      <formula>NOT(ISERROR(SEARCH("pendiente",AD1423)))</formula>
    </cfRule>
  </conditionalFormatting>
  <conditionalFormatting sqref="AD1423:AE1423">
    <cfRule type="cellIs" priority="3250" operator="equal" dxfId="1">
      <formula>"pendiente"</formula>
    </cfRule>
    <cfRule type="containsText" priority="3251" operator="containsText" dxfId="0" text="pagado">
      <formula>NOT(ISERROR(SEARCH("pagado",AD1423)))</formula>
    </cfRule>
    <cfRule type="cellIs" priority="3243" operator="equal" dxfId="1">
      <formula>"pendiente"</formula>
    </cfRule>
    <cfRule type="containsText" priority="3244" operator="containsText" dxfId="0" text="pagado">
      <formula>NOT(ISERROR(SEARCH("pagado",AD1423)))</formula>
    </cfRule>
  </conditionalFormatting>
  <conditionalFormatting sqref="AC1424:AC1442 AC1455:AC1461">
    <cfRule type="cellIs" priority="3204" operator="equal" dxfId="6">
      <formula>"abonado"</formula>
    </cfRule>
    <cfRule type="containsText" priority="3207" operator="containsText" dxfId="1" text="pendiente">
      <formula>NOT(ISERROR(SEARCH("pendiente",AC1424)))</formula>
    </cfRule>
    <cfRule type="cellIs" priority="3205" operator="equal" dxfId="1">
      <formula>"pendiente"</formula>
    </cfRule>
    <cfRule type="containsText" priority="3206" operator="containsText" dxfId="0" text="pagado">
      <formula>NOT(ISERROR(SEARCH("pagado",AC1424)))</formula>
    </cfRule>
  </conditionalFormatting>
  <conditionalFormatting sqref="AC1443:AC1454">
    <cfRule type="cellIs" priority="3178" operator="equal" dxfId="6">
      <formula>"abonado"</formula>
    </cfRule>
    <cfRule type="cellIs" priority="3197" operator="equal" dxfId="6">
      <formula>"abonado"</formula>
    </cfRule>
    <cfRule type="containsText" priority="3200" operator="containsText" dxfId="1" text="pendiente">
      <formula>NOT(ISERROR(SEARCH("pendiente",AC1443)))</formula>
    </cfRule>
    <cfRule type="cellIs" priority="3198" operator="equal" dxfId="1">
      <formula>"pendiente"</formula>
    </cfRule>
    <cfRule type="containsText" priority="3199" operator="containsText" dxfId="0" text="pagado">
      <formula>NOT(ISERROR(SEARCH("pagado",AC1443)))</formula>
    </cfRule>
    <cfRule type="containsText" priority="3181" operator="containsText" dxfId="1" text="pendiente">
      <formula>NOT(ISERROR(SEARCH("pendiente",AC1443)))</formula>
    </cfRule>
    <cfRule type="cellIs" priority="3179" operator="equal" dxfId="1">
      <formula>"pendiente"</formula>
    </cfRule>
    <cfRule type="containsText" priority="3180" operator="containsText" dxfId="0" text="pagado">
      <formula>NOT(ISERROR(SEARCH("pagado",AC1443)))</formula>
    </cfRule>
  </conditionalFormatting>
  <conditionalFormatting sqref="AD1424:AE1432 AG1424:AG1432">
    <cfRule type="containsText" priority="3216" operator="containsText" dxfId="1" text="pendiente">
      <formula>NOT(ISERROR(SEARCH("pendiente",AD1424)))</formula>
    </cfRule>
  </conditionalFormatting>
  <conditionalFormatting sqref="AD1424:AE1432">
    <cfRule type="cellIs" priority="3214" operator="equal" dxfId="1">
      <formula>"pendiente"</formula>
    </cfRule>
    <cfRule type="containsText" priority="3215" operator="containsText" dxfId="0" text="pagado">
      <formula>NOT(ISERROR(SEARCH("pagado",AD1424)))</formula>
    </cfRule>
  </conditionalFormatting>
  <conditionalFormatting sqref="AD1433:AE1436 AG1433:AG1436">
    <cfRule type="containsText" priority="3213" operator="containsText" dxfId="1" text="pendiente">
      <formula>NOT(ISERROR(SEARCH("pendiente",AD1433)))</formula>
    </cfRule>
  </conditionalFormatting>
  <conditionalFormatting sqref="AD1433:AE1436">
    <cfRule type="cellIs" priority="3211" operator="equal" dxfId="1">
      <formula>"pendiente"</formula>
    </cfRule>
    <cfRule type="containsText" priority="3212" operator="containsText" dxfId="0" text="pagado">
      <formula>NOT(ISERROR(SEARCH("pagado",AD1433)))</formula>
    </cfRule>
  </conditionalFormatting>
  <conditionalFormatting sqref="AD1437:AE1442 AG1437:AG1442">
    <cfRule type="containsText" priority="3210" operator="containsText" dxfId="1" text="pendiente">
      <formula>NOT(ISERROR(SEARCH("pendiente",AD1437)))</formula>
    </cfRule>
  </conditionalFormatting>
  <conditionalFormatting sqref="AD1437:AE1442">
    <cfRule type="cellIs" priority="3208" operator="equal" dxfId="1">
      <formula>"pendiente"</formula>
    </cfRule>
    <cfRule type="containsText" priority="3209" operator="containsText" dxfId="0" text="pagado">
      <formula>NOT(ISERROR(SEARCH("pagado",AD1437)))</formula>
    </cfRule>
  </conditionalFormatting>
  <conditionalFormatting sqref="AD1443:AE1461 AG1443:AG1461">
    <cfRule type="containsText" priority="3203" operator="containsText" dxfId="1" text="pendiente">
      <formula>NOT(ISERROR(SEARCH("pendiente",AD1443)))</formula>
    </cfRule>
  </conditionalFormatting>
  <conditionalFormatting sqref="AD1443:AE1461">
    <cfRule type="cellIs" priority="3201" operator="equal" dxfId="1">
      <formula>"pendiente"</formula>
    </cfRule>
    <cfRule type="containsText" priority="3202" operator="containsText" dxfId="0" text="pagado">
      <formula>NOT(ISERROR(SEARCH("pagado",AD1443)))</formula>
    </cfRule>
  </conditionalFormatting>
  <conditionalFormatting sqref="AD1454:AE1461 AG1454:AG1461">
    <cfRule type="containsText" priority="3196" operator="containsText" dxfId="1" text="pendiente">
      <formula>NOT(ISERROR(SEARCH("pendiente",AD1454)))</formula>
    </cfRule>
  </conditionalFormatting>
  <conditionalFormatting sqref="AD1454:AE1461">
    <cfRule type="cellIs" priority="3194" operator="equal" dxfId="1">
      <formula>"pendiente"</formula>
    </cfRule>
    <cfRule type="containsText" priority="3195" operator="containsText" dxfId="0" text="pagado">
      <formula>NOT(ISERROR(SEARCH("pagado",AD1454)))</formula>
    </cfRule>
  </conditionalFormatting>
  <conditionalFormatting sqref="AD1446:AE1453 AG1446:AG1453">
    <cfRule type="containsText" priority="3193" operator="containsText" dxfId="1" text="pendiente">
      <formula>NOT(ISERROR(SEARCH("pendiente",AD1446)))</formula>
    </cfRule>
  </conditionalFormatting>
  <conditionalFormatting sqref="AD1446:AE1453">
    <cfRule type="cellIs" priority="3191" operator="equal" dxfId="1">
      <formula>"pendiente"</formula>
    </cfRule>
    <cfRule type="containsText" priority="3192" operator="containsText" dxfId="0" text="pagado">
      <formula>NOT(ISERROR(SEARCH("pagado",AD1446)))</formula>
    </cfRule>
  </conditionalFormatting>
  <conditionalFormatting sqref="AD1443:AE1443 AG1443">
    <cfRule type="containsText" priority="3190" operator="containsText" dxfId="1" text="pendiente">
      <formula>NOT(ISERROR(SEARCH("pendiente",AD1443)))</formula>
    </cfRule>
  </conditionalFormatting>
  <conditionalFormatting sqref="AD1443:AE1443">
    <cfRule type="cellIs" priority="3188" operator="equal" dxfId="1">
      <formula>"pendiente"</formula>
    </cfRule>
    <cfRule type="containsText" priority="3189" operator="containsText" dxfId="0" text="pagado">
      <formula>NOT(ISERROR(SEARCH("pagado",AD1443)))</formula>
    </cfRule>
  </conditionalFormatting>
  <conditionalFormatting sqref="AD1445:AE1445">
    <cfRule type="cellIs" priority="3185" operator="equal" dxfId="1">
      <formula>"pendiente"</formula>
    </cfRule>
    <cfRule type="containsText" priority="3186" operator="containsText" dxfId="0" text="pagado">
      <formula>NOT(ISERROR(SEARCH("pagado",AD1445)))</formula>
    </cfRule>
  </conditionalFormatting>
  <conditionalFormatting sqref="AD1445:AE1445 AG1445">
    <cfRule type="containsText" priority="3187" operator="containsText" dxfId="1" text="pendiente">
      <formula>NOT(ISERROR(SEARCH("pendiente",AD1445)))</formula>
    </cfRule>
  </conditionalFormatting>
  <conditionalFormatting sqref="AD1444:AE1444 AG1444">
    <cfRule type="containsText" priority="3184" operator="containsText" dxfId="1" text="pendiente">
      <formula>NOT(ISERROR(SEARCH("pendiente",AD1444)))</formula>
    </cfRule>
  </conditionalFormatting>
  <conditionalFormatting sqref="AD1444:AE1444">
    <cfRule type="cellIs" priority="3182" operator="equal" dxfId="1">
      <formula>"pendiente"</formula>
    </cfRule>
    <cfRule type="containsText" priority="3183" operator="containsText" dxfId="0" text="pagado">
      <formula>NOT(ISERROR(SEARCH("pagado",AD1444)))</formula>
    </cfRule>
  </conditionalFormatting>
  <conditionalFormatting sqref="AD1464:AE1464">
    <cfRule type="cellIs" priority="3157" operator="equal" dxfId="1">
      <formula>"pendiente"</formula>
    </cfRule>
    <cfRule type="containsText" priority="3158" operator="containsText" dxfId="0" text="pagado">
      <formula>NOT(ISERROR(SEARCH("pagado",AD1464)))</formula>
    </cfRule>
  </conditionalFormatting>
  <conditionalFormatting sqref="AD1462:AE1462">
    <cfRule type="cellIs" priority="3171" operator="equal" dxfId="1">
      <formula>"pendiente"</formula>
    </cfRule>
    <cfRule type="containsText" priority="3172" operator="containsText" dxfId="0" text="pagado">
      <formula>NOT(ISERROR(SEARCH("pagado",AD1462)))</formula>
    </cfRule>
  </conditionalFormatting>
  <conditionalFormatting sqref="AD1463:AE1463">
    <cfRule type="cellIs" priority="3164" operator="equal" dxfId="1">
      <formula>"pendiente"</formula>
    </cfRule>
    <cfRule type="containsText" priority="3165" operator="containsText" dxfId="0" text="pagado">
      <formula>NOT(ISERROR(SEARCH("pagado",AD1463)))</formula>
    </cfRule>
  </conditionalFormatting>
  <conditionalFormatting sqref="AC1462">
    <cfRule type="containsText" priority="3177" operator="containsText" dxfId="1" text="pendiente">
      <formula>NOT(ISERROR(SEARCH("pendiente",AC1462)))</formula>
    </cfRule>
    <cfRule type="cellIs" priority="3175" operator="equal" dxfId="1">
      <formula>"pendiente"</formula>
    </cfRule>
    <cfRule type="containsText" priority="3176" operator="containsText" dxfId="0" text="pagado">
      <formula>NOT(ISERROR(SEARCH("pagado",AC1462)))</formula>
    </cfRule>
    <cfRule type="cellIs" priority="3174" operator="equal" dxfId="6">
      <formula>"abonado"</formula>
    </cfRule>
  </conditionalFormatting>
  <conditionalFormatting sqref="AD1462:AE1462 AG1462">
    <cfRule type="containsText" priority="3173" operator="containsText" dxfId="1" text="pendiente">
      <formula>NOT(ISERROR(SEARCH("pendiente",AD1462)))</formula>
    </cfRule>
  </conditionalFormatting>
  <conditionalFormatting sqref="AC1463">
    <cfRule type="containsText" priority="3170" operator="containsText" dxfId="1" text="pendiente">
      <formula>NOT(ISERROR(SEARCH("pendiente",AC1463)))</formula>
    </cfRule>
    <cfRule type="cellIs" priority="3168" operator="equal" dxfId="1">
      <formula>"pendiente"</formula>
    </cfRule>
    <cfRule type="containsText" priority="3169" operator="containsText" dxfId="0" text="pagado">
      <formula>NOT(ISERROR(SEARCH("pagado",AC1463)))</formula>
    </cfRule>
    <cfRule type="cellIs" priority="3167" operator="equal" dxfId="6">
      <formula>"abonado"</formula>
    </cfRule>
  </conditionalFormatting>
  <conditionalFormatting sqref="AD1463:AE1463 AG1463">
    <cfRule type="containsText" priority="3166" operator="containsText" dxfId="1" text="pendiente">
      <formula>NOT(ISERROR(SEARCH("pendiente",AD1463)))</formula>
    </cfRule>
  </conditionalFormatting>
  <conditionalFormatting sqref="AC1464">
    <cfRule type="containsText" priority="3163" operator="containsText" dxfId="1" text="pendiente">
      <formula>NOT(ISERROR(SEARCH("pendiente",AC1464)))</formula>
    </cfRule>
    <cfRule type="cellIs" priority="3161" operator="equal" dxfId="1">
      <formula>"pendiente"</formula>
    </cfRule>
    <cfRule type="containsText" priority="3162" operator="containsText" dxfId="0" text="pagado">
      <formula>NOT(ISERROR(SEARCH("pagado",AC1464)))</formula>
    </cfRule>
    <cfRule type="cellIs" priority="3160" operator="equal" dxfId="6">
      <formula>"abonado"</formula>
    </cfRule>
  </conditionalFormatting>
  <conditionalFormatting sqref="AD1464:AE1464 AG1464">
    <cfRule type="containsText" priority="3159" operator="containsText" dxfId="1" text="pendiente">
      <formula>NOT(ISERROR(SEARCH("pendiente",AD1464)))</formula>
    </cfRule>
  </conditionalFormatting>
  <conditionalFormatting sqref="AC1465:AE1465 AG1465">
    <cfRule type="containsText" priority="3156" operator="containsText" dxfId="1" text="pendiente">
      <formula>NOT(ISERROR(SEARCH("pendiente",AC1465)))</formula>
    </cfRule>
  </conditionalFormatting>
  <conditionalFormatting sqref="AC1465:AE1465">
    <cfRule type="cellIs" priority="3154" operator="equal" dxfId="1">
      <formula>"pendiente"</formula>
    </cfRule>
    <cfRule type="containsText" priority="3155" operator="containsText" dxfId="0" text="pagado">
      <formula>NOT(ISERROR(SEARCH("pagado",AC1465)))</formula>
    </cfRule>
  </conditionalFormatting>
  <conditionalFormatting sqref="AC1465">
    <cfRule type="cellIs" priority="3153" operator="equal" dxfId="6">
      <formula>"abonado"</formula>
    </cfRule>
    <cfRule type="cellIs" priority="3139" operator="equal" dxfId="6">
      <formula>"abonado"</formula>
    </cfRule>
    <cfRule type="cellIs" priority="3146" operator="equal" dxfId="6">
      <formula>"abonado"</formula>
    </cfRule>
    <cfRule type="containsText" priority="3149" operator="containsText" dxfId="1" text="pendiente">
      <formula>NOT(ISERROR(SEARCH("pendiente",AC1465)))</formula>
    </cfRule>
    <cfRule type="cellIs" priority="3147" operator="equal" dxfId="1">
      <formula>"pendiente"</formula>
    </cfRule>
    <cfRule type="containsText" priority="3148" operator="containsText" dxfId="0" text="pagado">
      <formula>NOT(ISERROR(SEARCH("pagado",AC1465)))</formula>
    </cfRule>
    <cfRule type="containsText" priority="3142" operator="containsText" dxfId="1" text="pendiente">
      <formula>NOT(ISERROR(SEARCH("pendiente",AC1465)))</formula>
    </cfRule>
    <cfRule type="cellIs" priority="3140" operator="equal" dxfId="1">
      <formula>"pendiente"</formula>
    </cfRule>
    <cfRule type="containsText" priority="3141" operator="containsText" dxfId="0" text="pagado">
      <formula>NOT(ISERROR(SEARCH("pagado",AC1465)))</formula>
    </cfRule>
  </conditionalFormatting>
  <conditionalFormatting sqref="AD1465:AE1465 AG1465">
    <cfRule type="containsText" priority="3152" operator="containsText" dxfId="1" text="pendiente">
      <formula>NOT(ISERROR(SEARCH("pendiente",AD1465)))</formula>
    </cfRule>
    <cfRule type="containsText" priority="3145" operator="containsText" dxfId="1" text="pendiente">
      <formula>NOT(ISERROR(SEARCH("pendiente",AD1465)))</formula>
    </cfRule>
  </conditionalFormatting>
  <conditionalFormatting sqref="AD1465:AE1465">
    <cfRule type="cellIs" priority="3150" operator="equal" dxfId="1">
      <formula>"pendiente"</formula>
    </cfRule>
    <cfRule type="containsText" priority="3151" operator="containsText" dxfId="0" text="pagado">
      <formula>NOT(ISERROR(SEARCH("pagado",AD1465)))</formula>
    </cfRule>
    <cfRule type="cellIs" priority="3143" operator="equal" dxfId="1">
      <formula>"pendiente"</formula>
    </cfRule>
    <cfRule type="containsText" priority="3144" operator="containsText" dxfId="0" text="pagado">
      <formula>NOT(ISERROR(SEARCH("pagado",AD1465)))</formula>
    </cfRule>
  </conditionalFormatting>
  <conditionalFormatting sqref="AC1466:AE1466 AG1466">
    <cfRule type="containsText" priority="3138" operator="containsText" dxfId="1" text="pendiente">
      <formula>NOT(ISERROR(SEARCH("pendiente",AC1466)))</formula>
    </cfRule>
  </conditionalFormatting>
  <conditionalFormatting sqref="AC1466:AE1466">
    <cfRule type="cellIs" priority="3136" operator="equal" dxfId="1">
      <formula>"pendiente"</formula>
    </cfRule>
    <cfRule type="containsText" priority="3137" operator="containsText" dxfId="0" text="pagado">
      <formula>NOT(ISERROR(SEARCH("pagado",AC1466)))</formula>
    </cfRule>
  </conditionalFormatting>
  <conditionalFormatting sqref="AC1466">
    <cfRule type="cellIs" priority="3135" operator="equal" dxfId="6">
      <formula>"abonado"</formula>
    </cfRule>
    <cfRule type="cellIs" priority="3121" operator="equal" dxfId="6">
      <formula>"abonado"</formula>
    </cfRule>
    <cfRule type="cellIs" priority="3128" operator="equal" dxfId="6">
      <formula>"abonado"</formula>
    </cfRule>
    <cfRule type="containsText" priority="3131" operator="containsText" dxfId="1" text="pendiente">
      <formula>NOT(ISERROR(SEARCH("pendiente",AC1466)))</formula>
    </cfRule>
    <cfRule type="cellIs" priority="3129" operator="equal" dxfId="1">
      <formula>"pendiente"</formula>
    </cfRule>
    <cfRule type="containsText" priority="3130" operator="containsText" dxfId="0" text="pagado">
      <formula>NOT(ISERROR(SEARCH("pagado",AC1466)))</formula>
    </cfRule>
    <cfRule type="containsText" priority="3124" operator="containsText" dxfId="1" text="pendiente">
      <formula>NOT(ISERROR(SEARCH("pendiente",AC1466)))</formula>
    </cfRule>
    <cfRule type="cellIs" priority="3122" operator="equal" dxfId="1">
      <formula>"pendiente"</formula>
    </cfRule>
    <cfRule type="containsText" priority="3123" operator="containsText" dxfId="0" text="pagado">
      <formula>NOT(ISERROR(SEARCH("pagado",AC1466)))</formula>
    </cfRule>
  </conditionalFormatting>
  <conditionalFormatting sqref="AD1466:AE1466 AG1466">
    <cfRule type="containsText" priority="3134" operator="containsText" dxfId="1" text="pendiente">
      <formula>NOT(ISERROR(SEARCH("pendiente",AD1466)))</formula>
    </cfRule>
    <cfRule type="containsText" priority="3127" operator="containsText" dxfId="1" text="pendiente">
      <formula>NOT(ISERROR(SEARCH("pendiente",AD1466)))</formula>
    </cfRule>
  </conditionalFormatting>
  <conditionalFormatting sqref="AD1466:AE1466">
    <cfRule type="cellIs" priority="3132" operator="equal" dxfId="1">
      <formula>"pendiente"</formula>
    </cfRule>
    <cfRule type="containsText" priority="3133" operator="containsText" dxfId="0" text="pagado">
      <formula>NOT(ISERROR(SEARCH("pagado",AD1466)))</formula>
    </cfRule>
    <cfRule type="cellIs" priority="3125" operator="equal" dxfId="1">
      <formula>"pendiente"</formula>
    </cfRule>
    <cfRule type="containsText" priority="3126" operator="containsText" dxfId="0" text="pagado">
      <formula>NOT(ISERROR(SEARCH("pagado",AD1466)))</formula>
    </cfRule>
  </conditionalFormatting>
  <conditionalFormatting sqref="AD1467:AE1467">
    <cfRule type="containsText" priority="3120" operator="containsText" dxfId="1" text="pendiente">
      <formula>NOT(ISERROR(SEARCH("pendiente",AD1467)))</formula>
    </cfRule>
    <cfRule type="cellIs" priority="3118" operator="equal" dxfId="1">
      <formula>"pendiente"</formula>
    </cfRule>
    <cfRule type="containsText" priority="3119" operator="containsText" dxfId="0" text="pagado">
      <formula>NOT(ISERROR(SEARCH("pagado",AD1467)))</formula>
    </cfRule>
    <cfRule type="containsText" priority="3117" operator="containsText" dxfId="1" text="pendiente">
      <formula>NOT(ISERROR(SEARCH("pendiente",AD1467)))</formula>
    </cfRule>
    <cfRule type="cellIs" priority="3115" operator="equal" dxfId="1">
      <formula>"pendiente"</formula>
    </cfRule>
    <cfRule type="containsText" priority="3116" operator="containsText" dxfId="0" text="pagado">
      <formula>NOT(ISERROR(SEARCH("pagado",AD1467)))</formula>
    </cfRule>
  </conditionalFormatting>
  <conditionalFormatting sqref="AC1467">
    <cfRule type="cellIs" priority="3111" operator="equal" dxfId="6">
      <formula>"abonado"</formula>
    </cfRule>
    <cfRule type="containsText" priority="3114" operator="containsText" dxfId="1" text="pendiente">
      <formula>NOT(ISERROR(SEARCH("pendiente",AC1467)))</formula>
    </cfRule>
    <cfRule type="cellIs" priority="3112" operator="equal" dxfId="1">
      <formula>"pendiente"</formula>
    </cfRule>
    <cfRule type="containsText" priority="3113" operator="containsText" dxfId="0" text="pagado">
      <formula>NOT(ISERROR(SEARCH("pagado",AC1467)))</formula>
    </cfRule>
    <cfRule type="cellIs" priority="3107" operator="equal" dxfId="6">
      <formula>"abonado"</formula>
    </cfRule>
    <cfRule type="containsText" priority="3110" operator="containsText" dxfId="1" text="pendiente">
      <formula>NOT(ISERROR(SEARCH("pendiente",AC1467)))</formula>
    </cfRule>
    <cfRule type="cellIs" priority="3108" operator="equal" dxfId="1">
      <formula>"pendiente"</formula>
    </cfRule>
    <cfRule type="containsText" priority="3109" operator="containsText" dxfId="0" text="pagado">
      <formula>NOT(ISERROR(SEARCH("pagado",AC1467)))</formula>
    </cfRule>
  </conditionalFormatting>
  <conditionalFormatting sqref="AG1467">
    <cfRule type="containsText" priority="3106" operator="containsText" dxfId="1" text="pendiente">
      <formula>NOT(ISERROR(SEARCH("pendiente",AG1467)))</formula>
    </cfRule>
  </conditionalFormatting>
  <conditionalFormatting sqref="AD1468:AE1468">
    <cfRule type="cellIs" priority="3099" operator="equal" dxfId="1">
      <formula>"pendiente"</formula>
    </cfRule>
    <cfRule type="containsText" priority="3100" operator="containsText" dxfId="0" text="pagado">
      <formula>NOT(ISERROR(SEARCH("pagado",AD1468)))</formula>
    </cfRule>
  </conditionalFormatting>
  <conditionalFormatting sqref="AC1468">
    <cfRule type="containsText" priority="3105" operator="containsText" dxfId="1" text="pendiente">
      <formula>NOT(ISERROR(SEARCH("pendiente",AC1468)))</formula>
    </cfRule>
    <cfRule type="cellIs" priority="3103" operator="equal" dxfId="1">
      <formula>"pendiente"</formula>
    </cfRule>
    <cfRule type="containsText" priority="3104" operator="containsText" dxfId="0" text="pagado">
      <formula>NOT(ISERROR(SEARCH("pagado",AC1468)))</formula>
    </cfRule>
    <cfRule type="cellIs" priority="3102" operator="equal" dxfId="6">
      <formula>"abonado"</formula>
    </cfRule>
  </conditionalFormatting>
  <conditionalFormatting sqref="AD1468:AE1468 AG1468">
    <cfRule type="containsText" priority="3101" operator="containsText" dxfId="1" text="pendiente">
      <formula>NOT(ISERROR(SEARCH("pendiente",AD1468)))</formula>
    </cfRule>
  </conditionalFormatting>
  <conditionalFormatting sqref="AD1469:AE1469">
    <cfRule type="cellIs" priority="3085" operator="equal" dxfId="1">
      <formula>"pendiente"</formula>
    </cfRule>
    <cfRule type="containsText" priority="3086" operator="containsText" dxfId="0" text="pagado">
      <formula>NOT(ISERROR(SEARCH("pagado",AD1469)))</formula>
    </cfRule>
  </conditionalFormatting>
  <conditionalFormatting sqref="AC1469">
    <cfRule type="containsText" priority="3091" operator="containsText" dxfId="1" text="pendiente">
      <formula>NOT(ISERROR(SEARCH("pendiente",AC1469)))</formula>
    </cfRule>
    <cfRule type="cellIs" priority="3089" operator="equal" dxfId="1">
      <formula>"pendiente"</formula>
    </cfRule>
    <cfRule type="containsText" priority="3090" operator="containsText" dxfId="0" text="pagado">
      <formula>NOT(ISERROR(SEARCH("pagado",AC1469)))</formula>
    </cfRule>
    <cfRule type="cellIs" priority="3088" operator="equal" dxfId="6">
      <formula>"abonado"</formula>
    </cfRule>
  </conditionalFormatting>
  <conditionalFormatting sqref="AD1469:AE1469 AG1469">
    <cfRule type="containsText" priority="3087" operator="containsText" dxfId="1" text="pendiente">
      <formula>NOT(ISERROR(SEARCH("pendiente",AD1469)))</formula>
    </cfRule>
  </conditionalFormatting>
  <conditionalFormatting sqref="AD1470:AE1470">
    <cfRule type="cellIs" priority="3050" operator="equal" dxfId="1">
      <formula>"pendiente"</formula>
    </cfRule>
    <cfRule type="containsText" priority="3051" operator="containsText" dxfId="0" text="pagado">
      <formula>NOT(ISERROR(SEARCH("pagado",AD1470)))</formula>
    </cfRule>
  </conditionalFormatting>
  <conditionalFormatting sqref="AC1470">
    <cfRule type="containsText" priority="3056" operator="containsText" dxfId="1" text="pendiente">
      <formula>NOT(ISERROR(SEARCH("pendiente",AC1470)))</formula>
    </cfRule>
    <cfRule type="cellIs" priority="3054" operator="equal" dxfId="1">
      <formula>"pendiente"</formula>
    </cfRule>
    <cfRule type="containsText" priority="3055" operator="containsText" dxfId="0" text="pagado">
      <formula>NOT(ISERROR(SEARCH("pagado",AC1470)))</formula>
    </cfRule>
    <cfRule type="cellIs" priority="3053" operator="equal" dxfId="6">
      <formula>"abonado"</formula>
    </cfRule>
  </conditionalFormatting>
  <conditionalFormatting sqref="AD1470:AE1470 AG1470">
    <cfRule type="containsText" priority="3052" operator="containsText" dxfId="1" text="pendiente">
      <formula>NOT(ISERROR(SEARCH("pendiente",AD1470)))</formula>
    </cfRule>
  </conditionalFormatting>
  <conditionalFormatting sqref="AC1474">
    <cfRule type="cellIs" priority="3046" operator="equal" dxfId="6">
      <formula>"abonado"</formula>
    </cfRule>
    <cfRule type="containsText" priority="3049" operator="containsText" dxfId="1" text="pendiente">
      <formula>NOT(ISERROR(SEARCH("pendiente",AC1474)))</formula>
    </cfRule>
    <cfRule type="cellIs" priority="3047" operator="equal" dxfId="1">
      <formula>"pendiente"</formula>
    </cfRule>
    <cfRule type="containsText" priority="3048" operator="containsText" dxfId="0" text="pagado">
      <formula>NOT(ISERROR(SEARCH("pagado",AC1474)))</formula>
    </cfRule>
  </conditionalFormatting>
  <conditionalFormatting sqref="AD1474:AE1474 AG1474">
    <cfRule type="containsText" priority="3045" operator="containsText" dxfId="1" text="pendiente">
      <formula>NOT(ISERROR(SEARCH("pendiente",AD1474)))</formula>
    </cfRule>
    <cfRule type="containsText" priority="3042" operator="containsText" dxfId="1" text="pendiente">
      <formula>NOT(ISERROR(SEARCH("pendiente",AD1474)))</formula>
    </cfRule>
  </conditionalFormatting>
  <conditionalFormatting sqref="AD1474:AE1474">
    <cfRule type="cellIs" priority="3043" operator="equal" dxfId="1">
      <formula>"pendiente"</formula>
    </cfRule>
    <cfRule type="containsText" priority="3044" operator="containsText" dxfId="0" text="pagado">
      <formula>NOT(ISERROR(SEARCH("pagado",AD1474)))</formula>
    </cfRule>
    <cfRule type="cellIs" priority="3040" operator="equal" dxfId="1">
      <formula>"pendiente"</formula>
    </cfRule>
    <cfRule type="containsText" priority="3041" operator="containsText" dxfId="0" text="pagado">
      <formula>NOT(ISERROR(SEARCH("pagado",AD1474)))</formula>
    </cfRule>
  </conditionalFormatting>
  <conditionalFormatting sqref="AC1475">
    <cfRule type="cellIs" priority="3036" operator="equal" dxfId="6">
      <formula>"abonado"</formula>
    </cfRule>
    <cfRule type="containsText" priority="3039" operator="containsText" dxfId="1" text="pendiente">
      <formula>NOT(ISERROR(SEARCH("pendiente",AC1475)))</formula>
    </cfRule>
    <cfRule type="cellIs" priority="3037" operator="equal" dxfId="1">
      <formula>"pendiente"</formula>
    </cfRule>
    <cfRule type="containsText" priority="3038" operator="containsText" dxfId="0" text="pagado">
      <formula>NOT(ISERROR(SEARCH("pagado",AC1475)))</formula>
    </cfRule>
  </conditionalFormatting>
  <conditionalFormatting sqref="AD1475:AE1475 AG1475">
    <cfRule type="containsText" priority="3035" operator="containsText" dxfId="1" text="pendiente">
      <formula>NOT(ISERROR(SEARCH("pendiente",AD1475)))</formula>
    </cfRule>
    <cfRule type="containsText" priority="3032" operator="containsText" dxfId="1" text="pendiente">
      <formula>NOT(ISERROR(SEARCH("pendiente",AD1475)))</formula>
    </cfRule>
  </conditionalFormatting>
  <conditionalFormatting sqref="AD1475:AE1475">
    <cfRule type="cellIs" priority="3033" operator="equal" dxfId="1">
      <formula>"pendiente"</formula>
    </cfRule>
    <cfRule type="containsText" priority="3034" operator="containsText" dxfId="0" text="pagado">
      <formula>NOT(ISERROR(SEARCH("pagado",AD1475)))</formula>
    </cfRule>
    <cfRule type="cellIs" priority="3030" operator="equal" dxfId="1">
      <formula>"pendiente"</formula>
    </cfRule>
    <cfRule type="containsText" priority="3031" operator="containsText" dxfId="0" text="pagado">
      <formula>NOT(ISERROR(SEARCH("pagado",AD1475)))</formula>
    </cfRule>
  </conditionalFormatting>
  <conditionalFormatting sqref="AC1471:AE1471 AG1471">
    <cfRule type="containsText" priority="3029" operator="containsText" dxfId="1" text="pendiente">
      <formula>NOT(ISERROR(SEARCH("pendiente",AC1471)))</formula>
    </cfRule>
  </conditionalFormatting>
  <conditionalFormatting sqref="AC1471:AE1471">
    <cfRule type="cellIs" priority="3027" operator="equal" dxfId="1">
      <formula>"pendiente"</formula>
    </cfRule>
    <cfRule type="containsText" priority="3028" operator="containsText" dxfId="0" text="pagado">
      <formula>NOT(ISERROR(SEARCH("pagado",AC1471)))</formula>
    </cfRule>
  </conditionalFormatting>
  <conditionalFormatting sqref="AC1471">
    <cfRule type="cellIs" priority="3026" operator="equal" dxfId="6">
      <formula>"abonado"</formula>
    </cfRule>
    <cfRule type="cellIs" priority="3012" operator="equal" dxfId="6">
      <formula>"abonado"</formula>
    </cfRule>
    <cfRule type="cellIs" priority="3019" operator="equal" dxfId="6">
      <formula>"abonado"</formula>
    </cfRule>
    <cfRule type="containsText" priority="3022" operator="containsText" dxfId="1" text="pendiente">
      <formula>NOT(ISERROR(SEARCH("pendiente",AC1471)))</formula>
    </cfRule>
    <cfRule type="cellIs" priority="3020" operator="equal" dxfId="1">
      <formula>"pendiente"</formula>
    </cfRule>
    <cfRule type="containsText" priority="3021" operator="containsText" dxfId="0" text="pagado">
      <formula>NOT(ISERROR(SEARCH("pagado",AC1471)))</formula>
    </cfRule>
    <cfRule type="containsText" priority="3015" operator="containsText" dxfId="1" text="pendiente">
      <formula>NOT(ISERROR(SEARCH("pendiente",AC1471)))</formula>
    </cfRule>
    <cfRule type="cellIs" priority="3013" operator="equal" dxfId="1">
      <formula>"pendiente"</formula>
    </cfRule>
    <cfRule type="containsText" priority="3014" operator="containsText" dxfId="0" text="pagado">
      <formula>NOT(ISERROR(SEARCH("pagado",AC1471)))</formula>
    </cfRule>
  </conditionalFormatting>
  <conditionalFormatting sqref="AD1471:AE1471 AG1471">
    <cfRule type="containsText" priority="3025" operator="containsText" dxfId="1" text="pendiente">
      <formula>NOT(ISERROR(SEARCH("pendiente",AD1471)))</formula>
    </cfRule>
    <cfRule type="containsText" priority="3018" operator="containsText" dxfId="1" text="pendiente">
      <formula>NOT(ISERROR(SEARCH("pendiente",AD1471)))</formula>
    </cfRule>
  </conditionalFormatting>
  <conditionalFormatting sqref="AD1471:AE1471">
    <cfRule type="cellIs" priority="3023" operator="equal" dxfId="1">
      <formula>"pendiente"</formula>
    </cfRule>
    <cfRule type="containsText" priority="3024" operator="containsText" dxfId="0" text="pagado">
      <formula>NOT(ISERROR(SEARCH("pagado",AD1471)))</formula>
    </cfRule>
    <cfRule type="cellIs" priority="3016" operator="equal" dxfId="1">
      <formula>"pendiente"</formula>
    </cfRule>
    <cfRule type="containsText" priority="3017" operator="containsText" dxfId="0" text="pagado">
      <formula>NOT(ISERROR(SEARCH("pagado",AD1471)))</formula>
    </cfRule>
  </conditionalFormatting>
  <conditionalFormatting sqref="AC1472:AE1472 AG1472">
    <cfRule type="containsText" priority="3011" operator="containsText" dxfId="1" text="pendiente">
      <formula>NOT(ISERROR(SEARCH("pendiente",AC1472)))</formula>
    </cfRule>
  </conditionalFormatting>
  <conditionalFormatting sqref="AC1472:AE1472">
    <cfRule type="cellIs" priority="3009" operator="equal" dxfId="1">
      <formula>"pendiente"</formula>
    </cfRule>
    <cfRule type="containsText" priority="3010" operator="containsText" dxfId="0" text="pagado">
      <formula>NOT(ISERROR(SEARCH("pagado",AC1472)))</formula>
    </cfRule>
  </conditionalFormatting>
  <conditionalFormatting sqref="AC1472">
    <cfRule type="cellIs" priority="3008" operator="equal" dxfId="6">
      <formula>"abonado"</formula>
    </cfRule>
    <cfRule type="cellIs" priority="2994" operator="equal" dxfId="6">
      <formula>"abonado"</formula>
    </cfRule>
    <cfRule type="cellIs" priority="3001" operator="equal" dxfId="6">
      <formula>"abonado"</formula>
    </cfRule>
    <cfRule type="containsText" priority="3004" operator="containsText" dxfId="1" text="pendiente">
      <formula>NOT(ISERROR(SEARCH("pendiente",AC1472)))</formula>
    </cfRule>
    <cfRule type="cellIs" priority="3002" operator="equal" dxfId="1">
      <formula>"pendiente"</formula>
    </cfRule>
    <cfRule type="containsText" priority="3003" operator="containsText" dxfId="0" text="pagado">
      <formula>NOT(ISERROR(SEARCH("pagado",AC1472)))</formula>
    </cfRule>
    <cfRule type="containsText" priority="2997" operator="containsText" dxfId="1" text="pendiente">
      <formula>NOT(ISERROR(SEARCH("pendiente",AC1472)))</formula>
    </cfRule>
    <cfRule type="cellIs" priority="2995" operator="equal" dxfId="1">
      <formula>"pendiente"</formula>
    </cfRule>
    <cfRule type="containsText" priority="2996" operator="containsText" dxfId="0" text="pagado">
      <formula>NOT(ISERROR(SEARCH("pagado",AC1472)))</formula>
    </cfRule>
  </conditionalFormatting>
  <conditionalFormatting sqref="AD1472:AE1472 AG1472">
    <cfRule type="containsText" priority="3007" operator="containsText" dxfId="1" text="pendiente">
      <formula>NOT(ISERROR(SEARCH("pendiente",AD1472)))</formula>
    </cfRule>
    <cfRule type="containsText" priority="3000" operator="containsText" dxfId="1" text="pendiente">
      <formula>NOT(ISERROR(SEARCH("pendiente",AD1472)))</formula>
    </cfRule>
  </conditionalFormatting>
  <conditionalFormatting sqref="AD1472:AE1472">
    <cfRule type="cellIs" priority="3005" operator="equal" dxfId="1">
      <formula>"pendiente"</formula>
    </cfRule>
    <cfRule type="containsText" priority="3006" operator="containsText" dxfId="0" text="pagado">
      <formula>NOT(ISERROR(SEARCH("pagado",AD1472)))</formula>
    </cfRule>
    <cfRule type="cellIs" priority="2998" operator="equal" dxfId="1">
      <formula>"pendiente"</formula>
    </cfRule>
    <cfRule type="containsText" priority="2999" operator="containsText" dxfId="0" text="pagado">
      <formula>NOT(ISERROR(SEARCH("pagado",AD1472)))</formula>
    </cfRule>
  </conditionalFormatting>
  <conditionalFormatting sqref="AC1473:AE1473 AG1473">
    <cfRule type="containsText" priority="2993" operator="containsText" dxfId="1" text="pendiente">
      <formula>NOT(ISERROR(SEARCH("pendiente",AC1473)))</formula>
    </cfRule>
  </conditionalFormatting>
  <conditionalFormatting sqref="AC1473:AE1473">
    <cfRule type="cellIs" priority="2991" operator="equal" dxfId="1">
      <formula>"pendiente"</formula>
    </cfRule>
    <cfRule type="containsText" priority="2992" operator="containsText" dxfId="0" text="pagado">
      <formula>NOT(ISERROR(SEARCH("pagado",AC1473)))</formula>
    </cfRule>
  </conditionalFormatting>
  <conditionalFormatting sqref="AC1473">
    <cfRule type="cellIs" priority="2990" operator="equal" dxfId="6">
      <formula>"abonado"</formula>
    </cfRule>
    <cfRule type="cellIs" priority="2976" operator="equal" dxfId="6">
      <formula>"abonado"</formula>
    </cfRule>
    <cfRule type="cellIs" priority="2983" operator="equal" dxfId="6">
      <formula>"abonado"</formula>
    </cfRule>
    <cfRule type="containsText" priority="2986" operator="containsText" dxfId="1" text="pendiente">
      <formula>NOT(ISERROR(SEARCH("pendiente",AC1473)))</formula>
    </cfRule>
    <cfRule type="cellIs" priority="2984" operator="equal" dxfId="1">
      <formula>"pendiente"</formula>
    </cfRule>
    <cfRule type="containsText" priority="2985" operator="containsText" dxfId="0" text="pagado">
      <formula>NOT(ISERROR(SEARCH("pagado",AC1473)))</formula>
    </cfRule>
    <cfRule type="containsText" priority="2979" operator="containsText" dxfId="1" text="pendiente">
      <formula>NOT(ISERROR(SEARCH("pendiente",AC1473)))</formula>
    </cfRule>
    <cfRule type="cellIs" priority="2977" operator="equal" dxfId="1">
      <formula>"pendiente"</formula>
    </cfRule>
    <cfRule type="containsText" priority="2978" operator="containsText" dxfId="0" text="pagado">
      <formula>NOT(ISERROR(SEARCH("pagado",AC1473)))</formula>
    </cfRule>
  </conditionalFormatting>
  <conditionalFormatting sqref="AD1473:AE1473 AG1473">
    <cfRule type="containsText" priority="2989" operator="containsText" dxfId="1" text="pendiente">
      <formula>NOT(ISERROR(SEARCH("pendiente",AD1473)))</formula>
    </cfRule>
    <cfRule type="containsText" priority="2982" operator="containsText" dxfId="1" text="pendiente">
      <formula>NOT(ISERROR(SEARCH("pendiente",AD1473)))</formula>
    </cfRule>
  </conditionalFormatting>
  <conditionalFormatting sqref="AD1473:AE1473">
    <cfRule type="cellIs" priority="2987" operator="equal" dxfId="1">
      <formula>"pendiente"</formula>
    </cfRule>
    <cfRule type="containsText" priority="2988" operator="containsText" dxfId="0" text="pagado">
      <formula>NOT(ISERROR(SEARCH("pagado",AD1473)))</formula>
    </cfRule>
    <cfRule type="cellIs" priority="2980" operator="equal" dxfId="1">
      <formula>"pendiente"</formula>
    </cfRule>
    <cfRule type="containsText" priority="2981" operator="containsText" dxfId="0" text="pagado">
      <formula>NOT(ISERROR(SEARCH("pagado",AD1473)))</formula>
    </cfRule>
  </conditionalFormatting>
  <conditionalFormatting sqref="AC1476:AC1494 AC1507:AC1513">
    <cfRule type="cellIs" priority="2963" operator="equal" dxfId="6">
      <formula>"abonado"</formula>
    </cfRule>
    <cfRule type="containsText" priority="2966" operator="containsText" dxfId="1" text="pendiente">
      <formula>NOT(ISERROR(SEARCH("pendiente",AC1476)))</formula>
    </cfRule>
    <cfRule type="cellIs" priority="2964" operator="equal" dxfId="1">
      <formula>"pendiente"</formula>
    </cfRule>
    <cfRule type="containsText" priority="2965" operator="containsText" dxfId="0" text="pagado">
      <formula>NOT(ISERROR(SEARCH("pagado",AC1476)))</formula>
    </cfRule>
  </conditionalFormatting>
  <conditionalFormatting sqref="AC1495:AC1506">
    <cfRule type="cellIs" priority="2937" operator="equal" dxfId="6">
      <formula>"abonado"</formula>
    </cfRule>
    <cfRule type="cellIs" priority="2956" operator="equal" dxfId="6">
      <formula>"abonado"</formula>
    </cfRule>
    <cfRule type="containsText" priority="2959" operator="containsText" dxfId="1" text="pendiente">
      <formula>NOT(ISERROR(SEARCH("pendiente",AC1495)))</formula>
    </cfRule>
    <cfRule type="cellIs" priority="2957" operator="equal" dxfId="1">
      <formula>"pendiente"</formula>
    </cfRule>
    <cfRule type="containsText" priority="2958" operator="containsText" dxfId="0" text="pagado">
      <formula>NOT(ISERROR(SEARCH("pagado",AC1495)))</formula>
    </cfRule>
    <cfRule type="containsText" priority="2940" operator="containsText" dxfId="1" text="pendiente">
      <formula>NOT(ISERROR(SEARCH("pendiente",AC1495)))</formula>
    </cfRule>
    <cfRule type="cellIs" priority="2938" operator="equal" dxfId="1">
      <formula>"pendiente"</formula>
    </cfRule>
    <cfRule type="containsText" priority="2939" operator="containsText" dxfId="0" text="pagado">
      <formula>NOT(ISERROR(SEARCH("pagado",AC1495)))</formula>
    </cfRule>
  </conditionalFormatting>
  <conditionalFormatting sqref="AD1476:AE1484 AG1476:AG1484">
    <cfRule type="containsText" priority="2975" operator="containsText" dxfId="1" text="pendiente">
      <formula>NOT(ISERROR(SEARCH("pendiente",AD1476)))</formula>
    </cfRule>
  </conditionalFormatting>
  <conditionalFormatting sqref="AD1476:AE1484">
    <cfRule type="cellIs" priority="2973" operator="equal" dxfId="1">
      <formula>"pendiente"</formula>
    </cfRule>
    <cfRule type="containsText" priority="2974" operator="containsText" dxfId="0" text="pagado">
      <formula>NOT(ISERROR(SEARCH("pagado",AD1476)))</formula>
    </cfRule>
  </conditionalFormatting>
  <conditionalFormatting sqref="AD1485:AE1488 AG1485:AG1488">
    <cfRule type="containsText" priority="2972" operator="containsText" dxfId="1" text="pendiente">
      <formula>NOT(ISERROR(SEARCH("pendiente",AD1485)))</formula>
    </cfRule>
  </conditionalFormatting>
  <conditionalFormatting sqref="AD1485:AE1488">
    <cfRule type="cellIs" priority="2970" operator="equal" dxfId="1">
      <formula>"pendiente"</formula>
    </cfRule>
    <cfRule type="containsText" priority="2971" operator="containsText" dxfId="0" text="pagado">
      <formula>NOT(ISERROR(SEARCH("pagado",AD1485)))</formula>
    </cfRule>
  </conditionalFormatting>
  <conditionalFormatting sqref="AD1489:AE1494 AG1489:AG1494">
    <cfRule type="containsText" priority="2969" operator="containsText" dxfId="1" text="pendiente">
      <formula>NOT(ISERROR(SEARCH("pendiente",AD1489)))</formula>
    </cfRule>
  </conditionalFormatting>
  <conditionalFormatting sqref="AD1489:AE1494">
    <cfRule type="cellIs" priority="2967" operator="equal" dxfId="1">
      <formula>"pendiente"</formula>
    </cfRule>
    <cfRule type="containsText" priority="2968" operator="containsText" dxfId="0" text="pagado">
      <formula>NOT(ISERROR(SEARCH("pagado",AD1489)))</formula>
    </cfRule>
  </conditionalFormatting>
  <conditionalFormatting sqref="AD1495:AE1513 AG1495:AG1513">
    <cfRule type="containsText" priority="2962" operator="containsText" dxfId="1" text="pendiente">
      <formula>NOT(ISERROR(SEARCH("pendiente",AD1495)))</formula>
    </cfRule>
  </conditionalFormatting>
  <conditionalFormatting sqref="AD1495:AE1513">
    <cfRule type="cellIs" priority="2960" operator="equal" dxfId="1">
      <formula>"pendiente"</formula>
    </cfRule>
    <cfRule type="containsText" priority="2961" operator="containsText" dxfId="0" text="pagado">
      <formula>NOT(ISERROR(SEARCH("pagado",AD1495)))</formula>
    </cfRule>
  </conditionalFormatting>
  <conditionalFormatting sqref="AD1506:AE1513 AG1506:AG1513">
    <cfRule type="containsText" priority="2955" operator="containsText" dxfId="1" text="pendiente">
      <formula>NOT(ISERROR(SEARCH("pendiente",AD1506)))</formula>
    </cfRule>
  </conditionalFormatting>
  <conditionalFormatting sqref="AD1506:AE1513">
    <cfRule type="cellIs" priority="2953" operator="equal" dxfId="1">
      <formula>"pendiente"</formula>
    </cfRule>
    <cfRule type="containsText" priority="2954" operator="containsText" dxfId="0" text="pagado">
      <formula>NOT(ISERROR(SEARCH("pagado",AD1506)))</formula>
    </cfRule>
  </conditionalFormatting>
  <conditionalFormatting sqref="AD1498:AE1505 AG1498:AG1505">
    <cfRule type="containsText" priority="2952" operator="containsText" dxfId="1" text="pendiente">
      <formula>NOT(ISERROR(SEARCH("pendiente",AD1498)))</formula>
    </cfRule>
  </conditionalFormatting>
  <conditionalFormatting sqref="AD1498:AE1505">
    <cfRule type="cellIs" priority="2950" operator="equal" dxfId="1">
      <formula>"pendiente"</formula>
    </cfRule>
    <cfRule type="containsText" priority="2951" operator="containsText" dxfId="0" text="pagado">
      <formula>NOT(ISERROR(SEARCH("pagado",AD1498)))</formula>
    </cfRule>
  </conditionalFormatting>
  <conditionalFormatting sqref="AD1495:AE1495 AG1495">
    <cfRule type="containsText" priority="2949" operator="containsText" dxfId="1" text="pendiente">
      <formula>NOT(ISERROR(SEARCH("pendiente",AD1495)))</formula>
    </cfRule>
  </conditionalFormatting>
  <conditionalFormatting sqref="AD1495:AE1495">
    <cfRule type="cellIs" priority="2947" operator="equal" dxfId="1">
      <formula>"pendiente"</formula>
    </cfRule>
    <cfRule type="containsText" priority="2948" operator="containsText" dxfId="0" text="pagado">
      <formula>NOT(ISERROR(SEARCH("pagado",AD1495)))</formula>
    </cfRule>
  </conditionalFormatting>
  <conditionalFormatting sqref="AD1497:AE1497">
    <cfRule type="cellIs" priority="2944" operator="equal" dxfId="1">
      <formula>"pendiente"</formula>
    </cfRule>
    <cfRule type="containsText" priority="2945" operator="containsText" dxfId="0" text="pagado">
      <formula>NOT(ISERROR(SEARCH("pagado",AD1497)))</formula>
    </cfRule>
  </conditionalFormatting>
  <conditionalFormatting sqref="AD1497:AE1497 AG1497">
    <cfRule type="containsText" priority="2946" operator="containsText" dxfId="1" text="pendiente">
      <formula>NOT(ISERROR(SEARCH("pendiente",AD1497)))</formula>
    </cfRule>
  </conditionalFormatting>
  <conditionalFormatting sqref="AD1496:AE1496 AG1496">
    <cfRule type="containsText" priority="2943" operator="containsText" dxfId="1" text="pendiente">
      <formula>NOT(ISERROR(SEARCH("pendiente",AD1496)))</formula>
    </cfRule>
  </conditionalFormatting>
  <conditionalFormatting sqref="AD1496:AE1496">
    <cfRule type="cellIs" priority="2941" operator="equal" dxfId="1">
      <formula>"pendiente"</formula>
    </cfRule>
    <cfRule type="containsText" priority="2942" operator="containsText" dxfId="0" text="pagado">
      <formula>NOT(ISERROR(SEARCH("pagado",AD1496)))</formula>
    </cfRule>
  </conditionalFormatting>
  <conditionalFormatting sqref="AD1514:AE1514">
    <cfRule type="cellIs" priority="2930" operator="equal" dxfId="1">
      <formula>"pendiente"</formula>
    </cfRule>
    <cfRule type="containsText" priority="2931" operator="containsText" dxfId="0" text="pagado">
      <formula>NOT(ISERROR(SEARCH("pagado",AD1514)))</formula>
    </cfRule>
  </conditionalFormatting>
  <conditionalFormatting sqref="AD1515:AE1515">
    <cfRule type="cellIs" priority="2923" operator="equal" dxfId="1">
      <formula>"pendiente"</formula>
    </cfRule>
    <cfRule type="containsText" priority="2924" operator="containsText" dxfId="0" text="pagado">
      <formula>NOT(ISERROR(SEARCH("pagado",AD1515)))</formula>
    </cfRule>
  </conditionalFormatting>
  <conditionalFormatting sqref="AC1514">
    <cfRule type="containsText" priority="2936" operator="containsText" dxfId="1" text="pendiente">
      <formula>NOT(ISERROR(SEARCH("pendiente",AC1514)))</formula>
    </cfRule>
    <cfRule type="cellIs" priority="2934" operator="equal" dxfId="1">
      <formula>"pendiente"</formula>
    </cfRule>
    <cfRule type="containsText" priority="2935" operator="containsText" dxfId="0" text="pagado">
      <formula>NOT(ISERROR(SEARCH("pagado",AC1514)))</formula>
    </cfRule>
    <cfRule type="cellIs" priority="2933" operator="equal" dxfId="6">
      <formula>"abonado"</formula>
    </cfRule>
  </conditionalFormatting>
  <conditionalFormatting sqref="AD1514:AE1514 AG1514">
    <cfRule type="containsText" priority="2932" operator="containsText" dxfId="1" text="pendiente">
      <formula>NOT(ISERROR(SEARCH("pendiente",AD1514)))</formula>
    </cfRule>
  </conditionalFormatting>
  <conditionalFormatting sqref="AC1515">
    <cfRule type="containsText" priority="2929" operator="containsText" dxfId="1" text="pendiente">
      <formula>NOT(ISERROR(SEARCH("pendiente",AC1515)))</formula>
    </cfRule>
    <cfRule type="cellIs" priority="2927" operator="equal" dxfId="1">
      <formula>"pendiente"</formula>
    </cfRule>
    <cfRule type="containsText" priority="2928" operator="containsText" dxfId="0" text="pagado">
      <formula>NOT(ISERROR(SEARCH("pagado",AC1515)))</formula>
    </cfRule>
    <cfRule type="cellIs" priority="2926" operator="equal" dxfId="6">
      <formula>"abonado"</formula>
    </cfRule>
  </conditionalFormatting>
  <conditionalFormatting sqref="AD1515:AE1515 AG1515">
    <cfRule type="containsText" priority="2925" operator="containsText" dxfId="1" text="pendiente">
      <formula>NOT(ISERROR(SEARCH("pendiente",AD1515)))</formula>
    </cfRule>
  </conditionalFormatting>
  <conditionalFormatting sqref="AD1516:AE1516">
    <cfRule type="cellIs" priority="2916" operator="equal" dxfId="1">
      <formula>"pendiente"</formula>
    </cfRule>
    <cfRule type="containsText" priority="2917" operator="containsText" dxfId="0" text="pagado">
      <formula>NOT(ISERROR(SEARCH("pagado",AD1516)))</formula>
    </cfRule>
  </conditionalFormatting>
  <conditionalFormatting sqref="AC1516">
    <cfRule type="containsText" priority="2922" operator="containsText" dxfId="1" text="pendiente">
      <formula>NOT(ISERROR(SEARCH("pendiente",AC1516)))</formula>
    </cfRule>
    <cfRule type="cellIs" priority="2920" operator="equal" dxfId="1">
      <formula>"pendiente"</formula>
    </cfRule>
    <cfRule type="containsText" priority="2921" operator="containsText" dxfId="0" text="pagado">
      <formula>NOT(ISERROR(SEARCH("pagado",AC1516)))</formula>
    </cfRule>
    <cfRule type="cellIs" priority="2919" operator="equal" dxfId="6">
      <formula>"abonado"</formula>
    </cfRule>
  </conditionalFormatting>
  <conditionalFormatting sqref="AD1516:AE1516 AG1516">
    <cfRule type="containsText" priority="2918" operator="containsText" dxfId="1" text="pendiente">
      <formula>NOT(ISERROR(SEARCH("pendiente",AD1516)))</formula>
    </cfRule>
  </conditionalFormatting>
  <conditionalFormatting sqref="AC1517">
    <cfRule type="cellIs" priority="2912" operator="equal" dxfId="6">
      <formula>"abonado"</formula>
    </cfRule>
    <cfRule type="containsText" priority="2915" operator="containsText" dxfId="1" text="pendiente">
      <formula>NOT(ISERROR(SEARCH("pendiente",AC1517)))</formula>
    </cfRule>
    <cfRule type="cellIs" priority="2913" operator="equal" dxfId="1">
      <formula>"pendiente"</formula>
    </cfRule>
    <cfRule type="containsText" priority="2914" operator="containsText" dxfId="0" text="pagado">
      <formula>NOT(ISERROR(SEARCH("pagado",AC1517)))</formula>
    </cfRule>
  </conditionalFormatting>
  <conditionalFormatting sqref="AD1517:AE1517 AG1517">
    <cfRule type="containsText" priority="2911" operator="containsText" dxfId="1" text="pendiente">
      <formula>NOT(ISERROR(SEARCH("pendiente",AD1517)))</formula>
    </cfRule>
    <cfRule type="containsText" priority="2908" operator="containsText" dxfId="1" text="pendiente">
      <formula>NOT(ISERROR(SEARCH("pendiente",AD1517)))</formula>
    </cfRule>
  </conditionalFormatting>
  <conditionalFormatting sqref="AD1517:AE1517">
    <cfRule type="cellIs" priority="2909" operator="equal" dxfId="1">
      <formula>"pendiente"</formula>
    </cfRule>
    <cfRule type="containsText" priority="2910" operator="containsText" dxfId="0" text="pagado">
      <formula>NOT(ISERROR(SEARCH("pagado",AD1517)))</formula>
    </cfRule>
    <cfRule type="cellIs" priority="2906" operator="equal" dxfId="1">
      <formula>"pendiente"</formula>
    </cfRule>
    <cfRule type="containsText" priority="2907" operator="containsText" dxfId="0" text="pagado">
      <formula>NOT(ISERROR(SEARCH("pagado",AD1517)))</formula>
    </cfRule>
  </conditionalFormatting>
  <conditionalFormatting sqref="AD1518:AE1518">
    <cfRule type="cellIs" priority="2899" operator="equal" dxfId="1">
      <formula>"pendiente"</formula>
    </cfRule>
    <cfRule type="containsText" priority="2900" operator="containsText" dxfId="0" text="pagado">
      <formula>NOT(ISERROR(SEARCH("pagado",AD1518)))</formula>
    </cfRule>
  </conditionalFormatting>
  <conditionalFormatting sqref="AC1518">
    <cfRule type="containsText" priority="2905" operator="containsText" dxfId="1" text="pendiente">
      <formula>NOT(ISERROR(SEARCH("pendiente",AC1518)))</formula>
    </cfRule>
    <cfRule type="cellIs" priority="2903" operator="equal" dxfId="1">
      <formula>"pendiente"</formula>
    </cfRule>
    <cfRule type="containsText" priority="2904" operator="containsText" dxfId="0" text="pagado">
      <formula>NOT(ISERROR(SEARCH("pagado",AC1518)))</formula>
    </cfRule>
    <cfRule type="cellIs" priority="2902" operator="equal" dxfId="6">
      <formula>"abonado"</formula>
    </cfRule>
  </conditionalFormatting>
  <conditionalFormatting sqref="AD1518:AE1518 AG1518">
    <cfRule type="containsText" priority="2901" operator="containsText" dxfId="1" text="pendiente">
      <formula>NOT(ISERROR(SEARCH("pendiente",AD1518)))</formula>
    </cfRule>
  </conditionalFormatting>
  <conditionalFormatting sqref="AC1519">
    <cfRule type="cellIs" priority="2895" operator="equal" dxfId="6">
      <formula>"abonado"</formula>
    </cfRule>
    <cfRule type="containsText" priority="2898" operator="containsText" dxfId="1" text="pendiente">
      <formula>NOT(ISERROR(SEARCH("pendiente",AC1519)))</formula>
    </cfRule>
    <cfRule type="cellIs" priority="2896" operator="equal" dxfId="1">
      <formula>"pendiente"</formula>
    </cfRule>
    <cfRule type="containsText" priority="2897" operator="containsText" dxfId="0" text="pagado">
      <formula>NOT(ISERROR(SEARCH("pagado",AC1519)))</formula>
    </cfRule>
  </conditionalFormatting>
  <conditionalFormatting sqref="AD1519:AE1519 AG1519">
    <cfRule type="containsText" priority="2894" operator="containsText" dxfId="1" text="pendiente">
      <formula>NOT(ISERROR(SEARCH("pendiente",AD1519)))</formula>
    </cfRule>
    <cfRule type="containsText" priority="2891" operator="containsText" dxfId="1" text="pendiente">
      <formula>NOT(ISERROR(SEARCH("pendiente",AD1519)))</formula>
    </cfRule>
  </conditionalFormatting>
  <conditionalFormatting sqref="AD1519:AE1519">
    <cfRule type="cellIs" priority="2892" operator="equal" dxfId="1">
      <formula>"pendiente"</formula>
    </cfRule>
    <cfRule type="containsText" priority="2893" operator="containsText" dxfId="0" text="pagado">
      <formula>NOT(ISERROR(SEARCH("pagado",AD1519)))</formula>
    </cfRule>
    <cfRule type="cellIs" priority="2889" operator="equal" dxfId="1">
      <formula>"pendiente"</formula>
    </cfRule>
    <cfRule type="containsText" priority="2890" operator="containsText" dxfId="0" text="pagado">
      <formula>NOT(ISERROR(SEARCH("pagado",AD1519)))</formula>
    </cfRule>
  </conditionalFormatting>
  <conditionalFormatting sqref="AC1520">
    <cfRule type="cellIs" priority="2875" operator="equal" dxfId="6">
      <formula>"abonado"</formula>
    </cfRule>
    <cfRule type="cellIs" priority="2882" operator="equal" dxfId="6">
      <formula>"abonado"</formula>
    </cfRule>
    <cfRule type="containsText" priority="2885" operator="containsText" dxfId="1" text="pendiente">
      <formula>NOT(ISERROR(SEARCH("pendiente",AC1520)))</formula>
    </cfRule>
    <cfRule type="cellIs" priority="2883" operator="equal" dxfId="1">
      <formula>"pendiente"</formula>
    </cfRule>
    <cfRule type="containsText" priority="2884" operator="containsText" dxfId="0" text="pagado">
      <formula>NOT(ISERROR(SEARCH("pagado",AC1520)))</formula>
    </cfRule>
    <cfRule type="containsText" priority="2878" operator="containsText" dxfId="1" text="pendiente">
      <formula>NOT(ISERROR(SEARCH("pendiente",AC1520)))</formula>
    </cfRule>
    <cfRule type="cellIs" priority="2876" operator="equal" dxfId="1">
      <formula>"pendiente"</formula>
    </cfRule>
    <cfRule type="containsText" priority="2877" operator="containsText" dxfId="0" text="pagado">
      <formula>NOT(ISERROR(SEARCH("pagado",AC1520)))</formula>
    </cfRule>
  </conditionalFormatting>
  <conditionalFormatting sqref="AD1520:AE1520 AG1520">
    <cfRule type="containsText" priority="2888" operator="containsText" dxfId="1" text="pendiente">
      <formula>NOT(ISERROR(SEARCH("pendiente",AD1520)))</formula>
    </cfRule>
    <cfRule type="containsText" priority="2881" operator="containsText" dxfId="1" text="pendiente">
      <formula>NOT(ISERROR(SEARCH("pendiente",AD1520)))</formula>
    </cfRule>
  </conditionalFormatting>
  <conditionalFormatting sqref="AD1520:AE1520">
    <cfRule type="cellIs" priority="2886" operator="equal" dxfId="1">
      <formula>"pendiente"</formula>
    </cfRule>
    <cfRule type="containsText" priority="2887" operator="containsText" dxfId="0" text="pagado">
      <formula>NOT(ISERROR(SEARCH("pagado",AD1520)))</formula>
    </cfRule>
    <cfRule type="cellIs" priority="2879" operator="equal" dxfId="1">
      <formula>"pendiente"</formula>
    </cfRule>
    <cfRule type="containsText" priority="2880" operator="containsText" dxfId="0" text="pagado">
      <formula>NOT(ISERROR(SEARCH("pagado",AD1520)))</formula>
    </cfRule>
  </conditionalFormatting>
  <conditionalFormatting sqref="AC1521">
    <cfRule type="cellIs" priority="2871" operator="equal" dxfId="6">
      <formula>"abonado"</formula>
    </cfRule>
    <cfRule type="containsText" priority="2874" operator="containsText" dxfId="1" text="pendiente">
      <formula>NOT(ISERROR(SEARCH("pendiente",AC1521)))</formula>
    </cfRule>
    <cfRule type="cellIs" priority="2872" operator="equal" dxfId="1">
      <formula>"pendiente"</formula>
    </cfRule>
    <cfRule type="containsText" priority="2873" operator="containsText" dxfId="0" text="pagado">
      <formula>NOT(ISERROR(SEARCH("pagado",AC1521)))</formula>
    </cfRule>
  </conditionalFormatting>
  <conditionalFormatting sqref="AD1521:AE1521 AG1521">
    <cfRule type="containsText" priority="2870" operator="containsText" dxfId="1" text="pendiente">
      <formula>NOT(ISERROR(SEARCH("pendiente",AD1521)))</formula>
    </cfRule>
    <cfRule type="containsText" priority="2867" operator="containsText" dxfId="1" text="pendiente">
      <formula>NOT(ISERROR(SEARCH("pendiente",AD1521)))</formula>
    </cfRule>
  </conditionalFormatting>
  <conditionalFormatting sqref="AD1521:AE1521">
    <cfRule type="cellIs" priority="2868" operator="equal" dxfId="1">
      <formula>"pendiente"</formula>
    </cfRule>
    <cfRule type="containsText" priority="2869" operator="containsText" dxfId="0" text="pagado">
      <formula>NOT(ISERROR(SEARCH("pagado",AD1521)))</formula>
    </cfRule>
    <cfRule type="cellIs" priority="2865" operator="equal" dxfId="1">
      <formula>"pendiente"</formula>
    </cfRule>
    <cfRule type="containsText" priority="2866" operator="containsText" dxfId="0" text="pagado">
      <formula>NOT(ISERROR(SEARCH("pagado",AD1521)))</formula>
    </cfRule>
  </conditionalFormatting>
  <conditionalFormatting sqref="AC1522">
    <cfRule type="cellIs" priority="2861" operator="equal" dxfId="6">
      <formula>"abonado"</formula>
    </cfRule>
    <cfRule type="containsText" priority="2864" operator="containsText" dxfId="1" text="pendiente">
      <formula>NOT(ISERROR(SEARCH("pendiente",AC1522)))</formula>
    </cfRule>
    <cfRule type="cellIs" priority="2862" operator="equal" dxfId="1">
      <formula>"pendiente"</formula>
    </cfRule>
    <cfRule type="containsText" priority="2863" operator="containsText" dxfId="0" text="pagado">
      <formula>NOT(ISERROR(SEARCH("pagado",AC1522)))</formula>
    </cfRule>
  </conditionalFormatting>
  <conditionalFormatting sqref="AD1522:AE1522 AG1522">
    <cfRule type="containsText" priority="2860" operator="containsText" dxfId="1" text="pendiente">
      <formula>NOT(ISERROR(SEARCH("pendiente",AD1522)))</formula>
    </cfRule>
    <cfRule type="containsText" priority="2857" operator="containsText" dxfId="1" text="pendiente">
      <formula>NOT(ISERROR(SEARCH("pendiente",AD1522)))</formula>
    </cfRule>
  </conditionalFormatting>
  <conditionalFormatting sqref="AD1522:AE1522">
    <cfRule type="cellIs" priority="2858" operator="equal" dxfId="1">
      <formula>"pendiente"</formula>
    </cfRule>
    <cfRule type="containsText" priority="2859" operator="containsText" dxfId="0" text="pagado">
      <formula>NOT(ISERROR(SEARCH("pagado",AD1522)))</formula>
    </cfRule>
    <cfRule type="cellIs" priority="2855" operator="equal" dxfId="1">
      <formula>"pendiente"</formula>
    </cfRule>
    <cfRule type="containsText" priority="2856" operator="containsText" dxfId="0" text="pagado">
      <formula>NOT(ISERROR(SEARCH("pagado",AD1522)))</formula>
    </cfRule>
  </conditionalFormatting>
  <conditionalFormatting sqref="AC1523:AC1524">
    <cfRule type="cellIs" priority="2851" operator="equal" dxfId="6">
      <formula>"abonado"</formula>
    </cfRule>
    <cfRule type="containsText" priority="2854" operator="containsText" dxfId="1" text="pendiente">
      <formula>NOT(ISERROR(SEARCH("pendiente",AC1523)))</formula>
    </cfRule>
    <cfRule type="cellIs" priority="2852" operator="equal" dxfId="1">
      <formula>"pendiente"</formula>
    </cfRule>
    <cfRule type="containsText" priority="2853" operator="containsText" dxfId="0" text="pagado">
      <formula>NOT(ISERROR(SEARCH("pagado",AC1523)))</formula>
    </cfRule>
  </conditionalFormatting>
  <conditionalFormatting sqref="AD1523:AE1524 AG1523:AG1524">
    <cfRule type="containsText" priority="2850" operator="containsText" dxfId="1" text="pendiente">
      <formula>NOT(ISERROR(SEARCH("pendiente",AD1523)))</formula>
    </cfRule>
    <cfRule type="containsText" priority="2847" operator="containsText" dxfId="1" text="pendiente">
      <formula>NOT(ISERROR(SEARCH("pendiente",AD1523)))</formula>
    </cfRule>
  </conditionalFormatting>
  <conditionalFormatting sqref="AD1523:AE1524">
    <cfRule type="cellIs" priority="2848" operator="equal" dxfId="1">
      <formula>"pendiente"</formula>
    </cfRule>
    <cfRule type="containsText" priority="2849" operator="containsText" dxfId="0" text="pagado">
      <formula>NOT(ISERROR(SEARCH("pagado",AD1523)))</formula>
    </cfRule>
    <cfRule type="cellIs" priority="2845" operator="equal" dxfId="1">
      <formula>"pendiente"</formula>
    </cfRule>
    <cfRule type="containsText" priority="2846" operator="containsText" dxfId="0" text="pagado">
      <formula>NOT(ISERROR(SEARCH("pagado",AD1523)))</formula>
    </cfRule>
  </conditionalFormatting>
  <conditionalFormatting sqref="AC1525:AC1527">
    <cfRule type="cellIs" priority="2831" operator="equal" dxfId="6">
      <formula>"abonado"</formula>
    </cfRule>
    <cfRule type="cellIs" priority="2838" operator="equal" dxfId="6">
      <formula>"abonado"</formula>
    </cfRule>
    <cfRule type="containsText" priority="2841" operator="containsText" dxfId="1" text="pendiente">
      <formula>NOT(ISERROR(SEARCH("pendiente",AC1525)))</formula>
    </cfRule>
    <cfRule type="cellIs" priority="2839" operator="equal" dxfId="1">
      <formula>"pendiente"</formula>
    </cfRule>
    <cfRule type="containsText" priority="2840" operator="containsText" dxfId="0" text="pagado">
      <formula>NOT(ISERROR(SEARCH("pagado",AC1525)))</formula>
    </cfRule>
    <cfRule type="containsText" priority="2834" operator="containsText" dxfId="1" text="pendiente">
      <formula>NOT(ISERROR(SEARCH("pendiente",AC1525)))</formula>
    </cfRule>
    <cfRule type="cellIs" priority="2832" operator="equal" dxfId="1">
      <formula>"pendiente"</formula>
    </cfRule>
    <cfRule type="containsText" priority="2833" operator="containsText" dxfId="0" text="pagado">
      <formula>NOT(ISERROR(SEARCH("pagado",AC1525)))</formula>
    </cfRule>
  </conditionalFormatting>
  <conditionalFormatting sqref="AD1525:AE1527 AG1525:AG1527">
    <cfRule type="containsText" priority="2844" operator="containsText" dxfId="1" text="pendiente">
      <formula>NOT(ISERROR(SEARCH("pendiente",AD1525)))</formula>
    </cfRule>
    <cfRule type="containsText" priority="2837" operator="containsText" dxfId="1" text="pendiente">
      <formula>NOT(ISERROR(SEARCH("pendiente",AD1525)))</formula>
    </cfRule>
  </conditionalFormatting>
  <conditionalFormatting sqref="AD1525:AE1527">
    <cfRule type="cellIs" priority="2842" operator="equal" dxfId="1">
      <formula>"pendiente"</formula>
    </cfRule>
    <cfRule type="containsText" priority="2843" operator="containsText" dxfId="0" text="pagado">
      <formula>NOT(ISERROR(SEARCH("pagado",AD1525)))</formula>
    </cfRule>
    <cfRule type="cellIs" priority="2835" operator="equal" dxfId="1">
      <formula>"pendiente"</formula>
    </cfRule>
    <cfRule type="containsText" priority="2836" operator="containsText" dxfId="0" text="pagado">
      <formula>NOT(ISERROR(SEARCH("pagado",AD1525)))</formula>
    </cfRule>
  </conditionalFormatting>
  <conditionalFormatting sqref="AC1528:AC1531">
    <cfRule type="cellIs" priority="2817" operator="equal" dxfId="6">
      <formula>"abonado"</formula>
    </cfRule>
    <cfRule type="cellIs" priority="2824" operator="equal" dxfId="6">
      <formula>"abonado"</formula>
    </cfRule>
    <cfRule type="containsText" priority="2827" operator="containsText" dxfId="1" text="pendiente">
      <formula>NOT(ISERROR(SEARCH("pendiente",AC1528)))</formula>
    </cfRule>
    <cfRule type="cellIs" priority="2825" operator="equal" dxfId="1">
      <formula>"pendiente"</formula>
    </cfRule>
    <cfRule type="containsText" priority="2826" operator="containsText" dxfId="0" text="pagado">
      <formula>NOT(ISERROR(SEARCH("pagado",AC1528)))</formula>
    </cfRule>
    <cfRule type="containsText" priority="2820" operator="containsText" dxfId="1" text="pendiente">
      <formula>NOT(ISERROR(SEARCH("pendiente",AC1528)))</formula>
    </cfRule>
    <cfRule type="cellIs" priority="2818" operator="equal" dxfId="1">
      <formula>"pendiente"</formula>
    </cfRule>
    <cfRule type="containsText" priority="2819" operator="containsText" dxfId="0" text="pagado">
      <formula>NOT(ISERROR(SEARCH("pagado",AC1528)))</formula>
    </cfRule>
  </conditionalFormatting>
  <conditionalFormatting sqref="AD1528:AE1531 AG1528:AG1531">
    <cfRule type="containsText" priority="2830" operator="containsText" dxfId="1" text="pendiente">
      <formula>NOT(ISERROR(SEARCH("pendiente",AD1528)))</formula>
    </cfRule>
  </conditionalFormatting>
  <conditionalFormatting sqref="AD1528:AE1531">
    <cfRule type="cellIs" priority="2828" operator="equal" dxfId="1">
      <formula>"pendiente"</formula>
    </cfRule>
    <cfRule type="containsText" priority="2829" operator="containsText" dxfId="0" text="pagado">
      <formula>NOT(ISERROR(SEARCH("pagado",AD1528)))</formula>
    </cfRule>
  </conditionalFormatting>
  <conditionalFormatting sqref="AD1528:AE1528 AG1528">
    <cfRule type="containsText" priority="2823" operator="containsText" dxfId="1" text="pendiente">
      <formula>NOT(ISERROR(SEARCH("pendiente",AD1528)))</formula>
    </cfRule>
  </conditionalFormatting>
  <conditionalFormatting sqref="AD1528:AE1528">
    <cfRule type="cellIs" priority="2821" operator="equal" dxfId="1">
      <formula>"pendiente"</formula>
    </cfRule>
    <cfRule type="containsText" priority="2822" operator="containsText" dxfId="0" text="pagado">
      <formula>NOT(ISERROR(SEARCH("pagado",AD1528)))</formula>
    </cfRule>
  </conditionalFormatting>
  <conditionalFormatting sqref="AD1529:AE1529 AG1529">
    <cfRule type="containsText" priority="2816" operator="containsText" dxfId="1" text="pendiente">
      <formula>NOT(ISERROR(SEARCH("pendiente",AD1529)))</formula>
    </cfRule>
  </conditionalFormatting>
  <conditionalFormatting sqref="AD1529:AE1529">
    <cfRule type="cellIs" priority="2814" operator="equal" dxfId="1">
      <formula>"pendiente"</formula>
    </cfRule>
    <cfRule type="containsText" priority="2815" operator="containsText" dxfId="0" text="pagado">
      <formula>NOT(ISERROR(SEARCH("pagado",AD1529)))</formula>
    </cfRule>
  </conditionalFormatting>
  <conditionalFormatting sqref="AD1530:AE1531 AG1530:AG1531">
    <cfRule type="containsText" priority="2813" operator="containsText" dxfId="1" text="pendiente">
      <formula>NOT(ISERROR(SEARCH("pendiente",AD1530)))</formula>
    </cfRule>
  </conditionalFormatting>
  <conditionalFormatting sqref="AD1530:AE1531">
    <cfRule type="cellIs" priority="2811" operator="equal" dxfId="1">
      <formula>"pendiente"</formula>
    </cfRule>
    <cfRule type="containsText" priority="2812" operator="containsText" dxfId="0" text="pagado">
      <formula>NOT(ISERROR(SEARCH("pagado",AD1530)))</formula>
    </cfRule>
  </conditionalFormatting>
  <conditionalFormatting sqref="AC1532">
    <cfRule type="cellIs" priority="2797" operator="equal" dxfId="6">
      <formula>"abonado"</formula>
    </cfRule>
    <cfRule type="cellIs" priority="2804" operator="equal" dxfId="6">
      <formula>"abonado"</formula>
    </cfRule>
    <cfRule type="containsText" priority="2807" operator="containsText" dxfId="1" text="pendiente">
      <formula>NOT(ISERROR(SEARCH("pendiente",AC1532)))</formula>
    </cfRule>
    <cfRule type="cellIs" priority="2805" operator="equal" dxfId="1">
      <formula>"pendiente"</formula>
    </cfRule>
    <cfRule type="containsText" priority="2806" operator="containsText" dxfId="0" text="pagado">
      <formula>NOT(ISERROR(SEARCH("pagado",AC1532)))</formula>
    </cfRule>
    <cfRule type="containsText" priority="2800" operator="containsText" dxfId="1" text="pendiente">
      <formula>NOT(ISERROR(SEARCH("pendiente",AC1532)))</formula>
    </cfRule>
    <cfRule type="cellIs" priority="2798" operator="equal" dxfId="1">
      <formula>"pendiente"</formula>
    </cfRule>
    <cfRule type="containsText" priority="2799" operator="containsText" dxfId="0" text="pagado">
      <formula>NOT(ISERROR(SEARCH("pagado",AC1532)))</formula>
    </cfRule>
  </conditionalFormatting>
  <conditionalFormatting sqref="AD1532:AE1532 AG1532">
    <cfRule type="containsText" priority="2796" operator="containsText" dxfId="1" text="pendiente">
      <formula>NOT(ISERROR(SEARCH("pendiente",AD1532)))</formula>
    </cfRule>
    <cfRule type="containsText" priority="2793" operator="containsText" dxfId="1" text="pendiente">
      <formula>NOT(ISERROR(SEARCH("pendiente",AD1532)))</formula>
    </cfRule>
  </conditionalFormatting>
  <conditionalFormatting sqref="AD1532:AE1532">
    <cfRule type="cellIs" priority="2794" operator="equal" dxfId="1">
      <formula>"pendiente"</formula>
    </cfRule>
    <cfRule type="containsText" priority="2795" operator="containsText" dxfId="0" text="pagado">
      <formula>NOT(ISERROR(SEARCH("pagado",AD1532)))</formula>
    </cfRule>
    <cfRule type="cellIs" priority="2791" operator="equal" dxfId="1">
      <formula>"pendiente"</formula>
    </cfRule>
    <cfRule type="containsText" priority="2792" operator="containsText" dxfId="0" text="pagado">
      <formula>NOT(ISERROR(SEARCH("pagado",AD1532)))</formula>
    </cfRule>
  </conditionalFormatting>
  <conditionalFormatting sqref="AC1533">
    <cfRule type="cellIs" priority="2787" operator="equal" dxfId="6">
      <formula>"abonado"</formula>
    </cfRule>
    <cfRule type="containsText" priority="2790" operator="containsText" dxfId="1" text="pendiente">
      <formula>NOT(ISERROR(SEARCH("pendiente",AC1533)))</formula>
    </cfRule>
    <cfRule type="cellIs" priority="2788" operator="equal" dxfId="1">
      <formula>"pendiente"</formula>
    </cfRule>
    <cfRule type="containsText" priority="2789" operator="containsText" dxfId="0" text="pagado">
      <formula>NOT(ISERROR(SEARCH("pagado",AC1533)))</formula>
    </cfRule>
  </conditionalFormatting>
  <conditionalFormatting sqref="AD1533:AE1533 AG1533">
    <cfRule type="containsText" priority="2786" operator="containsText" dxfId="1" text="pendiente">
      <formula>NOT(ISERROR(SEARCH("pendiente",AD1533)))</formula>
    </cfRule>
    <cfRule type="containsText" priority="2783" operator="containsText" dxfId="1" text="pendiente">
      <formula>NOT(ISERROR(SEARCH("pendiente",AD1533)))</formula>
    </cfRule>
  </conditionalFormatting>
  <conditionalFormatting sqref="AD1533:AE1533">
    <cfRule type="cellIs" priority="2784" operator="equal" dxfId="1">
      <formula>"pendiente"</formula>
    </cfRule>
    <cfRule type="containsText" priority="2785" operator="containsText" dxfId="0" text="pagado">
      <formula>NOT(ISERROR(SEARCH("pagado",AD1533)))</formula>
    </cfRule>
    <cfRule type="cellIs" priority="2781" operator="equal" dxfId="1">
      <formula>"pendiente"</formula>
    </cfRule>
    <cfRule type="containsText" priority="2782" operator="containsText" dxfId="0" text="pagado">
      <formula>NOT(ISERROR(SEARCH("pagado",AD1533)))</formula>
    </cfRule>
  </conditionalFormatting>
  <conditionalFormatting sqref="AD1534:AE1534">
    <cfRule type="cellIs" priority="2754" operator="equal" dxfId="1">
      <formula>"pendiente"</formula>
    </cfRule>
    <cfRule type="containsText" priority="2755" operator="containsText" dxfId="0" text="pagado">
      <formula>NOT(ISERROR(SEARCH("pagado",AD1534)))</formula>
    </cfRule>
  </conditionalFormatting>
  <conditionalFormatting sqref="AC1534">
    <cfRule type="containsText" priority="2760" operator="containsText" dxfId="1" text="pendiente">
      <formula>NOT(ISERROR(SEARCH("pendiente",AC1534)))</formula>
    </cfRule>
    <cfRule type="cellIs" priority="2758" operator="equal" dxfId="1">
      <formula>"pendiente"</formula>
    </cfRule>
    <cfRule type="containsText" priority="2759" operator="containsText" dxfId="0" text="pagado">
      <formula>NOT(ISERROR(SEARCH("pagado",AC1534)))</formula>
    </cfRule>
    <cfRule type="cellIs" priority="2757" operator="equal" dxfId="6">
      <formula>"abonado"</formula>
    </cfRule>
  </conditionalFormatting>
  <conditionalFormatting sqref="AD1534:AE1534 AG1534">
    <cfRule type="containsText" priority="2756" operator="containsText" dxfId="1" text="pendiente">
      <formula>NOT(ISERROR(SEARCH("pendiente",AD1534)))</formula>
    </cfRule>
  </conditionalFormatting>
  <conditionalFormatting sqref="AD1535:AE1535">
    <cfRule type="containsText" priority="2753" operator="containsText" dxfId="1" text="pendiente">
      <formula>NOT(ISERROR(SEARCH("pendiente",AD1535)))</formula>
    </cfRule>
    <cfRule type="cellIs" priority="2751" operator="equal" dxfId="1">
      <formula>"pendiente"</formula>
    </cfRule>
    <cfRule type="containsText" priority="2752" operator="containsText" dxfId="0" text="pagado">
      <formula>NOT(ISERROR(SEARCH("pagado",AD1535)))</formula>
    </cfRule>
    <cfRule type="containsText" priority="2750" operator="containsText" dxfId="1" text="pendiente">
      <formula>NOT(ISERROR(SEARCH("pendiente",AD1535)))</formula>
    </cfRule>
    <cfRule type="cellIs" priority="2748" operator="equal" dxfId="1">
      <formula>"pendiente"</formula>
    </cfRule>
    <cfRule type="containsText" priority="2749" operator="containsText" dxfId="0" text="pagado">
      <formula>NOT(ISERROR(SEARCH("pagado",AD1535)))</formula>
    </cfRule>
  </conditionalFormatting>
  <conditionalFormatting sqref="AC1535">
    <cfRule type="cellIs" priority="2744" operator="equal" dxfId="6">
      <formula>"abonado"</formula>
    </cfRule>
    <cfRule type="containsText" priority="2747" operator="containsText" dxfId="1" text="pendiente">
      <formula>NOT(ISERROR(SEARCH("pendiente",AC1535)))</formula>
    </cfRule>
    <cfRule type="cellIs" priority="2745" operator="equal" dxfId="1">
      <formula>"pendiente"</formula>
    </cfRule>
    <cfRule type="containsText" priority="2746" operator="containsText" dxfId="0" text="pagado">
      <formula>NOT(ISERROR(SEARCH("pagado",AC1535)))</formula>
    </cfRule>
    <cfRule type="cellIs" priority="2740" operator="equal" dxfId="6">
      <formula>"abonado"</formula>
    </cfRule>
    <cfRule type="containsText" priority="2743" operator="containsText" dxfId="1" text="pendiente">
      <formula>NOT(ISERROR(SEARCH("pendiente",AC1535)))</formula>
    </cfRule>
    <cfRule type="cellIs" priority="2741" operator="equal" dxfId="1">
      <formula>"pendiente"</formula>
    </cfRule>
    <cfRule type="containsText" priority="2742" operator="containsText" dxfId="0" text="pagado">
      <formula>NOT(ISERROR(SEARCH("pagado",AC1535)))</formula>
    </cfRule>
  </conditionalFormatting>
  <conditionalFormatting sqref="AG1535">
    <cfRule type="containsText" priority="2739" operator="containsText" dxfId="1" text="pendiente">
      <formula>NOT(ISERROR(SEARCH("pendiente",AG1535)))</formula>
    </cfRule>
  </conditionalFormatting>
  <conditionalFormatting sqref="AD1186:AE1192 AG1186:AG1192">
    <cfRule type="containsText" priority="2738" operator="containsText" dxfId="1" text="pendiente">
      <formula>NOT(ISERROR(SEARCH("pendiente",AD1186)))</formula>
    </cfRule>
  </conditionalFormatting>
  <conditionalFormatting sqref="AD1186:AE1192">
    <cfRule type="cellIs" priority="2736" operator="equal" dxfId="1">
      <formula>"pendiente"</formula>
    </cfRule>
    <cfRule type="containsText" priority="2737" operator="containsText" dxfId="0" text="pagado">
      <formula>NOT(ISERROR(SEARCH("pagado",AD1186)))</formula>
    </cfRule>
  </conditionalFormatting>
  <conditionalFormatting sqref="AC1186:AC1192">
    <cfRule type="containsText" priority="2735" operator="containsText" dxfId="1" text="pendiente">
      <formula>NOT(ISERROR(SEARCH("pendiente",AC1186)))</formula>
    </cfRule>
    <cfRule type="cellIs" priority="2733" operator="equal" dxfId="1">
      <formula>"pendiente"</formula>
    </cfRule>
    <cfRule type="containsText" priority="2734" operator="containsText" dxfId="0" text="pagado">
      <formula>NOT(ISERROR(SEARCH("pagado",AC1186)))</formula>
    </cfRule>
    <cfRule type="cellIs" priority="2732" operator="equal" dxfId="6">
      <formula>"abonado"</formula>
    </cfRule>
  </conditionalFormatting>
  <conditionalFormatting sqref="AC1193:AE1193 AG1193">
    <cfRule type="containsText" priority="2717" operator="containsText" dxfId="1" text="pendiente">
      <formula>NOT(ISERROR(SEARCH("pendiente",AC1193)))</formula>
    </cfRule>
  </conditionalFormatting>
  <conditionalFormatting sqref="AC1193:AE1193">
    <cfRule type="cellIs" priority="2715" operator="equal" dxfId="1">
      <formula>"pendiente"</formula>
    </cfRule>
    <cfRule type="containsText" priority="2716" operator="containsText" dxfId="0" text="pagado">
      <formula>NOT(ISERROR(SEARCH("pagado",AC1193)))</formula>
    </cfRule>
  </conditionalFormatting>
  <conditionalFormatting sqref="AC1193">
    <cfRule type="cellIs" priority="2714" operator="equal" dxfId="6">
      <formula>"abonado"</formula>
    </cfRule>
  </conditionalFormatting>
  <conditionalFormatting sqref="AC1194:AE1194 AG1194">
    <cfRule type="containsText" priority="2709" operator="containsText" dxfId="1" text="pendiente">
      <formula>NOT(ISERROR(SEARCH("pendiente",AC1194)))</formula>
    </cfRule>
  </conditionalFormatting>
  <conditionalFormatting sqref="AC1194:AE1194">
    <cfRule type="cellIs" priority="2707" operator="equal" dxfId="1">
      <formula>"pendiente"</formula>
    </cfRule>
    <cfRule type="containsText" priority="2708" operator="containsText" dxfId="0" text="pagado">
      <formula>NOT(ISERROR(SEARCH("pagado",AC1194)))</formula>
    </cfRule>
  </conditionalFormatting>
  <conditionalFormatting sqref="AC1195:AE1195 AG1195">
    <cfRule type="containsText" priority="2697" operator="containsText" dxfId="1" text="pendiente">
      <formula>NOT(ISERROR(SEARCH("pendiente",AC1195)))</formula>
    </cfRule>
  </conditionalFormatting>
  <conditionalFormatting sqref="AC1195:AE1195">
    <cfRule type="cellIs" priority="2695" operator="equal" dxfId="1">
      <formula>"pendiente"</formula>
    </cfRule>
    <cfRule type="containsText" priority="2696" operator="containsText" dxfId="0" text="pagado">
      <formula>NOT(ISERROR(SEARCH("pagado",AC1195)))</formula>
    </cfRule>
  </conditionalFormatting>
  <conditionalFormatting sqref="AC1195">
    <cfRule type="cellIs" priority="2694" operator="equal" dxfId="6">
      <formula>"abonado"</formula>
    </cfRule>
  </conditionalFormatting>
  <conditionalFormatting sqref="AC1196:AE1196 AG1196">
    <cfRule type="containsText" priority="2686" operator="containsText" dxfId="1" text="pendiente">
      <formula>NOT(ISERROR(SEARCH("pendiente",AC1196)))</formula>
    </cfRule>
  </conditionalFormatting>
  <conditionalFormatting sqref="AC1196:AE1196">
    <cfRule type="cellIs" priority="2684" operator="equal" dxfId="1">
      <formula>"pendiente"</formula>
    </cfRule>
    <cfRule type="containsText" priority="2685" operator="containsText" dxfId="0" text="pagado">
      <formula>NOT(ISERROR(SEARCH("pagado",AC1196)))</formula>
    </cfRule>
  </conditionalFormatting>
  <conditionalFormatting sqref="AC1196">
    <cfRule type="cellIs" priority="2683" operator="equal" dxfId="6">
      <formula>"abonado"</formula>
    </cfRule>
  </conditionalFormatting>
  <conditionalFormatting sqref="AC1197:AE1197 AG1197">
    <cfRule type="containsText" priority="2682" operator="containsText" dxfId="1" text="pendiente">
      <formula>NOT(ISERROR(SEARCH("pendiente",AC1197)))</formula>
    </cfRule>
  </conditionalFormatting>
  <conditionalFormatting sqref="AC1197:AE1197">
    <cfRule type="cellIs" priority="2680" operator="equal" dxfId="1">
      <formula>"pendiente"</formula>
    </cfRule>
    <cfRule type="containsText" priority="2681" operator="containsText" dxfId="0" text="pagado">
      <formula>NOT(ISERROR(SEARCH("pagado",AC1197)))</formula>
    </cfRule>
  </conditionalFormatting>
  <conditionalFormatting sqref="AC1197">
    <cfRule type="cellIs" priority="2679" operator="equal" dxfId="6">
      <formula>"abonado"</formula>
    </cfRule>
  </conditionalFormatting>
  <conditionalFormatting sqref="AC1198:AE1198 AG1198">
    <cfRule type="containsText" priority="2678" operator="containsText" dxfId="1" text="pendiente">
      <formula>NOT(ISERROR(SEARCH("pendiente",AC1198)))</formula>
    </cfRule>
  </conditionalFormatting>
  <conditionalFormatting sqref="AC1198:AE1198">
    <cfRule type="cellIs" priority="2676" operator="equal" dxfId="1">
      <formula>"pendiente"</formula>
    </cfRule>
    <cfRule type="containsText" priority="2677" operator="containsText" dxfId="0" text="pagado">
      <formula>NOT(ISERROR(SEARCH("pagado",AC1198)))</formula>
    </cfRule>
  </conditionalFormatting>
  <conditionalFormatting sqref="AC1198">
    <cfRule type="cellIs" priority="2675" operator="equal" dxfId="6">
      <formula>"abonado"</formula>
    </cfRule>
  </conditionalFormatting>
  <conditionalFormatting sqref="AC1199:AE1199 AG1199">
    <cfRule type="containsText" priority="2674" operator="containsText" dxfId="1" text="pendiente">
      <formula>NOT(ISERROR(SEARCH("pendiente",AC1199)))</formula>
    </cfRule>
  </conditionalFormatting>
  <conditionalFormatting sqref="AC1199:AE1199">
    <cfRule type="cellIs" priority="2672" operator="equal" dxfId="1">
      <formula>"pendiente"</formula>
    </cfRule>
    <cfRule type="containsText" priority="2673" operator="containsText" dxfId="0" text="pagado">
      <formula>NOT(ISERROR(SEARCH("pagado",AC1199)))</formula>
    </cfRule>
  </conditionalFormatting>
  <conditionalFormatting sqref="AC1199">
    <cfRule type="cellIs" priority="2671" operator="equal" dxfId="6">
      <formula>"abonado"</formula>
    </cfRule>
  </conditionalFormatting>
  <conditionalFormatting sqref="AC1200:AE1200 AG1200">
    <cfRule type="containsText" priority="2670" operator="containsText" dxfId="1" text="pendiente">
      <formula>NOT(ISERROR(SEARCH("pendiente",AC1200)))</formula>
    </cfRule>
  </conditionalFormatting>
  <conditionalFormatting sqref="AC1200:AE1200">
    <cfRule type="cellIs" priority="2668" operator="equal" dxfId="1">
      <formula>"pendiente"</formula>
    </cfRule>
    <cfRule type="containsText" priority="2669" operator="containsText" dxfId="0" text="pagado">
      <formula>NOT(ISERROR(SEARCH("pagado",AC1200)))</formula>
    </cfRule>
  </conditionalFormatting>
  <conditionalFormatting sqref="AC1200">
    <cfRule type="cellIs" priority="2667" operator="equal" dxfId="6">
      <formula>"abonado"</formula>
    </cfRule>
  </conditionalFormatting>
  <conditionalFormatting sqref="AC1201:AE1201 AG1201">
    <cfRule type="containsText" priority="2666" operator="containsText" dxfId="1" text="pendiente">
      <formula>NOT(ISERROR(SEARCH("pendiente",AC1201)))</formula>
    </cfRule>
  </conditionalFormatting>
  <conditionalFormatting sqref="AC1201:AE1201">
    <cfRule type="cellIs" priority="2664" operator="equal" dxfId="1">
      <formula>"pendiente"</formula>
    </cfRule>
    <cfRule type="containsText" priority="2665" operator="containsText" dxfId="0" text="pagado">
      <formula>NOT(ISERROR(SEARCH("pagado",AC1201)))</formula>
    </cfRule>
  </conditionalFormatting>
  <conditionalFormatting sqref="AC1201">
    <cfRule type="cellIs" priority="2663" operator="equal" dxfId="6">
      <formula>"abonado"</formula>
    </cfRule>
  </conditionalFormatting>
  <conditionalFormatting sqref="AC1202:AE1202 AG1202">
    <cfRule type="containsText" priority="2662" operator="containsText" dxfId="1" text="pendiente">
      <formula>NOT(ISERROR(SEARCH("pendiente",AC1202)))</formula>
    </cfRule>
  </conditionalFormatting>
  <conditionalFormatting sqref="AC1202:AE1202">
    <cfRule type="cellIs" priority="2660" operator="equal" dxfId="1">
      <formula>"pendiente"</formula>
    </cfRule>
    <cfRule type="containsText" priority="2661" operator="containsText" dxfId="0" text="pagado">
      <formula>NOT(ISERROR(SEARCH("pagado",AC1202)))</formula>
    </cfRule>
  </conditionalFormatting>
  <conditionalFormatting sqref="AC1202">
    <cfRule type="cellIs" priority="2659" operator="equal" dxfId="6">
      <formula>"abonado"</formula>
    </cfRule>
  </conditionalFormatting>
  <conditionalFormatting sqref="AC1203:AE1203 AG1203">
    <cfRule type="containsText" priority="2658" operator="containsText" dxfId="1" text="pendiente">
      <formula>NOT(ISERROR(SEARCH("pendiente",AC1203)))</formula>
    </cfRule>
  </conditionalFormatting>
  <conditionalFormatting sqref="AC1203:AE1203">
    <cfRule type="cellIs" priority="2656" operator="equal" dxfId="1">
      <formula>"pendiente"</formula>
    </cfRule>
    <cfRule type="containsText" priority="2657" operator="containsText" dxfId="0" text="pagado">
      <formula>NOT(ISERROR(SEARCH("pagado",AC1203)))</formula>
    </cfRule>
  </conditionalFormatting>
  <conditionalFormatting sqref="AC1203">
    <cfRule type="cellIs" priority="2655" operator="equal" dxfId="6">
      <formula>"abonado"</formula>
    </cfRule>
  </conditionalFormatting>
  <conditionalFormatting sqref="AC1204:AE1204 AG1204">
    <cfRule type="containsText" priority="2654" operator="containsText" dxfId="1" text="pendiente">
      <formula>NOT(ISERROR(SEARCH("pendiente",AC1204)))</formula>
    </cfRule>
  </conditionalFormatting>
  <conditionalFormatting sqref="AC1204:AE1204">
    <cfRule type="cellIs" priority="2652" operator="equal" dxfId="1">
      <formula>"pendiente"</formula>
    </cfRule>
    <cfRule type="containsText" priority="2653" operator="containsText" dxfId="0" text="pagado">
      <formula>NOT(ISERROR(SEARCH("pagado",AC1204)))</formula>
    </cfRule>
  </conditionalFormatting>
  <conditionalFormatting sqref="AC1204">
    <cfRule type="cellIs" priority="2651" operator="equal" dxfId="6">
      <formula>"abonado"</formula>
    </cfRule>
  </conditionalFormatting>
  <conditionalFormatting sqref="AC1205:AE1205 AG1205">
    <cfRule type="containsText" priority="2650" operator="containsText" dxfId="1" text="pendiente">
      <formula>NOT(ISERROR(SEARCH("pendiente",AC1205)))</formula>
    </cfRule>
  </conditionalFormatting>
  <conditionalFormatting sqref="AC1205:AE1205">
    <cfRule type="cellIs" priority="2648" operator="equal" dxfId="1">
      <formula>"pendiente"</formula>
    </cfRule>
    <cfRule type="containsText" priority="2649" operator="containsText" dxfId="0" text="pagado">
      <formula>NOT(ISERROR(SEARCH("pagado",AC1205)))</formula>
    </cfRule>
  </conditionalFormatting>
  <conditionalFormatting sqref="AC1205">
    <cfRule type="cellIs" priority="2647" operator="equal" dxfId="6">
      <formula>"abonado"</formula>
    </cfRule>
  </conditionalFormatting>
  <conditionalFormatting sqref="AC1206:AE1206 AG1206">
    <cfRule type="containsText" priority="2646" operator="containsText" dxfId="1" text="pendiente">
      <formula>NOT(ISERROR(SEARCH("pendiente",AC1206)))</formula>
    </cfRule>
  </conditionalFormatting>
  <conditionalFormatting sqref="AC1206:AE1206">
    <cfRule type="cellIs" priority="2644" operator="equal" dxfId="1">
      <formula>"pendiente"</formula>
    </cfRule>
    <cfRule type="containsText" priority="2645" operator="containsText" dxfId="0" text="pagado">
      <formula>NOT(ISERROR(SEARCH("pagado",AC1206)))</formula>
    </cfRule>
  </conditionalFormatting>
  <conditionalFormatting sqref="AC1206">
    <cfRule type="cellIs" priority="2643" operator="equal" dxfId="6">
      <formula>"abonado"</formula>
    </cfRule>
  </conditionalFormatting>
  <conditionalFormatting sqref="AC1224:AE1224 AG1224">
    <cfRule type="containsText" priority="2642" operator="containsText" dxfId="1" text="pendiente">
      <formula>NOT(ISERROR(SEARCH("pendiente",AC1224)))</formula>
    </cfRule>
  </conditionalFormatting>
  <conditionalFormatting sqref="AC1224">
    <cfRule type="cellIs" priority="2639" operator="equal" dxfId="6">
      <formula>"abonado"</formula>
    </cfRule>
  </conditionalFormatting>
  <conditionalFormatting sqref="AC1224:AE1224">
    <cfRule type="cellIs" priority="2637" operator="equal" dxfId="1">
      <formula>"pendiente"</formula>
    </cfRule>
    <cfRule type="containsText" priority="2638" operator="containsText" dxfId="0" text="pagado">
      <formula>NOT(ISERROR(SEARCH("pagado",AC1224)))</formula>
    </cfRule>
  </conditionalFormatting>
  <conditionalFormatting sqref="AC1209:AE1209 AG1209">
    <cfRule type="containsText" priority="2636" operator="containsText" dxfId="1" text="pendiente">
      <formula>NOT(ISERROR(SEARCH("pendiente",AC1209)))</formula>
    </cfRule>
  </conditionalFormatting>
  <conditionalFormatting sqref="AC1209:AE1209">
    <cfRule type="cellIs" priority="2634" operator="equal" dxfId="1">
      <formula>"pendiente"</formula>
    </cfRule>
    <cfRule type="containsText" priority="2635" operator="containsText" dxfId="0" text="pagado">
      <formula>NOT(ISERROR(SEARCH("pagado",AC1209)))</formula>
    </cfRule>
  </conditionalFormatting>
  <conditionalFormatting sqref="AC1209">
    <cfRule type="cellIs" priority="2633" operator="equal" dxfId="6">
      <formula>"abonado"</formula>
    </cfRule>
  </conditionalFormatting>
  <conditionalFormatting sqref="AC1210:AE1210 AG1210">
    <cfRule type="containsText" priority="2632" operator="containsText" dxfId="1" text="pendiente">
      <formula>NOT(ISERROR(SEARCH("pendiente",AC1210)))</formula>
    </cfRule>
  </conditionalFormatting>
  <conditionalFormatting sqref="AC1210:AE1210">
    <cfRule type="cellIs" priority="2630" operator="equal" dxfId="1">
      <formula>"pendiente"</formula>
    </cfRule>
    <cfRule type="containsText" priority="2631" operator="containsText" dxfId="0" text="pagado">
      <formula>NOT(ISERROR(SEARCH("pagado",AC1210)))</formula>
    </cfRule>
  </conditionalFormatting>
  <conditionalFormatting sqref="AC1210">
    <cfRule type="cellIs" priority="2629" operator="equal" dxfId="6">
      <formula>"abonado"</formula>
    </cfRule>
  </conditionalFormatting>
  <conditionalFormatting sqref="AD825:AE830 AG825:AG830">
    <cfRule type="containsText" priority="2628" operator="containsText" dxfId="1" text="pendiente">
      <formula>NOT(ISERROR(SEARCH("pendiente",AD825)))</formula>
    </cfRule>
  </conditionalFormatting>
  <conditionalFormatting sqref="AD825:AE830">
    <cfRule type="cellIs" priority="2626" operator="equal" dxfId="1">
      <formula>"pendiente"</formula>
    </cfRule>
    <cfRule type="containsText" priority="2627" operator="containsText" dxfId="0" text="pagado">
      <formula>NOT(ISERROR(SEARCH("pagado",AD825)))</formula>
    </cfRule>
  </conditionalFormatting>
  <conditionalFormatting sqref="AD812:AE820 AG812:AG820">
    <cfRule type="containsText" priority="2624" operator="containsText" dxfId="1" text="pendiente">
      <formula>NOT(ISERROR(SEARCH("pendiente",AD812)))</formula>
    </cfRule>
  </conditionalFormatting>
  <conditionalFormatting sqref="AD812:AE820">
    <cfRule type="cellIs" priority="2622" operator="equal" dxfId="1">
      <formula>"pendiente"</formula>
    </cfRule>
    <cfRule type="containsText" priority="2623" operator="containsText" dxfId="0" text="pagado">
      <formula>NOT(ISERROR(SEARCH("pagado",AD812)))</formula>
    </cfRule>
  </conditionalFormatting>
  <conditionalFormatting sqref="AD821:AE824 AG821:AG824">
    <cfRule type="containsText" priority="2621" operator="containsText" dxfId="1" text="pendiente">
      <formula>NOT(ISERROR(SEARCH("pendiente",AD821)))</formula>
    </cfRule>
  </conditionalFormatting>
  <conditionalFormatting sqref="AD821:AE824">
    <cfRule type="cellIs" priority="2619" operator="equal" dxfId="1">
      <formula>"pendiente"</formula>
    </cfRule>
    <cfRule type="containsText" priority="2620" operator="containsText" dxfId="0" text="pagado">
      <formula>NOT(ISERROR(SEARCH("pagado",AD821)))</formula>
    </cfRule>
  </conditionalFormatting>
  <conditionalFormatting sqref="AD1213:AE1213">
    <cfRule type="cellIs" priority="2614" operator="equal" dxfId="1">
      <formula>"pendiente"</formula>
    </cfRule>
    <cfRule type="containsText" priority="2615" operator="containsText" dxfId="0" text="pagado">
      <formula>NOT(ISERROR(SEARCH("pagado",AD1213)))</formula>
    </cfRule>
  </conditionalFormatting>
  <conditionalFormatting sqref="AD1214:AE1214">
    <cfRule type="cellIs" priority="2612" operator="equal" dxfId="1">
      <formula>"pendiente"</formula>
    </cfRule>
    <cfRule type="containsText" priority="2613" operator="containsText" dxfId="0" text="pagado">
      <formula>NOT(ISERROR(SEARCH("pagado",AD1214)))</formula>
    </cfRule>
  </conditionalFormatting>
  <conditionalFormatting sqref="AD1215:AE1215">
    <cfRule type="cellIs" priority="2610" operator="equal" dxfId="1">
      <formula>"pendiente"</formula>
    </cfRule>
    <cfRule type="containsText" priority="2611" operator="containsText" dxfId="0" text="pagado">
      <formula>NOT(ISERROR(SEARCH("pagado",AD1215)))</formula>
    </cfRule>
  </conditionalFormatting>
  <conditionalFormatting sqref="AC1216:AE1217 AG1216:AG1217">
    <cfRule type="containsText" priority="2607" operator="containsText" dxfId="1" text="pendiente">
      <formula>NOT(ISERROR(SEARCH("pendiente",AC1216)))</formula>
    </cfRule>
  </conditionalFormatting>
  <conditionalFormatting sqref="AC1216:AE1216">
    <cfRule type="cellIs" priority="2605" operator="equal" dxfId="1">
      <formula>"pendiente"</formula>
    </cfRule>
    <cfRule type="containsText" priority="2606" operator="containsText" dxfId="0" text="pagado">
      <formula>NOT(ISERROR(SEARCH("pagado",AC1216)))</formula>
    </cfRule>
  </conditionalFormatting>
  <conditionalFormatting sqref="AC1216:AC1217">
    <cfRule type="cellIs" priority="2604" operator="equal" dxfId="6">
      <formula>"abonado"</formula>
    </cfRule>
  </conditionalFormatting>
  <conditionalFormatting sqref="AC1217:AE1217">
    <cfRule type="cellIs" priority="2602" operator="equal" dxfId="1">
      <formula>"pendiente"</formula>
    </cfRule>
    <cfRule type="containsText" priority="2603" operator="containsText" dxfId="0" text="pagado">
      <formula>NOT(ISERROR(SEARCH("pagado",AC1217)))</formula>
    </cfRule>
  </conditionalFormatting>
  <conditionalFormatting sqref="AC1218">
    <cfRule type="containsText" priority="2601" operator="containsText" dxfId="1" text="pendiente">
      <formula>NOT(ISERROR(SEARCH("pendiente",AC1218)))</formula>
    </cfRule>
    <cfRule type="cellIs" priority="2599" operator="equal" dxfId="1">
      <formula>"pendiente"</formula>
    </cfRule>
    <cfRule type="containsText" priority="2600" operator="containsText" dxfId="0" text="pagado">
      <formula>NOT(ISERROR(SEARCH("pagado",AC1218)))</formula>
    </cfRule>
    <cfRule type="cellIs" priority="2598" operator="equal" dxfId="6">
      <formula>"abonado"</formula>
    </cfRule>
  </conditionalFormatting>
  <conditionalFormatting sqref="AD1218:AE1218 AG1218">
    <cfRule type="containsText" priority="2597" operator="containsText" dxfId="1" text="pendiente">
      <formula>NOT(ISERROR(SEARCH("pendiente",AD1218)))</formula>
    </cfRule>
  </conditionalFormatting>
  <conditionalFormatting sqref="AD1218:AE1218">
    <cfRule type="cellIs" priority="2595" operator="equal" dxfId="1">
      <formula>"pendiente"</formula>
    </cfRule>
    <cfRule type="containsText" priority="2596" operator="containsText" dxfId="0" text="pagado">
      <formula>NOT(ISERROR(SEARCH("pagado",AD1218)))</formula>
    </cfRule>
  </conditionalFormatting>
  <conditionalFormatting sqref="AC1219:AC1221">
    <cfRule type="containsText" priority="2594" operator="containsText" dxfId="1" text="pendiente">
      <formula>NOT(ISERROR(SEARCH("pendiente",AC1219)))</formula>
    </cfRule>
    <cfRule type="cellIs" priority="2592" operator="equal" dxfId="1">
      <formula>"pendiente"</formula>
    </cfRule>
    <cfRule type="containsText" priority="2593" operator="containsText" dxfId="0" text="pagado">
      <formula>NOT(ISERROR(SEARCH("pagado",AC1219)))</formula>
    </cfRule>
    <cfRule type="cellIs" priority="2591" operator="equal" dxfId="6">
      <formula>"abonado"</formula>
    </cfRule>
  </conditionalFormatting>
  <conditionalFormatting sqref="AD1219:AE1221 AG1219:AG1221">
    <cfRule type="containsText" priority="2590" operator="containsText" dxfId="1" text="pendiente">
      <formula>NOT(ISERROR(SEARCH("pendiente",AD1219)))</formula>
    </cfRule>
  </conditionalFormatting>
  <conditionalFormatting sqref="AD1219:AE1221">
    <cfRule type="cellIs" priority="2588" operator="equal" dxfId="1">
      <formula>"pendiente"</formula>
    </cfRule>
    <cfRule type="containsText" priority="2589" operator="containsText" dxfId="0" text="pagado">
      <formula>NOT(ISERROR(SEARCH("pagado",AD1219)))</formula>
    </cfRule>
  </conditionalFormatting>
  <conditionalFormatting sqref="AC1222:AC1223">
    <cfRule type="containsText" priority="2587" operator="containsText" dxfId="1" text="pendiente">
      <formula>NOT(ISERROR(SEARCH("pendiente",AC1222)))</formula>
    </cfRule>
    <cfRule type="cellIs" priority="2585" operator="equal" dxfId="1">
      <formula>"pendiente"</formula>
    </cfRule>
    <cfRule type="containsText" priority="2586" operator="containsText" dxfId="0" text="pagado">
      <formula>NOT(ISERROR(SEARCH("pagado",AC1222)))</formula>
    </cfRule>
    <cfRule type="cellIs" priority="2584" operator="equal" dxfId="6">
      <formula>"abonado"</formula>
    </cfRule>
  </conditionalFormatting>
  <conditionalFormatting sqref="AD1222:AE1222 AG1222">
    <cfRule type="containsText" priority="2583" operator="containsText" dxfId="1" text="pendiente">
      <formula>NOT(ISERROR(SEARCH("pendiente",AD1222)))</formula>
    </cfRule>
  </conditionalFormatting>
  <conditionalFormatting sqref="AD1222:AE1222">
    <cfRule type="cellIs" priority="2581" operator="equal" dxfId="1">
      <formula>"pendiente"</formula>
    </cfRule>
    <cfRule type="containsText" priority="2582" operator="containsText" dxfId="0" text="pagado">
      <formula>NOT(ISERROR(SEARCH("pagado",AD1222)))</formula>
    </cfRule>
  </conditionalFormatting>
  <conditionalFormatting sqref="AD1223:AE1223 AG1223">
    <cfRule type="containsText" priority="2576" operator="containsText" dxfId="1" text="pendiente">
      <formula>NOT(ISERROR(SEARCH("pendiente",AD1223)))</formula>
    </cfRule>
  </conditionalFormatting>
  <conditionalFormatting sqref="AD1223:AE1223">
    <cfRule type="cellIs" priority="2574" operator="equal" dxfId="1">
      <formula>"pendiente"</formula>
    </cfRule>
    <cfRule type="containsText" priority="2575" operator="containsText" dxfId="0" text="pagado">
      <formula>NOT(ISERROR(SEARCH("pagado",AD1223)))</formula>
    </cfRule>
  </conditionalFormatting>
  <conditionalFormatting sqref="AC1225">
    <cfRule type="containsText" priority="2573" operator="containsText" dxfId="1" text="pendiente">
      <formula>NOT(ISERROR(SEARCH("pendiente",AC1225)))</formula>
    </cfRule>
    <cfRule type="cellIs" priority="2571" operator="equal" dxfId="1">
      <formula>"pendiente"</formula>
    </cfRule>
    <cfRule type="containsText" priority="2572" operator="containsText" dxfId="0" text="pagado">
      <formula>NOT(ISERROR(SEARCH("pagado",AC1225)))</formula>
    </cfRule>
    <cfRule type="cellIs" priority="2570" operator="equal" dxfId="6">
      <formula>"abonado"</formula>
    </cfRule>
  </conditionalFormatting>
  <conditionalFormatting sqref="AD1225:AE1225 AG1225">
    <cfRule type="containsText" priority="2569" operator="containsText" dxfId="1" text="pendiente">
      <formula>NOT(ISERROR(SEARCH("pendiente",AD1225)))</formula>
    </cfRule>
  </conditionalFormatting>
  <conditionalFormatting sqref="AD1225:AE1225">
    <cfRule type="cellIs" priority="2567" operator="equal" dxfId="1">
      <formula>"pendiente"</formula>
    </cfRule>
    <cfRule type="containsText" priority="2568" operator="containsText" dxfId="0" text="pagado">
      <formula>NOT(ISERROR(SEARCH("pagado",AD1225)))</formula>
    </cfRule>
  </conditionalFormatting>
  <conditionalFormatting sqref="AC1228">
    <cfRule type="containsText" priority="2566" operator="containsText" dxfId="1" text="pendiente">
      <formula>NOT(ISERROR(SEARCH("pendiente",AC1228)))</formula>
    </cfRule>
    <cfRule type="cellIs" priority="2564" operator="equal" dxfId="1">
      <formula>"pendiente"</formula>
    </cfRule>
    <cfRule type="containsText" priority="2565" operator="containsText" dxfId="0" text="pagado">
      <formula>NOT(ISERROR(SEARCH("pagado",AC1228)))</formula>
    </cfRule>
    <cfRule type="cellIs" priority="2563" operator="equal" dxfId="6">
      <formula>"abonado"</formula>
    </cfRule>
  </conditionalFormatting>
  <conditionalFormatting sqref="AD1228:AE1228 AG1228">
    <cfRule type="containsText" priority="2562" operator="containsText" dxfId="1" text="pendiente">
      <formula>NOT(ISERROR(SEARCH("pendiente",AD1228)))</formula>
    </cfRule>
  </conditionalFormatting>
  <conditionalFormatting sqref="AD1228:AE1228">
    <cfRule type="cellIs" priority="2560" operator="equal" dxfId="1">
      <formula>"pendiente"</formula>
    </cfRule>
    <cfRule type="containsText" priority="2561" operator="containsText" dxfId="0" text="pagado">
      <formula>NOT(ISERROR(SEARCH("pagado",AD1228)))</formula>
    </cfRule>
  </conditionalFormatting>
  <conditionalFormatting sqref="AC1229">
    <cfRule type="containsText" priority="2559" operator="containsText" dxfId="1" text="pendiente">
      <formula>NOT(ISERROR(SEARCH("pendiente",AC1229)))</formula>
    </cfRule>
    <cfRule type="cellIs" priority="2557" operator="equal" dxfId="1">
      <formula>"pendiente"</formula>
    </cfRule>
    <cfRule type="containsText" priority="2558" operator="containsText" dxfId="0" text="pagado">
      <formula>NOT(ISERROR(SEARCH("pagado",AC1229)))</formula>
    </cfRule>
    <cfRule type="cellIs" priority="2556" operator="equal" dxfId="6">
      <formula>"abonado"</formula>
    </cfRule>
  </conditionalFormatting>
  <conditionalFormatting sqref="AD1229:AE1229 AG1229">
    <cfRule type="containsText" priority="2555" operator="containsText" dxfId="1" text="pendiente">
      <formula>NOT(ISERROR(SEARCH("pendiente",AD1229)))</formula>
    </cfRule>
  </conditionalFormatting>
  <conditionalFormatting sqref="AD1229:AE1229">
    <cfRule type="cellIs" priority="2553" operator="equal" dxfId="1">
      <formula>"pendiente"</formula>
    </cfRule>
    <cfRule type="containsText" priority="2554" operator="containsText" dxfId="0" text="pagado">
      <formula>NOT(ISERROR(SEARCH("pagado",AD1229)))</formula>
    </cfRule>
  </conditionalFormatting>
  <conditionalFormatting sqref="AC1230:AE1230 AG1230">
    <cfRule type="containsText" priority="2552" operator="containsText" dxfId="1" text="pendiente">
      <formula>NOT(ISERROR(SEARCH("pendiente",AC1230)))</formula>
    </cfRule>
  </conditionalFormatting>
  <conditionalFormatting sqref="AC1230:AE1230">
    <cfRule type="cellIs" priority="2550" operator="equal" dxfId="1">
      <formula>"pendiente"</formula>
    </cfRule>
    <cfRule type="containsText" priority="2551" operator="containsText" dxfId="0" text="pagado">
      <formula>NOT(ISERROR(SEARCH("pagado",AC1230)))</formula>
    </cfRule>
  </conditionalFormatting>
  <conditionalFormatting sqref="AC1230">
    <cfRule type="cellIs" priority="2549" operator="equal" dxfId="6">
      <formula>"abonado"</formula>
    </cfRule>
  </conditionalFormatting>
  <conditionalFormatting sqref="AC1231:AE1231 AG1231">
    <cfRule type="containsText" priority="2548" operator="containsText" dxfId="1" text="pendiente">
      <formula>NOT(ISERROR(SEARCH("pendiente",AC1231)))</formula>
    </cfRule>
  </conditionalFormatting>
  <conditionalFormatting sqref="AC1231:AE1231">
    <cfRule type="cellIs" priority="2546" operator="equal" dxfId="1">
      <formula>"pendiente"</formula>
    </cfRule>
    <cfRule type="containsText" priority="2547" operator="containsText" dxfId="0" text="pagado">
      <formula>NOT(ISERROR(SEARCH("pagado",AC1231)))</formula>
    </cfRule>
  </conditionalFormatting>
  <conditionalFormatting sqref="AC1231">
    <cfRule type="cellIs" priority="2545" operator="equal" dxfId="6">
      <formula>"abonado"</formula>
    </cfRule>
  </conditionalFormatting>
  <conditionalFormatting sqref="AC1232:AE1232 AG1232">
    <cfRule type="containsText" priority="2544" operator="containsText" dxfId="1" text="pendiente">
      <formula>NOT(ISERROR(SEARCH("pendiente",AC1232)))</formula>
    </cfRule>
  </conditionalFormatting>
  <conditionalFormatting sqref="AC1232:AE1232">
    <cfRule type="cellIs" priority="2542" operator="equal" dxfId="1">
      <formula>"pendiente"</formula>
    </cfRule>
    <cfRule type="containsText" priority="2543" operator="containsText" dxfId="0" text="pagado">
      <formula>NOT(ISERROR(SEARCH("pagado",AC1232)))</formula>
    </cfRule>
  </conditionalFormatting>
  <conditionalFormatting sqref="AC1232">
    <cfRule type="cellIs" priority="2541" operator="equal" dxfId="6">
      <formula>"abonado"</formula>
    </cfRule>
  </conditionalFormatting>
  <conditionalFormatting sqref="AC1233:AE1233 AG1233">
    <cfRule type="containsText" priority="2540" operator="containsText" dxfId="1" text="pendiente">
      <formula>NOT(ISERROR(SEARCH("pendiente",AC1233)))</formula>
    </cfRule>
  </conditionalFormatting>
  <conditionalFormatting sqref="AC1233:AE1233">
    <cfRule type="cellIs" priority="2538" operator="equal" dxfId="1">
      <formula>"pendiente"</formula>
    </cfRule>
    <cfRule type="containsText" priority="2539" operator="containsText" dxfId="0" text="pagado">
      <formula>NOT(ISERROR(SEARCH("pagado",AC1233)))</formula>
    </cfRule>
  </conditionalFormatting>
  <conditionalFormatting sqref="AC1233">
    <cfRule type="cellIs" priority="2537" operator="equal" dxfId="6">
      <formula>"abonado"</formula>
    </cfRule>
  </conditionalFormatting>
  <conditionalFormatting sqref="AC1234:AE1234 AG1234">
    <cfRule type="containsText" priority="2536" operator="containsText" dxfId="1" text="pendiente">
      <formula>NOT(ISERROR(SEARCH("pendiente",AC1234)))</formula>
    </cfRule>
  </conditionalFormatting>
  <conditionalFormatting sqref="AC1234:AE1234">
    <cfRule type="cellIs" priority="2534" operator="equal" dxfId="1">
      <formula>"pendiente"</formula>
    </cfRule>
    <cfRule type="containsText" priority="2535" operator="containsText" dxfId="0" text="pagado">
      <formula>NOT(ISERROR(SEARCH("pagado",AC1234)))</formula>
    </cfRule>
  </conditionalFormatting>
  <conditionalFormatting sqref="AC1234">
    <cfRule type="cellIs" priority="2533" operator="equal" dxfId="6">
      <formula>"abonado"</formula>
    </cfRule>
  </conditionalFormatting>
  <conditionalFormatting sqref="AC1235:AE1235 AG1235">
    <cfRule type="containsText" priority="2532" operator="containsText" dxfId="1" text="pendiente">
      <formula>NOT(ISERROR(SEARCH("pendiente",AC1235)))</formula>
    </cfRule>
  </conditionalFormatting>
  <conditionalFormatting sqref="AC1235:AE1235">
    <cfRule type="cellIs" priority="2530" operator="equal" dxfId="1">
      <formula>"pendiente"</formula>
    </cfRule>
    <cfRule type="containsText" priority="2531" operator="containsText" dxfId="0" text="pagado">
      <formula>NOT(ISERROR(SEARCH("pagado",AC1235)))</formula>
    </cfRule>
  </conditionalFormatting>
  <conditionalFormatting sqref="AC1235">
    <cfRule type="cellIs" priority="2529" operator="equal" dxfId="6">
      <formula>"abonado"</formula>
    </cfRule>
  </conditionalFormatting>
  <conditionalFormatting sqref="AC1236:AE1236 AG1236">
    <cfRule type="containsText" priority="2528" operator="containsText" dxfId="1" text="pendiente">
      <formula>NOT(ISERROR(SEARCH("pendiente",AC1236)))</formula>
    </cfRule>
  </conditionalFormatting>
  <conditionalFormatting sqref="AC1236:AE1236">
    <cfRule type="cellIs" priority="2526" operator="equal" dxfId="1">
      <formula>"pendiente"</formula>
    </cfRule>
    <cfRule type="containsText" priority="2527" operator="containsText" dxfId="0" text="pagado">
      <formula>NOT(ISERROR(SEARCH("pagado",AC1236)))</formula>
    </cfRule>
  </conditionalFormatting>
  <conditionalFormatting sqref="AC1236">
    <cfRule type="cellIs" priority="2525" operator="equal" dxfId="6">
      <formula>"abonado"</formula>
    </cfRule>
  </conditionalFormatting>
  <conditionalFormatting sqref="AC1237:AE1237 AG1237">
    <cfRule type="containsText" priority="2524" operator="containsText" dxfId="1" text="pendiente">
      <formula>NOT(ISERROR(SEARCH("pendiente",AC1237)))</formula>
    </cfRule>
  </conditionalFormatting>
  <conditionalFormatting sqref="AC1237:AE1237">
    <cfRule type="cellIs" priority="2522" operator="equal" dxfId="1">
      <formula>"pendiente"</formula>
    </cfRule>
    <cfRule type="containsText" priority="2523" operator="containsText" dxfId="0" text="pagado">
      <formula>NOT(ISERROR(SEARCH("pagado",AC1237)))</formula>
    </cfRule>
  </conditionalFormatting>
  <conditionalFormatting sqref="AC1237">
    <cfRule type="cellIs" priority="2521" operator="equal" dxfId="6">
      <formula>"abonado"</formula>
    </cfRule>
  </conditionalFormatting>
  <conditionalFormatting sqref="AC1238:AE1238 AG1238">
    <cfRule type="containsText" priority="2520" operator="containsText" dxfId="1" text="pendiente">
      <formula>NOT(ISERROR(SEARCH("pendiente",AC1238)))</formula>
    </cfRule>
  </conditionalFormatting>
  <conditionalFormatting sqref="AC1238:AE1238">
    <cfRule type="cellIs" priority="2518" operator="equal" dxfId="1">
      <formula>"pendiente"</formula>
    </cfRule>
    <cfRule type="containsText" priority="2519" operator="containsText" dxfId="0" text="pagado">
      <formula>NOT(ISERROR(SEARCH("pagado",AC1238)))</formula>
    </cfRule>
  </conditionalFormatting>
  <conditionalFormatting sqref="AC1238">
    <cfRule type="cellIs" priority="2517" operator="equal" dxfId="6">
      <formula>"abonado"</formula>
    </cfRule>
  </conditionalFormatting>
  <conditionalFormatting sqref="AC1239:AE1240 AG1239:AG1240">
    <cfRule type="containsText" priority="2516" operator="containsText" dxfId="1" text="pendiente">
      <formula>NOT(ISERROR(SEARCH("pendiente",AC1239)))</formula>
    </cfRule>
  </conditionalFormatting>
  <conditionalFormatting sqref="AC1240:AE1240">
    <cfRule type="cellIs" priority="2514" operator="equal" dxfId="1">
      <formula>"pendiente"</formula>
    </cfRule>
    <cfRule type="containsText" priority="2515" operator="containsText" dxfId="0" text="pagado">
      <formula>NOT(ISERROR(SEARCH("pagado",AC1240)))</formula>
    </cfRule>
  </conditionalFormatting>
  <conditionalFormatting sqref="AC1239:AC1240">
    <cfRule type="cellIs" priority="2513" operator="equal" dxfId="6">
      <formula>"abonado"</formula>
    </cfRule>
  </conditionalFormatting>
  <conditionalFormatting sqref="AC1239:AE1239">
    <cfRule type="cellIs" priority="2511" operator="equal" dxfId="1">
      <formula>"pendiente"</formula>
    </cfRule>
    <cfRule type="containsText" priority="2512" operator="containsText" dxfId="0" text="pagado">
      <formula>NOT(ISERROR(SEARCH("pagado",AC1239)))</formula>
    </cfRule>
  </conditionalFormatting>
  <conditionalFormatting sqref="AC1241:AE1241 AG1241">
    <cfRule type="containsText" priority="2506" operator="containsText" dxfId="1" text="pendiente">
      <formula>NOT(ISERROR(SEARCH("pendiente",AC1241)))</formula>
    </cfRule>
  </conditionalFormatting>
  <conditionalFormatting sqref="AC1241">
    <cfRule type="cellIs" priority="2503" operator="equal" dxfId="6">
      <formula>"abonado"</formula>
    </cfRule>
  </conditionalFormatting>
  <conditionalFormatting sqref="AC1227">
    <cfRule type="containsText" priority="2502" operator="containsText" dxfId="1" text="pendiente">
      <formula>NOT(ISERROR(SEARCH("pendiente",AC1227)))</formula>
    </cfRule>
    <cfRule type="cellIs" priority="2500" operator="equal" dxfId="1">
      <formula>"pendiente"</formula>
    </cfRule>
    <cfRule type="containsText" priority="2501" operator="containsText" dxfId="0" text="pagado">
      <formula>NOT(ISERROR(SEARCH("pagado",AC1227)))</formula>
    </cfRule>
  </conditionalFormatting>
  <conditionalFormatting sqref="AC1241:AE1241">
    <cfRule type="cellIs" priority="2476" operator="equal" dxfId="1">
      <formula>"pendiente"</formula>
    </cfRule>
    <cfRule type="containsText" priority="2477" operator="containsText" dxfId="0" text="pagado">
      <formula>NOT(ISERROR(SEARCH("pagado",AC1241)))</formula>
    </cfRule>
  </conditionalFormatting>
  <conditionalFormatting sqref="AC1242:AE1257 AG1242:AG1257">
    <cfRule type="containsText" priority="2475" operator="containsText" dxfId="1" text="pendiente">
      <formula>NOT(ISERROR(SEARCH("pendiente",AC1242)))</formula>
    </cfRule>
  </conditionalFormatting>
  <conditionalFormatting sqref="AC1242:AE1242">
    <cfRule type="cellIs" priority="2473" operator="equal" dxfId="1">
      <formula>"pendiente"</formula>
    </cfRule>
    <cfRule type="containsText" priority="2474" operator="containsText" dxfId="0" text="pagado">
      <formula>NOT(ISERROR(SEARCH("pagado",AC1242)))</formula>
    </cfRule>
  </conditionalFormatting>
  <conditionalFormatting sqref="AC1242:AC1257">
    <cfRule type="cellIs" priority="2472" operator="equal" dxfId="6">
      <formula>"abonado"</formula>
    </cfRule>
  </conditionalFormatting>
  <conditionalFormatting sqref="AC1243:AE1243">
    <cfRule type="cellIs" priority="2470" operator="equal" dxfId="1">
      <formula>"pendiente"</formula>
    </cfRule>
    <cfRule type="containsText" priority="2471" operator="containsText" dxfId="0" text="pagado">
      <formula>NOT(ISERROR(SEARCH("pagado",AC1243)))</formula>
    </cfRule>
  </conditionalFormatting>
  <conditionalFormatting sqref="AC1244:AE1256">
    <cfRule type="cellIs" priority="2468" operator="equal" dxfId="1">
      <formula>"pendiente"</formula>
    </cfRule>
    <cfRule type="containsText" priority="2469" operator="containsText" dxfId="0" text="pagado">
      <formula>NOT(ISERROR(SEARCH("pagado",AC1244)))</formula>
    </cfRule>
  </conditionalFormatting>
  <conditionalFormatting sqref="AC1245:AE1245 AG1245">
    <cfRule type="containsText" priority="2467" operator="containsText" dxfId="1" text="pendiente">
      <formula>NOT(ISERROR(SEARCH("pendiente",AC1245)))</formula>
    </cfRule>
  </conditionalFormatting>
  <conditionalFormatting sqref="AC1245:AE1245">
    <cfRule type="cellIs" priority="2465" operator="equal" dxfId="1">
      <formula>"pendiente"</formula>
    </cfRule>
    <cfRule type="containsText" priority="2466" operator="containsText" dxfId="0" text="pagado">
      <formula>NOT(ISERROR(SEARCH("pagado",AC1245)))</formula>
    </cfRule>
  </conditionalFormatting>
  <conditionalFormatting sqref="AC1245">
    <cfRule type="cellIs" priority="2464" operator="equal" dxfId="6">
      <formula>"abonado"</formula>
    </cfRule>
  </conditionalFormatting>
  <conditionalFormatting sqref="AC1246:AE1246 AG1246">
    <cfRule type="containsText" priority="2463" operator="containsText" dxfId="1" text="pendiente">
      <formula>NOT(ISERROR(SEARCH("pendiente",AC1246)))</formula>
    </cfRule>
  </conditionalFormatting>
  <conditionalFormatting sqref="AC1246:AE1246">
    <cfRule type="cellIs" priority="2461" operator="equal" dxfId="1">
      <formula>"pendiente"</formula>
    </cfRule>
    <cfRule type="containsText" priority="2462" operator="containsText" dxfId="0" text="pagado">
      <formula>NOT(ISERROR(SEARCH("pagado",AC1246)))</formula>
    </cfRule>
  </conditionalFormatting>
  <conditionalFormatting sqref="AC1246">
    <cfRule type="cellIs" priority="2460" operator="equal" dxfId="6">
      <formula>"abonado"</formula>
    </cfRule>
  </conditionalFormatting>
  <conditionalFormatting sqref="AC1247:AE1247 AG1247">
    <cfRule type="containsText" priority="2459" operator="containsText" dxfId="1" text="pendiente">
      <formula>NOT(ISERROR(SEARCH("pendiente",AC1247)))</formula>
    </cfRule>
  </conditionalFormatting>
  <conditionalFormatting sqref="AC1247:AE1247">
    <cfRule type="cellIs" priority="2457" operator="equal" dxfId="1">
      <formula>"pendiente"</formula>
    </cfRule>
    <cfRule type="containsText" priority="2458" operator="containsText" dxfId="0" text="pagado">
      <formula>NOT(ISERROR(SEARCH("pagado",AC1247)))</formula>
    </cfRule>
  </conditionalFormatting>
  <conditionalFormatting sqref="AC1247">
    <cfRule type="cellIs" priority="2456" operator="equal" dxfId="6">
      <formula>"abonado"</formula>
    </cfRule>
  </conditionalFormatting>
  <conditionalFormatting sqref="AC1248:AE1248 AG1248">
    <cfRule type="containsText" priority="2455" operator="containsText" dxfId="1" text="pendiente">
      <formula>NOT(ISERROR(SEARCH("pendiente",AC1248)))</formula>
    </cfRule>
  </conditionalFormatting>
  <conditionalFormatting sqref="AC1248:AE1248">
    <cfRule type="cellIs" priority="2453" operator="equal" dxfId="1">
      <formula>"pendiente"</formula>
    </cfRule>
    <cfRule type="containsText" priority="2454" operator="containsText" dxfId="0" text="pagado">
      <formula>NOT(ISERROR(SEARCH("pagado",AC1248)))</formula>
    </cfRule>
  </conditionalFormatting>
  <conditionalFormatting sqref="AC1248">
    <cfRule type="cellIs" priority="2452" operator="equal" dxfId="6">
      <formula>"abonado"</formula>
    </cfRule>
  </conditionalFormatting>
  <conditionalFormatting sqref="AC1249:AE1249 AG1249">
    <cfRule type="containsText" priority="2451" operator="containsText" dxfId="1" text="pendiente">
      <formula>NOT(ISERROR(SEARCH("pendiente",AC1249)))</formula>
    </cfRule>
  </conditionalFormatting>
  <conditionalFormatting sqref="AC1249:AE1249">
    <cfRule type="cellIs" priority="2449" operator="equal" dxfId="1">
      <formula>"pendiente"</formula>
    </cfRule>
    <cfRule type="containsText" priority="2450" operator="containsText" dxfId="0" text="pagado">
      <formula>NOT(ISERROR(SEARCH("pagado",AC1249)))</formula>
    </cfRule>
  </conditionalFormatting>
  <conditionalFormatting sqref="AC1249">
    <cfRule type="cellIs" priority="2448" operator="equal" dxfId="6">
      <formula>"abonado"</formula>
    </cfRule>
  </conditionalFormatting>
  <conditionalFormatting sqref="AC1250:AE1250 AG1250">
    <cfRule type="containsText" priority="2447" operator="containsText" dxfId="1" text="pendiente">
      <formula>NOT(ISERROR(SEARCH("pendiente",AC1250)))</formula>
    </cfRule>
  </conditionalFormatting>
  <conditionalFormatting sqref="AC1250:AE1250">
    <cfRule type="cellIs" priority="2445" operator="equal" dxfId="1">
      <formula>"pendiente"</formula>
    </cfRule>
    <cfRule type="containsText" priority="2446" operator="containsText" dxfId="0" text="pagado">
      <formula>NOT(ISERROR(SEARCH("pagado",AC1250)))</formula>
    </cfRule>
  </conditionalFormatting>
  <conditionalFormatting sqref="AC1250">
    <cfRule type="cellIs" priority="2444" operator="equal" dxfId="6">
      <formula>"abonado"</formula>
    </cfRule>
  </conditionalFormatting>
  <conditionalFormatting sqref="AC1245:AC1256 AC1251:AE1251 AG1251">
    <cfRule type="containsText" priority="2443" operator="containsText" dxfId="1" text="pendiente">
      <formula>NOT(ISERROR(SEARCH("pendiente",AC1245)))</formula>
    </cfRule>
  </conditionalFormatting>
  <conditionalFormatting sqref="AC1245:AC1256 AC1251:AE1251">
    <cfRule type="cellIs" priority="2441" operator="equal" dxfId="1">
      <formula>"pendiente"</formula>
    </cfRule>
    <cfRule type="containsText" priority="2442" operator="containsText" dxfId="0" text="pagado">
      <formula>NOT(ISERROR(SEARCH("pagado",AC1245)))</formula>
    </cfRule>
  </conditionalFormatting>
  <conditionalFormatting sqref="AC1245:AC1256">
    <cfRule type="cellIs" priority="2440" operator="equal" dxfId="6">
      <formula>"abonado"</formula>
    </cfRule>
  </conditionalFormatting>
  <conditionalFormatting sqref="AC1252:AE1252 AG1252">
    <cfRule type="containsText" priority="2439" operator="containsText" dxfId="1" text="pendiente">
      <formula>NOT(ISERROR(SEARCH("pendiente",AC1252)))</formula>
    </cfRule>
  </conditionalFormatting>
  <conditionalFormatting sqref="AC1252:AE1252">
    <cfRule type="cellIs" priority="2437" operator="equal" dxfId="1">
      <formula>"pendiente"</formula>
    </cfRule>
    <cfRule type="containsText" priority="2438" operator="containsText" dxfId="0" text="pagado">
      <formula>NOT(ISERROR(SEARCH("pagado",AC1252)))</formula>
    </cfRule>
  </conditionalFormatting>
  <conditionalFormatting sqref="AC1252">
    <cfRule type="cellIs" priority="2436" operator="equal" dxfId="6">
      <formula>"abonado"</formula>
    </cfRule>
  </conditionalFormatting>
  <conditionalFormatting sqref="AC1253:AE1253 AG1253">
    <cfRule type="containsText" priority="2435" operator="containsText" dxfId="1" text="pendiente">
      <formula>NOT(ISERROR(SEARCH("pendiente",AC1253)))</formula>
    </cfRule>
  </conditionalFormatting>
  <conditionalFormatting sqref="AC1253:AE1253">
    <cfRule type="cellIs" priority="2433" operator="equal" dxfId="1">
      <formula>"pendiente"</formula>
    </cfRule>
    <cfRule type="containsText" priority="2434" operator="containsText" dxfId="0" text="pagado">
      <formula>NOT(ISERROR(SEARCH("pagado",AC1253)))</formula>
    </cfRule>
  </conditionalFormatting>
  <conditionalFormatting sqref="AC1253">
    <cfRule type="cellIs" priority="2432" operator="equal" dxfId="6">
      <formula>"abonado"</formula>
    </cfRule>
  </conditionalFormatting>
  <conditionalFormatting sqref="AC1254:AE1256 AG1254:AG1256">
    <cfRule type="containsText" priority="2431" operator="containsText" dxfId="1" text="pendiente">
      <formula>NOT(ISERROR(SEARCH("pendiente",AC1254)))</formula>
    </cfRule>
  </conditionalFormatting>
  <conditionalFormatting sqref="AC1254:AE1254">
    <cfRule type="cellIs" priority="2429" operator="equal" dxfId="1">
      <formula>"pendiente"</formula>
    </cfRule>
    <cfRule type="containsText" priority="2430" operator="containsText" dxfId="0" text="pagado">
      <formula>NOT(ISERROR(SEARCH("pagado",AC1254)))</formula>
    </cfRule>
  </conditionalFormatting>
  <conditionalFormatting sqref="AC1254:AC1256">
    <cfRule type="cellIs" priority="2428" operator="equal" dxfId="6">
      <formula>"abonado"</formula>
    </cfRule>
  </conditionalFormatting>
  <conditionalFormatting sqref="AC1255:AE1255">
    <cfRule type="cellIs" priority="2426" operator="equal" dxfId="1">
      <formula>"pendiente"</formula>
    </cfRule>
    <cfRule type="containsText" priority="2427" operator="containsText" dxfId="0" text="pagado">
      <formula>NOT(ISERROR(SEARCH("pagado",AC1255)))</formula>
    </cfRule>
  </conditionalFormatting>
  <conditionalFormatting sqref="AC1256:AE1256">
    <cfRule type="cellIs" priority="2424" operator="equal" dxfId="1">
      <formula>"pendiente"</formula>
    </cfRule>
    <cfRule type="containsText" priority="2425" operator="containsText" dxfId="0" text="pagado">
      <formula>NOT(ISERROR(SEARCH("pagado",AC1256)))</formula>
    </cfRule>
  </conditionalFormatting>
  <conditionalFormatting sqref="AC1257:AE1257">
    <cfRule type="cellIs" priority="2422" operator="equal" dxfId="1">
      <formula>"pendiente"</formula>
    </cfRule>
    <cfRule type="containsText" priority="2423" operator="containsText" dxfId="0" text="pagado">
      <formula>NOT(ISERROR(SEARCH("pagado",AC1257)))</formula>
    </cfRule>
  </conditionalFormatting>
  <conditionalFormatting sqref="AC1258:AC1262">
    <cfRule type="containsText" priority="2421" operator="containsText" dxfId="1" text="pendiente">
      <formula>NOT(ISERROR(SEARCH("pendiente",AC1258)))</formula>
    </cfRule>
    <cfRule type="cellIs" priority="2419" operator="equal" dxfId="1">
      <formula>"pendiente"</formula>
    </cfRule>
    <cfRule type="containsText" priority="2420" operator="containsText" dxfId="0" text="pagado">
      <formula>NOT(ISERROR(SEARCH("pagado",AC1258)))</formula>
    </cfRule>
    <cfRule type="cellIs" priority="2418" operator="equal" dxfId="6">
      <formula>"abonado"</formula>
    </cfRule>
  </conditionalFormatting>
  <conditionalFormatting sqref="AD1258:AE1262 AG1258:AG1262">
    <cfRule type="containsText" priority="2417" operator="containsText" dxfId="1" text="pendiente">
      <formula>NOT(ISERROR(SEARCH("pendiente",AD1258)))</formula>
    </cfRule>
  </conditionalFormatting>
  <conditionalFormatting sqref="AD1258:AE1260">
    <cfRule type="cellIs" priority="2415" operator="equal" dxfId="1">
      <formula>"pendiente"</formula>
    </cfRule>
    <cfRule type="containsText" priority="2416" operator="containsText" dxfId="0" text="pagado">
      <formula>NOT(ISERROR(SEARCH("pagado",AD1258)))</formula>
    </cfRule>
  </conditionalFormatting>
  <conditionalFormatting sqref="AD1261:AE1261">
    <cfRule type="cellIs" priority="2413" operator="equal" dxfId="1">
      <formula>"pendiente"</formula>
    </cfRule>
    <cfRule type="containsText" priority="2414" operator="containsText" dxfId="0" text="pagado">
      <formula>NOT(ISERROR(SEARCH("pagado",AD1261)))</formula>
    </cfRule>
  </conditionalFormatting>
  <conditionalFormatting sqref="AD1262:AE1262">
    <cfRule type="cellIs" priority="2411" operator="equal" dxfId="1">
      <formula>"pendiente"</formula>
    </cfRule>
    <cfRule type="containsText" priority="2412" operator="containsText" dxfId="0" text="pagado">
      <formula>NOT(ISERROR(SEARCH("pagado",AD1262)))</formula>
    </cfRule>
  </conditionalFormatting>
  <conditionalFormatting sqref="AC1263:AC1300 AD1276:AE1281 AG1276:AG1281">
    <cfRule type="containsText" priority="2410" operator="containsText" dxfId="1" text="pendiente">
      <formula>NOT(ISERROR(SEARCH("pendiente",AC1263)))</formula>
    </cfRule>
  </conditionalFormatting>
  <conditionalFormatting sqref="AC1263:AC1300 AD1276:AE1281">
    <cfRule type="cellIs" priority="2408" operator="equal" dxfId="1">
      <formula>"pendiente"</formula>
    </cfRule>
    <cfRule type="containsText" priority="2409" operator="containsText" dxfId="0" text="pagado">
      <formula>NOT(ISERROR(SEARCH("pagado",AC1263)))</formula>
    </cfRule>
  </conditionalFormatting>
  <conditionalFormatting sqref="AC1263:AC1300">
    <cfRule type="cellIs" priority="2407" operator="equal" dxfId="6">
      <formula>"abonado"</formula>
    </cfRule>
  </conditionalFormatting>
  <conditionalFormatting sqref="AD1263:AE1271 AG1263:AG1271">
    <cfRule type="containsText" priority="2406" operator="containsText" dxfId="1" text="pendiente">
      <formula>NOT(ISERROR(SEARCH("pendiente",AD1263)))</formula>
    </cfRule>
  </conditionalFormatting>
  <conditionalFormatting sqref="AD1263:AE1271">
    <cfRule type="cellIs" priority="2404" operator="equal" dxfId="1">
      <formula>"pendiente"</formula>
    </cfRule>
    <cfRule type="containsText" priority="2405" operator="containsText" dxfId="0" text="pagado">
      <formula>NOT(ISERROR(SEARCH("pagado",AD1263)))</formula>
    </cfRule>
  </conditionalFormatting>
  <conditionalFormatting sqref="AD1272:AE1275 AG1272:AG1275">
    <cfRule type="containsText" priority="2403" operator="containsText" dxfId="1" text="pendiente">
      <formula>NOT(ISERROR(SEARCH("pendiente",AD1272)))</formula>
    </cfRule>
  </conditionalFormatting>
  <conditionalFormatting sqref="AD1272:AE1275">
    <cfRule type="cellIs" priority="2401" operator="equal" dxfId="1">
      <formula>"pendiente"</formula>
    </cfRule>
    <cfRule type="containsText" priority="2402" operator="containsText" dxfId="0" text="pagado">
      <formula>NOT(ISERROR(SEARCH("pagado",AD1272)))</formula>
    </cfRule>
  </conditionalFormatting>
  <conditionalFormatting sqref="AD1282:AE1300 AG1282:AG1300">
    <cfRule type="containsText" priority="2400" operator="containsText" dxfId="1" text="pendiente">
      <formula>NOT(ISERROR(SEARCH("pendiente",AD1282)))</formula>
    </cfRule>
  </conditionalFormatting>
  <conditionalFormatting sqref="AD1282:AE1300">
    <cfRule type="cellIs" priority="2398" operator="equal" dxfId="1">
      <formula>"pendiente"</formula>
    </cfRule>
    <cfRule type="containsText" priority="2399" operator="containsText" dxfId="0" text="pagado">
      <formula>NOT(ISERROR(SEARCH("pagado",AD1282)))</formula>
    </cfRule>
  </conditionalFormatting>
  <conditionalFormatting sqref="AC1301:AE1301 AG1301">
    <cfRule type="containsText" priority="2397" operator="containsText" dxfId="1" text="pendiente">
      <formula>NOT(ISERROR(SEARCH("pendiente",AC1301)))</formula>
    </cfRule>
  </conditionalFormatting>
  <conditionalFormatting sqref="AC1301">
    <cfRule type="cellIs" priority="2396" operator="equal" dxfId="6">
      <formula>"abonado"</formula>
    </cfRule>
  </conditionalFormatting>
  <conditionalFormatting sqref="AC1301:AE1301">
    <cfRule type="cellIs" priority="2394" operator="equal" dxfId="1">
      <formula>"pendiente"</formula>
    </cfRule>
    <cfRule type="containsText" priority="2395" operator="containsText" dxfId="0" text="pagado">
      <formula>NOT(ISERROR(SEARCH("pagado",AC1301)))</formula>
    </cfRule>
  </conditionalFormatting>
  <conditionalFormatting sqref="AC1302">
    <cfRule type="containsText" priority="2393" operator="containsText" dxfId="1" text="pendiente">
      <formula>NOT(ISERROR(SEARCH("pendiente",AC1302)))</formula>
    </cfRule>
    <cfRule type="cellIs" priority="2391" operator="equal" dxfId="1">
      <formula>"pendiente"</formula>
    </cfRule>
    <cfRule type="containsText" priority="2392" operator="containsText" dxfId="0" text="pagado">
      <formula>NOT(ISERROR(SEARCH("pagado",AC1302)))</formula>
    </cfRule>
    <cfRule type="cellIs" priority="2390" operator="equal" dxfId="6">
      <formula>"abonado"</formula>
    </cfRule>
  </conditionalFormatting>
  <conditionalFormatting sqref="AD1302:AE1302 AG1302">
    <cfRule type="containsText" priority="2389" operator="containsText" dxfId="1" text="pendiente">
      <formula>NOT(ISERROR(SEARCH("pendiente",AD1302)))</formula>
    </cfRule>
  </conditionalFormatting>
  <conditionalFormatting sqref="AD1302:AE1302">
    <cfRule type="cellIs" priority="2387" operator="equal" dxfId="1">
      <formula>"pendiente"</formula>
    </cfRule>
    <cfRule type="containsText" priority="2388" operator="containsText" dxfId="0" text="pagado">
      <formula>NOT(ISERROR(SEARCH("pagado",AD1302)))</formula>
    </cfRule>
  </conditionalFormatting>
  <conditionalFormatting sqref="AC1303:AE1305 AG1303:AG1305">
    <cfRule type="containsText" priority="2386" operator="containsText" dxfId="1" text="pendiente">
      <formula>NOT(ISERROR(SEARCH("pendiente",AC1303)))</formula>
    </cfRule>
  </conditionalFormatting>
  <conditionalFormatting sqref="AC1303:AC1305">
    <cfRule type="cellIs" priority="2385" operator="equal" dxfId="6">
      <formula>"abonado"</formula>
    </cfRule>
  </conditionalFormatting>
  <conditionalFormatting sqref="AC1303:AE1303">
    <cfRule type="cellIs" priority="2383" operator="equal" dxfId="1">
      <formula>"pendiente"</formula>
    </cfRule>
    <cfRule type="containsText" priority="2384" operator="containsText" dxfId="0" text="pagado">
      <formula>NOT(ISERROR(SEARCH("pagado",AC1303)))</formula>
    </cfRule>
  </conditionalFormatting>
  <conditionalFormatting sqref="AC1304:AE1304">
    <cfRule type="cellIs" priority="2381" operator="equal" dxfId="1">
      <formula>"pendiente"</formula>
    </cfRule>
    <cfRule type="containsText" priority="2382" operator="containsText" dxfId="0" text="pagado">
      <formula>NOT(ISERROR(SEARCH("pagado",AC1304)))</formula>
    </cfRule>
  </conditionalFormatting>
  <conditionalFormatting sqref="AC1305:AE1305">
    <cfRule type="cellIs" priority="2379" operator="equal" dxfId="1">
      <formula>"pendiente"</formula>
    </cfRule>
    <cfRule type="containsText" priority="2380" operator="containsText" dxfId="0" text="pagado">
      <formula>NOT(ISERROR(SEARCH("pagado",AC1305)))</formula>
    </cfRule>
  </conditionalFormatting>
  <conditionalFormatting sqref="AC1306:AE1319 AG1306:AG1319">
    <cfRule type="containsText" priority="2378" operator="containsText" dxfId="1" text="pendiente">
      <formula>NOT(ISERROR(SEARCH("pendiente",AC1306)))</formula>
    </cfRule>
  </conditionalFormatting>
  <conditionalFormatting sqref="AC1306:AC1319">
    <cfRule type="cellIs" priority="2377" operator="equal" dxfId="6">
      <formula>"abonado"</formula>
    </cfRule>
    <cfRule type="cellIs" priority="2347" operator="equal" dxfId="6">
      <formula>"abonado"</formula>
    </cfRule>
  </conditionalFormatting>
  <conditionalFormatting sqref="AC1306:AE1317">
    <cfRule type="cellIs" priority="2375" operator="equal" dxfId="1">
      <formula>"pendiente"</formula>
    </cfRule>
    <cfRule type="containsText" priority="2376" operator="containsText" dxfId="0" text="pagado">
      <formula>NOT(ISERROR(SEARCH("pagado",AC1306)))</formula>
    </cfRule>
  </conditionalFormatting>
  <conditionalFormatting sqref="AC1306:AE1306 AG1306">
    <cfRule type="containsText" priority="2374" operator="containsText" dxfId="1" text="pendiente">
      <formula>NOT(ISERROR(SEARCH("pendiente",AC1306)))</formula>
    </cfRule>
  </conditionalFormatting>
  <conditionalFormatting sqref="AC1306:AE1306">
    <cfRule type="cellIs" priority="2372" operator="equal" dxfId="1">
      <formula>"pendiente"</formula>
    </cfRule>
    <cfRule type="containsText" priority="2373" operator="containsText" dxfId="0" text="pagado">
      <formula>NOT(ISERROR(SEARCH("pagado",AC1306)))</formula>
    </cfRule>
  </conditionalFormatting>
  <conditionalFormatting sqref="AC1306">
    <cfRule type="cellIs" priority="2371" operator="equal" dxfId="6">
      <formula>"abonado"</formula>
    </cfRule>
  </conditionalFormatting>
  <conditionalFormatting sqref="AC1307:AE1307 AG1307">
    <cfRule type="containsText" priority="2370" operator="containsText" dxfId="1" text="pendiente">
      <formula>NOT(ISERROR(SEARCH("pendiente",AC1307)))</formula>
    </cfRule>
  </conditionalFormatting>
  <conditionalFormatting sqref="AC1307:AE1307">
    <cfRule type="cellIs" priority="2368" operator="equal" dxfId="1">
      <formula>"pendiente"</formula>
    </cfRule>
    <cfRule type="containsText" priority="2369" operator="containsText" dxfId="0" text="pagado">
      <formula>NOT(ISERROR(SEARCH("pagado",AC1307)))</formula>
    </cfRule>
  </conditionalFormatting>
  <conditionalFormatting sqref="AC1307">
    <cfRule type="cellIs" priority="2367" operator="equal" dxfId="6">
      <formula>"abonado"</formula>
    </cfRule>
  </conditionalFormatting>
  <conditionalFormatting sqref="AC1308:AE1308 AG1308">
    <cfRule type="containsText" priority="2366" operator="containsText" dxfId="1" text="pendiente">
      <formula>NOT(ISERROR(SEARCH("pendiente",AC1308)))</formula>
    </cfRule>
  </conditionalFormatting>
  <conditionalFormatting sqref="AC1308:AE1308">
    <cfRule type="cellIs" priority="2364" operator="equal" dxfId="1">
      <formula>"pendiente"</formula>
    </cfRule>
    <cfRule type="containsText" priority="2365" operator="containsText" dxfId="0" text="pagado">
      <formula>NOT(ISERROR(SEARCH("pagado",AC1308)))</formula>
    </cfRule>
  </conditionalFormatting>
  <conditionalFormatting sqref="AC1308">
    <cfRule type="cellIs" priority="2363" operator="equal" dxfId="6">
      <formula>"abonado"</formula>
    </cfRule>
  </conditionalFormatting>
  <conditionalFormatting sqref="AC1309:AE1309 AG1309">
    <cfRule type="containsText" priority="2362" operator="containsText" dxfId="1" text="pendiente">
      <formula>NOT(ISERROR(SEARCH("pendiente",AC1309)))</formula>
    </cfRule>
  </conditionalFormatting>
  <conditionalFormatting sqref="AC1309:AE1309">
    <cfRule type="cellIs" priority="2360" operator="equal" dxfId="1">
      <formula>"pendiente"</formula>
    </cfRule>
    <cfRule type="containsText" priority="2361" operator="containsText" dxfId="0" text="pagado">
      <formula>NOT(ISERROR(SEARCH("pagado",AC1309)))</formula>
    </cfRule>
  </conditionalFormatting>
  <conditionalFormatting sqref="AC1309">
    <cfRule type="cellIs" priority="2359" operator="equal" dxfId="6">
      <formula>"abonado"</formula>
    </cfRule>
  </conditionalFormatting>
  <conditionalFormatting sqref="AC1310:AE1310 AG1310">
    <cfRule type="containsText" priority="2358" operator="containsText" dxfId="1" text="pendiente">
      <formula>NOT(ISERROR(SEARCH("pendiente",AC1310)))</formula>
    </cfRule>
  </conditionalFormatting>
  <conditionalFormatting sqref="AC1310:AE1310">
    <cfRule type="cellIs" priority="2356" operator="equal" dxfId="1">
      <formula>"pendiente"</formula>
    </cfRule>
    <cfRule type="containsText" priority="2357" operator="containsText" dxfId="0" text="pagado">
      <formula>NOT(ISERROR(SEARCH("pagado",AC1310)))</formula>
    </cfRule>
  </conditionalFormatting>
  <conditionalFormatting sqref="AC1310">
    <cfRule type="cellIs" priority="2355" operator="equal" dxfId="6">
      <formula>"abonado"</formula>
    </cfRule>
  </conditionalFormatting>
  <conditionalFormatting sqref="AC1311:AE1311 AG1311">
    <cfRule type="containsText" priority="2354" operator="containsText" dxfId="1" text="pendiente">
      <formula>NOT(ISERROR(SEARCH("pendiente",AC1311)))</formula>
    </cfRule>
  </conditionalFormatting>
  <conditionalFormatting sqref="AC1311:AE1311">
    <cfRule type="cellIs" priority="2352" operator="equal" dxfId="1">
      <formula>"pendiente"</formula>
    </cfRule>
    <cfRule type="containsText" priority="2353" operator="containsText" dxfId="0" text="pagado">
      <formula>NOT(ISERROR(SEARCH("pagado",AC1311)))</formula>
    </cfRule>
  </conditionalFormatting>
  <conditionalFormatting sqref="AC1311">
    <cfRule type="cellIs" priority="2351" operator="equal" dxfId="6">
      <formula>"abonado"</formula>
    </cfRule>
  </conditionalFormatting>
  <conditionalFormatting sqref="AC1306:AC1311 AC1312:AE1312 AC1313:AC1319 AG1312">
    <cfRule type="containsText" priority="2350" operator="containsText" dxfId="1" text="pendiente">
      <formula>NOT(ISERROR(SEARCH("pendiente",AC1306)))</formula>
    </cfRule>
  </conditionalFormatting>
  <conditionalFormatting sqref="AC1306:AC1311 AC1312:AE1312 AC1313:AC1319">
    <cfRule type="cellIs" priority="2348" operator="equal" dxfId="1">
      <formula>"pendiente"</formula>
    </cfRule>
    <cfRule type="containsText" priority="2349" operator="containsText" dxfId="0" text="pagado">
      <formula>NOT(ISERROR(SEARCH("pagado",AC1306)))</formula>
    </cfRule>
  </conditionalFormatting>
  <conditionalFormatting sqref="AC1313:AE1313 AG1313">
    <cfRule type="containsText" priority="2346" operator="containsText" dxfId="1" text="pendiente">
      <formula>NOT(ISERROR(SEARCH("pendiente",AC1313)))</formula>
    </cfRule>
  </conditionalFormatting>
  <conditionalFormatting sqref="AC1313:AE1313">
    <cfRule type="cellIs" priority="2344" operator="equal" dxfId="1">
      <formula>"pendiente"</formula>
    </cfRule>
    <cfRule type="containsText" priority="2345" operator="containsText" dxfId="0" text="pagado">
      <formula>NOT(ISERROR(SEARCH("pagado",AC1313)))</formula>
    </cfRule>
  </conditionalFormatting>
  <conditionalFormatting sqref="AC1313">
    <cfRule type="cellIs" priority="2343" operator="equal" dxfId="6">
      <formula>"abonado"</formula>
    </cfRule>
  </conditionalFormatting>
  <conditionalFormatting sqref="AC1314:AE1314 AG1314">
    <cfRule type="containsText" priority="2342" operator="containsText" dxfId="1" text="pendiente">
      <formula>NOT(ISERROR(SEARCH("pendiente",AC1314)))</formula>
    </cfRule>
  </conditionalFormatting>
  <conditionalFormatting sqref="AC1314:AE1314">
    <cfRule type="cellIs" priority="2340" operator="equal" dxfId="1">
      <formula>"pendiente"</formula>
    </cfRule>
    <cfRule type="containsText" priority="2341" operator="containsText" dxfId="0" text="pagado">
      <formula>NOT(ISERROR(SEARCH("pagado",AC1314)))</formula>
    </cfRule>
  </conditionalFormatting>
  <conditionalFormatting sqref="AC1314">
    <cfRule type="cellIs" priority="2339" operator="equal" dxfId="6">
      <formula>"abonado"</formula>
    </cfRule>
  </conditionalFormatting>
  <conditionalFormatting sqref="AC1315:AE1319 AG1315:AG1319">
    <cfRule type="containsText" priority="2338" operator="containsText" dxfId="1" text="pendiente">
      <formula>NOT(ISERROR(SEARCH("pendiente",AC1315)))</formula>
    </cfRule>
  </conditionalFormatting>
  <conditionalFormatting sqref="AC1315:AE1315">
    <cfRule type="cellIs" priority="2336" operator="equal" dxfId="1">
      <formula>"pendiente"</formula>
    </cfRule>
    <cfRule type="containsText" priority="2337" operator="containsText" dxfId="0" text="pagado">
      <formula>NOT(ISERROR(SEARCH("pagado",AC1315)))</formula>
    </cfRule>
  </conditionalFormatting>
  <conditionalFormatting sqref="AC1315:AC1319">
    <cfRule type="cellIs" priority="2335" operator="equal" dxfId="6">
      <formula>"abonado"</formula>
    </cfRule>
  </conditionalFormatting>
  <conditionalFormatting sqref="AC1316:AE1316">
    <cfRule type="cellIs" priority="2333" operator="equal" dxfId="1">
      <formula>"pendiente"</formula>
    </cfRule>
    <cfRule type="containsText" priority="2334" operator="containsText" dxfId="0" text="pagado">
      <formula>NOT(ISERROR(SEARCH("pagado",AC1316)))</formula>
    </cfRule>
  </conditionalFormatting>
  <conditionalFormatting sqref="AC1317:AE1317">
    <cfRule type="cellIs" priority="2331" operator="equal" dxfId="1">
      <formula>"pendiente"</formula>
    </cfRule>
    <cfRule type="containsText" priority="2332" operator="containsText" dxfId="0" text="pagado">
      <formula>NOT(ISERROR(SEARCH("pagado",AC1317)))</formula>
    </cfRule>
  </conditionalFormatting>
  <conditionalFormatting sqref="AC1318:AE1318">
    <cfRule type="cellIs" priority="2329" operator="equal" dxfId="1">
      <formula>"pendiente"</formula>
    </cfRule>
    <cfRule type="containsText" priority="2330" operator="containsText" dxfId="0" text="pagado">
      <formula>NOT(ISERROR(SEARCH("pagado",AC1318)))</formula>
    </cfRule>
    <cfRule type="cellIs" priority="2327" operator="equal" dxfId="1">
      <formula>"pendiente"</formula>
    </cfRule>
    <cfRule type="containsText" priority="2328" operator="containsText" dxfId="0" text="pagado">
      <formula>NOT(ISERROR(SEARCH("pagado",AC1318)))</formula>
    </cfRule>
  </conditionalFormatting>
  <conditionalFormatting sqref="AC1319:AE1319">
    <cfRule type="cellIs" priority="2325" operator="equal" dxfId="1">
      <formula>"pendiente"</formula>
    </cfRule>
    <cfRule type="containsText" priority="2326" operator="containsText" dxfId="0" text="pagado">
      <formula>NOT(ISERROR(SEARCH("pagado",AC1319)))</formula>
    </cfRule>
    <cfRule type="cellIs" priority="2323" operator="equal" dxfId="1">
      <formula>"pendiente"</formula>
    </cfRule>
    <cfRule type="containsText" priority="2324" operator="containsText" dxfId="0" text="pagado">
      <formula>NOT(ISERROR(SEARCH("pagado",AC1319)))</formula>
    </cfRule>
  </conditionalFormatting>
  <conditionalFormatting sqref="AC1320:AE1320 AG1320">
    <cfRule type="containsText" priority="2318" operator="containsText" dxfId="1" text="pendiente">
      <formula>NOT(ISERROR(SEARCH("pendiente",AC1320)))</formula>
    </cfRule>
  </conditionalFormatting>
  <conditionalFormatting sqref="AC1320">
    <cfRule type="cellIs" priority="2317" operator="equal" dxfId="6">
      <formula>"abonado"</formula>
    </cfRule>
  </conditionalFormatting>
  <conditionalFormatting sqref="AC1320:AE1320">
    <cfRule type="cellIs" priority="2315" operator="equal" dxfId="1">
      <formula>"pendiente"</formula>
    </cfRule>
    <cfRule type="containsText" priority="2316" operator="containsText" dxfId="0" text="pagado">
      <formula>NOT(ISERROR(SEARCH("pagado",AC1320)))</formula>
    </cfRule>
  </conditionalFormatting>
  <conditionalFormatting sqref="AC1321:AC1322">
    <cfRule type="containsText" priority="2314" operator="containsText" dxfId="1" text="pendiente">
      <formula>NOT(ISERROR(SEARCH("pendiente",AC1321)))</formula>
    </cfRule>
    <cfRule type="cellIs" priority="2312" operator="equal" dxfId="1">
      <formula>"pendiente"</formula>
    </cfRule>
    <cfRule type="containsText" priority="2313" operator="containsText" dxfId="0" text="pagado">
      <formula>NOT(ISERROR(SEARCH("pagado",AC1321)))</formula>
    </cfRule>
    <cfRule type="cellIs" priority="2311" operator="equal" dxfId="6">
      <formula>"abonado"</formula>
    </cfRule>
  </conditionalFormatting>
  <conditionalFormatting sqref="AD1321:AE1322 AG1321:AG1322">
    <cfRule type="containsText" priority="2310" operator="containsText" dxfId="1" text="pendiente">
      <formula>NOT(ISERROR(SEARCH("pendiente",AD1321)))</formula>
    </cfRule>
  </conditionalFormatting>
  <conditionalFormatting sqref="AD1321:AE1321">
    <cfRule type="cellIs" priority="2308" operator="equal" dxfId="1">
      <formula>"pendiente"</formula>
    </cfRule>
    <cfRule type="containsText" priority="2309" operator="containsText" dxfId="0" text="pagado">
      <formula>NOT(ISERROR(SEARCH("pagado",AD1321)))</formula>
    </cfRule>
  </conditionalFormatting>
  <conditionalFormatting sqref="AD1322:AE1322">
    <cfRule type="cellIs" priority="2306" operator="equal" dxfId="1">
      <formula>"pendiente"</formula>
    </cfRule>
    <cfRule type="containsText" priority="2307" operator="containsText" dxfId="0" text="pagado">
      <formula>NOT(ISERROR(SEARCH("pagado",AD1322)))</formula>
    </cfRule>
  </conditionalFormatting>
  <conditionalFormatting sqref="AC1323:AC1360 AD1336:AE1341 AG1336:AG1341">
    <cfRule type="containsText" priority="2305" operator="containsText" dxfId="1" text="pendiente">
      <formula>NOT(ISERROR(SEARCH("pendiente",AC1323)))</formula>
    </cfRule>
  </conditionalFormatting>
  <conditionalFormatting sqref="AC1323:AC1360 AD1336:AE1341">
    <cfRule type="cellIs" priority="2303" operator="equal" dxfId="1">
      <formula>"pendiente"</formula>
    </cfRule>
    <cfRule type="containsText" priority="2304" operator="containsText" dxfId="0" text="pagado">
      <formula>NOT(ISERROR(SEARCH("pagado",AC1323)))</formula>
    </cfRule>
  </conditionalFormatting>
  <conditionalFormatting sqref="AC1323:AC1360">
    <cfRule type="cellIs" priority="2302" operator="equal" dxfId="6">
      <formula>"abonado"</formula>
    </cfRule>
  </conditionalFormatting>
  <conditionalFormatting sqref="AD1323:AE1331 AG1323:AG1331">
    <cfRule type="containsText" priority="2301" operator="containsText" dxfId="1" text="pendiente">
      <formula>NOT(ISERROR(SEARCH("pendiente",AD1323)))</formula>
    </cfRule>
  </conditionalFormatting>
  <conditionalFormatting sqref="AD1323:AE1331">
    <cfRule type="cellIs" priority="2299" operator="equal" dxfId="1">
      <formula>"pendiente"</formula>
    </cfRule>
    <cfRule type="containsText" priority="2300" operator="containsText" dxfId="0" text="pagado">
      <formula>NOT(ISERROR(SEARCH("pagado",AD1323)))</formula>
    </cfRule>
  </conditionalFormatting>
  <conditionalFormatting sqref="AD1332:AE1335 AG1332:AG1335">
    <cfRule type="containsText" priority="2298" operator="containsText" dxfId="1" text="pendiente">
      <formula>NOT(ISERROR(SEARCH("pendiente",AD1332)))</formula>
    </cfRule>
  </conditionalFormatting>
  <conditionalFormatting sqref="AD1332:AE1335">
    <cfRule type="cellIs" priority="2296" operator="equal" dxfId="1">
      <formula>"pendiente"</formula>
    </cfRule>
    <cfRule type="containsText" priority="2297" operator="containsText" dxfId="0" text="pagado">
      <formula>NOT(ISERROR(SEARCH("pagado",AD1332)))</formula>
    </cfRule>
  </conditionalFormatting>
  <conditionalFormatting sqref="AD1342:AE1360 AG1342:AG1360">
    <cfRule type="containsText" priority="2295" operator="containsText" dxfId="1" text="pendiente">
      <formula>NOT(ISERROR(SEARCH("pendiente",AD1342)))</formula>
    </cfRule>
  </conditionalFormatting>
  <conditionalFormatting sqref="AD1342:AE1360">
    <cfRule type="cellIs" priority="2293" operator="equal" dxfId="1">
      <formula>"pendiente"</formula>
    </cfRule>
    <cfRule type="containsText" priority="2294" operator="containsText" dxfId="0" text="pagado">
      <formula>NOT(ISERROR(SEARCH("pagado",AD1342)))</formula>
    </cfRule>
  </conditionalFormatting>
  <conditionalFormatting sqref="AC1361:AC1362">
    <cfRule type="containsText" priority="2292" operator="containsText" dxfId="1" text="pendiente">
      <formula>NOT(ISERROR(SEARCH("pendiente",AC1361)))</formula>
    </cfRule>
    <cfRule type="cellIs" priority="2290" operator="equal" dxfId="1">
      <formula>"pendiente"</formula>
    </cfRule>
    <cfRule type="containsText" priority="2291" operator="containsText" dxfId="0" text="pagado">
      <formula>NOT(ISERROR(SEARCH("pagado",AC1361)))</formula>
    </cfRule>
    <cfRule type="cellIs" priority="2289" operator="equal" dxfId="6">
      <formula>"abonado"</formula>
    </cfRule>
  </conditionalFormatting>
  <conditionalFormatting sqref="AD1361:AE1362 AG1361:AG1362">
    <cfRule type="containsText" priority="2288" operator="containsText" dxfId="1" text="pendiente">
      <formula>NOT(ISERROR(SEARCH("pendiente",AD1361)))</formula>
    </cfRule>
  </conditionalFormatting>
  <conditionalFormatting sqref="AD1361:AE1362">
    <cfRule type="cellIs" priority="2286" operator="equal" dxfId="1">
      <formula>"pendiente"</formula>
    </cfRule>
    <cfRule type="containsText" priority="2287" operator="containsText" dxfId="0" text="pagado">
      <formula>NOT(ISERROR(SEARCH("pagado",AD1361)))</formula>
    </cfRule>
  </conditionalFormatting>
  <conditionalFormatting sqref="AC1363">
    <cfRule type="containsText" priority="2285" operator="containsText" dxfId="1" text="pendiente">
      <formula>NOT(ISERROR(SEARCH("pendiente",AC1363)))</formula>
    </cfRule>
    <cfRule type="cellIs" priority="2283" operator="equal" dxfId="1">
      <formula>"pendiente"</formula>
    </cfRule>
    <cfRule type="containsText" priority="2284" operator="containsText" dxfId="0" text="pagado">
      <formula>NOT(ISERROR(SEARCH("pagado",AC1363)))</formula>
    </cfRule>
    <cfRule type="cellIs" priority="2282" operator="equal" dxfId="6">
      <formula>"abonado"</formula>
    </cfRule>
  </conditionalFormatting>
  <conditionalFormatting sqref="AD1363:AE1363 AG1363">
    <cfRule type="containsText" priority="2281" operator="containsText" dxfId="1" text="pendiente">
      <formula>NOT(ISERROR(SEARCH("pendiente",AD1363)))</formula>
    </cfRule>
  </conditionalFormatting>
  <conditionalFormatting sqref="AD1363:AE1363">
    <cfRule type="cellIs" priority="2279" operator="equal" dxfId="1">
      <formula>"pendiente"</formula>
    </cfRule>
    <cfRule type="containsText" priority="2280" operator="containsText" dxfId="0" text="pagado">
      <formula>NOT(ISERROR(SEARCH("pagado",AD1363)))</formula>
    </cfRule>
  </conditionalFormatting>
  <conditionalFormatting sqref="AC1364:AE1364 AG1364">
    <cfRule type="containsText" priority="2278" operator="containsText" dxfId="1" text="pendiente">
      <formula>NOT(ISERROR(SEARCH("pendiente",AC1364)))</formula>
    </cfRule>
  </conditionalFormatting>
  <conditionalFormatting sqref="AC1364">
    <cfRule type="cellIs" priority="2277" operator="equal" dxfId="6">
      <formula>"abonado"</formula>
    </cfRule>
  </conditionalFormatting>
  <conditionalFormatting sqref="AC1364:AE1364">
    <cfRule type="cellIs" priority="2275" operator="equal" dxfId="1">
      <formula>"pendiente"</formula>
    </cfRule>
    <cfRule type="containsText" priority="2276" operator="containsText" dxfId="0" text="pagado">
      <formula>NOT(ISERROR(SEARCH("pagado",AC1364)))</formula>
    </cfRule>
  </conditionalFormatting>
  <conditionalFormatting sqref="AD1365:AE1365">
    <cfRule type="cellIs" priority="2268" operator="equal" dxfId="1">
      <formula>"pendiente"</formula>
    </cfRule>
    <cfRule type="containsText" priority="2269" operator="containsText" dxfId="0" text="pagado">
      <formula>NOT(ISERROR(SEARCH("pagado",AD1365)))</formula>
    </cfRule>
  </conditionalFormatting>
  <conditionalFormatting sqref="AC1365">
    <cfRule type="containsText" priority="2274" operator="containsText" dxfId="1" text="pendiente">
      <formula>NOT(ISERROR(SEARCH("pendiente",AC1365)))</formula>
    </cfRule>
    <cfRule type="cellIs" priority="2272" operator="equal" dxfId="1">
      <formula>"pendiente"</formula>
    </cfRule>
    <cfRule type="containsText" priority="2273" operator="containsText" dxfId="0" text="pagado">
      <formula>NOT(ISERROR(SEARCH("pagado",AC1365)))</formula>
    </cfRule>
    <cfRule type="cellIs" priority="2271" operator="equal" dxfId="6">
      <formula>"abonado"</formula>
    </cfRule>
  </conditionalFormatting>
  <conditionalFormatting sqref="AD1365:AE1365 AG1365">
    <cfRule type="containsText" priority="2270" operator="containsText" dxfId="1" text="pendiente">
      <formula>NOT(ISERROR(SEARCH("pendiente",AD1365)))</formula>
    </cfRule>
  </conditionalFormatting>
  <conditionalFormatting sqref="AD1366:AE1366 AG1366">
    <cfRule type="containsText" priority="2267" operator="containsText" dxfId="1" text="pendiente">
      <formula>NOT(ISERROR(SEARCH("pendiente",AD1366)))</formula>
    </cfRule>
  </conditionalFormatting>
  <conditionalFormatting sqref="AD1366:AE1366">
    <cfRule type="cellIs" priority="2265" operator="equal" dxfId="1">
      <formula>"pendiente"</formula>
    </cfRule>
    <cfRule type="containsText" priority="2266" operator="containsText" dxfId="0" text="pagado">
      <formula>NOT(ISERROR(SEARCH("pagado",AD1366)))</formula>
    </cfRule>
  </conditionalFormatting>
  <conditionalFormatting sqref="AC1366">
    <cfRule type="containsText" priority="2264" operator="containsText" dxfId="1" text="pendiente">
      <formula>NOT(ISERROR(SEARCH("pendiente",AC1366)))</formula>
    </cfRule>
    <cfRule type="cellIs" priority="2262" operator="equal" dxfId="1">
      <formula>"pendiente"</formula>
    </cfRule>
    <cfRule type="containsText" priority="2263" operator="containsText" dxfId="0" text="pagado">
      <formula>NOT(ISERROR(SEARCH("pagado",AC1366)))</formula>
    </cfRule>
    <cfRule type="cellIs" priority="2261" operator="equal" dxfId="6">
      <formula>"abonado"</formula>
    </cfRule>
  </conditionalFormatting>
  <conditionalFormatting sqref="AC1367:AE1367 AG1367">
    <cfRule type="containsText" priority="2260" operator="containsText" dxfId="1" text="pendiente">
      <formula>NOT(ISERROR(SEARCH("pendiente",AC1367)))</formula>
    </cfRule>
  </conditionalFormatting>
  <conditionalFormatting sqref="AC1367:AE1367">
    <cfRule type="cellIs" priority="2258" operator="equal" dxfId="1">
      <formula>"pendiente"</formula>
    </cfRule>
    <cfRule type="containsText" priority="2259" operator="containsText" dxfId="0" text="pagado">
      <formula>NOT(ISERROR(SEARCH("pagado",AC1367)))</formula>
    </cfRule>
  </conditionalFormatting>
  <conditionalFormatting sqref="AC1367">
    <cfRule type="cellIs" priority="2257" operator="equal" dxfId="6">
      <formula>"abonado"</formula>
    </cfRule>
  </conditionalFormatting>
  <conditionalFormatting sqref="AC1368:AE1370 AG1368:AG1370">
    <cfRule type="containsText" priority="2256" operator="containsText" dxfId="1" text="pendiente">
      <formula>NOT(ISERROR(SEARCH("pendiente",AC1368)))</formula>
    </cfRule>
  </conditionalFormatting>
  <conditionalFormatting sqref="AC1368:AC1370">
    <cfRule type="cellIs" priority="2255" operator="equal" dxfId="6">
      <formula>"abonado"</formula>
    </cfRule>
  </conditionalFormatting>
  <conditionalFormatting sqref="AC1368:AE1369">
    <cfRule type="cellIs" priority="2253" operator="equal" dxfId="1">
      <formula>"pendiente"</formula>
    </cfRule>
    <cfRule type="containsText" priority="2254" operator="containsText" dxfId="0" text="pagado">
      <formula>NOT(ISERROR(SEARCH("pagado",AC1368)))</formula>
    </cfRule>
  </conditionalFormatting>
  <conditionalFormatting sqref="AC1370:AE1370">
    <cfRule type="cellIs" priority="2251" operator="equal" dxfId="1">
      <formula>"pendiente"</formula>
    </cfRule>
    <cfRule type="containsText" priority="2252" operator="containsText" dxfId="0" text="pagado">
      <formula>NOT(ISERROR(SEARCH("pagado",AC1370)))</formula>
    </cfRule>
  </conditionalFormatting>
  <conditionalFormatting sqref="AC1371:AE1387 AG1371:AG1387">
    <cfRule type="containsText" priority="2250" operator="containsText" dxfId="1" text="pendiente">
      <formula>NOT(ISERROR(SEARCH("pendiente",AC1371)))</formula>
    </cfRule>
  </conditionalFormatting>
  <conditionalFormatting sqref="AC1371:AC1387">
    <cfRule type="cellIs" priority="2249" operator="equal" dxfId="6">
      <formula>"abonado"</formula>
    </cfRule>
    <cfRule type="cellIs" priority="2239" operator="equal" dxfId="6">
      <formula>"abonado"</formula>
    </cfRule>
    <cfRule type="cellIs" priority="2219" operator="equal" dxfId="6">
      <formula>"abonado"</formula>
    </cfRule>
  </conditionalFormatting>
  <conditionalFormatting sqref="AC1371:AC1387 AC1371:AE1383">
    <cfRule type="cellIs" priority="2247" operator="equal" dxfId="1">
      <formula>"pendiente"</formula>
    </cfRule>
    <cfRule type="containsText" priority="2248" operator="containsText" dxfId="0" text="pagado">
      <formula>NOT(ISERROR(SEARCH("pagado",AC1371)))</formula>
    </cfRule>
  </conditionalFormatting>
  <conditionalFormatting sqref="AC1371:AE1371 AG1371">
    <cfRule type="containsText" priority="2246" operator="containsText" dxfId="1" text="pendiente">
      <formula>NOT(ISERROR(SEARCH("pendiente",AC1371)))</formula>
    </cfRule>
  </conditionalFormatting>
  <conditionalFormatting sqref="AC1371:AE1371">
    <cfRule type="cellIs" priority="2244" operator="equal" dxfId="1">
      <formula>"pendiente"</formula>
    </cfRule>
    <cfRule type="containsText" priority="2245" operator="containsText" dxfId="0" text="pagado">
      <formula>NOT(ISERROR(SEARCH("pagado",AC1371)))</formula>
    </cfRule>
  </conditionalFormatting>
  <conditionalFormatting sqref="AC1371">
    <cfRule type="cellIs" priority="2243" operator="equal" dxfId="6">
      <formula>"abonado"</formula>
    </cfRule>
  </conditionalFormatting>
  <conditionalFormatting sqref="AC1371:AC1387 AC1372:AE1372 AG1372">
    <cfRule type="containsText" priority="2242" operator="containsText" dxfId="1" text="pendiente">
      <formula>NOT(ISERROR(SEARCH("pendiente",AC1371)))</formula>
    </cfRule>
  </conditionalFormatting>
  <conditionalFormatting sqref="AC1371:AC1387 AC1372:AE1372">
    <cfRule type="cellIs" priority="2240" operator="equal" dxfId="1">
      <formula>"pendiente"</formula>
    </cfRule>
    <cfRule type="containsText" priority="2241" operator="containsText" dxfId="0" text="pagado">
      <formula>NOT(ISERROR(SEARCH("pagado",AC1371)))</formula>
    </cfRule>
  </conditionalFormatting>
  <conditionalFormatting sqref="AC1373:AE1373 AG1373">
    <cfRule type="containsText" priority="2238" operator="containsText" dxfId="1" text="pendiente">
      <formula>NOT(ISERROR(SEARCH("pendiente",AC1373)))</formula>
    </cfRule>
  </conditionalFormatting>
  <conditionalFormatting sqref="AC1373:AE1373">
    <cfRule type="cellIs" priority="2236" operator="equal" dxfId="1">
      <formula>"pendiente"</formula>
    </cfRule>
    <cfRule type="containsText" priority="2237" operator="containsText" dxfId="0" text="pagado">
      <formula>NOT(ISERROR(SEARCH("pagado",AC1373)))</formula>
    </cfRule>
  </conditionalFormatting>
  <conditionalFormatting sqref="AC1373">
    <cfRule type="cellIs" priority="2235" operator="equal" dxfId="6">
      <formula>"abonado"</formula>
    </cfRule>
  </conditionalFormatting>
  <conditionalFormatting sqref="AC1374:AE1374 AG1374">
    <cfRule type="containsText" priority="2234" operator="containsText" dxfId="1" text="pendiente">
      <formula>NOT(ISERROR(SEARCH("pendiente",AC1374)))</formula>
    </cfRule>
  </conditionalFormatting>
  <conditionalFormatting sqref="AC1374:AE1374">
    <cfRule type="cellIs" priority="2232" operator="equal" dxfId="1">
      <formula>"pendiente"</formula>
    </cfRule>
    <cfRule type="containsText" priority="2233" operator="containsText" dxfId="0" text="pagado">
      <formula>NOT(ISERROR(SEARCH("pagado",AC1374)))</formula>
    </cfRule>
  </conditionalFormatting>
  <conditionalFormatting sqref="AC1374">
    <cfRule type="cellIs" priority="2231" operator="equal" dxfId="6">
      <formula>"abonado"</formula>
    </cfRule>
  </conditionalFormatting>
  <conditionalFormatting sqref="AC1375:AE1375 AG1375">
    <cfRule type="containsText" priority="2230" operator="containsText" dxfId="1" text="pendiente">
      <formula>NOT(ISERROR(SEARCH("pendiente",AC1375)))</formula>
    </cfRule>
  </conditionalFormatting>
  <conditionalFormatting sqref="AC1375:AE1375">
    <cfRule type="cellIs" priority="2228" operator="equal" dxfId="1">
      <formula>"pendiente"</formula>
    </cfRule>
    <cfRule type="containsText" priority="2229" operator="containsText" dxfId="0" text="pagado">
      <formula>NOT(ISERROR(SEARCH("pagado",AC1375)))</formula>
    </cfRule>
  </conditionalFormatting>
  <conditionalFormatting sqref="AC1375">
    <cfRule type="cellIs" priority="2227" operator="equal" dxfId="6">
      <formula>"abonado"</formula>
    </cfRule>
  </conditionalFormatting>
  <conditionalFormatting sqref="AC1376:AE1376 AG1376">
    <cfRule type="containsText" priority="2226" operator="containsText" dxfId="1" text="pendiente">
      <formula>NOT(ISERROR(SEARCH("pendiente",AC1376)))</formula>
    </cfRule>
  </conditionalFormatting>
  <conditionalFormatting sqref="AC1376:AE1376">
    <cfRule type="cellIs" priority="2224" operator="equal" dxfId="1">
      <formula>"pendiente"</formula>
    </cfRule>
    <cfRule type="containsText" priority="2225" operator="containsText" dxfId="0" text="pagado">
      <formula>NOT(ISERROR(SEARCH("pagado",AC1376)))</formula>
    </cfRule>
  </conditionalFormatting>
  <conditionalFormatting sqref="AC1376">
    <cfRule type="cellIs" priority="2223" operator="equal" dxfId="6">
      <formula>"abonado"</formula>
    </cfRule>
  </conditionalFormatting>
  <conditionalFormatting sqref="AC1371:AC1387 AC1377:AE1378 AG1377:AG1378">
    <cfRule type="containsText" priority="2222" operator="containsText" dxfId="1" text="pendiente">
      <formula>NOT(ISERROR(SEARCH("pendiente",AC1371)))</formula>
    </cfRule>
  </conditionalFormatting>
  <conditionalFormatting sqref="AC1371:AC1387 AC1377:AE1378">
    <cfRule type="cellIs" priority="2220" operator="equal" dxfId="1">
      <formula>"pendiente"</formula>
    </cfRule>
    <cfRule type="containsText" priority="2221" operator="containsText" dxfId="0" text="pagado">
      <formula>NOT(ISERROR(SEARCH("pagado",AC1371)))</formula>
    </cfRule>
  </conditionalFormatting>
  <conditionalFormatting sqref="AC1379:AE1379 AG1379">
    <cfRule type="containsText" priority="2218" operator="containsText" dxfId="1" text="pendiente">
      <formula>NOT(ISERROR(SEARCH("pendiente",AC1379)))</formula>
    </cfRule>
  </conditionalFormatting>
  <conditionalFormatting sqref="AC1379:AE1379">
    <cfRule type="cellIs" priority="2216" operator="equal" dxfId="1">
      <formula>"pendiente"</formula>
    </cfRule>
    <cfRule type="containsText" priority="2217" operator="containsText" dxfId="0" text="pagado">
      <formula>NOT(ISERROR(SEARCH("pagado",AC1379)))</formula>
    </cfRule>
  </conditionalFormatting>
  <conditionalFormatting sqref="AC1379">
    <cfRule type="cellIs" priority="2215" operator="equal" dxfId="6">
      <formula>"abonado"</formula>
    </cfRule>
  </conditionalFormatting>
  <conditionalFormatting sqref="AC1380:AE1380 AG1380">
    <cfRule type="containsText" priority="2214" operator="containsText" dxfId="1" text="pendiente">
      <formula>NOT(ISERROR(SEARCH("pendiente",AC1380)))</formula>
    </cfRule>
  </conditionalFormatting>
  <conditionalFormatting sqref="AC1380:AE1380">
    <cfRule type="cellIs" priority="2212" operator="equal" dxfId="1">
      <formula>"pendiente"</formula>
    </cfRule>
    <cfRule type="containsText" priority="2213" operator="containsText" dxfId="0" text="pagado">
      <formula>NOT(ISERROR(SEARCH("pagado",AC1380)))</formula>
    </cfRule>
  </conditionalFormatting>
  <conditionalFormatting sqref="AC1380">
    <cfRule type="cellIs" priority="2211" operator="equal" dxfId="6">
      <formula>"abonado"</formula>
    </cfRule>
  </conditionalFormatting>
  <conditionalFormatting sqref="AC1381:AE1387 AG1381:AG1387">
    <cfRule type="containsText" priority="2210" operator="containsText" dxfId="1" text="pendiente">
      <formula>NOT(ISERROR(SEARCH("pendiente",AC1381)))</formula>
    </cfRule>
  </conditionalFormatting>
  <conditionalFormatting sqref="AC1381:AE1381">
    <cfRule type="cellIs" priority="2208" operator="equal" dxfId="1">
      <formula>"pendiente"</formula>
    </cfRule>
    <cfRule type="containsText" priority="2209" operator="containsText" dxfId="0" text="pagado">
      <formula>NOT(ISERROR(SEARCH("pagado",AC1381)))</formula>
    </cfRule>
  </conditionalFormatting>
  <conditionalFormatting sqref="AC1381:AC1387">
    <cfRule type="cellIs" priority="2207" operator="equal" dxfId="6">
      <formula>"abonado"</formula>
    </cfRule>
  </conditionalFormatting>
  <conditionalFormatting sqref="AC1382:AE1382">
    <cfRule type="cellIs" priority="2205" operator="equal" dxfId="1">
      <formula>"pendiente"</formula>
    </cfRule>
    <cfRule type="containsText" priority="2206" operator="containsText" dxfId="0" text="pagado">
      <formula>NOT(ISERROR(SEARCH("pagado",AC1382)))</formula>
    </cfRule>
  </conditionalFormatting>
  <conditionalFormatting sqref="AC1383:AE1383">
    <cfRule type="cellIs" priority="2203" operator="equal" dxfId="1">
      <formula>"pendiente"</formula>
    </cfRule>
    <cfRule type="containsText" priority="2204" operator="containsText" dxfId="0" text="pagado">
      <formula>NOT(ISERROR(SEARCH("pagado",AC1383)))</formula>
    </cfRule>
  </conditionalFormatting>
  <conditionalFormatting sqref="AC1384:AE1384">
    <cfRule type="cellIs" priority="2201" operator="equal" dxfId="1">
      <formula>"pendiente"</formula>
    </cfRule>
    <cfRule type="containsText" priority="2202" operator="containsText" dxfId="0" text="pagado">
      <formula>NOT(ISERROR(SEARCH("pagado",AC1384)))</formula>
    </cfRule>
    <cfRule type="cellIs" priority="2199" operator="equal" dxfId="1">
      <formula>"pendiente"</formula>
    </cfRule>
    <cfRule type="containsText" priority="2200" operator="containsText" dxfId="0" text="pagado">
      <formula>NOT(ISERROR(SEARCH("pagado",AC1384)))</formula>
    </cfRule>
  </conditionalFormatting>
  <conditionalFormatting sqref="AC1385:AE1385">
    <cfRule type="cellIs" priority="2197" operator="equal" dxfId="1">
      <formula>"pendiente"</formula>
    </cfRule>
    <cfRule type="containsText" priority="2198" operator="containsText" dxfId="0" text="pagado">
      <formula>NOT(ISERROR(SEARCH("pagado",AC1385)))</formula>
    </cfRule>
    <cfRule type="cellIs" priority="2195" operator="equal" dxfId="1">
      <formula>"pendiente"</formula>
    </cfRule>
    <cfRule type="containsText" priority="2196" operator="containsText" dxfId="0" text="pagado">
      <formula>NOT(ISERROR(SEARCH("pagado",AC1385)))</formula>
    </cfRule>
  </conditionalFormatting>
  <conditionalFormatting sqref="AC1386:AE1386">
    <cfRule type="cellIs" priority="2193" operator="equal" dxfId="1">
      <formula>"pendiente"</formula>
    </cfRule>
    <cfRule type="containsText" priority="2194" operator="containsText" dxfId="0" text="pagado">
      <formula>NOT(ISERROR(SEARCH("pagado",AC1386)))</formula>
    </cfRule>
    <cfRule type="cellIs" priority="2191" operator="equal" dxfId="1">
      <formula>"pendiente"</formula>
    </cfRule>
    <cfRule type="containsText" priority="2192" operator="containsText" dxfId="0" text="pagado">
      <formula>NOT(ISERROR(SEARCH("pagado",AC1386)))</formula>
    </cfRule>
  </conditionalFormatting>
  <conditionalFormatting sqref="AC1387:AE1387">
    <cfRule type="cellIs" priority="2189" operator="equal" dxfId="1">
      <formula>"pendiente"</formula>
    </cfRule>
    <cfRule type="containsText" priority="2190" operator="containsText" dxfId="0" text="pagado">
      <formula>NOT(ISERROR(SEARCH("pagado",AC1387)))</formula>
    </cfRule>
    <cfRule type="cellIs" priority="2187" operator="equal" dxfId="1">
      <formula>"pendiente"</formula>
    </cfRule>
    <cfRule type="containsText" priority="2188" operator="containsText" dxfId="0" text="pagado">
      <formula>NOT(ISERROR(SEARCH("pagado",AC1387)))</formula>
    </cfRule>
  </conditionalFormatting>
  <conditionalFormatting sqref="AC1388:AE1389 AG1388:AG1389">
    <cfRule type="containsText" priority="2186" operator="containsText" dxfId="1" text="pendiente">
      <formula>NOT(ISERROR(SEARCH("pendiente",AC1388)))</formula>
    </cfRule>
  </conditionalFormatting>
  <conditionalFormatting sqref="AC1388:AC1389">
    <cfRule type="cellIs" priority="2185" operator="equal" dxfId="6">
      <formula>"abonado"</formula>
    </cfRule>
  </conditionalFormatting>
  <conditionalFormatting sqref="AC1388:AE1388">
    <cfRule type="cellIs" priority="2183" operator="equal" dxfId="1">
      <formula>"pendiente"</formula>
    </cfRule>
    <cfRule type="containsText" priority="2184" operator="containsText" dxfId="0" text="pagado">
      <formula>NOT(ISERROR(SEARCH("pagado",AC1388)))</formula>
    </cfRule>
  </conditionalFormatting>
  <conditionalFormatting sqref="AC1389:AE1389">
    <cfRule type="cellIs" priority="2181" operator="equal" dxfId="1">
      <formula>"pendiente"</formula>
    </cfRule>
    <cfRule type="containsText" priority="2182" operator="containsText" dxfId="0" text="pagado">
      <formula>NOT(ISERROR(SEARCH("pagado",AC1389)))</formula>
    </cfRule>
  </conditionalFormatting>
  <conditionalFormatting sqref="AC1390:AE1390 AG1390">
    <cfRule type="containsText" priority="2180" operator="containsText" dxfId="1" text="pendiente">
      <formula>NOT(ISERROR(SEARCH("pendiente",AC1390)))</formula>
    </cfRule>
  </conditionalFormatting>
  <conditionalFormatting sqref="AC1390:AE1390">
    <cfRule type="cellIs" priority="2178" operator="equal" dxfId="1">
      <formula>"pendiente"</formula>
    </cfRule>
    <cfRule type="containsText" priority="2179" operator="containsText" dxfId="0" text="pagado">
      <formula>NOT(ISERROR(SEARCH("pagado",AC1390)))</formula>
    </cfRule>
  </conditionalFormatting>
  <conditionalFormatting sqref="AC1390">
    <cfRule type="cellIs" priority="2177" operator="equal" dxfId="6">
      <formula>"abonado"</formula>
    </cfRule>
  </conditionalFormatting>
  <conditionalFormatting sqref="AC1392:AE1392 AG1392">
    <cfRule type="containsText" priority="2176" operator="containsText" dxfId="1" text="pendiente">
      <formula>NOT(ISERROR(SEARCH("pendiente",AC1392)))</formula>
    </cfRule>
    <cfRule type="containsText" priority="2168" operator="containsText" dxfId="1" text="pendiente">
      <formula>NOT(ISERROR(SEARCH("pendiente",AC1392)))</formula>
    </cfRule>
  </conditionalFormatting>
  <conditionalFormatting sqref="AC1392">
    <cfRule type="cellIs" priority="2175" operator="equal" dxfId="6">
      <formula>"abonado"</formula>
    </cfRule>
    <cfRule type="containsText" priority="2172" operator="containsText" dxfId="1" text="pendiente">
      <formula>NOT(ISERROR(SEARCH("pendiente",AC1392)))</formula>
    </cfRule>
    <cfRule type="cellIs" priority="2170" operator="equal" dxfId="1">
      <formula>"pendiente"</formula>
    </cfRule>
    <cfRule type="containsText" priority="2171" operator="containsText" dxfId="0" text="pagado">
      <formula>NOT(ISERROR(SEARCH("pagado",AC1392)))</formula>
    </cfRule>
    <cfRule type="cellIs" priority="2169" operator="equal" dxfId="6">
      <formula>"abonado"</formula>
    </cfRule>
    <cfRule type="cellIs" priority="2165" operator="equal" dxfId="6">
      <formula>"abonado"</formula>
    </cfRule>
    <cfRule type="containsText" priority="2164" operator="containsText" dxfId="1" text="pendiente">
      <formula>NOT(ISERROR(SEARCH("pendiente",AC1392)))</formula>
    </cfRule>
    <cfRule type="cellIs" priority="2162" operator="equal" dxfId="1">
      <formula>"pendiente"</formula>
    </cfRule>
    <cfRule type="containsText" priority="2163" operator="containsText" dxfId="0" text="pagado">
      <formula>NOT(ISERROR(SEARCH("pagado",AC1392)))</formula>
    </cfRule>
    <cfRule type="cellIs" priority="2161" operator="equal" dxfId="6">
      <formula>"abonado"</formula>
    </cfRule>
  </conditionalFormatting>
  <conditionalFormatting sqref="AC1392:AE1392">
    <cfRule type="cellIs" priority="2173" operator="equal" dxfId="1">
      <formula>"pendiente"</formula>
    </cfRule>
    <cfRule type="containsText" priority="2174" operator="containsText" dxfId="0" text="pagado">
      <formula>NOT(ISERROR(SEARCH("pagado",AC1392)))</formula>
    </cfRule>
    <cfRule type="cellIs" priority="2166" operator="equal" dxfId="1">
      <formula>"pendiente"</formula>
    </cfRule>
    <cfRule type="containsText" priority="2167" operator="containsText" dxfId="0" text="pagado">
      <formula>NOT(ISERROR(SEARCH("pagado",AC1392)))</formula>
    </cfRule>
  </conditionalFormatting>
  <conditionalFormatting sqref="AC1393:AE1393 AG1393">
    <cfRule type="containsText" priority="2160" operator="containsText" dxfId="1" text="pendiente">
      <formula>NOT(ISERROR(SEARCH("pendiente",AC1393)))</formula>
    </cfRule>
    <cfRule type="containsText" priority="2152" operator="containsText" dxfId="1" text="pendiente">
      <formula>NOT(ISERROR(SEARCH("pendiente",AC1393)))</formula>
    </cfRule>
  </conditionalFormatting>
  <conditionalFormatting sqref="AC1393">
    <cfRule type="cellIs" priority="2159" operator="equal" dxfId="6">
      <formula>"abonado"</formula>
    </cfRule>
    <cfRule type="containsText" priority="2156" operator="containsText" dxfId="1" text="pendiente">
      <formula>NOT(ISERROR(SEARCH("pendiente",AC1393)))</formula>
    </cfRule>
    <cfRule type="cellIs" priority="2154" operator="equal" dxfId="1">
      <formula>"pendiente"</formula>
    </cfRule>
    <cfRule type="containsText" priority="2155" operator="containsText" dxfId="0" text="pagado">
      <formula>NOT(ISERROR(SEARCH("pagado",AC1393)))</formula>
    </cfRule>
    <cfRule type="cellIs" priority="2153" operator="equal" dxfId="6">
      <formula>"abonado"</formula>
    </cfRule>
    <cfRule type="cellIs" priority="2149" operator="equal" dxfId="6">
      <formula>"abonado"</formula>
    </cfRule>
    <cfRule type="containsText" priority="2148" operator="containsText" dxfId="1" text="pendiente">
      <formula>NOT(ISERROR(SEARCH("pendiente",AC1393)))</formula>
    </cfRule>
    <cfRule type="cellIs" priority="2146" operator="equal" dxfId="1">
      <formula>"pendiente"</formula>
    </cfRule>
    <cfRule type="containsText" priority="2147" operator="containsText" dxfId="0" text="pagado">
      <formula>NOT(ISERROR(SEARCH("pagado",AC1393)))</formula>
    </cfRule>
    <cfRule type="cellIs" priority="2145" operator="equal" dxfId="6">
      <formula>"abonado"</formula>
    </cfRule>
  </conditionalFormatting>
  <conditionalFormatting sqref="AC1393:AE1393">
    <cfRule type="cellIs" priority="2157" operator="equal" dxfId="1">
      <formula>"pendiente"</formula>
    </cfRule>
    <cfRule type="containsText" priority="2158" operator="containsText" dxfId="0" text="pagado">
      <formula>NOT(ISERROR(SEARCH("pagado",AC1393)))</formula>
    </cfRule>
    <cfRule type="cellIs" priority="2150" operator="equal" dxfId="1">
      <formula>"pendiente"</formula>
    </cfRule>
    <cfRule type="containsText" priority="2151" operator="containsText" dxfId="0" text="pagado">
      <formula>NOT(ISERROR(SEARCH("pagado",AC1393)))</formula>
    </cfRule>
  </conditionalFormatting>
  <conditionalFormatting sqref="AC1394:AE1394 AG1394">
    <cfRule type="containsText" priority="2144" operator="containsText" dxfId="1" text="pendiente">
      <formula>NOT(ISERROR(SEARCH("pendiente",AC1394)))</formula>
    </cfRule>
    <cfRule type="containsText" priority="2136" operator="containsText" dxfId="1" text="pendiente">
      <formula>NOT(ISERROR(SEARCH("pendiente",AC1394)))</formula>
    </cfRule>
  </conditionalFormatting>
  <conditionalFormatting sqref="AC1394">
    <cfRule type="cellIs" priority="2143" operator="equal" dxfId="6">
      <formula>"abonado"</formula>
    </cfRule>
    <cfRule type="containsText" priority="2140" operator="containsText" dxfId="1" text="pendiente">
      <formula>NOT(ISERROR(SEARCH("pendiente",AC1394)))</formula>
    </cfRule>
    <cfRule type="cellIs" priority="2138" operator="equal" dxfId="1">
      <formula>"pendiente"</formula>
    </cfRule>
    <cfRule type="containsText" priority="2139" operator="containsText" dxfId="0" text="pagado">
      <formula>NOT(ISERROR(SEARCH("pagado",AC1394)))</formula>
    </cfRule>
    <cfRule type="cellIs" priority="2137" operator="equal" dxfId="6">
      <formula>"abonado"</formula>
    </cfRule>
    <cfRule type="cellIs" priority="2133" operator="equal" dxfId="6">
      <formula>"abonado"</formula>
    </cfRule>
  </conditionalFormatting>
  <conditionalFormatting sqref="AC1394:AE1394">
    <cfRule type="cellIs" priority="2141" operator="equal" dxfId="1">
      <formula>"pendiente"</formula>
    </cfRule>
    <cfRule type="containsText" priority="2142" operator="containsText" dxfId="0" text="pagado">
      <formula>NOT(ISERROR(SEARCH("pagado",AC1394)))</formula>
    </cfRule>
    <cfRule type="cellIs" priority="2134" operator="equal" dxfId="1">
      <formula>"pendiente"</formula>
    </cfRule>
    <cfRule type="containsText" priority="2135" operator="containsText" dxfId="0" text="pagado">
      <formula>NOT(ISERROR(SEARCH("pagado",AC1394)))</formula>
    </cfRule>
  </conditionalFormatting>
  <conditionalFormatting sqref="AC1395:AE1395 AG1395">
    <cfRule type="containsText" priority="2132" operator="containsText" dxfId="1" text="pendiente">
      <formula>NOT(ISERROR(SEARCH("pendiente",AC1395)))</formula>
    </cfRule>
    <cfRule type="containsText" priority="2124" operator="containsText" dxfId="1" text="pendiente">
      <formula>NOT(ISERROR(SEARCH("pendiente",AC1395)))</formula>
    </cfRule>
  </conditionalFormatting>
  <conditionalFormatting sqref="AC1395">
    <cfRule type="cellIs" priority="2131" operator="equal" dxfId="6">
      <formula>"abonado"</formula>
    </cfRule>
    <cfRule type="containsText" priority="2128" operator="containsText" dxfId="1" text="pendiente">
      <formula>NOT(ISERROR(SEARCH("pendiente",AC1395)))</formula>
    </cfRule>
    <cfRule type="cellIs" priority="2126" operator="equal" dxfId="1">
      <formula>"pendiente"</formula>
    </cfRule>
    <cfRule type="containsText" priority="2127" operator="containsText" dxfId="0" text="pagado">
      <formula>NOT(ISERROR(SEARCH("pagado",AC1395)))</formula>
    </cfRule>
    <cfRule type="cellIs" priority="2125" operator="equal" dxfId="6">
      <formula>"abonado"</formula>
    </cfRule>
    <cfRule type="cellIs" priority="2121" operator="equal" dxfId="6">
      <formula>"abonado"</formula>
    </cfRule>
    <cfRule type="containsText" priority="2120" operator="containsText" dxfId="1" text="pendiente">
      <formula>NOT(ISERROR(SEARCH("pendiente",AC1395)))</formula>
    </cfRule>
    <cfRule type="cellIs" priority="2118" operator="equal" dxfId="1">
      <formula>"pendiente"</formula>
    </cfRule>
    <cfRule type="containsText" priority="2119" operator="containsText" dxfId="0" text="pagado">
      <formula>NOT(ISERROR(SEARCH("pagado",AC1395)))</formula>
    </cfRule>
    <cfRule type="cellIs" priority="2117" operator="equal" dxfId="6">
      <formula>"abonado"</formula>
    </cfRule>
  </conditionalFormatting>
  <conditionalFormatting sqref="AC1395:AE1395">
    <cfRule type="cellIs" priority="2129" operator="equal" dxfId="1">
      <formula>"pendiente"</formula>
    </cfRule>
    <cfRule type="containsText" priority="2130" operator="containsText" dxfId="0" text="pagado">
      <formula>NOT(ISERROR(SEARCH("pagado",AC1395)))</formula>
    </cfRule>
    <cfRule type="cellIs" priority="2122" operator="equal" dxfId="1">
      <formula>"pendiente"</formula>
    </cfRule>
    <cfRule type="containsText" priority="2123" operator="containsText" dxfId="0" text="pagado">
      <formula>NOT(ISERROR(SEARCH("pagado",AC1395)))</formula>
    </cfRule>
  </conditionalFormatting>
  <conditionalFormatting sqref="AC1396:AE1396 AG1396">
    <cfRule type="containsText" priority="2116" operator="containsText" dxfId="1" text="pendiente">
      <formula>NOT(ISERROR(SEARCH("pendiente",AC1396)))</formula>
    </cfRule>
    <cfRule type="containsText" priority="2104" operator="containsText" dxfId="1" text="pendiente">
      <formula>NOT(ISERROR(SEARCH("pendiente",AC1396)))</formula>
    </cfRule>
  </conditionalFormatting>
  <conditionalFormatting sqref="AC1396">
    <cfRule type="cellIs" priority="2115" operator="equal" dxfId="6">
      <formula>"abonado"</formula>
    </cfRule>
    <cfRule type="containsText" priority="2112" operator="containsText" dxfId="1" text="pendiente">
      <formula>NOT(ISERROR(SEARCH("pendiente",AC1396)))</formula>
    </cfRule>
    <cfRule type="cellIs" priority="2110" operator="equal" dxfId="1">
      <formula>"pendiente"</formula>
    </cfRule>
    <cfRule type="containsText" priority="2111" operator="containsText" dxfId="0" text="pagado">
      <formula>NOT(ISERROR(SEARCH("pagado",AC1396)))</formula>
    </cfRule>
    <cfRule type="cellIs" priority="2109" operator="equal" dxfId="6">
      <formula>"abonado"</formula>
    </cfRule>
    <cfRule type="containsText" priority="2108" operator="containsText" dxfId="1" text="pendiente">
      <formula>NOT(ISERROR(SEARCH("pendiente",AC1396)))</formula>
    </cfRule>
    <cfRule type="cellIs" priority="2106" operator="equal" dxfId="1">
      <formula>"pendiente"</formula>
    </cfRule>
    <cfRule type="containsText" priority="2107" operator="containsText" dxfId="0" text="pagado">
      <formula>NOT(ISERROR(SEARCH("pagado",AC1396)))</formula>
    </cfRule>
    <cfRule type="cellIs" priority="2105" operator="equal" dxfId="6">
      <formula>"abonado"</formula>
    </cfRule>
    <cfRule type="cellIs" priority="2101" operator="equal" dxfId="6">
      <formula>"abonado"</formula>
    </cfRule>
  </conditionalFormatting>
  <conditionalFormatting sqref="AC1396:AE1396">
    <cfRule type="cellIs" priority="2113" operator="equal" dxfId="1">
      <formula>"pendiente"</formula>
    </cfRule>
    <cfRule type="containsText" priority="2114" operator="containsText" dxfId="0" text="pagado">
      <formula>NOT(ISERROR(SEARCH("pagado",AC1396)))</formula>
    </cfRule>
    <cfRule type="cellIs" priority="2102" operator="equal" dxfId="1">
      <formula>"pendiente"</formula>
    </cfRule>
    <cfRule type="containsText" priority="2103" operator="containsText" dxfId="0" text="pagado">
      <formula>NOT(ISERROR(SEARCH("pagado",AC1396)))</formula>
    </cfRule>
  </conditionalFormatting>
  <conditionalFormatting sqref="AC1397:AE1397 AG1397">
    <cfRule type="containsText" priority="2100" operator="containsText" dxfId="1" text="pendiente">
      <formula>NOT(ISERROR(SEARCH("pendiente",AC1397)))</formula>
    </cfRule>
    <cfRule type="containsText" priority="2092" operator="containsText" dxfId="1" text="pendiente">
      <formula>NOT(ISERROR(SEARCH("pendiente",AC1397)))</formula>
    </cfRule>
  </conditionalFormatting>
  <conditionalFormatting sqref="AC1397">
    <cfRule type="cellIs" priority="2099" operator="equal" dxfId="6">
      <formula>"abonado"</formula>
    </cfRule>
    <cfRule type="containsText" priority="2096" operator="containsText" dxfId="1" text="pendiente">
      <formula>NOT(ISERROR(SEARCH("pendiente",AC1397)))</formula>
    </cfRule>
    <cfRule type="cellIs" priority="2094" operator="equal" dxfId="1">
      <formula>"pendiente"</formula>
    </cfRule>
    <cfRule type="containsText" priority="2095" operator="containsText" dxfId="0" text="pagado">
      <formula>NOT(ISERROR(SEARCH("pagado",AC1397)))</formula>
    </cfRule>
    <cfRule type="cellIs" priority="2093" operator="equal" dxfId="6">
      <formula>"abonado"</formula>
    </cfRule>
    <cfRule type="cellIs" priority="2089" operator="equal" dxfId="6">
      <formula>"abonado"</formula>
    </cfRule>
    <cfRule type="containsText" priority="2088" operator="containsText" dxfId="1" text="pendiente">
      <formula>NOT(ISERROR(SEARCH("pendiente",AC1397)))</formula>
    </cfRule>
    <cfRule type="cellIs" priority="2086" operator="equal" dxfId="1">
      <formula>"pendiente"</formula>
    </cfRule>
    <cfRule type="containsText" priority="2087" operator="containsText" dxfId="0" text="pagado">
      <formula>NOT(ISERROR(SEARCH("pagado",AC1397)))</formula>
    </cfRule>
    <cfRule type="cellIs" priority="2085" operator="equal" dxfId="6">
      <formula>"abonado"</formula>
    </cfRule>
  </conditionalFormatting>
  <conditionalFormatting sqref="AC1397:AE1397">
    <cfRule type="cellIs" priority="2097" operator="equal" dxfId="1">
      <formula>"pendiente"</formula>
    </cfRule>
    <cfRule type="containsText" priority="2098" operator="containsText" dxfId="0" text="pagado">
      <formula>NOT(ISERROR(SEARCH("pagado",AC1397)))</formula>
    </cfRule>
    <cfRule type="cellIs" priority="2090" operator="equal" dxfId="1">
      <formula>"pendiente"</formula>
    </cfRule>
    <cfRule type="containsText" priority="2091" operator="containsText" dxfId="0" text="pagado">
      <formula>NOT(ISERROR(SEARCH("pagado",AC1397)))</formula>
    </cfRule>
  </conditionalFormatting>
  <conditionalFormatting sqref="AC1398:AE1398 AG1398">
    <cfRule type="containsText" priority="2084" operator="containsText" dxfId="1" text="pendiente">
      <formula>NOT(ISERROR(SEARCH("pendiente",AC1398)))</formula>
    </cfRule>
    <cfRule type="containsText" priority="2072" operator="containsText" dxfId="1" text="pendiente">
      <formula>NOT(ISERROR(SEARCH("pendiente",AC1398)))</formula>
    </cfRule>
  </conditionalFormatting>
  <conditionalFormatting sqref="AC1398">
    <cfRule type="cellIs" priority="2083" operator="equal" dxfId="6">
      <formula>"abonado"</formula>
    </cfRule>
    <cfRule type="containsText" priority="2080" operator="containsText" dxfId="1" text="pendiente">
      <formula>NOT(ISERROR(SEARCH("pendiente",AC1398)))</formula>
    </cfRule>
    <cfRule type="cellIs" priority="2078" operator="equal" dxfId="1">
      <formula>"pendiente"</formula>
    </cfRule>
    <cfRule type="containsText" priority="2079" operator="containsText" dxfId="0" text="pagado">
      <formula>NOT(ISERROR(SEARCH("pagado",AC1398)))</formula>
    </cfRule>
    <cfRule type="cellIs" priority="2077" operator="equal" dxfId="6">
      <formula>"abonado"</formula>
    </cfRule>
    <cfRule type="containsText" priority="2076" operator="containsText" dxfId="1" text="pendiente">
      <formula>NOT(ISERROR(SEARCH("pendiente",AC1398)))</formula>
    </cfRule>
    <cfRule type="cellIs" priority="2074" operator="equal" dxfId="1">
      <formula>"pendiente"</formula>
    </cfRule>
    <cfRule type="containsText" priority="2075" operator="containsText" dxfId="0" text="pagado">
      <formula>NOT(ISERROR(SEARCH("pagado",AC1398)))</formula>
    </cfRule>
    <cfRule type="cellIs" priority="2073" operator="equal" dxfId="6">
      <formula>"abonado"</formula>
    </cfRule>
    <cfRule type="cellIs" priority="2071" operator="equal" dxfId="6">
      <formula>"abonado"</formula>
    </cfRule>
  </conditionalFormatting>
  <conditionalFormatting sqref="AC1398:AE1398">
    <cfRule type="cellIs" priority="2081" operator="equal" dxfId="1">
      <formula>"pendiente"</formula>
    </cfRule>
    <cfRule type="containsText" priority="2082" operator="containsText" dxfId="0" text="pagado">
      <formula>NOT(ISERROR(SEARCH("pagado",AC1398)))</formula>
    </cfRule>
    <cfRule type="cellIs" priority="2069" operator="equal" dxfId="1">
      <formula>"pendiente"</formula>
    </cfRule>
    <cfRule type="containsText" priority="2070" operator="containsText" dxfId="0" text="pagado">
      <formula>NOT(ISERROR(SEARCH("pagado",AC1398)))</formula>
    </cfRule>
  </conditionalFormatting>
  <conditionalFormatting sqref="AC1399:AE1399 AG1399">
    <cfRule type="containsText" priority="2068" operator="containsText" dxfId="1" text="pendiente">
      <formula>NOT(ISERROR(SEARCH("pendiente",AC1399)))</formula>
    </cfRule>
    <cfRule type="containsText" priority="2056" operator="containsText" dxfId="1" text="pendiente">
      <formula>NOT(ISERROR(SEARCH("pendiente",AC1399)))</formula>
    </cfRule>
  </conditionalFormatting>
  <conditionalFormatting sqref="AC1399">
    <cfRule type="cellIs" priority="2067" operator="equal" dxfId="6">
      <formula>"abonado"</formula>
    </cfRule>
    <cfRule type="containsText" priority="2064" operator="containsText" dxfId="1" text="pendiente">
      <formula>NOT(ISERROR(SEARCH("pendiente",AC1399)))</formula>
    </cfRule>
    <cfRule type="cellIs" priority="2062" operator="equal" dxfId="1">
      <formula>"pendiente"</formula>
    </cfRule>
    <cfRule type="containsText" priority="2063" operator="containsText" dxfId="0" text="pagado">
      <formula>NOT(ISERROR(SEARCH("pagado",AC1399)))</formula>
    </cfRule>
    <cfRule type="cellIs" priority="2061" operator="equal" dxfId="6">
      <formula>"abonado"</formula>
    </cfRule>
    <cfRule type="containsText" priority="2060" operator="containsText" dxfId="1" text="pendiente">
      <formula>NOT(ISERROR(SEARCH("pendiente",AC1399)))</formula>
    </cfRule>
    <cfRule type="cellIs" priority="2058" operator="equal" dxfId="1">
      <formula>"pendiente"</formula>
    </cfRule>
    <cfRule type="containsText" priority="2059" operator="containsText" dxfId="0" text="pagado">
      <formula>NOT(ISERROR(SEARCH("pagado",AC1399)))</formula>
    </cfRule>
    <cfRule type="cellIs" priority="2057" operator="equal" dxfId="6">
      <formula>"abonado"</formula>
    </cfRule>
    <cfRule type="cellIs" priority="2055" operator="equal" dxfId="6">
      <formula>"abonado"</formula>
    </cfRule>
  </conditionalFormatting>
  <conditionalFormatting sqref="AC1399:AE1399">
    <cfRule type="cellIs" priority="2065" operator="equal" dxfId="1">
      <formula>"pendiente"</formula>
    </cfRule>
    <cfRule type="containsText" priority="2066" operator="containsText" dxfId="0" text="pagado">
      <formula>NOT(ISERROR(SEARCH("pagado",AC1399)))</formula>
    </cfRule>
    <cfRule type="cellIs" priority="2053" operator="equal" dxfId="1">
      <formula>"pendiente"</formula>
    </cfRule>
    <cfRule type="containsText" priority="2054" operator="containsText" dxfId="0" text="pagado">
      <formula>NOT(ISERROR(SEARCH("pagado",AC1399)))</formula>
    </cfRule>
  </conditionalFormatting>
  <conditionalFormatting sqref="AC1400:AE1400 AG1400">
    <cfRule type="containsText" priority="2052" operator="containsText" dxfId="1" text="pendiente">
      <formula>NOT(ISERROR(SEARCH("pendiente",AC1400)))</formula>
    </cfRule>
    <cfRule type="containsText" priority="2040" operator="containsText" dxfId="1" text="pendiente">
      <formula>NOT(ISERROR(SEARCH("pendiente",AC1400)))</formula>
    </cfRule>
  </conditionalFormatting>
  <conditionalFormatting sqref="AC1400">
    <cfRule type="cellIs" priority="2051" operator="equal" dxfId="6">
      <formula>"abonado"</formula>
    </cfRule>
    <cfRule type="containsText" priority="2048" operator="containsText" dxfId="1" text="pendiente">
      <formula>NOT(ISERROR(SEARCH("pendiente",AC1400)))</formula>
    </cfRule>
    <cfRule type="cellIs" priority="2046" operator="equal" dxfId="1">
      <formula>"pendiente"</formula>
    </cfRule>
    <cfRule type="containsText" priority="2047" operator="containsText" dxfId="0" text="pagado">
      <formula>NOT(ISERROR(SEARCH("pagado",AC1400)))</formula>
    </cfRule>
    <cfRule type="cellIs" priority="2045" operator="equal" dxfId="6">
      <formula>"abonado"</formula>
    </cfRule>
    <cfRule type="containsText" priority="2044" operator="containsText" dxfId="1" text="pendiente">
      <formula>NOT(ISERROR(SEARCH("pendiente",AC1400)))</formula>
    </cfRule>
    <cfRule type="cellIs" priority="2042" operator="equal" dxfId="1">
      <formula>"pendiente"</formula>
    </cfRule>
    <cfRule type="containsText" priority="2043" operator="containsText" dxfId="0" text="pagado">
      <formula>NOT(ISERROR(SEARCH("pagado",AC1400)))</formula>
    </cfRule>
    <cfRule type="cellIs" priority="2041" operator="equal" dxfId="6">
      <formula>"abonado"</formula>
    </cfRule>
    <cfRule type="cellIs" priority="2037" operator="equal" dxfId="6">
      <formula>"abonado"</formula>
    </cfRule>
  </conditionalFormatting>
  <conditionalFormatting sqref="AC1400:AE1400">
    <cfRule type="cellIs" priority="2049" operator="equal" dxfId="1">
      <formula>"pendiente"</formula>
    </cfRule>
    <cfRule type="containsText" priority="2050" operator="containsText" dxfId="0" text="pagado">
      <formula>NOT(ISERROR(SEARCH("pagado",AC1400)))</formula>
    </cfRule>
    <cfRule type="cellIs" priority="2038" operator="equal" dxfId="1">
      <formula>"pendiente"</formula>
    </cfRule>
    <cfRule type="containsText" priority="2039" operator="containsText" dxfId="0" text="pagado">
      <formula>NOT(ISERROR(SEARCH("pagado",AC1400)))</formula>
    </cfRule>
  </conditionalFormatting>
  <conditionalFormatting sqref="AC1391:AE1391 AG1391">
    <cfRule type="containsText" priority="2036" operator="containsText" dxfId="1" text="pendiente">
      <formula>NOT(ISERROR(SEARCH("pendiente",AC1391)))</formula>
    </cfRule>
    <cfRule type="containsText" priority="2032" operator="containsText" dxfId="1" text="pendiente">
      <formula>NOT(ISERROR(SEARCH("pendiente",AC1391)))</formula>
    </cfRule>
  </conditionalFormatting>
  <conditionalFormatting sqref="AC1391">
    <cfRule type="cellIs" priority="2035" operator="equal" dxfId="6">
      <formula>"abonado"</formula>
    </cfRule>
    <cfRule type="cellIs" priority="2029" operator="equal" dxfId="6">
      <formula>"abonado"</formula>
    </cfRule>
    <cfRule type="containsText" priority="2028" operator="containsText" dxfId="1" text="pendiente">
      <formula>NOT(ISERROR(SEARCH("pendiente",AC1391)))</formula>
    </cfRule>
    <cfRule type="cellIs" priority="2026" operator="equal" dxfId="1">
      <formula>"pendiente"</formula>
    </cfRule>
    <cfRule type="containsText" priority="2027" operator="containsText" dxfId="0" text="pagado">
      <formula>NOT(ISERROR(SEARCH("pagado",AC1391)))</formula>
    </cfRule>
    <cfRule type="cellIs" priority="2025" operator="equal" dxfId="6">
      <formula>"abonado"</formula>
    </cfRule>
    <cfRule type="containsText" priority="2024" operator="containsText" dxfId="1" text="pendiente">
      <formula>NOT(ISERROR(SEARCH("pendiente",AC1391)))</formula>
    </cfRule>
    <cfRule type="cellIs" priority="2022" operator="equal" dxfId="1">
      <formula>"pendiente"</formula>
    </cfRule>
    <cfRule type="containsText" priority="2023" operator="containsText" dxfId="0" text="pagado">
      <formula>NOT(ISERROR(SEARCH("pagado",AC1391)))</formula>
    </cfRule>
    <cfRule type="cellIs" priority="2021" operator="equal" dxfId="6">
      <formula>"abonado"</formula>
    </cfRule>
  </conditionalFormatting>
  <conditionalFormatting sqref="AC1391:AE1391">
    <cfRule type="cellIs" priority="2033" operator="equal" dxfId="1">
      <formula>"pendiente"</formula>
    </cfRule>
    <cfRule type="containsText" priority="2034" operator="containsText" dxfId="0" text="pagado">
      <formula>NOT(ISERROR(SEARCH("pagado",AC1391)))</formula>
    </cfRule>
    <cfRule type="cellIs" priority="2030" operator="equal" dxfId="1">
      <formula>"pendiente"</formula>
    </cfRule>
    <cfRule type="containsText" priority="2031" operator="containsText" dxfId="0" text="pagado">
      <formula>NOT(ISERROR(SEARCH("pagado",AC1391)))</formula>
    </cfRule>
  </conditionalFormatting>
  <conditionalFormatting sqref="AC1401:AE1401 AG1401">
    <cfRule type="containsText" priority="2020" operator="containsText" dxfId="1" text="pendiente">
      <formula>NOT(ISERROR(SEARCH("pendiente",AC1401)))</formula>
    </cfRule>
    <cfRule type="containsText" priority="2008" operator="containsText" dxfId="1" text="pendiente">
      <formula>NOT(ISERROR(SEARCH("pendiente",AC1401)))</formula>
    </cfRule>
  </conditionalFormatting>
  <conditionalFormatting sqref="AC1401">
    <cfRule type="cellIs" priority="2019" operator="equal" dxfId="6">
      <formula>"abonado"</formula>
    </cfRule>
    <cfRule type="cellIs" priority="2017" operator="equal" dxfId="1">
      <formula>"pendiente"</formula>
    </cfRule>
    <cfRule type="containsText" priority="2018" operator="containsText" dxfId="0" text="pagado">
      <formula>NOT(ISERROR(SEARCH("pagado",AC1401)))</formula>
    </cfRule>
    <cfRule type="containsText" priority="2016" operator="containsText" dxfId="1" text="pendiente">
      <formula>NOT(ISERROR(SEARCH("pendiente",AC1401)))</formula>
    </cfRule>
    <cfRule type="cellIs" priority="2014" operator="equal" dxfId="1">
      <formula>"pendiente"</formula>
    </cfRule>
    <cfRule type="containsText" priority="2015" operator="containsText" dxfId="0" text="pagado">
      <formula>NOT(ISERROR(SEARCH("pagado",AC1401)))</formula>
    </cfRule>
    <cfRule type="cellIs" priority="2013" operator="equal" dxfId="6">
      <formula>"abonado"</formula>
    </cfRule>
    <cfRule type="containsText" priority="2012" operator="containsText" dxfId="1" text="pendiente">
      <formula>NOT(ISERROR(SEARCH("pendiente",AC1401)))</formula>
    </cfRule>
    <cfRule type="cellIs" priority="2010" operator="equal" dxfId="1">
      <formula>"pendiente"</formula>
    </cfRule>
    <cfRule type="containsText" priority="2011" operator="containsText" dxfId="0" text="pagado">
      <formula>NOT(ISERROR(SEARCH("pagado",AC1401)))</formula>
    </cfRule>
    <cfRule type="cellIs" priority="2009" operator="equal" dxfId="6">
      <formula>"abonado"</formula>
    </cfRule>
    <cfRule type="cellIs" priority="2007" operator="equal" dxfId="6">
      <formula>"abonado"</formula>
    </cfRule>
  </conditionalFormatting>
  <conditionalFormatting sqref="AC1401:AE1401">
    <cfRule type="cellIs" priority="2005" operator="equal" dxfId="1">
      <formula>"pendiente"</formula>
    </cfRule>
    <cfRule type="containsText" priority="2006" operator="containsText" dxfId="0" text="pagado">
      <formula>NOT(ISERROR(SEARCH("pagado",AC1401)))</formula>
    </cfRule>
    <cfRule type="cellIs" priority="2003" operator="equal" dxfId="1">
      <formula>"pendiente"</formula>
    </cfRule>
    <cfRule type="containsText" priority="2004" operator="containsText" dxfId="0" text="pagado">
      <formula>NOT(ISERROR(SEARCH("pagado",AC1401)))</formula>
    </cfRule>
  </conditionalFormatting>
  <conditionalFormatting sqref="AC1403:AE1403 AG1403">
    <cfRule type="containsText" priority="2002" operator="containsText" dxfId="1" text="pendiente">
      <formula>NOT(ISERROR(SEARCH("pendiente",AC1403)))</formula>
    </cfRule>
    <cfRule type="containsText" priority="1990" operator="containsText" dxfId="1" text="pendiente">
      <formula>NOT(ISERROR(SEARCH("pendiente",AC1403)))</formula>
    </cfRule>
  </conditionalFormatting>
  <conditionalFormatting sqref="AC1403">
    <cfRule type="cellIs" priority="2001" operator="equal" dxfId="6">
      <formula>"abonado"</formula>
    </cfRule>
    <cfRule type="cellIs" priority="1999" operator="equal" dxfId="1">
      <formula>"pendiente"</formula>
    </cfRule>
    <cfRule type="containsText" priority="2000" operator="containsText" dxfId="0" text="pagado">
      <formula>NOT(ISERROR(SEARCH("pagado",AC1403)))</formula>
    </cfRule>
    <cfRule type="containsText" priority="1998" operator="containsText" dxfId="1" text="pendiente">
      <formula>NOT(ISERROR(SEARCH("pendiente",AC1403)))</formula>
    </cfRule>
    <cfRule type="cellIs" priority="1996" operator="equal" dxfId="1">
      <formula>"pendiente"</formula>
    </cfRule>
    <cfRule type="containsText" priority="1997" operator="containsText" dxfId="0" text="pagado">
      <formula>NOT(ISERROR(SEARCH("pagado",AC1403)))</formula>
    </cfRule>
    <cfRule type="cellIs" priority="1995" operator="equal" dxfId="6">
      <formula>"abonado"</formula>
    </cfRule>
    <cfRule type="containsText" priority="1994" operator="containsText" dxfId="1" text="pendiente">
      <formula>NOT(ISERROR(SEARCH("pendiente",AC1403)))</formula>
    </cfRule>
    <cfRule type="cellIs" priority="1992" operator="equal" dxfId="1">
      <formula>"pendiente"</formula>
    </cfRule>
    <cfRule type="containsText" priority="1993" operator="containsText" dxfId="0" text="pagado">
      <formula>NOT(ISERROR(SEARCH("pagado",AC1403)))</formula>
    </cfRule>
    <cfRule type="cellIs" priority="1991" operator="equal" dxfId="6">
      <formula>"abonado"</formula>
    </cfRule>
    <cfRule type="cellIs" priority="1989" operator="equal" dxfId="6">
      <formula>"abonado"</formula>
    </cfRule>
  </conditionalFormatting>
  <conditionalFormatting sqref="AC1403:AE1403">
    <cfRule type="cellIs" priority="1987" operator="equal" dxfId="1">
      <formula>"pendiente"</formula>
    </cfRule>
    <cfRule type="containsText" priority="1988" operator="containsText" dxfId="0" text="pagado">
      <formula>NOT(ISERROR(SEARCH("pagado",AC1403)))</formula>
    </cfRule>
    <cfRule type="cellIs" priority="1985" operator="equal" dxfId="1">
      <formula>"pendiente"</formula>
    </cfRule>
    <cfRule type="containsText" priority="1986" operator="containsText" dxfId="0" text="pagado">
      <formula>NOT(ISERROR(SEARCH("pagado",AC1403)))</formula>
    </cfRule>
  </conditionalFormatting>
  <conditionalFormatting sqref="AC1402:AE1402 AG1402">
    <cfRule type="containsText" priority="1984" operator="containsText" dxfId="1" text="pendiente">
      <formula>NOT(ISERROR(SEARCH("pendiente",AC1402)))</formula>
    </cfRule>
    <cfRule type="containsText" priority="1972" operator="containsText" dxfId="1" text="pendiente">
      <formula>NOT(ISERROR(SEARCH("pendiente",AC1402)))</formula>
    </cfRule>
  </conditionalFormatting>
  <conditionalFormatting sqref="AC1402">
    <cfRule type="cellIs" priority="1983" operator="equal" dxfId="6">
      <formula>"abonado"</formula>
    </cfRule>
    <cfRule type="cellIs" priority="1981" operator="equal" dxfId="1">
      <formula>"pendiente"</formula>
    </cfRule>
    <cfRule type="containsText" priority="1982" operator="containsText" dxfId="0" text="pagado">
      <formula>NOT(ISERROR(SEARCH("pagado",AC1402)))</formula>
    </cfRule>
    <cfRule type="containsText" priority="1980" operator="containsText" dxfId="1" text="pendiente">
      <formula>NOT(ISERROR(SEARCH("pendiente",AC1402)))</formula>
    </cfRule>
    <cfRule type="cellIs" priority="1978" operator="equal" dxfId="1">
      <formula>"pendiente"</formula>
    </cfRule>
    <cfRule type="containsText" priority="1979" operator="containsText" dxfId="0" text="pagado">
      <formula>NOT(ISERROR(SEARCH("pagado",AC1402)))</formula>
    </cfRule>
    <cfRule type="cellIs" priority="1977" operator="equal" dxfId="6">
      <formula>"abonado"</formula>
    </cfRule>
    <cfRule type="containsText" priority="1976" operator="containsText" dxfId="1" text="pendiente">
      <formula>NOT(ISERROR(SEARCH("pendiente",AC1402)))</formula>
    </cfRule>
    <cfRule type="cellIs" priority="1974" operator="equal" dxfId="1">
      <formula>"pendiente"</formula>
    </cfRule>
    <cfRule type="containsText" priority="1975" operator="containsText" dxfId="0" text="pagado">
      <formula>NOT(ISERROR(SEARCH("pagado",AC1402)))</formula>
    </cfRule>
    <cfRule type="cellIs" priority="1973" operator="equal" dxfId="6">
      <formula>"abonado"</formula>
    </cfRule>
    <cfRule type="cellIs" priority="1971" operator="equal" dxfId="6">
      <formula>"abonado"</formula>
    </cfRule>
  </conditionalFormatting>
  <conditionalFormatting sqref="AC1402:AE1402">
    <cfRule type="cellIs" priority="1969" operator="equal" dxfId="1">
      <formula>"pendiente"</formula>
    </cfRule>
    <cfRule type="containsText" priority="1970" operator="containsText" dxfId="0" text="pagado">
      <formula>NOT(ISERROR(SEARCH("pagado",AC1402)))</formula>
    </cfRule>
    <cfRule type="cellIs" priority="1967" operator="equal" dxfId="1">
      <formula>"pendiente"</formula>
    </cfRule>
    <cfRule type="containsText" priority="1968" operator="containsText" dxfId="0" text="pagado">
      <formula>NOT(ISERROR(SEARCH("pagado",AC1402)))</formula>
    </cfRule>
  </conditionalFormatting>
  <conditionalFormatting sqref="AC1404:AE1406 AG1404:AG1406">
    <cfRule type="containsText" priority="1966" operator="containsText" dxfId="1" text="pendiente">
      <formula>NOT(ISERROR(SEARCH("pendiente",AC1404)))</formula>
    </cfRule>
  </conditionalFormatting>
  <conditionalFormatting sqref="AC1404:AE1406">
    <cfRule type="cellIs" priority="1964" operator="equal" dxfId="1">
      <formula>"pendiente"</formula>
    </cfRule>
    <cfRule type="containsText" priority="1965" operator="containsText" dxfId="0" text="pagado">
      <formula>NOT(ISERROR(SEARCH("pagado",AC1404)))</formula>
    </cfRule>
  </conditionalFormatting>
  <conditionalFormatting sqref="AC1404:AC1406">
    <cfRule type="cellIs" priority="1963" operator="equal" dxfId="6">
      <formula>"abonado"</formula>
    </cfRule>
  </conditionalFormatting>
  <conditionalFormatting sqref="AC1407:AE1408 AG1407:AG1408">
    <cfRule type="containsText" priority="1962" operator="containsText" dxfId="1" text="pendiente">
      <formula>NOT(ISERROR(SEARCH("pendiente",AC1407)))</formula>
    </cfRule>
    <cfRule type="containsText" priority="1954" operator="containsText" dxfId="1" text="pendiente">
      <formula>NOT(ISERROR(SEARCH("pendiente",AC1407)))</formula>
    </cfRule>
  </conditionalFormatting>
  <conditionalFormatting sqref="AC1407:AC1409">
    <cfRule type="cellIs" priority="1961" operator="equal" dxfId="6">
      <formula>"abonado"</formula>
    </cfRule>
    <cfRule type="containsText" priority="1958" operator="containsText" dxfId="1" text="pendiente">
      <formula>NOT(ISERROR(SEARCH("pendiente",AC1407)))</formula>
    </cfRule>
    <cfRule type="cellIs" priority="1956" operator="equal" dxfId="1">
      <formula>"pendiente"</formula>
    </cfRule>
    <cfRule type="containsText" priority="1957" operator="containsText" dxfId="0" text="pagado">
      <formula>NOT(ISERROR(SEARCH("pagado",AC1407)))</formula>
    </cfRule>
    <cfRule type="cellIs" priority="1955" operator="equal" dxfId="6">
      <formula>"abonado"</formula>
    </cfRule>
    <cfRule type="cellIs" priority="1951" operator="equal" dxfId="6">
      <formula>"abonado"</formula>
    </cfRule>
    <cfRule type="containsText" priority="1950" operator="containsText" dxfId="1" text="pendiente">
      <formula>NOT(ISERROR(SEARCH("pendiente",AC1407)))</formula>
    </cfRule>
    <cfRule type="cellIs" priority="1948" operator="equal" dxfId="1">
      <formula>"pendiente"</formula>
    </cfRule>
    <cfRule type="containsText" priority="1949" operator="containsText" dxfId="0" text="pagado">
      <formula>NOT(ISERROR(SEARCH("pagado",AC1407)))</formula>
    </cfRule>
    <cfRule type="cellIs" priority="1947" operator="equal" dxfId="6">
      <formula>"abonado"</formula>
    </cfRule>
  </conditionalFormatting>
  <conditionalFormatting sqref="AC1407:AE1407">
    <cfRule type="cellIs" priority="1959" operator="equal" dxfId="1">
      <formula>"pendiente"</formula>
    </cfRule>
    <cfRule type="containsText" priority="1960" operator="containsText" dxfId="0" text="pagado">
      <formula>NOT(ISERROR(SEARCH("pagado",AC1407)))</formula>
    </cfRule>
    <cfRule type="cellIs" priority="1952" operator="equal" dxfId="1">
      <formula>"pendiente"</formula>
    </cfRule>
    <cfRule type="containsText" priority="1953" operator="containsText" dxfId="0" text="pagado">
      <formula>NOT(ISERROR(SEARCH("pagado",AC1407)))</formula>
    </cfRule>
  </conditionalFormatting>
  <conditionalFormatting sqref="AC1408:AE1408">
    <cfRule type="cellIs" priority="1945" operator="equal" dxfId="1">
      <formula>"pendiente"</formula>
    </cfRule>
    <cfRule type="containsText" priority="1946" operator="containsText" dxfId="0" text="pagado">
      <formula>NOT(ISERROR(SEARCH("pagado",AC1408)))</formula>
    </cfRule>
    <cfRule type="cellIs" priority="1943" operator="equal" dxfId="1">
      <formula>"pendiente"</formula>
    </cfRule>
    <cfRule type="containsText" priority="1944" operator="containsText" dxfId="0" text="pagado">
      <formula>NOT(ISERROR(SEARCH("pagado",AC1408)))</formula>
    </cfRule>
  </conditionalFormatting>
  <conditionalFormatting sqref="AE1409 AG1409">
    <cfRule type="containsText" priority="1942" operator="containsText" dxfId="1" text="pendiente">
      <formula>NOT(ISERROR(SEARCH("pendiente",AE1409)))</formula>
    </cfRule>
  </conditionalFormatting>
  <conditionalFormatting sqref="AE1409">
    <cfRule type="cellIs" priority="1939" operator="equal" dxfId="1">
      <formula>"pendiente"</formula>
    </cfRule>
    <cfRule type="containsText" priority="1940" operator="containsText" dxfId="0" text="pagado">
      <formula>NOT(ISERROR(SEARCH("pagado",AE1409)))</formula>
    </cfRule>
  </conditionalFormatting>
  <conditionalFormatting sqref="AC1409:AD1409">
    <cfRule type="containsText" priority="1938" operator="containsText" dxfId="1" text="pendiente">
      <formula>NOT(ISERROR(SEARCH("pendiente",AC1409)))</formula>
    </cfRule>
    <cfRule type="containsText" priority="1937" operator="containsText" dxfId="1" text="pendiente">
      <formula>NOT(ISERROR(SEARCH("pendiente",AC1409)))</formula>
    </cfRule>
    <cfRule type="cellIs" priority="1935" operator="equal" dxfId="1">
      <formula>"pendiente"</formula>
    </cfRule>
    <cfRule type="containsText" priority="1936" operator="containsText" dxfId="0" text="pagado">
      <formula>NOT(ISERROR(SEARCH("pagado",AC1409)))</formula>
    </cfRule>
    <cfRule type="cellIs" priority="1933" operator="equal" dxfId="1">
      <formula>"pendiente"</formula>
    </cfRule>
    <cfRule type="containsText" priority="1934" operator="containsText" dxfId="0" text="pagado">
      <formula>NOT(ISERROR(SEARCH("pagado",AC1409)))</formula>
    </cfRule>
  </conditionalFormatting>
  <conditionalFormatting sqref="AC734:AE735">
    <cfRule type="cellIs" priority="1915" operator="equal" dxfId="1">
      <formula>"pendiente"</formula>
    </cfRule>
    <cfRule type="containsText" priority="1916" operator="containsText" dxfId="0" text="pagado">
      <formula>NOT(ISERROR(SEARCH("pagado",AC734)))</formula>
    </cfRule>
    <cfRule type="cellIs" priority="1913" operator="equal" dxfId="1">
      <formula>"pendiente"</formula>
    </cfRule>
    <cfRule type="containsText" priority="1914" operator="containsText" dxfId="0" text="pagado">
      <formula>NOT(ISERROR(SEARCH("pagado",AC734)))</formula>
    </cfRule>
  </conditionalFormatting>
  <conditionalFormatting sqref="AC736">
    <cfRule type="containsText" priority="1893" operator="containsText" dxfId="1" text="pendiente">
      <formula>NOT(ISERROR(SEARCH("pendiente",AC736)))</formula>
    </cfRule>
    <cfRule type="cellIs" priority="1891" operator="equal" dxfId="1">
      <formula>"pendiente"</formula>
    </cfRule>
    <cfRule type="containsText" priority="1892" operator="containsText" dxfId="0" text="pagado">
      <formula>NOT(ISERROR(SEARCH("pagado",AC736)))</formula>
    </cfRule>
  </conditionalFormatting>
  <conditionalFormatting sqref="AD736:AE736 AG736">
    <cfRule type="containsText" priority="1890" operator="containsText" dxfId="1" text="pendiente">
      <formula>NOT(ISERROR(SEARCH("pendiente",AD736)))</formula>
    </cfRule>
  </conditionalFormatting>
  <conditionalFormatting sqref="AD736:AE736">
    <cfRule type="cellIs" priority="1888" operator="equal" dxfId="1">
      <formula>"pendiente"</formula>
    </cfRule>
    <cfRule type="containsText" priority="1889" operator="containsText" dxfId="0" text="pagado">
      <formula>NOT(ISERROR(SEARCH("pagado",AD736)))</formula>
    </cfRule>
  </conditionalFormatting>
  <conditionalFormatting sqref="AD737:AE737">
    <cfRule type="cellIs" priority="1882" operator="equal" dxfId="1">
      <formula>"pendiente"</formula>
    </cfRule>
    <cfRule type="containsText" priority="1883" operator="containsText" dxfId="0" text="pagado">
      <formula>NOT(ISERROR(SEARCH("pagado",AD737)))</formula>
    </cfRule>
  </conditionalFormatting>
  <conditionalFormatting sqref="AD738:AE738">
    <cfRule type="cellIs" priority="1880" operator="equal" dxfId="1">
      <formula>"pendiente"</formula>
    </cfRule>
    <cfRule type="containsText" priority="1881" operator="containsText" dxfId="0" text="pagado">
      <formula>NOT(ISERROR(SEARCH("pagado",AD738)))</formula>
    </cfRule>
  </conditionalFormatting>
  <conditionalFormatting sqref="AC743:AE761 AG743:AG761">
    <cfRule type="containsText" priority="1877" operator="containsText" dxfId="1" text="pendiente">
      <formula>NOT(ISERROR(SEARCH("pendiente",AC743)))</formula>
    </cfRule>
  </conditionalFormatting>
  <conditionalFormatting sqref="AC743:AE761">
    <cfRule type="cellIs" priority="1875" operator="equal" dxfId="1">
      <formula>"pendiente"</formula>
    </cfRule>
    <cfRule type="containsText" priority="1876" operator="containsText" dxfId="0" text="pagado">
      <formula>NOT(ISERROR(SEARCH("pagado",AC743)))</formula>
    </cfRule>
  </conditionalFormatting>
  <conditionalFormatting sqref="AC803:AE805 AG803:AG805">
    <cfRule type="containsText" priority="1874" operator="containsText" dxfId="1" text="pendiente">
      <formula>NOT(ISERROR(SEARCH("pendiente",AC803)))</formula>
    </cfRule>
  </conditionalFormatting>
  <conditionalFormatting sqref="AC803:AE805">
    <cfRule type="cellIs" priority="1872" operator="equal" dxfId="1">
      <formula>"pendiente"</formula>
    </cfRule>
    <cfRule type="containsText" priority="1873" operator="containsText" dxfId="0" text="pagado">
      <formula>NOT(ISERROR(SEARCH("pagado",AC803)))</formula>
    </cfRule>
  </conditionalFormatting>
  <conditionalFormatting sqref="AC803:AC805">
    <cfRule type="cellIs" priority="1871" operator="equal" dxfId="6">
      <formula>"abonado"</formula>
    </cfRule>
  </conditionalFormatting>
  <conditionalFormatting sqref="AC766:AE778">
    <cfRule type="cellIs" priority="1867" operator="equal" dxfId="1">
      <formula>"pendiente"</formula>
    </cfRule>
    <cfRule type="containsText" priority="1868" operator="containsText" dxfId="0" text="pagado">
      <formula>NOT(ISERROR(SEARCH("pagado",AC766)))</formula>
    </cfRule>
  </conditionalFormatting>
  <conditionalFormatting sqref="AC766:AE766 AG766">
    <cfRule type="containsText" priority="1866" operator="containsText" dxfId="1" text="pendiente">
      <formula>NOT(ISERROR(SEARCH("pendiente",AC766)))</formula>
    </cfRule>
  </conditionalFormatting>
  <conditionalFormatting sqref="AC766:AE766">
    <cfRule type="cellIs" priority="1864" operator="equal" dxfId="1">
      <formula>"pendiente"</formula>
    </cfRule>
    <cfRule type="containsText" priority="1865" operator="containsText" dxfId="0" text="pagado">
      <formula>NOT(ISERROR(SEARCH("pagado",AC766)))</formula>
    </cfRule>
  </conditionalFormatting>
  <conditionalFormatting sqref="AC766:AC767">
    <cfRule type="cellIs" priority="1863" operator="equal" dxfId="6">
      <formula>"abonado"</formula>
    </cfRule>
  </conditionalFormatting>
  <conditionalFormatting sqref="AC767:AE767 AG767">
    <cfRule type="containsText" priority="1862" operator="containsText" dxfId="1" text="pendiente">
      <formula>NOT(ISERROR(SEARCH("pendiente",AC767)))</formula>
    </cfRule>
  </conditionalFormatting>
  <conditionalFormatting sqref="AC767:AE767">
    <cfRule type="cellIs" priority="1860" operator="equal" dxfId="1">
      <formula>"pendiente"</formula>
    </cfRule>
    <cfRule type="containsText" priority="1861" operator="containsText" dxfId="0" text="pagado">
      <formula>NOT(ISERROR(SEARCH("pagado",AC767)))</formula>
    </cfRule>
  </conditionalFormatting>
  <conditionalFormatting sqref="AC768:AE768 AG768">
    <cfRule type="containsText" priority="1858" operator="containsText" dxfId="1" text="pendiente">
      <formula>NOT(ISERROR(SEARCH("pendiente",AC768)))</formula>
    </cfRule>
  </conditionalFormatting>
  <conditionalFormatting sqref="AC768:AE768">
    <cfRule type="cellIs" priority="1856" operator="equal" dxfId="1">
      <formula>"pendiente"</formula>
    </cfRule>
    <cfRule type="containsText" priority="1857" operator="containsText" dxfId="0" text="pagado">
      <formula>NOT(ISERROR(SEARCH("pagado",AC768)))</formula>
    </cfRule>
  </conditionalFormatting>
  <conditionalFormatting sqref="AC768">
    <cfRule type="cellIs" priority="1855" operator="equal" dxfId="6">
      <formula>"abonado"</formula>
    </cfRule>
  </conditionalFormatting>
  <conditionalFormatting sqref="AC769:AE769 AG769">
    <cfRule type="containsText" priority="1854" operator="containsText" dxfId="1" text="pendiente">
      <formula>NOT(ISERROR(SEARCH("pendiente",AC769)))</formula>
    </cfRule>
  </conditionalFormatting>
  <conditionalFormatting sqref="AC769:AE769">
    <cfRule type="cellIs" priority="1852" operator="equal" dxfId="1">
      <formula>"pendiente"</formula>
    </cfRule>
    <cfRule type="containsText" priority="1853" operator="containsText" dxfId="0" text="pagado">
      <formula>NOT(ISERROR(SEARCH("pagado",AC769)))</formula>
    </cfRule>
  </conditionalFormatting>
  <conditionalFormatting sqref="AC769">
    <cfRule type="cellIs" priority="1851" operator="equal" dxfId="6">
      <formula>"abonado"</formula>
    </cfRule>
  </conditionalFormatting>
  <conditionalFormatting sqref="AC770:AE770 AG770">
    <cfRule type="containsText" priority="1850" operator="containsText" dxfId="1" text="pendiente">
      <formula>NOT(ISERROR(SEARCH("pendiente",AC770)))</formula>
    </cfRule>
  </conditionalFormatting>
  <conditionalFormatting sqref="AC770:AE770">
    <cfRule type="cellIs" priority="1848" operator="equal" dxfId="1">
      <formula>"pendiente"</formula>
    </cfRule>
    <cfRule type="containsText" priority="1849" operator="containsText" dxfId="0" text="pagado">
      <formula>NOT(ISERROR(SEARCH("pagado",AC770)))</formula>
    </cfRule>
  </conditionalFormatting>
  <conditionalFormatting sqref="AC770">
    <cfRule type="cellIs" priority="1847" operator="equal" dxfId="6">
      <formula>"abonado"</formula>
    </cfRule>
  </conditionalFormatting>
  <conditionalFormatting sqref="AC771:AE771 AG771">
    <cfRule type="containsText" priority="1846" operator="containsText" dxfId="1" text="pendiente">
      <formula>NOT(ISERROR(SEARCH("pendiente",AC771)))</formula>
    </cfRule>
  </conditionalFormatting>
  <conditionalFormatting sqref="AC771:AE771">
    <cfRule type="cellIs" priority="1844" operator="equal" dxfId="1">
      <formula>"pendiente"</formula>
    </cfRule>
    <cfRule type="containsText" priority="1845" operator="containsText" dxfId="0" text="pagado">
      <formula>NOT(ISERROR(SEARCH("pagado",AC771)))</formula>
    </cfRule>
  </conditionalFormatting>
  <conditionalFormatting sqref="AC771">
    <cfRule type="cellIs" priority="1843" operator="equal" dxfId="6">
      <formula>"abonado"</formula>
    </cfRule>
  </conditionalFormatting>
  <conditionalFormatting sqref="AC766:AC771 AC772:AE773 AG772:AG773">
    <cfRule type="containsText" priority="1842" operator="containsText" dxfId="1" text="pendiente">
      <formula>NOT(ISERROR(SEARCH("pendiente",AC766)))</formula>
    </cfRule>
  </conditionalFormatting>
  <conditionalFormatting sqref="AC766:AC771 AC772:AE773">
    <cfRule type="cellIs" priority="1840" operator="equal" dxfId="1">
      <formula>"pendiente"</formula>
    </cfRule>
    <cfRule type="containsText" priority="1841" operator="containsText" dxfId="0" text="pagado">
      <formula>NOT(ISERROR(SEARCH("pagado",AC766)))</formula>
    </cfRule>
  </conditionalFormatting>
  <conditionalFormatting sqref="AC774:AE774 AG774">
    <cfRule type="containsText" priority="1838" operator="containsText" dxfId="1" text="pendiente">
      <formula>NOT(ISERROR(SEARCH("pendiente",AC774)))</formula>
    </cfRule>
  </conditionalFormatting>
  <conditionalFormatting sqref="AC774:AE774">
    <cfRule type="cellIs" priority="1836" operator="equal" dxfId="1">
      <formula>"pendiente"</formula>
    </cfRule>
    <cfRule type="containsText" priority="1837" operator="containsText" dxfId="0" text="pagado">
      <formula>NOT(ISERROR(SEARCH("pagado",AC774)))</formula>
    </cfRule>
  </conditionalFormatting>
  <conditionalFormatting sqref="AC774">
    <cfRule type="cellIs" priority="1835" operator="equal" dxfId="6">
      <formula>"abonado"</formula>
    </cfRule>
  </conditionalFormatting>
  <conditionalFormatting sqref="AC775:AE775 AG775">
    <cfRule type="containsText" priority="1834" operator="containsText" dxfId="1" text="pendiente">
      <formula>NOT(ISERROR(SEARCH("pendiente",AC775)))</formula>
    </cfRule>
  </conditionalFormatting>
  <conditionalFormatting sqref="AC775:AE775">
    <cfRule type="cellIs" priority="1832" operator="equal" dxfId="1">
      <formula>"pendiente"</formula>
    </cfRule>
    <cfRule type="containsText" priority="1833" operator="containsText" dxfId="0" text="pagado">
      <formula>NOT(ISERROR(SEARCH("pagado",AC775)))</formula>
    </cfRule>
  </conditionalFormatting>
  <conditionalFormatting sqref="AC775">
    <cfRule type="cellIs" priority="1831" operator="equal" dxfId="6">
      <formula>"abonado"</formula>
    </cfRule>
  </conditionalFormatting>
  <conditionalFormatting sqref="AC776:AE776">
    <cfRule type="cellIs" priority="1828" operator="equal" dxfId="1">
      <formula>"pendiente"</formula>
    </cfRule>
    <cfRule type="containsText" priority="1829" operator="containsText" dxfId="0" text="pagado">
      <formula>NOT(ISERROR(SEARCH("pagado",AC776)))</formula>
    </cfRule>
  </conditionalFormatting>
  <conditionalFormatting sqref="AC777:AE777">
    <cfRule type="cellIs" priority="1825" operator="equal" dxfId="1">
      <formula>"pendiente"</formula>
    </cfRule>
    <cfRule type="containsText" priority="1826" operator="containsText" dxfId="0" text="pagado">
      <formula>NOT(ISERROR(SEARCH("pagado",AC777)))</formula>
    </cfRule>
  </conditionalFormatting>
  <conditionalFormatting sqref="AC778:AE778">
    <cfRule type="cellIs" priority="1823" operator="equal" dxfId="1">
      <formula>"pendiente"</formula>
    </cfRule>
    <cfRule type="containsText" priority="1824" operator="containsText" dxfId="0" text="pagado">
      <formula>NOT(ISERROR(SEARCH("pagado",AC778)))</formula>
    </cfRule>
  </conditionalFormatting>
  <conditionalFormatting sqref="AC779:AE779">
    <cfRule type="cellIs" priority="1821" operator="equal" dxfId="1">
      <formula>"pendiente"</formula>
    </cfRule>
    <cfRule type="containsText" priority="1822" operator="containsText" dxfId="0" text="pagado">
      <formula>NOT(ISERROR(SEARCH("pagado",AC779)))</formula>
    </cfRule>
    <cfRule type="cellIs" priority="1819" operator="equal" dxfId="1">
      <formula>"pendiente"</formula>
    </cfRule>
    <cfRule type="containsText" priority="1820" operator="containsText" dxfId="0" text="pagado">
      <formula>NOT(ISERROR(SEARCH("pagado",AC779)))</formula>
    </cfRule>
  </conditionalFormatting>
  <conditionalFormatting sqref="AC780:AE780">
    <cfRule type="cellIs" priority="1817" operator="equal" dxfId="1">
      <formula>"pendiente"</formula>
    </cfRule>
    <cfRule type="containsText" priority="1818" operator="containsText" dxfId="0" text="pagado">
      <formula>NOT(ISERROR(SEARCH("pagado",AC780)))</formula>
    </cfRule>
    <cfRule type="cellIs" priority="1815" operator="equal" dxfId="1">
      <formula>"pendiente"</formula>
    </cfRule>
    <cfRule type="containsText" priority="1816" operator="containsText" dxfId="0" text="pagado">
      <formula>NOT(ISERROR(SEARCH("pagado",AC780)))</formula>
    </cfRule>
  </conditionalFormatting>
  <conditionalFormatting sqref="AC781:AE785">
    <cfRule type="cellIs" priority="1813" operator="equal" dxfId="1">
      <formula>"pendiente"</formula>
    </cfRule>
    <cfRule type="containsText" priority="1814" operator="containsText" dxfId="0" text="pagado">
      <formula>NOT(ISERROR(SEARCH("pagado",AC781)))</formula>
    </cfRule>
    <cfRule type="cellIs" priority="1811" operator="equal" dxfId="1">
      <formula>"pendiente"</formula>
    </cfRule>
    <cfRule type="containsText" priority="1812" operator="containsText" dxfId="0" text="pagado">
      <formula>NOT(ISERROR(SEARCH("pagado",AC781)))</formula>
    </cfRule>
  </conditionalFormatting>
  <conditionalFormatting sqref="AC767">
    <cfRule type="containsText" priority="1806" operator="containsText" dxfId="1" text="pendiente">
      <formula>NOT(ISERROR(SEARCH("pendiente",AC767)))</formula>
    </cfRule>
    <cfRule type="cellIs" priority="1804" operator="equal" dxfId="1">
      <formula>"pendiente"</formula>
    </cfRule>
    <cfRule type="containsText" priority="1805" operator="containsText" dxfId="0" text="pagado">
      <formula>NOT(ISERROR(SEARCH("pagado",AC767)))</formula>
    </cfRule>
  </conditionalFormatting>
  <conditionalFormatting sqref="AC800:AE800">
    <cfRule type="cellIs" priority="1802" operator="equal" dxfId="1">
      <formula>"pendiente"</formula>
    </cfRule>
    <cfRule type="containsText" priority="1803" operator="containsText" dxfId="0" text="pagado">
      <formula>NOT(ISERROR(SEARCH("pagado",AC800)))</formula>
    </cfRule>
    <cfRule type="cellIs" priority="1800" operator="equal" dxfId="1">
      <formula>"pendiente"</formula>
    </cfRule>
    <cfRule type="containsText" priority="1801" operator="containsText" dxfId="0" text="pagado">
      <formula>NOT(ISERROR(SEARCH("pagado",AC800)))</formula>
    </cfRule>
  </conditionalFormatting>
  <conditionalFormatting sqref="AC801:AE801 AC803:AE805">
    <cfRule type="cellIs" priority="1798" operator="equal" dxfId="1">
      <formula>"pendiente"</formula>
    </cfRule>
    <cfRule type="containsText" priority="1799" operator="containsText" dxfId="0" text="pagado">
      <formula>NOT(ISERROR(SEARCH("pagado",AC801)))</formula>
    </cfRule>
    <cfRule type="cellIs" priority="1796" operator="equal" dxfId="1">
      <formula>"pendiente"</formula>
    </cfRule>
    <cfRule type="containsText" priority="1797" operator="containsText" dxfId="0" text="pagado">
      <formula>NOT(ISERROR(SEARCH("pagado",AC801)))</formula>
    </cfRule>
  </conditionalFormatting>
  <conditionalFormatting sqref="AC807:AE807 AG807">
    <cfRule type="containsText" priority="1782" operator="containsText" dxfId="1" text="pendiente">
      <formula>NOT(ISERROR(SEARCH("pendiente",AC807)))</formula>
    </cfRule>
    <cfRule type="containsText" priority="1776" operator="containsText" dxfId="1" text="pendiente">
      <formula>NOT(ISERROR(SEARCH("pendiente",AC807)))</formula>
    </cfRule>
  </conditionalFormatting>
  <conditionalFormatting sqref="AC807">
    <cfRule type="cellIs" priority="1781" operator="equal" dxfId="6">
      <formula>"abonado"</formula>
    </cfRule>
    <cfRule type="containsText" priority="1780" operator="containsText" dxfId="1" text="pendiente">
      <formula>NOT(ISERROR(SEARCH("pendiente",AC807)))</formula>
    </cfRule>
    <cfRule type="cellIs" priority="1778" operator="equal" dxfId="1">
      <formula>"pendiente"</formula>
    </cfRule>
    <cfRule type="containsText" priority="1779" operator="containsText" dxfId="0" text="pagado">
      <formula>NOT(ISERROR(SEARCH("pagado",AC807)))</formula>
    </cfRule>
    <cfRule type="cellIs" priority="1777" operator="equal" dxfId="6">
      <formula>"abonado"</formula>
    </cfRule>
    <cfRule type="cellIs" priority="1775" operator="equal" dxfId="6">
      <formula>"abonado"</formula>
    </cfRule>
    <cfRule type="containsText" priority="1774" operator="containsText" dxfId="1" text="pendiente">
      <formula>NOT(ISERROR(SEARCH("pendiente",AC807)))</formula>
    </cfRule>
    <cfRule type="cellIs" priority="1772" operator="equal" dxfId="1">
      <formula>"pendiente"</formula>
    </cfRule>
    <cfRule type="containsText" priority="1773" operator="containsText" dxfId="0" text="pagado">
      <formula>NOT(ISERROR(SEARCH("pagado",AC807)))</formula>
    </cfRule>
    <cfRule type="cellIs" priority="1771" operator="equal" dxfId="6">
      <formula>"abonado"</formula>
    </cfRule>
  </conditionalFormatting>
  <conditionalFormatting sqref="AC807:AE807">
    <cfRule type="cellIs" priority="1769" operator="equal" dxfId="1">
      <formula>"pendiente"</formula>
    </cfRule>
    <cfRule type="containsText" priority="1770" operator="containsText" dxfId="0" text="pagado">
      <formula>NOT(ISERROR(SEARCH("pagado",AC807)))</formula>
    </cfRule>
    <cfRule type="cellIs" priority="1767" operator="equal" dxfId="1">
      <formula>"pendiente"</formula>
    </cfRule>
    <cfRule type="containsText" priority="1768" operator="containsText" dxfId="0" text="pagado">
      <formula>NOT(ISERROR(SEARCH("pagado",AC807)))</formula>
    </cfRule>
  </conditionalFormatting>
  <conditionalFormatting sqref="AD808:AE808">
    <cfRule type="cellIs" priority="1765" operator="equal" dxfId="1">
      <formula>"pendiente"</formula>
    </cfRule>
    <cfRule type="containsText" priority="1766" operator="containsText" dxfId="0" text="pagado">
      <formula>NOT(ISERROR(SEARCH("pagado",AD808)))</formula>
    </cfRule>
  </conditionalFormatting>
  <conditionalFormatting sqref="AC811:AE849">
    <cfRule type="cellIs" priority="1763" operator="equal" dxfId="1">
      <formula>"pendiente"</formula>
    </cfRule>
    <cfRule type="containsText" priority="1764" operator="containsText" dxfId="0" text="pagado">
      <formula>NOT(ISERROR(SEARCH("pagado",AC811)))</formula>
    </cfRule>
  </conditionalFormatting>
  <conditionalFormatting sqref="AC850">
    <cfRule type="containsText" priority="1762" operator="containsText" dxfId="1" text="pendiente">
      <formula>NOT(ISERROR(SEARCH("pendiente",AC850)))</formula>
    </cfRule>
    <cfRule type="cellIs" priority="1760" operator="equal" dxfId="1">
      <formula>"pendiente"</formula>
    </cfRule>
    <cfRule type="containsText" priority="1761" operator="containsText" dxfId="0" text="pagado">
      <formula>NOT(ISERROR(SEARCH("pagado",AC850)))</formula>
    </cfRule>
  </conditionalFormatting>
  <conditionalFormatting sqref="AD850:AE850 AG850">
    <cfRule type="containsText" priority="1759" operator="containsText" dxfId="1" text="pendiente">
      <formula>NOT(ISERROR(SEARCH("pendiente",AD850)))</formula>
    </cfRule>
  </conditionalFormatting>
  <conditionalFormatting sqref="AD850:AE850">
    <cfRule type="cellIs" priority="1757" operator="equal" dxfId="1">
      <formula>"pendiente"</formula>
    </cfRule>
    <cfRule type="containsText" priority="1758" operator="containsText" dxfId="0" text="pagado">
      <formula>NOT(ISERROR(SEARCH("pagado",AD850)))</formula>
    </cfRule>
  </conditionalFormatting>
  <conditionalFormatting sqref="AC851">
    <cfRule type="containsText" priority="1756" operator="containsText" dxfId="1" text="pendiente">
      <formula>NOT(ISERROR(SEARCH("pendiente",AC851)))</formula>
    </cfRule>
    <cfRule type="cellIs" priority="1754" operator="equal" dxfId="1">
      <formula>"pendiente"</formula>
    </cfRule>
    <cfRule type="containsText" priority="1755" operator="containsText" dxfId="0" text="pagado">
      <formula>NOT(ISERROR(SEARCH("pagado",AC851)))</formula>
    </cfRule>
  </conditionalFormatting>
  <conditionalFormatting sqref="AD851:AE851 AG851">
    <cfRule type="containsText" priority="1753" operator="containsText" dxfId="1" text="pendiente">
      <formula>NOT(ISERROR(SEARCH("pendiente",AD851)))</formula>
    </cfRule>
  </conditionalFormatting>
  <conditionalFormatting sqref="AD851:AE851">
    <cfRule type="cellIs" priority="1751" operator="equal" dxfId="1">
      <formula>"pendiente"</formula>
    </cfRule>
    <cfRule type="containsText" priority="1752" operator="containsText" dxfId="0" text="pagado">
      <formula>NOT(ISERROR(SEARCH("pagado",AD851)))</formula>
    </cfRule>
  </conditionalFormatting>
  <conditionalFormatting sqref="AC867:AE879">
    <cfRule type="cellIs" priority="1722" operator="equal" dxfId="1">
      <formula>"pendiente"</formula>
    </cfRule>
    <cfRule type="containsText" priority="1723" operator="containsText" dxfId="0" text="pagado">
      <formula>NOT(ISERROR(SEARCH("pagado",AC867)))</formula>
    </cfRule>
  </conditionalFormatting>
  <conditionalFormatting sqref="AC867:AE867 AG867">
    <cfRule type="containsText" priority="1721" operator="containsText" dxfId="1" text="pendiente">
      <formula>NOT(ISERROR(SEARCH("pendiente",AC867)))</formula>
    </cfRule>
  </conditionalFormatting>
  <conditionalFormatting sqref="AC867:AE867">
    <cfRule type="cellIs" priority="1719" operator="equal" dxfId="1">
      <formula>"pendiente"</formula>
    </cfRule>
    <cfRule type="containsText" priority="1720" operator="containsText" dxfId="0" text="pagado">
      <formula>NOT(ISERROR(SEARCH("pagado",AC867)))</formula>
    </cfRule>
  </conditionalFormatting>
  <conditionalFormatting sqref="AC867:AC868">
    <cfRule type="cellIs" priority="1718" operator="equal" dxfId="6">
      <formula>"abonado"</formula>
    </cfRule>
  </conditionalFormatting>
  <conditionalFormatting sqref="AC868:AE868 AG868">
    <cfRule type="containsText" priority="1717" operator="containsText" dxfId="1" text="pendiente">
      <formula>NOT(ISERROR(SEARCH("pendiente",AC868)))</formula>
    </cfRule>
  </conditionalFormatting>
  <conditionalFormatting sqref="AC868:AE868">
    <cfRule type="cellIs" priority="1715" operator="equal" dxfId="1">
      <formula>"pendiente"</formula>
    </cfRule>
    <cfRule type="containsText" priority="1716" operator="containsText" dxfId="0" text="pagado">
      <formula>NOT(ISERROR(SEARCH("pagado",AC868)))</formula>
    </cfRule>
  </conditionalFormatting>
  <conditionalFormatting sqref="AC869:AE869 AG869">
    <cfRule type="containsText" priority="1714" operator="containsText" dxfId="1" text="pendiente">
      <formula>NOT(ISERROR(SEARCH("pendiente",AC869)))</formula>
    </cfRule>
  </conditionalFormatting>
  <conditionalFormatting sqref="AC869:AE869">
    <cfRule type="cellIs" priority="1712" operator="equal" dxfId="1">
      <formula>"pendiente"</formula>
    </cfRule>
    <cfRule type="containsText" priority="1713" operator="containsText" dxfId="0" text="pagado">
      <formula>NOT(ISERROR(SEARCH("pagado",AC869)))</formula>
    </cfRule>
  </conditionalFormatting>
  <conditionalFormatting sqref="AC869">
    <cfRule type="cellIs" priority="1711" operator="equal" dxfId="6">
      <formula>"abonado"</formula>
    </cfRule>
  </conditionalFormatting>
  <conditionalFormatting sqref="AC870:AE870 AG870">
    <cfRule type="containsText" priority="1710" operator="containsText" dxfId="1" text="pendiente">
      <formula>NOT(ISERROR(SEARCH("pendiente",AC870)))</formula>
    </cfRule>
  </conditionalFormatting>
  <conditionalFormatting sqref="AC870:AE870">
    <cfRule type="cellIs" priority="1708" operator="equal" dxfId="1">
      <formula>"pendiente"</formula>
    </cfRule>
    <cfRule type="containsText" priority="1709" operator="containsText" dxfId="0" text="pagado">
      <formula>NOT(ISERROR(SEARCH("pagado",AC870)))</formula>
    </cfRule>
  </conditionalFormatting>
  <conditionalFormatting sqref="AC871:AE871 AG871">
    <cfRule type="containsText" priority="1706" operator="containsText" dxfId="1" text="pendiente">
      <formula>NOT(ISERROR(SEARCH("pendiente",AC871)))</formula>
    </cfRule>
  </conditionalFormatting>
  <conditionalFormatting sqref="AC871:AE871">
    <cfRule type="cellIs" priority="1704" operator="equal" dxfId="1">
      <formula>"pendiente"</formula>
    </cfRule>
    <cfRule type="containsText" priority="1705" operator="containsText" dxfId="0" text="pagado">
      <formula>NOT(ISERROR(SEARCH("pagado",AC871)))</formula>
    </cfRule>
  </conditionalFormatting>
  <conditionalFormatting sqref="AC871">
    <cfRule type="cellIs" priority="1703" operator="equal" dxfId="6">
      <formula>"abonado"</formula>
    </cfRule>
  </conditionalFormatting>
  <conditionalFormatting sqref="AC872:AE872 AG872">
    <cfRule type="containsText" priority="1702" operator="containsText" dxfId="1" text="pendiente">
      <formula>NOT(ISERROR(SEARCH("pendiente",AC872)))</formula>
    </cfRule>
  </conditionalFormatting>
  <conditionalFormatting sqref="AC872:AE872">
    <cfRule type="cellIs" priority="1700" operator="equal" dxfId="1">
      <formula>"pendiente"</formula>
    </cfRule>
    <cfRule type="containsText" priority="1701" operator="containsText" dxfId="0" text="pagado">
      <formula>NOT(ISERROR(SEARCH("pagado",AC872)))</formula>
    </cfRule>
  </conditionalFormatting>
  <conditionalFormatting sqref="AC872">
    <cfRule type="cellIs" priority="1699" operator="equal" dxfId="6">
      <formula>"abonado"</formula>
    </cfRule>
  </conditionalFormatting>
  <conditionalFormatting sqref="AC873:AE874 AG873:AG874">
    <cfRule type="containsText" priority="1698" operator="containsText" dxfId="1" text="pendiente">
      <formula>NOT(ISERROR(SEARCH("pendiente",AC873)))</formula>
    </cfRule>
  </conditionalFormatting>
  <conditionalFormatting sqref="AC873:AE874">
    <cfRule type="cellIs" priority="1696" operator="equal" dxfId="1">
      <formula>"pendiente"</formula>
    </cfRule>
    <cfRule type="containsText" priority="1697" operator="containsText" dxfId="0" text="pagado">
      <formula>NOT(ISERROR(SEARCH("pagado",AC873)))</formula>
    </cfRule>
  </conditionalFormatting>
  <conditionalFormatting sqref="AC875:AE875 AG875">
    <cfRule type="containsText" priority="1695" operator="containsText" dxfId="1" text="pendiente">
      <formula>NOT(ISERROR(SEARCH("pendiente",AC875)))</formula>
    </cfRule>
  </conditionalFormatting>
  <conditionalFormatting sqref="AC875:AE875">
    <cfRule type="cellIs" priority="1693" operator="equal" dxfId="1">
      <formula>"pendiente"</formula>
    </cfRule>
    <cfRule type="containsText" priority="1694" operator="containsText" dxfId="0" text="pagado">
      <formula>NOT(ISERROR(SEARCH("pagado",AC875)))</formula>
    </cfRule>
  </conditionalFormatting>
  <conditionalFormatting sqref="AC875">
    <cfRule type="cellIs" priority="1692" operator="equal" dxfId="6">
      <formula>"abonado"</formula>
    </cfRule>
  </conditionalFormatting>
  <conditionalFormatting sqref="AC876:AE876 AG876">
    <cfRule type="containsText" priority="1691" operator="containsText" dxfId="1" text="pendiente">
      <formula>NOT(ISERROR(SEARCH("pendiente",AC876)))</formula>
    </cfRule>
  </conditionalFormatting>
  <conditionalFormatting sqref="AC876:AE876">
    <cfRule type="cellIs" priority="1689" operator="equal" dxfId="1">
      <formula>"pendiente"</formula>
    </cfRule>
    <cfRule type="containsText" priority="1690" operator="containsText" dxfId="0" text="pagado">
      <formula>NOT(ISERROR(SEARCH("pagado",AC876)))</formula>
    </cfRule>
  </conditionalFormatting>
  <conditionalFormatting sqref="AC876">
    <cfRule type="cellIs" priority="1688" operator="equal" dxfId="6">
      <formula>"abonado"</formula>
    </cfRule>
  </conditionalFormatting>
  <conditionalFormatting sqref="AC877:AE877">
    <cfRule type="cellIs" priority="1686" operator="equal" dxfId="1">
      <formula>"pendiente"</formula>
    </cfRule>
    <cfRule type="containsText" priority="1687" operator="containsText" dxfId="0" text="pagado">
      <formula>NOT(ISERROR(SEARCH("pagado",AC877)))</formula>
    </cfRule>
  </conditionalFormatting>
  <conditionalFormatting sqref="AC878:AE878">
    <cfRule type="cellIs" priority="1684" operator="equal" dxfId="1">
      <formula>"pendiente"</formula>
    </cfRule>
    <cfRule type="containsText" priority="1685" operator="containsText" dxfId="0" text="pagado">
      <formula>NOT(ISERROR(SEARCH("pagado",AC878)))</formula>
    </cfRule>
  </conditionalFormatting>
  <conditionalFormatting sqref="AC879:AE879">
    <cfRule type="cellIs" priority="1682" operator="equal" dxfId="1">
      <formula>"pendiente"</formula>
    </cfRule>
    <cfRule type="containsText" priority="1683" operator="containsText" dxfId="0" text="pagado">
      <formula>NOT(ISERROR(SEARCH("pagado",AC879)))</formula>
    </cfRule>
  </conditionalFormatting>
  <conditionalFormatting sqref="AC880:AE880">
    <cfRule type="cellIs" priority="1680" operator="equal" dxfId="1">
      <formula>"pendiente"</formula>
    </cfRule>
    <cfRule type="containsText" priority="1681" operator="containsText" dxfId="0" text="pagado">
      <formula>NOT(ISERROR(SEARCH("pagado",AC880)))</formula>
    </cfRule>
    <cfRule type="cellIs" priority="1678" operator="equal" dxfId="1">
      <formula>"pendiente"</formula>
    </cfRule>
    <cfRule type="containsText" priority="1679" operator="containsText" dxfId="0" text="pagado">
      <formula>NOT(ISERROR(SEARCH("pagado",AC880)))</formula>
    </cfRule>
  </conditionalFormatting>
  <conditionalFormatting sqref="AC881:AE881">
    <cfRule type="cellIs" priority="1676" operator="equal" dxfId="1">
      <formula>"pendiente"</formula>
    </cfRule>
    <cfRule type="containsText" priority="1677" operator="containsText" dxfId="0" text="pagado">
      <formula>NOT(ISERROR(SEARCH("pagado",AC881)))</formula>
    </cfRule>
    <cfRule type="cellIs" priority="1674" operator="equal" dxfId="1">
      <formula>"pendiente"</formula>
    </cfRule>
    <cfRule type="containsText" priority="1675" operator="containsText" dxfId="0" text="pagado">
      <formula>NOT(ISERROR(SEARCH("pagado",AC881)))</formula>
    </cfRule>
  </conditionalFormatting>
  <conditionalFormatting sqref="AC882:AE886">
    <cfRule type="cellIs" priority="1672" operator="equal" dxfId="1">
      <formula>"pendiente"</formula>
    </cfRule>
    <cfRule type="containsText" priority="1673" operator="containsText" dxfId="0" text="pagado">
      <formula>NOT(ISERROR(SEARCH("pagado",AC882)))</formula>
    </cfRule>
    <cfRule type="cellIs" priority="1670" operator="equal" dxfId="1">
      <formula>"pendiente"</formula>
    </cfRule>
    <cfRule type="containsText" priority="1671" operator="containsText" dxfId="0" text="pagado">
      <formula>NOT(ISERROR(SEARCH("pagado",AC882)))</formula>
    </cfRule>
  </conditionalFormatting>
  <conditionalFormatting sqref="AC868">
    <cfRule type="containsText" priority="1669" operator="containsText" dxfId="1" text="pendiente">
      <formula>NOT(ISERROR(SEARCH("pendiente",AC868)))</formula>
    </cfRule>
    <cfRule type="cellIs" priority="1667" operator="equal" dxfId="1">
      <formula>"pendiente"</formula>
    </cfRule>
    <cfRule type="containsText" priority="1668" operator="containsText" dxfId="0" text="pagado">
      <formula>NOT(ISERROR(SEARCH("pagado",AC868)))</formula>
    </cfRule>
  </conditionalFormatting>
  <conditionalFormatting sqref="AD933:AE938 AG933:AG938">
    <cfRule type="containsText" priority="1658" operator="containsText" dxfId="1" text="pendiente">
      <formula>NOT(ISERROR(SEARCH("pendiente",AD933)))</formula>
    </cfRule>
  </conditionalFormatting>
  <conditionalFormatting sqref="AD933:AE938">
    <cfRule type="cellIs" priority="1656" operator="equal" dxfId="1">
      <formula>"pendiente"</formula>
    </cfRule>
    <cfRule type="containsText" priority="1657" operator="containsText" dxfId="0" text="pagado">
      <formula>NOT(ISERROR(SEARCH("pagado",AD933)))</formula>
    </cfRule>
  </conditionalFormatting>
  <conditionalFormatting sqref="AD920:AE928 AG920:AG928">
    <cfRule type="containsText" priority="1655" operator="containsText" dxfId="1" text="pendiente">
      <formula>NOT(ISERROR(SEARCH("pendiente",AD920)))</formula>
    </cfRule>
  </conditionalFormatting>
  <conditionalFormatting sqref="AD920:AE928">
    <cfRule type="cellIs" priority="1653" operator="equal" dxfId="1">
      <formula>"pendiente"</formula>
    </cfRule>
    <cfRule type="containsText" priority="1654" operator="containsText" dxfId="0" text="pagado">
      <formula>NOT(ISERROR(SEARCH("pagado",AD920)))</formula>
    </cfRule>
  </conditionalFormatting>
  <conditionalFormatting sqref="AD929:AE932 AG929:AG932">
    <cfRule type="containsText" priority="1652" operator="containsText" dxfId="1" text="pendiente">
      <formula>NOT(ISERROR(SEARCH("pendiente",AD929)))</formula>
    </cfRule>
  </conditionalFormatting>
  <conditionalFormatting sqref="AD929:AE932">
    <cfRule type="cellIs" priority="1650" operator="equal" dxfId="1">
      <formula>"pendiente"</formula>
    </cfRule>
    <cfRule type="containsText" priority="1651" operator="containsText" dxfId="0" text="pagado">
      <formula>NOT(ISERROR(SEARCH("pagado",AD929)))</formula>
    </cfRule>
  </conditionalFormatting>
  <conditionalFormatting sqref="AC920:AE957">
    <cfRule type="cellIs" priority="1648" operator="equal" dxfId="1">
      <formula>"pendiente"</formula>
    </cfRule>
    <cfRule type="containsText" priority="1649" operator="containsText" dxfId="0" text="pagado">
      <formula>NOT(ISERROR(SEARCH("pagado",AC920)))</formula>
    </cfRule>
  </conditionalFormatting>
  <conditionalFormatting sqref="AC958">
    <cfRule type="containsText" priority="1641" operator="containsText" dxfId="1" text="pendiente">
      <formula>NOT(ISERROR(SEARCH("pendiente",AC958)))</formula>
    </cfRule>
    <cfRule type="cellIs" priority="1639" operator="equal" dxfId="1">
      <formula>"pendiente"</formula>
    </cfRule>
    <cfRule type="containsText" priority="1640" operator="containsText" dxfId="0" text="pagado">
      <formula>NOT(ISERROR(SEARCH("pagado",AC958)))</formula>
    </cfRule>
  </conditionalFormatting>
  <conditionalFormatting sqref="AD958:AE958 AG958">
    <cfRule type="containsText" priority="1638" operator="containsText" dxfId="1" text="pendiente">
      <formula>NOT(ISERROR(SEARCH("pendiente",AD958)))</formula>
    </cfRule>
  </conditionalFormatting>
  <conditionalFormatting sqref="AD958:AE958">
    <cfRule type="cellIs" priority="1636" operator="equal" dxfId="1">
      <formula>"pendiente"</formula>
    </cfRule>
    <cfRule type="containsText" priority="1637" operator="containsText" dxfId="0" text="pagado">
      <formula>NOT(ISERROR(SEARCH("pagado",AD958)))</formula>
    </cfRule>
  </conditionalFormatting>
  <conditionalFormatting sqref="AC959:AE959 AG959">
    <cfRule type="containsText" priority="1635" operator="containsText" dxfId="1" text="pendiente">
      <formula>NOT(ISERROR(SEARCH("pendiente",AC959)))</formula>
    </cfRule>
  </conditionalFormatting>
  <conditionalFormatting sqref="AC959:AE959">
    <cfRule type="cellIs" priority="1633" operator="equal" dxfId="1">
      <formula>"pendiente"</formula>
    </cfRule>
    <cfRule type="containsText" priority="1634" operator="containsText" dxfId="0" text="pagado">
      <formula>NOT(ISERROR(SEARCH("pagado",AC959)))</formula>
    </cfRule>
  </conditionalFormatting>
  <conditionalFormatting sqref="AC960:AE963 AG960:AG963">
    <cfRule type="containsText" priority="1632" operator="containsText" dxfId="1" text="pendiente">
      <formula>NOT(ISERROR(SEARCH("pendiente",AC960)))</formula>
    </cfRule>
  </conditionalFormatting>
  <conditionalFormatting sqref="AC960:AE962">
    <cfRule type="cellIs" priority="1630" operator="equal" dxfId="1">
      <formula>"pendiente"</formula>
    </cfRule>
    <cfRule type="containsText" priority="1631" operator="containsText" dxfId="0" text="pagado">
      <formula>NOT(ISERROR(SEARCH("pagado",AC960)))</formula>
    </cfRule>
  </conditionalFormatting>
  <conditionalFormatting sqref="AC963:AE963">
    <cfRule type="cellIs" priority="1628" operator="equal" dxfId="1">
      <formula>"pendiente"</formula>
    </cfRule>
    <cfRule type="containsText" priority="1629" operator="containsText" dxfId="0" text="pagado">
      <formula>NOT(ISERROR(SEARCH("pagado",AC963)))</formula>
    </cfRule>
  </conditionalFormatting>
  <conditionalFormatting sqref="AC964:AE965">
    <cfRule type="cellIs" priority="1626" operator="equal" dxfId="1">
      <formula>"pendiente"</formula>
    </cfRule>
    <cfRule type="containsText" priority="1627" operator="containsText" dxfId="0" text="pagado">
      <formula>NOT(ISERROR(SEARCH("pagado",AC964)))</formula>
    </cfRule>
  </conditionalFormatting>
  <conditionalFormatting sqref="AC966:AE967 AG966:AG967">
    <cfRule type="containsText" priority="1625" operator="containsText" dxfId="1" text="pendiente">
      <formula>NOT(ISERROR(SEARCH("pendiente",AC966)))</formula>
    </cfRule>
  </conditionalFormatting>
  <conditionalFormatting sqref="AC966:AE967">
    <cfRule type="cellIs" priority="1623" operator="equal" dxfId="1">
      <formula>"pendiente"</formula>
    </cfRule>
    <cfRule type="containsText" priority="1624" operator="containsText" dxfId="0" text="pagado">
      <formula>NOT(ISERROR(SEARCH("pagado",AC966)))</formula>
    </cfRule>
  </conditionalFormatting>
  <conditionalFormatting sqref="AC968:AE968 AG968">
    <cfRule type="containsText" priority="1622" operator="containsText" dxfId="1" text="pendiente">
      <formula>NOT(ISERROR(SEARCH("pendiente",AC968)))</formula>
    </cfRule>
    <cfRule type="containsText" priority="1616" operator="containsText" dxfId="1" text="pendiente">
      <formula>NOT(ISERROR(SEARCH("pendiente",AC968)))</formula>
    </cfRule>
  </conditionalFormatting>
  <conditionalFormatting sqref="AC968">
    <cfRule type="cellIs" priority="1621" operator="equal" dxfId="6">
      <formula>"abonado"</formula>
    </cfRule>
    <cfRule type="containsText" priority="1620" operator="containsText" dxfId="1" text="pendiente">
      <formula>NOT(ISERROR(SEARCH("pendiente",AC968)))</formula>
    </cfRule>
    <cfRule type="cellIs" priority="1618" operator="equal" dxfId="1">
      <formula>"pendiente"</formula>
    </cfRule>
    <cfRule type="containsText" priority="1619" operator="containsText" dxfId="0" text="pagado">
      <formula>NOT(ISERROR(SEARCH("pagado",AC968)))</formula>
    </cfRule>
    <cfRule type="cellIs" priority="1617" operator="equal" dxfId="6">
      <formula>"abonado"</formula>
    </cfRule>
    <cfRule type="cellIs" priority="1615" operator="equal" dxfId="6">
      <formula>"abonado"</formula>
    </cfRule>
    <cfRule type="containsText" priority="1614" operator="containsText" dxfId="1" text="pendiente">
      <formula>NOT(ISERROR(SEARCH("pendiente",AC968)))</formula>
    </cfRule>
    <cfRule type="cellIs" priority="1612" operator="equal" dxfId="1">
      <formula>"pendiente"</formula>
    </cfRule>
    <cfRule type="containsText" priority="1613" operator="containsText" dxfId="0" text="pagado">
      <formula>NOT(ISERROR(SEARCH("pagado",AC968)))</formula>
    </cfRule>
    <cfRule type="cellIs" priority="1611" operator="equal" dxfId="6">
      <formula>"abonado"</formula>
    </cfRule>
  </conditionalFormatting>
  <conditionalFormatting sqref="AC968:AE968">
    <cfRule type="cellIs" priority="1609" operator="equal" dxfId="1">
      <formula>"pendiente"</formula>
    </cfRule>
    <cfRule type="containsText" priority="1610" operator="containsText" dxfId="0" text="pagado">
      <formula>NOT(ISERROR(SEARCH("pagado",AC968)))</formula>
    </cfRule>
    <cfRule type="cellIs" priority="1607" operator="equal" dxfId="1">
      <formula>"pendiente"</formula>
    </cfRule>
    <cfRule type="containsText" priority="1608" operator="containsText" dxfId="0" text="pagado">
      <formula>NOT(ISERROR(SEARCH("pagado",AC968)))</formula>
    </cfRule>
  </conditionalFormatting>
  <conditionalFormatting sqref="AC969:AE979 AG969:AG979">
    <cfRule type="containsText" priority="1606" operator="containsText" dxfId="1" text="pendiente">
      <formula>NOT(ISERROR(SEARCH("pendiente",AC969)))</formula>
    </cfRule>
  </conditionalFormatting>
  <conditionalFormatting sqref="AC969:AE979">
    <cfRule type="cellIs" priority="1604" operator="equal" dxfId="1">
      <formula>"pendiente"</formula>
    </cfRule>
    <cfRule type="containsText" priority="1605" operator="containsText" dxfId="0" text="pagado">
      <formula>NOT(ISERROR(SEARCH("pagado",AC969)))</formula>
    </cfRule>
  </conditionalFormatting>
  <conditionalFormatting sqref="AC980:AE1007 AG980:AG1007">
    <cfRule type="containsText" priority="1603" operator="containsText" dxfId="1" text="pendiente">
      <formula>NOT(ISERROR(SEARCH("pendiente",AC980)))</formula>
    </cfRule>
  </conditionalFormatting>
  <conditionalFormatting sqref="AC980:AC1005 AC1006:AE1006 AD1000:AE1005">
    <cfRule type="cellIs" priority="1601" operator="equal" dxfId="1">
      <formula>"pendiente"</formula>
    </cfRule>
    <cfRule type="containsText" priority="1602" operator="containsText" dxfId="0" text="pagado">
      <formula>NOT(ISERROR(SEARCH("pagado",AC980)))</formula>
    </cfRule>
  </conditionalFormatting>
  <conditionalFormatting sqref="AC980:AE992">
    <cfRule type="cellIs" priority="1599" operator="equal" dxfId="1">
      <formula>"pendiente"</formula>
    </cfRule>
    <cfRule type="containsText" priority="1600" operator="containsText" dxfId="0" text="pagado">
      <formula>NOT(ISERROR(SEARCH("pagado",AC980)))</formula>
    </cfRule>
  </conditionalFormatting>
  <conditionalFormatting sqref="AC980:AE980 AG980">
    <cfRule type="containsText" priority="1598" operator="containsText" dxfId="1" text="pendiente">
      <formula>NOT(ISERROR(SEARCH("pendiente",AC980)))</formula>
    </cfRule>
  </conditionalFormatting>
  <conditionalFormatting sqref="AC980:AE980">
    <cfRule type="cellIs" priority="1596" operator="equal" dxfId="1">
      <formula>"pendiente"</formula>
    </cfRule>
    <cfRule type="containsText" priority="1597" operator="containsText" dxfId="0" text="pagado">
      <formula>NOT(ISERROR(SEARCH("pagado",AC980)))</formula>
    </cfRule>
  </conditionalFormatting>
  <conditionalFormatting sqref="AC980:AC981">
    <cfRule type="cellIs" priority="1595" operator="equal" dxfId="6">
      <formula>"abonado"</formula>
    </cfRule>
  </conditionalFormatting>
  <conditionalFormatting sqref="AC981:AE981 AG981">
    <cfRule type="containsText" priority="1594" operator="containsText" dxfId="1" text="pendiente">
      <formula>NOT(ISERROR(SEARCH("pendiente",AC981)))</formula>
    </cfRule>
  </conditionalFormatting>
  <conditionalFormatting sqref="AC981:AE981">
    <cfRule type="cellIs" priority="1592" operator="equal" dxfId="1">
      <formula>"pendiente"</formula>
    </cfRule>
    <cfRule type="containsText" priority="1593" operator="containsText" dxfId="0" text="pagado">
      <formula>NOT(ISERROR(SEARCH("pagado",AC981)))</formula>
    </cfRule>
  </conditionalFormatting>
  <conditionalFormatting sqref="AC982:AE982 AG982">
    <cfRule type="containsText" priority="1591" operator="containsText" dxfId="1" text="pendiente">
      <formula>NOT(ISERROR(SEARCH("pendiente",AC982)))</formula>
    </cfRule>
  </conditionalFormatting>
  <conditionalFormatting sqref="AC982:AE982">
    <cfRule type="cellIs" priority="1589" operator="equal" dxfId="1">
      <formula>"pendiente"</formula>
    </cfRule>
    <cfRule type="containsText" priority="1590" operator="containsText" dxfId="0" text="pagado">
      <formula>NOT(ISERROR(SEARCH("pagado",AC982)))</formula>
    </cfRule>
  </conditionalFormatting>
  <conditionalFormatting sqref="AC982">
    <cfRule type="cellIs" priority="1588" operator="equal" dxfId="6">
      <formula>"abonado"</formula>
    </cfRule>
  </conditionalFormatting>
  <conditionalFormatting sqref="AC983:AE983 AG983">
    <cfRule type="containsText" priority="1587" operator="containsText" dxfId="1" text="pendiente">
      <formula>NOT(ISERROR(SEARCH("pendiente",AC983)))</formula>
    </cfRule>
  </conditionalFormatting>
  <conditionalFormatting sqref="AC983:AE983">
    <cfRule type="cellIs" priority="1585" operator="equal" dxfId="1">
      <formula>"pendiente"</formula>
    </cfRule>
    <cfRule type="containsText" priority="1586" operator="containsText" dxfId="0" text="pagado">
      <formula>NOT(ISERROR(SEARCH("pagado",AC983)))</formula>
    </cfRule>
  </conditionalFormatting>
  <conditionalFormatting sqref="AC984:AE984 AG984">
    <cfRule type="containsText" priority="1584" operator="containsText" dxfId="1" text="pendiente">
      <formula>NOT(ISERROR(SEARCH("pendiente",AC984)))</formula>
    </cfRule>
  </conditionalFormatting>
  <conditionalFormatting sqref="AC984:AE984">
    <cfRule type="cellIs" priority="1582" operator="equal" dxfId="1">
      <formula>"pendiente"</formula>
    </cfRule>
    <cfRule type="containsText" priority="1583" operator="containsText" dxfId="0" text="pagado">
      <formula>NOT(ISERROR(SEARCH("pagado",AC984)))</formula>
    </cfRule>
  </conditionalFormatting>
  <conditionalFormatting sqref="AC984">
    <cfRule type="cellIs" priority="1581" operator="equal" dxfId="6">
      <formula>"abonado"</formula>
    </cfRule>
  </conditionalFormatting>
  <conditionalFormatting sqref="AC985:AE985 AG985">
    <cfRule type="containsText" priority="1580" operator="containsText" dxfId="1" text="pendiente">
      <formula>NOT(ISERROR(SEARCH("pendiente",AC985)))</formula>
    </cfRule>
  </conditionalFormatting>
  <conditionalFormatting sqref="AC985:AE985">
    <cfRule type="cellIs" priority="1578" operator="equal" dxfId="1">
      <formula>"pendiente"</formula>
    </cfRule>
    <cfRule type="containsText" priority="1579" operator="containsText" dxfId="0" text="pagado">
      <formula>NOT(ISERROR(SEARCH("pagado",AC985)))</formula>
    </cfRule>
  </conditionalFormatting>
  <conditionalFormatting sqref="AC985">
    <cfRule type="cellIs" priority="1577" operator="equal" dxfId="6">
      <formula>"abonado"</formula>
    </cfRule>
  </conditionalFormatting>
  <conditionalFormatting sqref="AC986:AE987 AG986:AG987">
    <cfRule type="containsText" priority="1576" operator="containsText" dxfId="1" text="pendiente">
      <formula>NOT(ISERROR(SEARCH("pendiente",AC986)))</formula>
    </cfRule>
  </conditionalFormatting>
  <conditionalFormatting sqref="AC986:AE987">
    <cfRule type="cellIs" priority="1574" operator="equal" dxfId="1">
      <formula>"pendiente"</formula>
    </cfRule>
    <cfRule type="containsText" priority="1575" operator="containsText" dxfId="0" text="pagado">
      <formula>NOT(ISERROR(SEARCH("pagado",AC986)))</formula>
    </cfRule>
  </conditionalFormatting>
  <conditionalFormatting sqref="AC988:AE988 AG988">
    <cfRule type="containsText" priority="1573" operator="containsText" dxfId="1" text="pendiente">
      <formula>NOT(ISERROR(SEARCH("pendiente",AC988)))</formula>
    </cfRule>
  </conditionalFormatting>
  <conditionalFormatting sqref="AC988:AE988">
    <cfRule type="cellIs" priority="1571" operator="equal" dxfId="1">
      <formula>"pendiente"</formula>
    </cfRule>
    <cfRule type="containsText" priority="1572" operator="containsText" dxfId="0" text="pagado">
      <formula>NOT(ISERROR(SEARCH("pagado",AC988)))</formula>
    </cfRule>
  </conditionalFormatting>
  <conditionalFormatting sqref="AC988">
    <cfRule type="cellIs" priority="1570" operator="equal" dxfId="6">
      <formula>"abonado"</formula>
    </cfRule>
  </conditionalFormatting>
  <conditionalFormatting sqref="AC989:AE989 AG989">
    <cfRule type="containsText" priority="1569" operator="containsText" dxfId="1" text="pendiente">
      <formula>NOT(ISERROR(SEARCH("pendiente",AC989)))</formula>
    </cfRule>
  </conditionalFormatting>
  <conditionalFormatting sqref="AC989:AE989">
    <cfRule type="cellIs" priority="1567" operator="equal" dxfId="1">
      <formula>"pendiente"</formula>
    </cfRule>
    <cfRule type="containsText" priority="1568" operator="containsText" dxfId="0" text="pagado">
      <formula>NOT(ISERROR(SEARCH("pagado",AC989)))</formula>
    </cfRule>
  </conditionalFormatting>
  <conditionalFormatting sqref="AC989">
    <cfRule type="cellIs" priority="1566" operator="equal" dxfId="6">
      <formula>"abonado"</formula>
    </cfRule>
  </conditionalFormatting>
  <conditionalFormatting sqref="AC990:AE990">
    <cfRule type="cellIs" priority="1564" operator="equal" dxfId="1">
      <formula>"pendiente"</formula>
    </cfRule>
    <cfRule type="containsText" priority="1565" operator="containsText" dxfId="0" text="pagado">
      <formula>NOT(ISERROR(SEARCH("pagado",AC990)))</formula>
    </cfRule>
  </conditionalFormatting>
  <conditionalFormatting sqref="AC991:AE991">
    <cfRule type="cellIs" priority="1562" operator="equal" dxfId="1">
      <formula>"pendiente"</formula>
    </cfRule>
    <cfRule type="containsText" priority="1563" operator="containsText" dxfId="0" text="pagado">
      <formula>NOT(ISERROR(SEARCH("pagado",AC991)))</formula>
    </cfRule>
  </conditionalFormatting>
  <conditionalFormatting sqref="AC992:AE992">
    <cfRule type="cellIs" priority="1560" operator="equal" dxfId="1">
      <formula>"pendiente"</formula>
    </cfRule>
    <cfRule type="containsText" priority="1561" operator="containsText" dxfId="0" text="pagado">
      <formula>NOT(ISERROR(SEARCH("pagado",AC992)))</formula>
    </cfRule>
  </conditionalFormatting>
  <conditionalFormatting sqref="AC993:AE993">
    <cfRule type="cellIs" priority="1558" operator="equal" dxfId="1">
      <formula>"pendiente"</formula>
    </cfRule>
    <cfRule type="containsText" priority="1559" operator="containsText" dxfId="0" text="pagado">
      <formula>NOT(ISERROR(SEARCH("pagado",AC993)))</formula>
    </cfRule>
    <cfRule type="cellIs" priority="1556" operator="equal" dxfId="1">
      <formula>"pendiente"</formula>
    </cfRule>
    <cfRule type="containsText" priority="1557" operator="containsText" dxfId="0" text="pagado">
      <formula>NOT(ISERROR(SEARCH("pagado",AC993)))</formula>
    </cfRule>
  </conditionalFormatting>
  <conditionalFormatting sqref="AC994:AE994">
    <cfRule type="cellIs" priority="1554" operator="equal" dxfId="1">
      <formula>"pendiente"</formula>
    </cfRule>
    <cfRule type="containsText" priority="1555" operator="containsText" dxfId="0" text="pagado">
      <formula>NOT(ISERROR(SEARCH("pagado",AC994)))</formula>
    </cfRule>
    <cfRule type="cellIs" priority="1552" operator="equal" dxfId="1">
      <formula>"pendiente"</formula>
    </cfRule>
    <cfRule type="containsText" priority="1553" operator="containsText" dxfId="0" text="pagado">
      <formula>NOT(ISERROR(SEARCH("pagado",AC994)))</formula>
    </cfRule>
  </conditionalFormatting>
  <conditionalFormatting sqref="AC995:AE999">
    <cfRule type="cellIs" priority="1550" operator="equal" dxfId="1">
      <formula>"pendiente"</formula>
    </cfRule>
    <cfRule type="containsText" priority="1551" operator="containsText" dxfId="0" text="pagado">
      <formula>NOT(ISERROR(SEARCH("pagado",AC995)))</formula>
    </cfRule>
    <cfRule type="cellIs" priority="1548" operator="equal" dxfId="1">
      <formula>"pendiente"</formula>
    </cfRule>
    <cfRule type="containsText" priority="1549" operator="containsText" dxfId="0" text="pagado">
      <formula>NOT(ISERROR(SEARCH("pagado",AC995)))</formula>
    </cfRule>
  </conditionalFormatting>
  <conditionalFormatting sqref="AC981">
    <cfRule type="containsText" priority="1547" operator="containsText" dxfId="1" text="pendiente">
      <formula>NOT(ISERROR(SEARCH("pendiente",AC981)))</formula>
    </cfRule>
    <cfRule type="cellIs" priority="1545" operator="equal" dxfId="1">
      <formula>"pendiente"</formula>
    </cfRule>
    <cfRule type="containsText" priority="1546" operator="containsText" dxfId="0" text="pagado">
      <formula>NOT(ISERROR(SEARCH("pagado",AC981)))</formula>
    </cfRule>
  </conditionalFormatting>
  <conditionalFormatting sqref="AC1008:AE1009 AG1008:AG1009">
    <cfRule type="containsText" priority="1544" operator="containsText" dxfId="1" text="pendiente">
      <formula>NOT(ISERROR(SEARCH("pendiente",AC1008)))</formula>
    </cfRule>
  </conditionalFormatting>
  <conditionalFormatting sqref="AC1008:AE1008">
    <cfRule type="cellIs" priority="1542" operator="equal" dxfId="1">
      <formula>"pendiente"</formula>
    </cfRule>
    <cfRule type="containsText" priority="1543" operator="containsText" dxfId="0" text="pagado">
      <formula>NOT(ISERROR(SEARCH("pagado",AC1008)))</formula>
    </cfRule>
  </conditionalFormatting>
  <conditionalFormatting sqref="AC1007:AE1007">
    <cfRule type="cellIs" priority="1540" operator="equal" dxfId="1">
      <formula>"pendiente"</formula>
    </cfRule>
    <cfRule type="containsText" priority="1541" operator="containsText" dxfId="0" text="pagado">
      <formula>NOT(ISERROR(SEARCH("pagado",AC1007)))</formula>
    </cfRule>
  </conditionalFormatting>
  <conditionalFormatting sqref="AC1009:AE1009">
    <cfRule type="cellIs" priority="1538" operator="equal" dxfId="1">
      <formula>"pendiente"</formula>
    </cfRule>
    <cfRule type="containsText" priority="1539" operator="containsText" dxfId="0" text="pagado">
      <formula>NOT(ISERROR(SEARCH("pagado",AC1009)))</formula>
    </cfRule>
  </conditionalFormatting>
  <conditionalFormatting sqref="AC1010:AE1029 AC1073:AE1075 AG1010:AG1029 AG1073:AG1075">
    <cfRule type="containsText" priority="1537" operator="containsText" dxfId="1" text="pendiente">
      <formula>NOT(ISERROR(SEARCH("pendiente",AC1010)))</formula>
    </cfRule>
  </conditionalFormatting>
  <conditionalFormatting sqref="AC1010:AE1028">
    <cfRule type="cellIs" priority="1535" operator="equal" dxfId="1">
      <formula>"pendiente"</formula>
    </cfRule>
    <cfRule type="containsText" priority="1536" operator="containsText" dxfId="0" text="pagado">
      <formula>NOT(ISERROR(SEARCH("pagado",AC1010)))</formula>
    </cfRule>
  </conditionalFormatting>
  <conditionalFormatting sqref="AC1029:AE1029">
    <cfRule type="cellIs" priority="1533" operator="equal" dxfId="1">
      <formula>"pendiente"</formula>
    </cfRule>
    <cfRule type="containsText" priority="1534" operator="containsText" dxfId="0" text="pagado">
      <formula>NOT(ISERROR(SEARCH("pagado",AC1029)))</formula>
    </cfRule>
  </conditionalFormatting>
  <conditionalFormatting sqref="AC1150:AE1151">
    <cfRule type="cellIs" priority="1531" operator="equal" dxfId="1">
      <formula>"pendiente"</formula>
    </cfRule>
    <cfRule type="containsText" priority="1532" operator="containsText" dxfId="0" text="pagado">
      <formula>NOT(ISERROR(SEARCH("pagado",AC1150)))</formula>
    </cfRule>
  </conditionalFormatting>
  <conditionalFormatting sqref="AC1030:AE1050 AG1030:AG1050">
    <cfRule type="containsText" priority="1530" operator="containsText" dxfId="1" text="pendiente">
      <formula>NOT(ISERROR(SEARCH("pendiente",AC1030)))</formula>
    </cfRule>
  </conditionalFormatting>
  <conditionalFormatting sqref="AC1030:AC1050">
    <cfRule type="cellIs" priority="1528" operator="equal" dxfId="1">
      <formula>"pendiente"</formula>
    </cfRule>
    <cfRule type="containsText" priority="1529" operator="containsText" dxfId="0" text="pagado">
      <formula>NOT(ISERROR(SEARCH("pagado",AC1030)))</formula>
    </cfRule>
  </conditionalFormatting>
  <conditionalFormatting sqref="AD1043:AE1050 AG1043:AG1050">
    <cfRule type="containsText" priority="1527" operator="containsText" dxfId="1" text="pendiente">
      <formula>NOT(ISERROR(SEARCH("pendiente",AD1043)))</formula>
    </cfRule>
  </conditionalFormatting>
  <conditionalFormatting sqref="AD1043:AE1050">
    <cfRule type="cellIs" priority="1525" operator="equal" dxfId="1">
      <formula>"pendiente"</formula>
    </cfRule>
    <cfRule type="containsText" priority="1526" operator="containsText" dxfId="0" text="pagado">
      <formula>NOT(ISERROR(SEARCH("pagado",AD1043)))</formula>
    </cfRule>
  </conditionalFormatting>
  <conditionalFormatting sqref="AD1030:AE1038 AG1030:AG1038">
    <cfRule type="containsText" priority="1524" operator="containsText" dxfId="1" text="pendiente">
      <formula>NOT(ISERROR(SEARCH("pendiente",AD1030)))</formula>
    </cfRule>
  </conditionalFormatting>
  <conditionalFormatting sqref="AD1030:AE1038">
    <cfRule type="cellIs" priority="1522" operator="equal" dxfId="1">
      <formula>"pendiente"</formula>
    </cfRule>
    <cfRule type="containsText" priority="1523" operator="containsText" dxfId="0" text="pagado">
      <formula>NOT(ISERROR(SEARCH("pagado",AD1030)))</formula>
    </cfRule>
  </conditionalFormatting>
  <conditionalFormatting sqref="AD1039:AE1042 AG1039:AG1042">
    <cfRule type="containsText" priority="1521" operator="containsText" dxfId="1" text="pendiente">
      <formula>NOT(ISERROR(SEARCH("pendiente",AD1039)))</formula>
    </cfRule>
  </conditionalFormatting>
  <conditionalFormatting sqref="AD1039:AE1042">
    <cfRule type="cellIs" priority="1519" operator="equal" dxfId="1">
      <formula>"pendiente"</formula>
    </cfRule>
    <cfRule type="containsText" priority="1520" operator="containsText" dxfId="0" text="pagado">
      <formula>NOT(ISERROR(SEARCH("pagado",AD1039)))</formula>
    </cfRule>
  </conditionalFormatting>
  <conditionalFormatting sqref="AC1030:AE1050">
    <cfRule type="cellIs" priority="1517" operator="equal" dxfId="1">
      <formula>"pendiente"</formula>
    </cfRule>
    <cfRule type="containsText" priority="1518" operator="containsText" dxfId="0" text="pagado">
      <formula>NOT(ISERROR(SEARCH("pagado",AC1030)))</formula>
    </cfRule>
  </conditionalFormatting>
  <conditionalFormatting sqref="AC1051:AE1069 AG1051:AG1069">
    <cfRule type="containsText" priority="1516" operator="containsText" dxfId="1" text="pendiente">
      <formula>NOT(ISERROR(SEARCH("pendiente",AC1051)))</formula>
    </cfRule>
  </conditionalFormatting>
  <conditionalFormatting sqref="AC1051:AE1069">
    <cfRule type="cellIs" priority="1514" operator="equal" dxfId="1">
      <formula>"pendiente"</formula>
    </cfRule>
    <cfRule type="containsText" priority="1515" operator="containsText" dxfId="0" text="pagado">
      <formula>NOT(ISERROR(SEARCH("pagado",AC1051)))</formula>
    </cfRule>
    <cfRule type="cellIs" priority="1512" operator="equal" dxfId="1">
      <formula>"pendiente"</formula>
    </cfRule>
    <cfRule type="containsText" priority="1513" operator="containsText" dxfId="0" text="pagado">
      <formula>NOT(ISERROR(SEARCH("pagado",AC1051)))</formula>
    </cfRule>
  </conditionalFormatting>
  <conditionalFormatting sqref="AC1049">
    <cfRule type="containsText" priority="1511" operator="containsText" dxfId="1" text="pendiente">
      <formula>NOT(ISERROR(SEARCH("pendiente",AC1049)))</formula>
    </cfRule>
    <cfRule type="cellIs" priority="1509" operator="equal" dxfId="1">
      <formula>"pendiente"</formula>
    </cfRule>
    <cfRule type="containsText" priority="1510" operator="containsText" dxfId="0" text="pagado">
      <formula>NOT(ISERROR(SEARCH("pagado",AC1049)))</formula>
    </cfRule>
  </conditionalFormatting>
  <conditionalFormatting sqref="AD1049:AE1049 AG1049">
    <cfRule type="containsText" priority="1508" operator="containsText" dxfId="1" text="pendiente">
      <formula>NOT(ISERROR(SEARCH("pendiente",AD1049)))</formula>
    </cfRule>
  </conditionalFormatting>
  <conditionalFormatting sqref="AD1049:AE1049">
    <cfRule type="cellIs" priority="1506" operator="equal" dxfId="1">
      <formula>"pendiente"</formula>
    </cfRule>
    <cfRule type="containsText" priority="1507" operator="containsText" dxfId="0" text="pagado">
      <formula>NOT(ISERROR(SEARCH("pagado",AD1049)))</formula>
    </cfRule>
  </conditionalFormatting>
  <conditionalFormatting sqref="AC1050:AE1050 AG1050">
    <cfRule type="containsText" priority="1505" operator="containsText" dxfId="1" text="pendiente">
      <formula>NOT(ISERROR(SEARCH("pendiente",AC1050)))</formula>
    </cfRule>
  </conditionalFormatting>
  <conditionalFormatting sqref="AC1050:AE1050">
    <cfRule type="cellIs" priority="1503" operator="equal" dxfId="1">
      <formula>"pendiente"</formula>
    </cfRule>
    <cfRule type="containsText" priority="1504" operator="containsText" dxfId="0" text="pagado">
      <formula>NOT(ISERROR(SEARCH("pagado",AC1050)))</formula>
    </cfRule>
  </conditionalFormatting>
  <conditionalFormatting sqref="AC1070:AE1070 AG1070">
    <cfRule type="containsText" priority="1502" operator="containsText" dxfId="1" text="pendiente">
      <formula>NOT(ISERROR(SEARCH("pendiente",AC1070)))</formula>
    </cfRule>
  </conditionalFormatting>
  <conditionalFormatting sqref="AC1070:AE1070">
    <cfRule type="cellIs" priority="1500" operator="equal" dxfId="1">
      <formula>"pendiente"</formula>
    </cfRule>
    <cfRule type="containsText" priority="1501" operator="containsText" dxfId="0" text="pagado">
      <formula>NOT(ISERROR(SEARCH("pagado",AC1070)))</formula>
    </cfRule>
  </conditionalFormatting>
  <conditionalFormatting sqref="AC1071:AE1071 AG1071">
    <cfRule type="containsText" priority="1499" operator="containsText" dxfId="1" text="pendiente">
      <formula>NOT(ISERROR(SEARCH("pendiente",AC1071)))</formula>
    </cfRule>
  </conditionalFormatting>
  <conditionalFormatting sqref="AC1071:AE1071">
    <cfRule type="cellIs" priority="1497" operator="equal" dxfId="1">
      <formula>"pendiente"</formula>
    </cfRule>
    <cfRule type="containsText" priority="1498" operator="containsText" dxfId="0" text="pagado">
      <formula>NOT(ISERROR(SEARCH("pagado",AC1071)))</formula>
    </cfRule>
  </conditionalFormatting>
  <conditionalFormatting sqref="AC1072:AE1072 AG1072">
    <cfRule type="containsText" priority="1496" operator="containsText" dxfId="1" text="pendiente">
      <formula>NOT(ISERROR(SEARCH("pendiente",AC1072)))</formula>
    </cfRule>
  </conditionalFormatting>
  <conditionalFormatting sqref="AC1072:AE1072">
    <cfRule type="cellIs" priority="1494" operator="equal" dxfId="1">
      <formula>"pendiente"</formula>
    </cfRule>
    <cfRule type="containsText" priority="1495" operator="containsText" dxfId="0" text="pagado">
      <formula>NOT(ISERROR(SEARCH("pagado",AC1072)))</formula>
    </cfRule>
  </conditionalFormatting>
  <conditionalFormatting sqref="AC1073:AE1075">
    <cfRule type="cellIs" priority="1492" operator="equal" dxfId="1">
      <formula>"pendiente"</formula>
    </cfRule>
    <cfRule type="containsText" priority="1493" operator="containsText" dxfId="0" text="pagado">
      <formula>NOT(ISERROR(SEARCH("pagado",AC1073)))</formula>
    </cfRule>
  </conditionalFormatting>
  <conditionalFormatting sqref="AC1101:AE1101 AD1095:AE1100">
    <cfRule type="cellIs" priority="1489" operator="equal" dxfId="1">
      <formula>"pendiente"</formula>
    </cfRule>
    <cfRule type="containsText" priority="1490" operator="containsText" dxfId="0" text="pagado">
      <formula>NOT(ISERROR(SEARCH("pagado",AC1095)))</formula>
    </cfRule>
  </conditionalFormatting>
  <conditionalFormatting sqref="AC1076:AE1076 AG1076">
    <cfRule type="containsText" priority="1486" operator="containsText" dxfId="1" text="pendiente">
      <formula>NOT(ISERROR(SEARCH("pendiente",AC1076)))</formula>
    </cfRule>
  </conditionalFormatting>
  <conditionalFormatting sqref="AC1076:AE1076">
    <cfRule type="cellIs" priority="1484" operator="equal" dxfId="1">
      <formula>"pendiente"</formula>
    </cfRule>
    <cfRule type="containsText" priority="1485" operator="containsText" dxfId="0" text="pagado">
      <formula>NOT(ISERROR(SEARCH("pagado",AC1076)))</formula>
    </cfRule>
  </conditionalFormatting>
  <conditionalFormatting sqref="AC1077:AE1077 AG1077">
    <cfRule type="containsText" priority="1482" operator="containsText" dxfId="1" text="pendiente">
      <formula>NOT(ISERROR(SEARCH("pendiente",AC1077)))</formula>
    </cfRule>
  </conditionalFormatting>
  <conditionalFormatting sqref="AC1077:AE1077">
    <cfRule type="cellIs" priority="1480" operator="equal" dxfId="1">
      <formula>"pendiente"</formula>
    </cfRule>
    <cfRule type="containsText" priority="1481" operator="containsText" dxfId="0" text="pagado">
      <formula>NOT(ISERROR(SEARCH("pagado",AC1077)))</formula>
    </cfRule>
  </conditionalFormatting>
  <conditionalFormatting sqref="AC1078:AE1078 AG1078">
    <cfRule type="containsText" priority="1479" operator="containsText" dxfId="1" text="pendiente">
      <formula>NOT(ISERROR(SEARCH("pendiente",AC1078)))</formula>
    </cfRule>
  </conditionalFormatting>
  <conditionalFormatting sqref="AC1078:AE1078">
    <cfRule type="cellIs" priority="1477" operator="equal" dxfId="1">
      <formula>"pendiente"</formula>
    </cfRule>
    <cfRule type="containsText" priority="1478" operator="containsText" dxfId="0" text="pagado">
      <formula>NOT(ISERROR(SEARCH("pagado",AC1078)))</formula>
    </cfRule>
  </conditionalFormatting>
  <conditionalFormatting sqref="AC1078">
    <cfRule type="cellIs" priority="1476" operator="equal" dxfId="6">
      <formula>"abonado"</formula>
    </cfRule>
  </conditionalFormatting>
  <conditionalFormatting sqref="AC1079:AE1079 AG1079">
    <cfRule type="containsText" priority="1475" operator="containsText" dxfId="1" text="pendiente">
      <formula>NOT(ISERROR(SEARCH("pendiente",AC1079)))</formula>
    </cfRule>
  </conditionalFormatting>
  <conditionalFormatting sqref="AC1079:AE1079">
    <cfRule type="cellIs" priority="1473" operator="equal" dxfId="1">
      <formula>"pendiente"</formula>
    </cfRule>
    <cfRule type="containsText" priority="1474" operator="containsText" dxfId="0" text="pagado">
      <formula>NOT(ISERROR(SEARCH("pagado",AC1079)))</formula>
    </cfRule>
  </conditionalFormatting>
  <conditionalFormatting sqref="AC1080:AE1080 AG1080">
    <cfRule type="containsText" priority="1472" operator="containsText" dxfId="1" text="pendiente">
      <formula>NOT(ISERROR(SEARCH("pendiente",AC1080)))</formula>
    </cfRule>
  </conditionalFormatting>
  <conditionalFormatting sqref="AC1080:AE1080">
    <cfRule type="cellIs" priority="1470" operator="equal" dxfId="1">
      <formula>"pendiente"</formula>
    </cfRule>
    <cfRule type="containsText" priority="1471" operator="containsText" dxfId="0" text="pagado">
      <formula>NOT(ISERROR(SEARCH("pagado",AC1080)))</formula>
    </cfRule>
  </conditionalFormatting>
  <conditionalFormatting sqref="AC1080">
    <cfRule type="cellIs" priority="1469" operator="equal" dxfId="6">
      <formula>"abonado"</formula>
    </cfRule>
  </conditionalFormatting>
  <conditionalFormatting sqref="AC1081:AE1081 AG1081">
    <cfRule type="containsText" priority="1468" operator="containsText" dxfId="1" text="pendiente">
      <formula>NOT(ISERROR(SEARCH("pendiente",AC1081)))</formula>
    </cfRule>
  </conditionalFormatting>
  <conditionalFormatting sqref="AC1081:AE1081">
    <cfRule type="cellIs" priority="1466" operator="equal" dxfId="1">
      <formula>"pendiente"</formula>
    </cfRule>
    <cfRule type="containsText" priority="1467" operator="containsText" dxfId="0" text="pagado">
      <formula>NOT(ISERROR(SEARCH("pagado",AC1081)))</formula>
    </cfRule>
  </conditionalFormatting>
  <conditionalFormatting sqref="AC1081">
    <cfRule type="cellIs" priority="1465" operator="equal" dxfId="6">
      <formula>"abonado"</formula>
    </cfRule>
  </conditionalFormatting>
  <conditionalFormatting sqref="AC1082:AE1082 AG1082">
    <cfRule type="containsText" priority="1464" operator="containsText" dxfId="1" text="pendiente">
      <formula>NOT(ISERROR(SEARCH("pendiente",AC1082)))</formula>
    </cfRule>
  </conditionalFormatting>
  <conditionalFormatting sqref="AC1082:AE1082">
    <cfRule type="cellIs" priority="1462" operator="equal" dxfId="1">
      <formula>"pendiente"</formula>
    </cfRule>
    <cfRule type="containsText" priority="1463" operator="containsText" dxfId="0" text="pagado">
      <formula>NOT(ISERROR(SEARCH("pagado",AC1082)))</formula>
    </cfRule>
  </conditionalFormatting>
  <conditionalFormatting sqref="AC1083:AE1083 AG1083">
    <cfRule type="containsText" priority="1461" operator="containsText" dxfId="1" text="pendiente">
      <formula>NOT(ISERROR(SEARCH("pendiente",AC1083)))</formula>
    </cfRule>
  </conditionalFormatting>
  <conditionalFormatting sqref="AC1083:AE1083">
    <cfRule type="cellIs" priority="1459" operator="equal" dxfId="1">
      <formula>"pendiente"</formula>
    </cfRule>
    <cfRule type="containsText" priority="1460" operator="containsText" dxfId="0" text="pagado">
      <formula>NOT(ISERROR(SEARCH("pagado",AC1083)))</formula>
    </cfRule>
  </conditionalFormatting>
  <conditionalFormatting sqref="AC1083">
    <cfRule type="cellIs" priority="1458" operator="equal" dxfId="6">
      <formula>"abonado"</formula>
    </cfRule>
  </conditionalFormatting>
  <conditionalFormatting sqref="AC1084:AE1084 AG1084">
    <cfRule type="containsText" priority="1457" operator="containsText" dxfId="1" text="pendiente">
      <formula>NOT(ISERROR(SEARCH("pendiente",AC1084)))</formula>
    </cfRule>
  </conditionalFormatting>
  <conditionalFormatting sqref="AC1084:AE1084">
    <cfRule type="cellIs" priority="1455" operator="equal" dxfId="1">
      <formula>"pendiente"</formula>
    </cfRule>
    <cfRule type="containsText" priority="1456" operator="containsText" dxfId="0" text="pagado">
      <formula>NOT(ISERROR(SEARCH("pagado",AC1084)))</formula>
    </cfRule>
  </conditionalFormatting>
  <conditionalFormatting sqref="AC1084">
    <cfRule type="cellIs" priority="1454" operator="equal" dxfId="6">
      <formula>"abonado"</formula>
    </cfRule>
  </conditionalFormatting>
  <conditionalFormatting sqref="AC1085:AE1085">
    <cfRule type="cellIs" priority="1452" operator="equal" dxfId="1">
      <formula>"pendiente"</formula>
    </cfRule>
    <cfRule type="containsText" priority="1453" operator="containsText" dxfId="0" text="pagado">
      <formula>NOT(ISERROR(SEARCH("pagado",AC1085)))</formula>
    </cfRule>
  </conditionalFormatting>
  <conditionalFormatting sqref="AC1086:AE1086">
    <cfRule type="cellIs" priority="1450" operator="equal" dxfId="1">
      <formula>"pendiente"</formula>
    </cfRule>
    <cfRule type="containsText" priority="1451" operator="containsText" dxfId="0" text="pagado">
      <formula>NOT(ISERROR(SEARCH("pagado",AC1086)))</formula>
    </cfRule>
  </conditionalFormatting>
  <conditionalFormatting sqref="AC1087:AE1087">
    <cfRule type="cellIs" priority="1448" operator="equal" dxfId="1">
      <formula>"pendiente"</formula>
    </cfRule>
    <cfRule type="containsText" priority="1449" operator="containsText" dxfId="0" text="pagado">
      <formula>NOT(ISERROR(SEARCH("pagado",AC1087)))</formula>
    </cfRule>
  </conditionalFormatting>
  <conditionalFormatting sqref="AC1088:AE1088">
    <cfRule type="cellIs" priority="1446" operator="equal" dxfId="1">
      <formula>"pendiente"</formula>
    </cfRule>
    <cfRule type="containsText" priority="1447" operator="containsText" dxfId="0" text="pagado">
      <formula>NOT(ISERROR(SEARCH("pagado",AC1088)))</formula>
    </cfRule>
    <cfRule type="cellIs" priority="1444" operator="equal" dxfId="1">
      <formula>"pendiente"</formula>
    </cfRule>
    <cfRule type="containsText" priority="1445" operator="containsText" dxfId="0" text="pagado">
      <formula>NOT(ISERROR(SEARCH("pagado",AC1088)))</formula>
    </cfRule>
  </conditionalFormatting>
  <conditionalFormatting sqref="AC1089:AE1089">
    <cfRule type="cellIs" priority="1442" operator="equal" dxfId="1">
      <formula>"pendiente"</formula>
    </cfRule>
    <cfRule type="containsText" priority="1443" operator="containsText" dxfId="0" text="pagado">
      <formula>NOT(ISERROR(SEARCH("pagado",AC1089)))</formula>
    </cfRule>
    <cfRule type="cellIs" priority="1440" operator="equal" dxfId="1">
      <formula>"pendiente"</formula>
    </cfRule>
    <cfRule type="containsText" priority="1441" operator="containsText" dxfId="0" text="pagado">
      <formula>NOT(ISERROR(SEARCH("pagado",AC1089)))</formula>
    </cfRule>
  </conditionalFormatting>
  <conditionalFormatting sqref="AC1090:AE1094">
    <cfRule type="cellIs" priority="1438" operator="equal" dxfId="1">
      <formula>"pendiente"</formula>
    </cfRule>
    <cfRule type="containsText" priority="1439" operator="containsText" dxfId="0" text="pagado">
      <formula>NOT(ISERROR(SEARCH("pagado",AC1090)))</formula>
    </cfRule>
    <cfRule type="cellIs" priority="1436" operator="equal" dxfId="1">
      <formula>"pendiente"</formula>
    </cfRule>
    <cfRule type="containsText" priority="1437" operator="containsText" dxfId="0" text="pagado">
      <formula>NOT(ISERROR(SEARCH("pagado",AC1090)))</formula>
    </cfRule>
  </conditionalFormatting>
  <conditionalFormatting sqref="AC1111:AE1111">
    <cfRule type="cellIs" priority="1430" operator="equal" dxfId="1">
      <formula>"pendiente"</formula>
    </cfRule>
    <cfRule type="containsText" priority="1431" operator="containsText" dxfId="0" text="pagado">
      <formula>NOT(ISERROR(SEARCH("pagado",AC1111)))</formula>
    </cfRule>
  </conditionalFormatting>
  <conditionalFormatting sqref="AC1102:AE1110">
    <cfRule type="cellIs" priority="1428" operator="equal" dxfId="1">
      <formula>"pendiente"</formula>
    </cfRule>
    <cfRule type="containsText" priority="1429" operator="containsText" dxfId="0" text="pagado">
      <formula>NOT(ISERROR(SEARCH("pagado",AC1102)))</formula>
    </cfRule>
  </conditionalFormatting>
  <conditionalFormatting sqref="AC1103:AE1110">
    <cfRule type="cellIs" priority="1426" operator="equal" dxfId="1">
      <formula>"pendiente"</formula>
    </cfRule>
    <cfRule type="containsText" priority="1427" operator="containsText" dxfId="0" text="pagado">
      <formula>NOT(ISERROR(SEARCH("pagado",AC1103)))</formula>
    </cfRule>
  </conditionalFormatting>
  <conditionalFormatting sqref="AC1076">
    <cfRule type="containsText" priority="1425" operator="containsText" dxfId="1" text="pendiente">
      <formula>NOT(ISERROR(SEARCH("pendiente",AC1076)))</formula>
    </cfRule>
    <cfRule type="cellIs" priority="1423" operator="equal" dxfId="1">
      <formula>"pendiente"</formula>
    </cfRule>
    <cfRule type="containsText" priority="1424" operator="containsText" dxfId="0" text="pagado">
      <formula>NOT(ISERROR(SEARCH("pagado",AC1076)))</formula>
    </cfRule>
  </conditionalFormatting>
  <conditionalFormatting sqref="AC1112:AE1112 AG1112">
    <cfRule type="containsText" priority="1419" operator="containsText" dxfId="1" text="pendiente">
      <formula>NOT(ISERROR(SEARCH("pendiente",AC1112)))</formula>
    </cfRule>
  </conditionalFormatting>
  <conditionalFormatting sqref="AC1112:AE1112">
    <cfRule type="cellIs" priority="1417" operator="equal" dxfId="1">
      <formula>"pendiente"</formula>
    </cfRule>
    <cfRule type="containsText" priority="1418" operator="containsText" dxfId="0" text="pagado">
      <formula>NOT(ISERROR(SEARCH("pagado",AC1112)))</formula>
    </cfRule>
  </conditionalFormatting>
  <conditionalFormatting sqref="AC1112">
    <cfRule type="cellIs" priority="1416" operator="equal" dxfId="6">
      <formula>"abonado"</formula>
    </cfRule>
  </conditionalFormatting>
  <conditionalFormatting sqref="AC1113:AE1113 AG1113">
    <cfRule type="containsText" priority="1415" operator="containsText" dxfId="1" text="pendiente">
      <formula>NOT(ISERROR(SEARCH("pendiente",AC1113)))</formula>
    </cfRule>
  </conditionalFormatting>
  <conditionalFormatting sqref="AC1113:AE1113">
    <cfRule type="cellIs" priority="1413" operator="equal" dxfId="1">
      <formula>"pendiente"</formula>
    </cfRule>
    <cfRule type="containsText" priority="1414" operator="containsText" dxfId="0" text="pagado">
      <formula>NOT(ISERROR(SEARCH("pagado",AC1113)))</formula>
    </cfRule>
  </conditionalFormatting>
  <conditionalFormatting sqref="AC1114:AE1114 AG1114">
    <cfRule type="containsText" priority="1412" operator="containsText" dxfId="1" text="pendiente">
      <formula>NOT(ISERROR(SEARCH("pendiente",AC1114)))</formula>
    </cfRule>
  </conditionalFormatting>
  <conditionalFormatting sqref="AC1114:AE1114">
    <cfRule type="cellIs" priority="1410" operator="equal" dxfId="1">
      <formula>"pendiente"</formula>
    </cfRule>
    <cfRule type="containsText" priority="1411" operator="containsText" dxfId="0" text="pagado">
      <formula>NOT(ISERROR(SEARCH("pagado",AC1114)))</formula>
    </cfRule>
  </conditionalFormatting>
  <conditionalFormatting sqref="AC1114">
    <cfRule type="cellIs" priority="1409" operator="equal" dxfId="6">
      <formula>"abonado"</formula>
    </cfRule>
  </conditionalFormatting>
  <conditionalFormatting sqref="AC1115:AE1115">
    <cfRule type="cellIs" priority="1407" operator="equal" dxfId="1">
      <formula>"pendiente"</formula>
    </cfRule>
    <cfRule type="containsText" priority="1408" operator="containsText" dxfId="0" text="pagado">
      <formula>NOT(ISERROR(SEARCH("pagado",AC1115)))</formula>
    </cfRule>
  </conditionalFormatting>
  <conditionalFormatting sqref="AC1116">
    <cfRule type="cellIs" priority="1405" operator="equal" dxfId="1">
      <formula>"pendiente"</formula>
    </cfRule>
    <cfRule type="containsText" priority="1406" operator="containsText" dxfId="0" text="pagado">
      <formula>NOT(ISERROR(SEARCH("pagado",AC1116)))</formula>
    </cfRule>
  </conditionalFormatting>
  <conditionalFormatting sqref="AC1116:AE1116">
    <cfRule type="cellIs" priority="1403" operator="equal" dxfId="1">
      <formula>"pendiente"</formula>
    </cfRule>
    <cfRule type="containsText" priority="1404" operator="containsText" dxfId="0" text="pagado">
      <formula>NOT(ISERROR(SEARCH("pagado",AC1116)))</formula>
    </cfRule>
    <cfRule type="cellIs" priority="1401" operator="equal" dxfId="1">
      <formula>"pendiente"</formula>
    </cfRule>
    <cfRule type="containsText" priority="1402" operator="containsText" dxfId="0" text="pagado">
      <formula>NOT(ISERROR(SEARCH("pagado",AC1116)))</formula>
    </cfRule>
  </conditionalFormatting>
  <conditionalFormatting sqref="AC1117:AE1117">
    <cfRule type="cellIs" priority="1399" operator="equal" dxfId="1">
      <formula>"pendiente"</formula>
    </cfRule>
    <cfRule type="containsText" priority="1400" operator="containsText" dxfId="0" text="pagado">
      <formula>NOT(ISERROR(SEARCH("pagado",AC1117)))</formula>
    </cfRule>
    <cfRule type="cellIs" priority="1396" operator="equal" dxfId="1">
      <formula>"pendiente"</formula>
    </cfRule>
    <cfRule type="containsText" priority="1397" operator="containsText" dxfId="0" text="pagado">
      <formula>NOT(ISERROR(SEARCH("pagado",AC1117)))</formula>
    </cfRule>
  </conditionalFormatting>
  <conditionalFormatting sqref="AC1117:AE1117 AG1117">
    <cfRule type="containsText" priority="1398" operator="containsText" dxfId="1" text="pendiente">
      <formula>NOT(ISERROR(SEARCH("pendiente",AC1117)))</formula>
    </cfRule>
  </conditionalFormatting>
  <conditionalFormatting sqref="AC1117">
    <cfRule type="containsText" priority="1395" operator="containsText" dxfId="1" text="pendiente">
      <formula>NOT(ISERROR(SEARCH("pendiente",AC1117)))</formula>
    </cfRule>
    <cfRule type="cellIs" priority="1393" operator="equal" dxfId="1">
      <formula>"pendiente"</formula>
    </cfRule>
    <cfRule type="containsText" priority="1394" operator="containsText" dxfId="0" text="pagado">
      <formula>NOT(ISERROR(SEARCH("pagado",AC1117)))</formula>
    </cfRule>
  </conditionalFormatting>
  <conditionalFormatting sqref="AC1118:AE1118">
    <cfRule type="cellIs" priority="1391" operator="equal" dxfId="1">
      <formula>"pendiente"</formula>
    </cfRule>
    <cfRule type="containsText" priority="1392" operator="containsText" dxfId="0" text="pagado">
      <formula>NOT(ISERROR(SEARCH("pagado",AC1118)))</formula>
    </cfRule>
    <cfRule type="cellIs" priority="1388" operator="equal" dxfId="1">
      <formula>"pendiente"</formula>
    </cfRule>
    <cfRule type="containsText" priority="1389" operator="containsText" dxfId="0" text="pagado">
      <formula>NOT(ISERROR(SEARCH("pagado",AC1118)))</formula>
    </cfRule>
  </conditionalFormatting>
  <conditionalFormatting sqref="AC1118:AE1118 AG1118">
    <cfRule type="containsText" priority="1390" operator="containsText" dxfId="1" text="pendiente">
      <formula>NOT(ISERROR(SEARCH("pendiente",AC1118)))</formula>
    </cfRule>
  </conditionalFormatting>
  <conditionalFormatting sqref="AC1118">
    <cfRule type="cellIs" priority="1387" operator="equal" dxfId="6">
      <formula>"abonado"</formula>
    </cfRule>
  </conditionalFormatting>
  <conditionalFormatting sqref="AC1119:AC1149">
    <cfRule type="cellIs" priority="1385" operator="equal" dxfId="1">
      <formula>"pendiente"</formula>
    </cfRule>
    <cfRule type="containsText" priority="1386" operator="containsText" dxfId="0" text="pagado">
      <formula>NOT(ISERROR(SEARCH("pagado",AC1119)))</formula>
    </cfRule>
  </conditionalFormatting>
  <conditionalFormatting sqref="AC1119:AE1149">
    <cfRule type="cellIs" priority="1383" operator="equal" dxfId="1">
      <formula>"pendiente"</formula>
    </cfRule>
    <cfRule type="containsText" priority="1384" operator="containsText" dxfId="0" text="pagado">
      <formula>NOT(ISERROR(SEARCH("pagado",AC1119)))</formula>
    </cfRule>
    <cfRule type="cellIs" priority="1381" operator="equal" dxfId="1">
      <formula>"pendiente"</formula>
    </cfRule>
    <cfRule type="containsText" priority="1382" operator="containsText" dxfId="0" text="pagado">
      <formula>NOT(ISERROR(SEARCH("pagado",AC1119)))</formula>
    </cfRule>
  </conditionalFormatting>
  <conditionalFormatting sqref="AC1146:AE1146 AG1146">
    <cfRule type="containsText" priority="1380" operator="containsText" dxfId="1" text="pendiente">
      <formula>NOT(ISERROR(SEARCH("pendiente",AC1146)))</formula>
    </cfRule>
  </conditionalFormatting>
  <conditionalFormatting sqref="AC1146:AE1146">
    <cfRule type="cellIs" priority="1378" operator="equal" dxfId="1">
      <formula>"pendiente"</formula>
    </cfRule>
    <cfRule type="containsText" priority="1379" operator="containsText" dxfId="0" text="pagado">
      <formula>NOT(ISERROR(SEARCH("pagado",AC1146)))</formula>
    </cfRule>
  </conditionalFormatting>
  <conditionalFormatting sqref="AC1146:AC1147">
    <cfRule type="cellIs" priority="1377" operator="equal" dxfId="6">
      <formula>"abonado"</formula>
    </cfRule>
    <cfRule type="cellIs" priority="1370" operator="equal" dxfId="6">
      <formula>"abonado"</formula>
    </cfRule>
    <cfRule type="containsText" priority="1373" operator="containsText" dxfId="1" text="pendiente">
      <formula>NOT(ISERROR(SEARCH("pendiente",AC1146)))</formula>
    </cfRule>
    <cfRule type="cellIs" priority="1371" operator="equal" dxfId="1">
      <formula>"pendiente"</formula>
    </cfRule>
    <cfRule type="containsText" priority="1372" operator="containsText" dxfId="0" text="pagado">
      <formula>NOT(ISERROR(SEARCH("pagado",AC1146)))</formula>
    </cfRule>
  </conditionalFormatting>
  <conditionalFormatting sqref="AD1146:AE1146 AG1146">
    <cfRule type="containsText" priority="1376" operator="containsText" dxfId="1" text="pendiente">
      <formula>NOT(ISERROR(SEARCH("pendiente",AD1146)))</formula>
    </cfRule>
  </conditionalFormatting>
  <conditionalFormatting sqref="AD1146:AE1146">
    <cfRule type="cellIs" priority="1374" operator="equal" dxfId="1">
      <formula>"pendiente"</formula>
    </cfRule>
    <cfRule type="containsText" priority="1375" operator="containsText" dxfId="0" text="pagado">
      <formula>NOT(ISERROR(SEARCH("pagado",AD1146)))</formula>
    </cfRule>
  </conditionalFormatting>
  <conditionalFormatting sqref="AC1142:AE1142 AG1142">
    <cfRule type="containsText" priority="1369" operator="containsText" dxfId="1" text="pendiente">
      <formula>NOT(ISERROR(SEARCH("pendiente",AC1142)))</formula>
    </cfRule>
  </conditionalFormatting>
  <conditionalFormatting sqref="AC1142">
    <cfRule type="cellIs" priority="1368" operator="equal" dxfId="6">
      <formula>"abonado"</formula>
    </cfRule>
  </conditionalFormatting>
  <conditionalFormatting sqref="AC1142:AE1142">
    <cfRule type="cellIs" priority="1366" operator="equal" dxfId="1">
      <formula>"pendiente"</formula>
    </cfRule>
    <cfRule type="containsText" priority="1367" operator="containsText" dxfId="0" text="pagado">
      <formula>NOT(ISERROR(SEARCH("pagado",AC1142)))</formula>
    </cfRule>
  </conditionalFormatting>
  <conditionalFormatting sqref="AC1136">
    <cfRule type="containsText" priority="1365" operator="containsText" dxfId="1" text="pendiente">
      <formula>NOT(ISERROR(SEARCH("pendiente",AC1136)))</formula>
    </cfRule>
    <cfRule type="cellIs" priority="1363" operator="equal" dxfId="1">
      <formula>"pendiente"</formula>
    </cfRule>
    <cfRule type="containsText" priority="1364" operator="containsText" dxfId="0" text="pagado">
      <formula>NOT(ISERROR(SEARCH("pagado",AC1136)))</formula>
    </cfRule>
    <cfRule type="cellIs" priority="1362" operator="equal" dxfId="6">
      <formula>"abonado"</formula>
    </cfRule>
  </conditionalFormatting>
  <conditionalFormatting sqref="AD1136:AE1136 AG1136">
    <cfRule type="containsText" priority="1361" operator="containsText" dxfId="1" text="pendiente">
      <formula>NOT(ISERROR(SEARCH("pendiente",AD1136)))</formula>
    </cfRule>
  </conditionalFormatting>
  <conditionalFormatting sqref="AD1136:AE1136">
    <cfRule type="cellIs" priority="1359" operator="equal" dxfId="1">
      <formula>"pendiente"</formula>
    </cfRule>
    <cfRule type="containsText" priority="1360" operator="containsText" dxfId="0" text="pagado">
      <formula>NOT(ISERROR(SEARCH("pagado",AD1136)))</formula>
    </cfRule>
  </conditionalFormatting>
  <conditionalFormatting sqref="AC1137:AC1139">
    <cfRule type="containsText" priority="1358" operator="containsText" dxfId="1" text="pendiente">
      <formula>NOT(ISERROR(SEARCH("pendiente",AC1137)))</formula>
    </cfRule>
    <cfRule type="cellIs" priority="1356" operator="equal" dxfId="1">
      <formula>"pendiente"</formula>
    </cfRule>
    <cfRule type="containsText" priority="1357" operator="containsText" dxfId="0" text="pagado">
      <formula>NOT(ISERROR(SEARCH("pagado",AC1137)))</formula>
    </cfRule>
    <cfRule type="cellIs" priority="1355" operator="equal" dxfId="6">
      <formula>"abonado"</formula>
    </cfRule>
  </conditionalFormatting>
  <conditionalFormatting sqref="AD1137:AE1139 AG1137:AG1139">
    <cfRule type="containsText" priority="1354" operator="containsText" dxfId="1" text="pendiente">
      <formula>NOT(ISERROR(SEARCH("pendiente",AD1137)))</formula>
    </cfRule>
  </conditionalFormatting>
  <conditionalFormatting sqref="AD1137:AE1139">
    <cfRule type="cellIs" priority="1352" operator="equal" dxfId="1">
      <formula>"pendiente"</formula>
    </cfRule>
    <cfRule type="containsText" priority="1353" operator="containsText" dxfId="0" text="pagado">
      <formula>NOT(ISERROR(SEARCH("pagado",AD1137)))</formula>
    </cfRule>
  </conditionalFormatting>
  <conditionalFormatting sqref="AC1140:AC1141">
    <cfRule type="containsText" priority="1351" operator="containsText" dxfId="1" text="pendiente">
      <formula>NOT(ISERROR(SEARCH("pendiente",AC1140)))</formula>
    </cfRule>
    <cfRule type="cellIs" priority="1349" operator="equal" dxfId="1">
      <formula>"pendiente"</formula>
    </cfRule>
    <cfRule type="containsText" priority="1350" operator="containsText" dxfId="0" text="pagado">
      <formula>NOT(ISERROR(SEARCH("pagado",AC1140)))</formula>
    </cfRule>
    <cfRule type="cellIs" priority="1348" operator="equal" dxfId="6">
      <formula>"abonado"</formula>
    </cfRule>
  </conditionalFormatting>
  <conditionalFormatting sqref="AD1140:AE1140 AG1140">
    <cfRule type="containsText" priority="1347" operator="containsText" dxfId="1" text="pendiente">
      <formula>NOT(ISERROR(SEARCH("pendiente",AD1140)))</formula>
    </cfRule>
  </conditionalFormatting>
  <conditionalFormatting sqref="AD1140:AE1140">
    <cfRule type="cellIs" priority="1345" operator="equal" dxfId="1">
      <formula>"pendiente"</formula>
    </cfRule>
    <cfRule type="containsText" priority="1346" operator="containsText" dxfId="0" text="pagado">
      <formula>NOT(ISERROR(SEARCH("pagado",AD1140)))</formula>
    </cfRule>
  </conditionalFormatting>
  <conditionalFormatting sqref="AD1141:AE1141 AG1141">
    <cfRule type="containsText" priority="1344" operator="containsText" dxfId="1" text="pendiente">
      <formula>NOT(ISERROR(SEARCH("pendiente",AD1141)))</formula>
    </cfRule>
  </conditionalFormatting>
  <conditionalFormatting sqref="AD1141:AE1141">
    <cfRule type="cellIs" priority="1342" operator="equal" dxfId="1">
      <formula>"pendiente"</formula>
    </cfRule>
    <cfRule type="containsText" priority="1343" operator="containsText" dxfId="0" text="pagado">
      <formula>NOT(ISERROR(SEARCH("pagado",AD1141)))</formula>
    </cfRule>
  </conditionalFormatting>
  <conditionalFormatting sqref="AC1143:AC1145">
    <cfRule type="containsText" priority="1341" operator="containsText" dxfId="1" text="pendiente">
      <formula>NOT(ISERROR(SEARCH("pendiente",AC1143)))</formula>
    </cfRule>
    <cfRule type="cellIs" priority="1339" operator="equal" dxfId="1">
      <formula>"pendiente"</formula>
    </cfRule>
    <cfRule type="containsText" priority="1340" operator="containsText" dxfId="0" text="pagado">
      <formula>NOT(ISERROR(SEARCH("pagado",AC1143)))</formula>
    </cfRule>
    <cfRule type="cellIs" priority="1338" operator="equal" dxfId="6">
      <formula>"abonado"</formula>
    </cfRule>
  </conditionalFormatting>
  <conditionalFormatting sqref="AD1143:AE1145 AG1143:AG1145">
    <cfRule type="containsText" priority="1337" operator="containsText" dxfId="1" text="pendiente">
      <formula>NOT(ISERROR(SEARCH("pendiente",AD1143)))</formula>
    </cfRule>
  </conditionalFormatting>
  <conditionalFormatting sqref="AD1143:AE1145">
    <cfRule type="cellIs" priority="1335" operator="equal" dxfId="1">
      <formula>"pendiente"</formula>
    </cfRule>
    <cfRule type="containsText" priority="1336" operator="containsText" dxfId="0" text="pagado">
      <formula>NOT(ISERROR(SEARCH("pagado",AD1143)))</formula>
    </cfRule>
  </conditionalFormatting>
  <conditionalFormatting sqref="AC1148">
    <cfRule type="containsText" priority="1334" operator="containsText" dxfId="1" text="pendiente">
      <formula>NOT(ISERROR(SEARCH("pendiente",AC1148)))</formula>
    </cfRule>
    <cfRule type="cellIs" priority="1332" operator="equal" dxfId="1">
      <formula>"pendiente"</formula>
    </cfRule>
    <cfRule type="containsText" priority="1333" operator="containsText" dxfId="0" text="pagado">
      <formula>NOT(ISERROR(SEARCH("pagado",AC1148)))</formula>
    </cfRule>
    <cfRule type="cellIs" priority="1331" operator="equal" dxfId="6">
      <formula>"abonado"</formula>
    </cfRule>
  </conditionalFormatting>
  <conditionalFormatting sqref="AD1148:AE1148 AG1148">
    <cfRule type="containsText" priority="1330" operator="containsText" dxfId="1" text="pendiente">
      <formula>NOT(ISERROR(SEARCH("pendiente",AD1148)))</formula>
    </cfRule>
  </conditionalFormatting>
  <conditionalFormatting sqref="AD1148:AE1148">
    <cfRule type="cellIs" priority="1328" operator="equal" dxfId="1">
      <formula>"pendiente"</formula>
    </cfRule>
    <cfRule type="containsText" priority="1329" operator="containsText" dxfId="0" text="pagado">
      <formula>NOT(ISERROR(SEARCH("pagado",AD1148)))</formula>
    </cfRule>
  </conditionalFormatting>
  <conditionalFormatting sqref="AC1149">
    <cfRule type="containsText" priority="1327" operator="containsText" dxfId="1" text="pendiente">
      <formula>NOT(ISERROR(SEARCH("pendiente",AC1149)))</formula>
    </cfRule>
    <cfRule type="cellIs" priority="1325" operator="equal" dxfId="1">
      <formula>"pendiente"</formula>
    </cfRule>
    <cfRule type="containsText" priority="1326" operator="containsText" dxfId="0" text="pagado">
      <formula>NOT(ISERROR(SEARCH("pagado",AC1149)))</formula>
    </cfRule>
    <cfRule type="cellIs" priority="1324" operator="equal" dxfId="6">
      <formula>"abonado"</formula>
    </cfRule>
  </conditionalFormatting>
  <conditionalFormatting sqref="AD1149:AE1149 AG1149">
    <cfRule type="containsText" priority="1323" operator="containsText" dxfId="1" text="pendiente">
      <formula>NOT(ISERROR(SEARCH("pendiente",AD1149)))</formula>
    </cfRule>
  </conditionalFormatting>
  <conditionalFormatting sqref="AD1149:AE1149">
    <cfRule type="cellIs" priority="1321" operator="equal" dxfId="1">
      <formula>"pendiente"</formula>
    </cfRule>
    <cfRule type="containsText" priority="1322" operator="containsText" dxfId="0" text="pagado">
      <formula>NOT(ISERROR(SEARCH("pagado",AD1149)))</formula>
    </cfRule>
  </conditionalFormatting>
  <conditionalFormatting sqref="AC1147">
    <cfRule type="containsText" priority="1320" operator="containsText" dxfId="1" text="pendiente">
      <formula>NOT(ISERROR(SEARCH("pendiente",AC1147)))</formula>
    </cfRule>
    <cfRule type="cellIs" priority="1318" operator="equal" dxfId="1">
      <formula>"pendiente"</formula>
    </cfRule>
    <cfRule type="containsText" priority="1319" operator="containsText" dxfId="0" text="pagado">
      <formula>NOT(ISERROR(SEARCH("pagado",AC1147)))</formula>
    </cfRule>
  </conditionalFormatting>
  <conditionalFormatting sqref="AD1146:AD1148">
    <cfRule type="cellIs" priority="1312" operator="equal" dxfId="1">
      <formula>"pendiente"</formula>
    </cfRule>
    <cfRule type="containsText" priority="1313" operator="containsText" dxfId="0" text="pagado">
      <formula>NOT(ISERROR(SEARCH("pagado",AD1146)))</formula>
    </cfRule>
    <cfRule type="containsText" priority="1311" operator="containsText" dxfId="1" text="pendiente">
      <formula>NOT(ISERROR(SEARCH("pendiente",AD1146)))</formula>
    </cfRule>
    <cfRule type="cellIs" priority="1309" operator="equal" dxfId="1">
      <formula>"pendiente"</formula>
    </cfRule>
    <cfRule type="containsText" priority="1310" operator="containsText" dxfId="0" text="pagado">
      <formula>NOT(ISERROR(SEARCH("pagado",AD1146)))</formula>
    </cfRule>
  </conditionalFormatting>
  <conditionalFormatting sqref="AC473:AE478">
    <cfRule type="cellIs" priority="1017" operator="equal" dxfId="1">
      <formula>"pendiente"</formula>
    </cfRule>
    <cfRule type="containsText" priority="1018" operator="containsText" dxfId="0" text="pagado">
      <formula>NOT(ISERROR(SEARCH("pagado",AC473)))</formula>
    </cfRule>
  </conditionalFormatting>
  <conditionalFormatting sqref="AC479">
    <cfRule type="containsText" priority="1016" operator="containsText" dxfId="1" text="pendiente">
      <formula>NOT(ISERROR(SEARCH("pendiente",AC479)))</formula>
    </cfRule>
    <cfRule type="cellIs" priority="1014" operator="equal" dxfId="1">
      <formula>"pendiente"</formula>
    </cfRule>
    <cfRule type="containsText" priority="1015" operator="containsText" dxfId="0" text="pagado">
      <formula>NOT(ISERROR(SEARCH("pagado",AC479)))</formula>
    </cfRule>
  </conditionalFormatting>
  <conditionalFormatting sqref="AC479:AD479">
    <cfRule type="containsText" priority="1013" operator="containsText" dxfId="1" text="pendiente">
      <formula>NOT(ISERROR(SEARCH("pendiente",AC479)))</formula>
    </cfRule>
    <cfRule type="cellIs" priority="1011" operator="equal" dxfId="1">
      <formula>"pendiente"</formula>
    </cfRule>
    <cfRule type="containsText" priority="1012" operator="containsText" dxfId="0" text="pagado">
      <formula>NOT(ISERROR(SEARCH("pagado",AC479)))</formula>
    </cfRule>
    <cfRule type="cellIs" priority="1009" operator="equal" dxfId="1">
      <formula>"pendiente"</formula>
    </cfRule>
    <cfRule type="containsText" priority="1010" operator="containsText" dxfId="0" text="pagado">
      <formula>NOT(ISERROR(SEARCH("pagado",AC479)))</formula>
    </cfRule>
  </conditionalFormatting>
  <conditionalFormatting sqref="AE479 AG479">
    <cfRule type="containsText" priority="1008" operator="containsText" dxfId="1" text="pendiente">
      <formula>NOT(ISERROR(SEARCH("pendiente",AE479)))</formula>
    </cfRule>
    <cfRule type="containsText" priority="1005" operator="containsText" dxfId="1" text="pendiente">
      <formula>NOT(ISERROR(SEARCH("pendiente",AE479)))</formula>
    </cfRule>
  </conditionalFormatting>
  <conditionalFormatting sqref="AE479">
    <cfRule type="cellIs" priority="1006" operator="equal" dxfId="1">
      <formula>"pendiente"</formula>
    </cfRule>
    <cfRule type="containsText" priority="1007" operator="containsText" dxfId="0" text="pagado">
      <formula>NOT(ISERROR(SEARCH("pagado",AE479)))</formula>
    </cfRule>
    <cfRule type="cellIs" priority="1003" operator="equal" dxfId="1">
      <formula>"pendiente"</formula>
    </cfRule>
    <cfRule type="containsText" priority="1004" operator="containsText" dxfId="0" text="pagado">
      <formula>NOT(ISERROR(SEARCH("pagado",AE479)))</formula>
    </cfRule>
  </conditionalFormatting>
  <conditionalFormatting sqref="AC480">
    <cfRule type="containsText" priority="1002" operator="containsText" dxfId="1" text="pendiente">
      <formula>NOT(ISERROR(SEARCH("pendiente",AC480)))</formula>
    </cfRule>
    <cfRule type="cellIs" priority="1000" operator="equal" dxfId="1">
      <formula>"pendiente"</formula>
    </cfRule>
    <cfRule type="containsText" priority="1001" operator="containsText" dxfId="0" text="pagado">
      <formula>NOT(ISERROR(SEARCH("pagado",AC480)))</formula>
    </cfRule>
  </conditionalFormatting>
  <conditionalFormatting sqref="AE480 AG480">
    <cfRule type="containsText" priority="993" operator="containsText" dxfId="1" text="pendiente">
      <formula>NOT(ISERROR(SEARCH("pendiente",AE480)))</formula>
    </cfRule>
    <cfRule type="containsText" priority="990" operator="containsText" dxfId="1" text="pendiente">
      <formula>NOT(ISERROR(SEARCH("pendiente",AE480)))</formula>
    </cfRule>
  </conditionalFormatting>
  <conditionalFormatting sqref="AE480">
    <cfRule type="cellIs" priority="991" operator="equal" dxfId="1">
      <formula>"pendiente"</formula>
    </cfRule>
    <cfRule type="containsText" priority="992" operator="containsText" dxfId="0" text="pagado">
      <formula>NOT(ISERROR(SEARCH("pagado",AE480)))</formula>
    </cfRule>
    <cfRule type="cellIs" priority="988" operator="equal" dxfId="1">
      <formula>"pendiente"</formula>
    </cfRule>
    <cfRule type="containsText" priority="989" operator="containsText" dxfId="0" text="pagado">
      <formula>NOT(ISERROR(SEARCH("pagado",AE480)))</formula>
    </cfRule>
  </conditionalFormatting>
  <conditionalFormatting sqref="AC480:AD480">
    <cfRule type="containsText" priority="981" operator="containsText" dxfId="1" text="pendiente">
      <formula>NOT(ISERROR(SEARCH("pendiente",AC480)))</formula>
    </cfRule>
    <cfRule type="cellIs" priority="979" operator="equal" dxfId="1">
      <formula>"pendiente"</formula>
    </cfRule>
    <cfRule type="containsText" priority="980" operator="containsText" dxfId="0" text="pagado">
      <formula>NOT(ISERROR(SEARCH("pagado",AC480)))</formula>
    </cfRule>
    <cfRule type="containsText" priority="978" operator="containsText" dxfId="1" text="pendiente">
      <formula>NOT(ISERROR(SEARCH("pendiente",AC480)))</formula>
    </cfRule>
    <cfRule type="cellIs" priority="976" operator="equal" dxfId="1">
      <formula>"pendiente"</formula>
    </cfRule>
    <cfRule type="containsText" priority="977" operator="containsText" dxfId="0" text="pagado">
      <formula>NOT(ISERROR(SEARCH("pagado",AC480)))</formula>
    </cfRule>
  </conditionalFormatting>
  <conditionalFormatting sqref="AC481:AE481 AG481">
    <cfRule type="containsText" priority="975" operator="containsText" dxfId="1" text="pendiente">
      <formula>NOT(ISERROR(SEARCH("pendiente",AC481)))</formula>
    </cfRule>
  </conditionalFormatting>
  <conditionalFormatting sqref="AC481">
    <cfRule type="cellIs" priority="973" operator="equal" dxfId="1">
      <formula>"pendiente"</formula>
    </cfRule>
    <cfRule type="containsText" priority="974" operator="containsText" dxfId="0" text="pagado">
      <formula>NOT(ISERROR(SEARCH("pagado",AC481)))</formula>
    </cfRule>
  </conditionalFormatting>
  <conditionalFormatting sqref="AD481:AE481">
    <cfRule type="cellIs" priority="971" operator="equal" dxfId="1">
      <formula>"pendiente"</formula>
    </cfRule>
    <cfRule type="containsText" priority="972" operator="containsText" dxfId="0" text="pagado">
      <formula>NOT(ISERROR(SEARCH("pagado",AD481)))</formula>
    </cfRule>
  </conditionalFormatting>
  <conditionalFormatting sqref="AC482:AE482 AG482">
    <cfRule type="containsText" priority="970" operator="containsText" dxfId="1" text="pendiente">
      <formula>NOT(ISERROR(SEARCH("pendiente",AC482)))</formula>
    </cfRule>
  </conditionalFormatting>
  <conditionalFormatting sqref="AC482:AE482">
    <cfRule type="cellIs" priority="968" operator="equal" dxfId="1">
      <formula>"pendiente"</formula>
    </cfRule>
    <cfRule type="containsText" priority="969" operator="containsText" dxfId="0" text="pagado">
      <formula>NOT(ISERROR(SEARCH("pagado",AC482)))</formula>
    </cfRule>
  </conditionalFormatting>
  <conditionalFormatting sqref="AC483:AE487 AG483:AG487">
    <cfRule type="containsText" priority="967" operator="containsText" dxfId="1" text="pendiente">
      <formula>NOT(ISERROR(SEARCH("pendiente",AC483)))</formula>
    </cfRule>
  </conditionalFormatting>
  <conditionalFormatting sqref="AC483:AC487">
    <cfRule type="cellIs" priority="965" operator="equal" dxfId="1">
      <formula>"pendiente"</formula>
    </cfRule>
    <cfRule type="containsText" priority="966" operator="containsText" dxfId="0" text="pagado">
      <formula>NOT(ISERROR(SEARCH("pagado",AC483)))</formula>
    </cfRule>
  </conditionalFormatting>
  <conditionalFormatting sqref="AD483:AE483">
    <cfRule type="cellIs" priority="963" operator="equal" dxfId="1">
      <formula>"pendiente"</formula>
    </cfRule>
    <cfRule type="containsText" priority="964" operator="containsText" dxfId="0" text="pagado">
      <formula>NOT(ISERROR(SEARCH("pagado",AD483)))</formula>
    </cfRule>
  </conditionalFormatting>
  <conditionalFormatting sqref="AD484:AE484">
    <cfRule type="cellIs" priority="961" operator="equal" dxfId="1">
      <formula>"pendiente"</formula>
    </cfRule>
    <cfRule type="containsText" priority="962" operator="containsText" dxfId="0" text="pagado">
      <formula>NOT(ISERROR(SEARCH("pagado",AD484)))</formula>
    </cfRule>
  </conditionalFormatting>
  <conditionalFormatting sqref="AD485:AE485">
    <cfRule type="cellIs" priority="959" operator="equal" dxfId="1">
      <formula>"pendiente"</formula>
    </cfRule>
    <cfRule type="containsText" priority="960" operator="containsText" dxfId="0" text="pagado">
      <formula>NOT(ISERROR(SEARCH("pagado",AD485)))</formula>
    </cfRule>
  </conditionalFormatting>
  <conditionalFormatting sqref="AD486:AE486">
    <cfRule type="cellIs" priority="957" operator="equal" dxfId="1">
      <formula>"pendiente"</formula>
    </cfRule>
    <cfRule type="containsText" priority="958" operator="containsText" dxfId="0" text="pagado">
      <formula>NOT(ISERROR(SEARCH("pagado",AD486)))</formula>
    </cfRule>
  </conditionalFormatting>
  <conditionalFormatting sqref="AD487:AE487">
    <cfRule type="cellIs" priority="953" operator="equal" dxfId="1">
      <formula>"pendiente"</formula>
    </cfRule>
    <cfRule type="containsText" priority="954" operator="containsText" dxfId="0" text="pagado">
      <formula>NOT(ISERROR(SEARCH("pagado",AD487)))</formula>
    </cfRule>
  </conditionalFormatting>
  <conditionalFormatting sqref="AC488:AE488 AG488">
    <cfRule type="containsText" priority="952" operator="containsText" dxfId="1" text="pendiente">
      <formula>NOT(ISERROR(SEARCH("pendiente",AC488)))</formula>
    </cfRule>
  </conditionalFormatting>
  <conditionalFormatting sqref="AC488">
    <cfRule type="cellIs" priority="950" operator="equal" dxfId="1">
      <formula>"pendiente"</formula>
    </cfRule>
    <cfRule type="containsText" priority="951" operator="containsText" dxfId="0" text="pagado">
      <formula>NOT(ISERROR(SEARCH("pagado",AC488)))</formula>
    </cfRule>
  </conditionalFormatting>
  <conditionalFormatting sqref="AD488:AE488">
    <cfRule type="cellIs" priority="948" operator="equal" dxfId="1">
      <formula>"pendiente"</formula>
    </cfRule>
    <cfRule type="containsText" priority="949" operator="containsText" dxfId="0" text="pagado">
      <formula>NOT(ISERROR(SEARCH("pagado",AD488)))</formula>
    </cfRule>
  </conditionalFormatting>
  <conditionalFormatting sqref="AC492:AE497 AG492:AG497">
    <cfRule type="containsText" priority="947" operator="containsText" dxfId="1" text="pendiente">
      <formula>NOT(ISERROR(SEARCH("pendiente",AC492)))</formula>
    </cfRule>
  </conditionalFormatting>
  <conditionalFormatting sqref="AC492:AE492">
    <cfRule type="cellIs" priority="945" operator="equal" dxfId="1">
      <formula>"pendiente"</formula>
    </cfRule>
    <cfRule type="containsText" priority="946" operator="containsText" dxfId="0" text="pagado">
      <formula>NOT(ISERROR(SEARCH("pagado",AC492)))</formula>
    </cfRule>
  </conditionalFormatting>
  <conditionalFormatting sqref="AC493:AE493">
    <cfRule type="cellIs" priority="943" operator="equal" dxfId="1">
      <formula>"pendiente"</formula>
    </cfRule>
    <cfRule type="containsText" priority="944" operator="containsText" dxfId="0" text="pagado">
      <formula>NOT(ISERROR(SEARCH("pagado",AC493)))</formula>
    </cfRule>
  </conditionalFormatting>
  <conditionalFormatting sqref="AC494:AE494">
    <cfRule type="cellIs" priority="941" operator="equal" dxfId="1">
      <formula>"pendiente"</formula>
    </cfRule>
    <cfRule type="containsText" priority="942" operator="containsText" dxfId="0" text="pagado">
      <formula>NOT(ISERROR(SEARCH("pagado",AC494)))</formula>
    </cfRule>
  </conditionalFormatting>
  <conditionalFormatting sqref="AC495:AE496">
    <cfRule type="cellIs" priority="939" operator="equal" dxfId="1">
      <formula>"pendiente"</formula>
    </cfRule>
    <cfRule type="containsText" priority="940" operator="containsText" dxfId="0" text="pagado">
      <formula>NOT(ISERROR(SEARCH("pagado",AC495)))</formula>
    </cfRule>
  </conditionalFormatting>
  <conditionalFormatting sqref="AC489:AE489 AG489">
    <cfRule type="containsText" priority="938" operator="containsText" dxfId="1" text="pendiente">
      <formula>NOT(ISERROR(SEARCH("pendiente",AC489)))</formula>
    </cfRule>
  </conditionalFormatting>
  <conditionalFormatting sqref="AC489:AE489">
    <cfRule type="cellIs" priority="936" operator="equal" dxfId="1">
      <formula>"pendiente"</formula>
    </cfRule>
    <cfRule type="containsText" priority="937" operator="containsText" dxfId="0" text="pagado">
      <formula>NOT(ISERROR(SEARCH("pagado",AC489)))</formula>
    </cfRule>
  </conditionalFormatting>
  <conditionalFormatting sqref="AC490:AE491 AG490:AG491">
    <cfRule type="containsText" priority="935" operator="containsText" dxfId="1" text="pendiente">
      <formula>NOT(ISERROR(SEARCH("pendiente",AC490)))</formula>
    </cfRule>
  </conditionalFormatting>
  <conditionalFormatting sqref="AC490:AE491">
    <cfRule type="cellIs" priority="933" operator="equal" dxfId="1">
      <formula>"pendiente"</formula>
    </cfRule>
    <cfRule type="containsText" priority="934" operator="containsText" dxfId="0" text="pagado">
      <formula>NOT(ISERROR(SEARCH("pagado",AC490)))</formula>
    </cfRule>
  </conditionalFormatting>
  <conditionalFormatting sqref="AC500:AC543">
    <cfRule type="containsText" priority="932" operator="containsText" dxfId="1" text="pendiente">
      <formula>NOT(ISERROR(SEARCH("pendiente",AC500)))</formula>
    </cfRule>
    <cfRule type="cellIs" priority="930" operator="equal" dxfId="1">
      <formula>"pendiente"</formula>
    </cfRule>
    <cfRule type="containsText" priority="931" operator="containsText" dxfId="0" text="pagado">
      <formula>NOT(ISERROR(SEARCH("pagado",AC500)))</formula>
    </cfRule>
  </conditionalFormatting>
  <conditionalFormatting sqref="AC498:AD544">
    <cfRule type="containsText" priority="929" operator="containsText" dxfId="1" text="pendiente">
      <formula>NOT(ISERROR(SEARCH("pendiente",AC498)))</formula>
    </cfRule>
  </conditionalFormatting>
  <conditionalFormatting sqref="AC498:AD509">
    <cfRule type="cellIs" priority="927" operator="equal" dxfId="1">
      <formula>"pendiente"</formula>
    </cfRule>
    <cfRule type="containsText" priority="928" operator="containsText" dxfId="0" text="pagado">
      <formula>NOT(ISERROR(SEARCH("pagado",AC498)))</formula>
    </cfRule>
  </conditionalFormatting>
  <conditionalFormatting sqref="AC523:AD523 AD517:AD522">
    <cfRule type="cellIs" priority="925" operator="equal" dxfId="1">
      <formula>"pendiente"</formula>
    </cfRule>
    <cfRule type="containsText" priority="926" operator="containsText" dxfId="0" text="pagado">
      <formula>NOT(ISERROR(SEARCH("pagado",AC517)))</formula>
    </cfRule>
  </conditionalFormatting>
  <conditionalFormatting sqref="AC498:AD498">
    <cfRule type="containsText" priority="924" operator="containsText" dxfId="1" text="pendiente">
      <formula>NOT(ISERROR(SEARCH("pendiente",AC498)))</formula>
    </cfRule>
    <cfRule type="cellIs" priority="922" operator="equal" dxfId="1">
      <formula>"pendiente"</formula>
    </cfRule>
    <cfRule type="containsText" priority="923" operator="containsText" dxfId="0" text="pagado">
      <formula>NOT(ISERROR(SEARCH("pagado",AC498)))</formula>
    </cfRule>
  </conditionalFormatting>
  <conditionalFormatting sqref="AC499:AD499">
    <cfRule type="containsText" priority="921" operator="containsText" dxfId="1" text="pendiente">
      <formula>NOT(ISERROR(SEARCH("pendiente",AC499)))</formula>
    </cfRule>
    <cfRule type="cellIs" priority="919" operator="equal" dxfId="1">
      <formula>"pendiente"</formula>
    </cfRule>
    <cfRule type="containsText" priority="920" operator="containsText" dxfId="0" text="pagado">
      <formula>NOT(ISERROR(SEARCH("pagado",AC499)))</formula>
    </cfRule>
  </conditionalFormatting>
  <conditionalFormatting sqref="AC500:AD500">
    <cfRule type="containsText" priority="918" operator="containsText" dxfId="1" text="pendiente">
      <formula>NOT(ISERROR(SEARCH("pendiente",AC500)))</formula>
    </cfRule>
    <cfRule type="cellIs" priority="916" operator="equal" dxfId="1">
      <formula>"pendiente"</formula>
    </cfRule>
    <cfRule type="containsText" priority="917" operator="containsText" dxfId="0" text="pagado">
      <formula>NOT(ISERROR(SEARCH("pagado",AC500)))</formula>
    </cfRule>
  </conditionalFormatting>
  <conditionalFormatting sqref="AC500">
    <cfRule type="cellIs" priority="915" operator="equal" dxfId="6">
      <formula>"abonado"</formula>
    </cfRule>
  </conditionalFormatting>
  <conditionalFormatting sqref="AC501:AD501">
    <cfRule type="containsText" priority="914" operator="containsText" dxfId="1" text="pendiente">
      <formula>NOT(ISERROR(SEARCH("pendiente",AC501)))</formula>
    </cfRule>
    <cfRule type="cellIs" priority="912" operator="equal" dxfId="1">
      <formula>"pendiente"</formula>
    </cfRule>
    <cfRule type="containsText" priority="913" operator="containsText" dxfId="0" text="pagado">
      <formula>NOT(ISERROR(SEARCH("pagado",AC501)))</formula>
    </cfRule>
  </conditionalFormatting>
  <conditionalFormatting sqref="AC502:AD502">
    <cfRule type="containsText" priority="911" operator="containsText" dxfId="1" text="pendiente">
      <formula>NOT(ISERROR(SEARCH("pendiente",AC502)))</formula>
    </cfRule>
    <cfRule type="cellIs" priority="909" operator="equal" dxfId="1">
      <formula>"pendiente"</formula>
    </cfRule>
    <cfRule type="containsText" priority="910" operator="containsText" dxfId="0" text="pagado">
      <formula>NOT(ISERROR(SEARCH("pagado",AC502)))</formula>
    </cfRule>
  </conditionalFormatting>
  <conditionalFormatting sqref="AC502">
    <cfRule type="cellIs" priority="908" operator="equal" dxfId="6">
      <formula>"abonado"</formula>
    </cfRule>
  </conditionalFormatting>
  <conditionalFormatting sqref="AC503:AD503">
    <cfRule type="containsText" priority="907" operator="containsText" dxfId="1" text="pendiente">
      <formula>NOT(ISERROR(SEARCH("pendiente",AC503)))</formula>
    </cfRule>
    <cfRule type="cellIs" priority="905" operator="equal" dxfId="1">
      <formula>"pendiente"</formula>
    </cfRule>
    <cfRule type="containsText" priority="906" operator="containsText" dxfId="0" text="pagado">
      <formula>NOT(ISERROR(SEARCH("pagado",AC503)))</formula>
    </cfRule>
  </conditionalFormatting>
  <conditionalFormatting sqref="AC503">
    <cfRule type="cellIs" priority="904" operator="equal" dxfId="6">
      <formula>"abonado"</formula>
    </cfRule>
  </conditionalFormatting>
  <conditionalFormatting sqref="AC504:AD504">
    <cfRule type="containsText" priority="903" operator="containsText" dxfId="1" text="pendiente">
      <formula>NOT(ISERROR(SEARCH("pendiente",AC504)))</formula>
    </cfRule>
    <cfRule type="cellIs" priority="901" operator="equal" dxfId="1">
      <formula>"pendiente"</formula>
    </cfRule>
    <cfRule type="containsText" priority="902" operator="containsText" dxfId="0" text="pagado">
      <formula>NOT(ISERROR(SEARCH("pagado",AC504)))</formula>
    </cfRule>
  </conditionalFormatting>
  <conditionalFormatting sqref="AC505:AD505">
    <cfRule type="containsText" priority="900" operator="containsText" dxfId="1" text="pendiente">
      <formula>NOT(ISERROR(SEARCH("pendiente",AC505)))</formula>
    </cfRule>
    <cfRule type="cellIs" priority="898" operator="equal" dxfId="1">
      <formula>"pendiente"</formula>
    </cfRule>
    <cfRule type="containsText" priority="899" operator="containsText" dxfId="0" text="pagado">
      <formula>NOT(ISERROR(SEARCH("pagado",AC505)))</formula>
    </cfRule>
  </conditionalFormatting>
  <conditionalFormatting sqref="AC505">
    <cfRule type="cellIs" priority="897" operator="equal" dxfId="6">
      <formula>"abonado"</formula>
    </cfRule>
  </conditionalFormatting>
  <conditionalFormatting sqref="AC506:AD506">
    <cfRule type="containsText" priority="896" operator="containsText" dxfId="1" text="pendiente">
      <formula>NOT(ISERROR(SEARCH("pendiente",AC506)))</formula>
    </cfRule>
    <cfRule type="cellIs" priority="894" operator="equal" dxfId="1">
      <formula>"pendiente"</formula>
    </cfRule>
    <cfRule type="containsText" priority="895" operator="containsText" dxfId="0" text="pagado">
      <formula>NOT(ISERROR(SEARCH("pagado",AC506)))</formula>
    </cfRule>
  </conditionalFormatting>
  <conditionalFormatting sqref="AC506">
    <cfRule type="cellIs" priority="893" operator="equal" dxfId="6">
      <formula>"abonado"</formula>
    </cfRule>
  </conditionalFormatting>
  <conditionalFormatting sqref="AC507:AD507">
    <cfRule type="cellIs" priority="891" operator="equal" dxfId="1">
      <formula>"pendiente"</formula>
    </cfRule>
    <cfRule type="containsText" priority="892" operator="containsText" dxfId="0" text="pagado">
      <formula>NOT(ISERROR(SEARCH("pagado",AC507)))</formula>
    </cfRule>
  </conditionalFormatting>
  <conditionalFormatting sqref="AC508:AD508">
    <cfRule type="cellIs" priority="889" operator="equal" dxfId="1">
      <formula>"pendiente"</formula>
    </cfRule>
    <cfRule type="containsText" priority="890" operator="containsText" dxfId="0" text="pagado">
      <formula>NOT(ISERROR(SEARCH("pagado",AC508)))</formula>
    </cfRule>
  </conditionalFormatting>
  <conditionalFormatting sqref="AC509:AD509">
    <cfRule type="cellIs" priority="887" operator="equal" dxfId="1">
      <formula>"pendiente"</formula>
    </cfRule>
    <cfRule type="containsText" priority="888" operator="containsText" dxfId="0" text="pagado">
      <formula>NOT(ISERROR(SEARCH("pagado",AC509)))</formula>
    </cfRule>
  </conditionalFormatting>
  <conditionalFormatting sqref="AC510:AD510">
    <cfRule type="cellIs" priority="885" operator="equal" dxfId="1">
      <formula>"pendiente"</formula>
    </cfRule>
    <cfRule type="containsText" priority="886" operator="containsText" dxfId="0" text="pagado">
      <formula>NOT(ISERROR(SEARCH("pagado",AC510)))</formula>
    </cfRule>
    <cfRule type="cellIs" priority="883" operator="equal" dxfId="1">
      <formula>"pendiente"</formula>
    </cfRule>
    <cfRule type="containsText" priority="884" operator="containsText" dxfId="0" text="pagado">
      <formula>NOT(ISERROR(SEARCH("pagado",AC510)))</formula>
    </cfRule>
  </conditionalFormatting>
  <conditionalFormatting sqref="AC511:AD511">
    <cfRule type="cellIs" priority="881" operator="equal" dxfId="1">
      <formula>"pendiente"</formula>
    </cfRule>
    <cfRule type="containsText" priority="882" operator="containsText" dxfId="0" text="pagado">
      <formula>NOT(ISERROR(SEARCH("pagado",AC511)))</formula>
    </cfRule>
    <cfRule type="cellIs" priority="879" operator="equal" dxfId="1">
      <formula>"pendiente"</formula>
    </cfRule>
    <cfRule type="containsText" priority="880" operator="containsText" dxfId="0" text="pagado">
      <formula>NOT(ISERROR(SEARCH("pagado",AC511)))</formula>
    </cfRule>
  </conditionalFormatting>
  <conditionalFormatting sqref="AC512:AD516">
    <cfRule type="cellIs" priority="877" operator="equal" dxfId="1">
      <formula>"pendiente"</formula>
    </cfRule>
    <cfRule type="containsText" priority="878" operator="containsText" dxfId="0" text="pagado">
      <formula>NOT(ISERROR(SEARCH("pagado",AC512)))</formula>
    </cfRule>
    <cfRule type="cellIs" priority="875" operator="equal" dxfId="1">
      <formula>"pendiente"</formula>
    </cfRule>
    <cfRule type="containsText" priority="876" operator="containsText" dxfId="0" text="pagado">
      <formula>NOT(ISERROR(SEARCH("pagado",AC512)))</formula>
    </cfRule>
  </conditionalFormatting>
  <conditionalFormatting sqref="AC524:AD532">
    <cfRule type="cellIs" priority="873" operator="equal" dxfId="1">
      <formula>"pendiente"</formula>
    </cfRule>
    <cfRule type="containsText" priority="874" operator="containsText" dxfId="0" text="pagado">
      <formula>NOT(ISERROR(SEARCH("pagado",AC524)))</formula>
    </cfRule>
  </conditionalFormatting>
  <conditionalFormatting sqref="AC525:AD532">
    <cfRule type="cellIs" priority="871" operator="equal" dxfId="1">
      <formula>"pendiente"</formula>
    </cfRule>
    <cfRule type="containsText" priority="872" operator="containsText" dxfId="0" text="pagado">
      <formula>NOT(ISERROR(SEARCH("pagado",AC525)))</formula>
    </cfRule>
  </conditionalFormatting>
  <conditionalFormatting sqref="AC498">
    <cfRule type="containsText" priority="870" operator="containsText" dxfId="1" text="pendiente">
      <formula>NOT(ISERROR(SEARCH("pendiente",AC498)))</formula>
    </cfRule>
    <cfRule type="cellIs" priority="868" operator="equal" dxfId="1">
      <formula>"pendiente"</formula>
    </cfRule>
    <cfRule type="containsText" priority="869" operator="containsText" dxfId="0" text="pagado">
      <formula>NOT(ISERROR(SEARCH("pagado",AC498)))</formula>
    </cfRule>
  </conditionalFormatting>
  <conditionalFormatting sqref="AC533:AD544">
    <cfRule type="cellIs" priority="866" operator="equal" dxfId="1">
      <formula>"pendiente"</formula>
    </cfRule>
    <cfRule type="containsText" priority="867" operator="containsText" dxfId="0" text="pagado">
      <formula>NOT(ISERROR(SEARCH("pagado",AC533)))</formula>
    </cfRule>
    <cfRule type="cellIs" priority="864" operator="equal" dxfId="1">
      <formula>"pendiente"</formula>
    </cfRule>
    <cfRule type="containsText" priority="865" operator="containsText" dxfId="0" text="pagado">
      <formula>NOT(ISERROR(SEARCH("pagado",AC533)))</formula>
    </cfRule>
  </conditionalFormatting>
  <conditionalFormatting sqref="AE498:AE549 AG498:AG549">
    <cfRule type="containsText" priority="863" operator="containsText" dxfId="1" text="pendiente">
      <formula>NOT(ISERROR(SEARCH("pendiente",AE498)))</formula>
    </cfRule>
    <cfRule type="containsText" priority="860" operator="containsText" dxfId="1" text="pendiente">
      <formula>NOT(ISERROR(SEARCH("pendiente",AE498)))</formula>
    </cfRule>
  </conditionalFormatting>
  <conditionalFormatting sqref="AE498:AE549">
    <cfRule type="cellIs" priority="861" operator="equal" dxfId="1">
      <formula>"pendiente"</formula>
    </cfRule>
    <cfRule type="containsText" priority="862" operator="containsText" dxfId="0" text="pagado">
      <formula>NOT(ISERROR(SEARCH("pagado",AE498)))</formula>
    </cfRule>
    <cfRule type="cellIs" priority="858" operator="equal" dxfId="1">
      <formula>"pendiente"</formula>
    </cfRule>
    <cfRule type="containsText" priority="859" operator="containsText" dxfId="0" text="pagado">
      <formula>NOT(ISERROR(SEARCH("pagado",AE498)))</formula>
    </cfRule>
  </conditionalFormatting>
  <conditionalFormatting sqref="AC544:AD544">
    <cfRule type="containsText" priority="857" operator="containsText" dxfId="1" text="pendiente">
      <formula>NOT(ISERROR(SEARCH("pendiente",AC544)))</formula>
    </cfRule>
    <cfRule type="cellIs" priority="855" operator="equal" dxfId="1">
      <formula>"pendiente"</formula>
    </cfRule>
    <cfRule type="containsText" priority="856" operator="containsText" dxfId="0" text="pagado">
      <formula>NOT(ISERROR(SEARCH("pagado",AC544)))</formula>
    </cfRule>
    <cfRule type="cellIs" priority="853" operator="equal" dxfId="1">
      <formula>"pendiente"</formula>
    </cfRule>
    <cfRule type="containsText" priority="854" operator="containsText" dxfId="0" text="pagado">
      <formula>NOT(ISERROR(SEARCH("pagado",AC544)))</formula>
    </cfRule>
  </conditionalFormatting>
  <conditionalFormatting sqref="AE544:AE549 AG544:AG549">
    <cfRule type="containsText" priority="852" operator="containsText" dxfId="1" text="pendiente">
      <formula>NOT(ISERROR(SEARCH("pendiente",AE544)))</formula>
    </cfRule>
    <cfRule type="containsText" priority="849" operator="containsText" dxfId="1" text="pendiente">
      <formula>NOT(ISERROR(SEARCH("pendiente",AE544)))</formula>
    </cfRule>
  </conditionalFormatting>
  <conditionalFormatting sqref="AE544:AE549">
    <cfRule type="cellIs" priority="850" operator="equal" dxfId="1">
      <formula>"pendiente"</formula>
    </cfRule>
    <cfRule type="containsText" priority="851" operator="containsText" dxfId="0" text="pagado">
      <formula>NOT(ISERROR(SEARCH("pagado",AE544)))</formula>
    </cfRule>
    <cfRule type="cellIs" priority="847" operator="equal" dxfId="1">
      <formula>"pendiente"</formula>
    </cfRule>
    <cfRule type="containsText" priority="848" operator="containsText" dxfId="0" text="pagado">
      <formula>NOT(ISERROR(SEARCH("pagado",AE544)))</formula>
    </cfRule>
  </conditionalFormatting>
  <conditionalFormatting sqref="AC545:AD545">
    <cfRule type="containsText" priority="843" operator="containsText" dxfId="1" text="pendiente">
      <formula>NOT(ISERROR(SEARCH("pendiente",AC545)))</formula>
    </cfRule>
    <cfRule type="cellIs" priority="841" operator="equal" dxfId="1">
      <formula>"pendiente"</formula>
    </cfRule>
    <cfRule type="containsText" priority="842" operator="containsText" dxfId="0" text="pagado">
      <formula>NOT(ISERROR(SEARCH("pagado",AC545)))</formula>
    </cfRule>
    <cfRule type="cellIs" priority="839" operator="equal" dxfId="1">
      <formula>"pendiente"</formula>
    </cfRule>
    <cfRule type="containsText" priority="840" operator="containsText" dxfId="0" text="pagado">
      <formula>NOT(ISERROR(SEARCH("pagado",AC545)))</formula>
    </cfRule>
    <cfRule type="containsText" priority="838" operator="containsText" dxfId="1" text="pendiente">
      <formula>NOT(ISERROR(SEARCH("pendiente",AC545)))</formula>
    </cfRule>
    <cfRule type="cellIs" priority="836" operator="equal" dxfId="1">
      <formula>"pendiente"</formula>
    </cfRule>
    <cfRule type="containsText" priority="837" operator="containsText" dxfId="0" text="pagado">
      <formula>NOT(ISERROR(SEARCH("pagado",AC545)))</formula>
    </cfRule>
    <cfRule type="cellIs" priority="834" operator="equal" dxfId="1">
      <formula>"pendiente"</formula>
    </cfRule>
    <cfRule type="containsText" priority="835" operator="containsText" dxfId="0" text="pagado">
      <formula>NOT(ISERROR(SEARCH("pagado",AC545)))</formula>
    </cfRule>
  </conditionalFormatting>
  <conditionalFormatting sqref="AC546:AE546">
    <cfRule type="cellIs" priority="832" operator="equal" dxfId="1">
      <formula>"pendiente"</formula>
    </cfRule>
    <cfRule type="containsText" priority="833" operator="containsText" dxfId="0" text="pagado">
      <formula>NOT(ISERROR(SEARCH("pagado",AC546)))</formula>
    </cfRule>
  </conditionalFormatting>
  <conditionalFormatting sqref="AC546:AD546">
    <cfRule type="containsText" priority="831" operator="containsText" dxfId="1" text="pendiente">
      <formula>NOT(ISERROR(SEARCH("pendiente",AC546)))</formula>
    </cfRule>
    <cfRule type="cellIs" priority="829" operator="equal" dxfId="1">
      <formula>"pendiente"</formula>
    </cfRule>
    <cfRule type="containsText" priority="830" operator="containsText" dxfId="0" text="pagado">
      <formula>NOT(ISERROR(SEARCH("pagado",AC546)))</formula>
    </cfRule>
    <cfRule type="cellIs" priority="827" operator="equal" dxfId="1">
      <formula>"pendiente"</formula>
    </cfRule>
    <cfRule type="containsText" priority="828" operator="containsText" dxfId="0" text="pagado">
      <formula>NOT(ISERROR(SEARCH("pagado",AC546)))</formula>
    </cfRule>
    <cfRule type="containsText" priority="826" operator="containsText" dxfId="1" text="pendiente">
      <formula>NOT(ISERROR(SEARCH("pendiente",AC546)))</formula>
    </cfRule>
    <cfRule type="cellIs" priority="824" operator="equal" dxfId="1">
      <formula>"pendiente"</formula>
    </cfRule>
    <cfRule type="containsText" priority="825" operator="containsText" dxfId="0" text="pagado">
      <formula>NOT(ISERROR(SEARCH("pagado",AC546)))</formula>
    </cfRule>
    <cfRule type="cellIs" priority="822" operator="equal" dxfId="1">
      <formula>"pendiente"</formula>
    </cfRule>
    <cfRule type="containsText" priority="823" operator="containsText" dxfId="0" text="pagado">
      <formula>NOT(ISERROR(SEARCH("pagado",AC546)))</formula>
    </cfRule>
  </conditionalFormatting>
  <conditionalFormatting sqref="AC547:AE547">
    <cfRule type="cellIs" priority="820" operator="equal" dxfId="1">
      <formula>"pendiente"</formula>
    </cfRule>
    <cfRule type="containsText" priority="821" operator="containsText" dxfId="0" text="pagado">
      <formula>NOT(ISERROR(SEARCH("pagado",AC547)))</formula>
    </cfRule>
  </conditionalFormatting>
  <conditionalFormatting sqref="AC547:AD547">
    <cfRule type="containsText" priority="819" operator="containsText" dxfId="1" text="pendiente">
      <formula>NOT(ISERROR(SEARCH("pendiente",AC547)))</formula>
    </cfRule>
    <cfRule type="cellIs" priority="817" operator="equal" dxfId="1">
      <formula>"pendiente"</formula>
    </cfRule>
    <cfRule type="containsText" priority="818" operator="containsText" dxfId="0" text="pagado">
      <formula>NOT(ISERROR(SEARCH("pagado",AC547)))</formula>
    </cfRule>
    <cfRule type="cellIs" priority="815" operator="equal" dxfId="1">
      <formula>"pendiente"</formula>
    </cfRule>
    <cfRule type="containsText" priority="816" operator="containsText" dxfId="0" text="pagado">
      <formula>NOT(ISERROR(SEARCH("pagado",AC547)))</formula>
    </cfRule>
    <cfRule type="containsText" priority="814" operator="containsText" dxfId="1" text="pendiente">
      <formula>NOT(ISERROR(SEARCH("pendiente",AC547)))</formula>
    </cfRule>
    <cfRule type="cellIs" priority="812" operator="equal" dxfId="1">
      <formula>"pendiente"</formula>
    </cfRule>
    <cfRule type="containsText" priority="813" operator="containsText" dxfId="0" text="pagado">
      <formula>NOT(ISERROR(SEARCH("pagado",AC547)))</formula>
    </cfRule>
    <cfRule type="cellIs" priority="810" operator="equal" dxfId="1">
      <formula>"pendiente"</formula>
    </cfRule>
    <cfRule type="containsText" priority="811" operator="containsText" dxfId="0" text="pagado">
      <formula>NOT(ISERROR(SEARCH("pagado",AC547)))</formula>
    </cfRule>
  </conditionalFormatting>
  <conditionalFormatting sqref="AC548:AE548">
    <cfRule type="cellIs" priority="808" operator="equal" dxfId="1">
      <formula>"pendiente"</formula>
    </cfRule>
    <cfRule type="containsText" priority="809" operator="containsText" dxfId="0" text="pagado">
      <formula>NOT(ISERROR(SEARCH("pagado",AC548)))</formula>
    </cfRule>
  </conditionalFormatting>
  <conditionalFormatting sqref="AC548:AD548">
    <cfRule type="containsText" priority="807" operator="containsText" dxfId="1" text="pendiente">
      <formula>NOT(ISERROR(SEARCH("pendiente",AC548)))</formula>
    </cfRule>
    <cfRule type="cellIs" priority="805" operator="equal" dxfId="1">
      <formula>"pendiente"</formula>
    </cfRule>
    <cfRule type="containsText" priority="806" operator="containsText" dxfId="0" text="pagado">
      <formula>NOT(ISERROR(SEARCH("pagado",AC548)))</formula>
    </cfRule>
    <cfRule type="cellIs" priority="803" operator="equal" dxfId="1">
      <formula>"pendiente"</formula>
    </cfRule>
    <cfRule type="containsText" priority="804" operator="containsText" dxfId="0" text="pagado">
      <formula>NOT(ISERROR(SEARCH("pagado",AC548)))</formula>
    </cfRule>
    <cfRule type="containsText" priority="802" operator="containsText" dxfId="1" text="pendiente">
      <formula>NOT(ISERROR(SEARCH("pendiente",AC548)))</formula>
    </cfRule>
    <cfRule type="cellIs" priority="800" operator="equal" dxfId="1">
      <formula>"pendiente"</formula>
    </cfRule>
    <cfRule type="containsText" priority="801" operator="containsText" dxfId="0" text="pagado">
      <formula>NOT(ISERROR(SEARCH("pagado",AC548)))</formula>
    </cfRule>
    <cfRule type="cellIs" priority="798" operator="equal" dxfId="1">
      <formula>"pendiente"</formula>
    </cfRule>
    <cfRule type="containsText" priority="799" operator="containsText" dxfId="0" text="pagado">
      <formula>NOT(ISERROR(SEARCH("pagado",AC548)))</formula>
    </cfRule>
  </conditionalFormatting>
  <conditionalFormatting sqref="AC549:AE549">
    <cfRule type="cellIs" priority="796" operator="equal" dxfId="1">
      <formula>"pendiente"</formula>
    </cfRule>
    <cfRule type="containsText" priority="797" operator="containsText" dxfId="0" text="pagado">
      <formula>NOT(ISERROR(SEARCH("pagado",AC549)))</formula>
    </cfRule>
  </conditionalFormatting>
  <conditionalFormatting sqref="AC549:AD549">
    <cfRule type="containsText" priority="795" operator="containsText" dxfId="1" text="pendiente">
      <formula>NOT(ISERROR(SEARCH("pendiente",AC549)))</formula>
    </cfRule>
    <cfRule type="cellIs" priority="793" operator="equal" dxfId="1">
      <formula>"pendiente"</formula>
    </cfRule>
    <cfRule type="containsText" priority="794" operator="containsText" dxfId="0" text="pagado">
      <formula>NOT(ISERROR(SEARCH("pagado",AC549)))</formula>
    </cfRule>
    <cfRule type="cellIs" priority="791" operator="equal" dxfId="1">
      <formula>"pendiente"</formula>
    </cfRule>
    <cfRule type="containsText" priority="792" operator="containsText" dxfId="0" text="pagado">
      <formula>NOT(ISERROR(SEARCH("pagado",AC549)))</formula>
    </cfRule>
    <cfRule type="containsText" priority="790" operator="containsText" dxfId="1" text="pendiente">
      <formula>NOT(ISERROR(SEARCH("pendiente",AC549)))</formula>
    </cfRule>
    <cfRule type="cellIs" priority="788" operator="equal" dxfId="1">
      <formula>"pendiente"</formula>
    </cfRule>
    <cfRule type="containsText" priority="789" operator="containsText" dxfId="0" text="pagado">
      <formula>NOT(ISERROR(SEARCH("pagado",AC549)))</formula>
    </cfRule>
    <cfRule type="cellIs" priority="786" operator="equal" dxfId="1">
      <formula>"pendiente"</formula>
    </cfRule>
    <cfRule type="containsText" priority="787" operator="containsText" dxfId="0" text="pagado">
      <formula>NOT(ISERROR(SEARCH("pagado",AC549)))</formula>
    </cfRule>
  </conditionalFormatting>
  <conditionalFormatting sqref="AC497:AE497">
    <cfRule type="cellIs" priority="784" operator="equal" dxfId="1">
      <formula>"pendiente"</formula>
    </cfRule>
    <cfRule type="containsText" priority="785" operator="containsText" dxfId="0" text="pagado">
      <formula>NOT(ISERROR(SEARCH("pagado",AC497)))</formula>
    </cfRule>
  </conditionalFormatting>
  <conditionalFormatting sqref="AC550:AE550 AG550">
    <cfRule type="containsText" priority="783" operator="containsText" dxfId="1" text="pendiente">
      <formula>NOT(ISERROR(SEARCH("pendiente",AC550)))</formula>
    </cfRule>
  </conditionalFormatting>
  <conditionalFormatting sqref="AC550">
    <cfRule type="cellIs" priority="782" operator="equal" dxfId="6">
      <formula>"abonado"</formula>
    </cfRule>
  </conditionalFormatting>
  <conditionalFormatting sqref="AE550 AG550">
    <cfRule type="containsText" priority="781" operator="containsText" dxfId="1" text="pendiente">
      <formula>NOT(ISERROR(SEARCH("pendiente",AE550)))</formula>
    </cfRule>
    <cfRule type="containsText" priority="778" operator="containsText" dxfId="1" text="pendiente">
      <formula>NOT(ISERROR(SEARCH("pendiente",AE550)))</formula>
    </cfRule>
    <cfRule type="containsText" priority="775" operator="containsText" dxfId="1" text="pendiente">
      <formula>NOT(ISERROR(SEARCH("pendiente",AE550)))</formula>
    </cfRule>
    <cfRule type="containsText" priority="772" operator="containsText" dxfId="1" text="pendiente">
      <formula>NOT(ISERROR(SEARCH("pendiente",AE550)))</formula>
    </cfRule>
  </conditionalFormatting>
  <conditionalFormatting sqref="AE550">
    <cfRule type="cellIs" priority="779" operator="equal" dxfId="1">
      <formula>"pendiente"</formula>
    </cfRule>
    <cfRule type="containsText" priority="780" operator="containsText" dxfId="0" text="pagado">
      <formula>NOT(ISERROR(SEARCH("pagado",AE550)))</formula>
    </cfRule>
    <cfRule type="cellIs" priority="776" operator="equal" dxfId="1">
      <formula>"pendiente"</formula>
    </cfRule>
    <cfRule type="containsText" priority="777" operator="containsText" dxfId="0" text="pagado">
      <formula>NOT(ISERROR(SEARCH("pagado",AE550)))</formula>
    </cfRule>
    <cfRule type="cellIs" priority="773" operator="equal" dxfId="1">
      <formula>"pendiente"</formula>
    </cfRule>
    <cfRule type="containsText" priority="774" operator="containsText" dxfId="0" text="pagado">
      <formula>NOT(ISERROR(SEARCH("pagado",AE550)))</formula>
    </cfRule>
    <cfRule type="cellIs" priority="770" operator="equal" dxfId="1">
      <formula>"pendiente"</formula>
    </cfRule>
    <cfRule type="containsText" priority="771" operator="containsText" dxfId="0" text="pagado">
      <formula>NOT(ISERROR(SEARCH("pagado",AE550)))</formula>
    </cfRule>
  </conditionalFormatting>
  <conditionalFormatting sqref="AC550:AE550">
    <cfRule type="cellIs" priority="768" operator="equal" dxfId="1">
      <formula>"pendiente"</formula>
    </cfRule>
    <cfRule type="containsText" priority="769" operator="containsText" dxfId="0" text="pagado">
      <formula>NOT(ISERROR(SEARCH("pagado",AC550)))</formula>
    </cfRule>
  </conditionalFormatting>
  <conditionalFormatting sqref="AC550:AD550">
    <cfRule type="containsText" priority="767" operator="containsText" dxfId="1" text="pendiente">
      <formula>NOT(ISERROR(SEARCH("pendiente",AC550)))</formula>
    </cfRule>
    <cfRule type="cellIs" priority="765" operator="equal" dxfId="1">
      <formula>"pendiente"</formula>
    </cfRule>
    <cfRule type="containsText" priority="766" operator="containsText" dxfId="0" text="pagado">
      <formula>NOT(ISERROR(SEARCH("pagado",AC550)))</formula>
    </cfRule>
    <cfRule type="cellIs" priority="763" operator="equal" dxfId="1">
      <formula>"pendiente"</formula>
    </cfRule>
    <cfRule type="containsText" priority="764" operator="containsText" dxfId="0" text="pagado">
      <formula>NOT(ISERROR(SEARCH("pagado",AC550)))</formula>
    </cfRule>
    <cfRule type="containsText" priority="762" operator="containsText" dxfId="1" text="pendiente">
      <formula>NOT(ISERROR(SEARCH("pendiente",AC550)))</formula>
    </cfRule>
    <cfRule type="cellIs" priority="760" operator="equal" dxfId="1">
      <formula>"pendiente"</formula>
    </cfRule>
    <cfRule type="containsText" priority="761" operator="containsText" dxfId="0" text="pagado">
      <formula>NOT(ISERROR(SEARCH("pagado",AC550)))</formula>
    </cfRule>
    <cfRule type="cellIs" priority="758" operator="equal" dxfId="1">
      <formula>"pendiente"</formula>
    </cfRule>
    <cfRule type="containsText" priority="759" operator="containsText" dxfId="0" text="pagado">
      <formula>NOT(ISERROR(SEARCH("pagado",AC550)))</formula>
    </cfRule>
  </conditionalFormatting>
  <conditionalFormatting sqref="AC551:AE591 AD592:AE592 AG551:AG592">
    <cfRule type="containsText" priority="757" operator="containsText" dxfId="1" text="pendiente">
      <formula>NOT(ISERROR(SEARCH("pendiente",AC551)))</formula>
    </cfRule>
  </conditionalFormatting>
  <conditionalFormatting sqref="AC551:AC591">
    <cfRule type="cellIs" priority="756" operator="equal" dxfId="6">
      <formula>"abonado"</formula>
    </cfRule>
  </conditionalFormatting>
  <conditionalFormatting sqref="AC551:AE571">
    <cfRule type="cellIs" priority="754" operator="equal" dxfId="1">
      <formula>"pendiente"</formula>
    </cfRule>
    <cfRule type="containsText" priority="755" operator="containsText" dxfId="0" text="pagado">
      <formula>NOT(ISERROR(SEARCH("pagado",AC551)))</formula>
    </cfRule>
  </conditionalFormatting>
  <conditionalFormatting sqref="AC570">
    <cfRule type="containsText" priority="753" operator="containsText" dxfId="1" text="pendiente">
      <formula>NOT(ISERROR(SEARCH("pendiente",AC570)))</formula>
    </cfRule>
    <cfRule type="cellIs" priority="751" operator="equal" dxfId="1">
      <formula>"pendiente"</formula>
    </cfRule>
    <cfRule type="containsText" priority="752" operator="containsText" dxfId="0" text="pagado">
      <formula>NOT(ISERROR(SEARCH("pagado",AC570)))</formula>
    </cfRule>
  </conditionalFormatting>
  <conditionalFormatting sqref="AD570:AE570 AG570">
    <cfRule type="containsText" priority="750" operator="containsText" dxfId="1" text="pendiente">
      <formula>NOT(ISERROR(SEARCH("pendiente",AD570)))</formula>
    </cfRule>
  </conditionalFormatting>
  <conditionalFormatting sqref="AD570:AE570">
    <cfRule type="cellIs" priority="748" operator="equal" dxfId="1">
      <formula>"pendiente"</formula>
    </cfRule>
    <cfRule type="containsText" priority="749" operator="containsText" dxfId="0" text="pagado">
      <formula>NOT(ISERROR(SEARCH("pagado",AD570)))</formula>
    </cfRule>
  </conditionalFormatting>
  <conditionalFormatting sqref="AC572:AE591">
    <cfRule type="cellIs" priority="746" operator="equal" dxfId="1">
      <formula>"pendiente"</formula>
    </cfRule>
    <cfRule type="containsText" priority="747" operator="containsText" dxfId="0" text="pagado">
      <formula>NOT(ISERROR(SEARCH("pagado",AC572)))</formula>
    </cfRule>
  </conditionalFormatting>
  <conditionalFormatting sqref="AC592">
    <cfRule type="containsText" priority="745" operator="containsText" dxfId="1" text="pendiente">
      <formula>NOT(ISERROR(SEARCH("pendiente",AC592)))</formula>
    </cfRule>
    <cfRule type="cellIs" priority="744" operator="equal" dxfId="6">
      <formula>"abonado"</formula>
    </cfRule>
    <cfRule type="cellIs" priority="730" operator="equal" dxfId="1">
      <formula>"pendiente"</formula>
    </cfRule>
    <cfRule type="containsText" priority="731" operator="containsText" dxfId="0" text="pagado">
      <formula>NOT(ISERROR(SEARCH("pagado",AC592)))</formula>
    </cfRule>
    <cfRule type="containsText" priority="729" operator="containsText" dxfId="1" text="pendiente">
      <formula>NOT(ISERROR(SEARCH("pendiente",AC592)))</formula>
    </cfRule>
    <cfRule type="cellIs" priority="727" operator="equal" dxfId="1">
      <formula>"pendiente"</formula>
    </cfRule>
    <cfRule type="containsText" priority="728" operator="containsText" dxfId="0" text="pagado">
      <formula>NOT(ISERROR(SEARCH("pagado",AC592)))</formula>
    </cfRule>
    <cfRule type="cellIs" priority="725" operator="equal" dxfId="1">
      <formula>"pendiente"</formula>
    </cfRule>
    <cfRule type="containsText" priority="726" operator="containsText" dxfId="0" text="pagado">
      <formula>NOT(ISERROR(SEARCH("pagado",AC592)))</formula>
    </cfRule>
    <cfRule type="containsText" priority="724" operator="containsText" dxfId="1" text="pendiente">
      <formula>NOT(ISERROR(SEARCH("pendiente",AC592)))</formula>
    </cfRule>
    <cfRule type="cellIs" priority="722" operator="equal" dxfId="1">
      <formula>"pendiente"</formula>
    </cfRule>
    <cfRule type="containsText" priority="723" operator="containsText" dxfId="0" text="pagado">
      <formula>NOT(ISERROR(SEARCH("pagado",AC592)))</formula>
    </cfRule>
    <cfRule type="cellIs" priority="720" operator="equal" dxfId="1">
      <formula>"pendiente"</formula>
    </cfRule>
    <cfRule type="containsText" priority="721" operator="containsText" dxfId="0" text="pagado">
      <formula>NOT(ISERROR(SEARCH("pagado",AC592)))</formula>
    </cfRule>
  </conditionalFormatting>
  <conditionalFormatting sqref="AD592:AE592">
    <cfRule type="cellIs" priority="718" operator="equal" dxfId="1">
      <formula>"pendiente"</formula>
    </cfRule>
    <cfRule type="containsText" priority="719" operator="containsText" dxfId="0" text="pagado">
      <formula>NOT(ISERROR(SEARCH("pagado",AD592)))</formula>
    </cfRule>
  </conditionalFormatting>
  <conditionalFormatting sqref="AC593">
    <cfRule type="cellIs" priority="717" operator="equal" dxfId="6">
      <formula>"abonado"</formula>
    </cfRule>
  </conditionalFormatting>
  <conditionalFormatting sqref="AC593:AE593 AG593">
    <cfRule type="containsText" priority="716" operator="containsText" dxfId="1" text="pendiente">
      <formula>NOT(ISERROR(SEARCH("pendiente",AC593)))</formula>
    </cfRule>
  </conditionalFormatting>
  <conditionalFormatting sqref="AC593:AE593">
    <cfRule type="cellIs" priority="714" operator="equal" dxfId="1">
      <formula>"pendiente"</formula>
    </cfRule>
    <cfRule type="containsText" priority="715" operator="containsText" dxfId="0" text="pagado">
      <formula>NOT(ISERROR(SEARCH("pagado",AC593)))</formula>
    </cfRule>
  </conditionalFormatting>
  <conditionalFormatting sqref="AC523">
    <cfRule type="cellIs" priority="702" operator="equal" dxfId="1">
      <formula>"pendiente"</formula>
    </cfRule>
    <cfRule type="containsText" priority="703" operator="containsText" dxfId="0" text="pagado">
      <formula>NOT(ISERROR(SEARCH("pagado",AC523)))</formula>
    </cfRule>
    <cfRule type="containsText" priority="701" operator="containsText" dxfId="1" text="pendiente">
      <formula>NOT(ISERROR(SEARCH("pendiente",AC523)))</formula>
    </cfRule>
    <cfRule type="cellIs" priority="699" operator="equal" dxfId="1">
      <formula>"pendiente"</formula>
    </cfRule>
    <cfRule type="containsText" priority="700" operator="containsText" dxfId="0" text="pagado">
      <formula>NOT(ISERROR(SEARCH("pagado",AC523)))</formula>
    </cfRule>
    <cfRule type="cellIs" priority="698" operator="equal" dxfId="6">
      <formula>"abonado"</formula>
    </cfRule>
  </conditionalFormatting>
  <conditionalFormatting sqref="AC548">
    <cfRule type="cellIs" priority="696" operator="equal" dxfId="1">
      <formula>"pendiente"</formula>
    </cfRule>
    <cfRule type="containsText" priority="697" operator="containsText" dxfId="0" text="pagado">
      <formula>NOT(ISERROR(SEARCH("pagado",AC548)))</formula>
    </cfRule>
    <cfRule type="containsText" priority="695" operator="containsText" dxfId="1" text="pendiente">
      <formula>NOT(ISERROR(SEARCH("pendiente",AC548)))</formula>
    </cfRule>
    <cfRule type="cellIs" priority="693" operator="equal" dxfId="1">
      <formula>"pendiente"</formula>
    </cfRule>
    <cfRule type="containsText" priority="694" operator="containsText" dxfId="0" text="pagado">
      <formula>NOT(ISERROR(SEARCH("pagado",AC548)))</formula>
    </cfRule>
    <cfRule type="containsText" priority="692" operator="containsText" dxfId="1" text="pendiente">
      <formula>NOT(ISERROR(SEARCH("pendiente",AC548)))</formula>
    </cfRule>
    <cfRule type="cellIs" priority="690" operator="equal" dxfId="1">
      <formula>"pendiente"</formula>
    </cfRule>
    <cfRule type="containsText" priority="691" operator="containsText" dxfId="0" text="pagado">
      <formula>NOT(ISERROR(SEARCH("pagado",AC548)))</formula>
    </cfRule>
    <cfRule type="containsText" priority="689" operator="containsText" dxfId="1" text="pendiente">
      <formula>NOT(ISERROR(SEARCH("pendiente",AC548)))</formula>
    </cfRule>
    <cfRule type="cellIs" priority="687" operator="equal" dxfId="1">
      <formula>"pendiente"</formula>
    </cfRule>
    <cfRule type="containsText" priority="688" operator="containsText" dxfId="0" text="pagado">
      <formula>NOT(ISERROR(SEARCH("pagado",AC548)))</formula>
    </cfRule>
    <cfRule type="cellIs" priority="686" operator="equal" dxfId="6">
      <formula>"abonado"</formula>
    </cfRule>
  </conditionalFormatting>
  <conditionalFormatting sqref="AC533">
    <cfRule type="containsText" priority="685" operator="containsText" dxfId="1" text="pendiente">
      <formula>NOT(ISERROR(SEARCH("pendiente",AC533)))</formula>
    </cfRule>
    <cfRule type="cellIs" priority="683" operator="equal" dxfId="1">
      <formula>"pendiente"</formula>
    </cfRule>
    <cfRule type="containsText" priority="684" operator="containsText" dxfId="0" text="pagado">
      <formula>NOT(ISERROR(SEARCH("pagado",AC533)))</formula>
    </cfRule>
    <cfRule type="containsText" priority="682" operator="containsText" dxfId="1" text="pendiente">
      <formula>NOT(ISERROR(SEARCH("pendiente",AC533)))</formula>
    </cfRule>
    <cfRule type="cellIs" priority="680" operator="equal" dxfId="1">
      <formula>"pendiente"</formula>
    </cfRule>
    <cfRule type="containsText" priority="681" operator="containsText" dxfId="0" text="pagado">
      <formula>NOT(ISERROR(SEARCH("pagado",AC533)))</formula>
    </cfRule>
    <cfRule type="cellIs" priority="679" operator="equal" dxfId="6">
      <formula>"abonado"</formula>
    </cfRule>
  </conditionalFormatting>
  <conditionalFormatting sqref="AC536">
    <cfRule type="containsText" priority="648" operator="containsText" dxfId="1" text="pendiente">
      <formula>NOT(ISERROR(SEARCH("pendiente",AC536)))</formula>
    </cfRule>
    <cfRule type="cellIs" priority="646" operator="equal" dxfId="1">
      <formula>"pendiente"</formula>
    </cfRule>
    <cfRule type="containsText" priority="647" operator="containsText" dxfId="0" text="pagado">
      <formula>NOT(ISERROR(SEARCH("pagado",AC536)))</formula>
    </cfRule>
    <cfRule type="containsText" priority="645" operator="containsText" dxfId="1" text="pendiente">
      <formula>NOT(ISERROR(SEARCH("pendiente",AC536)))</formula>
    </cfRule>
    <cfRule type="cellIs" priority="643" operator="equal" dxfId="1">
      <formula>"pendiente"</formula>
    </cfRule>
    <cfRule type="containsText" priority="644" operator="containsText" dxfId="0" text="pagado">
      <formula>NOT(ISERROR(SEARCH("pagado",AC536)))</formula>
    </cfRule>
    <cfRule type="cellIs" priority="642" operator="equal" dxfId="6">
      <formula>"abonado"</formula>
    </cfRule>
  </conditionalFormatting>
  <conditionalFormatting sqref="AC594:AE628 AG594:AG628">
    <cfRule type="containsText" priority="641" operator="containsText" dxfId="1" text="pendiente">
      <formula>NOT(ISERROR(SEARCH("pendiente",AC594)))</formula>
    </cfRule>
  </conditionalFormatting>
  <conditionalFormatting sqref="AC594:AC628">
    <cfRule type="cellIs" priority="640" operator="equal" dxfId="6">
      <formula>"abonado"</formula>
    </cfRule>
  </conditionalFormatting>
  <conditionalFormatting sqref="AC594:AE628">
    <cfRule type="cellIs" priority="638" operator="equal" dxfId="1">
      <formula>"pendiente"</formula>
    </cfRule>
    <cfRule type="containsText" priority="639" operator="containsText" dxfId="0" text="pagado">
      <formula>NOT(ISERROR(SEARCH("pagado",AC594)))</formula>
    </cfRule>
  </conditionalFormatting>
  <conditionalFormatting sqref="AC629:AE629 AG629">
    <cfRule type="containsText" priority="637" operator="containsText" dxfId="1" text="pendiente">
      <formula>NOT(ISERROR(SEARCH("pendiente",AC629)))</formula>
    </cfRule>
  </conditionalFormatting>
  <conditionalFormatting sqref="AC629">
    <cfRule type="cellIs" priority="636" operator="equal" dxfId="6">
      <formula>"abonado"</formula>
    </cfRule>
  </conditionalFormatting>
  <conditionalFormatting sqref="AC629:AE629">
    <cfRule type="cellIs" priority="634" operator="equal" dxfId="1">
      <formula>"pendiente"</formula>
    </cfRule>
    <cfRule type="containsText" priority="635" operator="containsText" dxfId="0" text="pagado">
      <formula>NOT(ISERROR(SEARCH("pagado",AC629)))</formula>
    </cfRule>
  </conditionalFormatting>
  <conditionalFormatting sqref="AC646:AC692">
    <cfRule type="containsText" priority="633" operator="containsText" dxfId="1" text="pendiente">
      <formula>NOT(ISERROR(SEARCH("pendiente",AC646)))</formula>
    </cfRule>
    <cfRule type="cellIs" priority="631" operator="equal" dxfId="1">
      <formula>"pendiente"</formula>
    </cfRule>
    <cfRule type="containsText" priority="632" operator="containsText" dxfId="0" text="pagado">
      <formula>NOT(ISERROR(SEARCH("pagado",AC646)))</formula>
    </cfRule>
    <cfRule type="cellIs" priority="630" operator="equal" dxfId="6">
      <formula>"abonado"</formula>
    </cfRule>
  </conditionalFormatting>
  <conditionalFormatting sqref="AC648:AC692">
    <cfRule type="containsText" priority="629" operator="containsText" dxfId="1" text="pendiente">
      <formula>NOT(ISERROR(SEARCH("pendiente",AC648)))</formula>
    </cfRule>
    <cfRule type="cellIs" priority="627" operator="equal" dxfId="1">
      <formula>"pendiente"</formula>
    </cfRule>
    <cfRule type="containsText" priority="628" operator="containsText" dxfId="0" text="pagado">
      <formula>NOT(ISERROR(SEARCH("pagado",AC648)))</formula>
    </cfRule>
  </conditionalFormatting>
  <conditionalFormatting sqref="AC646:AD692">
    <cfRule type="containsText" priority="626" operator="containsText" dxfId="1" text="pendiente">
      <formula>NOT(ISERROR(SEARCH("pendiente",AC646)))</formula>
    </cfRule>
  </conditionalFormatting>
  <conditionalFormatting sqref="AC646:AD657">
    <cfRule type="cellIs" priority="624" operator="equal" dxfId="1">
      <formula>"pendiente"</formula>
    </cfRule>
    <cfRule type="containsText" priority="625" operator="containsText" dxfId="0" text="pagado">
      <formula>NOT(ISERROR(SEARCH("pagado",AC646)))</formula>
    </cfRule>
  </conditionalFormatting>
  <conditionalFormatting sqref="AC671:AD671 AD665:AD670">
    <cfRule type="cellIs" priority="622" operator="equal" dxfId="1">
      <formula>"pendiente"</formula>
    </cfRule>
    <cfRule type="containsText" priority="623" operator="containsText" dxfId="0" text="pagado">
      <formula>NOT(ISERROR(SEARCH("pagado",AC665)))</formula>
    </cfRule>
  </conditionalFormatting>
  <conditionalFormatting sqref="AC646:AD646">
    <cfRule type="containsText" priority="621" operator="containsText" dxfId="1" text="pendiente">
      <formula>NOT(ISERROR(SEARCH("pendiente",AC646)))</formula>
    </cfRule>
    <cfRule type="cellIs" priority="619" operator="equal" dxfId="1">
      <formula>"pendiente"</formula>
    </cfRule>
    <cfRule type="containsText" priority="620" operator="containsText" dxfId="0" text="pagado">
      <formula>NOT(ISERROR(SEARCH("pagado",AC646)))</formula>
    </cfRule>
  </conditionalFormatting>
  <conditionalFormatting sqref="AC647:AD647">
    <cfRule type="containsText" priority="618" operator="containsText" dxfId="1" text="pendiente">
      <formula>NOT(ISERROR(SEARCH("pendiente",AC647)))</formula>
    </cfRule>
    <cfRule type="cellIs" priority="616" operator="equal" dxfId="1">
      <formula>"pendiente"</formula>
    </cfRule>
    <cfRule type="containsText" priority="617" operator="containsText" dxfId="0" text="pagado">
      <formula>NOT(ISERROR(SEARCH("pagado",AC647)))</formula>
    </cfRule>
  </conditionalFormatting>
  <conditionalFormatting sqref="AC648:AD648">
    <cfRule type="containsText" priority="615" operator="containsText" dxfId="1" text="pendiente">
      <formula>NOT(ISERROR(SEARCH("pendiente",AC648)))</formula>
    </cfRule>
    <cfRule type="cellIs" priority="613" operator="equal" dxfId="1">
      <formula>"pendiente"</formula>
    </cfRule>
    <cfRule type="containsText" priority="614" operator="containsText" dxfId="0" text="pagado">
      <formula>NOT(ISERROR(SEARCH("pagado",AC648)))</formula>
    </cfRule>
  </conditionalFormatting>
  <conditionalFormatting sqref="AC648">
    <cfRule type="cellIs" priority="612" operator="equal" dxfId="6">
      <formula>"abonado"</formula>
    </cfRule>
  </conditionalFormatting>
  <conditionalFormatting sqref="AC649:AD649">
    <cfRule type="containsText" priority="611" operator="containsText" dxfId="1" text="pendiente">
      <formula>NOT(ISERROR(SEARCH("pendiente",AC649)))</formula>
    </cfRule>
    <cfRule type="cellIs" priority="609" operator="equal" dxfId="1">
      <formula>"pendiente"</formula>
    </cfRule>
    <cfRule type="containsText" priority="610" operator="containsText" dxfId="0" text="pagado">
      <formula>NOT(ISERROR(SEARCH("pagado",AC649)))</formula>
    </cfRule>
  </conditionalFormatting>
  <conditionalFormatting sqref="AC650:AD650">
    <cfRule type="containsText" priority="608" operator="containsText" dxfId="1" text="pendiente">
      <formula>NOT(ISERROR(SEARCH("pendiente",AC650)))</formula>
    </cfRule>
    <cfRule type="cellIs" priority="606" operator="equal" dxfId="1">
      <formula>"pendiente"</formula>
    </cfRule>
    <cfRule type="containsText" priority="607" operator="containsText" dxfId="0" text="pagado">
      <formula>NOT(ISERROR(SEARCH("pagado",AC650)))</formula>
    </cfRule>
  </conditionalFormatting>
  <conditionalFormatting sqref="AC650">
    <cfRule type="cellIs" priority="605" operator="equal" dxfId="6">
      <formula>"abonado"</formula>
    </cfRule>
  </conditionalFormatting>
  <conditionalFormatting sqref="AC651:AD651">
    <cfRule type="containsText" priority="604" operator="containsText" dxfId="1" text="pendiente">
      <formula>NOT(ISERROR(SEARCH("pendiente",AC651)))</formula>
    </cfRule>
    <cfRule type="cellIs" priority="602" operator="equal" dxfId="1">
      <formula>"pendiente"</formula>
    </cfRule>
    <cfRule type="containsText" priority="603" operator="containsText" dxfId="0" text="pagado">
      <formula>NOT(ISERROR(SEARCH("pagado",AC651)))</formula>
    </cfRule>
  </conditionalFormatting>
  <conditionalFormatting sqref="AC651">
    <cfRule type="cellIs" priority="601" operator="equal" dxfId="6">
      <formula>"abonado"</formula>
    </cfRule>
  </conditionalFormatting>
  <conditionalFormatting sqref="AC652:AD652">
    <cfRule type="containsText" priority="600" operator="containsText" dxfId="1" text="pendiente">
      <formula>NOT(ISERROR(SEARCH("pendiente",AC652)))</formula>
    </cfRule>
    <cfRule type="cellIs" priority="598" operator="equal" dxfId="1">
      <formula>"pendiente"</formula>
    </cfRule>
    <cfRule type="containsText" priority="599" operator="containsText" dxfId="0" text="pagado">
      <formula>NOT(ISERROR(SEARCH("pagado",AC652)))</formula>
    </cfRule>
  </conditionalFormatting>
  <conditionalFormatting sqref="AC653:AD653">
    <cfRule type="containsText" priority="597" operator="containsText" dxfId="1" text="pendiente">
      <formula>NOT(ISERROR(SEARCH("pendiente",AC653)))</formula>
    </cfRule>
    <cfRule type="cellIs" priority="595" operator="equal" dxfId="1">
      <formula>"pendiente"</formula>
    </cfRule>
    <cfRule type="containsText" priority="596" operator="containsText" dxfId="0" text="pagado">
      <formula>NOT(ISERROR(SEARCH("pagado",AC653)))</formula>
    </cfRule>
  </conditionalFormatting>
  <conditionalFormatting sqref="AC653">
    <cfRule type="cellIs" priority="594" operator="equal" dxfId="6">
      <formula>"abonado"</formula>
    </cfRule>
  </conditionalFormatting>
  <conditionalFormatting sqref="AC654:AD654">
    <cfRule type="containsText" priority="593" operator="containsText" dxfId="1" text="pendiente">
      <formula>NOT(ISERROR(SEARCH("pendiente",AC654)))</formula>
    </cfRule>
    <cfRule type="cellIs" priority="591" operator="equal" dxfId="1">
      <formula>"pendiente"</formula>
    </cfRule>
    <cfRule type="containsText" priority="592" operator="containsText" dxfId="0" text="pagado">
      <formula>NOT(ISERROR(SEARCH("pagado",AC654)))</formula>
    </cfRule>
  </conditionalFormatting>
  <conditionalFormatting sqref="AC654">
    <cfRule type="cellIs" priority="590" operator="equal" dxfId="6">
      <formula>"abonado"</formula>
    </cfRule>
  </conditionalFormatting>
  <conditionalFormatting sqref="AC655:AD655">
    <cfRule type="cellIs" priority="588" operator="equal" dxfId="1">
      <formula>"pendiente"</formula>
    </cfRule>
    <cfRule type="containsText" priority="589" operator="containsText" dxfId="0" text="pagado">
      <formula>NOT(ISERROR(SEARCH("pagado",AC655)))</formula>
    </cfRule>
  </conditionalFormatting>
  <conditionalFormatting sqref="AC656:AD656">
    <cfRule type="cellIs" priority="586" operator="equal" dxfId="1">
      <formula>"pendiente"</formula>
    </cfRule>
    <cfRule type="containsText" priority="587" operator="containsText" dxfId="0" text="pagado">
      <formula>NOT(ISERROR(SEARCH("pagado",AC656)))</formula>
    </cfRule>
  </conditionalFormatting>
  <conditionalFormatting sqref="AC657:AD657">
    <cfRule type="cellIs" priority="584" operator="equal" dxfId="1">
      <formula>"pendiente"</formula>
    </cfRule>
    <cfRule type="containsText" priority="585" operator="containsText" dxfId="0" text="pagado">
      <formula>NOT(ISERROR(SEARCH("pagado",AC657)))</formula>
    </cfRule>
  </conditionalFormatting>
  <conditionalFormatting sqref="AC658:AD658">
    <cfRule type="cellIs" priority="582" operator="equal" dxfId="1">
      <formula>"pendiente"</formula>
    </cfRule>
    <cfRule type="containsText" priority="583" operator="containsText" dxfId="0" text="pagado">
      <formula>NOT(ISERROR(SEARCH("pagado",AC658)))</formula>
    </cfRule>
    <cfRule type="cellIs" priority="580" operator="equal" dxfId="1">
      <formula>"pendiente"</formula>
    </cfRule>
    <cfRule type="containsText" priority="581" operator="containsText" dxfId="0" text="pagado">
      <formula>NOT(ISERROR(SEARCH("pagado",AC658)))</formula>
    </cfRule>
  </conditionalFormatting>
  <conditionalFormatting sqref="AC659:AD659">
    <cfRule type="cellIs" priority="578" operator="equal" dxfId="1">
      <formula>"pendiente"</formula>
    </cfRule>
    <cfRule type="containsText" priority="579" operator="containsText" dxfId="0" text="pagado">
      <formula>NOT(ISERROR(SEARCH("pagado",AC659)))</formula>
    </cfRule>
    <cfRule type="cellIs" priority="576" operator="equal" dxfId="1">
      <formula>"pendiente"</formula>
    </cfRule>
    <cfRule type="containsText" priority="577" operator="containsText" dxfId="0" text="pagado">
      <formula>NOT(ISERROR(SEARCH("pagado",AC659)))</formula>
    </cfRule>
  </conditionalFormatting>
  <conditionalFormatting sqref="AC660:AD664">
    <cfRule type="cellIs" priority="574" operator="equal" dxfId="1">
      <formula>"pendiente"</formula>
    </cfRule>
    <cfRule type="containsText" priority="575" operator="containsText" dxfId="0" text="pagado">
      <formula>NOT(ISERROR(SEARCH("pagado",AC660)))</formula>
    </cfRule>
    <cfRule type="cellIs" priority="572" operator="equal" dxfId="1">
      <formula>"pendiente"</formula>
    </cfRule>
    <cfRule type="containsText" priority="573" operator="containsText" dxfId="0" text="pagado">
      <formula>NOT(ISERROR(SEARCH("pagado",AC660)))</formula>
    </cfRule>
  </conditionalFormatting>
  <conditionalFormatting sqref="AC672:AD680">
    <cfRule type="cellIs" priority="570" operator="equal" dxfId="1">
      <formula>"pendiente"</formula>
    </cfRule>
    <cfRule type="containsText" priority="571" operator="containsText" dxfId="0" text="pagado">
      <formula>NOT(ISERROR(SEARCH("pagado",AC672)))</formula>
    </cfRule>
  </conditionalFormatting>
  <conditionalFormatting sqref="AC673:AD680">
    <cfRule type="cellIs" priority="568" operator="equal" dxfId="1">
      <formula>"pendiente"</formula>
    </cfRule>
    <cfRule type="containsText" priority="569" operator="containsText" dxfId="0" text="pagado">
      <formula>NOT(ISERROR(SEARCH("pagado",AC673)))</formula>
    </cfRule>
  </conditionalFormatting>
  <conditionalFormatting sqref="AC646">
    <cfRule type="containsText" priority="567" operator="containsText" dxfId="1" text="pendiente">
      <formula>NOT(ISERROR(SEARCH("pendiente",AC646)))</formula>
    </cfRule>
    <cfRule type="cellIs" priority="565" operator="equal" dxfId="1">
      <formula>"pendiente"</formula>
    </cfRule>
    <cfRule type="containsText" priority="566" operator="containsText" dxfId="0" text="pagado">
      <formula>NOT(ISERROR(SEARCH("pagado",AC646)))</formula>
    </cfRule>
  </conditionalFormatting>
  <conditionalFormatting sqref="AC681:AD692">
    <cfRule type="cellIs" priority="563" operator="equal" dxfId="1">
      <formula>"pendiente"</formula>
    </cfRule>
    <cfRule type="containsText" priority="564" operator="containsText" dxfId="0" text="pagado">
      <formula>NOT(ISERROR(SEARCH("pagado",AC681)))</formula>
    </cfRule>
    <cfRule type="cellIs" priority="561" operator="equal" dxfId="1">
      <formula>"pendiente"</formula>
    </cfRule>
    <cfRule type="containsText" priority="562" operator="containsText" dxfId="0" text="pagado">
      <formula>NOT(ISERROR(SEARCH("pagado",AC681)))</formula>
    </cfRule>
  </conditionalFormatting>
  <conditionalFormatting sqref="AE646:AE692 AG646:AG692">
    <cfRule type="containsText" priority="560" operator="containsText" dxfId="1" text="pendiente">
      <formula>NOT(ISERROR(SEARCH("pendiente",AE646)))</formula>
    </cfRule>
    <cfRule type="containsText" priority="557" operator="containsText" dxfId="1" text="pendiente">
      <formula>NOT(ISERROR(SEARCH("pendiente",AE646)))</formula>
    </cfRule>
  </conditionalFormatting>
  <conditionalFormatting sqref="AE646:AE692">
    <cfRule type="cellIs" priority="558" operator="equal" dxfId="1">
      <formula>"pendiente"</formula>
    </cfRule>
    <cfRule type="containsText" priority="559" operator="containsText" dxfId="0" text="pagado">
      <formula>NOT(ISERROR(SEARCH("pagado",AE646)))</formula>
    </cfRule>
    <cfRule type="cellIs" priority="555" operator="equal" dxfId="1">
      <formula>"pendiente"</formula>
    </cfRule>
    <cfRule type="containsText" priority="556" operator="containsText" dxfId="0" text="pagado">
      <formula>NOT(ISERROR(SEARCH("pagado",AE646)))</formula>
    </cfRule>
  </conditionalFormatting>
  <conditionalFormatting sqref="AC671">
    <cfRule type="cellIs" priority="553" operator="equal" dxfId="1">
      <formula>"pendiente"</formula>
    </cfRule>
    <cfRule type="containsText" priority="554" operator="containsText" dxfId="0" text="pagado">
      <formula>NOT(ISERROR(SEARCH("pagado",AC671)))</formula>
    </cfRule>
    <cfRule type="containsText" priority="552" operator="containsText" dxfId="1" text="pendiente">
      <formula>NOT(ISERROR(SEARCH("pendiente",AC671)))</formula>
    </cfRule>
    <cfRule type="cellIs" priority="550" operator="equal" dxfId="1">
      <formula>"pendiente"</formula>
    </cfRule>
    <cfRule type="containsText" priority="551" operator="containsText" dxfId="0" text="pagado">
      <formula>NOT(ISERROR(SEARCH("pagado",AC671)))</formula>
    </cfRule>
    <cfRule type="cellIs" priority="549" operator="equal" dxfId="6">
      <formula>"abonado"</formula>
    </cfRule>
  </conditionalFormatting>
  <conditionalFormatting sqref="AC681">
    <cfRule type="containsText" priority="548" operator="containsText" dxfId="1" text="pendiente">
      <formula>NOT(ISERROR(SEARCH("pendiente",AC681)))</formula>
    </cfRule>
    <cfRule type="cellIs" priority="546" operator="equal" dxfId="1">
      <formula>"pendiente"</formula>
    </cfRule>
    <cfRule type="containsText" priority="547" operator="containsText" dxfId="0" text="pagado">
      <formula>NOT(ISERROR(SEARCH("pagado",AC681)))</formula>
    </cfRule>
    <cfRule type="containsText" priority="545" operator="containsText" dxfId="1" text="pendiente">
      <formula>NOT(ISERROR(SEARCH("pendiente",AC681)))</formula>
    </cfRule>
    <cfRule type="cellIs" priority="543" operator="equal" dxfId="1">
      <formula>"pendiente"</formula>
    </cfRule>
    <cfRule type="containsText" priority="544" operator="containsText" dxfId="0" text="pagado">
      <formula>NOT(ISERROR(SEARCH("pagado",AC681)))</formula>
    </cfRule>
    <cfRule type="cellIs" priority="542" operator="equal" dxfId="6">
      <formula>"abonado"</formula>
    </cfRule>
  </conditionalFormatting>
  <conditionalFormatting sqref="AC684">
    <cfRule type="containsText" priority="541" operator="containsText" dxfId="1" text="pendiente">
      <formula>NOT(ISERROR(SEARCH("pendiente",AC684)))</formula>
    </cfRule>
    <cfRule type="cellIs" priority="539" operator="equal" dxfId="1">
      <formula>"pendiente"</formula>
    </cfRule>
    <cfRule type="containsText" priority="540" operator="containsText" dxfId="0" text="pagado">
      <formula>NOT(ISERROR(SEARCH("pagado",AC684)))</formula>
    </cfRule>
    <cfRule type="containsText" priority="538" operator="containsText" dxfId="1" text="pendiente">
      <formula>NOT(ISERROR(SEARCH("pendiente",AC684)))</formula>
    </cfRule>
    <cfRule type="cellIs" priority="536" operator="equal" dxfId="1">
      <formula>"pendiente"</formula>
    </cfRule>
    <cfRule type="containsText" priority="537" operator="containsText" dxfId="0" text="pagado">
      <formula>NOT(ISERROR(SEARCH("pagado",AC684)))</formula>
    </cfRule>
    <cfRule type="cellIs" priority="535" operator="equal" dxfId="6">
      <formula>"abonado"</formula>
    </cfRule>
  </conditionalFormatting>
  <conditionalFormatting sqref="AC630:AC631">
    <cfRule type="cellIs" priority="534" operator="equal" dxfId="6">
      <formula>"abonado"</formula>
    </cfRule>
    <cfRule type="cellIs" priority="531" operator="equal" dxfId="1">
      <formula>"pendiente"</formula>
    </cfRule>
    <cfRule type="containsText" priority="532" operator="containsText" dxfId="0" text="pagado">
      <formula>NOT(ISERROR(SEARCH("pagado",AC630)))</formula>
    </cfRule>
  </conditionalFormatting>
  <conditionalFormatting sqref="AC630:AE631 AG630:AG631">
    <cfRule type="containsText" priority="533" operator="containsText" dxfId="1" text="pendiente">
      <formula>NOT(ISERROR(SEARCH("pendiente",AC630)))</formula>
    </cfRule>
  </conditionalFormatting>
  <conditionalFormatting sqref="AD630:AE630">
    <cfRule type="cellIs" priority="529" operator="equal" dxfId="1">
      <formula>"pendiente"</formula>
    </cfRule>
    <cfRule type="containsText" priority="530" operator="containsText" dxfId="0" text="pagado">
      <formula>NOT(ISERROR(SEARCH("pagado",AD630)))</formula>
    </cfRule>
  </conditionalFormatting>
  <conditionalFormatting sqref="AD631:AE631">
    <cfRule type="cellIs" priority="527" operator="equal" dxfId="1">
      <formula>"pendiente"</formula>
    </cfRule>
    <cfRule type="containsText" priority="528" operator="containsText" dxfId="0" text="pagado">
      <formula>NOT(ISERROR(SEARCH("pagado",AD631)))</formula>
    </cfRule>
  </conditionalFormatting>
  <conditionalFormatting sqref="AC695:AE695 AG695">
    <cfRule type="containsText" priority="522" operator="containsText" dxfId="1" text="pendiente">
      <formula>NOT(ISERROR(SEARCH("pendiente",AC695)))</formula>
    </cfRule>
  </conditionalFormatting>
  <conditionalFormatting sqref="AC695:AE695">
    <cfRule type="cellIs" priority="520" operator="equal" dxfId="1">
      <formula>"pendiente"</formula>
    </cfRule>
    <cfRule type="containsText" priority="521" operator="containsText" dxfId="0" text="pagado">
      <formula>NOT(ISERROR(SEARCH("pagado",AC695)))</formula>
    </cfRule>
  </conditionalFormatting>
  <conditionalFormatting sqref="AC695">
    <cfRule type="cellIs" priority="519" operator="equal" dxfId="6">
      <formula>"abonado"</formula>
    </cfRule>
    <cfRule type="containsText" priority="518" operator="containsText" dxfId="1" text="pendiente">
      <formula>NOT(ISERROR(SEARCH("pendiente",AC695)))</formula>
    </cfRule>
    <cfRule type="cellIs" priority="516" operator="equal" dxfId="1">
      <formula>"pendiente"</formula>
    </cfRule>
    <cfRule type="containsText" priority="517" operator="containsText" dxfId="0" text="pagado">
      <formula>NOT(ISERROR(SEARCH("pagado",AC695)))</formula>
    </cfRule>
  </conditionalFormatting>
  <conditionalFormatting sqref="AC695:AD695">
    <cfRule type="containsText" priority="515" operator="containsText" dxfId="1" text="pendiente">
      <formula>NOT(ISERROR(SEARCH("pendiente",AC695)))</formula>
    </cfRule>
    <cfRule type="cellIs" priority="513" operator="equal" dxfId="1">
      <formula>"pendiente"</formula>
    </cfRule>
    <cfRule type="containsText" priority="514" operator="containsText" dxfId="0" text="pagado">
      <formula>NOT(ISERROR(SEARCH("pagado",AC695)))</formula>
    </cfRule>
    <cfRule type="cellIs" priority="511" operator="equal" dxfId="1">
      <formula>"pendiente"</formula>
    </cfRule>
    <cfRule type="containsText" priority="512" operator="containsText" dxfId="0" text="pagado">
      <formula>NOT(ISERROR(SEARCH("pagado",AC695)))</formula>
    </cfRule>
  </conditionalFormatting>
  <conditionalFormatting sqref="AE695 AG695">
    <cfRule type="containsText" priority="510" operator="containsText" dxfId="1" text="pendiente">
      <formula>NOT(ISERROR(SEARCH("pendiente",AE695)))</formula>
    </cfRule>
    <cfRule type="containsText" priority="507" operator="containsText" dxfId="1" text="pendiente">
      <formula>NOT(ISERROR(SEARCH("pendiente",AE695)))</formula>
    </cfRule>
  </conditionalFormatting>
  <conditionalFormatting sqref="AE695">
    <cfRule type="cellIs" priority="508" operator="equal" dxfId="1">
      <formula>"pendiente"</formula>
    </cfRule>
    <cfRule type="containsText" priority="509" operator="containsText" dxfId="0" text="pagado">
      <formula>NOT(ISERROR(SEARCH("pagado",AE695)))</formula>
    </cfRule>
    <cfRule type="cellIs" priority="505" operator="equal" dxfId="1">
      <formula>"pendiente"</formula>
    </cfRule>
    <cfRule type="containsText" priority="506" operator="containsText" dxfId="0" text="pagado">
      <formula>NOT(ISERROR(SEARCH("pagado",AE695)))</formula>
    </cfRule>
  </conditionalFormatting>
  <conditionalFormatting sqref="AC696:AE696">
    <cfRule type="cellIs" priority="501" operator="equal" dxfId="1">
      <formula>"pendiente"</formula>
    </cfRule>
    <cfRule type="containsText" priority="502" operator="containsText" dxfId="0" text="pagado">
      <formula>NOT(ISERROR(SEARCH("pagado",AC696)))</formula>
    </cfRule>
  </conditionalFormatting>
  <conditionalFormatting sqref="AC697:AE697">
    <cfRule type="cellIs" priority="499" operator="equal" dxfId="1">
      <formula>"pendiente"</formula>
    </cfRule>
    <cfRule type="containsText" priority="500" operator="containsText" dxfId="0" text="pagado">
      <formula>NOT(ISERROR(SEARCH("pagado",AC697)))</formula>
    </cfRule>
  </conditionalFormatting>
  <conditionalFormatting sqref="AC698:AE698 AC732:AE732">
    <cfRule type="cellIs" priority="497" operator="equal" dxfId="1">
      <formula>"pendiente"</formula>
    </cfRule>
    <cfRule type="containsText" priority="498" operator="containsText" dxfId="0" text="pagado">
      <formula>NOT(ISERROR(SEARCH("pagado",AC698)))</formula>
    </cfRule>
  </conditionalFormatting>
  <conditionalFormatting sqref="AC698">
    <cfRule type="cellIs" priority="495" operator="equal" dxfId="1">
      <formula>"pendiente"</formula>
    </cfRule>
    <cfRule type="containsText" priority="496" operator="containsText" dxfId="0" text="pagado">
      <formula>NOT(ISERROR(SEARCH("pagado",AC698)))</formula>
    </cfRule>
  </conditionalFormatting>
  <conditionalFormatting sqref="AC693">
    <cfRule type="cellIs" priority="476" operator="equal" dxfId="6">
      <formula>"abonado"</formula>
    </cfRule>
  </conditionalFormatting>
  <conditionalFormatting sqref="AC693:AE693 AG693">
    <cfRule type="containsText" priority="475" operator="containsText" dxfId="1" text="pendiente">
      <formula>NOT(ISERROR(SEARCH("pendiente",AC693)))</formula>
    </cfRule>
  </conditionalFormatting>
  <conditionalFormatting sqref="AC693:AE693">
    <cfRule type="cellIs" priority="473" operator="equal" dxfId="1">
      <formula>"pendiente"</formula>
    </cfRule>
    <cfRule type="containsText" priority="474" operator="containsText" dxfId="0" text="pagado">
      <formula>NOT(ISERROR(SEARCH("pagado",AC693)))</formula>
    </cfRule>
  </conditionalFormatting>
  <conditionalFormatting sqref="AC708:AE708">
    <cfRule type="cellIs" priority="471" operator="equal" dxfId="1">
      <formula>"pendiente"</formula>
    </cfRule>
    <cfRule type="containsText" priority="472" operator="containsText" dxfId="0" text="pagado">
      <formula>NOT(ISERROR(SEARCH("pagado",AC708)))</formula>
    </cfRule>
  </conditionalFormatting>
  <conditionalFormatting sqref="AC706:AE706">
    <cfRule type="cellIs" priority="467" operator="equal" dxfId="1">
      <formula>"pendiente"</formula>
    </cfRule>
    <cfRule type="containsText" priority="468" operator="containsText" dxfId="0" text="pagado">
      <formula>NOT(ISERROR(SEARCH("pagado",AC706)))</formula>
    </cfRule>
  </conditionalFormatting>
  <conditionalFormatting sqref="AC707:AE707">
    <cfRule type="cellIs" priority="465" operator="equal" dxfId="1">
      <formula>"pendiente"</formula>
    </cfRule>
    <cfRule type="containsText" priority="466" operator="containsText" dxfId="0" text="pagado">
      <formula>NOT(ISERROR(SEARCH("pagado",AC707)))</formula>
    </cfRule>
  </conditionalFormatting>
  <conditionalFormatting sqref="AC699">
    <cfRule type="containsText" priority="440" operator="containsText" dxfId="1" text="pendiente">
      <formula>NOT(ISERROR(SEARCH("pendiente",AC699)))</formula>
    </cfRule>
    <cfRule type="cellIs" priority="438" operator="equal" dxfId="1">
      <formula>"pendiente"</formula>
    </cfRule>
    <cfRule type="containsText" priority="439" operator="containsText" dxfId="0" text="pagado">
      <formula>NOT(ISERROR(SEARCH("pagado",AC699)))</formula>
    </cfRule>
    <cfRule type="cellIs" priority="437" operator="equal" dxfId="6">
      <formula>"abonado"</formula>
    </cfRule>
    <cfRule type="containsText" priority="436" operator="containsText" dxfId="1" text="pendiente">
      <formula>NOT(ISERROR(SEARCH("pendiente",AC699)))</formula>
    </cfRule>
    <cfRule type="cellIs" priority="434" operator="equal" dxfId="1">
      <formula>"pendiente"</formula>
    </cfRule>
    <cfRule type="containsText" priority="435" operator="containsText" dxfId="0" text="pagado">
      <formula>NOT(ISERROR(SEARCH("pagado",AC699)))</formula>
    </cfRule>
    <cfRule type="cellIs" priority="427" operator="equal" dxfId="6">
      <formula>"abonado"</formula>
    </cfRule>
  </conditionalFormatting>
  <conditionalFormatting sqref="AC699:AD699">
    <cfRule type="containsText" priority="433" operator="containsText" dxfId="1" text="pendiente">
      <formula>NOT(ISERROR(SEARCH("pendiente",AC699)))</formula>
    </cfRule>
    <cfRule type="cellIs" priority="431" operator="equal" dxfId="1">
      <formula>"pendiente"</formula>
    </cfRule>
    <cfRule type="containsText" priority="432" operator="containsText" dxfId="0" text="pagado">
      <formula>NOT(ISERROR(SEARCH("pagado",AC699)))</formula>
    </cfRule>
    <cfRule type="containsText" priority="430" operator="containsText" dxfId="1" text="pendiente">
      <formula>NOT(ISERROR(SEARCH("pendiente",AC699)))</formula>
    </cfRule>
    <cfRule type="cellIs" priority="428" operator="equal" dxfId="1">
      <formula>"pendiente"</formula>
    </cfRule>
    <cfRule type="containsText" priority="429" operator="containsText" dxfId="0" text="pagado">
      <formula>NOT(ISERROR(SEARCH("pagado",AC699)))</formula>
    </cfRule>
  </conditionalFormatting>
  <conditionalFormatting sqref="AE699 AG699">
    <cfRule type="containsText" priority="426" operator="containsText" dxfId="1" text="pendiente">
      <formula>NOT(ISERROR(SEARCH("pendiente",AE699)))</formula>
    </cfRule>
    <cfRule type="containsText" priority="423" operator="containsText" dxfId="1" text="pendiente">
      <formula>NOT(ISERROR(SEARCH("pendiente",AE699)))</formula>
    </cfRule>
  </conditionalFormatting>
  <conditionalFormatting sqref="AE699">
    <cfRule type="cellIs" priority="424" operator="equal" dxfId="1">
      <formula>"pendiente"</formula>
    </cfRule>
    <cfRule type="containsText" priority="425" operator="containsText" dxfId="0" text="pagado">
      <formula>NOT(ISERROR(SEARCH("pagado",AE699)))</formula>
    </cfRule>
    <cfRule type="cellIs" priority="421" operator="equal" dxfId="1">
      <formula>"pendiente"</formula>
    </cfRule>
    <cfRule type="containsText" priority="422" operator="containsText" dxfId="0" text="pagado">
      <formula>NOT(ISERROR(SEARCH("pagado",AE699)))</formula>
    </cfRule>
  </conditionalFormatting>
  <conditionalFormatting sqref="AC700">
    <cfRule type="containsText" priority="418" operator="containsText" dxfId="1" text="pendiente">
      <formula>NOT(ISERROR(SEARCH("pendiente",AC700)))</formula>
    </cfRule>
    <cfRule type="cellIs" priority="416" operator="equal" dxfId="1">
      <formula>"pendiente"</formula>
    </cfRule>
    <cfRule type="containsText" priority="417" operator="containsText" dxfId="0" text="pagado">
      <formula>NOT(ISERROR(SEARCH("pagado",AC700)))</formula>
    </cfRule>
    <cfRule type="cellIs" priority="415" operator="equal" dxfId="6">
      <formula>"abonado"</formula>
    </cfRule>
    <cfRule type="containsText" priority="414" operator="containsText" dxfId="1" text="pendiente">
      <formula>NOT(ISERROR(SEARCH("pendiente",AC700)))</formula>
    </cfRule>
    <cfRule type="cellIs" priority="412" operator="equal" dxfId="1">
      <formula>"pendiente"</formula>
    </cfRule>
    <cfRule type="containsText" priority="413" operator="containsText" dxfId="0" text="pagado">
      <formula>NOT(ISERROR(SEARCH("pagado",AC700)))</formula>
    </cfRule>
  </conditionalFormatting>
  <conditionalFormatting sqref="AC700:AD700">
    <cfRule type="containsText" priority="411" operator="containsText" dxfId="1" text="pendiente">
      <formula>NOT(ISERROR(SEARCH("pendiente",AC700)))</formula>
    </cfRule>
    <cfRule type="cellIs" priority="409" operator="equal" dxfId="1">
      <formula>"pendiente"</formula>
    </cfRule>
    <cfRule type="containsText" priority="410" operator="containsText" dxfId="0" text="pagado">
      <formula>NOT(ISERROR(SEARCH("pagado",AC700)))</formula>
    </cfRule>
    <cfRule type="containsText" priority="408" operator="containsText" dxfId="1" text="pendiente">
      <formula>NOT(ISERROR(SEARCH("pendiente",AC700)))</formula>
    </cfRule>
    <cfRule type="cellIs" priority="406" operator="equal" dxfId="1">
      <formula>"pendiente"</formula>
    </cfRule>
    <cfRule type="containsText" priority="407" operator="containsText" dxfId="0" text="pagado">
      <formula>NOT(ISERROR(SEARCH("pagado",AC700)))</formula>
    </cfRule>
  </conditionalFormatting>
  <conditionalFormatting sqref="AE700 AG700">
    <cfRule type="containsText" priority="405" operator="containsText" dxfId="1" text="pendiente">
      <formula>NOT(ISERROR(SEARCH("pendiente",AE700)))</formula>
    </cfRule>
    <cfRule type="containsText" priority="402" operator="containsText" dxfId="1" text="pendiente">
      <formula>NOT(ISERROR(SEARCH("pendiente",AE700)))</formula>
    </cfRule>
  </conditionalFormatting>
  <conditionalFormatting sqref="AE700">
    <cfRule type="cellIs" priority="403" operator="equal" dxfId="1">
      <formula>"pendiente"</formula>
    </cfRule>
    <cfRule type="containsText" priority="404" operator="containsText" dxfId="0" text="pagado">
      <formula>NOT(ISERROR(SEARCH("pagado",AE700)))</formula>
    </cfRule>
    <cfRule type="cellIs" priority="400" operator="equal" dxfId="1">
      <formula>"pendiente"</formula>
    </cfRule>
    <cfRule type="containsText" priority="401" operator="containsText" dxfId="0" text="pagado">
      <formula>NOT(ISERROR(SEARCH("pagado",AE700)))</formula>
    </cfRule>
  </conditionalFormatting>
  <conditionalFormatting sqref="AC701:AC702">
    <cfRule type="containsText" priority="399" operator="containsText" dxfId="1" text="pendiente">
      <formula>NOT(ISERROR(SEARCH("pendiente",AC701)))</formula>
    </cfRule>
    <cfRule type="cellIs" priority="397" operator="equal" dxfId="1">
      <formula>"pendiente"</formula>
    </cfRule>
    <cfRule type="containsText" priority="398" operator="containsText" dxfId="0" text="pagado">
      <formula>NOT(ISERROR(SEARCH("pagado",AC701)))</formula>
    </cfRule>
    <cfRule type="cellIs" priority="396" operator="equal" dxfId="6">
      <formula>"abonado"</formula>
    </cfRule>
    <cfRule type="containsText" priority="395" operator="containsText" dxfId="1" text="pendiente">
      <formula>NOT(ISERROR(SEARCH("pendiente",AC701)))</formula>
    </cfRule>
    <cfRule type="cellIs" priority="393" operator="equal" dxfId="1">
      <formula>"pendiente"</formula>
    </cfRule>
    <cfRule type="containsText" priority="394" operator="containsText" dxfId="0" text="pagado">
      <formula>NOT(ISERROR(SEARCH("pagado",AC701)))</formula>
    </cfRule>
  </conditionalFormatting>
  <conditionalFormatting sqref="AC701:AD701">
    <cfRule type="containsText" priority="392" operator="containsText" dxfId="1" text="pendiente">
      <formula>NOT(ISERROR(SEARCH("pendiente",AC701)))</formula>
    </cfRule>
    <cfRule type="cellIs" priority="390" operator="equal" dxfId="1">
      <formula>"pendiente"</formula>
    </cfRule>
    <cfRule type="containsText" priority="391" operator="containsText" dxfId="0" text="pagado">
      <formula>NOT(ISERROR(SEARCH("pagado",AC701)))</formula>
    </cfRule>
    <cfRule type="cellIs" priority="388" operator="equal" dxfId="1">
      <formula>"pendiente"</formula>
    </cfRule>
    <cfRule type="containsText" priority="389" operator="containsText" dxfId="0" text="pagado">
      <formula>NOT(ISERROR(SEARCH("pagado",AC701)))</formula>
    </cfRule>
  </conditionalFormatting>
  <conditionalFormatting sqref="AE701:AE702 AG701:AG702">
    <cfRule type="containsText" priority="387" operator="containsText" dxfId="1" text="pendiente">
      <formula>NOT(ISERROR(SEARCH("pendiente",AE701)))</formula>
    </cfRule>
    <cfRule type="containsText" priority="384" operator="containsText" dxfId="1" text="pendiente">
      <formula>NOT(ISERROR(SEARCH("pendiente",AE701)))</formula>
    </cfRule>
  </conditionalFormatting>
  <conditionalFormatting sqref="AE701:AE702">
    <cfRule type="cellIs" priority="385" operator="equal" dxfId="1">
      <formula>"pendiente"</formula>
    </cfRule>
    <cfRule type="containsText" priority="386" operator="containsText" dxfId="0" text="pagado">
      <formula>NOT(ISERROR(SEARCH("pagado",AE701)))</formula>
    </cfRule>
    <cfRule type="cellIs" priority="382" operator="equal" dxfId="1">
      <formula>"pendiente"</formula>
    </cfRule>
    <cfRule type="containsText" priority="383" operator="containsText" dxfId="0" text="pagado">
      <formula>NOT(ISERROR(SEARCH("pagado",AE701)))</formula>
    </cfRule>
  </conditionalFormatting>
  <conditionalFormatting sqref="AC702:AD702">
    <cfRule type="containsText" priority="381" operator="containsText" dxfId="1" text="pendiente">
      <formula>NOT(ISERROR(SEARCH("pendiente",AC702)))</formula>
    </cfRule>
    <cfRule type="cellIs" priority="379" operator="equal" dxfId="1">
      <formula>"pendiente"</formula>
    </cfRule>
    <cfRule type="containsText" priority="380" operator="containsText" dxfId="0" text="pagado">
      <formula>NOT(ISERROR(SEARCH("pagado",AC702)))</formula>
    </cfRule>
    <cfRule type="cellIs" priority="377" operator="equal" dxfId="1">
      <formula>"pendiente"</formula>
    </cfRule>
    <cfRule type="containsText" priority="378" operator="containsText" dxfId="0" text="pagado">
      <formula>NOT(ISERROR(SEARCH("pagado",AC702)))</formula>
    </cfRule>
  </conditionalFormatting>
  <conditionalFormatting sqref="AC703:AC704">
    <cfRule type="containsText" priority="376" operator="containsText" dxfId="1" text="pendiente">
      <formula>NOT(ISERROR(SEARCH("pendiente",AC703)))</formula>
    </cfRule>
    <cfRule type="cellIs" priority="374" operator="equal" dxfId="1">
      <formula>"pendiente"</formula>
    </cfRule>
    <cfRule type="containsText" priority="375" operator="containsText" dxfId="0" text="pagado">
      <formula>NOT(ISERROR(SEARCH("pagado",AC703)))</formula>
    </cfRule>
    <cfRule type="cellIs" priority="373" operator="equal" dxfId="6">
      <formula>"abonado"</formula>
    </cfRule>
    <cfRule type="containsText" priority="372" operator="containsText" dxfId="1" text="pendiente">
      <formula>NOT(ISERROR(SEARCH("pendiente",AC703)))</formula>
    </cfRule>
    <cfRule type="cellIs" priority="370" operator="equal" dxfId="1">
      <formula>"pendiente"</formula>
    </cfRule>
    <cfRule type="containsText" priority="371" operator="containsText" dxfId="0" text="pagado">
      <formula>NOT(ISERROR(SEARCH("pagado",AC703)))</formula>
    </cfRule>
  </conditionalFormatting>
  <conditionalFormatting sqref="AC703:AD703">
    <cfRule type="containsText" priority="369" operator="containsText" dxfId="1" text="pendiente">
      <formula>NOT(ISERROR(SEARCH("pendiente",AC703)))</formula>
    </cfRule>
    <cfRule type="cellIs" priority="367" operator="equal" dxfId="1">
      <formula>"pendiente"</formula>
    </cfRule>
    <cfRule type="containsText" priority="368" operator="containsText" dxfId="0" text="pagado">
      <formula>NOT(ISERROR(SEARCH("pagado",AC703)))</formula>
    </cfRule>
    <cfRule type="cellIs" priority="365" operator="equal" dxfId="1">
      <formula>"pendiente"</formula>
    </cfRule>
    <cfRule type="containsText" priority="366" operator="containsText" dxfId="0" text="pagado">
      <formula>NOT(ISERROR(SEARCH("pagado",AC703)))</formula>
    </cfRule>
  </conditionalFormatting>
  <conditionalFormatting sqref="AE703 AG703">
    <cfRule type="containsText" priority="364" operator="containsText" dxfId="1" text="pendiente">
      <formula>NOT(ISERROR(SEARCH("pendiente",AE703)))</formula>
    </cfRule>
    <cfRule type="containsText" priority="361" operator="containsText" dxfId="1" text="pendiente">
      <formula>NOT(ISERROR(SEARCH("pendiente",AE703)))</formula>
    </cfRule>
  </conditionalFormatting>
  <conditionalFormatting sqref="AE703">
    <cfRule type="cellIs" priority="362" operator="equal" dxfId="1">
      <formula>"pendiente"</formula>
    </cfRule>
    <cfRule type="containsText" priority="363" operator="containsText" dxfId="0" text="pagado">
      <formula>NOT(ISERROR(SEARCH("pagado",AE703)))</formula>
    </cfRule>
    <cfRule type="cellIs" priority="359" operator="equal" dxfId="1">
      <formula>"pendiente"</formula>
    </cfRule>
    <cfRule type="containsText" priority="360" operator="containsText" dxfId="0" text="pagado">
      <formula>NOT(ISERROR(SEARCH("pagado",AE703)))</formula>
    </cfRule>
  </conditionalFormatting>
  <conditionalFormatting sqref="AD704:AE704">
    <cfRule type="cellIs" priority="357" operator="equal" dxfId="1">
      <formula>"pendiente"</formula>
    </cfRule>
    <cfRule type="containsText" priority="358" operator="containsText" dxfId="0" text="pagado">
      <formula>NOT(ISERROR(SEARCH("pagado",AD704)))</formula>
    </cfRule>
  </conditionalFormatting>
  <conditionalFormatting sqref="AD704">
    <cfRule type="containsText" priority="356" operator="containsText" dxfId="1" text="pendiente">
      <formula>NOT(ISERROR(SEARCH("pendiente",AD704)))</formula>
    </cfRule>
    <cfRule type="cellIs" priority="354" operator="equal" dxfId="1">
      <formula>"pendiente"</formula>
    </cfRule>
    <cfRule type="containsText" priority="355" operator="containsText" dxfId="0" text="pagado">
      <formula>NOT(ISERROR(SEARCH("pagado",AD704)))</formula>
    </cfRule>
    <cfRule type="cellIs" priority="352" operator="equal" dxfId="1">
      <formula>"pendiente"</formula>
    </cfRule>
    <cfRule type="containsText" priority="353" operator="containsText" dxfId="0" text="pagado">
      <formula>NOT(ISERROR(SEARCH("pagado",AD704)))</formula>
    </cfRule>
    <cfRule type="containsText" priority="345" operator="containsText" dxfId="1" text="pendiente">
      <formula>NOT(ISERROR(SEARCH("pendiente",AD704)))</formula>
    </cfRule>
    <cfRule type="cellIs" priority="343" operator="equal" dxfId="1">
      <formula>"pendiente"</formula>
    </cfRule>
    <cfRule type="containsText" priority="344" operator="containsText" dxfId="0" text="pagado">
      <formula>NOT(ISERROR(SEARCH("pagado",AD704)))</formula>
    </cfRule>
    <cfRule type="cellIs" priority="341" operator="equal" dxfId="1">
      <formula>"pendiente"</formula>
    </cfRule>
    <cfRule type="containsText" priority="342" operator="containsText" dxfId="0" text="pagado">
      <formula>NOT(ISERROR(SEARCH("pagado",AD704)))</formula>
    </cfRule>
  </conditionalFormatting>
  <conditionalFormatting sqref="AE704:AE705 AG704">
    <cfRule type="containsText" priority="351" operator="containsText" dxfId="1" text="pendiente">
      <formula>NOT(ISERROR(SEARCH("pendiente",AE704)))</formula>
    </cfRule>
    <cfRule type="containsText" priority="348" operator="containsText" dxfId="1" text="pendiente">
      <formula>NOT(ISERROR(SEARCH("pendiente",AE704)))</formula>
    </cfRule>
    <cfRule type="containsText" priority="340" operator="containsText" dxfId="1" text="pendiente">
      <formula>NOT(ISERROR(SEARCH("pendiente",AE704)))</formula>
    </cfRule>
    <cfRule type="containsText" priority="337" operator="containsText" dxfId="1" text="pendiente">
      <formula>NOT(ISERROR(SEARCH("pendiente",AE704)))</formula>
    </cfRule>
  </conditionalFormatting>
  <conditionalFormatting sqref="AE704:AE705">
    <cfRule type="cellIs" priority="349" operator="equal" dxfId="1">
      <formula>"pendiente"</formula>
    </cfRule>
    <cfRule type="containsText" priority="350" operator="containsText" dxfId="0" text="pagado">
      <formula>NOT(ISERROR(SEARCH("pagado",AE704)))</formula>
    </cfRule>
    <cfRule type="cellIs" priority="346" operator="equal" dxfId="1">
      <formula>"pendiente"</formula>
    </cfRule>
    <cfRule type="containsText" priority="347" operator="containsText" dxfId="0" text="pagado">
      <formula>NOT(ISERROR(SEARCH("pagado",AE704)))</formula>
    </cfRule>
    <cfRule type="cellIs" priority="338" operator="equal" dxfId="1">
      <formula>"pendiente"</formula>
    </cfRule>
    <cfRule type="containsText" priority="339" operator="containsText" dxfId="0" text="pagado">
      <formula>NOT(ISERROR(SEARCH("pagado",AE704)))</formula>
    </cfRule>
    <cfRule type="cellIs" priority="335" operator="equal" dxfId="1">
      <formula>"pendiente"</formula>
    </cfRule>
    <cfRule type="containsText" priority="336" operator="containsText" dxfId="0" text="pagado">
      <formula>NOT(ISERROR(SEARCH("pagado",AE704)))</formula>
    </cfRule>
  </conditionalFormatting>
  <conditionalFormatting sqref="AC704">
    <cfRule type="containsText" priority="334" operator="containsText" dxfId="1" text="pendiente">
      <formula>NOT(ISERROR(SEARCH("pendiente",AC704)))</formula>
    </cfRule>
    <cfRule type="cellIs" priority="332" operator="equal" dxfId="1">
      <formula>"pendiente"</formula>
    </cfRule>
    <cfRule type="containsText" priority="333" operator="containsText" dxfId="0" text="pagado">
      <formula>NOT(ISERROR(SEARCH("pagado",AC704)))</formula>
    </cfRule>
    <cfRule type="cellIs" priority="330" operator="equal" dxfId="1">
      <formula>"pendiente"</formula>
    </cfRule>
    <cfRule type="containsText" priority="331" operator="containsText" dxfId="0" text="pagado">
      <formula>NOT(ISERROR(SEARCH("pagado",AC704)))</formula>
    </cfRule>
  </conditionalFormatting>
  <conditionalFormatting sqref="AE705 AG705">
    <cfRule type="containsText" priority="329" operator="containsText" dxfId="1" text="pendiente">
      <formula>NOT(ISERROR(SEARCH("pendiente",AE705)))</formula>
    </cfRule>
    <cfRule type="containsText" priority="326" operator="containsText" dxfId="1" text="pendiente">
      <formula>NOT(ISERROR(SEARCH("pendiente",AE705)))</formula>
    </cfRule>
    <cfRule type="containsText" priority="323" operator="containsText" dxfId="1" text="pendiente">
      <formula>NOT(ISERROR(SEARCH("pendiente",AE705)))</formula>
    </cfRule>
    <cfRule type="containsText" priority="320" operator="containsText" dxfId="1" text="pendiente">
      <formula>NOT(ISERROR(SEARCH("pendiente",AE705)))</formula>
    </cfRule>
  </conditionalFormatting>
  <conditionalFormatting sqref="AE705">
    <cfRule type="cellIs" priority="327" operator="equal" dxfId="1">
      <formula>"pendiente"</formula>
    </cfRule>
    <cfRule type="containsText" priority="328" operator="containsText" dxfId="0" text="pagado">
      <formula>NOT(ISERROR(SEARCH("pagado",AE705)))</formula>
    </cfRule>
    <cfRule type="cellIs" priority="324" operator="equal" dxfId="1">
      <formula>"pendiente"</formula>
    </cfRule>
    <cfRule type="containsText" priority="325" operator="containsText" dxfId="0" text="pagado">
      <formula>NOT(ISERROR(SEARCH("pagado",AE705)))</formula>
    </cfRule>
    <cfRule type="cellIs" priority="321" operator="equal" dxfId="1">
      <formula>"pendiente"</formula>
    </cfRule>
    <cfRule type="containsText" priority="322" operator="containsText" dxfId="0" text="pagado">
      <formula>NOT(ISERROR(SEARCH("pagado",AE705)))</formula>
    </cfRule>
    <cfRule type="cellIs" priority="318" operator="equal" dxfId="1">
      <formula>"pendiente"</formula>
    </cfRule>
    <cfRule type="containsText" priority="319" operator="containsText" dxfId="0" text="pagado">
      <formula>NOT(ISERROR(SEARCH("pagado",AE705)))</formula>
    </cfRule>
    <cfRule type="cellIs" priority="304" operator="equal" dxfId="1">
      <formula>"pendiente"</formula>
    </cfRule>
    <cfRule type="containsText" priority="305" operator="containsText" dxfId="0" text="pagado">
      <formula>NOT(ISERROR(SEARCH("pagado",AE705)))</formula>
    </cfRule>
  </conditionalFormatting>
  <conditionalFormatting sqref="AC705:AE705">
    <cfRule type="cellIs" priority="316" operator="equal" dxfId="1">
      <formula>"pendiente"</formula>
    </cfRule>
    <cfRule type="containsText" priority="317" operator="containsText" dxfId="0" text="pagado">
      <formula>NOT(ISERROR(SEARCH("pagado",AC705)))</formula>
    </cfRule>
  </conditionalFormatting>
  <conditionalFormatting sqref="AC705:AD705">
    <cfRule type="containsText" priority="315" operator="containsText" dxfId="1" text="pendiente">
      <formula>NOT(ISERROR(SEARCH("pendiente",AC705)))</formula>
    </cfRule>
    <cfRule type="cellIs" priority="313" operator="equal" dxfId="1">
      <formula>"pendiente"</formula>
    </cfRule>
    <cfRule type="containsText" priority="314" operator="containsText" dxfId="0" text="pagado">
      <formula>NOT(ISERROR(SEARCH("pagado",AC705)))</formula>
    </cfRule>
    <cfRule type="cellIs" priority="311" operator="equal" dxfId="1">
      <formula>"pendiente"</formula>
    </cfRule>
    <cfRule type="containsText" priority="312" operator="containsText" dxfId="0" text="pagado">
      <formula>NOT(ISERROR(SEARCH("pagado",AC705)))</formula>
    </cfRule>
    <cfRule type="containsText" priority="310" operator="containsText" dxfId="1" text="pendiente">
      <formula>NOT(ISERROR(SEARCH("pendiente",AC705)))</formula>
    </cfRule>
    <cfRule type="cellIs" priority="308" operator="equal" dxfId="1">
      <formula>"pendiente"</formula>
    </cfRule>
    <cfRule type="containsText" priority="309" operator="containsText" dxfId="0" text="pagado">
      <formula>NOT(ISERROR(SEARCH("pagado",AC705)))</formula>
    </cfRule>
    <cfRule type="cellIs" priority="306" operator="equal" dxfId="1">
      <formula>"pendiente"</formula>
    </cfRule>
    <cfRule type="containsText" priority="307" operator="containsText" dxfId="0" text="pagado">
      <formula>NOT(ISERROR(SEARCH("pagado",AC705)))</formula>
    </cfRule>
  </conditionalFormatting>
  <conditionalFormatting sqref="AC694">
    <cfRule type="containsText" priority="281" operator="containsText" dxfId="1" text="pendiente">
      <formula>NOT(ISERROR(SEARCH("pendiente",AC694)))</formula>
    </cfRule>
    <cfRule type="cellIs" priority="279" operator="equal" dxfId="1">
      <formula>"pendiente"</formula>
    </cfRule>
    <cfRule type="containsText" priority="280" operator="containsText" dxfId="0" text="pagado">
      <formula>NOT(ISERROR(SEARCH("pagado",AC694)))</formula>
    </cfRule>
    <cfRule type="cellIs" priority="278" operator="equal" dxfId="6">
      <formula>"abonado"</formula>
    </cfRule>
    <cfRule type="containsText" priority="277" operator="containsText" dxfId="1" text="pendiente">
      <formula>NOT(ISERROR(SEARCH("pendiente",AC694)))</formula>
    </cfRule>
    <cfRule type="cellIs" priority="275" operator="equal" dxfId="1">
      <formula>"pendiente"</formula>
    </cfRule>
    <cfRule type="containsText" priority="276" operator="containsText" dxfId="0" text="pagado">
      <formula>NOT(ISERROR(SEARCH("pagado",AC694)))</formula>
    </cfRule>
  </conditionalFormatting>
  <conditionalFormatting sqref="AC694:AD694">
    <cfRule type="containsText" priority="274" operator="containsText" dxfId="1" text="pendiente">
      <formula>NOT(ISERROR(SEARCH("pendiente",AC694)))</formula>
    </cfRule>
    <cfRule type="cellIs" priority="272" operator="equal" dxfId="1">
      <formula>"pendiente"</formula>
    </cfRule>
    <cfRule type="containsText" priority="273" operator="containsText" dxfId="0" text="pagado">
      <formula>NOT(ISERROR(SEARCH("pagado",AC694)))</formula>
    </cfRule>
    <cfRule type="cellIs" priority="270" operator="equal" dxfId="1">
      <formula>"pendiente"</formula>
    </cfRule>
    <cfRule type="containsText" priority="271" operator="containsText" dxfId="0" text="pagado">
      <formula>NOT(ISERROR(SEARCH("pagado",AC694)))</formula>
    </cfRule>
  </conditionalFormatting>
  <conditionalFormatting sqref="AE694 AG694">
    <cfRule type="containsText" priority="269" operator="containsText" dxfId="1" text="pendiente">
      <formula>NOT(ISERROR(SEARCH("pendiente",AE694)))</formula>
    </cfRule>
    <cfRule type="containsText" priority="266" operator="containsText" dxfId="1" text="pendiente">
      <formula>NOT(ISERROR(SEARCH("pendiente",AE694)))</formula>
    </cfRule>
  </conditionalFormatting>
  <conditionalFormatting sqref="AE694">
    <cfRule type="cellIs" priority="267" operator="equal" dxfId="1">
      <formula>"pendiente"</formula>
    </cfRule>
    <cfRule type="containsText" priority="268" operator="containsText" dxfId="0" text="pagado">
      <formula>NOT(ISERROR(SEARCH("pagado",AE694)))</formula>
    </cfRule>
    <cfRule type="cellIs" priority="264" operator="equal" dxfId="1">
      <formula>"pendiente"</formula>
    </cfRule>
    <cfRule type="containsText" priority="265" operator="containsText" dxfId="0" text="pagado">
      <formula>NOT(ISERROR(SEARCH("pagado",AE694)))</formula>
    </cfRule>
  </conditionalFormatting>
  <conditionalFormatting sqref="AC731:AE731">
    <cfRule type="cellIs" priority="262" operator="equal" dxfId="1">
      <formula>"pendiente"</formula>
    </cfRule>
    <cfRule type="containsText" priority="263" operator="containsText" dxfId="0" text="pagado">
      <formula>NOT(ISERROR(SEARCH("pagado",AC731)))</formula>
    </cfRule>
  </conditionalFormatting>
  <conditionalFormatting sqref="AC40:AC44">
    <cfRule type="containsText" priority="257" operator="containsText" dxfId="1" text="pendiente">
      <formula>NOT(ISERROR(SEARCH("pendiente",AC40)))</formula>
    </cfRule>
    <cfRule type="cellIs" priority="255" operator="equal" dxfId="1">
      <formula>"pendiente"</formula>
    </cfRule>
    <cfRule type="containsText" priority="256" operator="containsText" dxfId="0" text="pagado">
      <formula>NOT(ISERROR(SEARCH("pagado",AC40)))</formula>
    </cfRule>
  </conditionalFormatting>
  <conditionalFormatting sqref="AD41:AD44">
    <cfRule type="containsText" priority="254" operator="containsText" dxfId="1" text="pendiente">
      <formula>NOT(ISERROR(SEARCH("pendiente",AD41)))</formula>
    </cfRule>
    <cfRule type="cellIs" priority="252" operator="equal" dxfId="1">
      <formula>"pendiente"</formula>
    </cfRule>
    <cfRule type="containsText" priority="253" operator="containsText" dxfId="0" text="pagado">
      <formula>NOT(ISERROR(SEARCH("pagado",AD41)))</formula>
    </cfRule>
  </conditionalFormatting>
  <conditionalFormatting sqref="AD40">
    <cfRule type="containsText" priority="251" operator="containsText" dxfId="1" text="pendiente">
      <formula>NOT(ISERROR(SEARCH("pendiente",AD40)))</formula>
    </cfRule>
    <cfRule type="cellIs" priority="249" operator="equal" dxfId="1">
      <formula>"pendiente"</formula>
    </cfRule>
    <cfRule type="containsText" priority="250" operator="containsText" dxfId="0" text="pagado">
      <formula>NOT(ISERROR(SEARCH("pagado",AD40)))</formula>
    </cfRule>
  </conditionalFormatting>
  <conditionalFormatting sqref="AE40:AE44">
    <cfRule type="cellIs" priority="244" operator="equal" dxfId="1">
      <formula>"pendiente"</formula>
    </cfRule>
    <cfRule type="containsText" priority="245" operator="containsText" dxfId="0" text="pagado">
      <formula>NOT(ISERROR(SEARCH("pagado",AE40)))</formula>
    </cfRule>
  </conditionalFormatting>
  <conditionalFormatting sqref="AC45">
    <cfRule type="cellIs" priority="243" operator="equal" dxfId="6">
      <formula>"abonado"</formula>
    </cfRule>
    <cfRule type="cellIs" priority="240" operator="equal" dxfId="1">
      <formula>"pendiente"</formula>
    </cfRule>
    <cfRule type="containsText" priority="241" operator="containsText" dxfId="0" text="pagado">
      <formula>NOT(ISERROR(SEARCH("pagado",AC45)))</formula>
    </cfRule>
  </conditionalFormatting>
  <conditionalFormatting sqref="AC45:AE45 AG45">
    <cfRule type="containsText" priority="242" operator="containsText" dxfId="1" text="pendiente">
      <formula>NOT(ISERROR(SEARCH("pendiente",AC45)))</formula>
    </cfRule>
  </conditionalFormatting>
  <conditionalFormatting sqref="AD45:AE45">
    <cfRule type="cellIs" priority="238" operator="equal" dxfId="1">
      <formula>"pendiente"</formula>
    </cfRule>
    <cfRule type="containsText" priority="239" operator="containsText" dxfId="0" text="pagado">
      <formula>NOT(ISERROR(SEARCH("pagado",AD45)))</formula>
    </cfRule>
  </conditionalFormatting>
  <conditionalFormatting sqref="AE46:AE47 AG46:AG47">
    <cfRule type="containsText" priority="237" operator="containsText" dxfId="1" text="pendiente">
      <formula>NOT(ISERROR(SEARCH("pendiente",AE46)))</formula>
    </cfRule>
  </conditionalFormatting>
  <conditionalFormatting sqref="AC46:AC47">
    <cfRule type="cellIs" priority="236" operator="equal" dxfId="6">
      <formula>"abonado"</formula>
    </cfRule>
    <cfRule type="containsText" priority="235" operator="containsText" dxfId="1" text="pendiente">
      <formula>NOT(ISERROR(SEARCH("pendiente",AC46)))</formula>
    </cfRule>
    <cfRule type="cellIs" priority="233" operator="equal" dxfId="1">
      <formula>"pendiente"</formula>
    </cfRule>
    <cfRule type="containsText" priority="234" operator="containsText" dxfId="0" text="pagado">
      <formula>NOT(ISERROR(SEARCH("pagado",AC46)))</formula>
    </cfRule>
  </conditionalFormatting>
  <conditionalFormatting sqref="AD46:AD47">
    <cfRule type="containsText" priority="232" operator="containsText" dxfId="1" text="pendiente">
      <formula>NOT(ISERROR(SEARCH("pendiente",AD46)))</formula>
    </cfRule>
    <cfRule type="cellIs" priority="230" operator="equal" dxfId="1">
      <formula>"pendiente"</formula>
    </cfRule>
    <cfRule type="containsText" priority="231" operator="containsText" dxfId="0" text="pagado">
      <formula>NOT(ISERROR(SEARCH("pagado",AD46)))</formula>
    </cfRule>
  </conditionalFormatting>
  <conditionalFormatting sqref="AE46:AE47">
    <cfRule type="cellIs" priority="228" operator="equal" dxfId="1">
      <formula>"pendiente"</formula>
    </cfRule>
    <cfRule type="containsText" priority="229" operator="containsText" dxfId="0" text="pagado">
      <formula>NOT(ISERROR(SEARCH("pagado",AE46)))</formula>
    </cfRule>
  </conditionalFormatting>
  <conditionalFormatting sqref="AC106:AC160 AC406:AC407">
    <cfRule type="cellIs" priority="216" operator="equal" dxfId="1">
      <formula>"pendiente"</formula>
    </cfRule>
    <cfRule type="containsText" priority="217" operator="containsText" dxfId="0" text="pagado">
      <formula>NOT(ISERROR(SEARCH("pagado",AC106)))</formula>
    </cfRule>
  </conditionalFormatting>
  <conditionalFormatting sqref="AC106:AE106">
    <cfRule type="cellIs" priority="214" operator="equal" dxfId="1">
      <formula>"pendiente"</formula>
    </cfRule>
    <cfRule type="containsText" priority="215" operator="containsText" dxfId="0" text="pagado">
      <formula>NOT(ISERROR(SEARCH("pagado",AC106)))</formula>
    </cfRule>
    <cfRule type="cellIs" priority="212" operator="equal" dxfId="1">
      <formula>"pendiente"</formula>
    </cfRule>
    <cfRule type="containsText" priority="213" operator="containsText" dxfId="0" text="pagado">
      <formula>NOT(ISERROR(SEARCH("pagado",AC106)))</formula>
    </cfRule>
  </conditionalFormatting>
  <conditionalFormatting sqref="AC107:AE107">
    <cfRule type="cellIs" priority="210" operator="equal" dxfId="1">
      <formula>"pendiente"</formula>
    </cfRule>
    <cfRule type="containsText" priority="211" operator="containsText" dxfId="0" text="pagado">
      <formula>NOT(ISERROR(SEARCH("pagado",AC107)))</formula>
    </cfRule>
    <cfRule type="cellIs" priority="208" operator="equal" dxfId="1">
      <formula>"pendiente"</formula>
    </cfRule>
    <cfRule type="containsText" priority="209" operator="containsText" dxfId="0" text="pagado">
      <formula>NOT(ISERROR(SEARCH("pagado",AC107)))</formula>
    </cfRule>
  </conditionalFormatting>
  <conditionalFormatting sqref="AC108:AE160 AC407:AE407">
    <cfRule type="cellIs" priority="206" operator="equal" dxfId="1">
      <formula>"pendiente"</formula>
    </cfRule>
    <cfRule type="containsText" priority="207" operator="containsText" dxfId="0" text="pagado">
      <formula>NOT(ISERROR(SEARCH("pagado",AC108)))</formula>
    </cfRule>
    <cfRule type="cellIs" priority="204" operator="equal" dxfId="1">
      <formula>"pendiente"</formula>
    </cfRule>
    <cfRule type="containsText" priority="205" operator="containsText" dxfId="0" text="pagado">
      <formula>NOT(ISERROR(SEARCH("pagado",AC108)))</formula>
    </cfRule>
  </conditionalFormatting>
  <conditionalFormatting sqref="AC180:AC182">
    <cfRule type="containsText" priority="203" operator="containsText" dxfId="1" text="pendiente">
      <formula>NOT(ISERROR(SEARCH("pendiente",AC180)))</formula>
    </cfRule>
    <cfRule type="cellIs" priority="201" operator="equal" dxfId="1">
      <formula>"pendiente"</formula>
    </cfRule>
    <cfRule type="containsText" priority="202" operator="containsText" dxfId="0" text="pagado">
      <formula>NOT(ISERROR(SEARCH("pagado",AC180)))</formula>
    </cfRule>
  </conditionalFormatting>
  <conditionalFormatting sqref="AD181:AD182">
    <cfRule type="containsText" priority="200" operator="containsText" dxfId="1" text="pendiente">
      <formula>NOT(ISERROR(SEARCH("pendiente",AD181)))</formula>
    </cfRule>
    <cfRule type="cellIs" priority="198" operator="equal" dxfId="1">
      <formula>"pendiente"</formula>
    </cfRule>
    <cfRule type="containsText" priority="199" operator="containsText" dxfId="0" text="pagado">
      <formula>NOT(ISERROR(SEARCH("pagado",AD181)))</formula>
    </cfRule>
  </conditionalFormatting>
  <conditionalFormatting sqref="AD180">
    <cfRule type="containsText" priority="197" operator="containsText" dxfId="1" text="pendiente">
      <formula>NOT(ISERROR(SEARCH("pendiente",AD180)))</formula>
    </cfRule>
    <cfRule type="cellIs" priority="195" operator="equal" dxfId="1">
      <formula>"pendiente"</formula>
    </cfRule>
    <cfRule type="containsText" priority="196" operator="containsText" dxfId="0" text="pagado">
      <formula>NOT(ISERROR(SEARCH("pagado",AD180)))</formula>
    </cfRule>
  </conditionalFormatting>
  <conditionalFormatting sqref="AE180:AE182">
    <cfRule type="cellIs" priority="193" operator="equal" dxfId="1">
      <formula>"pendiente"</formula>
    </cfRule>
    <cfRule type="containsText" priority="194" operator="containsText" dxfId="0" text="pagado">
      <formula>NOT(ISERROR(SEARCH("pagado",AE180)))</formula>
    </cfRule>
  </conditionalFormatting>
  <conditionalFormatting sqref="AC183:AE183">
    <cfRule type="cellIs" priority="191" operator="equal" dxfId="1">
      <formula>"pendiente"</formula>
    </cfRule>
    <cfRule type="containsText" priority="192" operator="containsText" dxfId="0" text="pagado">
      <formula>NOT(ISERROR(SEARCH("pagado",AC183)))</formula>
    </cfRule>
  </conditionalFormatting>
  <conditionalFormatting sqref="AC184:AE282">
    <cfRule type="cellIs" priority="181" operator="equal" dxfId="1">
      <formula>"pendiente"</formula>
    </cfRule>
    <cfRule type="containsText" priority="182" operator="containsText" dxfId="0" text="pagado">
      <formula>NOT(ISERROR(SEARCH("pagado",AC184)))</formula>
    </cfRule>
  </conditionalFormatting>
  <conditionalFormatting sqref="AC241:AC282">
    <cfRule type="cellIs" priority="177" operator="equal" dxfId="1">
      <formula>"pendiente"</formula>
    </cfRule>
    <cfRule type="containsText" priority="178" operator="containsText" dxfId="0" text="pagado">
      <formula>NOT(ISERROR(SEARCH("pagado",AC241)))</formula>
    </cfRule>
  </conditionalFormatting>
  <conditionalFormatting sqref="AC274:AE274">
    <cfRule type="cellIs" priority="175" operator="equal" dxfId="1">
      <formula>"pendiente"</formula>
    </cfRule>
    <cfRule type="containsText" priority="176" operator="containsText" dxfId="0" text="pagado">
      <formula>NOT(ISERROR(SEARCH("pagado",AC274)))</formula>
    </cfRule>
    <cfRule type="cellIs" priority="173" operator="equal" dxfId="1">
      <formula>"pendiente"</formula>
    </cfRule>
    <cfRule type="containsText" priority="174" operator="containsText" dxfId="0" text="pagado">
      <formula>NOT(ISERROR(SEARCH("pagado",AC274)))</formula>
    </cfRule>
  </conditionalFormatting>
  <conditionalFormatting sqref="AC275:AE281">
    <cfRule type="cellIs" priority="171" operator="equal" dxfId="1">
      <formula>"pendiente"</formula>
    </cfRule>
    <cfRule type="containsText" priority="172" operator="containsText" dxfId="0" text="pagado">
      <formula>NOT(ISERROR(SEARCH("pagado",AC275)))</formula>
    </cfRule>
    <cfRule type="cellIs" priority="169" operator="equal" dxfId="1">
      <formula>"pendiente"</formula>
    </cfRule>
    <cfRule type="containsText" priority="170" operator="containsText" dxfId="0" text="pagado">
      <formula>NOT(ISERROR(SEARCH("pagado",AC275)))</formula>
    </cfRule>
  </conditionalFormatting>
  <conditionalFormatting sqref="AC282:AE282">
    <cfRule type="cellIs" priority="167" operator="equal" dxfId="1">
      <formula>"pendiente"</formula>
    </cfRule>
    <cfRule type="containsText" priority="168" operator="containsText" dxfId="0" text="pagado">
      <formula>NOT(ISERROR(SEARCH("pagado",AC282)))</formula>
    </cfRule>
    <cfRule type="cellIs" priority="165" operator="equal" dxfId="1">
      <formula>"pendiente"</formula>
    </cfRule>
    <cfRule type="containsText" priority="166" operator="containsText" dxfId="0" text="pagado">
      <formula>NOT(ISERROR(SEARCH("pagado",AC282)))</formula>
    </cfRule>
  </conditionalFormatting>
  <conditionalFormatting sqref="AC241:AE273">
    <cfRule type="cellIs" priority="163" operator="equal" dxfId="1">
      <formula>"pendiente"</formula>
    </cfRule>
    <cfRule type="containsText" priority="164" operator="containsText" dxfId="0" text="pagado">
      <formula>NOT(ISERROR(SEARCH("pagado",AC241)))</formula>
    </cfRule>
    <cfRule type="cellIs" priority="161" operator="equal" dxfId="1">
      <formula>"pendiente"</formula>
    </cfRule>
    <cfRule type="containsText" priority="162" operator="containsText" dxfId="0" text="pagado">
      <formula>NOT(ISERROR(SEARCH("pagado",AC241)))</formula>
    </cfRule>
  </conditionalFormatting>
  <conditionalFormatting sqref="AC283:AE320">
    <cfRule type="cellIs" priority="159" operator="equal" dxfId="1">
      <formula>"pendiente"</formula>
    </cfRule>
    <cfRule type="containsText" priority="160" operator="containsText" dxfId="0" text="pagado">
      <formula>NOT(ISERROR(SEARCH("pagado",AC283)))</formula>
    </cfRule>
  </conditionalFormatting>
  <conditionalFormatting sqref="AC283:AC301">
    <cfRule type="cellIs" priority="157" operator="equal" dxfId="1">
      <formula>"pendiente"</formula>
    </cfRule>
    <cfRule type="containsText" priority="158" operator="containsText" dxfId="0" text="pagado">
      <formula>NOT(ISERROR(SEARCH("pagado",AC283)))</formula>
    </cfRule>
  </conditionalFormatting>
  <conditionalFormatting sqref="AC283:AE301">
    <cfRule type="cellIs" priority="155" operator="equal" dxfId="1">
      <formula>"pendiente"</formula>
    </cfRule>
    <cfRule type="containsText" priority="156" operator="containsText" dxfId="0" text="pagado">
      <formula>NOT(ISERROR(SEARCH("pagado",AC283)))</formula>
    </cfRule>
    <cfRule type="cellIs" priority="153" operator="equal" dxfId="1">
      <formula>"pendiente"</formula>
    </cfRule>
    <cfRule type="containsText" priority="154" operator="containsText" dxfId="0" text="pagado">
      <formula>NOT(ISERROR(SEARCH("pagado",AC283)))</formula>
    </cfRule>
  </conditionalFormatting>
  <conditionalFormatting sqref="AC321:AC322">
    <cfRule type="containsText" priority="152" operator="containsText" dxfId="1" text="pendiente">
      <formula>NOT(ISERROR(SEARCH("pendiente",AC321)))</formula>
    </cfRule>
    <cfRule type="cellIs" priority="150" operator="equal" dxfId="1">
      <formula>"pendiente"</formula>
    </cfRule>
    <cfRule type="containsText" priority="151" operator="containsText" dxfId="0" text="pagado">
      <formula>NOT(ISERROR(SEARCH("pagado",AC321)))</formula>
    </cfRule>
  </conditionalFormatting>
  <conditionalFormatting sqref="AD322">
    <cfRule type="containsText" priority="149" operator="containsText" dxfId="1" text="pendiente">
      <formula>NOT(ISERROR(SEARCH("pendiente",AD322)))</formula>
    </cfRule>
    <cfRule type="cellIs" priority="147" operator="equal" dxfId="1">
      <formula>"pendiente"</formula>
    </cfRule>
    <cfRule type="containsText" priority="148" operator="containsText" dxfId="0" text="pagado">
      <formula>NOT(ISERROR(SEARCH("pagado",AD322)))</formula>
    </cfRule>
  </conditionalFormatting>
  <conditionalFormatting sqref="AD321">
    <cfRule type="containsText" priority="146" operator="containsText" dxfId="1" text="pendiente">
      <formula>NOT(ISERROR(SEARCH("pendiente",AD321)))</formula>
    </cfRule>
    <cfRule type="cellIs" priority="144" operator="equal" dxfId="1">
      <formula>"pendiente"</formula>
    </cfRule>
    <cfRule type="containsText" priority="145" operator="containsText" dxfId="0" text="pagado">
      <formula>NOT(ISERROR(SEARCH("pagado",AD321)))</formula>
    </cfRule>
  </conditionalFormatting>
  <conditionalFormatting sqref="AE321:AE322">
    <cfRule type="cellIs" priority="142" operator="equal" dxfId="1">
      <formula>"pendiente"</formula>
    </cfRule>
    <cfRule type="containsText" priority="143" operator="containsText" dxfId="0" text="pagado">
      <formula>NOT(ISERROR(SEARCH("pagado",AE321)))</formula>
    </cfRule>
  </conditionalFormatting>
  <conditionalFormatting sqref="AC323:AE324">
    <cfRule type="cellIs" priority="120" operator="equal" dxfId="1">
      <formula>"pendiente"</formula>
    </cfRule>
    <cfRule type="containsText" priority="121" operator="containsText" dxfId="0" text="pagado">
      <formula>NOT(ISERROR(SEARCH("pagado",AC323)))</formula>
    </cfRule>
  </conditionalFormatting>
  <conditionalFormatting sqref="AC325:AE325">
    <cfRule type="cellIs" priority="118" operator="equal" dxfId="1">
      <formula>"pendiente"</formula>
    </cfRule>
    <cfRule type="containsText" priority="119" operator="containsText" dxfId="0" text="pagado">
      <formula>NOT(ISERROR(SEARCH("pagado",AC325)))</formula>
    </cfRule>
    <cfRule type="cellIs" priority="116" operator="equal" dxfId="1">
      <formula>"pendiente"</formula>
    </cfRule>
    <cfRule type="containsText" priority="117" operator="containsText" dxfId="0" text="pagado">
      <formula>NOT(ISERROR(SEARCH("pagado",AC325)))</formula>
    </cfRule>
  </conditionalFormatting>
  <conditionalFormatting sqref="AC326:AE326">
    <cfRule type="cellIs" priority="110" operator="equal" dxfId="1">
      <formula>"pendiente"</formula>
    </cfRule>
    <cfRule type="containsText" priority="111" operator="containsText" dxfId="0" text="pagado">
      <formula>NOT(ISERROR(SEARCH("pagado",AC326)))</formula>
    </cfRule>
    <cfRule type="cellIs" priority="108" operator="equal" dxfId="1">
      <formula>"pendiente"</formula>
    </cfRule>
    <cfRule type="containsText" priority="109" operator="containsText" dxfId="0" text="pagado">
      <formula>NOT(ISERROR(SEARCH("pagado",AC326)))</formula>
    </cfRule>
  </conditionalFormatting>
  <conditionalFormatting sqref="AC327:AE327">
    <cfRule type="cellIs" priority="106" operator="equal" dxfId="1">
      <formula>"pendiente"</formula>
    </cfRule>
    <cfRule type="containsText" priority="107" operator="containsText" dxfId="0" text="pagado">
      <formula>NOT(ISERROR(SEARCH("pagado",AC327)))</formula>
    </cfRule>
    <cfRule type="cellIs" priority="102" operator="equal" dxfId="1">
      <formula>"pendiente"</formula>
    </cfRule>
    <cfRule type="containsText" priority="103" operator="containsText" dxfId="0" text="pagado">
      <formula>NOT(ISERROR(SEARCH("pagado",AC327)))</formula>
    </cfRule>
    <cfRule type="cellIs" priority="100" operator="equal" dxfId="1">
      <formula>"pendiente"</formula>
    </cfRule>
    <cfRule type="containsText" priority="101" operator="containsText" dxfId="0" text="pagado">
      <formula>NOT(ISERROR(SEARCH("pagado",AC327)))</formula>
    </cfRule>
  </conditionalFormatting>
  <conditionalFormatting sqref="AC327:AC328">
    <cfRule type="cellIs" priority="104" operator="equal" dxfId="1">
      <formula>"pendiente"</formula>
    </cfRule>
    <cfRule type="containsText" priority="105" operator="containsText" dxfId="0" text="pagado">
      <formula>NOT(ISERROR(SEARCH("pagado",AC327)))</formula>
    </cfRule>
  </conditionalFormatting>
  <conditionalFormatting sqref="AC328:AE328">
    <cfRule type="cellIs" priority="98" operator="equal" dxfId="1">
      <formula>"pendiente"</formula>
    </cfRule>
    <cfRule type="containsText" priority="99" operator="containsText" dxfId="0" text="pagado">
      <formula>NOT(ISERROR(SEARCH("pagado",AC328)))</formula>
    </cfRule>
    <cfRule type="cellIs" priority="96" operator="equal" dxfId="1">
      <formula>"pendiente"</formula>
    </cfRule>
    <cfRule type="containsText" priority="97" operator="containsText" dxfId="0" text="pagado">
      <formula>NOT(ISERROR(SEARCH("pagado",AC328)))</formula>
    </cfRule>
  </conditionalFormatting>
  <conditionalFormatting sqref="AC328">
    <cfRule type="cellIs" priority="94" operator="equal" dxfId="1">
      <formula>"pendiente"</formula>
    </cfRule>
    <cfRule type="containsText" priority="95" operator="containsText" dxfId="0" text="pagado">
      <formula>NOT(ISERROR(SEARCH("pagado",AC328)))</formula>
    </cfRule>
    <cfRule type="cellIs" priority="92" operator="equal" dxfId="1">
      <formula>"pendiente"</formula>
    </cfRule>
    <cfRule type="containsText" priority="93" operator="containsText" dxfId="0" text="pagado">
      <formula>NOT(ISERROR(SEARCH("pagado",AC328)))</formula>
    </cfRule>
    <cfRule type="cellIs" priority="90" operator="equal" dxfId="1">
      <formula>"pendiente"</formula>
    </cfRule>
    <cfRule type="containsText" priority="91" operator="containsText" dxfId="0" text="pagado">
      <formula>NOT(ISERROR(SEARCH("pagado",AC328)))</formula>
    </cfRule>
  </conditionalFormatting>
  <conditionalFormatting sqref="AC329:AE376 AG329:AG376">
    <cfRule type="containsText" priority="89" operator="containsText" dxfId="1" text="pendiente">
      <formula>NOT(ISERROR(SEARCH("pendiente",AC329)))</formula>
    </cfRule>
  </conditionalFormatting>
  <conditionalFormatting sqref="AC329:AE375">
    <cfRule type="cellIs" priority="87" operator="equal" dxfId="1">
      <formula>"pendiente"</formula>
    </cfRule>
    <cfRule type="containsText" priority="88" operator="containsText" dxfId="0" text="pagado">
      <formula>NOT(ISERROR(SEARCH("pagado",AC329)))</formula>
    </cfRule>
    <cfRule type="cellIs" priority="84" operator="equal" dxfId="1">
      <formula>"pendiente"</formula>
    </cfRule>
    <cfRule type="containsText" priority="85" operator="containsText" dxfId="0" text="pagado">
      <formula>NOT(ISERROR(SEARCH("pagado",AC329)))</formula>
    </cfRule>
  </conditionalFormatting>
  <conditionalFormatting sqref="AC329:AC376">
    <cfRule type="cellIs" priority="86" operator="equal" dxfId="6">
      <formula>"abonado"</formula>
    </cfRule>
  </conditionalFormatting>
  <conditionalFormatting sqref="AC376:AE376">
    <cfRule type="cellIs" priority="82" operator="equal" dxfId="1">
      <formula>"pendiente"</formula>
    </cfRule>
    <cfRule type="containsText" priority="83" operator="containsText" dxfId="0" text="pagado">
      <formula>NOT(ISERROR(SEARCH("pagado",AC376)))</formula>
    </cfRule>
    <cfRule type="cellIs" priority="80" operator="equal" dxfId="1">
      <formula>"pendiente"</formula>
    </cfRule>
    <cfRule type="containsText" priority="81" operator="containsText" dxfId="0" text="pagado">
      <formula>NOT(ISERROR(SEARCH("pagado",AC376)))</formula>
    </cfRule>
  </conditionalFormatting>
  <conditionalFormatting sqref="AC377:AE382 AG377:AG382">
    <cfRule type="containsText" priority="79" operator="containsText" dxfId="1" text="pendiente">
      <formula>NOT(ISERROR(SEARCH("pendiente",AC377)))</formula>
    </cfRule>
  </conditionalFormatting>
  <conditionalFormatting sqref="AC377:AE382">
    <cfRule type="cellIs" priority="77" operator="equal" dxfId="1">
      <formula>"pendiente"</formula>
    </cfRule>
    <cfRule type="containsText" priority="78" operator="containsText" dxfId="0" text="pagado">
      <formula>NOT(ISERROR(SEARCH("pagado",AC377)))</formula>
    </cfRule>
    <cfRule type="cellIs" priority="74" operator="equal" dxfId="1">
      <formula>"pendiente"</formula>
    </cfRule>
    <cfRule type="containsText" priority="75" operator="containsText" dxfId="0" text="pagado">
      <formula>NOT(ISERROR(SEARCH("pagado",AC377)))</formula>
    </cfRule>
  </conditionalFormatting>
  <conditionalFormatting sqref="AC377:AC382">
    <cfRule type="cellIs" priority="76" operator="equal" dxfId="6">
      <formula>"abonado"</formula>
    </cfRule>
  </conditionalFormatting>
  <conditionalFormatting sqref="AC383:AE383 AG383">
    <cfRule type="containsText" priority="69" operator="containsText" dxfId="1" text="pendiente">
      <formula>NOT(ISERROR(SEARCH("pendiente",AC383)))</formula>
    </cfRule>
  </conditionalFormatting>
  <conditionalFormatting sqref="AC383">
    <cfRule type="cellIs" priority="68" operator="equal" dxfId="6">
      <formula>"abonado"</formula>
    </cfRule>
  </conditionalFormatting>
  <conditionalFormatting sqref="AC383:AE383">
    <cfRule type="cellIs" priority="66" operator="equal" dxfId="1">
      <formula>"pendiente"</formula>
    </cfRule>
    <cfRule type="containsText" priority="67" operator="containsText" dxfId="0" text="pagado">
      <formula>NOT(ISERROR(SEARCH("pagado",AC383)))</formula>
    </cfRule>
  </conditionalFormatting>
  <conditionalFormatting sqref="AC384">
    <cfRule type="containsText" priority="65" operator="containsText" dxfId="1" text="pendiente">
      <formula>NOT(ISERROR(SEARCH("pendiente",AC384)))</formula>
    </cfRule>
    <cfRule type="cellIs" priority="63" operator="equal" dxfId="1">
      <formula>"pendiente"</formula>
    </cfRule>
    <cfRule type="containsText" priority="64" operator="containsText" dxfId="0" text="pagado">
      <formula>NOT(ISERROR(SEARCH("pagado",AC384)))</formula>
    </cfRule>
    <cfRule type="cellIs" priority="62" operator="equal" dxfId="6">
      <formula>"abonado"</formula>
    </cfRule>
    <cfRule type="containsText" priority="61" operator="containsText" dxfId="1" text="pendiente">
      <formula>NOT(ISERROR(SEARCH("pendiente",AC384)))</formula>
    </cfRule>
    <cfRule type="cellIs" priority="59" operator="equal" dxfId="1">
      <formula>"pendiente"</formula>
    </cfRule>
    <cfRule type="containsText" priority="60" operator="containsText" dxfId="0" text="pagado">
      <formula>NOT(ISERROR(SEARCH("pagado",AC384)))</formula>
    </cfRule>
  </conditionalFormatting>
  <conditionalFormatting sqref="AC384:AD384">
    <cfRule type="containsText" priority="58" operator="containsText" dxfId="1" text="pendiente">
      <formula>NOT(ISERROR(SEARCH("pendiente",AC384)))</formula>
    </cfRule>
    <cfRule type="cellIs" priority="56" operator="equal" dxfId="1">
      <formula>"pendiente"</formula>
    </cfRule>
    <cfRule type="containsText" priority="57" operator="containsText" dxfId="0" text="pagado">
      <formula>NOT(ISERROR(SEARCH("pagado",AC384)))</formula>
    </cfRule>
    <cfRule type="cellIs" priority="54" operator="equal" dxfId="1">
      <formula>"pendiente"</formula>
    </cfRule>
    <cfRule type="containsText" priority="55" operator="containsText" dxfId="0" text="pagado">
      <formula>NOT(ISERROR(SEARCH("pagado",AC384)))</formula>
    </cfRule>
  </conditionalFormatting>
  <conditionalFormatting sqref="AE384 AG384">
    <cfRule type="containsText" priority="53" operator="containsText" dxfId="1" text="pendiente">
      <formula>NOT(ISERROR(SEARCH("pendiente",AE384)))</formula>
    </cfRule>
    <cfRule type="containsText" priority="50" operator="containsText" dxfId="1" text="pendiente">
      <formula>NOT(ISERROR(SEARCH("pendiente",AE384)))</formula>
    </cfRule>
  </conditionalFormatting>
  <conditionalFormatting sqref="AE384">
    <cfRule type="cellIs" priority="51" operator="equal" dxfId="1">
      <formula>"pendiente"</formula>
    </cfRule>
    <cfRule type="containsText" priority="52" operator="containsText" dxfId="0" text="pagado">
      <formula>NOT(ISERROR(SEARCH("pagado",AE384)))</formula>
    </cfRule>
    <cfRule type="cellIs" priority="48" operator="equal" dxfId="1">
      <formula>"pendiente"</formula>
    </cfRule>
    <cfRule type="containsText" priority="49" operator="containsText" dxfId="0" text="pagado">
      <formula>NOT(ISERROR(SEARCH("pagado",AE384)))</formula>
    </cfRule>
  </conditionalFormatting>
  <conditionalFormatting sqref="AC385:AE404 AG385:AG404">
    <cfRule type="containsText" priority="47" operator="containsText" dxfId="1" text="pendiente">
      <formula>NOT(ISERROR(SEARCH("pendiente",AC385)))</formula>
    </cfRule>
  </conditionalFormatting>
  <conditionalFormatting sqref="AC385:AC404">
    <cfRule type="cellIs" priority="46" operator="equal" dxfId="6">
      <formula>"abonado"</formula>
    </cfRule>
    <cfRule type="cellIs" priority="42" operator="equal" dxfId="1">
      <formula>"pendiente"</formula>
    </cfRule>
    <cfRule type="containsText" priority="43" operator="containsText" dxfId="0" text="pagado">
      <formula>NOT(ISERROR(SEARCH("pagado",AC385)))</formula>
    </cfRule>
  </conditionalFormatting>
  <conditionalFormatting sqref="AC385:AE404">
    <cfRule type="cellIs" priority="44" operator="equal" dxfId="1">
      <formula>"pendiente"</formula>
    </cfRule>
    <cfRule type="containsText" priority="45" operator="containsText" dxfId="0" text="pagado">
      <formula>NOT(ISERROR(SEARCH("pagado",AC385)))</formula>
    </cfRule>
    <cfRule type="cellIs" priority="40" operator="equal" dxfId="1">
      <formula>"pendiente"</formula>
    </cfRule>
    <cfRule type="containsText" priority="41" operator="containsText" dxfId="0" text="pagado">
      <formula>NOT(ISERROR(SEARCH("pagado",AC385)))</formula>
    </cfRule>
    <cfRule type="cellIs" priority="38" operator="equal" dxfId="1">
      <formula>"pendiente"</formula>
    </cfRule>
    <cfRule type="containsText" priority="39" operator="containsText" dxfId="0" text="pagado">
      <formula>NOT(ISERROR(SEARCH("pagado",AC385)))</formula>
    </cfRule>
  </conditionalFormatting>
  <conditionalFormatting sqref="AC405:AE405 AG405">
    <cfRule type="containsText" priority="37" operator="containsText" dxfId="1" text="pendiente">
      <formula>NOT(ISERROR(SEARCH("pendiente",AC405)))</formula>
    </cfRule>
  </conditionalFormatting>
  <conditionalFormatting sqref="AC405:AE405">
    <cfRule type="cellIs" priority="35" operator="equal" dxfId="1">
      <formula>"pendiente"</formula>
    </cfRule>
    <cfRule type="containsText" priority="36" operator="containsText" dxfId="0" text="pagado">
      <formula>NOT(ISERROR(SEARCH("pagado",AC405)))</formula>
    </cfRule>
    <cfRule type="cellIs" priority="32" operator="equal" dxfId="1">
      <formula>"pendiente"</formula>
    </cfRule>
    <cfRule type="containsText" priority="33" operator="containsText" dxfId="0" text="pagado">
      <formula>NOT(ISERROR(SEARCH("pagado",AC405)))</formula>
    </cfRule>
  </conditionalFormatting>
  <conditionalFormatting sqref="AC405">
    <cfRule type="cellIs" priority="34" operator="equal" dxfId="6">
      <formula>"abonado"</formula>
    </cfRule>
  </conditionalFormatting>
  <conditionalFormatting sqref="AC406:AE406">
    <cfRule type="cellIs" priority="30" operator="equal" dxfId="1">
      <formula>"pendiente"</formula>
    </cfRule>
    <cfRule type="containsText" priority="31" operator="containsText" dxfId="0" text="pagado">
      <formula>NOT(ISERROR(SEARCH("pagado",AC406)))</formula>
    </cfRule>
    <cfRule type="cellIs" priority="28" operator="equal" dxfId="1">
      <formula>"pendiente"</formula>
    </cfRule>
    <cfRule type="containsText" priority="29" operator="containsText" dxfId="0" text="pagado">
      <formula>NOT(ISERROR(SEARCH("pagado",AC406)))</formula>
    </cfRule>
  </conditionalFormatting>
  <conditionalFormatting sqref="AC406">
    <cfRule type="cellIs" priority="26" operator="equal" dxfId="1">
      <formula>"pendiente"</formula>
    </cfRule>
    <cfRule type="containsText" priority="27" operator="containsText" dxfId="0" text="pagado">
      <formula>NOT(ISERROR(SEARCH("pagado",AC406)))</formula>
    </cfRule>
    <cfRule type="cellIs" priority="24" operator="equal" dxfId="1">
      <formula>"pendiente"</formula>
    </cfRule>
    <cfRule type="containsText" priority="25" operator="containsText" dxfId="0" text="pagado">
      <formula>NOT(ISERROR(SEARCH("pagado",AC406)))</formula>
    </cfRule>
    <cfRule type="cellIs" priority="22" operator="equal" dxfId="1">
      <formula>"pendiente"</formula>
    </cfRule>
    <cfRule type="containsText" priority="23" operator="containsText" dxfId="0" text="pagado">
      <formula>NOT(ISERROR(SEARCH("pagado",AC406)))</formula>
    </cfRule>
  </conditionalFormatting>
  <conditionalFormatting sqref="AC408:AE445">
    <cfRule type="cellIs" priority="20" operator="equal" dxfId="1">
      <formula>"pendiente"</formula>
    </cfRule>
    <cfRule type="containsText" priority="21" operator="containsText" dxfId="0" text="pagado">
      <formula>NOT(ISERROR(SEARCH("pagado",AC408)))</formula>
    </cfRule>
  </conditionalFormatting>
  <conditionalFormatting sqref="AC408:AC426">
    <cfRule type="cellIs" priority="18" operator="equal" dxfId="1">
      <formula>"pendiente"</formula>
    </cfRule>
    <cfRule type="containsText" priority="19" operator="containsText" dxfId="0" text="pagado">
      <formula>NOT(ISERROR(SEARCH("pagado",AC408)))</formula>
    </cfRule>
  </conditionalFormatting>
  <conditionalFormatting sqref="AC408:AE426">
    <cfRule type="cellIs" priority="16" operator="equal" dxfId="1">
      <formula>"pendiente"</formula>
    </cfRule>
    <cfRule type="containsText" priority="17" operator="containsText" dxfId="0" text="pagado">
      <formula>NOT(ISERROR(SEARCH("pagado",AC408)))</formula>
    </cfRule>
    <cfRule type="cellIs" priority="14" operator="equal" dxfId="1">
      <formula>"pendiente"</formula>
    </cfRule>
    <cfRule type="containsText" priority="15" operator="containsText" dxfId="0" text="pagado">
      <formula>NOT(ISERROR(SEARCH("pagado",AC408)))</formula>
    </cfRule>
  </conditionalFormatting>
  <conditionalFormatting sqref="AC446:AC447">
    <cfRule type="containsText" priority="13" operator="containsText" dxfId="1" text="pendiente">
      <formula>NOT(ISERROR(SEARCH("pendiente",AC446)))</formula>
    </cfRule>
    <cfRule type="cellIs" priority="11" operator="equal" dxfId="1">
      <formula>"pendiente"</formula>
    </cfRule>
    <cfRule type="containsText" priority="12" operator="containsText" dxfId="0" text="pagado">
      <formula>NOT(ISERROR(SEARCH("pagado",AC446)))</formula>
    </cfRule>
  </conditionalFormatting>
  <conditionalFormatting sqref="AD447">
    <cfRule type="containsText" priority="10" operator="containsText" dxfId="1" text="pendiente">
      <formula>NOT(ISERROR(SEARCH("pendiente",AD447)))</formula>
    </cfRule>
    <cfRule type="cellIs" priority="8" operator="equal" dxfId="1">
      <formula>"pendiente"</formula>
    </cfRule>
    <cfRule type="containsText" priority="9" operator="containsText" dxfId="0" text="pagado">
      <formula>NOT(ISERROR(SEARCH("pagado",AD447)))</formula>
    </cfRule>
  </conditionalFormatting>
  <conditionalFormatting sqref="AD446">
    <cfRule type="containsText" priority="7" operator="containsText" dxfId="1" text="pendiente">
      <formula>NOT(ISERROR(SEARCH("pendiente",AD446)))</formula>
    </cfRule>
    <cfRule type="cellIs" priority="5" operator="equal" dxfId="1">
      <formula>"pendiente"</formula>
    </cfRule>
    <cfRule type="containsText" priority="6" operator="containsText" dxfId="0" text="pagado">
      <formula>NOT(ISERROR(SEARCH("pagado",AD446)))</formula>
    </cfRule>
  </conditionalFormatting>
  <conditionalFormatting sqref="AE446:AE447">
    <cfRule type="cellIs" priority="3" operator="equal" dxfId="1">
      <formula>"pendiente"</formula>
    </cfRule>
    <cfRule type="containsText" priority="4" operator="containsText" dxfId="0" text="pagado">
      <formula>NOT(ISERROR(SEARCH("pagado",AE446)))</formula>
    </cfRule>
  </conditionalFormatting>
  <conditionalFormatting sqref="AC448:AE472">
    <cfRule type="cellIs" priority="1" operator="equal" dxfId="1">
      <formula>"pendiente"</formula>
    </cfRule>
    <cfRule type="containsText" priority="2" operator="containsText" dxfId="0" text="pagado">
      <formula>NOT(ISERROR(SEARCH("pagado",AC448)))</formula>
    </cfRule>
  </conditionalFormatting>
  <dataValidations count="3">
    <dataValidation sqref="AC2:AC407 AC408:AC732 AC734:AC1206 AC1208:AC1409 AC1411:AC1420 AC1423:AC1048576" showDropDown="0" showInputMessage="1" showErrorMessage="1" allowBlank="1" type="list">
      <formula1>"pendiente,pagado,abonado"</formula1>
    </dataValidation>
    <dataValidation sqref="AM2:AM40 AM43:AM179 AM183:AM320 AM323:AM407 AM408:AM445 AM448:AM732 AM734:AM1048576" showDropDown="0" showInputMessage="1" showErrorMessage="1" allowBlank="1" type="list">
      <formula1>"Refacturación,Promoción,Explotación,Extraordinario,Legal,Administración,Privativas,Dirección"</formula1>
    </dataValidation>
    <dataValidation sqref="AL1:AL407 AL408:AL732 AL734:AL1048576" showDropDown="0" showInputMessage="1" showErrorMessage="1" allowBlank="1" type="list">
      <formula1>"WOC_Asset,WOC_OM,OM_Otros,nudos,Ingeniería,Asset"</formula1>
    </dataValidation>
  </dataValidations>
  <hyperlinks>
    <hyperlink xmlns:r="http://schemas.openxmlformats.org/officeDocument/2006/relationships" ref="F3" r:id="rId1"/>
    <hyperlink xmlns:r="http://schemas.openxmlformats.org/officeDocument/2006/relationships" ref="F4" r:id="rId2"/>
    <hyperlink xmlns:r="http://schemas.openxmlformats.org/officeDocument/2006/relationships" ref="F5" r:id="rId3"/>
    <hyperlink xmlns:r="http://schemas.openxmlformats.org/officeDocument/2006/relationships" ref="F6" r:id="rId4"/>
    <hyperlink xmlns:r="http://schemas.openxmlformats.org/officeDocument/2006/relationships" ref="F7" r:id="rId5"/>
    <hyperlink xmlns:r="http://schemas.openxmlformats.org/officeDocument/2006/relationships" ref="F8" r:id="rId6"/>
    <hyperlink xmlns:r="http://schemas.openxmlformats.org/officeDocument/2006/relationships" ref="F9" r:id="rId7"/>
    <hyperlink xmlns:r="http://schemas.openxmlformats.org/officeDocument/2006/relationships" ref="F10" r:id="rId8"/>
    <hyperlink xmlns:r="http://schemas.openxmlformats.org/officeDocument/2006/relationships" ref="F11" r:id="rId9"/>
    <hyperlink xmlns:r="http://schemas.openxmlformats.org/officeDocument/2006/relationships" ref="F12" r:id="rId10"/>
    <hyperlink xmlns:r="http://schemas.openxmlformats.org/officeDocument/2006/relationships" ref="F13" r:id="rId11"/>
    <hyperlink xmlns:r="http://schemas.openxmlformats.org/officeDocument/2006/relationships" ref="F14" r:id="rId12"/>
    <hyperlink xmlns:r="http://schemas.openxmlformats.org/officeDocument/2006/relationships" ref="F15" r:id="rId13"/>
    <hyperlink xmlns:r="http://schemas.openxmlformats.org/officeDocument/2006/relationships" ref="F16" r:id="rId14"/>
    <hyperlink xmlns:r="http://schemas.openxmlformats.org/officeDocument/2006/relationships" ref="F17" r:id="rId15"/>
    <hyperlink xmlns:r="http://schemas.openxmlformats.org/officeDocument/2006/relationships" ref="F18" r:id="rId16"/>
    <hyperlink xmlns:r="http://schemas.openxmlformats.org/officeDocument/2006/relationships" ref="F19" r:id="rId17"/>
    <hyperlink xmlns:r="http://schemas.openxmlformats.org/officeDocument/2006/relationships" ref="F20" r:id="rId18"/>
    <hyperlink xmlns:r="http://schemas.openxmlformats.org/officeDocument/2006/relationships" ref="F21" r:id="rId19"/>
    <hyperlink xmlns:r="http://schemas.openxmlformats.org/officeDocument/2006/relationships" ref="F22" r:id="rId20"/>
    <hyperlink xmlns:r="http://schemas.openxmlformats.org/officeDocument/2006/relationships" ref="F23" r:id="rId21"/>
    <hyperlink xmlns:r="http://schemas.openxmlformats.org/officeDocument/2006/relationships" ref="F24" r:id="rId22"/>
    <hyperlink xmlns:r="http://schemas.openxmlformats.org/officeDocument/2006/relationships" ref="F25" r:id="rId23"/>
    <hyperlink xmlns:r="http://schemas.openxmlformats.org/officeDocument/2006/relationships" ref="F26" r:id="rId24"/>
    <hyperlink xmlns:r="http://schemas.openxmlformats.org/officeDocument/2006/relationships" ref="F27" r:id="rId25"/>
    <hyperlink xmlns:r="http://schemas.openxmlformats.org/officeDocument/2006/relationships" ref="F28" r:id="rId26"/>
    <hyperlink xmlns:r="http://schemas.openxmlformats.org/officeDocument/2006/relationships" ref="F29" r:id="rId27"/>
    <hyperlink xmlns:r="http://schemas.openxmlformats.org/officeDocument/2006/relationships" ref="F30" r:id="rId28"/>
    <hyperlink xmlns:r="http://schemas.openxmlformats.org/officeDocument/2006/relationships" ref="F31" r:id="rId29"/>
    <hyperlink xmlns:r="http://schemas.openxmlformats.org/officeDocument/2006/relationships" ref="F32" r:id="rId30"/>
    <hyperlink xmlns:r="http://schemas.openxmlformats.org/officeDocument/2006/relationships" ref="F33" r:id="rId31"/>
    <hyperlink xmlns:r="http://schemas.openxmlformats.org/officeDocument/2006/relationships" ref="F34" r:id="rId32"/>
    <hyperlink xmlns:r="http://schemas.openxmlformats.org/officeDocument/2006/relationships" ref="F35" r:id="rId33"/>
    <hyperlink xmlns:r="http://schemas.openxmlformats.org/officeDocument/2006/relationships" ref="F36" r:id="rId34"/>
    <hyperlink xmlns:r="http://schemas.openxmlformats.org/officeDocument/2006/relationships" ref="F37" r:id="rId35"/>
    <hyperlink xmlns:r="http://schemas.openxmlformats.org/officeDocument/2006/relationships" ref="F38" r:id="rId36"/>
    <hyperlink xmlns:r="http://schemas.openxmlformats.org/officeDocument/2006/relationships" ref="F39" r:id="rId37"/>
    <hyperlink xmlns:r="http://schemas.openxmlformats.org/officeDocument/2006/relationships" ref="F40" r:id="rId38"/>
    <hyperlink xmlns:r="http://schemas.openxmlformats.org/officeDocument/2006/relationships" ref="F41" r:id="rId39"/>
    <hyperlink xmlns:r="http://schemas.openxmlformats.org/officeDocument/2006/relationships" ref="F42" r:id="rId40"/>
    <hyperlink xmlns:r="http://schemas.openxmlformats.org/officeDocument/2006/relationships" ref="F43" r:id="rId41"/>
    <hyperlink xmlns:r="http://schemas.openxmlformats.org/officeDocument/2006/relationships" ref="F44" r:id="rId42"/>
    <hyperlink xmlns:r="http://schemas.openxmlformats.org/officeDocument/2006/relationships" ref="F45" r:id="rId43"/>
    <hyperlink xmlns:r="http://schemas.openxmlformats.org/officeDocument/2006/relationships" ref="F46" r:id="rId44"/>
    <hyperlink xmlns:r="http://schemas.openxmlformats.org/officeDocument/2006/relationships" ref="F47" r:id="rId45"/>
    <hyperlink xmlns:r="http://schemas.openxmlformats.org/officeDocument/2006/relationships" ref="F48" r:id="rId46"/>
    <hyperlink xmlns:r="http://schemas.openxmlformats.org/officeDocument/2006/relationships" ref="F49" r:id="rId47"/>
    <hyperlink xmlns:r="http://schemas.openxmlformats.org/officeDocument/2006/relationships" ref="F50" r:id="rId48"/>
    <hyperlink xmlns:r="http://schemas.openxmlformats.org/officeDocument/2006/relationships" ref="F51" r:id="rId49"/>
    <hyperlink xmlns:r="http://schemas.openxmlformats.org/officeDocument/2006/relationships" ref="F52" r:id="rId50"/>
    <hyperlink xmlns:r="http://schemas.openxmlformats.org/officeDocument/2006/relationships" ref="F53" r:id="rId51"/>
    <hyperlink xmlns:r="http://schemas.openxmlformats.org/officeDocument/2006/relationships" ref="F54" r:id="rId52"/>
    <hyperlink xmlns:r="http://schemas.openxmlformats.org/officeDocument/2006/relationships" ref="F55" r:id="rId53"/>
    <hyperlink xmlns:r="http://schemas.openxmlformats.org/officeDocument/2006/relationships" ref="F56" r:id="rId54"/>
    <hyperlink xmlns:r="http://schemas.openxmlformats.org/officeDocument/2006/relationships" ref="F57" r:id="rId55"/>
    <hyperlink xmlns:r="http://schemas.openxmlformats.org/officeDocument/2006/relationships" ref="F58" r:id="rId56"/>
    <hyperlink xmlns:r="http://schemas.openxmlformats.org/officeDocument/2006/relationships" ref="F59" r:id="rId57"/>
    <hyperlink xmlns:r="http://schemas.openxmlformats.org/officeDocument/2006/relationships" ref="F60" r:id="rId58"/>
    <hyperlink xmlns:r="http://schemas.openxmlformats.org/officeDocument/2006/relationships" ref="F61" r:id="rId59"/>
    <hyperlink xmlns:r="http://schemas.openxmlformats.org/officeDocument/2006/relationships" ref="F62" r:id="rId60"/>
    <hyperlink xmlns:r="http://schemas.openxmlformats.org/officeDocument/2006/relationships" ref="F63" r:id="rId61"/>
    <hyperlink xmlns:r="http://schemas.openxmlformats.org/officeDocument/2006/relationships" ref="F64" r:id="rId62"/>
    <hyperlink xmlns:r="http://schemas.openxmlformats.org/officeDocument/2006/relationships" ref="F65" r:id="rId63"/>
    <hyperlink xmlns:r="http://schemas.openxmlformats.org/officeDocument/2006/relationships" ref="F66" r:id="rId64"/>
    <hyperlink xmlns:r="http://schemas.openxmlformats.org/officeDocument/2006/relationships" ref="F67" r:id="rId65"/>
    <hyperlink xmlns:r="http://schemas.openxmlformats.org/officeDocument/2006/relationships" ref="F68" r:id="rId66"/>
    <hyperlink xmlns:r="http://schemas.openxmlformats.org/officeDocument/2006/relationships" ref="F69" r:id="rId67"/>
    <hyperlink xmlns:r="http://schemas.openxmlformats.org/officeDocument/2006/relationships" ref="F70" r:id="rId68"/>
    <hyperlink xmlns:r="http://schemas.openxmlformats.org/officeDocument/2006/relationships" ref="F71" r:id="rId69"/>
    <hyperlink xmlns:r="http://schemas.openxmlformats.org/officeDocument/2006/relationships" ref="F72" r:id="rId70"/>
    <hyperlink xmlns:r="http://schemas.openxmlformats.org/officeDocument/2006/relationships" ref="F73" r:id="rId71"/>
    <hyperlink xmlns:r="http://schemas.openxmlformats.org/officeDocument/2006/relationships" ref="F74" r:id="rId72"/>
    <hyperlink xmlns:r="http://schemas.openxmlformats.org/officeDocument/2006/relationships" ref="F75" r:id="rId73"/>
    <hyperlink xmlns:r="http://schemas.openxmlformats.org/officeDocument/2006/relationships" ref="F76" r:id="rId74"/>
    <hyperlink xmlns:r="http://schemas.openxmlformats.org/officeDocument/2006/relationships" ref="F77" r:id="rId75"/>
    <hyperlink xmlns:r="http://schemas.openxmlformats.org/officeDocument/2006/relationships" ref="F78" r:id="rId76"/>
    <hyperlink xmlns:r="http://schemas.openxmlformats.org/officeDocument/2006/relationships" ref="F79" r:id="rId77"/>
    <hyperlink xmlns:r="http://schemas.openxmlformats.org/officeDocument/2006/relationships" ref="F80" r:id="rId78"/>
    <hyperlink xmlns:r="http://schemas.openxmlformats.org/officeDocument/2006/relationships" ref="F81" r:id="rId79"/>
    <hyperlink xmlns:r="http://schemas.openxmlformats.org/officeDocument/2006/relationships" ref="F82" r:id="rId80"/>
    <hyperlink xmlns:r="http://schemas.openxmlformats.org/officeDocument/2006/relationships" ref="F83" r:id="rId81"/>
    <hyperlink xmlns:r="http://schemas.openxmlformats.org/officeDocument/2006/relationships" ref="F84" r:id="rId82"/>
    <hyperlink xmlns:r="http://schemas.openxmlformats.org/officeDocument/2006/relationships" ref="F85" r:id="rId83"/>
    <hyperlink xmlns:r="http://schemas.openxmlformats.org/officeDocument/2006/relationships" ref="F86" r:id="rId84"/>
    <hyperlink xmlns:r="http://schemas.openxmlformats.org/officeDocument/2006/relationships" ref="F87" r:id="rId85"/>
    <hyperlink xmlns:r="http://schemas.openxmlformats.org/officeDocument/2006/relationships" ref="F88" r:id="rId86"/>
    <hyperlink xmlns:r="http://schemas.openxmlformats.org/officeDocument/2006/relationships" ref="F89" r:id="rId87"/>
    <hyperlink xmlns:r="http://schemas.openxmlformats.org/officeDocument/2006/relationships" ref="F90" r:id="rId88"/>
    <hyperlink xmlns:r="http://schemas.openxmlformats.org/officeDocument/2006/relationships" ref="F91" r:id="rId89"/>
    <hyperlink xmlns:r="http://schemas.openxmlformats.org/officeDocument/2006/relationships" ref="F92" r:id="rId90"/>
    <hyperlink xmlns:r="http://schemas.openxmlformats.org/officeDocument/2006/relationships" ref="F93" r:id="rId91"/>
    <hyperlink xmlns:r="http://schemas.openxmlformats.org/officeDocument/2006/relationships" ref="F94" r:id="rId92"/>
    <hyperlink xmlns:r="http://schemas.openxmlformats.org/officeDocument/2006/relationships" ref="F95" r:id="rId93"/>
    <hyperlink xmlns:r="http://schemas.openxmlformats.org/officeDocument/2006/relationships" ref="F96" r:id="rId94"/>
    <hyperlink xmlns:r="http://schemas.openxmlformats.org/officeDocument/2006/relationships" ref="F97" r:id="rId95"/>
    <hyperlink xmlns:r="http://schemas.openxmlformats.org/officeDocument/2006/relationships" ref="F98" r:id="rId96"/>
    <hyperlink xmlns:r="http://schemas.openxmlformats.org/officeDocument/2006/relationships" ref="F99" r:id="rId97"/>
    <hyperlink xmlns:r="http://schemas.openxmlformats.org/officeDocument/2006/relationships" ref="F100" r:id="rId98"/>
    <hyperlink xmlns:r="http://schemas.openxmlformats.org/officeDocument/2006/relationships" ref="F101" r:id="rId99"/>
    <hyperlink xmlns:r="http://schemas.openxmlformats.org/officeDocument/2006/relationships" ref="F102" r:id="rId100"/>
    <hyperlink xmlns:r="http://schemas.openxmlformats.org/officeDocument/2006/relationships" ref="F103" r:id="rId101"/>
    <hyperlink xmlns:r="http://schemas.openxmlformats.org/officeDocument/2006/relationships" ref="F104" r:id="rId102"/>
    <hyperlink xmlns:r="http://schemas.openxmlformats.org/officeDocument/2006/relationships" ref="F105" r:id="rId103"/>
    <hyperlink xmlns:r="http://schemas.openxmlformats.org/officeDocument/2006/relationships" ref="F106" r:id="rId104"/>
    <hyperlink xmlns:r="http://schemas.openxmlformats.org/officeDocument/2006/relationships" ref="F107" r:id="rId105"/>
    <hyperlink xmlns:r="http://schemas.openxmlformats.org/officeDocument/2006/relationships" ref="F108" r:id="rId106"/>
    <hyperlink xmlns:r="http://schemas.openxmlformats.org/officeDocument/2006/relationships" ref="F109" r:id="rId107"/>
    <hyperlink xmlns:r="http://schemas.openxmlformats.org/officeDocument/2006/relationships" ref="F110" r:id="rId108"/>
    <hyperlink xmlns:r="http://schemas.openxmlformats.org/officeDocument/2006/relationships" ref="F111" r:id="rId109"/>
    <hyperlink xmlns:r="http://schemas.openxmlformats.org/officeDocument/2006/relationships" ref="F112" r:id="rId110"/>
    <hyperlink xmlns:r="http://schemas.openxmlformats.org/officeDocument/2006/relationships" ref="F113" r:id="rId111"/>
    <hyperlink xmlns:r="http://schemas.openxmlformats.org/officeDocument/2006/relationships" ref="F114" r:id="rId112"/>
    <hyperlink xmlns:r="http://schemas.openxmlformats.org/officeDocument/2006/relationships" ref="F115" r:id="rId113"/>
    <hyperlink xmlns:r="http://schemas.openxmlformats.org/officeDocument/2006/relationships" ref="F116" r:id="rId114"/>
    <hyperlink xmlns:r="http://schemas.openxmlformats.org/officeDocument/2006/relationships" ref="F117" r:id="rId115"/>
    <hyperlink xmlns:r="http://schemas.openxmlformats.org/officeDocument/2006/relationships" ref="F118" r:id="rId116"/>
    <hyperlink xmlns:r="http://schemas.openxmlformats.org/officeDocument/2006/relationships" ref="F119" r:id="rId117"/>
    <hyperlink xmlns:r="http://schemas.openxmlformats.org/officeDocument/2006/relationships" ref="F120" r:id="rId118"/>
    <hyperlink xmlns:r="http://schemas.openxmlformats.org/officeDocument/2006/relationships" ref="F121" r:id="rId119"/>
    <hyperlink xmlns:r="http://schemas.openxmlformats.org/officeDocument/2006/relationships" ref="F122" r:id="rId120"/>
    <hyperlink xmlns:r="http://schemas.openxmlformats.org/officeDocument/2006/relationships" ref="F123" r:id="rId121"/>
    <hyperlink xmlns:r="http://schemas.openxmlformats.org/officeDocument/2006/relationships" ref="F124" r:id="rId122"/>
    <hyperlink xmlns:r="http://schemas.openxmlformats.org/officeDocument/2006/relationships" ref="F125" r:id="rId123"/>
    <hyperlink xmlns:r="http://schemas.openxmlformats.org/officeDocument/2006/relationships" ref="F126" r:id="rId124"/>
    <hyperlink xmlns:r="http://schemas.openxmlformats.org/officeDocument/2006/relationships" ref="F127" r:id="rId125"/>
    <hyperlink xmlns:r="http://schemas.openxmlformats.org/officeDocument/2006/relationships" ref="F128" r:id="rId126"/>
    <hyperlink xmlns:r="http://schemas.openxmlformats.org/officeDocument/2006/relationships" ref="F129" r:id="rId127"/>
    <hyperlink xmlns:r="http://schemas.openxmlformats.org/officeDocument/2006/relationships" ref="F130" r:id="rId128"/>
    <hyperlink xmlns:r="http://schemas.openxmlformats.org/officeDocument/2006/relationships" ref="F131" r:id="rId129"/>
    <hyperlink xmlns:r="http://schemas.openxmlformats.org/officeDocument/2006/relationships" ref="F132" r:id="rId130"/>
    <hyperlink xmlns:r="http://schemas.openxmlformats.org/officeDocument/2006/relationships" ref="F133" r:id="rId131"/>
    <hyperlink xmlns:r="http://schemas.openxmlformats.org/officeDocument/2006/relationships" ref="F134" r:id="rId132"/>
    <hyperlink xmlns:r="http://schemas.openxmlformats.org/officeDocument/2006/relationships" ref="F135" r:id="rId133"/>
    <hyperlink xmlns:r="http://schemas.openxmlformats.org/officeDocument/2006/relationships" ref="F136" r:id="rId134"/>
    <hyperlink xmlns:r="http://schemas.openxmlformats.org/officeDocument/2006/relationships" ref="F137" r:id="rId135"/>
    <hyperlink xmlns:r="http://schemas.openxmlformats.org/officeDocument/2006/relationships" ref="F138" r:id="rId136"/>
    <hyperlink xmlns:r="http://schemas.openxmlformats.org/officeDocument/2006/relationships" ref="F139" r:id="rId137"/>
    <hyperlink xmlns:r="http://schemas.openxmlformats.org/officeDocument/2006/relationships" ref="F140" r:id="rId138"/>
    <hyperlink xmlns:r="http://schemas.openxmlformats.org/officeDocument/2006/relationships" ref="F141" r:id="rId139"/>
    <hyperlink xmlns:r="http://schemas.openxmlformats.org/officeDocument/2006/relationships" ref="F142" r:id="rId140"/>
    <hyperlink xmlns:r="http://schemas.openxmlformats.org/officeDocument/2006/relationships" ref="F143" r:id="rId141"/>
    <hyperlink xmlns:r="http://schemas.openxmlformats.org/officeDocument/2006/relationships" ref="F144" r:id="rId142"/>
    <hyperlink xmlns:r="http://schemas.openxmlformats.org/officeDocument/2006/relationships" ref="F145" r:id="rId143"/>
    <hyperlink xmlns:r="http://schemas.openxmlformats.org/officeDocument/2006/relationships" ref="F146" r:id="rId144"/>
    <hyperlink xmlns:r="http://schemas.openxmlformats.org/officeDocument/2006/relationships" ref="F147" r:id="rId145"/>
    <hyperlink xmlns:r="http://schemas.openxmlformats.org/officeDocument/2006/relationships" ref="F148" r:id="rId146"/>
    <hyperlink xmlns:r="http://schemas.openxmlformats.org/officeDocument/2006/relationships" ref="F149" r:id="rId147"/>
    <hyperlink xmlns:r="http://schemas.openxmlformats.org/officeDocument/2006/relationships" ref="F150" r:id="rId148"/>
    <hyperlink xmlns:r="http://schemas.openxmlformats.org/officeDocument/2006/relationships" ref="F151" r:id="rId149"/>
    <hyperlink xmlns:r="http://schemas.openxmlformats.org/officeDocument/2006/relationships" ref="F152" r:id="rId150"/>
    <hyperlink xmlns:r="http://schemas.openxmlformats.org/officeDocument/2006/relationships" ref="F153" r:id="rId151"/>
    <hyperlink xmlns:r="http://schemas.openxmlformats.org/officeDocument/2006/relationships" ref="F154" r:id="rId152"/>
    <hyperlink xmlns:r="http://schemas.openxmlformats.org/officeDocument/2006/relationships" ref="F155" r:id="rId153"/>
    <hyperlink xmlns:r="http://schemas.openxmlformats.org/officeDocument/2006/relationships" ref="F156" r:id="rId154"/>
    <hyperlink xmlns:r="http://schemas.openxmlformats.org/officeDocument/2006/relationships" ref="F157" r:id="rId155"/>
    <hyperlink xmlns:r="http://schemas.openxmlformats.org/officeDocument/2006/relationships" ref="F158" r:id="rId156"/>
    <hyperlink xmlns:r="http://schemas.openxmlformats.org/officeDocument/2006/relationships" ref="F159" r:id="rId157"/>
    <hyperlink xmlns:r="http://schemas.openxmlformats.org/officeDocument/2006/relationships" ref="F160" r:id="rId158"/>
    <hyperlink xmlns:r="http://schemas.openxmlformats.org/officeDocument/2006/relationships" ref="F161" r:id="rId159"/>
    <hyperlink xmlns:r="http://schemas.openxmlformats.org/officeDocument/2006/relationships" ref="F162" r:id="rId160"/>
    <hyperlink xmlns:r="http://schemas.openxmlformats.org/officeDocument/2006/relationships" ref="F163" r:id="rId161"/>
    <hyperlink xmlns:r="http://schemas.openxmlformats.org/officeDocument/2006/relationships" ref="F164" r:id="rId162"/>
    <hyperlink xmlns:r="http://schemas.openxmlformats.org/officeDocument/2006/relationships" ref="F165" r:id="rId163"/>
    <hyperlink xmlns:r="http://schemas.openxmlformats.org/officeDocument/2006/relationships" ref="F166" r:id="rId164"/>
    <hyperlink xmlns:r="http://schemas.openxmlformats.org/officeDocument/2006/relationships" ref="F167" r:id="rId165"/>
    <hyperlink xmlns:r="http://schemas.openxmlformats.org/officeDocument/2006/relationships" ref="F168" r:id="rId166"/>
    <hyperlink xmlns:r="http://schemas.openxmlformats.org/officeDocument/2006/relationships" ref="F169" r:id="rId167"/>
    <hyperlink xmlns:r="http://schemas.openxmlformats.org/officeDocument/2006/relationships" ref="F170" r:id="rId168"/>
    <hyperlink xmlns:r="http://schemas.openxmlformats.org/officeDocument/2006/relationships" ref="F171" r:id="rId169"/>
    <hyperlink xmlns:r="http://schemas.openxmlformats.org/officeDocument/2006/relationships" ref="F172" r:id="rId170"/>
    <hyperlink xmlns:r="http://schemas.openxmlformats.org/officeDocument/2006/relationships" ref="F173" r:id="rId171"/>
    <hyperlink xmlns:r="http://schemas.openxmlformats.org/officeDocument/2006/relationships" ref="F174" r:id="rId172"/>
    <hyperlink xmlns:r="http://schemas.openxmlformats.org/officeDocument/2006/relationships" ref="F175" r:id="rId173"/>
    <hyperlink xmlns:r="http://schemas.openxmlformats.org/officeDocument/2006/relationships" ref="F176" r:id="rId174"/>
    <hyperlink xmlns:r="http://schemas.openxmlformats.org/officeDocument/2006/relationships" ref="F177" r:id="rId175"/>
    <hyperlink xmlns:r="http://schemas.openxmlformats.org/officeDocument/2006/relationships" ref="F178" r:id="rId176"/>
    <hyperlink xmlns:r="http://schemas.openxmlformats.org/officeDocument/2006/relationships" ref="F179" r:id="rId177"/>
    <hyperlink xmlns:r="http://schemas.openxmlformats.org/officeDocument/2006/relationships" ref="F180" r:id="rId178"/>
    <hyperlink xmlns:r="http://schemas.openxmlformats.org/officeDocument/2006/relationships" ref="F181" r:id="rId179"/>
    <hyperlink xmlns:r="http://schemas.openxmlformats.org/officeDocument/2006/relationships" ref="F182" r:id="rId180"/>
    <hyperlink xmlns:r="http://schemas.openxmlformats.org/officeDocument/2006/relationships" ref="F183" r:id="rId181"/>
    <hyperlink xmlns:r="http://schemas.openxmlformats.org/officeDocument/2006/relationships" ref="F184" r:id="rId182"/>
    <hyperlink xmlns:r="http://schemas.openxmlformats.org/officeDocument/2006/relationships" ref="F185" r:id="rId183"/>
    <hyperlink xmlns:r="http://schemas.openxmlformats.org/officeDocument/2006/relationships" ref="F186" r:id="rId184"/>
    <hyperlink xmlns:r="http://schemas.openxmlformats.org/officeDocument/2006/relationships" ref="F187" r:id="rId185"/>
    <hyperlink xmlns:r="http://schemas.openxmlformats.org/officeDocument/2006/relationships" ref="F188" r:id="rId186"/>
    <hyperlink xmlns:r="http://schemas.openxmlformats.org/officeDocument/2006/relationships" ref="F189" r:id="rId187"/>
    <hyperlink xmlns:r="http://schemas.openxmlformats.org/officeDocument/2006/relationships" ref="F190" r:id="rId188"/>
    <hyperlink xmlns:r="http://schemas.openxmlformats.org/officeDocument/2006/relationships" ref="F191" r:id="rId189"/>
    <hyperlink xmlns:r="http://schemas.openxmlformats.org/officeDocument/2006/relationships" ref="F192" r:id="rId190"/>
    <hyperlink xmlns:r="http://schemas.openxmlformats.org/officeDocument/2006/relationships" ref="F193" r:id="rId191"/>
    <hyperlink xmlns:r="http://schemas.openxmlformats.org/officeDocument/2006/relationships" ref="F194" r:id="rId192"/>
    <hyperlink xmlns:r="http://schemas.openxmlformats.org/officeDocument/2006/relationships" ref="F195" r:id="rId193"/>
    <hyperlink xmlns:r="http://schemas.openxmlformats.org/officeDocument/2006/relationships" ref="F196" r:id="rId194"/>
    <hyperlink xmlns:r="http://schemas.openxmlformats.org/officeDocument/2006/relationships" ref="F197" r:id="rId195"/>
    <hyperlink xmlns:r="http://schemas.openxmlformats.org/officeDocument/2006/relationships" ref="F198" r:id="rId196"/>
    <hyperlink xmlns:r="http://schemas.openxmlformats.org/officeDocument/2006/relationships" ref="F199" r:id="rId197"/>
    <hyperlink xmlns:r="http://schemas.openxmlformats.org/officeDocument/2006/relationships" ref="F200" r:id="rId198"/>
    <hyperlink xmlns:r="http://schemas.openxmlformats.org/officeDocument/2006/relationships" ref="F201" r:id="rId199"/>
    <hyperlink xmlns:r="http://schemas.openxmlformats.org/officeDocument/2006/relationships" ref="F202" r:id="rId200"/>
    <hyperlink xmlns:r="http://schemas.openxmlformats.org/officeDocument/2006/relationships" ref="F203" r:id="rId201"/>
    <hyperlink xmlns:r="http://schemas.openxmlformats.org/officeDocument/2006/relationships" ref="F204" r:id="rId202"/>
    <hyperlink xmlns:r="http://schemas.openxmlformats.org/officeDocument/2006/relationships" ref="F205" r:id="rId203"/>
    <hyperlink xmlns:r="http://schemas.openxmlformats.org/officeDocument/2006/relationships" ref="F206" r:id="rId204"/>
    <hyperlink xmlns:r="http://schemas.openxmlformats.org/officeDocument/2006/relationships" ref="F207" r:id="rId205"/>
    <hyperlink xmlns:r="http://schemas.openxmlformats.org/officeDocument/2006/relationships" ref="F208" r:id="rId206"/>
    <hyperlink xmlns:r="http://schemas.openxmlformats.org/officeDocument/2006/relationships" ref="F209" r:id="rId207"/>
    <hyperlink xmlns:r="http://schemas.openxmlformats.org/officeDocument/2006/relationships" ref="F210" r:id="rId208"/>
    <hyperlink xmlns:r="http://schemas.openxmlformats.org/officeDocument/2006/relationships" ref="F211" r:id="rId209"/>
    <hyperlink xmlns:r="http://schemas.openxmlformats.org/officeDocument/2006/relationships" ref="F212" r:id="rId210"/>
    <hyperlink xmlns:r="http://schemas.openxmlformats.org/officeDocument/2006/relationships" ref="F213" r:id="rId211"/>
    <hyperlink xmlns:r="http://schemas.openxmlformats.org/officeDocument/2006/relationships" ref="F214" r:id="rId212"/>
    <hyperlink xmlns:r="http://schemas.openxmlformats.org/officeDocument/2006/relationships" ref="F215" r:id="rId213"/>
    <hyperlink xmlns:r="http://schemas.openxmlformats.org/officeDocument/2006/relationships" ref="F216" r:id="rId214"/>
    <hyperlink xmlns:r="http://schemas.openxmlformats.org/officeDocument/2006/relationships" ref="F217" r:id="rId215"/>
    <hyperlink xmlns:r="http://schemas.openxmlformats.org/officeDocument/2006/relationships" ref="F218" r:id="rId216"/>
    <hyperlink xmlns:r="http://schemas.openxmlformats.org/officeDocument/2006/relationships" ref="F219" r:id="rId217"/>
    <hyperlink xmlns:r="http://schemas.openxmlformats.org/officeDocument/2006/relationships" ref="F220" r:id="rId218"/>
    <hyperlink xmlns:r="http://schemas.openxmlformats.org/officeDocument/2006/relationships" ref="F221" r:id="rId219"/>
    <hyperlink xmlns:r="http://schemas.openxmlformats.org/officeDocument/2006/relationships" ref="F222" r:id="rId220"/>
    <hyperlink xmlns:r="http://schemas.openxmlformats.org/officeDocument/2006/relationships" ref="F223" r:id="rId221"/>
    <hyperlink xmlns:r="http://schemas.openxmlformats.org/officeDocument/2006/relationships" ref="F224" r:id="rId222"/>
    <hyperlink xmlns:r="http://schemas.openxmlformats.org/officeDocument/2006/relationships" ref="F225" r:id="rId223"/>
    <hyperlink xmlns:r="http://schemas.openxmlformats.org/officeDocument/2006/relationships" ref="F226" r:id="rId224"/>
    <hyperlink xmlns:r="http://schemas.openxmlformats.org/officeDocument/2006/relationships" ref="F227" r:id="rId225"/>
    <hyperlink xmlns:r="http://schemas.openxmlformats.org/officeDocument/2006/relationships" ref="F228" r:id="rId226"/>
    <hyperlink xmlns:r="http://schemas.openxmlformats.org/officeDocument/2006/relationships" ref="F229" r:id="rId227"/>
    <hyperlink xmlns:r="http://schemas.openxmlformats.org/officeDocument/2006/relationships" ref="F230" r:id="rId228"/>
    <hyperlink xmlns:r="http://schemas.openxmlformats.org/officeDocument/2006/relationships" ref="F231" r:id="rId229"/>
    <hyperlink xmlns:r="http://schemas.openxmlformats.org/officeDocument/2006/relationships" ref="F232" r:id="rId230"/>
    <hyperlink xmlns:r="http://schemas.openxmlformats.org/officeDocument/2006/relationships" ref="F233" r:id="rId231"/>
    <hyperlink xmlns:r="http://schemas.openxmlformats.org/officeDocument/2006/relationships" ref="F234" r:id="rId232"/>
    <hyperlink xmlns:r="http://schemas.openxmlformats.org/officeDocument/2006/relationships" ref="F235" r:id="rId233"/>
    <hyperlink xmlns:r="http://schemas.openxmlformats.org/officeDocument/2006/relationships" ref="F236" r:id="rId234"/>
    <hyperlink xmlns:r="http://schemas.openxmlformats.org/officeDocument/2006/relationships" ref="F237" r:id="rId235"/>
    <hyperlink xmlns:r="http://schemas.openxmlformats.org/officeDocument/2006/relationships" ref="F238" r:id="rId236"/>
    <hyperlink xmlns:r="http://schemas.openxmlformats.org/officeDocument/2006/relationships" ref="F239" r:id="rId237"/>
    <hyperlink xmlns:r="http://schemas.openxmlformats.org/officeDocument/2006/relationships" ref="F240" r:id="rId238"/>
    <hyperlink xmlns:r="http://schemas.openxmlformats.org/officeDocument/2006/relationships" ref="F241" r:id="rId239"/>
    <hyperlink xmlns:r="http://schemas.openxmlformats.org/officeDocument/2006/relationships" ref="F242" r:id="rId240"/>
    <hyperlink xmlns:r="http://schemas.openxmlformats.org/officeDocument/2006/relationships" ref="F243" r:id="rId241"/>
    <hyperlink xmlns:r="http://schemas.openxmlformats.org/officeDocument/2006/relationships" ref="F244" r:id="rId242"/>
    <hyperlink xmlns:r="http://schemas.openxmlformats.org/officeDocument/2006/relationships" ref="F245" r:id="rId243"/>
    <hyperlink xmlns:r="http://schemas.openxmlformats.org/officeDocument/2006/relationships" ref="F246" r:id="rId244"/>
    <hyperlink xmlns:r="http://schemas.openxmlformats.org/officeDocument/2006/relationships" ref="F247" r:id="rId245"/>
    <hyperlink xmlns:r="http://schemas.openxmlformats.org/officeDocument/2006/relationships" ref="F248" r:id="rId246"/>
    <hyperlink xmlns:r="http://schemas.openxmlformats.org/officeDocument/2006/relationships" ref="F249" r:id="rId247"/>
    <hyperlink xmlns:r="http://schemas.openxmlformats.org/officeDocument/2006/relationships" ref="F250" r:id="rId248"/>
    <hyperlink xmlns:r="http://schemas.openxmlformats.org/officeDocument/2006/relationships" ref="F251" r:id="rId249"/>
    <hyperlink xmlns:r="http://schemas.openxmlformats.org/officeDocument/2006/relationships" ref="F252" r:id="rId250"/>
    <hyperlink xmlns:r="http://schemas.openxmlformats.org/officeDocument/2006/relationships" ref="F253" r:id="rId251"/>
    <hyperlink xmlns:r="http://schemas.openxmlformats.org/officeDocument/2006/relationships" ref="F254" r:id="rId252"/>
    <hyperlink xmlns:r="http://schemas.openxmlformats.org/officeDocument/2006/relationships" ref="F255" r:id="rId253"/>
    <hyperlink xmlns:r="http://schemas.openxmlformats.org/officeDocument/2006/relationships" ref="F256" r:id="rId254"/>
    <hyperlink xmlns:r="http://schemas.openxmlformats.org/officeDocument/2006/relationships" ref="F257" r:id="rId255"/>
    <hyperlink xmlns:r="http://schemas.openxmlformats.org/officeDocument/2006/relationships" ref="F258" r:id="rId256"/>
    <hyperlink xmlns:r="http://schemas.openxmlformats.org/officeDocument/2006/relationships" ref="F259" r:id="rId257"/>
    <hyperlink xmlns:r="http://schemas.openxmlformats.org/officeDocument/2006/relationships" ref="F260" r:id="rId258"/>
    <hyperlink xmlns:r="http://schemas.openxmlformats.org/officeDocument/2006/relationships" ref="F261" r:id="rId259"/>
    <hyperlink xmlns:r="http://schemas.openxmlformats.org/officeDocument/2006/relationships" ref="F262" r:id="rId260"/>
    <hyperlink xmlns:r="http://schemas.openxmlformats.org/officeDocument/2006/relationships" ref="F263" r:id="rId261"/>
    <hyperlink xmlns:r="http://schemas.openxmlformats.org/officeDocument/2006/relationships" ref="F264" r:id="rId262"/>
    <hyperlink xmlns:r="http://schemas.openxmlformats.org/officeDocument/2006/relationships" ref="F265" r:id="rId263"/>
    <hyperlink xmlns:r="http://schemas.openxmlformats.org/officeDocument/2006/relationships" ref="F266" r:id="rId264"/>
    <hyperlink xmlns:r="http://schemas.openxmlformats.org/officeDocument/2006/relationships" ref="F267" r:id="rId265"/>
    <hyperlink xmlns:r="http://schemas.openxmlformats.org/officeDocument/2006/relationships" ref="F268" r:id="rId266"/>
    <hyperlink xmlns:r="http://schemas.openxmlformats.org/officeDocument/2006/relationships" ref="F269" r:id="rId267"/>
    <hyperlink xmlns:r="http://schemas.openxmlformats.org/officeDocument/2006/relationships" ref="F270" r:id="rId268"/>
    <hyperlink xmlns:r="http://schemas.openxmlformats.org/officeDocument/2006/relationships" ref="F271" r:id="rId269"/>
    <hyperlink xmlns:r="http://schemas.openxmlformats.org/officeDocument/2006/relationships" ref="F272" r:id="rId270"/>
    <hyperlink xmlns:r="http://schemas.openxmlformats.org/officeDocument/2006/relationships" ref="F273" r:id="rId271"/>
    <hyperlink xmlns:r="http://schemas.openxmlformats.org/officeDocument/2006/relationships" ref="F274" r:id="rId272"/>
    <hyperlink xmlns:r="http://schemas.openxmlformats.org/officeDocument/2006/relationships" ref="F275" r:id="rId273"/>
    <hyperlink xmlns:r="http://schemas.openxmlformats.org/officeDocument/2006/relationships" ref="F276" r:id="rId274"/>
    <hyperlink xmlns:r="http://schemas.openxmlformats.org/officeDocument/2006/relationships" ref="F277" r:id="rId275"/>
    <hyperlink xmlns:r="http://schemas.openxmlformats.org/officeDocument/2006/relationships" ref="F278" r:id="rId276"/>
    <hyperlink xmlns:r="http://schemas.openxmlformats.org/officeDocument/2006/relationships" ref="F279" r:id="rId277"/>
    <hyperlink xmlns:r="http://schemas.openxmlformats.org/officeDocument/2006/relationships" ref="F280" r:id="rId278"/>
    <hyperlink xmlns:r="http://schemas.openxmlformats.org/officeDocument/2006/relationships" ref="F281" r:id="rId279"/>
    <hyperlink xmlns:r="http://schemas.openxmlformats.org/officeDocument/2006/relationships" ref="F282" r:id="rId280"/>
    <hyperlink xmlns:r="http://schemas.openxmlformats.org/officeDocument/2006/relationships" ref="F283" r:id="rId281"/>
    <hyperlink xmlns:r="http://schemas.openxmlformats.org/officeDocument/2006/relationships" ref="F284" r:id="rId282"/>
    <hyperlink xmlns:r="http://schemas.openxmlformats.org/officeDocument/2006/relationships" ref="F285" r:id="rId283"/>
    <hyperlink xmlns:r="http://schemas.openxmlformats.org/officeDocument/2006/relationships" ref="F286" r:id="rId284"/>
    <hyperlink xmlns:r="http://schemas.openxmlformats.org/officeDocument/2006/relationships" ref="F287" r:id="rId285"/>
    <hyperlink xmlns:r="http://schemas.openxmlformats.org/officeDocument/2006/relationships" ref="F288" r:id="rId286"/>
    <hyperlink xmlns:r="http://schemas.openxmlformats.org/officeDocument/2006/relationships" ref="F289" r:id="rId287"/>
    <hyperlink xmlns:r="http://schemas.openxmlformats.org/officeDocument/2006/relationships" ref="F290" r:id="rId288"/>
    <hyperlink xmlns:r="http://schemas.openxmlformats.org/officeDocument/2006/relationships" ref="F291" r:id="rId289"/>
    <hyperlink xmlns:r="http://schemas.openxmlformats.org/officeDocument/2006/relationships" ref="F292" r:id="rId290"/>
    <hyperlink xmlns:r="http://schemas.openxmlformats.org/officeDocument/2006/relationships" ref="F293" r:id="rId291"/>
    <hyperlink xmlns:r="http://schemas.openxmlformats.org/officeDocument/2006/relationships" ref="F294" r:id="rId292"/>
    <hyperlink xmlns:r="http://schemas.openxmlformats.org/officeDocument/2006/relationships" ref="F295" r:id="rId293"/>
    <hyperlink xmlns:r="http://schemas.openxmlformats.org/officeDocument/2006/relationships" ref="F296" r:id="rId294"/>
    <hyperlink xmlns:r="http://schemas.openxmlformats.org/officeDocument/2006/relationships" ref="F297" r:id="rId295"/>
    <hyperlink xmlns:r="http://schemas.openxmlformats.org/officeDocument/2006/relationships" ref="F298" r:id="rId296"/>
    <hyperlink xmlns:r="http://schemas.openxmlformats.org/officeDocument/2006/relationships" ref="F299" r:id="rId297"/>
    <hyperlink xmlns:r="http://schemas.openxmlformats.org/officeDocument/2006/relationships" ref="F300" r:id="rId298"/>
    <hyperlink xmlns:r="http://schemas.openxmlformats.org/officeDocument/2006/relationships" ref="F301" r:id="rId299"/>
    <hyperlink xmlns:r="http://schemas.openxmlformats.org/officeDocument/2006/relationships" ref="F302" r:id="rId300"/>
    <hyperlink xmlns:r="http://schemas.openxmlformats.org/officeDocument/2006/relationships" ref="F303" r:id="rId301"/>
    <hyperlink xmlns:r="http://schemas.openxmlformats.org/officeDocument/2006/relationships" ref="F304" r:id="rId302"/>
    <hyperlink xmlns:r="http://schemas.openxmlformats.org/officeDocument/2006/relationships" ref="F305" r:id="rId303"/>
    <hyperlink xmlns:r="http://schemas.openxmlformats.org/officeDocument/2006/relationships" ref="F306" r:id="rId304"/>
    <hyperlink xmlns:r="http://schemas.openxmlformats.org/officeDocument/2006/relationships" ref="F307" r:id="rId305"/>
    <hyperlink xmlns:r="http://schemas.openxmlformats.org/officeDocument/2006/relationships" ref="F308" r:id="rId306"/>
    <hyperlink xmlns:r="http://schemas.openxmlformats.org/officeDocument/2006/relationships" ref="F309" r:id="rId307"/>
    <hyperlink xmlns:r="http://schemas.openxmlformats.org/officeDocument/2006/relationships" ref="F310" r:id="rId308"/>
    <hyperlink xmlns:r="http://schemas.openxmlformats.org/officeDocument/2006/relationships" ref="F311" r:id="rId309"/>
    <hyperlink xmlns:r="http://schemas.openxmlformats.org/officeDocument/2006/relationships" ref="F312" r:id="rId310"/>
    <hyperlink xmlns:r="http://schemas.openxmlformats.org/officeDocument/2006/relationships" ref="F313" r:id="rId311"/>
    <hyperlink xmlns:r="http://schemas.openxmlformats.org/officeDocument/2006/relationships" ref="F314" r:id="rId312"/>
    <hyperlink xmlns:r="http://schemas.openxmlformats.org/officeDocument/2006/relationships" ref="F315" r:id="rId313"/>
    <hyperlink xmlns:r="http://schemas.openxmlformats.org/officeDocument/2006/relationships" ref="F316" r:id="rId314"/>
    <hyperlink xmlns:r="http://schemas.openxmlformats.org/officeDocument/2006/relationships" ref="F317" r:id="rId315"/>
    <hyperlink xmlns:r="http://schemas.openxmlformats.org/officeDocument/2006/relationships" ref="F318" r:id="rId316"/>
    <hyperlink xmlns:r="http://schemas.openxmlformats.org/officeDocument/2006/relationships" ref="F319" r:id="rId317"/>
    <hyperlink xmlns:r="http://schemas.openxmlformats.org/officeDocument/2006/relationships" ref="F320" r:id="rId318"/>
    <hyperlink xmlns:r="http://schemas.openxmlformats.org/officeDocument/2006/relationships" ref="F321" r:id="rId319"/>
    <hyperlink xmlns:r="http://schemas.openxmlformats.org/officeDocument/2006/relationships" ref="F322" r:id="rId320"/>
    <hyperlink xmlns:r="http://schemas.openxmlformats.org/officeDocument/2006/relationships" ref="F323" r:id="rId321"/>
    <hyperlink xmlns:r="http://schemas.openxmlformats.org/officeDocument/2006/relationships" ref="F324" r:id="rId322"/>
    <hyperlink xmlns:r="http://schemas.openxmlformats.org/officeDocument/2006/relationships" ref="F325" r:id="rId323"/>
    <hyperlink xmlns:r="http://schemas.openxmlformats.org/officeDocument/2006/relationships" ref="F326" r:id="rId324"/>
    <hyperlink xmlns:r="http://schemas.openxmlformats.org/officeDocument/2006/relationships" ref="F327" r:id="rId325"/>
    <hyperlink xmlns:r="http://schemas.openxmlformats.org/officeDocument/2006/relationships" ref="F328" r:id="rId326"/>
    <hyperlink xmlns:r="http://schemas.openxmlformats.org/officeDocument/2006/relationships" ref="F329" r:id="rId327"/>
    <hyperlink xmlns:r="http://schemas.openxmlformats.org/officeDocument/2006/relationships" ref="F330" r:id="rId328"/>
    <hyperlink xmlns:r="http://schemas.openxmlformats.org/officeDocument/2006/relationships" ref="F331" r:id="rId329"/>
    <hyperlink xmlns:r="http://schemas.openxmlformats.org/officeDocument/2006/relationships" ref="F332" r:id="rId330"/>
    <hyperlink xmlns:r="http://schemas.openxmlformats.org/officeDocument/2006/relationships" ref="F333" r:id="rId331"/>
    <hyperlink xmlns:r="http://schemas.openxmlformats.org/officeDocument/2006/relationships" ref="F334" r:id="rId332"/>
    <hyperlink xmlns:r="http://schemas.openxmlformats.org/officeDocument/2006/relationships" ref="F335" r:id="rId333"/>
    <hyperlink xmlns:r="http://schemas.openxmlformats.org/officeDocument/2006/relationships" ref="F336" r:id="rId334"/>
    <hyperlink xmlns:r="http://schemas.openxmlformats.org/officeDocument/2006/relationships" ref="F337" r:id="rId335"/>
    <hyperlink xmlns:r="http://schemas.openxmlformats.org/officeDocument/2006/relationships" ref="F338" r:id="rId336"/>
    <hyperlink xmlns:r="http://schemas.openxmlformats.org/officeDocument/2006/relationships" ref="F339" r:id="rId337"/>
    <hyperlink xmlns:r="http://schemas.openxmlformats.org/officeDocument/2006/relationships" ref="F340" r:id="rId338"/>
    <hyperlink xmlns:r="http://schemas.openxmlformats.org/officeDocument/2006/relationships" ref="F341" r:id="rId339"/>
    <hyperlink xmlns:r="http://schemas.openxmlformats.org/officeDocument/2006/relationships" ref="F342" r:id="rId340"/>
    <hyperlink xmlns:r="http://schemas.openxmlformats.org/officeDocument/2006/relationships" ref="F343" r:id="rId341"/>
    <hyperlink xmlns:r="http://schemas.openxmlformats.org/officeDocument/2006/relationships" ref="F344" r:id="rId342"/>
    <hyperlink xmlns:r="http://schemas.openxmlformats.org/officeDocument/2006/relationships" ref="F345" r:id="rId343"/>
    <hyperlink xmlns:r="http://schemas.openxmlformats.org/officeDocument/2006/relationships" ref="F346" r:id="rId344"/>
    <hyperlink xmlns:r="http://schemas.openxmlformats.org/officeDocument/2006/relationships" ref="F347" r:id="rId345"/>
    <hyperlink xmlns:r="http://schemas.openxmlformats.org/officeDocument/2006/relationships" ref="F348" r:id="rId346"/>
    <hyperlink xmlns:r="http://schemas.openxmlformats.org/officeDocument/2006/relationships" ref="F349" r:id="rId347"/>
    <hyperlink xmlns:r="http://schemas.openxmlformats.org/officeDocument/2006/relationships" ref="F350" r:id="rId348"/>
    <hyperlink xmlns:r="http://schemas.openxmlformats.org/officeDocument/2006/relationships" ref="F351" r:id="rId349"/>
    <hyperlink xmlns:r="http://schemas.openxmlformats.org/officeDocument/2006/relationships" ref="F352" r:id="rId350"/>
    <hyperlink xmlns:r="http://schemas.openxmlformats.org/officeDocument/2006/relationships" ref="F353" r:id="rId351"/>
    <hyperlink xmlns:r="http://schemas.openxmlformats.org/officeDocument/2006/relationships" ref="F354" r:id="rId352"/>
    <hyperlink xmlns:r="http://schemas.openxmlformats.org/officeDocument/2006/relationships" ref="F355" r:id="rId353"/>
    <hyperlink xmlns:r="http://schemas.openxmlformats.org/officeDocument/2006/relationships" ref="F356" r:id="rId354"/>
    <hyperlink xmlns:r="http://schemas.openxmlformats.org/officeDocument/2006/relationships" ref="F357" r:id="rId355"/>
    <hyperlink xmlns:r="http://schemas.openxmlformats.org/officeDocument/2006/relationships" ref="F358" r:id="rId356"/>
    <hyperlink xmlns:r="http://schemas.openxmlformats.org/officeDocument/2006/relationships" ref="F359" r:id="rId357"/>
    <hyperlink xmlns:r="http://schemas.openxmlformats.org/officeDocument/2006/relationships" ref="F360" r:id="rId358"/>
    <hyperlink xmlns:r="http://schemas.openxmlformats.org/officeDocument/2006/relationships" ref="F361" r:id="rId359"/>
    <hyperlink xmlns:r="http://schemas.openxmlformats.org/officeDocument/2006/relationships" ref="F362" r:id="rId360"/>
    <hyperlink xmlns:r="http://schemas.openxmlformats.org/officeDocument/2006/relationships" ref="F363" r:id="rId361"/>
    <hyperlink xmlns:r="http://schemas.openxmlformats.org/officeDocument/2006/relationships" ref="F364" r:id="rId362"/>
    <hyperlink xmlns:r="http://schemas.openxmlformats.org/officeDocument/2006/relationships" ref="F365" r:id="rId363"/>
    <hyperlink xmlns:r="http://schemas.openxmlformats.org/officeDocument/2006/relationships" ref="F366" r:id="rId364"/>
    <hyperlink xmlns:r="http://schemas.openxmlformats.org/officeDocument/2006/relationships" ref="F367" r:id="rId365"/>
    <hyperlink xmlns:r="http://schemas.openxmlformats.org/officeDocument/2006/relationships" ref="F368" r:id="rId366"/>
    <hyperlink xmlns:r="http://schemas.openxmlformats.org/officeDocument/2006/relationships" ref="F369" r:id="rId367"/>
    <hyperlink xmlns:r="http://schemas.openxmlformats.org/officeDocument/2006/relationships" ref="F370" r:id="rId368"/>
    <hyperlink xmlns:r="http://schemas.openxmlformats.org/officeDocument/2006/relationships" ref="F371" r:id="rId369"/>
    <hyperlink xmlns:r="http://schemas.openxmlformats.org/officeDocument/2006/relationships" ref="F372" r:id="rId370"/>
    <hyperlink xmlns:r="http://schemas.openxmlformats.org/officeDocument/2006/relationships" ref="F373" r:id="rId371"/>
    <hyperlink xmlns:r="http://schemas.openxmlformats.org/officeDocument/2006/relationships" ref="F374" r:id="rId372"/>
    <hyperlink xmlns:r="http://schemas.openxmlformats.org/officeDocument/2006/relationships" ref="F375" r:id="rId373"/>
    <hyperlink xmlns:r="http://schemas.openxmlformats.org/officeDocument/2006/relationships" ref="F376" r:id="rId374"/>
    <hyperlink xmlns:r="http://schemas.openxmlformats.org/officeDocument/2006/relationships" ref="F377" r:id="rId375"/>
    <hyperlink xmlns:r="http://schemas.openxmlformats.org/officeDocument/2006/relationships" ref="F378" r:id="rId376"/>
    <hyperlink xmlns:r="http://schemas.openxmlformats.org/officeDocument/2006/relationships" ref="F379" r:id="rId377"/>
    <hyperlink xmlns:r="http://schemas.openxmlformats.org/officeDocument/2006/relationships" ref="F380" r:id="rId378"/>
    <hyperlink xmlns:r="http://schemas.openxmlformats.org/officeDocument/2006/relationships" ref="F381" r:id="rId379"/>
    <hyperlink xmlns:r="http://schemas.openxmlformats.org/officeDocument/2006/relationships" ref="F382" r:id="rId380"/>
    <hyperlink xmlns:r="http://schemas.openxmlformats.org/officeDocument/2006/relationships" ref="F383" r:id="rId381"/>
    <hyperlink xmlns:r="http://schemas.openxmlformats.org/officeDocument/2006/relationships" ref="F384" r:id="rId382"/>
    <hyperlink xmlns:r="http://schemas.openxmlformats.org/officeDocument/2006/relationships" ref="F385" r:id="rId383"/>
    <hyperlink xmlns:r="http://schemas.openxmlformats.org/officeDocument/2006/relationships" ref="F386" r:id="rId384"/>
    <hyperlink xmlns:r="http://schemas.openxmlformats.org/officeDocument/2006/relationships" ref="F387" r:id="rId385"/>
    <hyperlink xmlns:r="http://schemas.openxmlformats.org/officeDocument/2006/relationships" ref="F388" r:id="rId386"/>
    <hyperlink xmlns:r="http://schemas.openxmlformats.org/officeDocument/2006/relationships" ref="F389" r:id="rId387"/>
    <hyperlink xmlns:r="http://schemas.openxmlformats.org/officeDocument/2006/relationships" ref="F390" r:id="rId388"/>
    <hyperlink xmlns:r="http://schemas.openxmlformats.org/officeDocument/2006/relationships" ref="F391" r:id="rId389"/>
    <hyperlink xmlns:r="http://schemas.openxmlformats.org/officeDocument/2006/relationships" ref="F392" r:id="rId390"/>
    <hyperlink xmlns:r="http://schemas.openxmlformats.org/officeDocument/2006/relationships" ref="F393" r:id="rId391"/>
    <hyperlink xmlns:r="http://schemas.openxmlformats.org/officeDocument/2006/relationships" ref="F394" r:id="rId392"/>
    <hyperlink xmlns:r="http://schemas.openxmlformats.org/officeDocument/2006/relationships" ref="F395" r:id="rId393"/>
    <hyperlink xmlns:r="http://schemas.openxmlformats.org/officeDocument/2006/relationships" ref="F396" r:id="rId394"/>
    <hyperlink xmlns:r="http://schemas.openxmlformats.org/officeDocument/2006/relationships" ref="F397" r:id="rId395"/>
    <hyperlink xmlns:r="http://schemas.openxmlformats.org/officeDocument/2006/relationships" ref="F398" r:id="rId396"/>
    <hyperlink xmlns:r="http://schemas.openxmlformats.org/officeDocument/2006/relationships" ref="F399" r:id="rId397"/>
    <hyperlink xmlns:r="http://schemas.openxmlformats.org/officeDocument/2006/relationships" ref="F400" r:id="rId398"/>
    <hyperlink xmlns:r="http://schemas.openxmlformats.org/officeDocument/2006/relationships" ref="F401" r:id="rId399"/>
    <hyperlink xmlns:r="http://schemas.openxmlformats.org/officeDocument/2006/relationships" ref="F402" r:id="rId400"/>
    <hyperlink xmlns:r="http://schemas.openxmlformats.org/officeDocument/2006/relationships" ref="F403" r:id="rId401"/>
    <hyperlink xmlns:r="http://schemas.openxmlformats.org/officeDocument/2006/relationships" ref="F404" r:id="rId402"/>
    <hyperlink xmlns:r="http://schemas.openxmlformats.org/officeDocument/2006/relationships" ref="F405" r:id="rId403"/>
    <hyperlink xmlns:r="http://schemas.openxmlformats.org/officeDocument/2006/relationships" ref="F406" r:id="rId404"/>
    <hyperlink xmlns:r="http://schemas.openxmlformats.org/officeDocument/2006/relationships" ref="F407" r:id="rId405"/>
    <hyperlink xmlns:r="http://schemas.openxmlformats.org/officeDocument/2006/relationships" ref="F408" r:id="rId406"/>
    <hyperlink xmlns:r="http://schemas.openxmlformats.org/officeDocument/2006/relationships" ref="F409" r:id="rId407"/>
    <hyperlink xmlns:r="http://schemas.openxmlformats.org/officeDocument/2006/relationships" ref="F410" r:id="rId408"/>
    <hyperlink xmlns:r="http://schemas.openxmlformats.org/officeDocument/2006/relationships" ref="F411" r:id="rId409"/>
    <hyperlink xmlns:r="http://schemas.openxmlformats.org/officeDocument/2006/relationships" ref="F412" r:id="rId410"/>
    <hyperlink xmlns:r="http://schemas.openxmlformats.org/officeDocument/2006/relationships" ref="F413" r:id="rId411"/>
    <hyperlink xmlns:r="http://schemas.openxmlformats.org/officeDocument/2006/relationships" ref="F414" r:id="rId412"/>
    <hyperlink xmlns:r="http://schemas.openxmlformats.org/officeDocument/2006/relationships" ref="F415" r:id="rId413"/>
    <hyperlink xmlns:r="http://schemas.openxmlformats.org/officeDocument/2006/relationships" ref="F416" r:id="rId414"/>
    <hyperlink xmlns:r="http://schemas.openxmlformats.org/officeDocument/2006/relationships" ref="F417" r:id="rId415"/>
    <hyperlink xmlns:r="http://schemas.openxmlformats.org/officeDocument/2006/relationships" ref="F418" r:id="rId416"/>
    <hyperlink xmlns:r="http://schemas.openxmlformats.org/officeDocument/2006/relationships" ref="F419" r:id="rId417"/>
    <hyperlink xmlns:r="http://schemas.openxmlformats.org/officeDocument/2006/relationships" ref="F420" r:id="rId418"/>
    <hyperlink xmlns:r="http://schemas.openxmlformats.org/officeDocument/2006/relationships" ref="F421" r:id="rId419"/>
    <hyperlink xmlns:r="http://schemas.openxmlformats.org/officeDocument/2006/relationships" ref="F422" r:id="rId420"/>
    <hyperlink xmlns:r="http://schemas.openxmlformats.org/officeDocument/2006/relationships" ref="F423" r:id="rId421"/>
    <hyperlink xmlns:r="http://schemas.openxmlformats.org/officeDocument/2006/relationships" ref="F424" r:id="rId422"/>
    <hyperlink xmlns:r="http://schemas.openxmlformats.org/officeDocument/2006/relationships" ref="F425" r:id="rId423"/>
    <hyperlink xmlns:r="http://schemas.openxmlformats.org/officeDocument/2006/relationships" ref="F426" r:id="rId424"/>
    <hyperlink xmlns:r="http://schemas.openxmlformats.org/officeDocument/2006/relationships" ref="F427" r:id="rId425"/>
    <hyperlink xmlns:r="http://schemas.openxmlformats.org/officeDocument/2006/relationships" ref="F428" r:id="rId426"/>
    <hyperlink xmlns:r="http://schemas.openxmlformats.org/officeDocument/2006/relationships" ref="F429" r:id="rId427"/>
    <hyperlink xmlns:r="http://schemas.openxmlformats.org/officeDocument/2006/relationships" ref="F430" r:id="rId428"/>
    <hyperlink xmlns:r="http://schemas.openxmlformats.org/officeDocument/2006/relationships" ref="F431" r:id="rId429"/>
    <hyperlink xmlns:r="http://schemas.openxmlformats.org/officeDocument/2006/relationships" ref="F432" r:id="rId430"/>
    <hyperlink xmlns:r="http://schemas.openxmlformats.org/officeDocument/2006/relationships" ref="F433" r:id="rId431"/>
    <hyperlink xmlns:r="http://schemas.openxmlformats.org/officeDocument/2006/relationships" ref="F434" r:id="rId432"/>
    <hyperlink xmlns:r="http://schemas.openxmlformats.org/officeDocument/2006/relationships" ref="F435" r:id="rId433"/>
    <hyperlink xmlns:r="http://schemas.openxmlformats.org/officeDocument/2006/relationships" ref="F436" r:id="rId434"/>
    <hyperlink xmlns:r="http://schemas.openxmlformats.org/officeDocument/2006/relationships" ref="F437" r:id="rId435"/>
    <hyperlink xmlns:r="http://schemas.openxmlformats.org/officeDocument/2006/relationships" ref="F438" r:id="rId436"/>
    <hyperlink xmlns:r="http://schemas.openxmlformats.org/officeDocument/2006/relationships" ref="F439" r:id="rId437"/>
    <hyperlink xmlns:r="http://schemas.openxmlformats.org/officeDocument/2006/relationships" ref="F440" r:id="rId438"/>
    <hyperlink xmlns:r="http://schemas.openxmlformats.org/officeDocument/2006/relationships" ref="F441" r:id="rId439"/>
    <hyperlink xmlns:r="http://schemas.openxmlformats.org/officeDocument/2006/relationships" ref="F442" r:id="rId440"/>
    <hyperlink xmlns:r="http://schemas.openxmlformats.org/officeDocument/2006/relationships" ref="F443" r:id="rId441"/>
    <hyperlink xmlns:r="http://schemas.openxmlformats.org/officeDocument/2006/relationships" ref="F444" r:id="rId442"/>
    <hyperlink xmlns:r="http://schemas.openxmlformats.org/officeDocument/2006/relationships" ref="F445" r:id="rId443"/>
    <hyperlink xmlns:r="http://schemas.openxmlformats.org/officeDocument/2006/relationships" ref="F446" r:id="rId444"/>
    <hyperlink xmlns:r="http://schemas.openxmlformats.org/officeDocument/2006/relationships" ref="F447" r:id="rId445"/>
    <hyperlink xmlns:r="http://schemas.openxmlformats.org/officeDocument/2006/relationships" ref="F448" r:id="rId446"/>
    <hyperlink xmlns:r="http://schemas.openxmlformats.org/officeDocument/2006/relationships" ref="F449" display="aBalados@abalados.es" r:id="rId447"/>
    <hyperlink xmlns:r="http://schemas.openxmlformats.org/officeDocument/2006/relationships" ref="F450" display="aBalados@abalados.es" r:id="rId448"/>
    <hyperlink xmlns:r="http://schemas.openxmlformats.org/officeDocument/2006/relationships" ref="F451" display="aBalados@abalados.es" r:id="rId449"/>
    <hyperlink xmlns:r="http://schemas.openxmlformats.org/officeDocument/2006/relationships" ref="F452" display="aBalados@abalados.es" r:id="rId450"/>
    <hyperlink xmlns:r="http://schemas.openxmlformats.org/officeDocument/2006/relationships" ref="F453" display="aBalados@abalados.es" r:id="rId451"/>
    <hyperlink xmlns:r="http://schemas.openxmlformats.org/officeDocument/2006/relationships" ref="F454" display="aBalados@abalados.es" r:id="rId452"/>
    <hyperlink xmlns:r="http://schemas.openxmlformats.org/officeDocument/2006/relationships" ref="F455" display="aBalados@abalados.es" r:id="rId453"/>
    <hyperlink xmlns:r="http://schemas.openxmlformats.org/officeDocument/2006/relationships" ref="F456" display="aBalados@abalados.es" r:id="rId454"/>
    <hyperlink xmlns:r="http://schemas.openxmlformats.org/officeDocument/2006/relationships" ref="F457" display="aBalados@abalados.es" r:id="rId455"/>
    <hyperlink xmlns:r="http://schemas.openxmlformats.org/officeDocument/2006/relationships" ref="F458" display="aBalados@abalados.es" r:id="rId456"/>
    <hyperlink xmlns:r="http://schemas.openxmlformats.org/officeDocument/2006/relationships" ref="F459" display="aBalados@abalados.es" r:id="rId457"/>
    <hyperlink xmlns:r="http://schemas.openxmlformats.org/officeDocument/2006/relationships" ref="F460" display="aBalados@abalados.es" r:id="rId458"/>
    <hyperlink xmlns:r="http://schemas.openxmlformats.org/officeDocument/2006/relationships" ref="F461" display="aBalados@abalados.es" r:id="rId459"/>
    <hyperlink xmlns:r="http://schemas.openxmlformats.org/officeDocument/2006/relationships" ref="F462" display="aBalados@abalados.es" r:id="rId460"/>
    <hyperlink xmlns:r="http://schemas.openxmlformats.org/officeDocument/2006/relationships" ref="F463" display="aBalados@abalados.es" r:id="rId461"/>
    <hyperlink xmlns:r="http://schemas.openxmlformats.org/officeDocument/2006/relationships" ref="F464" display="aBalados@abalados.es" r:id="rId462"/>
    <hyperlink xmlns:r="http://schemas.openxmlformats.org/officeDocument/2006/relationships" ref="F465" display="aBalados@abalados.es" r:id="rId463"/>
    <hyperlink xmlns:r="http://schemas.openxmlformats.org/officeDocument/2006/relationships" ref="F466" display="aBalados@abalados.es" r:id="rId464"/>
    <hyperlink xmlns:r="http://schemas.openxmlformats.org/officeDocument/2006/relationships" ref="F467" display="aBalados@abalados.es" r:id="rId465"/>
    <hyperlink xmlns:r="http://schemas.openxmlformats.org/officeDocument/2006/relationships" ref="F468" display="aBalados@abalados.es" r:id="rId466"/>
    <hyperlink xmlns:r="http://schemas.openxmlformats.org/officeDocument/2006/relationships" ref="F469" display="aBalados@abalados.es" r:id="rId467"/>
    <hyperlink xmlns:r="http://schemas.openxmlformats.org/officeDocument/2006/relationships" ref="F470" display="aBalados@abalados.es" r:id="rId468"/>
    <hyperlink xmlns:r="http://schemas.openxmlformats.org/officeDocument/2006/relationships" ref="F471" display="aBalados@abalados.es" r:id="rId469"/>
    <hyperlink xmlns:r="http://schemas.openxmlformats.org/officeDocument/2006/relationships" ref="F472" display="aBalados@abalados.es" r:id="rId470"/>
    <hyperlink xmlns:r="http://schemas.openxmlformats.org/officeDocument/2006/relationships" ref="F473" r:id="rId471"/>
    <hyperlink xmlns:r="http://schemas.openxmlformats.org/officeDocument/2006/relationships" ref="F474" r:id="rId472"/>
    <hyperlink xmlns:r="http://schemas.openxmlformats.org/officeDocument/2006/relationships" ref="F475" r:id="rId473"/>
    <hyperlink xmlns:r="http://schemas.openxmlformats.org/officeDocument/2006/relationships" ref="F476" r:id="rId474"/>
    <hyperlink xmlns:r="http://schemas.openxmlformats.org/officeDocument/2006/relationships" ref="F477" r:id="rId475"/>
    <hyperlink xmlns:r="http://schemas.openxmlformats.org/officeDocument/2006/relationships" ref="F478" r:id="rId476"/>
    <hyperlink xmlns:r="http://schemas.openxmlformats.org/officeDocument/2006/relationships" ref="F479" r:id="rId477"/>
    <hyperlink xmlns:r="http://schemas.openxmlformats.org/officeDocument/2006/relationships" ref="F480" r:id="rId478"/>
    <hyperlink xmlns:r="http://schemas.openxmlformats.org/officeDocument/2006/relationships" ref="F481" r:id="rId479"/>
    <hyperlink xmlns:r="http://schemas.openxmlformats.org/officeDocument/2006/relationships" ref="F482" r:id="rId480"/>
    <hyperlink xmlns:r="http://schemas.openxmlformats.org/officeDocument/2006/relationships" ref="F483" r:id="rId481"/>
    <hyperlink xmlns:r="http://schemas.openxmlformats.org/officeDocument/2006/relationships" ref="F484" r:id="rId482"/>
    <hyperlink xmlns:r="http://schemas.openxmlformats.org/officeDocument/2006/relationships" ref="F485" r:id="rId483"/>
    <hyperlink xmlns:r="http://schemas.openxmlformats.org/officeDocument/2006/relationships" ref="F486" r:id="rId484"/>
    <hyperlink xmlns:r="http://schemas.openxmlformats.org/officeDocument/2006/relationships" ref="F487" r:id="rId485"/>
    <hyperlink xmlns:r="http://schemas.openxmlformats.org/officeDocument/2006/relationships" ref="F488" r:id="rId486"/>
    <hyperlink xmlns:r="http://schemas.openxmlformats.org/officeDocument/2006/relationships" ref="F489" r:id="rId487"/>
    <hyperlink xmlns:r="http://schemas.openxmlformats.org/officeDocument/2006/relationships" ref="F490" r:id="rId488"/>
    <hyperlink xmlns:r="http://schemas.openxmlformats.org/officeDocument/2006/relationships" ref="F491" r:id="rId489"/>
    <hyperlink xmlns:r="http://schemas.openxmlformats.org/officeDocument/2006/relationships" ref="F492" r:id="rId490"/>
    <hyperlink xmlns:r="http://schemas.openxmlformats.org/officeDocument/2006/relationships" ref="F493" r:id="rId491"/>
    <hyperlink xmlns:r="http://schemas.openxmlformats.org/officeDocument/2006/relationships" ref="F494" r:id="rId492"/>
    <hyperlink xmlns:r="http://schemas.openxmlformats.org/officeDocument/2006/relationships" ref="F495" r:id="rId493"/>
    <hyperlink xmlns:r="http://schemas.openxmlformats.org/officeDocument/2006/relationships" ref="F496" r:id="rId494"/>
    <hyperlink xmlns:r="http://schemas.openxmlformats.org/officeDocument/2006/relationships" ref="F497" r:id="rId495"/>
    <hyperlink xmlns:r="http://schemas.openxmlformats.org/officeDocument/2006/relationships" ref="F498" r:id="rId496"/>
    <hyperlink xmlns:r="http://schemas.openxmlformats.org/officeDocument/2006/relationships" ref="F499" r:id="rId497"/>
    <hyperlink xmlns:r="http://schemas.openxmlformats.org/officeDocument/2006/relationships" ref="F500" r:id="rId498"/>
    <hyperlink xmlns:r="http://schemas.openxmlformats.org/officeDocument/2006/relationships" ref="F501" r:id="rId499"/>
    <hyperlink xmlns:r="http://schemas.openxmlformats.org/officeDocument/2006/relationships" ref="F502" r:id="rId500"/>
    <hyperlink xmlns:r="http://schemas.openxmlformats.org/officeDocument/2006/relationships" ref="F503" r:id="rId501"/>
    <hyperlink xmlns:r="http://schemas.openxmlformats.org/officeDocument/2006/relationships" ref="F504" r:id="rId502"/>
    <hyperlink xmlns:r="http://schemas.openxmlformats.org/officeDocument/2006/relationships" ref="F505" r:id="rId503"/>
    <hyperlink xmlns:r="http://schemas.openxmlformats.org/officeDocument/2006/relationships" ref="F506" r:id="rId504"/>
    <hyperlink xmlns:r="http://schemas.openxmlformats.org/officeDocument/2006/relationships" ref="F507" r:id="rId505"/>
    <hyperlink xmlns:r="http://schemas.openxmlformats.org/officeDocument/2006/relationships" ref="F508" r:id="rId506"/>
    <hyperlink xmlns:r="http://schemas.openxmlformats.org/officeDocument/2006/relationships" ref="F509" r:id="rId507"/>
    <hyperlink xmlns:r="http://schemas.openxmlformats.org/officeDocument/2006/relationships" ref="F510" r:id="rId508"/>
    <hyperlink xmlns:r="http://schemas.openxmlformats.org/officeDocument/2006/relationships" ref="F511" r:id="rId509"/>
    <hyperlink xmlns:r="http://schemas.openxmlformats.org/officeDocument/2006/relationships" ref="F512" r:id="rId510"/>
    <hyperlink xmlns:r="http://schemas.openxmlformats.org/officeDocument/2006/relationships" ref="F513" r:id="rId511"/>
    <hyperlink xmlns:r="http://schemas.openxmlformats.org/officeDocument/2006/relationships" ref="F514" r:id="rId512"/>
    <hyperlink xmlns:r="http://schemas.openxmlformats.org/officeDocument/2006/relationships" ref="F515" r:id="rId513"/>
    <hyperlink xmlns:r="http://schemas.openxmlformats.org/officeDocument/2006/relationships" ref="F516" r:id="rId514"/>
    <hyperlink xmlns:r="http://schemas.openxmlformats.org/officeDocument/2006/relationships" ref="F517" r:id="rId515"/>
    <hyperlink xmlns:r="http://schemas.openxmlformats.org/officeDocument/2006/relationships" ref="F518" r:id="rId516"/>
    <hyperlink xmlns:r="http://schemas.openxmlformats.org/officeDocument/2006/relationships" ref="F519" r:id="rId517"/>
    <hyperlink xmlns:r="http://schemas.openxmlformats.org/officeDocument/2006/relationships" ref="F520" r:id="rId518"/>
    <hyperlink xmlns:r="http://schemas.openxmlformats.org/officeDocument/2006/relationships" ref="F521" r:id="rId519"/>
    <hyperlink xmlns:r="http://schemas.openxmlformats.org/officeDocument/2006/relationships" ref="F522" r:id="rId520"/>
    <hyperlink xmlns:r="http://schemas.openxmlformats.org/officeDocument/2006/relationships" ref="F523" r:id="rId521"/>
    <hyperlink xmlns:r="http://schemas.openxmlformats.org/officeDocument/2006/relationships" ref="F524" r:id="rId522"/>
    <hyperlink xmlns:r="http://schemas.openxmlformats.org/officeDocument/2006/relationships" ref="F525" r:id="rId523"/>
    <hyperlink xmlns:r="http://schemas.openxmlformats.org/officeDocument/2006/relationships" ref="F526" r:id="rId524"/>
    <hyperlink xmlns:r="http://schemas.openxmlformats.org/officeDocument/2006/relationships" ref="F527" r:id="rId525"/>
    <hyperlink xmlns:r="http://schemas.openxmlformats.org/officeDocument/2006/relationships" ref="F528" r:id="rId526"/>
    <hyperlink xmlns:r="http://schemas.openxmlformats.org/officeDocument/2006/relationships" ref="F529" r:id="rId527"/>
    <hyperlink xmlns:r="http://schemas.openxmlformats.org/officeDocument/2006/relationships" ref="F530" r:id="rId528"/>
    <hyperlink xmlns:r="http://schemas.openxmlformats.org/officeDocument/2006/relationships" ref="F531" r:id="rId529"/>
    <hyperlink xmlns:r="http://schemas.openxmlformats.org/officeDocument/2006/relationships" ref="F532" r:id="rId530"/>
    <hyperlink xmlns:r="http://schemas.openxmlformats.org/officeDocument/2006/relationships" ref="F533" r:id="rId531"/>
    <hyperlink xmlns:r="http://schemas.openxmlformats.org/officeDocument/2006/relationships" ref="F534" r:id="rId532"/>
    <hyperlink xmlns:r="http://schemas.openxmlformats.org/officeDocument/2006/relationships" ref="F535" r:id="rId533"/>
    <hyperlink xmlns:r="http://schemas.openxmlformats.org/officeDocument/2006/relationships" ref="F536" r:id="rId534"/>
    <hyperlink xmlns:r="http://schemas.openxmlformats.org/officeDocument/2006/relationships" ref="F537" r:id="rId535"/>
    <hyperlink xmlns:r="http://schemas.openxmlformats.org/officeDocument/2006/relationships" ref="F538" r:id="rId536"/>
    <hyperlink xmlns:r="http://schemas.openxmlformats.org/officeDocument/2006/relationships" ref="F539" r:id="rId537"/>
    <hyperlink xmlns:r="http://schemas.openxmlformats.org/officeDocument/2006/relationships" ref="F540" r:id="rId538"/>
    <hyperlink xmlns:r="http://schemas.openxmlformats.org/officeDocument/2006/relationships" ref="F541" r:id="rId539"/>
    <hyperlink xmlns:r="http://schemas.openxmlformats.org/officeDocument/2006/relationships" ref="F542" r:id="rId540"/>
    <hyperlink xmlns:r="http://schemas.openxmlformats.org/officeDocument/2006/relationships" ref="F543" r:id="rId541"/>
    <hyperlink xmlns:r="http://schemas.openxmlformats.org/officeDocument/2006/relationships" ref="F544" r:id="rId542"/>
    <hyperlink xmlns:r="http://schemas.openxmlformats.org/officeDocument/2006/relationships" ref="F545" r:id="rId543"/>
    <hyperlink xmlns:r="http://schemas.openxmlformats.org/officeDocument/2006/relationships" ref="F546" r:id="rId544"/>
    <hyperlink xmlns:r="http://schemas.openxmlformats.org/officeDocument/2006/relationships" ref="F547" r:id="rId545"/>
    <hyperlink xmlns:r="http://schemas.openxmlformats.org/officeDocument/2006/relationships" ref="F548" r:id="rId546"/>
    <hyperlink xmlns:r="http://schemas.openxmlformats.org/officeDocument/2006/relationships" ref="F549" r:id="rId547"/>
    <hyperlink xmlns:r="http://schemas.openxmlformats.org/officeDocument/2006/relationships" ref="F550" r:id="rId548"/>
    <hyperlink xmlns:r="http://schemas.openxmlformats.org/officeDocument/2006/relationships" ref="F552" r:id="rId549"/>
    <hyperlink xmlns:r="http://schemas.openxmlformats.org/officeDocument/2006/relationships" ref="F553" r:id="rId550"/>
    <hyperlink xmlns:r="http://schemas.openxmlformats.org/officeDocument/2006/relationships" ref="F554" r:id="rId551"/>
    <hyperlink xmlns:r="http://schemas.openxmlformats.org/officeDocument/2006/relationships" ref="F555" r:id="rId552"/>
    <hyperlink xmlns:r="http://schemas.openxmlformats.org/officeDocument/2006/relationships" ref="F556" r:id="rId553"/>
    <hyperlink xmlns:r="http://schemas.openxmlformats.org/officeDocument/2006/relationships" ref="F557" r:id="rId554"/>
    <hyperlink xmlns:r="http://schemas.openxmlformats.org/officeDocument/2006/relationships" ref="F558" r:id="rId555"/>
    <hyperlink xmlns:r="http://schemas.openxmlformats.org/officeDocument/2006/relationships" ref="F559" r:id="rId556"/>
    <hyperlink xmlns:r="http://schemas.openxmlformats.org/officeDocument/2006/relationships" ref="F560" r:id="rId557"/>
    <hyperlink xmlns:r="http://schemas.openxmlformats.org/officeDocument/2006/relationships" ref="F561" r:id="rId558"/>
    <hyperlink xmlns:r="http://schemas.openxmlformats.org/officeDocument/2006/relationships" ref="F562" r:id="rId559"/>
    <hyperlink xmlns:r="http://schemas.openxmlformats.org/officeDocument/2006/relationships" ref="F563" r:id="rId560"/>
    <hyperlink xmlns:r="http://schemas.openxmlformats.org/officeDocument/2006/relationships" ref="F564" r:id="rId561"/>
    <hyperlink xmlns:r="http://schemas.openxmlformats.org/officeDocument/2006/relationships" ref="F565" r:id="rId562"/>
    <hyperlink xmlns:r="http://schemas.openxmlformats.org/officeDocument/2006/relationships" ref="F566" r:id="rId563"/>
    <hyperlink xmlns:r="http://schemas.openxmlformats.org/officeDocument/2006/relationships" ref="F567" r:id="rId564"/>
    <hyperlink xmlns:r="http://schemas.openxmlformats.org/officeDocument/2006/relationships" ref="F568" r:id="rId565"/>
    <hyperlink xmlns:r="http://schemas.openxmlformats.org/officeDocument/2006/relationships" ref="F569" r:id="rId566"/>
    <hyperlink xmlns:r="http://schemas.openxmlformats.org/officeDocument/2006/relationships" ref="F570" r:id="rId567"/>
    <hyperlink xmlns:r="http://schemas.openxmlformats.org/officeDocument/2006/relationships" ref="F571" r:id="rId568"/>
    <hyperlink xmlns:r="http://schemas.openxmlformats.org/officeDocument/2006/relationships" ref="F572" r:id="rId569"/>
    <hyperlink xmlns:r="http://schemas.openxmlformats.org/officeDocument/2006/relationships" ref="F573" r:id="rId570"/>
    <hyperlink xmlns:r="http://schemas.openxmlformats.org/officeDocument/2006/relationships" ref="F574" r:id="rId571"/>
    <hyperlink xmlns:r="http://schemas.openxmlformats.org/officeDocument/2006/relationships" ref="F575" r:id="rId572"/>
    <hyperlink xmlns:r="http://schemas.openxmlformats.org/officeDocument/2006/relationships" ref="F576" r:id="rId573"/>
    <hyperlink xmlns:r="http://schemas.openxmlformats.org/officeDocument/2006/relationships" ref="F577" r:id="rId574"/>
    <hyperlink xmlns:r="http://schemas.openxmlformats.org/officeDocument/2006/relationships" ref="F578" r:id="rId575"/>
    <hyperlink xmlns:r="http://schemas.openxmlformats.org/officeDocument/2006/relationships" ref="F579" r:id="rId576"/>
    <hyperlink xmlns:r="http://schemas.openxmlformats.org/officeDocument/2006/relationships" ref="F580" r:id="rId577"/>
    <hyperlink xmlns:r="http://schemas.openxmlformats.org/officeDocument/2006/relationships" ref="F581" r:id="rId578"/>
    <hyperlink xmlns:r="http://schemas.openxmlformats.org/officeDocument/2006/relationships" ref="F582" r:id="rId579"/>
    <hyperlink xmlns:r="http://schemas.openxmlformats.org/officeDocument/2006/relationships" ref="F583" r:id="rId580"/>
    <hyperlink xmlns:r="http://schemas.openxmlformats.org/officeDocument/2006/relationships" ref="F584" r:id="rId581"/>
    <hyperlink xmlns:r="http://schemas.openxmlformats.org/officeDocument/2006/relationships" ref="F585" r:id="rId582"/>
    <hyperlink xmlns:r="http://schemas.openxmlformats.org/officeDocument/2006/relationships" ref="F586" r:id="rId583"/>
    <hyperlink xmlns:r="http://schemas.openxmlformats.org/officeDocument/2006/relationships" ref="F587" r:id="rId584"/>
    <hyperlink xmlns:r="http://schemas.openxmlformats.org/officeDocument/2006/relationships" ref="F588" r:id="rId585"/>
    <hyperlink xmlns:r="http://schemas.openxmlformats.org/officeDocument/2006/relationships" ref="F589" r:id="rId586"/>
    <hyperlink xmlns:r="http://schemas.openxmlformats.org/officeDocument/2006/relationships" ref="F590" r:id="rId587"/>
    <hyperlink xmlns:r="http://schemas.openxmlformats.org/officeDocument/2006/relationships" ref="F591" r:id="rId588"/>
    <hyperlink xmlns:r="http://schemas.openxmlformats.org/officeDocument/2006/relationships" ref="F592" r:id="rId589"/>
    <hyperlink xmlns:r="http://schemas.openxmlformats.org/officeDocument/2006/relationships" ref="F593" r:id="rId590"/>
    <hyperlink xmlns:r="http://schemas.openxmlformats.org/officeDocument/2006/relationships" ref="F594" r:id="rId591"/>
    <hyperlink xmlns:r="http://schemas.openxmlformats.org/officeDocument/2006/relationships" ref="F595" r:id="rId592"/>
    <hyperlink xmlns:r="http://schemas.openxmlformats.org/officeDocument/2006/relationships" ref="F596" r:id="rId593"/>
    <hyperlink xmlns:r="http://schemas.openxmlformats.org/officeDocument/2006/relationships" ref="F597" r:id="rId594"/>
    <hyperlink xmlns:r="http://schemas.openxmlformats.org/officeDocument/2006/relationships" ref="F598" r:id="rId595"/>
    <hyperlink xmlns:r="http://schemas.openxmlformats.org/officeDocument/2006/relationships" ref="F599" r:id="rId596"/>
    <hyperlink xmlns:r="http://schemas.openxmlformats.org/officeDocument/2006/relationships" ref="F600" r:id="rId597"/>
    <hyperlink xmlns:r="http://schemas.openxmlformats.org/officeDocument/2006/relationships" ref="F601" r:id="rId598"/>
    <hyperlink xmlns:r="http://schemas.openxmlformats.org/officeDocument/2006/relationships" ref="F602" r:id="rId599"/>
    <hyperlink xmlns:r="http://schemas.openxmlformats.org/officeDocument/2006/relationships" ref="F603" r:id="rId600"/>
    <hyperlink xmlns:r="http://schemas.openxmlformats.org/officeDocument/2006/relationships" ref="F604" r:id="rId601"/>
    <hyperlink xmlns:r="http://schemas.openxmlformats.org/officeDocument/2006/relationships" ref="F605" r:id="rId602"/>
    <hyperlink xmlns:r="http://schemas.openxmlformats.org/officeDocument/2006/relationships" ref="F606" r:id="rId603"/>
    <hyperlink xmlns:r="http://schemas.openxmlformats.org/officeDocument/2006/relationships" ref="F607" r:id="rId604"/>
    <hyperlink xmlns:r="http://schemas.openxmlformats.org/officeDocument/2006/relationships" ref="F608" r:id="rId605"/>
    <hyperlink xmlns:r="http://schemas.openxmlformats.org/officeDocument/2006/relationships" ref="F609" r:id="rId606"/>
    <hyperlink xmlns:r="http://schemas.openxmlformats.org/officeDocument/2006/relationships" ref="F610" r:id="rId607"/>
    <hyperlink xmlns:r="http://schemas.openxmlformats.org/officeDocument/2006/relationships" ref="F611" r:id="rId608"/>
    <hyperlink xmlns:r="http://schemas.openxmlformats.org/officeDocument/2006/relationships" ref="F612" r:id="rId609"/>
    <hyperlink xmlns:r="http://schemas.openxmlformats.org/officeDocument/2006/relationships" ref="F613" r:id="rId610"/>
    <hyperlink xmlns:r="http://schemas.openxmlformats.org/officeDocument/2006/relationships" ref="F614" r:id="rId611"/>
    <hyperlink xmlns:r="http://schemas.openxmlformats.org/officeDocument/2006/relationships" ref="F615" r:id="rId612"/>
    <hyperlink xmlns:r="http://schemas.openxmlformats.org/officeDocument/2006/relationships" ref="F616" r:id="rId613"/>
    <hyperlink xmlns:r="http://schemas.openxmlformats.org/officeDocument/2006/relationships" ref="F617" r:id="rId614"/>
    <hyperlink xmlns:r="http://schemas.openxmlformats.org/officeDocument/2006/relationships" ref="F618" r:id="rId615"/>
    <hyperlink xmlns:r="http://schemas.openxmlformats.org/officeDocument/2006/relationships" ref="F619" r:id="rId616"/>
    <hyperlink xmlns:r="http://schemas.openxmlformats.org/officeDocument/2006/relationships" ref="F620" r:id="rId617"/>
    <hyperlink xmlns:r="http://schemas.openxmlformats.org/officeDocument/2006/relationships" ref="F621" r:id="rId618"/>
    <hyperlink xmlns:r="http://schemas.openxmlformats.org/officeDocument/2006/relationships" ref="F622" r:id="rId619"/>
    <hyperlink xmlns:r="http://schemas.openxmlformats.org/officeDocument/2006/relationships" ref="F623" r:id="rId620"/>
    <hyperlink xmlns:r="http://schemas.openxmlformats.org/officeDocument/2006/relationships" ref="F624" r:id="rId621"/>
    <hyperlink xmlns:r="http://schemas.openxmlformats.org/officeDocument/2006/relationships" ref="F625" r:id="rId622"/>
    <hyperlink xmlns:r="http://schemas.openxmlformats.org/officeDocument/2006/relationships" ref="F626" r:id="rId623"/>
    <hyperlink xmlns:r="http://schemas.openxmlformats.org/officeDocument/2006/relationships" ref="F627" r:id="rId624"/>
    <hyperlink xmlns:r="http://schemas.openxmlformats.org/officeDocument/2006/relationships" ref="F628" r:id="rId625"/>
    <hyperlink xmlns:r="http://schemas.openxmlformats.org/officeDocument/2006/relationships" ref="F629" r:id="rId626"/>
    <hyperlink xmlns:r="http://schemas.openxmlformats.org/officeDocument/2006/relationships" ref="F630" r:id="rId627"/>
    <hyperlink xmlns:r="http://schemas.openxmlformats.org/officeDocument/2006/relationships" ref="F631" r:id="rId628"/>
    <hyperlink xmlns:r="http://schemas.openxmlformats.org/officeDocument/2006/relationships" ref="F632" r:id="rId629"/>
    <hyperlink xmlns:r="http://schemas.openxmlformats.org/officeDocument/2006/relationships" ref="F633" r:id="rId630"/>
    <hyperlink xmlns:r="http://schemas.openxmlformats.org/officeDocument/2006/relationships" ref="F634" r:id="rId631"/>
    <hyperlink xmlns:r="http://schemas.openxmlformats.org/officeDocument/2006/relationships" ref="F635" r:id="rId632"/>
    <hyperlink xmlns:r="http://schemas.openxmlformats.org/officeDocument/2006/relationships" ref="F636" r:id="rId633"/>
    <hyperlink xmlns:r="http://schemas.openxmlformats.org/officeDocument/2006/relationships" ref="F637" r:id="rId634"/>
    <hyperlink xmlns:r="http://schemas.openxmlformats.org/officeDocument/2006/relationships" ref="F638" r:id="rId635"/>
    <hyperlink xmlns:r="http://schemas.openxmlformats.org/officeDocument/2006/relationships" ref="F639" r:id="rId636"/>
    <hyperlink xmlns:r="http://schemas.openxmlformats.org/officeDocument/2006/relationships" ref="F640" r:id="rId637"/>
    <hyperlink xmlns:r="http://schemas.openxmlformats.org/officeDocument/2006/relationships" ref="F641" r:id="rId638"/>
    <hyperlink xmlns:r="http://schemas.openxmlformats.org/officeDocument/2006/relationships" ref="F642" r:id="rId639"/>
    <hyperlink xmlns:r="http://schemas.openxmlformats.org/officeDocument/2006/relationships" ref="F643" r:id="rId640"/>
    <hyperlink xmlns:r="http://schemas.openxmlformats.org/officeDocument/2006/relationships" ref="F644" r:id="rId641"/>
    <hyperlink xmlns:r="http://schemas.openxmlformats.org/officeDocument/2006/relationships" ref="F645" r:id="rId642"/>
    <hyperlink xmlns:r="http://schemas.openxmlformats.org/officeDocument/2006/relationships" ref="F646" r:id="rId643"/>
    <hyperlink xmlns:r="http://schemas.openxmlformats.org/officeDocument/2006/relationships" ref="F647" r:id="rId644"/>
    <hyperlink xmlns:r="http://schemas.openxmlformats.org/officeDocument/2006/relationships" ref="F648" r:id="rId645"/>
    <hyperlink xmlns:r="http://schemas.openxmlformats.org/officeDocument/2006/relationships" ref="F649" r:id="rId646"/>
    <hyperlink xmlns:r="http://schemas.openxmlformats.org/officeDocument/2006/relationships" ref="F650" r:id="rId647"/>
    <hyperlink xmlns:r="http://schemas.openxmlformats.org/officeDocument/2006/relationships" ref="F651" r:id="rId648"/>
    <hyperlink xmlns:r="http://schemas.openxmlformats.org/officeDocument/2006/relationships" ref="F652" r:id="rId649"/>
    <hyperlink xmlns:r="http://schemas.openxmlformats.org/officeDocument/2006/relationships" ref="F653" r:id="rId650"/>
    <hyperlink xmlns:r="http://schemas.openxmlformats.org/officeDocument/2006/relationships" ref="F654" r:id="rId651"/>
    <hyperlink xmlns:r="http://schemas.openxmlformats.org/officeDocument/2006/relationships" ref="F655" r:id="rId652"/>
    <hyperlink xmlns:r="http://schemas.openxmlformats.org/officeDocument/2006/relationships" ref="F656" r:id="rId653"/>
    <hyperlink xmlns:r="http://schemas.openxmlformats.org/officeDocument/2006/relationships" ref="F657" r:id="rId654"/>
    <hyperlink xmlns:r="http://schemas.openxmlformats.org/officeDocument/2006/relationships" ref="F658" r:id="rId655"/>
    <hyperlink xmlns:r="http://schemas.openxmlformats.org/officeDocument/2006/relationships" ref="F659" r:id="rId656"/>
    <hyperlink xmlns:r="http://schemas.openxmlformats.org/officeDocument/2006/relationships" ref="F660" r:id="rId657"/>
    <hyperlink xmlns:r="http://schemas.openxmlformats.org/officeDocument/2006/relationships" ref="F661" r:id="rId658"/>
    <hyperlink xmlns:r="http://schemas.openxmlformats.org/officeDocument/2006/relationships" ref="F662" r:id="rId659"/>
    <hyperlink xmlns:r="http://schemas.openxmlformats.org/officeDocument/2006/relationships" ref="F663" r:id="rId660"/>
    <hyperlink xmlns:r="http://schemas.openxmlformats.org/officeDocument/2006/relationships" ref="F664" r:id="rId661"/>
    <hyperlink xmlns:r="http://schemas.openxmlformats.org/officeDocument/2006/relationships" ref="F665" r:id="rId662"/>
    <hyperlink xmlns:r="http://schemas.openxmlformats.org/officeDocument/2006/relationships" ref="F666" r:id="rId663"/>
    <hyperlink xmlns:r="http://schemas.openxmlformats.org/officeDocument/2006/relationships" ref="F667" r:id="rId664"/>
    <hyperlink xmlns:r="http://schemas.openxmlformats.org/officeDocument/2006/relationships" ref="F668" r:id="rId665"/>
    <hyperlink xmlns:r="http://schemas.openxmlformats.org/officeDocument/2006/relationships" ref="F669" r:id="rId666"/>
    <hyperlink xmlns:r="http://schemas.openxmlformats.org/officeDocument/2006/relationships" ref="F670" r:id="rId667"/>
    <hyperlink xmlns:r="http://schemas.openxmlformats.org/officeDocument/2006/relationships" ref="F671" r:id="rId668"/>
    <hyperlink xmlns:r="http://schemas.openxmlformats.org/officeDocument/2006/relationships" ref="F672" r:id="rId669"/>
    <hyperlink xmlns:r="http://schemas.openxmlformats.org/officeDocument/2006/relationships" ref="F673" r:id="rId670"/>
    <hyperlink xmlns:r="http://schemas.openxmlformats.org/officeDocument/2006/relationships" ref="F674" r:id="rId671"/>
    <hyperlink xmlns:r="http://schemas.openxmlformats.org/officeDocument/2006/relationships" ref="F675" r:id="rId672"/>
    <hyperlink xmlns:r="http://schemas.openxmlformats.org/officeDocument/2006/relationships" ref="F676" r:id="rId673"/>
    <hyperlink xmlns:r="http://schemas.openxmlformats.org/officeDocument/2006/relationships" ref="F677" r:id="rId674"/>
    <hyperlink xmlns:r="http://schemas.openxmlformats.org/officeDocument/2006/relationships" ref="F678" r:id="rId675"/>
    <hyperlink xmlns:r="http://schemas.openxmlformats.org/officeDocument/2006/relationships" ref="F679" r:id="rId676"/>
    <hyperlink xmlns:r="http://schemas.openxmlformats.org/officeDocument/2006/relationships" ref="F680" r:id="rId677"/>
    <hyperlink xmlns:r="http://schemas.openxmlformats.org/officeDocument/2006/relationships" ref="F681" r:id="rId678"/>
    <hyperlink xmlns:r="http://schemas.openxmlformats.org/officeDocument/2006/relationships" ref="F682" r:id="rId679"/>
    <hyperlink xmlns:r="http://schemas.openxmlformats.org/officeDocument/2006/relationships" ref="F683" r:id="rId680"/>
    <hyperlink xmlns:r="http://schemas.openxmlformats.org/officeDocument/2006/relationships" ref="F684" r:id="rId681"/>
    <hyperlink xmlns:r="http://schemas.openxmlformats.org/officeDocument/2006/relationships" ref="F685" r:id="rId682"/>
    <hyperlink xmlns:r="http://schemas.openxmlformats.org/officeDocument/2006/relationships" ref="F686" r:id="rId683"/>
    <hyperlink xmlns:r="http://schemas.openxmlformats.org/officeDocument/2006/relationships" ref="F687" r:id="rId684"/>
    <hyperlink xmlns:r="http://schemas.openxmlformats.org/officeDocument/2006/relationships" ref="F688" r:id="rId685"/>
    <hyperlink xmlns:r="http://schemas.openxmlformats.org/officeDocument/2006/relationships" ref="F689" r:id="rId686"/>
    <hyperlink xmlns:r="http://schemas.openxmlformats.org/officeDocument/2006/relationships" ref="F690" r:id="rId687"/>
    <hyperlink xmlns:r="http://schemas.openxmlformats.org/officeDocument/2006/relationships" ref="F691" r:id="rId688"/>
    <hyperlink xmlns:r="http://schemas.openxmlformats.org/officeDocument/2006/relationships" ref="F692" r:id="rId689"/>
    <hyperlink xmlns:r="http://schemas.openxmlformats.org/officeDocument/2006/relationships" ref="F693" r:id="rId690"/>
    <hyperlink xmlns:r="http://schemas.openxmlformats.org/officeDocument/2006/relationships" ref="F694" r:id="rId691"/>
    <hyperlink xmlns:r="http://schemas.openxmlformats.org/officeDocument/2006/relationships" ref="F695" r:id="rId692"/>
    <hyperlink xmlns:r="http://schemas.openxmlformats.org/officeDocument/2006/relationships" ref="F696" r:id="rId693"/>
    <hyperlink xmlns:r="http://schemas.openxmlformats.org/officeDocument/2006/relationships" ref="F697" r:id="rId694"/>
    <hyperlink xmlns:r="http://schemas.openxmlformats.org/officeDocument/2006/relationships" ref="F698" r:id="rId695"/>
    <hyperlink xmlns:r="http://schemas.openxmlformats.org/officeDocument/2006/relationships" ref="F699" r:id="rId696"/>
    <hyperlink xmlns:r="http://schemas.openxmlformats.org/officeDocument/2006/relationships" ref="F700" r:id="rId697"/>
    <hyperlink xmlns:r="http://schemas.openxmlformats.org/officeDocument/2006/relationships" ref="F701" r:id="rId698"/>
    <hyperlink xmlns:r="http://schemas.openxmlformats.org/officeDocument/2006/relationships" ref="F702" r:id="rId699"/>
    <hyperlink xmlns:r="http://schemas.openxmlformats.org/officeDocument/2006/relationships" ref="F703" r:id="rId700"/>
    <hyperlink xmlns:r="http://schemas.openxmlformats.org/officeDocument/2006/relationships" ref="F704" r:id="rId701"/>
    <hyperlink xmlns:r="http://schemas.openxmlformats.org/officeDocument/2006/relationships" ref="F705" r:id="rId702"/>
    <hyperlink xmlns:r="http://schemas.openxmlformats.org/officeDocument/2006/relationships" ref="F706" r:id="rId703"/>
    <hyperlink xmlns:r="http://schemas.openxmlformats.org/officeDocument/2006/relationships" ref="F707" r:id="rId704"/>
    <hyperlink xmlns:r="http://schemas.openxmlformats.org/officeDocument/2006/relationships" ref="F708" r:id="rId705"/>
    <hyperlink xmlns:r="http://schemas.openxmlformats.org/officeDocument/2006/relationships" ref="F709" r:id="rId706"/>
    <hyperlink xmlns:r="http://schemas.openxmlformats.org/officeDocument/2006/relationships" ref="F710" r:id="rId707"/>
    <hyperlink xmlns:r="http://schemas.openxmlformats.org/officeDocument/2006/relationships" ref="F711" r:id="rId708"/>
    <hyperlink xmlns:r="http://schemas.openxmlformats.org/officeDocument/2006/relationships" ref="F712" r:id="rId709"/>
    <hyperlink xmlns:r="http://schemas.openxmlformats.org/officeDocument/2006/relationships" ref="F713" r:id="rId710"/>
    <hyperlink xmlns:r="http://schemas.openxmlformats.org/officeDocument/2006/relationships" ref="F714" r:id="rId711"/>
    <hyperlink xmlns:r="http://schemas.openxmlformats.org/officeDocument/2006/relationships" ref="F715" r:id="rId712"/>
    <hyperlink xmlns:r="http://schemas.openxmlformats.org/officeDocument/2006/relationships" ref="F716" r:id="rId713"/>
    <hyperlink xmlns:r="http://schemas.openxmlformats.org/officeDocument/2006/relationships" ref="F717" r:id="rId714"/>
    <hyperlink xmlns:r="http://schemas.openxmlformats.org/officeDocument/2006/relationships" ref="F718" r:id="rId715"/>
    <hyperlink xmlns:r="http://schemas.openxmlformats.org/officeDocument/2006/relationships" ref="F719" r:id="rId716"/>
    <hyperlink xmlns:r="http://schemas.openxmlformats.org/officeDocument/2006/relationships" ref="F720" r:id="rId717"/>
    <hyperlink xmlns:r="http://schemas.openxmlformats.org/officeDocument/2006/relationships" ref="F721" r:id="rId718"/>
    <hyperlink xmlns:r="http://schemas.openxmlformats.org/officeDocument/2006/relationships" ref="F722" r:id="rId719"/>
    <hyperlink xmlns:r="http://schemas.openxmlformats.org/officeDocument/2006/relationships" ref="F723" r:id="rId720"/>
    <hyperlink xmlns:r="http://schemas.openxmlformats.org/officeDocument/2006/relationships" ref="F724" r:id="rId721"/>
    <hyperlink xmlns:r="http://schemas.openxmlformats.org/officeDocument/2006/relationships" ref="F725" r:id="rId722"/>
    <hyperlink xmlns:r="http://schemas.openxmlformats.org/officeDocument/2006/relationships" ref="F726" r:id="rId723"/>
    <hyperlink xmlns:r="http://schemas.openxmlformats.org/officeDocument/2006/relationships" ref="F727" r:id="rId724"/>
    <hyperlink xmlns:r="http://schemas.openxmlformats.org/officeDocument/2006/relationships" ref="F728" r:id="rId725"/>
    <hyperlink xmlns:r="http://schemas.openxmlformats.org/officeDocument/2006/relationships" ref="F729" r:id="rId726"/>
    <hyperlink xmlns:r="http://schemas.openxmlformats.org/officeDocument/2006/relationships" ref="F730" r:id="rId727"/>
    <hyperlink xmlns:r="http://schemas.openxmlformats.org/officeDocument/2006/relationships" ref="F746" r:id="rId728"/>
    <hyperlink xmlns:r="http://schemas.openxmlformats.org/officeDocument/2006/relationships" ref="F747" r:id="rId729"/>
    <hyperlink xmlns:r="http://schemas.openxmlformats.org/officeDocument/2006/relationships" ref="F748" r:id="rId730"/>
    <hyperlink xmlns:r="http://schemas.openxmlformats.org/officeDocument/2006/relationships" ref="F749" r:id="rId731"/>
    <hyperlink xmlns:r="http://schemas.openxmlformats.org/officeDocument/2006/relationships" ref="F750" r:id="rId732"/>
    <hyperlink xmlns:r="http://schemas.openxmlformats.org/officeDocument/2006/relationships" ref="F751" r:id="rId733"/>
    <hyperlink xmlns:r="http://schemas.openxmlformats.org/officeDocument/2006/relationships" ref="F752" r:id="rId734"/>
    <hyperlink xmlns:r="http://schemas.openxmlformats.org/officeDocument/2006/relationships" ref="F753" r:id="rId735"/>
    <hyperlink xmlns:r="http://schemas.openxmlformats.org/officeDocument/2006/relationships" ref="F755" r:id="rId736"/>
    <hyperlink xmlns:r="http://schemas.openxmlformats.org/officeDocument/2006/relationships" ref="F756" r:id="rId737"/>
    <hyperlink xmlns:r="http://schemas.openxmlformats.org/officeDocument/2006/relationships" ref="F757" r:id="rId738"/>
    <hyperlink xmlns:r="http://schemas.openxmlformats.org/officeDocument/2006/relationships" ref="F760" r:id="rId739"/>
    <hyperlink xmlns:r="http://schemas.openxmlformats.org/officeDocument/2006/relationships" ref="F761" r:id="rId740"/>
    <hyperlink xmlns:r="http://schemas.openxmlformats.org/officeDocument/2006/relationships" ref="F812" r:id="rId741"/>
    <hyperlink xmlns:r="http://schemas.openxmlformats.org/officeDocument/2006/relationships" ref="F813" r:id="rId742"/>
    <hyperlink xmlns:r="http://schemas.openxmlformats.org/officeDocument/2006/relationships" ref="F817" r:id="rId743"/>
    <hyperlink xmlns:r="http://schemas.openxmlformats.org/officeDocument/2006/relationships" ref="F818" r:id="rId744"/>
    <hyperlink xmlns:r="http://schemas.openxmlformats.org/officeDocument/2006/relationships" ref="F819" r:id="rId745"/>
    <hyperlink xmlns:r="http://schemas.openxmlformats.org/officeDocument/2006/relationships" ref="F820" r:id="rId746"/>
    <hyperlink xmlns:r="http://schemas.openxmlformats.org/officeDocument/2006/relationships" ref="F821" r:id="rId747"/>
    <hyperlink xmlns:r="http://schemas.openxmlformats.org/officeDocument/2006/relationships" ref="F822" r:id="rId748"/>
    <hyperlink xmlns:r="http://schemas.openxmlformats.org/officeDocument/2006/relationships" ref="F823" r:id="rId749"/>
    <hyperlink xmlns:r="http://schemas.openxmlformats.org/officeDocument/2006/relationships" ref="F824" r:id="rId750"/>
    <hyperlink xmlns:r="http://schemas.openxmlformats.org/officeDocument/2006/relationships" ref="F834" r:id="rId751"/>
    <hyperlink xmlns:r="http://schemas.openxmlformats.org/officeDocument/2006/relationships" ref="F835" r:id="rId752"/>
    <hyperlink xmlns:r="http://schemas.openxmlformats.org/officeDocument/2006/relationships" ref="F836" r:id="rId753"/>
    <hyperlink xmlns:r="http://schemas.openxmlformats.org/officeDocument/2006/relationships" ref="F837" r:id="rId754"/>
    <hyperlink xmlns:r="http://schemas.openxmlformats.org/officeDocument/2006/relationships" ref="F838" r:id="rId755"/>
    <hyperlink xmlns:r="http://schemas.openxmlformats.org/officeDocument/2006/relationships" ref="F839" r:id="rId756"/>
    <hyperlink xmlns:r="http://schemas.openxmlformats.org/officeDocument/2006/relationships" ref="F840" r:id="rId757"/>
    <hyperlink xmlns:r="http://schemas.openxmlformats.org/officeDocument/2006/relationships" ref="F841" r:id="rId758"/>
    <hyperlink xmlns:r="http://schemas.openxmlformats.org/officeDocument/2006/relationships" ref="F843" r:id="rId759"/>
    <hyperlink xmlns:r="http://schemas.openxmlformats.org/officeDocument/2006/relationships" ref="F844" r:id="rId760"/>
    <hyperlink xmlns:r="http://schemas.openxmlformats.org/officeDocument/2006/relationships" ref="F845" r:id="rId761"/>
    <hyperlink xmlns:r="http://schemas.openxmlformats.org/officeDocument/2006/relationships" ref="F848" r:id="rId762"/>
    <hyperlink xmlns:r="http://schemas.openxmlformats.org/officeDocument/2006/relationships" ref="F849" r:id="rId763"/>
    <hyperlink xmlns:r="http://schemas.openxmlformats.org/officeDocument/2006/relationships" ref="F920" r:id="rId764"/>
    <hyperlink xmlns:r="http://schemas.openxmlformats.org/officeDocument/2006/relationships" ref="F921" r:id="rId765"/>
    <hyperlink xmlns:r="http://schemas.openxmlformats.org/officeDocument/2006/relationships" ref="F925" r:id="rId766"/>
    <hyperlink xmlns:r="http://schemas.openxmlformats.org/officeDocument/2006/relationships" ref="F926" r:id="rId767"/>
    <hyperlink xmlns:r="http://schemas.openxmlformats.org/officeDocument/2006/relationships" ref="F927" r:id="rId768"/>
    <hyperlink xmlns:r="http://schemas.openxmlformats.org/officeDocument/2006/relationships" ref="F928" r:id="rId769"/>
    <hyperlink xmlns:r="http://schemas.openxmlformats.org/officeDocument/2006/relationships" ref="F929" r:id="rId770"/>
    <hyperlink xmlns:r="http://schemas.openxmlformats.org/officeDocument/2006/relationships" ref="F930" r:id="rId771"/>
    <hyperlink xmlns:r="http://schemas.openxmlformats.org/officeDocument/2006/relationships" ref="F931" r:id="rId772"/>
    <hyperlink xmlns:r="http://schemas.openxmlformats.org/officeDocument/2006/relationships" ref="F932" r:id="rId773"/>
    <hyperlink xmlns:r="http://schemas.openxmlformats.org/officeDocument/2006/relationships" ref="F942" r:id="rId774"/>
    <hyperlink xmlns:r="http://schemas.openxmlformats.org/officeDocument/2006/relationships" ref="F943" r:id="rId775"/>
    <hyperlink xmlns:r="http://schemas.openxmlformats.org/officeDocument/2006/relationships" ref="F944" r:id="rId776"/>
    <hyperlink xmlns:r="http://schemas.openxmlformats.org/officeDocument/2006/relationships" ref="F945" r:id="rId777"/>
    <hyperlink xmlns:r="http://schemas.openxmlformats.org/officeDocument/2006/relationships" ref="F946" r:id="rId778"/>
    <hyperlink xmlns:r="http://schemas.openxmlformats.org/officeDocument/2006/relationships" ref="F947" r:id="rId779"/>
    <hyperlink xmlns:r="http://schemas.openxmlformats.org/officeDocument/2006/relationships" ref="F948" r:id="rId780"/>
    <hyperlink xmlns:r="http://schemas.openxmlformats.org/officeDocument/2006/relationships" ref="F949" r:id="rId781"/>
    <hyperlink xmlns:r="http://schemas.openxmlformats.org/officeDocument/2006/relationships" ref="F951" r:id="rId782"/>
    <hyperlink xmlns:r="http://schemas.openxmlformats.org/officeDocument/2006/relationships" ref="F952" r:id="rId783"/>
    <hyperlink xmlns:r="http://schemas.openxmlformats.org/officeDocument/2006/relationships" ref="F953" r:id="rId784"/>
    <hyperlink xmlns:r="http://schemas.openxmlformats.org/officeDocument/2006/relationships" ref="F956" r:id="rId785"/>
    <hyperlink xmlns:r="http://schemas.openxmlformats.org/officeDocument/2006/relationships" ref="F957" r:id="rId786"/>
    <hyperlink xmlns:r="http://schemas.openxmlformats.org/officeDocument/2006/relationships" ref="F1030" r:id="rId787"/>
    <hyperlink xmlns:r="http://schemas.openxmlformats.org/officeDocument/2006/relationships" ref="F1031" r:id="rId788"/>
    <hyperlink xmlns:r="http://schemas.openxmlformats.org/officeDocument/2006/relationships" ref="F1035" r:id="rId789"/>
    <hyperlink xmlns:r="http://schemas.openxmlformats.org/officeDocument/2006/relationships" ref="F1036" r:id="rId790"/>
    <hyperlink xmlns:r="http://schemas.openxmlformats.org/officeDocument/2006/relationships" ref="F1037" r:id="rId791"/>
    <hyperlink xmlns:r="http://schemas.openxmlformats.org/officeDocument/2006/relationships" ref="F1038" r:id="rId792"/>
    <hyperlink xmlns:r="http://schemas.openxmlformats.org/officeDocument/2006/relationships" ref="F1039" r:id="rId793"/>
    <hyperlink xmlns:r="http://schemas.openxmlformats.org/officeDocument/2006/relationships" ref="F1040" r:id="rId794"/>
    <hyperlink xmlns:r="http://schemas.openxmlformats.org/officeDocument/2006/relationships" ref="F1041" r:id="rId795"/>
    <hyperlink xmlns:r="http://schemas.openxmlformats.org/officeDocument/2006/relationships" ref="F1042" r:id="rId796"/>
    <hyperlink xmlns:r="http://schemas.openxmlformats.org/officeDocument/2006/relationships" ref="F1054" r:id="rId797"/>
    <hyperlink xmlns:r="http://schemas.openxmlformats.org/officeDocument/2006/relationships" ref="F1055" r:id="rId798"/>
    <hyperlink xmlns:r="http://schemas.openxmlformats.org/officeDocument/2006/relationships" ref="F1056" r:id="rId799"/>
    <hyperlink xmlns:r="http://schemas.openxmlformats.org/officeDocument/2006/relationships" ref="F1057" r:id="rId800"/>
    <hyperlink xmlns:r="http://schemas.openxmlformats.org/officeDocument/2006/relationships" ref="F1058" r:id="rId801"/>
    <hyperlink xmlns:r="http://schemas.openxmlformats.org/officeDocument/2006/relationships" ref="F1059" r:id="rId802"/>
    <hyperlink xmlns:r="http://schemas.openxmlformats.org/officeDocument/2006/relationships" ref="F1060" r:id="rId803"/>
    <hyperlink xmlns:r="http://schemas.openxmlformats.org/officeDocument/2006/relationships" ref="F1061" r:id="rId804"/>
    <hyperlink xmlns:r="http://schemas.openxmlformats.org/officeDocument/2006/relationships" ref="F1063" r:id="rId805"/>
    <hyperlink xmlns:r="http://schemas.openxmlformats.org/officeDocument/2006/relationships" ref="F1064" r:id="rId806"/>
    <hyperlink xmlns:r="http://schemas.openxmlformats.org/officeDocument/2006/relationships" ref="F1065" r:id="rId807"/>
    <hyperlink xmlns:r="http://schemas.openxmlformats.org/officeDocument/2006/relationships" ref="F1068" r:id="rId808"/>
    <hyperlink xmlns:r="http://schemas.openxmlformats.org/officeDocument/2006/relationships" ref="F1069" r:id="rId809"/>
    <hyperlink xmlns:r="http://schemas.openxmlformats.org/officeDocument/2006/relationships" ref="F1137" r:id="rId810"/>
    <hyperlink xmlns:r="http://schemas.openxmlformats.org/officeDocument/2006/relationships" ref="F1138" r:id="rId811"/>
    <hyperlink xmlns:r="http://schemas.openxmlformats.org/officeDocument/2006/relationships" ref="F1139" r:id="rId812"/>
    <hyperlink xmlns:r="http://schemas.openxmlformats.org/officeDocument/2006/relationships" ref="F1140" r:id="rId813"/>
    <hyperlink xmlns:r="http://schemas.openxmlformats.org/officeDocument/2006/relationships" ref="F1143" r:id="rId814"/>
    <hyperlink xmlns:r="http://schemas.openxmlformats.org/officeDocument/2006/relationships" ref="F1148" r:id="rId815"/>
    <hyperlink xmlns:r="http://schemas.openxmlformats.org/officeDocument/2006/relationships" ref="F1149" r:id="rId816"/>
    <hyperlink xmlns:r="http://schemas.openxmlformats.org/officeDocument/2006/relationships" ref="F1167" r:id="rId817"/>
    <hyperlink xmlns:r="http://schemas.openxmlformats.org/officeDocument/2006/relationships" ref="F1168" r:id="rId818"/>
    <hyperlink xmlns:r="http://schemas.openxmlformats.org/officeDocument/2006/relationships" ref="F1172" r:id="rId819"/>
    <hyperlink xmlns:r="http://schemas.openxmlformats.org/officeDocument/2006/relationships" ref="F1173" r:id="rId820"/>
    <hyperlink xmlns:r="http://schemas.openxmlformats.org/officeDocument/2006/relationships" ref="F1174" r:id="rId821"/>
    <hyperlink xmlns:r="http://schemas.openxmlformats.org/officeDocument/2006/relationships" ref="F1175" r:id="rId822"/>
    <hyperlink xmlns:r="http://schemas.openxmlformats.org/officeDocument/2006/relationships" ref="F1176" r:id="rId823"/>
    <hyperlink xmlns:r="http://schemas.openxmlformats.org/officeDocument/2006/relationships" ref="F1177" r:id="rId824"/>
    <hyperlink xmlns:r="http://schemas.openxmlformats.org/officeDocument/2006/relationships" ref="F1178" r:id="rId825"/>
    <hyperlink xmlns:r="http://schemas.openxmlformats.org/officeDocument/2006/relationships" ref="F1179" r:id="rId826"/>
    <hyperlink xmlns:r="http://schemas.openxmlformats.org/officeDocument/2006/relationships" ref="F1192" r:id="rId827"/>
    <hyperlink xmlns:r="http://schemas.openxmlformats.org/officeDocument/2006/relationships" ref="F1219" r:id="rId828"/>
    <hyperlink xmlns:r="http://schemas.openxmlformats.org/officeDocument/2006/relationships" ref="F1220" r:id="rId829"/>
    <hyperlink xmlns:r="http://schemas.openxmlformats.org/officeDocument/2006/relationships" ref="F1221" r:id="rId830"/>
    <hyperlink xmlns:r="http://schemas.openxmlformats.org/officeDocument/2006/relationships" ref="F1222" r:id="rId831"/>
    <hyperlink xmlns:r="http://schemas.openxmlformats.org/officeDocument/2006/relationships" ref="F1225" r:id="rId832"/>
    <hyperlink xmlns:r="http://schemas.openxmlformats.org/officeDocument/2006/relationships" ref="F1228" r:id="rId833"/>
    <hyperlink xmlns:r="http://schemas.openxmlformats.org/officeDocument/2006/relationships" ref="F1229" r:id="rId834"/>
    <hyperlink xmlns:r="http://schemas.openxmlformats.org/officeDocument/2006/relationships" ref="F1263" r:id="rId835"/>
    <hyperlink xmlns:r="http://schemas.openxmlformats.org/officeDocument/2006/relationships" ref="F1264" r:id="rId836"/>
    <hyperlink xmlns:r="http://schemas.openxmlformats.org/officeDocument/2006/relationships" ref="F1268" r:id="rId837"/>
    <hyperlink xmlns:r="http://schemas.openxmlformats.org/officeDocument/2006/relationships" ref="F1269" r:id="rId838"/>
    <hyperlink xmlns:r="http://schemas.openxmlformats.org/officeDocument/2006/relationships" ref="F1270" r:id="rId839"/>
    <hyperlink xmlns:r="http://schemas.openxmlformats.org/officeDocument/2006/relationships" ref="F1271" r:id="rId840"/>
    <hyperlink xmlns:r="http://schemas.openxmlformats.org/officeDocument/2006/relationships" ref="F1272" r:id="rId841"/>
    <hyperlink xmlns:r="http://schemas.openxmlformats.org/officeDocument/2006/relationships" ref="F1273" r:id="rId842"/>
    <hyperlink xmlns:r="http://schemas.openxmlformats.org/officeDocument/2006/relationships" ref="F1274" r:id="rId843"/>
    <hyperlink xmlns:r="http://schemas.openxmlformats.org/officeDocument/2006/relationships" ref="F1275" r:id="rId844"/>
    <hyperlink xmlns:r="http://schemas.openxmlformats.org/officeDocument/2006/relationships" ref="F1285" r:id="rId845"/>
    <hyperlink xmlns:r="http://schemas.openxmlformats.org/officeDocument/2006/relationships" ref="F1286" r:id="rId846"/>
    <hyperlink xmlns:r="http://schemas.openxmlformats.org/officeDocument/2006/relationships" ref="F1287" r:id="rId847"/>
    <hyperlink xmlns:r="http://schemas.openxmlformats.org/officeDocument/2006/relationships" ref="F1288" r:id="rId848"/>
    <hyperlink xmlns:r="http://schemas.openxmlformats.org/officeDocument/2006/relationships" ref="F1289" r:id="rId849"/>
    <hyperlink xmlns:r="http://schemas.openxmlformats.org/officeDocument/2006/relationships" ref="F1290" r:id="rId850"/>
    <hyperlink xmlns:r="http://schemas.openxmlformats.org/officeDocument/2006/relationships" ref="F1291" r:id="rId851"/>
    <hyperlink xmlns:r="http://schemas.openxmlformats.org/officeDocument/2006/relationships" ref="F1292" r:id="rId852"/>
    <hyperlink xmlns:r="http://schemas.openxmlformats.org/officeDocument/2006/relationships" ref="F1294" r:id="rId853"/>
    <hyperlink xmlns:r="http://schemas.openxmlformats.org/officeDocument/2006/relationships" ref="F1295" r:id="rId854"/>
    <hyperlink xmlns:r="http://schemas.openxmlformats.org/officeDocument/2006/relationships" ref="F1296" r:id="rId855"/>
    <hyperlink xmlns:r="http://schemas.openxmlformats.org/officeDocument/2006/relationships" ref="F1299" r:id="rId856"/>
    <hyperlink xmlns:r="http://schemas.openxmlformats.org/officeDocument/2006/relationships" ref="F1300" r:id="rId857"/>
    <hyperlink xmlns:r="http://schemas.openxmlformats.org/officeDocument/2006/relationships" ref="F1323" r:id="rId858"/>
    <hyperlink xmlns:r="http://schemas.openxmlformats.org/officeDocument/2006/relationships" ref="F1324" r:id="rId859"/>
    <hyperlink xmlns:r="http://schemas.openxmlformats.org/officeDocument/2006/relationships" ref="F1328" r:id="rId860"/>
    <hyperlink xmlns:r="http://schemas.openxmlformats.org/officeDocument/2006/relationships" ref="F1329" r:id="rId861"/>
    <hyperlink xmlns:r="http://schemas.openxmlformats.org/officeDocument/2006/relationships" ref="F1330" r:id="rId862"/>
    <hyperlink xmlns:r="http://schemas.openxmlformats.org/officeDocument/2006/relationships" ref="F1331" r:id="rId863"/>
    <hyperlink xmlns:r="http://schemas.openxmlformats.org/officeDocument/2006/relationships" ref="F1332" r:id="rId864"/>
    <hyperlink xmlns:r="http://schemas.openxmlformats.org/officeDocument/2006/relationships" ref="F1333" r:id="rId865"/>
    <hyperlink xmlns:r="http://schemas.openxmlformats.org/officeDocument/2006/relationships" ref="F1334" r:id="rId866"/>
    <hyperlink xmlns:r="http://schemas.openxmlformats.org/officeDocument/2006/relationships" ref="F1335" r:id="rId867"/>
    <hyperlink xmlns:r="http://schemas.openxmlformats.org/officeDocument/2006/relationships" ref="F1345" r:id="rId868"/>
    <hyperlink xmlns:r="http://schemas.openxmlformats.org/officeDocument/2006/relationships" ref="F1346" r:id="rId869"/>
    <hyperlink xmlns:r="http://schemas.openxmlformats.org/officeDocument/2006/relationships" ref="F1347" r:id="rId870"/>
    <hyperlink xmlns:r="http://schemas.openxmlformats.org/officeDocument/2006/relationships" ref="F1348" r:id="rId871"/>
    <hyperlink xmlns:r="http://schemas.openxmlformats.org/officeDocument/2006/relationships" ref="F1349" r:id="rId872"/>
    <hyperlink xmlns:r="http://schemas.openxmlformats.org/officeDocument/2006/relationships" ref="F1350" r:id="rId873"/>
    <hyperlink xmlns:r="http://schemas.openxmlformats.org/officeDocument/2006/relationships" ref="F1351" r:id="rId874"/>
    <hyperlink xmlns:r="http://schemas.openxmlformats.org/officeDocument/2006/relationships" ref="F1352" r:id="rId875"/>
    <hyperlink xmlns:r="http://schemas.openxmlformats.org/officeDocument/2006/relationships" ref="F1354" r:id="rId876"/>
    <hyperlink xmlns:r="http://schemas.openxmlformats.org/officeDocument/2006/relationships" ref="F1355" r:id="rId877"/>
    <hyperlink xmlns:r="http://schemas.openxmlformats.org/officeDocument/2006/relationships" ref="F1356" r:id="rId878"/>
    <hyperlink xmlns:r="http://schemas.openxmlformats.org/officeDocument/2006/relationships" ref="F1359" r:id="rId879"/>
    <hyperlink xmlns:r="http://schemas.openxmlformats.org/officeDocument/2006/relationships" ref="F1360" r:id="rId880"/>
    <hyperlink xmlns:r="http://schemas.openxmlformats.org/officeDocument/2006/relationships" ref="F1366" r:id="rId881"/>
    <hyperlink xmlns:r="http://schemas.openxmlformats.org/officeDocument/2006/relationships" ref="F1411" r:id="rId882"/>
    <hyperlink xmlns:r="http://schemas.openxmlformats.org/officeDocument/2006/relationships" ref="F1412" r:id="rId883"/>
    <hyperlink xmlns:r="http://schemas.openxmlformats.org/officeDocument/2006/relationships" ref="F1424" r:id="rId884"/>
    <hyperlink xmlns:r="http://schemas.openxmlformats.org/officeDocument/2006/relationships" ref="F1425" r:id="rId885"/>
    <hyperlink xmlns:r="http://schemas.openxmlformats.org/officeDocument/2006/relationships" ref="F1429" r:id="rId886"/>
    <hyperlink xmlns:r="http://schemas.openxmlformats.org/officeDocument/2006/relationships" ref="F1430" r:id="rId887"/>
    <hyperlink xmlns:r="http://schemas.openxmlformats.org/officeDocument/2006/relationships" ref="F1431" r:id="rId888"/>
    <hyperlink xmlns:r="http://schemas.openxmlformats.org/officeDocument/2006/relationships" ref="F1432" r:id="rId889"/>
    <hyperlink xmlns:r="http://schemas.openxmlformats.org/officeDocument/2006/relationships" ref="F1433" r:id="rId890"/>
    <hyperlink xmlns:r="http://schemas.openxmlformats.org/officeDocument/2006/relationships" ref="F1434" r:id="rId891"/>
    <hyperlink xmlns:r="http://schemas.openxmlformats.org/officeDocument/2006/relationships" ref="F1435" r:id="rId892"/>
    <hyperlink xmlns:r="http://schemas.openxmlformats.org/officeDocument/2006/relationships" ref="F1436" r:id="rId893"/>
    <hyperlink xmlns:r="http://schemas.openxmlformats.org/officeDocument/2006/relationships" ref="F1446" r:id="rId894"/>
    <hyperlink xmlns:r="http://schemas.openxmlformats.org/officeDocument/2006/relationships" ref="F1447" r:id="rId895"/>
    <hyperlink xmlns:r="http://schemas.openxmlformats.org/officeDocument/2006/relationships" ref="F1448" r:id="rId896"/>
    <hyperlink xmlns:r="http://schemas.openxmlformats.org/officeDocument/2006/relationships" ref="F1449" r:id="rId897"/>
    <hyperlink xmlns:r="http://schemas.openxmlformats.org/officeDocument/2006/relationships" ref="F1450" r:id="rId898"/>
    <hyperlink xmlns:r="http://schemas.openxmlformats.org/officeDocument/2006/relationships" ref="F1451" r:id="rId899"/>
    <hyperlink xmlns:r="http://schemas.openxmlformats.org/officeDocument/2006/relationships" ref="F1452" r:id="rId900"/>
    <hyperlink xmlns:r="http://schemas.openxmlformats.org/officeDocument/2006/relationships" ref="F1453" r:id="rId901"/>
    <hyperlink xmlns:r="http://schemas.openxmlformats.org/officeDocument/2006/relationships" ref="F1455" r:id="rId902"/>
    <hyperlink xmlns:r="http://schemas.openxmlformats.org/officeDocument/2006/relationships" ref="F1456" r:id="rId903"/>
    <hyperlink xmlns:r="http://schemas.openxmlformats.org/officeDocument/2006/relationships" ref="F1457" r:id="rId904"/>
    <hyperlink xmlns:r="http://schemas.openxmlformats.org/officeDocument/2006/relationships" ref="F1460" r:id="rId905"/>
    <hyperlink xmlns:r="http://schemas.openxmlformats.org/officeDocument/2006/relationships" ref="F1461" r:id="rId906"/>
    <hyperlink xmlns:r="http://schemas.openxmlformats.org/officeDocument/2006/relationships" ref="F1474" r:id="rId907"/>
    <hyperlink xmlns:r="http://schemas.openxmlformats.org/officeDocument/2006/relationships" ref="F1475" r:id="rId908"/>
    <hyperlink xmlns:r="http://schemas.openxmlformats.org/officeDocument/2006/relationships" ref="F1476" r:id="rId909"/>
    <hyperlink xmlns:r="http://schemas.openxmlformats.org/officeDocument/2006/relationships" ref="F1477" r:id="rId910"/>
    <hyperlink xmlns:r="http://schemas.openxmlformats.org/officeDocument/2006/relationships" ref="F1481" r:id="rId911"/>
    <hyperlink xmlns:r="http://schemas.openxmlformats.org/officeDocument/2006/relationships" ref="F1482" r:id="rId912"/>
    <hyperlink xmlns:r="http://schemas.openxmlformats.org/officeDocument/2006/relationships" ref="F1483" r:id="rId913"/>
    <hyperlink xmlns:r="http://schemas.openxmlformats.org/officeDocument/2006/relationships" ref="F1484" r:id="rId914"/>
    <hyperlink xmlns:r="http://schemas.openxmlformats.org/officeDocument/2006/relationships" ref="F1485" r:id="rId915"/>
    <hyperlink xmlns:r="http://schemas.openxmlformats.org/officeDocument/2006/relationships" ref="F1486" r:id="rId916"/>
    <hyperlink xmlns:r="http://schemas.openxmlformats.org/officeDocument/2006/relationships" ref="F1487" r:id="rId917"/>
    <hyperlink xmlns:r="http://schemas.openxmlformats.org/officeDocument/2006/relationships" ref="F1488" r:id="rId918"/>
    <hyperlink xmlns:r="http://schemas.openxmlformats.org/officeDocument/2006/relationships" ref="F1498" r:id="rId919"/>
    <hyperlink xmlns:r="http://schemas.openxmlformats.org/officeDocument/2006/relationships" ref="F1499" r:id="rId920"/>
    <hyperlink xmlns:r="http://schemas.openxmlformats.org/officeDocument/2006/relationships" ref="F1500" r:id="rId921"/>
    <hyperlink xmlns:r="http://schemas.openxmlformats.org/officeDocument/2006/relationships" ref="F1501" r:id="rId922"/>
    <hyperlink xmlns:r="http://schemas.openxmlformats.org/officeDocument/2006/relationships" ref="F1502" r:id="rId923"/>
    <hyperlink xmlns:r="http://schemas.openxmlformats.org/officeDocument/2006/relationships" ref="F1503" r:id="rId924"/>
    <hyperlink xmlns:r="http://schemas.openxmlformats.org/officeDocument/2006/relationships" ref="F1504" r:id="rId925"/>
    <hyperlink xmlns:r="http://schemas.openxmlformats.org/officeDocument/2006/relationships" ref="F1505" r:id="rId926"/>
    <hyperlink xmlns:r="http://schemas.openxmlformats.org/officeDocument/2006/relationships" ref="F1507" r:id="rId927"/>
    <hyperlink xmlns:r="http://schemas.openxmlformats.org/officeDocument/2006/relationships" ref="F1508" r:id="rId928"/>
    <hyperlink xmlns:r="http://schemas.openxmlformats.org/officeDocument/2006/relationships" ref="F1509" r:id="rId929"/>
    <hyperlink xmlns:r="http://schemas.openxmlformats.org/officeDocument/2006/relationships" ref="F1512" r:id="rId930"/>
    <hyperlink xmlns:r="http://schemas.openxmlformats.org/officeDocument/2006/relationships" ref="F1513" r:id="rId931"/>
    <hyperlink xmlns:r="http://schemas.openxmlformats.org/officeDocument/2006/relationships" ref="F1517" r:id="rId932"/>
    <hyperlink xmlns:r="http://schemas.openxmlformats.org/officeDocument/2006/relationships" ref="F1519" r:id="rId933"/>
    <hyperlink xmlns:r="http://schemas.openxmlformats.org/officeDocument/2006/relationships" ref="F1520" r:id="rId934"/>
    <hyperlink xmlns:r="http://schemas.openxmlformats.org/officeDocument/2006/relationships" ref="F1523" r:id="rId935"/>
    <hyperlink xmlns:r="http://schemas.openxmlformats.org/officeDocument/2006/relationships" ref="F1524" r:id="rId936"/>
    <hyperlink xmlns:r="http://schemas.openxmlformats.org/officeDocument/2006/relationships" ref="F1525" r:id="rId937"/>
    <hyperlink xmlns:r="http://schemas.openxmlformats.org/officeDocument/2006/relationships" ref="F1526" r:id="rId938"/>
    <hyperlink xmlns:r="http://schemas.openxmlformats.org/officeDocument/2006/relationships" ref="F1527" r:id="rId939"/>
    <hyperlink xmlns:r="http://schemas.openxmlformats.org/officeDocument/2006/relationships" ref="F1530" r:id="rId940"/>
    <hyperlink xmlns:r="http://schemas.openxmlformats.org/officeDocument/2006/relationships" ref="F1531" r:id="rId941"/>
    <hyperlink xmlns:r="http://schemas.openxmlformats.org/officeDocument/2006/relationships" ref="F1533" r:id="rId942"/>
  </hyperlinks>
  <pageMargins left="0.7086614173228347" right="0.7086614173228347" top="0.7480314960629921" bottom="0.7480314960629921" header="0.3149606299212598" footer="0.3149606299212598"/>
  <pageSetup orientation="portrait" paperSize="9" scale="1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Hoja3">
    <tabColor rgb="FF92D050"/>
    <outlinePr summaryBelow="1" summaryRight="1"/>
    <pageSetUpPr/>
  </sheetPr>
  <dimension ref="A1:AM38"/>
  <sheetViews>
    <sheetView zoomScale="90" zoomScaleNormal="90" workbookViewId="0">
      <pane xSplit="1" ySplit="1" topLeftCell="O2" activePane="bottomRight" state="frozen"/>
      <selection pane="topRight" activeCell="B1" sqref="B1"/>
      <selection pane="bottomLeft" activeCell="A2" sqref="A2"/>
      <selection pane="bottomRight" activeCell="A4" sqref="A4:XFD4"/>
    </sheetView>
  </sheetViews>
  <sheetFormatPr baseColWidth="10" defaultColWidth="11.3828125" defaultRowHeight="14.6"/>
  <cols>
    <col width="11.3828125" customWidth="1" style="700" min="1" max="1"/>
    <col width="15.3046875" bestFit="1" customWidth="1" style="700" min="2" max="2"/>
    <col width="28.84375" customWidth="1" style="700" min="3" max="3"/>
    <col width="12.84375" bestFit="1" customWidth="1" style="700" min="4" max="4"/>
    <col width="13.53515625" customWidth="1" style="700" min="5" max="5"/>
    <col width="32.3828125" customWidth="1" style="700" min="6" max="6"/>
    <col width="39.69140625" bestFit="1" customWidth="1" style="700" min="7" max="7"/>
    <col width="23.3828125" customWidth="1" style="700" min="8" max="8"/>
    <col width="28.3828125" customWidth="1" style="700" min="9" max="9"/>
    <col width="23.53515625" customWidth="1" style="700" min="10" max="10"/>
    <col width="51.84375" customWidth="1" style="700" min="11" max="11"/>
    <col width="17.3046875" customWidth="1" style="700" min="12" max="12"/>
    <col width="37.53515625" customWidth="1" style="700" min="13" max="13"/>
    <col width="11.3828125" customWidth="1" style="700" min="14" max="27"/>
    <col width="31" bestFit="1" customWidth="1" style="700" min="28" max="28"/>
    <col width="11.69140625" bestFit="1" customWidth="1" style="700" min="30" max="30"/>
    <col width="11.3828125" customWidth="1" style="700" min="31" max="37"/>
  </cols>
  <sheetData>
    <row r="1" ht="54" customFormat="1" customHeight="1" s="685">
      <c r="A1" s="19" t="inlineStr">
        <is>
          <t>nº Factura</t>
        </is>
      </c>
      <c r="B1" s="93" t="inlineStr">
        <is>
          <t>fecha</t>
        </is>
      </c>
      <c r="C1" s="684" t="inlineStr">
        <is>
          <t>Emisor</t>
        </is>
      </c>
      <c r="G1" s="684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4" t="inlineStr">
        <is>
          <t>nº cuenta</t>
        </is>
      </c>
      <c r="AC1" s="684" t="inlineStr">
        <is>
          <t>Estado</t>
        </is>
      </c>
      <c r="AD1" s="684" t="inlineStr">
        <is>
          <t>Total</t>
        </is>
      </c>
      <c r="AE1" s="684" t="inlineStr">
        <is>
          <t>AP Asesores</t>
        </is>
      </c>
      <c r="AH1" s="684" t="inlineStr">
        <is>
          <t>Total</t>
        </is>
      </c>
      <c r="AI1" s="684" t="inlineStr">
        <is>
          <t>% Contabilidad</t>
        </is>
      </c>
      <c r="AJ1" s="684" t="inlineStr">
        <is>
          <t>Pendiente</t>
        </is>
      </c>
      <c r="AK1" s="684" t="inlineStr">
        <is>
          <t>cliente</t>
        </is>
      </c>
    </row>
    <row r="2" ht="15" customFormat="1" customHeight="1" s="146">
      <c r="A2" s="149" t="inlineStr">
        <is>
          <t>A2501</t>
        </is>
      </c>
      <c r="B2" s="149" t="n">
        <v>45747</v>
      </c>
      <c r="C2" s="146" t="inlineStr">
        <is>
          <t>C/ Las Cruzadas 3, Local D</t>
        </is>
      </c>
      <c r="D2" s="146" t="inlineStr">
        <is>
          <t>Sevilla 41001</t>
        </is>
      </c>
      <c r="E2" s="146" t="inlineStr">
        <is>
          <t>ESB91938662</t>
        </is>
      </c>
      <c r="F2" s="533" t="inlineStr">
        <is>
          <t>Atn. Mr. Wurster</t>
        </is>
      </c>
      <c r="G2" s="146" t="inlineStr">
        <is>
          <t>TCO SOLAR SAS</t>
        </is>
      </c>
      <c r="H2" s="146">
        <f>VLOOKUP($G2,DATOS!$B:$E,2,FALSE)</f>
        <v/>
      </c>
      <c r="I2" s="146">
        <f>VLOOKUP($G2,DATOS!$B:$E,3,FALSE)</f>
        <v/>
      </c>
      <c r="J2" s="146">
        <f>VLOOKUP($G2,DATOS!$B:$E,4,FALSE)</f>
        <v/>
      </c>
      <c r="K2" s="146" t="inlineStr">
        <is>
          <t>Monitoring Services - 1Q2025</t>
        </is>
      </c>
      <c r="L2" s="147" t="n"/>
      <c r="M2" s="146" t="inlineStr">
        <is>
          <t>Palazzo Pignano</t>
        </is>
      </c>
      <c r="N2" s="147">
        <f>1089.767*(1+2.8%)</f>
        <v/>
      </c>
      <c r="O2" s="146" t="inlineStr">
        <is>
          <t>Cremosano</t>
        </is>
      </c>
      <c r="P2" s="147">
        <f>1089.767*(1+2.8%)</f>
        <v/>
      </c>
      <c r="Q2" s="146" t="inlineStr">
        <is>
          <t>Dovera</t>
        </is>
      </c>
      <c r="R2" s="147">
        <f>1089.767*(1+2.8%)</f>
        <v/>
      </c>
      <c r="S2" s="147" t="inlineStr">
        <is>
          <t>Polesina 2</t>
        </is>
      </c>
      <c r="T2" s="147">
        <f>1089.767*(1+2.8%)</f>
        <v/>
      </c>
      <c r="U2" s="147" t="inlineStr">
        <is>
          <t>Polesine 3</t>
        </is>
      </c>
      <c r="V2" s="147">
        <f>1089.767*(1+2.8%)</f>
        <v/>
      </c>
      <c r="W2" s="146" t="inlineStr">
        <is>
          <t>PCI 2024-25 2.8%</t>
        </is>
      </c>
      <c r="X2" s="147" t="n"/>
      <c r="Z2" s="147" t="n"/>
      <c r="AA2" s="147" t="n"/>
      <c r="AB2" s="148" t="inlineStr">
        <is>
          <t>ES85 2080 3509 1130 4009 6171</t>
        </is>
      </c>
      <c r="AC2" s="146" t="inlineStr">
        <is>
          <t>pagado</t>
        </is>
      </c>
      <c r="AD2" s="147">
        <f>L2+N2+P2+R2+T2+V2+X2+Z2</f>
        <v/>
      </c>
      <c r="AE2" s="147">
        <f>IF((LEFT(M2,4))="Cont",L2,0)</f>
        <v/>
      </c>
      <c r="AF2" s="148" t="n">
        <v>0</v>
      </c>
      <c r="AG2" s="147" t="n">
        <v>0</v>
      </c>
      <c r="AH2" s="147">
        <f>AD2</f>
        <v/>
      </c>
      <c r="AI2" s="534">
        <f>IF(AE2&lt;&gt;0,AG2/AD2,"N/A")</f>
        <v/>
      </c>
      <c r="AJ2" s="147">
        <f>IF(AC2="pendiente",AD2,0)</f>
        <v/>
      </c>
      <c r="AK2" s="146" t="inlineStr">
        <is>
          <t>2019-001</t>
        </is>
      </c>
    </row>
    <row r="3" ht="15" customFormat="1" customHeight="1" s="146">
      <c r="A3" s="149" t="inlineStr">
        <is>
          <t>A2502</t>
        </is>
      </c>
      <c r="B3" s="149" t="n">
        <v>45838</v>
      </c>
      <c r="C3" s="146" t="inlineStr">
        <is>
          <t>C/ Las Cruzadas 3, Local D</t>
        </is>
      </c>
      <c r="D3" s="146" t="inlineStr">
        <is>
          <t>Sevilla 41001</t>
        </is>
      </c>
      <c r="E3" s="146" t="inlineStr">
        <is>
          <t>ESB91938662</t>
        </is>
      </c>
      <c r="F3" s="533" t="inlineStr">
        <is>
          <t>Atn. Mr. Wurster</t>
        </is>
      </c>
      <c r="G3" s="146" t="inlineStr">
        <is>
          <t>TCO SOLAR SAS</t>
        </is>
      </c>
      <c r="H3" s="146">
        <f>VLOOKUP($G3,DATOS!$B:$E,2,FALSE)</f>
        <v/>
      </c>
      <c r="I3" s="146">
        <f>VLOOKUP($G3,DATOS!$B:$E,3,FALSE)</f>
        <v/>
      </c>
      <c r="J3" s="146">
        <f>VLOOKUP($G3,DATOS!$B:$E,4,FALSE)</f>
        <v/>
      </c>
      <c r="K3" s="146" t="inlineStr">
        <is>
          <t>Monitoring Services - 2Q2025</t>
        </is>
      </c>
      <c r="L3" s="147" t="n"/>
      <c r="M3" s="146" t="inlineStr">
        <is>
          <t>Palazzo Pignano</t>
        </is>
      </c>
      <c r="N3" s="147">
        <f>1089.767*(1+2.8%)</f>
        <v/>
      </c>
      <c r="O3" s="146" t="inlineStr">
        <is>
          <t>Cremosano</t>
        </is>
      </c>
      <c r="P3" s="147">
        <f>1089.767*(1+2.8%)</f>
        <v/>
      </c>
      <c r="Q3" s="146" t="inlineStr">
        <is>
          <t>Dovera</t>
        </is>
      </c>
      <c r="R3" s="147">
        <f>1089.767*(1+2.8%)</f>
        <v/>
      </c>
      <c r="S3" s="147" t="inlineStr">
        <is>
          <t>Polesina 2</t>
        </is>
      </c>
      <c r="T3" s="147">
        <f>1089.767*(1+2.8%)</f>
        <v/>
      </c>
      <c r="U3" s="147" t="inlineStr">
        <is>
          <t>Polesine 3</t>
        </is>
      </c>
      <c r="V3" s="147">
        <f>1089.767*(1+2.8%)</f>
        <v/>
      </c>
      <c r="X3" s="147" t="n"/>
      <c r="Z3" s="147" t="n"/>
      <c r="AA3" s="147" t="n"/>
      <c r="AB3" s="148" t="inlineStr">
        <is>
          <t>ES85 2080 3509 1130 4009 6171</t>
        </is>
      </c>
      <c r="AC3" s="146" t="inlineStr">
        <is>
          <t>pendiente</t>
        </is>
      </c>
      <c r="AD3" s="147">
        <f>L3+N3+P3+R3+T3+V3+X3+Z3</f>
        <v/>
      </c>
      <c r="AE3" s="147">
        <f>IF((LEFT(M3,4))="Cont",L3,0)</f>
        <v/>
      </c>
      <c r="AF3" s="148" t="n">
        <v>0</v>
      </c>
      <c r="AG3" s="147" t="n">
        <v>0</v>
      </c>
      <c r="AH3" s="147">
        <f>AD3</f>
        <v/>
      </c>
      <c r="AI3" s="534">
        <f>IF(AE3&lt;&gt;0,AG3/AD3,"N/A")</f>
        <v/>
      </c>
      <c r="AJ3" s="147">
        <f>IF(AC3="pendiente",AD3,0)</f>
        <v/>
      </c>
      <c r="AK3" s="146" t="inlineStr">
        <is>
          <t>2019-001</t>
        </is>
      </c>
    </row>
    <row r="4" ht="15" customFormat="1" customHeight="1" s="146">
      <c r="A4" s="149" t="inlineStr">
        <is>
          <t>A2503</t>
        </is>
      </c>
      <c r="B4" s="149" t="n">
        <v>45929</v>
      </c>
      <c r="C4" s="146" t="inlineStr">
        <is>
          <t>C/ Las Cruzadas 3, Local D</t>
        </is>
      </c>
      <c r="D4" s="146" t="inlineStr">
        <is>
          <t>Sevilla 41001</t>
        </is>
      </c>
      <c r="E4" s="146" t="inlineStr">
        <is>
          <t>ESB91938662</t>
        </is>
      </c>
      <c r="F4" s="533" t="inlineStr">
        <is>
          <t>Atn. Mr. Wurster</t>
        </is>
      </c>
      <c r="G4" s="146" t="inlineStr">
        <is>
          <t>TCO SOLAR SAS</t>
        </is>
      </c>
      <c r="H4" s="146">
        <f>VLOOKUP($G4,DATOS!$B:$E,2,FALSE)</f>
        <v/>
      </c>
      <c r="I4" s="146">
        <f>VLOOKUP($G4,DATOS!$B:$E,3,FALSE)</f>
        <v/>
      </c>
      <c r="J4" s="146">
        <f>VLOOKUP($G4,DATOS!$B:$E,4,FALSE)</f>
        <v/>
      </c>
      <c r="K4" s="146" t="inlineStr">
        <is>
          <t>Monitoring Services - 2Q2025</t>
        </is>
      </c>
      <c r="L4" s="147" t="n"/>
      <c r="M4" s="146" t="inlineStr">
        <is>
          <t>Palazzo Pignano</t>
        </is>
      </c>
      <c r="N4" s="147">
        <f>1089.767*(1+2.8%)</f>
        <v/>
      </c>
      <c r="O4" s="146" t="inlineStr">
        <is>
          <t>Cremosano</t>
        </is>
      </c>
      <c r="P4" s="147">
        <f>1089.767*(1+2.8%)</f>
        <v/>
      </c>
      <c r="Q4" s="146" t="inlineStr">
        <is>
          <t>Dovera</t>
        </is>
      </c>
      <c r="R4" s="147">
        <f>1089.767*(1+2.8%)</f>
        <v/>
      </c>
      <c r="S4" s="147" t="inlineStr">
        <is>
          <t>Polesina 2</t>
        </is>
      </c>
      <c r="T4" s="147">
        <f>1089.767*(1+2.8%)</f>
        <v/>
      </c>
      <c r="U4" s="147" t="inlineStr">
        <is>
          <t>Polesine 3</t>
        </is>
      </c>
      <c r="V4" s="147">
        <f>1089.767*(1+2.8%)</f>
        <v/>
      </c>
      <c r="X4" s="147" t="n"/>
      <c r="Z4" s="147" t="n"/>
      <c r="AA4" s="147" t="n"/>
      <c r="AB4" s="148" t="inlineStr">
        <is>
          <t>ES85 2080 3509 1130 4009 6171</t>
        </is>
      </c>
      <c r="AC4" s="146" t="inlineStr">
        <is>
          <t>pendiente</t>
        </is>
      </c>
      <c r="AD4" s="147">
        <f>L4+N4+P4+R4+T4+V4+X4+Z4</f>
        <v/>
      </c>
      <c r="AE4" s="147">
        <f>IF((LEFT(M4,4))="Cont",L4,0)</f>
        <v/>
      </c>
      <c r="AF4" s="148" t="n">
        <v>0</v>
      </c>
      <c r="AG4" s="147" t="n">
        <v>0</v>
      </c>
      <c r="AH4" s="147">
        <f>AD4</f>
        <v/>
      </c>
      <c r="AI4" s="534">
        <f>IF(AE4&lt;&gt;0,AG4/AD4,"N/A")</f>
        <v/>
      </c>
      <c r="AJ4" s="147">
        <f>IF(AC4="pendiente",AD4,0)</f>
        <v/>
      </c>
      <c r="AK4" s="146" t="inlineStr">
        <is>
          <t>2019-001</t>
        </is>
      </c>
    </row>
    <row r="5" ht="15" customFormat="1" customHeight="1" s="685">
      <c r="A5" s="19" t="n"/>
      <c r="B5" s="93" t="n"/>
      <c r="C5" s="684" t="n"/>
      <c r="D5" s="684" t="n"/>
      <c r="E5" s="684" t="n"/>
      <c r="F5" s="684" t="n"/>
      <c r="G5" s="684" t="n"/>
      <c r="H5" s="684" t="n"/>
      <c r="I5" s="684" t="n"/>
      <c r="J5" s="684" t="n"/>
      <c r="K5" s="19" t="n"/>
      <c r="L5" s="21" t="n"/>
      <c r="M5" s="19" t="n"/>
      <c r="N5" s="21" t="n"/>
      <c r="O5" s="19" t="n"/>
      <c r="P5" s="21" t="n"/>
      <c r="Q5" s="81" t="n"/>
      <c r="R5" s="21" t="n"/>
      <c r="S5" s="19" t="n"/>
      <c r="T5" s="21" t="n"/>
      <c r="U5" s="19" t="n"/>
      <c r="V5" s="21" t="n"/>
      <c r="W5" s="19" t="n"/>
      <c r="X5" s="21" t="n"/>
      <c r="Y5" s="19" t="n"/>
      <c r="Z5" s="21" t="n"/>
      <c r="AA5" s="21" t="n"/>
      <c r="AB5" s="684" t="n"/>
      <c r="AC5" s="684" t="n"/>
      <c r="AD5" s="684" t="n"/>
      <c r="AE5" s="684" t="n"/>
      <c r="AF5" s="684" t="n"/>
      <c r="AG5" s="684" t="n"/>
      <c r="AH5" s="684" t="n"/>
      <c r="AI5" s="684" t="n"/>
      <c r="AJ5" s="684" t="n"/>
      <c r="AK5" s="684" t="n"/>
    </row>
    <row r="6" ht="15" customFormat="1" customHeight="1" s="685">
      <c r="A6" s="19" t="n"/>
      <c r="B6" s="93" t="n"/>
      <c r="C6" s="684" t="n"/>
      <c r="D6" s="684" t="n"/>
      <c r="E6" s="684" t="n"/>
      <c r="F6" s="684" t="n"/>
      <c r="G6" s="684" t="n"/>
      <c r="H6" s="684" t="n"/>
      <c r="I6" s="684" t="n"/>
      <c r="J6" s="684" t="n"/>
      <c r="K6" s="19" t="n"/>
      <c r="L6" s="21" t="n"/>
      <c r="M6" s="19" t="n"/>
      <c r="N6" s="21" t="n"/>
      <c r="O6" s="19" t="n"/>
      <c r="P6" s="21" t="n"/>
      <c r="Q6" s="81" t="n"/>
      <c r="R6" s="21" t="n"/>
      <c r="S6" s="19" t="n"/>
      <c r="T6" s="21" t="n"/>
      <c r="U6" s="19" t="n"/>
      <c r="V6" s="21" t="n"/>
      <c r="W6" s="19" t="n"/>
      <c r="X6" s="21" t="n"/>
      <c r="Y6" s="19" t="n"/>
      <c r="Z6" s="21" t="n"/>
      <c r="AA6" s="21" t="n"/>
      <c r="AB6" s="684" t="n"/>
      <c r="AC6" s="684" t="n"/>
      <c r="AD6" s="684" t="n"/>
      <c r="AE6" s="684" t="n"/>
      <c r="AF6" s="684" t="n"/>
      <c r="AG6" s="684" t="n"/>
      <c r="AH6" s="684" t="n"/>
      <c r="AI6" s="684" t="n"/>
      <c r="AJ6" s="684" t="n"/>
      <c r="AK6" s="684" t="n"/>
    </row>
    <row r="7" ht="15" customFormat="1" customHeight="1" s="685">
      <c r="A7" s="19" t="n"/>
      <c r="B7" s="93" t="n"/>
      <c r="C7" s="684" t="n"/>
      <c r="D7" s="684" t="n"/>
      <c r="E7" s="684" t="n"/>
      <c r="F7" s="684" t="n"/>
      <c r="G7" s="684" t="n"/>
      <c r="H7" s="684" t="n"/>
      <c r="I7" s="684" t="n"/>
      <c r="J7" s="684" t="n"/>
      <c r="K7" s="19" t="n"/>
      <c r="L7" s="21" t="n"/>
      <c r="M7" s="19" t="n"/>
      <c r="N7" s="21" t="n"/>
      <c r="O7" s="19" t="n"/>
      <c r="P7" s="21" t="n"/>
      <c r="Q7" s="81" t="n"/>
      <c r="R7" s="21" t="n"/>
      <c r="S7" s="19" t="n"/>
      <c r="T7" s="21" t="n"/>
      <c r="U7" s="19" t="n"/>
      <c r="V7" s="21" t="n"/>
      <c r="W7" s="19" t="n"/>
      <c r="X7" s="21" t="n"/>
      <c r="Y7" s="19" t="n"/>
      <c r="Z7" s="21" t="n"/>
      <c r="AA7" s="21" t="n"/>
      <c r="AB7" s="684" t="n"/>
      <c r="AC7" s="684" t="n"/>
      <c r="AD7" s="684" t="n"/>
      <c r="AE7" s="684" t="n"/>
      <c r="AF7" s="684" t="n"/>
      <c r="AG7" s="684" t="n"/>
      <c r="AH7" s="684" t="n"/>
      <c r="AI7" s="684" t="n"/>
      <c r="AJ7" s="684" t="n"/>
      <c r="AK7" s="684" t="n"/>
    </row>
    <row r="8" ht="15" customFormat="1" customHeight="1" s="685">
      <c r="A8" s="19" t="n"/>
      <c r="B8" s="93" t="n"/>
      <c r="C8" s="684" t="n"/>
      <c r="D8" s="684" t="n"/>
      <c r="E8" s="684" t="n"/>
      <c r="F8" s="684" t="n"/>
      <c r="G8" s="684" t="n"/>
      <c r="H8" s="684" t="n"/>
      <c r="I8" s="684" t="n"/>
      <c r="J8" s="684" t="n"/>
      <c r="K8" s="19" t="n"/>
      <c r="L8" s="21" t="n"/>
      <c r="M8" s="19" t="n"/>
      <c r="N8" s="21" t="n"/>
      <c r="O8" s="19" t="n"/>
      <c r="P8" s="21" t="n"/>
      <c r="Q8" s="81" t="n"/>
      <c r="R8" s="21" t="n"/>
      <c r="S8" s="19" t="n"/>
      <c r="T8" s="21" t="n"/>
      <c r="U8" s="19" t="n"/>
      <c r="V8" s="21" t="n"/>
      <c r="W8" s="19" t="n"/>
      <c r="X8" s="21" t="n"/>
      <c r="Y8" s="19" t="n"/>
      <c r="Z8" s="21" t="n"/>
      <c r="AA8" s="21" t="n"/>
      <c r="AB8" s="684" t="n"/>
      <c r="AC8" s="684" t="n"/>
      <c r="AD8" s="684" t="n"/>
      <c r="AE8" s="684" t="n"/>
      <c r="AF8" s="684" t="n"/>
      <c r="AG8" s="684" t="n"/>
      <c r="AH8" s="684" t="n"/>
      <c r="AI8" s="684" t="n"/>
      <c r="AJ8" s="684" t="n"/>
      <c r="AK8" s="684" t="n"/>
    </row>
    <row r="9" ht="15" customFormat="1" customHeight="1" s="685">
      <c r="A9" s="19" t="n"/>
      <c r="B9" s="93" t="n"/>
      <c r="C9" s="684" t="n"/>
      <c r="D9" s="684" t="n"/>
      <c r="E9" s="684" t="n"/>
      <c r="F9" s="684" t="n"/>
      <c r="G9" s="684" t="n"/>
      <c r="H9" s="684" t="n"/>
      <c r="I9" s="684" t="n"/>
      <c r="J9" s="684" t="n"/>
      <c r="K9" s="19" t="n"/>
      <c r="L9" s="21" t="n"/>
      <c r="M9" s="19" t="n"/>
      <c r="N9" s="21" t="n"/>
      <c r="O9" s="19" t="n"/>
      <c r="P9" s="21" t="n"/>
      <c r="Q9" s="81" t="n"/>
      <c r="R9" s="21" t="n"/>
      <c r="S9" s="19" t="n"/>
      <c r="T9" s="21" t="n"/>
      <c r="U9" s="19" t="n"/>
      <c r="V9" s="21" t="n"/>
      <c r="W9" s="19" t="n"/>
      <c r="X9" s="21" t="n"/>
      <c r="Y9" s="19" t="n"/>
      <c r="Z9" s="21" t="n"/>
      <c r="AA9" s="21" t="n"/>
      <c r="AB9" s="684" t="n"/>
      <c r="AC9" s="684" t="n"/>
      <c r="AD9" s="684" t="n"/>
      <c r="AE9" s="684" t="n"/>
      <c r="AF9" s="684" t="n"/>
      <c r="AG9" s="684" t="n"/>
      <c r="AH9" s="684" t="n"/>
      <c r="AI9" s="684" t="n"/>
      <c r="AJ9" s="684" t="n"/>
      <c r="AK9" s="684" t="n"/>
    </row>
    <row r="10" ht="15" customFormat="1" customHeight="1" s="685">
      <c r="A10" s="19" t="n"/>
      <c r="B10" s="93" t="n"/>
      <c r="C10" s="684" t="n"/>
      <c r="D10" s="684" t="n"/>
      <c r="E10" s="684" t="n"/>
      <c r="F10" s="684" t="n"/>
      <c r="G10" s="684" t="n"/>
      <c r="H10" s="684" t="n"/>
      <c r="I10" s="684" t="n"/>
      <c r="J10" s="684" t="n"/>
      <c r="K10" s="19" t="n"/>
      <c r="L10" s="21" t="n"/>
      <c r="M10" s="19" t="n"/>
      <c r="N10" s="21" t="n"/>
      <c r="O10" s="19" t="n"/>
      <c r="P10" s="21" t="n"/>
      <c r="Q10" s="81" t="n"/>
      <c r="R10" s="21" t="n"/>
      <c r="S10" s="19" t="n"/>
      <c r="T10" s="21" t="n"/>
      <c r="U10" s="19" t="n"/>
      <c r="V10" s="21" t="n"/>
      <c r="W10" s="19" t="n"/>
      <c r="X10" s="21" t="n"/>
      <c r="Y10" s="19" t="n"/>
      <c r="Z10" s="21" t="n"/>
      <c r="AA10" s="21" t="n"/>
      <c r="AB10" s="684" t="n"/>
      <c r="AC10" s="684" t="n"/>
      <c r="AD10" s="684" t="n"/>
      <c r="AE10" s="684" t="n"/>
      <c r="AF10" s="684" t="n"/>
      <c r="AG10" s="684" t="n"/>
      <c r="AH10" s="684" t="n"/>
      <c r="AI10" s="684" t="n"/>
      <c r="AJ10" s="684" t="n"/>
      <c r="AK10" s="684" t="n"/>
    </row>
    <row r="11" ht="15" customFormat="1" customHeight="1" s="685">
      <c r="A11" s="19" t="n"/>
      <c r="B11" s="93" t="n"/>
      <c r="C11" s="684" t="n"/>
      <c r="D11" s="684" t="n"/>
      <c r="E11" s="684" t="n"/>
      <c r="F11" s="684" t="n"/>
      <c r="G11" s="684" t="n"/>
      <c r="H11" s="684" t="n"/>
      <c r="I11" s="684" t="n"/>
      <c r="J11" s="684" t="n"/>
      <c r="K11" s="19" t="n"/>
      <c r="L11" s="21" t="n"/>
      <c r="M11" s="19" t="n"/>
      <c r="N11" s="21" t="n"/>
      <c r="O11" s="19" t="n"/>
      <c r="P11" s="21" t="n"/>
      <c r="Q11" s="81" t="n"/>
      <c r="R11" s="21" t="n"/>
      <c r="S11" s="19" t="n"/>
      <c r="T11" s="21" t="n"/>
      <c r="U11" s="19" t="n"/>
      <c r="V11" s="21" t="n"/>
      <c r="W11" s="19" t="n"/>
      <c r="X11" s="21" t="n"/>
      <c r="Y11" s="19" t="n"/>
      <c r="Z11" s="21" t="n"/>
      <c r="AA11" s="21" t="n"/>
      <c r="AB11" s="684" t="n"/>
      <c r="AC11" s="684" t="n"/>
      <c r="AD11" s="684" t="n"/>
      <c r="AE11" s="684" t="n"/>
      <c r="AF11" s="684" t="n"/>
      <c r="AG11" s="684" t="n"/>
      <c r="AH11" s="684" t="n"/>
      <c r="AI11" s="684" t="n"/>
      <c r="AJ11" s="684" t="n"/>
      <c r="AK11" s="684" t="n"/>
    </row>
    <row r="12" ht="15" customFormat="1" customHeight="1" s="685">
      <c r="A12" s="19" t="n"/>
      <c r="B12" s="93" t="n"/>
      <c r="C12" s="684" t="n"/>
      <c r="D12" s="684" t="n"/>
      <c r="E12" s="684" t="n"/>
      <c r="F12" s="684" t="n"/>
      <c r="G12" s="684" t="n"/>
      <c r="H12" s="684" t="n"/>
      <c r="I12" s="684" t="n"/>
      <c r="J12" s="684" t="n"/>
      <c r="K12" s="19" t="n"/>
      <c r="L12" s="21" t="n"/>
      <c r="M12" s="19" t="n"/>
      <c r="N12" s="21" t="n"/>
      <c r="O12" s="19" t="n"/>
      <c r="P12" s="21" t="n"/>
      <c r="Q12" s="81" t="n"/>
      <c r="R12" s="21" t="n"/>
      <c r="S12" s="19" t="n"/>
      <c r="T12" s="21" t="n"/>
      <c r="U12" s="19" t="n"/>
      <c r="V12" s="21" t="n"/>
      <c r="W12" s="19" t="n"/>
      <c r="X12" s="21" t="n"/>
      <c r="Y12" s="19" t="n"/>
      <c r="Z12" s="21" t="n"/>
      <c r="AA12" s="21" t="n"/>
      <c r="AB12" s="684" t="n"/>
      <c r="AC12" s="684" t="n"/>
      <c r="AD12" s="684" t="n"/>
      <c r="AE12" s="684" t="n"/>
      <c r="AF12" s="684" t="n"/>
      <c r="AG12" s="684" t="n"/>
      <c r="AH12" s="684" t="n"/>
      <c r="AI12" s="684" t="n"/>
      <c r="AJ12" s="684" t="n"/>
      <c r="AK12" s="684" t="n"/>
    </row>
    <row r="13" ht="15" customFormat="1" customHeight="1" s="685">
      <c r="A13" s="19" t="n"/>
      <c r="B13" s="93" t="n"/>
      <c r="C13" s="684" t="n"/>
      <c r="D13" s="684" t="n"/>
      <c r="E13" s="684" t="n"/>
      <c r="F13" s="684" t="n"/>
      <c r="G13" s="684" t="n"/>
      <c r="H13" s="684" t="n"/>
      <c r="I13" s="684" t="n"/>
      <c r="J13" s="684" t="n"/>
      <c r="K13" s="19" t="n"/>
      <c r="L13" s="21" t="n"/>
      <c r="M13" s="19" t="n"/>
      <c r="N13" s="21" t="n"/>
      <c r="O13" s="19" t="n"/>
      <c r="P13" s="21" t="n"/>
      <c r="Q13" s="81" t="n"/>
      <c r="R13" s="21" t="n"/>
      <c r="S13" s="19" t="n"/>
      <c r="T13" s="21" t="n"/>
      <c r="U13" s="19" t="n"/>
      <c r="V13" s="21" t="n"/>
      <c r="W13" s="19" t="n"/>
      <c r="X13" s="21" t="n"/>
      <c r="Y13" s="19" t="n"/>
      <c r="Z13" s="21" t="n"/>
      <c r="AA13" s="21" t="n"/>
      <c r="AB13" s="684" t="n"/>
      <c r="AC13" s="684" t="n"/>
      <c r="AD13" s="684" t="n"/>
      <c r="AE13" s="684" t="n"/>
      <c r="AF13" s="684" t="n"/>
      <c r="AG13" s="684" t="n"/>
      <c r="AH13" s="684" t="n"/>
      <c r="AI13" s="684" t="n"/>
      <c r="AJ13" s="684" t="n"/>
      <c r="AK13" s="684" t="n"/>
    </row>
    <row r="14" ht="15" customFormat="1" customHeight="1" s="685">
      <c r="A14" s="19" t="n"/>
      <c r="B14" s="93" t="n"/>
      <c r="C14" s="684" t="n"/>
      <c r="D14" s="684" t="n"/>
      <c r="E14" s="684" t="n"/>
      <c r="F14" s="684" t="n"/>
      <c r="G14" s="684" t="n"/>
      <c r="H14" s="684" t="n"/>
      <c r="I14" s="684" t="n"/>
      <c r="J14" s="684" t="n"/>
      <c r="K14" s="19" t="n"/>
      <c r="L14" s="21" t="n"/>
      <c r="M14" s="19" t="n"/>
      <c r="N14" s="21" t="n"/>
      <c r="O14" s="19" t="n"/>
      <c r="P14" s="21" t="n"/>
      <c r="Q14" s="81" t="n"/>
      <c r="R14" s="21" t="n"/>
      <c r="S14" s="19" t="n"/>
      <c r="T14" s="21" t="n"/>
      <c r="U14" s="19" t="n"/>
      <c r="V14" s="21" t="n"/>
      <c r="W14" s="19" t="n"/>
      <c r="X14" s="21" t="n"/>
      <c r="Y14" s="19" t="n"/>
      <c r="Z14" s="21" t="n"/>
      <c r="AA14" s="21" t="n"/>
      <c r="AB14" s="684" t="n"/>
      <c r="AC14" s="684" t="n"/>
      <c r="AD14" s="684" t="n"/>
      <c r="AE14" s="684" t="n"/>
      <c r="AF14" s="684" t="n"/>
      <c r="AG14" s="684" t="n"/>
      <c r="AH14" s="684" t="n"/>
      <c r="AI14" s="684" t="n"/>
      <c r="AJ14" s="684" t="n"/>
      <c r="AK14" s="684" t="n"/>
    </row>
    <row r="15" ht="15" customFormat="1" customHeight="1" s="685">
      <c r="A15" s="19" t="n"/>
      <c r="B15" s="93" t="n"/>
      <c r="C15" s="684" t="n"/>
      <c r="D15" s="684" t="n"/>
      <c r="E15" s="684" t="n"/>
      <c r="F15" s="684" t="n"/>
      <c r="G15" s="684" t="n"/>
      <c r="H15" s="684" t="n"/>
      <c r="I15" s="684" t="n"/>
      <c r="J15" s="684" t="n"/>
      <c r="K15" s="19" t="n"/>
      <c r="L15" s="21" t="n"/>
      <c r="M15" s="19" t="n"/>
      <c r="N15" s="21" t="n"/>
      <c r="O15" s="19" t="n"/>
      <c r="P15" s="21" t="n"/>
      <c r="Q15" s="81" t="n"/>
      <c r="R15" s="21" t="n"/>
      <c r="S15" s="19" t="n"/>
      <c r="T15" s="21" t="n"/>
      <c r="U15" s="19" t="n"/>
      <c r="V15" s="21" t="n"/>
      <c r="W15" s="19" t="n"/>
      <c r="X15" s="21" t="n"/>
      <c r="Y15" s="19" t="n"/>
      <c r="Z15" s="21" t="n"/>
      <c r="AA15" s="21" t="n"/>
      <c r="AB15" s="684" t="n"/>
      <c r="AC15" s="684" t="n"/>
      <c r="AD15" s="684" t="n"/>
      <c r="AE15" s="684" t="n"/>
      <c r="AF15" s="684" t="n"/>
      <c r="AG15" s="684" t="n"/>
      <c r="AH15" s="684" t="n"/>
      <c r="AI15" s="684" t="n"/>
      <c r="AJ15" s="684" t="n"/>
      <c r="AK15" s="684" t="n"/>
    </row>
    <row r="16" ht="15" customFormat="1" customHeight="1" s="685">
      <c r="A16" s="19" t="n"/>
      <c r="B16" s="93" t="n"/>
      <c r="C16" s="684" t="n"/>
      <c r="D16" s="684" t="n"/>
      <c r="E16" s="684" t="n"/>
      <c r="F16" s="684" t="n"/>
      <c r="G16" s="684" t="n"/>
      <c r="H16" s="684" t="n"/>
      <c r="I16" s="684" t="n"/>
      <c r="J16" s="684" t="n"/>
      <c r="K16" s="19" t="n"/>
      <c r="L16" s="21" t="n"/>
      <c r="M16" s="19" t="n"/>
      <c r="N16" s="21" t="n"/>
      <c r="O16" s="19" t="n"/>
      <c r="P16" s="21" t="n"/>
      <c r="Q16" s="81" t="n"/>
      <c r="R16" s="21" t="n"/>
      <c r="S16" s="19" t="n"/>
      <c r="T16" s="21" t="n"/>
      <c r="U16" s="19" t="n"/>
      <c r="V16" s="21" t="n"/>
      <c r="W16" s="19" t="n"/>
      <c r="X16" s="21" t="n"/>
      <c r="Y16" s="19" t="n"/>
      <c r="Z16" s="21" t="n"/>
      <c r="AA16" s="21" t="n"/>
      <c r="AB16" s="684" t="n"/>
      <c r="AC16" s="684" t="n"/>
      <c r="AD16" s="684" t="n"/>
      <c r="AE16" s="684" t="n"/>
      <c r="AF16" s="684" t="n"/>
      <c r="AG16" s="684" t="n"/>
      <c r="AH16" s="684" t="n"/>
      <c r="AI16" s="684" t="n"/>
      <c r="AJ16" s="684" t="n"/>
      <c r="AK16" s="684" t="n"/>
    </row>
    <row r="17" ht="15" customFormat="1" customHeight="1" s="685">
      <c r="A17" s="19" t="n"/>
      <c r="B17" s="93" t="n"/>
      <c r="C17" s="684" t="n"/>
      <c r="D17" s="684" t="n"/>
      <c r="E17" s="684" t="n"/>
      <c r="F17" s="684" t="n"/>
      <c r="G17" s="684" t="n"/>
      <c r="H17" s="684" t="n"/>
      <c r="I17" s="684" t="n"/>
      <c r="J17" s="684" t="n"/>
      <c r="K17" s="19" t="n"/>
      <c r="L17" s="21" t="n"/>
      <c r="M17" s="19" t="n"/>
      <c r="N17" s="21" t="n"/>
      <c r="O17" s="19" t="n"/>
      <c r="P17" s="21" t="n"/>
      <c r="Q17" s="81" t="n"/>
      <c r="R17" s="21" t="n"/>
      <c r="S17" s="19" t="n"/>
      <c r="T17" s="21" t="n"/>
      <c r="U17" s="19" t="n"/>
      <c r="V17" s="21" t="n"/>
      <c r="W17" s="19" t="n"/>
      <c r="X17" s="21" t="n"/>
      <c r="Y17" s="19" t="n"/>
      <c r="Z17" s="21" t="n"/>
      <c r="AA17" s="21" t="n"/>
      <c r="AB17" s="684" t="n"/>
      <c r="AC17" s="684" t="n"/>
      <c r="AD17" s="684" t="n"/>
      <c r="AE17" s="684" t="n"/>
      <c r="AF17" s="684" t="n"/>
      <c r="AG17" s="684" t="n"/>
      <c r="AH17" s="684" t="n"/>
      <c r="AI17" s="684" t="n"/>
      <c r="AJ17" s="684" t="n"/>
      <c r="AK17" s="684" t="n"/>
    </row>
    <row r="18" ht="15" customFormat="1" customHeight="1" s="685">
      <c r="A18" s="19" t="n"/>
      <c r="B18" s="93" t="n"/>
      <c r="C18" s="684" t="n"/>
      <c r="D18" s="684" t="n"/>
      <c r="E18" s="684" t="n"/>
      <c r="F18" s="684" t="n"/>
      <c r="G18" s="684" t="n"/>
      <c r="H18" s="684" t="n"/>
      <c r="I18" s="684" t="n"/>
      <c r="J18" s="684" t="n"/>
      <c r="K18" s="19" t="n"/>
      <c r="L18" s="21" t="n"/>
      <c r="M18" s="19" t="n"/>
      <c r="N18" s="21" t="n"/>
      <c r="O18" s="19" t="n"/>
      <c r="P18" s="21" t="n"/>
      <c r="Q18" s="81" t="n"/>
      <c r="R18" s="21" t="n"/>
      <c r="S18" s="19" t="n"/>
      <c r="T18" s="21" t="n"/>
      <c r="U18" s="19" t="n"/>
      <c r="V18" s="21" t="n"/>
      <c r="W18" s="19" t="n"/>
      <c r="X18" s="21" t="n"/>
      <c r="Y18" s="19" t="n"/>
      <c r="Z18" s="21" t="n"/>
      <c r="AA18" s="21" t="n"/>
      <c r="AB18" s="684" t="n"/>
      <c r="AC18" s="684" t="n"/>
      <c r="AD18" s="684" t="n"/>
      <c r="AE18" s="684" t="n"/>
      <c r="AF18" s="684" t="n"/>
      <c r="AG18" s="684" t="n"/>
      <c r="AH18" s="684" t="n"/>
      <c r="AI18" s="684" t="n"/>
      <c r="AJ18" s="684" t="n"/>
      <c r="AK18" s="684" t="n"/>
    </row>
    <row r="19" ht="15" customFormat="1" customHeight="1" s="685">
      <c r="A19" s="19" t="n"/>
      <c r="B19" s="93" t="n"/>
      <c r="C19" s="684" t="n"/>
      <c r="D19" s="684" t="n"/>
      <c r="E19" s="684" t="n"/>
      <c r="F19" s="684" t="n"/>
      <c r="G19" s="684" t="n"/>
      <c r="H19" s="684" t="n"/>
      <c r="I19" s="684" t="n"/>
      <c r="J19" s="684" t="n"/>
      <c r="K19" s="19" t="n"/>
      <c r="L19" s="21" t="n"/>
      <c r="M19" s="19" t="n"/>
      <c r="N19" s="21" t="n"/>
      <c r="O19" s="19" t="n"/>
      <c r="P19" s="21" t="n"/>
      <c r="Q19" s="81" t="n"/>
      <c r="R19" s="21" t="n"/>
      <c r="S19" s="19" t="n"/>
      <c r="T19" s="21" t="n"/>
      <c r="U19" s="19" t="n"/>
      <c r="V19" s="21" t="n"/>
      <c r="W19" s="19" t="n"/>
      <c r="X19" s="21" t="n"/>
      <c r="Y19" s="19" t="n"/>
      <c r="Z19" s="21" t="n"/>
      <c r="AA19" s="21" t="n"/>
      <c r="AB19" s="684" t="n"/>
      <c r="AC19" s="684" t="n"/>
      <c r="AD19" s="684" t="n"/>
      <c r="AE19" s="684" t="n"/>
      <c r="AF19" s="684" t="n"/>
      <c r="AG19" s="684" t="n"/>
      <c r="AH19" s="684" t="n"/>
      <c r="AI19" s="684" t="n"/>
      <c r="AJ19" s="684" t="n"/>
      <c r="AK19" s="684" t="n"/>
    </row>
    <row r="20" ht="15" customFormat="1" customHeight="1" s="192">
      <c r="A20" s="199" t="n"/>
      <c r="B20" s="199" t="n"/>
      <c r="C20" s="192" t="inlineStr">
        <is>
          <t>C/ Las Cruzadas 3, Local D</t>
        </is>
      </c>
      <c r="D20" s="192" t="inlineStr">
        <is>
          <t>Sevilla 41001</t>
        </is>
      </c>
      <c r="E20" s="192" t="inlineStr">
        <is>
          <t>ESB91938662</t>
        </is>
      </c>
      <c r="F20" s="426" t="inlineStr">
        <is>
          <t>Atn. Mr. Wurster</t>
        </is>
      </c>
      <c r="G20" s="192" t="inlineStr">
        <is>
          <t>TCO SOLAR SAS</t>
        </is>
      </c>
      <c r="H20" s="192">
        <f>VLOOKUP($G20,DATOS!$B:$E,2,FALSE)</f>
        <v/>
      </c>
      <c r="I20" s="192">
        <f>VLOOKUP($G20,DATOS!$B:$E,3,FALSE)</f>
        <v/>
      </c>
      <c r="J20" s="192">
        <f>VLOOKUP($G20,DATOS!$B:$E,4,FALSE)</f>
        <v/>
      </c>
      <c r="K20" s="192" t="inlineStr">
        <is>
          <t>Monitoring Services - 1Q2024</t>
        </is>
      </c>
      <c r="L20" s="200" t="n"/>
      <c r="M20" s="192" t="inlineStr">
        <is>
          <t>Palazzo Pignano</t>
        </is>
      </c>
      <c r="N20" s="200">
        <f>1057*(1+3.1%)</f>
        <v/>
      </c>
      <c r="O20" s="192" t="inlineStr">
        <is>
          <t>Cremosano</t>
        </is>
      </c>
      <c r="P20" s="200">
        <f>1057*(1+3.1%)</f>
        <v/>
      </c>
      <c r="Q20" s="192" t="inlineStr">
        <is>
          <t>Dovera</t>
        </is>
      </c>
      <c r="R20" s="200">
        <f>1057*(1+3.1%)</f>
        <v/>
      </c>
      <c r="S20" s="200" t="inlineStr">
        <is>
          <t>Polesina 2</t>
        </is>
      </c>
      <c r="T20" s="200">
        <f>1057*(1+3.1%)</f>
        <v/>
      </c>
      <c r="U20" s="200" t="inlineStr">
        <is>
          <t>Polesine 3</t>
        </is>
      </c>
      <c r="V20" s="200">
        <f>1057*(1+3.1%)</f>
        <v/>
      </c>
      <c r="W20" s="192" t="inlineStr">
        <is>
          <t>PCI 2023-24 3.1%</t>
        </is>
      </c>
      <c r="X20" s="200" t="n"/>
      <c r="Z20" s="200" t="n"/>
      <c r="AA20" s="200" t="n"/>
      <c r="AB20" s="201" t="inlineStr">
        <is>
          <t>ES85 2080 3509 1130 4009 6171</t>
        </is>
      </c>
      <c r="AC20" s="192" t="inlineStr">
        <is>
          <t>pagado</t>
        </is>
      </c>
      <c r="AD20" s="200">
        <f>L20+N20+P20+R20+T20+V20+X20+Z20</f>
        <v/>
      </c>
      <c r="AE20" s="200">
        <f>IF((LEFT(M20,4))="Cont",L20,0)</f>
        <v/>
      </c>
      <c r="AF20" s="201" t="n">
        <v>0</v>
      </c>
      <c r="AG20" s="200" t="n">
        <v>0</v>
      </c>
      <c r="AH20" s="200">
        <f>AD20</f>
        <v/>
      </c>
      <c r="AI20" s="202">
        <f>IF(AE20&lt;&gt;0,AG20/AD20,"N/A")</f>
        <v/>
      </c>
      <c r="AJ20" s="200">
        <f>IF(AC20="pendiente",AD20,0)</f>
        <v/>
      </c>
      <c r="AK20" s="192" t="inlineStr">
        <is>
          <t>2019-001</t>
        </is>
      </c>
    </row>
    <row r="21" ht="15" customFormat="1" customHeight="1" s="189">
      <c r="B21" s="188" t="n"/>
      <c r="C21" s="189" t="inlineStr">
        <is>
          <t>c/ Las Cruzadas 3A, local D</t>
        </is>
      </c>
      <c r="D21" s="189" t="inlineStr">
        <is>
          <t>Sevilla 41004</t>
        </is>
      </c>
      <c r="E21" s="192" t="inlineStr">
        <is>
          <t>ESB91938662</t>
        </is>
      </c>
      <c r="F21" s="189" t="inlineStr">
        <is>
          <t>A/A: Daniel Pinto</t>
        </is>
      </c>
      <c r="G21" s="189" t="inlineStr">
        <is>
          <t>Encavis Asset Management AG</t>
        </is>
      </c>
      <c r="H21" s="189">
        <f>VLOOKUP($G21,DATOS!$B:$E,2,FALSE)</f>
        <v/>
      </c>
      <c r="I21" s="189">
        <f>VLOOKUP($G21,DATOS!$B:$E,3,FALSE)</f>
        <v/>
      </c>
      <c r="J21" s="189">
        <f>VLOOKUP($G21,DATOS!$B:$E,4,FALSE)</f>
        <v/>
      </c>
      <c r="K21" s="189" t="inlineStr">
        <is>
          <t>Extraordinary Service - Legal &amp; Tecnical Assistance</t>
        </is>
      </c>
      <c r="L21" s="190" t="n"/>
      <c r="M21" s="189" t="inlineStr">
        <is>
          <t>Workshop - Spanish renewable market and project development</t>
        </is>
      </c>
      <c r="N21" s="190" t="n">
        <v>6000</v>
      </c>
      <c r="P21" s="190" t="n"/>
      <c r="Q21" s="189" t="inlineStr">
        <is>
          <t>1 a) Workshop documentation and lecture</t>
        </is>
      </c>
      <c r="R21" s="190" t="n"/>
      <c r="S21" s="189" t="inlineStr">
        <is>
          <t>1 b) Roadmap documentation and lecture</t>
        </is>
      </c>
      <c r="T21" s="190" t="n"/>
      <c r="U21" s="189" t="inlineStr">
        <is>
          <t>1 c) Open discussion and questions</t>
        </is>
      </c>
      <c r="V21" s="190" t="n"/>
      <c r="X21" s="190" t="n"/>
      <c r="Z21" s="190" t="n"/>
      <c r="AA21" s="190" t="n"/>
      <c r="AB21" s="400" t="inlineStr">
        <is>
          <t>ES85 2080 3509 1130 4009 6171</t>
        </is>
      </c>
      <c r="AC21" s="192" t="inlineStr">
        <is>
          <t>pagado</t>
        </is>
      </c>
      <c r="AD21" s="190">
        <f>L21+N21+P21+R21+T21+V21+X21+Z21</f>
        <v/>
      </c>
      <c r="AE21" s="190">
        <f>IF((LEFT(K21,6))="Contab",L21,0)</f>
        <v/>
      </c>
      <c r="AF21" s="191">
        <f>VLOOKUP(G21,CLIENTES!B:E,4,FALSE)</f>
        <v/>
      </c>
      <c r="AG21" s="190">
        <f>AF21*AE21</f>
        <v/>
      </c>
      <c r="AH21" s="190">
        <f>AD21*1.21</f>
        <v/>
      </c>
      <c r="AI21" s="289">
        <f>IF(AE21&lt;&gt;0,AG21/AD21,"N/A")</f>
        <v/>
      </c>
      <c r="AJ21" s="190">
        <f>IF(AC21="pendiente",AD21,0)</f>
        <v/>
      </c>
      <c r="AK21" s="189">
        <f>VLOOKUP(G21,CLIENTES!B:D,3,FALSE)</f>
        <v/>
      </c>
      <c r="AL21" s="189" t="inlineStr">
        <is>
          <t>Ingeniería</t>
        </is>
      </c>
      <c r="AM21" s="189" t="inlineStr">
        <is>
          <t>Extraordinario</t>
        </is>
      </c>
    </row>
    <row r="22" ht="15" customFormat="1" customHeight="1" s="192">
      <c r="A22" s="199" t="n"/>
      <c r="B22" s="199" t="n"/>
      <c r="C22" s="192" t="inlineStr">
        <is>
          <t>C/ Las Cruzadas 3, Local D</t>
        </is>
      </c>
      <c r="D22" s="192" t="inlineStr">
        <is>
          <t>Sevilla 41001</t>
        </is>
      </c>
      <c r="E22" s="192" t="inlineStr">
        <is>
          <t>ESB91938662</t>
        </is>
      </c>
      <c r="F22" s="426" t="inlineStr">
        <is>
          <t>Atn. Mr. Wurster</t>
        </is>
      </c>
      <c r="G22" s="192" t="inlineStr">
        <is>
          <t>TCO SOLAR SAS</t>
        </is>
      </c>
      <c r="H22" s="192">
        <f>VLOOKUP($G22,DATOS!$B:$E,2,FALSE)</f>
        <v/>
      </c>
      <c r="I22" s="192">
        <f>VLOOKUP($G22,DATOS!$B:$E,3,FALSE)</f>
        <v/>
      </c>
      <c r="J22" s="192">
        <f>VLOOKUP($G22,DATOS!$B:$E,4,FALSE)</f>
        <v/>
      </c>
      <c r="K22" s="192" t="inlineStr">
        <is>
          <t>Monitoring Services - 2Q2024</t>
        </is>
      </c>
      <c r="L22" s="200" t="n"/>
      <c r="M22" s="192" t="inlineStr">
        <is>
          <t>Palazzo Pignano</t>
        </is>
      </c>
      <c r="N22" s="200">
        <f>1057*(1+3.1%)</f>
        <v/>
      </c>
      <c r="O22" s="192" t="inlineStr">
        <is>
          <t>Cremosano</t>
        </is>
      </c>
      <c r="P22" s="200">
        <f>1057*(1+3.1%)</f>
        <v/>
      </c>
      <c r="Q22" s="192" t="inlineStr">
        <is>
          <t>Dovera</t>
        </is>
      </c>
      <c r="R22" s="200">
        <f>1057*(1+3.1%)</f>
        <v/>
      </c>
      <c r="S22" s="200" t="inlineStr">
        <is>
          <t>Polesina 2</t>
        </is>
      </c>
      <c r="T22" s="200">
        <f>1057*(1+3.1%)</f>
        <v/>
      </c>
      <c r="U22" s="200" t="inlineStr">
        <is>
          <t>Polesine 3</t>
        </is>
      </c>
      <c r="V22" s="200">
        <f>1057*(1+3.1%)</f>
        <v/>
      </c>
      <c r="W22" s="192" t="inlineStr">
        <is>
          <t>PCI 2023-24 3.1%</t>
        </is>
      </c>
      <c r="X22" s="200" t="n"/>
      <c r="Z22" s="200" t="n"/>
      <c r="AA22" s="200" t="n"/>
      <c r="AB22" s="201" t="inlineStr">
        <is>
          <t>ES85 2080 3509 1130 4009 6171</t>
        </is>
      </c>
      <c r="AC22" s="192" t="inlineStr">
        <is>
          <t>pendiente</t>
        </is>
      </c>
      <c r="AD22" s="200">
        <f>L22+N22+P22+R22+T22+V22+X22+Z22</f>
        <v/>
      </c>
      <c r="AE22" s="200">
        <f>IF((LEFT(M22,4))="Cont",L22,0)</f>
        <v/>
      </c>
      <c r="AF22" s="201">
        <f>VLOOKUP(G22,CLIENTES!B:E,4,FALSE)</f>
        <v/>
      </c>
      <c r="AG22" s="200">
        <f>AF22*AE22</f>
        <v/>
      </c>
      <c r="AH22" s="200">
        <f>AD22</f>
        <v/>
      </c>
      <c r="AI22" s="202">
        <f>IF(AE22&lt;&gt;0,AG22/AD22,"N/A")</f>
        <v/>
      </c>
      <c r="AJ22" s="200">
        <f>IF(AC22="pendiente",AD22,0)</f>
        <v/>
      </c>
      <c r="AK22" s="192">
        <f>VLOOKUP(G22,CLIENTES!B:D,3,FALSE)</f>
        <v/>
      </c>
    </row>
    <row r="23" ht="15" customFormat="1" customHeight="1" s="192">
      <c r="A23" s="199" t="n"/>
      <c r="B23" s="199" t="n"/>
      <c r="C23" s="192" t="inlineStr">
        <is>
          <t>C/ Las Cruzadas 3, Local D</t>
        </is>
      </c>
      <c r="D23" s="192" t="inlineStr">
        <is>
          <t>Sevilla 41001</t>
        </is>
      </c>
      <c r="E23" s="192" t="inlineStr">
        <is>
          <t>ESB91938662</t>
        </is>
      </c>
      <c r="F23" s="426" t="inlineStr">
        <is>
          <t>Atn. Mr. Wurster</t>
        </is>
      </c>
      <c r="G23" s="192" t="inlineStr">
        <is>
          <t>TCO SOLAR SAS</t>
        </is>
      </c>
      <c r="H23" s="192">
        <f>VLOOKUP($G23,DATOS!$B:$E,2,FALSE)</f>
        <v/>
      </c>
      <c r="I23" s="192">
        <f>VLOOKUP($G23,DATOS!$B:$E,3,FALSE)</f>
        <v/>
      </c>
      <c r="J23" s="192">
        <f>VLOOKUP($G23,DATOS!$B:$E,4,FALSE)</f>
        <v/>
      </c>
      <c r="K23" s="192" t="inlineStr">
        <is>
          <t>Monitoring Services - 3Q2024</t>
        </is>
      </c>
      <c r="L23" s="200" t="n"/>
      <c r="M23" s="192" t="inlineStr">
        <is>
          <t>Palazzo Pignano</t>
        </is>
      </c>
      <c r="N23" s="200">
        <f>1057*(1+3.1%)</f>
        <v/>
      </c>
      <c r="O23" s="192" t="inlineStr">
        <is>
          <t>Cremosano</t>
        </is>
      </c>
      <c r="P23" s="200">
        <f>1057*(1+3.1%)</f>
        <v/>
      </c>
      <c r="Q23" s="192" t="inlineStr">
        <is>
          <t>Dovera</t>
        </is>
      </c>
      <c r="R23" s="200">
        <f>1057*(1+3.1%)</f>
        <v/>
      </c>
      <c r="S23" s="200" t="inlineStr">
        <is>
          <t>Polesina 2</t>
        </is>
      </c>
      <c r="T23" s="200">
        <f>1057*(1+3.1%)</f>
        <v/>
      </c>
      <c r="U23" s="200" t="inlineStr">
        <is>
          <t>Polesine 3</t>
        </is>
      </c>
      <c r="V23" s="200">
        <f>1057*(1+3.1%)</f>
        <v/>
      </c>
      <c r="W23" s="192" t="inlineStr">
        <is>
          <t>PCI 2023-24 3.1%</t>
        </is>
      </c>
      <c r="X23" s="200" t="n"/>
      <c r="Z23" s="200" t="n"/>
      <c r="AA23" s="200" t="n"/>
      <c r="AB23" s="201" t="inlineStr">
        <is>
          <t>ES85 2080 3509 1130 4009 6171</t>
        </is>
      </c>
      <c r="AC23" s="192" t="inlineStr">
        <is>
          <t>pendiente</t>
        </is>
      </c>
      <c r="AD23" s="200">
        <f>L23+N23+P23+R23+T23+V23+X23+Z23</f>
        <v/>
      </c>
      <c r="AE23" s="200">
        <f>IF((LEFT(M23,4))="Cont",L23,0)</f>
        <v/>
      </c>
      <c r="AF23" s="201">
        <f>VLOOKUP(G23,CLIENTES!B:E,4,FALSE)</f>
        <v/>
      </c>
      <c r="AG23" s="200">
        <f>AF23*AE23</f>
        <v/>
      </c>
      <c r="AH23" s="200">
        <f>AD23</f>
        <v/>
      </c>
      <c r="AI23" s="202">
        <f>IF(AE23&lt;&gt;0,AG23/AD23,"N/A")</f>
        <v/>
      </c>
      <c r="AJ23" s="200">
        <f>IF(AC23="pendiente",AD23,0)</f>
        <v/>
      </c>
      <c r="AK23" s="192">
        <f>VLOOKUP(G23,CLIENTES!B:D,3,FALSE)</f>
        <v/>
      </c>
    </row>
    <row r="24" ht="15" customFormat="1" customHeight="1" s="192">
      <c r="A24" s="199" t="n"/>
      <c r="B24" s="199" t="n"/>
      <c r="C24" s="192" t="inlineStr">
        <is>
          <t>C/ Las Cruzadas 3, Local D</t>
        </is>
      </c>
      <c r="D24" s="192" t="inlineStr">
        <is>
          <t>Sevilla 41001</t>
        </is>
      </c>
      <c r="E24" s="192" t="inlineStr">
        <is>
          <t>ESB91938662</t>
        </is>
      </c>
      <c r="F24" s="426" t="inlineStr">
        <is>
          <t>Atn. Mr. Wurster</t>
        </is>
      </c>
      <c r="G24" s="192" t="inlineStr">
        <is>
          <t>TCO SOLAR SAS</t>
        </is>
      </c>
      <c r="H24" s="192">
        <f>VLOOKUP($G24,DATOS!$B:$E,2,FALSE)</f>
        <v/>
      </c>
      <c r="I24" s="192">
        <f>VLOOKUP($G24,DATOS!$B:$E,3,FALSE)</f>
        <v/>
      </c>
      <c r="J24" s="192">
        <f>VLOOKUP($G24,DATOS!$B:$E,4,FALSE)</f>
        <v/>
      </c>
      <c r="K24" s="192" t="inlineStr">
        <is>
          <t>Monitoring Services - 4Q2024</t>
        </is>
      </c>
      <c r="L24" s="200" t="n"/>
      <c r="M24" s="192" t="inlineStr">
        <is>
          <t>Palazzo Pignano</t>
        </is>
      </c>
      <c r="N24" s="200">
        <f>1057*(1+3.1%)</f>
        <v/>
      </c>
      <c r="O24" s="192" t="inlineStr">
        <is>
          <t>Cremosano</t>
        </is>
      </c>
      <c r="P24" s="200">
        <f>1057*(1+3.1%)</f>
        <v/>
      </c>
      <c r="Q24" s="192" t="inlineStr">
        <is>
          <t>Dovera</t>
        </is>
      </c>
      <c r="R24" s="200">
        <f>1057*(1+3.1%)</f>
        <v/>
      </c>
      <c r="S24" s="200" t="inlineStr">
        <is>
          <t>Polesina 2</t>
        </is>
      </c>
      <c r="T24" s="200">
        <f>1057*(1+3.1%)</f>
        <v/>
      </c>
      <c r="U24" s="200" t="inlineStr">
        <is>
          <t>Polesine 3</t>
        </is>
      </c>
      <c r="V24" s="200">
        <f>1057*(1+3.1%)</f>
        <v/>
      </c>
      <c r="W24" s="192" t="inlineStr">
        <is>
          <t>PCI 2023-24 3.1%</t>
        </is>
      </c>
      <c r="X24" s="200" t="n"/>
      <c r="Z24" s="200" t="n"/>
      <c r="AA24" s="200" t="n"/>
      <c r="AB24" s="201" t="inlineStr">
        <is>
          <t>ES85 2080 3509 1130 4009 6171</t>
        </is>
      </c>
      <c r="AC24" s="192" t="inlineStr">
        <is>
          <t>pendiente</t>
        </is>
      </c>
      <c r="AD24" s="200">
        <f>L24+N24+P24+R24+T24+V24+X24+Z24</f>
        <v/>
      </c>
      <c r="AE24" s="200">
        <f>IF((LEFT(M24,4))="Cont",L24,0)</f>
        <v/>
      </c>
      <c r="AF24" s="201">
        <f>VLOOKUP(G24,CLIENTES!B:E,4,FALSE)</f>
        <v/>
      </c>
      <c r="AG24" s="200">
        <f>AF24*AE24</f>
        <v/>
      </c>
      <c r="AH24" s="200">
        <f>AD24</f>
        <v/>
      </c>
      <c r="AI24" s="202">
        <f>IF(AE24&lt;&gt;0,AG24/AD24,"N/A")</f>
        <v/>
      </c>
      <c r="AJ24" s="200">
        <f>IF(AC24="pendiente",AD24,0)</f>
        <v/>
      </c>
      <c r="AK24" s="192">
        <f>VLOOKUP(G24,CLIENTES!B:D,3,FALSE)</f>
        <v/>
      </c>
    </row>
    <row r="25" ht="15" customFormat="1" customHeight="1" s="192">
      <c r="A25" s="199" t="n"/>
      <c r="B25" s="199" t="n"/>
      <c r="C25" s="192" t="inlineStr">
        <is>
          <t>C/ Las Cruzadas 3, Local D</t>
        </is>
      </c>
      <c r="D25" s="192" t="inlineStr">
        <is>
          <t>Sevilla 41001</t>
        </is>
      </c>
      <c r="E25" s="192" t="inlineStr">
        <is>
          <t>ESB91938662</t>
        </is>
      </c>
      <c r="F25" s="426" t="inlineStr">
        <is>
          <t>Atn. Mr. Wurster</t>
        </is>
      </c>
      <c r="G25" s="192" t="inlineStr">
        <is>
          <t>TCO SOLAR SAS</t>
        </is>
      </c>
      <c r="H25" s="192">
        <f>VLOOKUP($G25,DATOS!$B:$E,2,FALSE)</f>
        <v/>
      </c>
      <c r="I25" s="192">
        <f>VLOOKUP($G25,DATOS!$B:$E,3,FALSE)</f>
        <v/>
      </c>
      <c r="J25" s="192">
        <f>VLOOKUP($G25,DATOS!$B:$E,4,FALSE)</f>
        <v/>
      </c>
      <c r="K25" s="189" t="inlineStr">
        <is>
          <t>Report according to offer 202001130_v03</t>
        </is>
      </c>
      <c r="L25" s="190" t="n">
        <v>33262.35</v>
      </c>
      <c r="M25" s="189" t="inlineStr">
        <is>
          <t>Index review - 3.1%</t>
        </is>
      </c>
      <c r="N25" s="190">
        <f>L25*0.031</f>
        <v/>
      </c>
      <c r="O25" s="189" t="inlineStr">
        <is>
          <t>Market Analysis - PV - MENA Region</t>
        </is>
      </c>
      <c r="P25" s="190" t="n"/>
      <c r="Q25" s="190" t="inlineStr">
        <is>
          <t>Market Analysis - Europe opportunities</t>
        </is>
      </c>
      <c r="R25" s="190" t="n"/>
      <c r="S25" s="189" t="n"/>
      <c r="T25" s="200" t="n"/>
      <c r="U25" s="200" t="n"/>
      <c r="V25" s="200" t="n"/>
      <c r="X25" s="200" t="n"/>
      <c r="Z25" s="200" t="n"/>
      <c r="AA25" s="200" t="n"/>
      <c r="AB25" s="201" t="inlineStr">
        <is>
          <t>ES85 2080 3509 1130 4009 6171</t>
        </is>
      </c>
      <c r="AC25" s="192" t="inlineStr">
        <is>
          <t>pendiente</t>
        </is>
      </c>
      <c r="AD25" s="200">
        <f>L25+N25+P25+R25+T25+V25+X25+Z25</f>
        <v/>
      </c>
      <c r="AE25" s="200">
        <f>IF((LEFT(M25,4))="Cont",L25,0)</f>
        <v/>
      </c>
      <c r="AF25" s="201">
        <f>VLOOKUP(G25,CLIENTES!B:E,4,FALSE)</f>
        <v/>
      </c>
      <c r="AG25" s="200">
        <f>AF25*AE25</f>
        <v/>
      </c>
      <c r="AH25" s="200">
        <f>AD25</f>
        <v/>
      </c>
      <c r="AI25" s="202">
        <f>IF(AE25&lt;&gt;0,AG25/AD25,"N/A")</f>
        <v/>
      </c>
      <c r="AJ25" s="200">
        <f>IF(AC25="pendiente",AD25,0)</f>
        <v/>
      </c>
      <c r="AK25" s="192">
        <f>VLOOKUP(G25,CLIENTES!B:D,3,FALSE)</f>
        <v/>
      </c>
    </row>
    <row r="26" ht="18" customFormat="1" customHeight="1" s="408">
      <c r="A26" s="427" t="n"/>
      <c r="B26" s="428" t="n"/>
      <c r="C26" s="429" t="n"/>
      <c r="D26" s="429" t="n"/>
      <c r="E26" s="429" t="n"/>
      <c r="F26" s="429" t="n"/>
      <c r="G26" s="429" t="n"/>
      <c r="H26" s="429" t="n"/>
      <c r="I26" s="429" t="n"/>
      <c r="J26" s="429" t="n"/>
      <c r="K26" s="427" t="n"/>
      <c r="L26" s="430" t="n"/>
      <c r="M26" s="427" t="n"/>
      <c r="N26" s="430" t="n"/>
      <c r="O26" s="427" t="n"/>
      <c r="P26" s="430" t="n"/>
      <c r="Q26" s="431" t="n"/>
      <c r="R26" s="430" t="n"/>
      <c r="S26" s="427" t="n"/>
      <c r="T26" s="430" t="n"/>
      <c r="U26" s="427" t="n"/>
      <c r="V26" s="430" t="n"/>
      <c r="W26" s="427" t="n"/>
      <c r="X26" s="430" t="n"/>
      <c r="Y26" s="427" t="n"/>
      <c r="Z26" s="430" t="n"/>
      <c r="AA26" s="430" t="n"/>
      <c r="AB26" s="429" t="n"/>
      <c r="AC26" s="429" t="n"/>
      <c r="AD26" s="429" t="n"/>
      <c r="AE26" s="429" t="n"/>
      <c r="AF26" s="429" t="n"/>
      <c r="AG26" s="429" t="n"/>
      <c r="AH26" s="429" t="n"/>
      <c r="AI26" s="429" t="n"/>
      <c r="AJ26" s="429" t="n"/>
      <c r="AK26" s="429" t="n"/>
    </row>
    <row r="27" ht="18" customFormat="1" customHeight="1" s="408">
      <c r="A27" s="427" t="n"/>
      <c r="B27" s="428" t="n"/>
      <c r="C27" s="429" t="n"/>
      <c r="D27" s="429" t="n"/>
      <c r="E27" s="429" t="n"/>
      <c r="F27" s="429" t="n"/>
      <c r="G27" s="429" t="n"/>
      <c r="H27" s="429" t="n"/>
      <c r="I27" s="429" t="n"/>
      <c r="J27" s="429" t="n"/>
      <c r="K27" s="427" t="n"/>
      <c r="L27" s="430" t="n"/>
      <c r="M27" s="427" t="n"/>
      <c r="N27" s="430" t="n"/>
      <c r="O27" s="427" t="n"/>
      <c r="P27" s="430" t="n"/>
      <c r="Q27" s="431" t="n"/>
      <c r="R27" s="430" t="n"/>
      <c r="S27" s="427" t="n"/>
      <c r="T27" s="430" t="n"/>
      <c r="U27" s="427" t="n"/>
      <c r="V27" s="430" t="n"/>
      <c r="W27" s="427" t="n"/>
      <c r="X27" s="430" t="n"/>
      <c r="Y27" s="427" t="n"/>
      <c r="Z27" s="430" t="n"/>
      <c r="AA27" s="430" t="n"/>
      <c r="AB27" s="429" t="n"/>
      <c r="AC27" s="429" t="n"/>
      <c r="AD27" s="429" t="n"/>
      <c r="AE27" s="429" t="n"/>
      <c r="AF27" s="429" t="n"/>
      <c r="AG27" s="429" t="n"/>
      <c r="AH27" s="429" t="n"/>
      <c r="AI27" s="429" t="n"/>
      <c r="AJ27" s="429" t="n"/>
      <c r="AK27" s="429" t="n"/>
    </row>
    <row r="28" ht="18" customFormat="1" customHeight="1" s="685">
      <c r="A28" s="19" t="n"/>
      <c r="B28" s="93" t="n"/>
      <c r="C28" s="684" t="n"/>
      <c r="D28" s="684" t="n"/>
      <c r="E28" s="684" t="n"/>
      <c r="F28" s="684" t="n"/>
      <c r="G28" s="684" t="n"/>
      <c r="H28" s="684" t="n"/>
      <c r="I28" s="684" t="n"/>
      <c r="J28" s="684" t="n"/>
      <c r="K28" s="19" t="n"/>
      <c r="L28" s="21" t="n"/>
      <c r="M28" s="19" t="n"/>
      <c r="N28" s="21" t="n"/>
      <c r="O28" s="19" t="n"/>
      <c r="P28" s="21" t="n"/>
      <c r="Q28" s="81" t="n"/>
      <c r="R28" s="21" t="n"/>
      <c r="S28" s="19" t="n"/>
      <c r="T28" s="21" t="n"/>
      <c r="U28" s="19" t="n"/>
      <c r="V28" s="21" t="n"/>
      <c r="W28" s="19" t="n"/>
      <c r="X28" s="21" t="n"/>
      <c r="Y28" s="19" t="n"/>
      <c r="Z28" s="21" t="n"/>
      <c r="AA28" s="21" t="n"/>
      <c r="AB28" s="684" t="n"/>
      <c r="AC28" s="684" t="n"/>
      <c r="AD28" s="684" t="n"/>
      <c r="AE28" s="684" t="n"/>
      <c r="AF28" s="684" t="n"/>
      <c r="AG28" s="684" t="n"/>
      <c r="AH28" s="684" t="n"/>
      <c r="AI28" s="684" t="n"/>
      <c r="AJ28" s="684" t="n"/>
      <c r="AK28" s="684" t="n"/>
    </row>
    <row r="29" ht="18" customFormat="1" customHeight="1" s="685">
      <c r="A29" s="19" t="n"/>
      <c r="B29" s="93" t="n"/>
      <c r="C29" s="684" t="n"/>
      <c r="D29" s="684" t="n"/>
      <c r="E29" s="684" t="n"/>
      <c r="F29" s="684" t="n"/>
      <c r="G29" s="684" t="n"/>
      <c r="H29" s="684" t="n"/>
      <c r="I29" s="684" t="n"/>
      <c r="J29" s="684" t="n"/>
      <c r="K29" s="19" t="n"/>
      <c r="L29" s="21" t="n"/>
      <c r="M29" s="19" t="n"/>
      <c r="N29" s="21" t="n"/>
      <c r="O29" s="19" t="n"/>
      <c r="P29" s="21" t="n"/>
      <c r="Q29" s="81" t="n"/>
      <c r="R29" s="21" t="n"/>
      <c r="S29" s="19" t="n"/>
      <c r="T29" s="21" t="n"/>
      <c r="U29" s="19" t="n"/>
      <c r="V29" s="21" t="n"/>
      <c r="W29" s="19" t="n"/>
      <c r="X29" s="21" t="n"/>
      <c r="Y29" s="19" t="n"/>
      <c r="Z29" s="21" t="n"/>
      <c r="AA29" s="21" t="n"/>
      <c r="AB29" s="684" t="n"/>
      <c r="AC29" s="684" t="n"/>
      <c r="AD29" s="684" t="n"/>
      <c r="AE29" s="684" t="n"/>
      <c r="AF29" s="684" t="n"/>
      <c r="AG29" s="684" t="n"/>
      <c r="AH29" s="684" t="n"/>
      <c r="AI29" s="684" t="n"/>
      <c r="AJ29" s="684" t="n"/>
      <c r="AK29" s="684" t="n"/>
    </row>
    <row r="30" ht="18" customFormat="1" customHeight="1" s="685">
      <c r="A30" s="19" t="n"/>
      <c r="B30" s="93" t="n"/>
      <c r="C30" s="684" t="n"/>
      <c r="D30" s="684" t="n"/>
      <c r="E30" s="684" t="n"/>
      <c r="F30" s="684" t="n"/>
      <c r="G30" s="684" t="n"/>
      <c r="H30" s="684" t="n"/>
      <c r="I30" s="684" t="n"/>
      <c r="J30" s="684" t="n"/>
      <c r="K30" s="19" t="n"/>
      <c r="L30" s="21" t="n"/>
      <c r="M30" s="19" t="n"/>
      <c r="N30" s="21" t="n"/>
      <c r="O30" s="19" t="n"/>
      <c r="P30" s="21" t="n"/>
      <c r="Q30" s="81" t="n"/>
      <c r="R30" s="21" t="n"/>
      <c r="S30" s="19" t="n"/>
      <c r="T30" s="21" t="n"/>
      <c r="U30" s="19" t="n"/>
      <c r="V30" s="21" t="n"/>
      <c r="W30" s="19" t="n"/>
      <c r="X30" s="21" t="n"/>
      <c r="Y30" s="19" t="n"/>
      <c r="Z30" s="21" t="n"/>
      <c r="AA30" s="21" t="n"/>
      <c r="AB30" s="684" t="n"/>
      <c r="AC30" s="684" t="n"/>
      <c r="AD30" s="684" t="n"/>
      <c r="AE30" s="684" t="n"/>
      <c r="AF30" s="684" t="n"/>
      <c r="AG30" s="684" t="n"/>
      <c r="AH30" s="684" t="n"/>
      <c r="AI30" s="684" t="n"/>
      <c r="AJ30" s="684" t="n"/>
      <c r="AK30" s="684" t="n"/>
    </row>
    <row r="31" ht="18" customFormat="1" customHeight="1" s="685">
      <c r="A31" s="19" t="n"/>
      <c r="B31" s="93" t="n"/>
      <c r="C31" s="684" t="n"/>
      <c r="D31" s="684" t="n"/>
      <c r="E31" s="684" t="n"/>
      <c r="F31" s="684" t="n"/>
      <c r="G31" s="684" t="n"/>
      <c r="H31" s="684" t="n"/>
      <c r="I31" s="684" t="n"/>
      <c r="J31" s="684" t="n"/>
      <c r="K31" s="19" t="n"/>
      <c r="L31" s="21" t="n"/>
      <c r="M31" s="19" t="n"/>
      <c r="N31" s="21" t="n"/>
      <c r="O31" s="19" t="n"/>
      <c r="P31" s="21" t="n"/>
      <c r="Q31" s="81" t="n"/>
      <c r="R31" s="21" t="n"/>
      <c r="S31" s="19" t="n"/>
      <c r="T31" s="21" t="n"/>
      <c r="U31" s="19" t="n"/>
      <c r="V31" s="21" t="n"/>
      <c r="W31" s="19" t="n"/>
      <c r="X31" s="21" t="n"/>
      <c r="Y31" s="19" t="n"/>
      <c r="Z31" s="21" t="n"/>
      <c r="AA31" s="21" t="n"/>
      <c r="AB31" s="684" t="n"/>
      <c r="AC31" s="684" t="n"/>
      <c r="AD31" s="684" t="n"/>
      <c r="AE31" s="684" t="n"/>
      <c r="AF31" s="684" t="n"/>
      <c r="AG31" s="684" t="n"/>
      <c r="AH31" s="684" t="n"/>
      <c r="AI31" s="684" t="n"/>
      <c r="AJ31" s="684" t="n"/>
      <c r="AK31" s="684" t="n"/>
    </row>
    <row r="32" ht="15" customFormat="1" customHeight="1" s="1">
      <c r="A32" s="26" t="n"/>
      <c r="B32" s="26" t="n"/>
      <c r="F32" s="150" t="n"/>
      <c r="L32" s="5" t="n"/>
      <c r="N32" s="5" t="n"/>
      <c r="P32" s="5" t="n"/>
      <c r="Q32" s="5" t="n"/>
      <c r="R32" s="5" t="n"/>
      <c r="T32" s="5" t="n"/>
      <c r="V32" s="5" t="n"/>
      <c r="X32" s="5" t="n"/>
      <c r="Z32" s="5" t="n"/>
      <c r="AA32" s="5" t="n"/>
      <c r="AB32" s="6" t="n"/>
      <c r="AD32" s="5" t="n"/>
      <c r="AE32" s="5" t="n"/>
      <c r="AF32" s="6" t="n"/>
      <c r="AG32" s="5" t="n"/>
      <c r="AH32" s="5" t="n"/>
      <c r="AI32" s="86" t="n"/>
      <c r="AJ32" s="5" t="n"/>
    </row>
    <row r="33" ht="15" customFormat="1" customHeight="1" s="1">
      <c r="A33" s="26" t="n"/>
      <c r="B33" s="26" t="n"/>
      <c r="F33" s="150" t="n"/>
      <c r="L33" s="5" t="n"/>
      <c r="N33" s="5" t="n"/>
      <c r="P33" s="5" t="n"/>
      <c r="Q33" s="5" t="n"/>
      <c r="R33" s="5" t="n"/>
      <c r="T33" s="5" t="n"/>
      <c r="V33" s="5" t="n"/>
      <c r="X33" s="5" t="n"/>
      <c r="Z33" s="5" t="n"/>
      <c r="AA33" s="5" t="n"/>
      <c r="AB33" s="6" t="n"/>
      <c r="AD33" s="5" t="n"/>
      <c r="AE33" s="5" t="n"/>
      <c r="AF33" s="6" t="n"/>
      <c r="AG33" s="5" t="n"/>
      <c r="AH33" s="5" t="n"/>
      <c r="AI33" s="86" t="n"/>
      <c r="AJ33" s="5" t="n"/>
    </row>
    <row r="34" ht="15" customFormat="1" customHeight="1" s="1">
      <c r="A34" s="26" t="n"/>
      <c r="B34" s="26" t="n"/>
      <c r="F34" s="150" t="n"/>
      <c r="L34" s="5" t="n"/>
      <c r="N34" s="5" t="n"/>
      <c r="P34" s="5" t="n"/>
      <c r="Q34" s="5" t="n"/>
      <c r="R34" s="5" t="n"/>
      <c r="T34" s="5" t="n"/>
      <c r="V34" s="5" t="n"/>
      <c r="X34" s="5" t="n"/>
      <c r="Z34" s="5" t="n"/>
      <c r="AA34" s="5" t="n"/>
      <c r="AB34" s="6" t="n"/>
      <c r="AD34" s="5" t="n"/>
      <c r="AE34" s="5" t="n"/>
      <c r="AF34" s="6" t="n"/>
      <c r="AG34" s="5" t="n"/>
      <c r="AH34" s="5" t="n"/>
      <c r="AI34" s="86" t="n"/>
      <c r="AJ34" s="5" t="n"/>
    </row>
    <row r="35" ht="18" customFormat="1" customHeight="1" s="685">
      <c r="A35" s="19" t="n"/>
      <c r="B35" s="93" t="n"/>
      <c r="C35" s="684" t="n"/>
      <c r="D35" s="684" t="n"/>
      <c r="E35" s="684" t="n"/>
      <c r="F35" s="684" t="n"/>
      <c r="G35" s="684" t="n"/>
      <c r="H35" s="684" t="n"/>
      <c r="I35" s="684" t="n"/>
      <c r="J35" s="684" t="n"/>
      <c r="K35" s="19" t="n"/>
      <c r="L35" s="21" t="n"/>
      <c r="M35" s="19" t="n"/>
      <c r="N35" s="21" t="n"/>
      <c r="O35" s="19" t="n"/>
      <c r="P35" s="21" t="n"/>
      <c r="Q35" s="81" t="n"/>
      <c r="R35" s="21" t="n"/>
      <c r="S35" s="19" t="n"/>
      <c r="T35" s="21" t="n"/>
      <c r="U35" s="19" t="n"/>
      <c r="V35" s="21" t="n"/>
      <c r="W35" s="19" t="n"/>
      <c r="X35" s="21" t="n"/>
      <c r="Y35" s="19" t="n"/>
      <c r="Z35" s="21" t="n"/>
      <c r="AA35" s="21" t="n"/>
      <c r="AB35" s="684" t="n"/>
      <c r="AC35" s="684" t="n"/>
      <c r="AD35" s="684" t="n"/>
      <c r="AE35" s="684" t="n"/>
      <c r="AF35" s="684" t="n"/>
      <c r="AG35" s="684" t="n"/>
      <c r="AH35" s="684" t="n"/>
      <c r="AI35" s="684" t="n"/>
      <c r="AJ35" s="684" t="n"/>
      <c r="AK35" s="684" t="n"/>
    </row>
    <row r="38">
      <c r="N38" s="27" t="n"/>
    </row>
  </sheetData>
  <autoFilter ref="A1:AK35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D32:AE34">
    <cfRule type="cellIs" priority="201" operator="equal" dxfId="1">
      <formula>"pendiente"</formula>
    </cfRule>
  </conditionalFormatting>
  <conditionalFormatting sqref="AC20:AC25 AC32:AC34">
    <cfRule type="containsText" priority="198" operator="containsText" dxfId="62" text="abonado">
      <formula>NOT(ISERROR(SEARCH("abonado",AC20)))</formula>
    </cfRule>
    <cfRule type="containsText" priority="199" operator="containsText" dxfId="61" text="pagado">
      <formula>NOT(ISERROR(SEARCH("pagado",AC20)))</formula>
    </cfRule>
    <cfRule type="containsText" priority="200" operator="containsText" dxfId="60" text="pendiente">
      <formula>NOT(ISERROR(SEARCH("pendiente",AC20)))</formula>
    </cfRule>
  </conditionalFormatting>
  <conditionalFormatting sqref="AD20:AE25 AG20:AG25">
    <cfRule type="containsText" priority="82" operator="containsText" dxfId="1" text="pendiente">
      <formula>NOT(ISERROR(SEARCH("pendiente",AD20)))</formula>
    </cfRule>
  </conditionalFormatting>
  <conditionalFormatting sqref="AD20:AE21">
    <cfRule type="cellIs" priority="55" operator="equal" dxfId="1">
      <formula>"pendiente"</formula>
    </cfRule>
    <cfRule type="containsText" priority="56" operator="containsText" dxfId="0" text="pagado">
      <formula>NOT(ISERROR(SEARCH("pagado",AD20)))</formula>
    </cfRule>
    <cfRule type="cellIs" priority="53" operator="equal" dxfId="1">
      <formula>"pendiente"</formula>
    </cfRule>
    <cfRule type="containsText" priority="54" operator="containsText" dxfId="0" text="pagado">
      <formula>NOT(ISERROR(SEARCH("pagado",AD20)))</formula>
    </cfRule>
  </conditionalFormatting>
  <conditionalFormatting sqref="AD23:AE23">
    <cfRule type="cellIs" priority="47" operator="equal" dxfId="1">
      <formula>"pendiente"</formula>
    </cfRule>
    <cfRule type="containsText" priority="48" operator="containsText" dxfId="0" text="pagado">
      <formula>NOT(ISERROR(SEARCH("pagado",AD23)))</formula>
    </cfRule>
    <cfRule type="cellIs" priority="45" operator="equal" dxfId="1">
      <formula>"pendiente"</formula>
    </cfRule>
    <cfRule type="containsText" priority="46" operator="containsText" dxfId="0" text="pagado">
      <formula>NOT(ISERROR(SEARCH("pagado",AD23)))</formula>
    </cfRule>
  </conditionalFormatting>
  <conditionalFormatting sqref="AD21:AE21 AG21">
    <cfRule type="containsText" priority="32" operator="containsText" dxfId="1" text="pendiente">
      <formula>NOT(ISERROR(SEARCH("pendiente",AD21)))</formula>
    </cfRule>
  </conditionalFormatting>
  <conditionalFormatting sqref="AD21:AE21">
    <cfRule type="cellIs" priority="30" operator="equal" dxfId="1">
      <formula>"pendiente"</formula>
    </cfRule>
    <cfRule type="containsText" priority="31" operator="containsText" dxfId="0" text="pagado">
      <formula>NOT(ISERROR(SEARCH("pagado",AD21)))</formula>
    </cfRule>
  </conditionalFormatting>
  <conditionalFormatting sqref="AD22:AE22">
    <cfRule type="cellIs" priority="23" operator="equal" dxfId="1">
      <formula>"pendiente"</formula>
    </cfRule>
    <cfRule type="containsText" priority="24" operator="containsText" dxfId="0" text="pagado">
      <formula>NOT(ISERROR(SEARCH("pagado",AD22)))</formula>
    </cfRule>
    <cfRule type="cellIs" priority="21" operator="equal" dxfId="1">
      <formula>"pendiente"</formula>
    </cfRule>
    <cfRule type="containsText" priority="22" operator="containsText" dxfId="0" text="pagado">
      <formula>NOT(ISERROR(SEARCH("pagado",AD22)))</formula>
    </cfRule>
  </conditionalFormatting>
  <conditionalFormatting sqref="AD24:AE25">
    <cfRule type="cellIs" priority="19" operator="equal" dxfId="1">
      <formula>"pendiente"</formula>
    </cfRule>
    <cfRule type="containsText" priority="20" operator="containsText" dxfId="0" text="pagado">
      <formula>NOT(ISERROR(SEARCH("pagado",AD24)))</formula>
    </cfRule>
    <cfRule type="cellIs" priority="17" operator="equal" dxfId="1">
      <formula>"pendiente"</formula>
    </cfRule>
    <cfRule type="containsText" priority="18" operator="containsText" dxfId="0" text="pagado">
      <formula>NOT(ISERROR(SEARCH("pagado",AD24)))</formula>
    </cfRule>
  </conditionalFormatting>
  <conditionalFormatting sqref="AC2:AC4">
    <cfRule type="containsText" priority="14" operator="containsText" dxfId="62" text="abonado">
      <formula>NOT(ISERROR(SEARCH("abonado",AC2)))</formula>
    </cfRule>
    <cfRule type="containsText" priority="15" operator="containsText" dxfId="61" text="pagado">
      <formula>NOT(ISERROR(SEARCH("pagado",AC2)))</formula>
    </cfRule>
    <cfRule type="containsText" priority="16" operator="containsText" dxfId="60" text="pendiente">
      <formula>NOT(ISERROR(SEARCH("pendiente",AC2)))</formula>
    </cfRule>
  </conditionalFormatting>
  <conditionalFormatting sqref="AD2:AE4 AG2:AG4">
    <cfRule type="containsText" priority="13" operator="containsText" dxfId="1" text="pendiente">
      <formula>NOT(ISERROR(SEARCH("pendiente",AD2)))</formula>
    </cfRule>
  </conditionalFormatting>
  <conditionalFormatting sqref="AD2:AE2">
    <cfRule type="cellIs" priority="11" operator="equal" dxfId="1">
      <formula>"pendiente"</formula>
    </cfRule>
    <cfRule type="containsText" priority="12" operator="containsText" dxfId="0" text="pagado">
      <formula>NOT(ISERROR(SEARCH("pagado",AD2)))</formula>
    </cfRule>
    <cfRule type="cellIs" priority="9" operator="equal" dxfId="1">
      <formula>"pendiente"</formula>
    </cfRule>
    <cfRule type="containsText" priority="10" operator="containsText" dxfId="0" text="pagado">
      <formula>NOT(ISERROR(SEARCH("pagado",AD2)))</formula>
    </cfRule>
  </conditionalFormatting>
  <conditionalFormatting sqref="AD3:AE3">
    <cfRule type="cellIs" priority="7" operator="equal" dxfId="1">
      <formula>"pendiente"</formula>
    </cfRule>
    <cfRule type="containsText" priority="8" operator="containsText" dxfId="0" text="pagado">
      <formula>NOT(ISERROR(SEARCH("pagado",AD3)))</formula>
    </cfRule>
    <cfRule type="cellIs" priority="5" operator="equal" dxfId="1">
      <formula>"pendiente"</formula>
    </cfRule>
    <cfRule type="containsText" priority="6" operator="containsText" dxfId="0" text="pagado">
      <formula>NOT(ISERROR(SEARCH("pagado",AD3)))</formula>
    </cfRule>
  </conditionalFormatting>
  <conditionalFormatting sqref="AD4:AE4">
    <cfRule type="cellIs" priority="3" operator="equal" dxfId="1">
      <formula>"pendiente"</formula>
    </cfRule>
    <cfRule type="containsText" priority="4" operator="containsText" dxfId="0" text="pagado">
      <formula>NOT(ISERROR(SEARCH("pagado",AD4)))</formula>
    </cfRule>
    <cfRule type="cellIs" priority="1" operator="equal" dxfId="1">
      <formula>"pendiente"</formula>
    </cfRule>
    <cfRule type="containsText" priority="2" operator="containsText" dxfId="0" text="pagado">
      <formula>NOT(ISERROR(SEARCH("pagado",AD4)))</formula>
    </cfRule>
  </conditionalFormatting>
  <dataValidations count="3">
    <dataValidation sqref="AC2:AC4 AC20:AC25 AC32:AC34 AC36:AC1048576" showDropDown="0" showInputMessage="1" showErrorMessage="1" allowBlank="1" type="list">
      <formula1>"pagado,pendiente,abonado"</formula1>
    </dataValidation>
    <dataValidation sqref="AL21" showDropDown="0" showInputMessage="1" showErrorMessage="1" allowBlank="1" type="list">
      <formula1>"WOC_Asset,WOC_OM,OM_Otros,nudos,Ingeniería,Asset"</formula1>
    </dataValidation>
    <dataValidation sqref="AM21" showDropDown="0" showInputMessage="1" showErrorMessage="1" allowBlank="1" type="list">
      <formula1>"Refacturación,Promoción,Explotación,Extraordinario,Legal,Administración,Privativas,Dirección"</formula1>
    </dataValidation>
  </dataValidations>
  <hyperlinks>
    <hyperlink xmlns:r="http://schemas.openxmlformats.org/officeDocument/2006/relationships" ref="F21" display="aBalados@abalados.es" r:id="rId1"/>
  </hyperlink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Hoja19">
    <tabColor rgb="FF92D050"/>
    <outlinePr summaryBelow="1" summaryRight="1"/>
    <pageSetUpPr/>
  </sheetPr>
  <dimension ref="A1:AM42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0" sqref="B10"/>
    </sheetView>
  </sheetViews>
  <sheetFormatPr baseColWidth="10" defaultColWidth="11.3828125" defaultRowHeight="14.6"/>
  <cols>
    <col width="11.3828125" customWidth="1" style="700" min="1" max="1"/>
    <col width="15.3046875" customWidth="1" style="700" min="2" max="2"/>
    <col width="28.84375" customWidth="1" style="700" min="3" max="3"/>
    <col width="11.84375" customWidth="1" style="700" min="4" max="4"/>
    <col width="13.53515625" customWidth="1" style="700" min="5" max="5"/>
    <col width="32.3828125" customWidth="1" style="700" min="6" max="6"/>
    <col width="39.69140625" bestFit="1" customWidth="1" style="700" min="7" max="7"/>
    <col width="23.3828125" customWidth="1" style="700" min="8" max="8"/>
    <col width="28.3828125" customWidth="1" style="700" min="9" max="9"/>
    <col width="23.53515625" customWidth="1" style="700" min="10" max="10"/>
    <col width="51.84375" customWidth="1" style="700" min="11" max="11"/>
    <col width="11.3046875" customWidth="1" style="700" min="12" max="12"/>
    <col width="37.53515625" customWidth="1" style="700" min="13" max="13"/>
    <col width="11.3828125" customWidth="1" style="700" min="14" max="27"/>
    <col width="28.3828125" customWidth="1" style="700" min="28" max="28"/>
    <col width="11.69140625" bestFit="1" customWidth="1" style="700" min="30" max="30"/>
    <col width="11.3828125" customWidth="1" style="700" min="31" max="37"/>
  </cols>
  <sheetData>
    <row r="1" ht="54" customFormat="1" customHeight="1" s="685">
      <c r="A1" s="19" t="inlineStr">
        <is>
          <t>nº Factura</t>
        </is>
      </c>
      <c r="B1" s="93" t="inlineStr">
        <is>
          <t>fecha</t>
        </is>
      </c>
      <c r="C1" s="684" t="inlineStr">
        <is>
          <t>Emisor</t>
        </is>
      </c>
      <c r="G1" s="684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4" t="inlineStr">
        <is>
          <t>nº cuenta</t>
        </is>
      </c>
      <c r="AC1" s="684" t="inlineStr">
        <is>
          <t>Estado</t>
        </is>
      </c>
      <c r="AD1" s="684" t="inlineStr">
        <is>
          <t>Total</t>
        </is>
      </c>
      <c r="AE1" s="684" t="inlineStr">
        <is>
          <t>AP Asesores</t>
        </is>
      </c>
      <c r="AH1" s="684" t="inlineStr">
        <is>
          <t>Total</t>
        </is>
      </c>
      <c r="AI1" s="684" t="inlineStr">
        <is>
          <t>% Contabilidad</t>
        </is>
      </c>
      <c r="AJ1" s="684" t="inlineStr">
        <is>
          <t>Pendiente</t>
        </is>
      </c>
      <c r="AK1" s="684" t="inlineStr">
        <is>
          <t>cliente</t>
        </is>
      </c>
    </row>
    <row r="2" ht="15" customFormat="1" customHeight="1" s="685">
      <c r="A2" s="19" t="n"/>
      <c r="B2" s="93" t="n"/>
      <c r="C2" s="684" t="n"/>
      <c r="D2" s="684" t="n"/>
      <c r="E2" s="684" t="n"/>
      <c r="F2" s="684" t="n"/>
      <c r="G2" s="684" t="n"/>
      <c r="H2" s="684" t="n"/>
      <c r="I2" s="684" t="n"/>
      <c r="J2" s="684" t="n"/>
      <c r="K2" s="19" t="n"/>
      <c r="L2" s="21" t="n"/>
      <c r="M2" s="19" t="n"/>
      <c r="N2" s="21" t="n"/>
      <c r="O2" s="19" t="n"/>
      <c r="P2" s="21" t="n"/>
      <c r="Q2" s="81" t="n"/>
      <c r="R2" s="21" t="n"/>
      <c r="S2" s="19" t="n"/>
      <c r="T2" s="21" t="n"/>
      <c r="U2" s="19" t="n"/>
      <c r="V2" s="21" t="n"/>
      <c r="W2" s="19" t="n"/>
      <c r="X2" s="21" t="n"/>
      <c r="Y2" s="19" t="n"/>
      <c r="Z2" s="21" t="n"/>
      <c r="AA2" s="21" t="n"/>
      <c r="AB2" s="684" t="n"/>
      <c r="AC2" s="684" t="n"/>
      <c r="AD2" s="684" t="n"/>
      <c r="AE2" s="684" t="n"/>
      <c r="AF2" s="684" t="n"/>
      <c r="AG2" s="684" t="n"/>
      <c r="AH2" s="684" t="n"/>
      <c r="AI2" s="684" t="n"/>
      <c r="AJ2" s="684" t="n"/>
      <c r="AK2" s="684" t="n"/>
    </row>
    <row r="3" ht="15" customFormat="1" customHeight="1" s="685">
      <c r="A3" s="19" t="n"/>
      <c r="B3" s="93" t="n"/>
      <c r="C3" s="684" t="n"/>
      <c r="D3" s="684" t="n"/>
      <c r="E3" s="684" t="n"/>
      <c r="F3" s="684" t="n"/>
      <c r="G3" s="684" t="n"/>
      <c r="H3" s="684" t="n"/>
      <c r="I3" s="684" t="n"/>
      <c r="J3" s="684" t="n"/>
      <c r="K3" s="19" t="n"/>
      <c r="L3" s="21" t="n"/>
      <c r="M3" s="19" t="n"/>
      <c r="N3" s="21" t="n"/>
      <c r="O3" s="19" t="n"/>
      <c r="P3" s="21" t="n"/>
      <c r="Q3" s="81" t="n"/>
      <c r="R3" s="21" t="n"/>
      <c r="S3" s="19" t="n"/>
      <c r="T3" s="21" t="n"/>
      <c r="U3" s="19" t="n"/>
      <c r="V3" s="21" t="n"/>
      <c r="W3" s="19" t="n"/>
      <c r="X3" s="21" t="n"/>
      <c r="Y3" s="19" t="n"/>
      <c r="Z3" s="21" t="n"/>
      <c r="AA3" s="21" t="n"/>
      <c r="AB3" s="684" t="n"/>
      <c r="AC3" s="684" t="n"/>
      <c r="AD3" s="684" t="n"/>
      <c r="AE3" s="684" t="n"/>
      <c r="AF3" s="684" t="n"/>
      <c r="AG3" s="684" t="n"/>
      <c r="AH3" s="684" t="n"/>
      <c r="AI3" s="684" t="n"/>
      <c r="AJ3" s="684" t="n"/>
      <c r="AK3" s="684" t="n"/>
    </row>
    <row r="4" ht="15" customFormat="1" customHeight="1" s="685">
      <c r="A4" s="19" t="n"/>
      <c r="B4" s="93" t="n"/>
      <c r="C4" s="684" t="n"/>
      <c r="D4" s="684" t="n"/>
      <c r="E4" s="684" t="n"/>
      <c r="F4" s="684" t="n"/>
      <c r="G4" s="684" t="n"/>
      <c r="H4" s="684" t="n"/>
      <c r="I4" s="684" t="n"/>
      <c r="J4" s="684" t="n"/>
      <c r="K4" s="19" t="n"/>
      <c r="L4" s="21" t="n"/>
      <c r="M4" s="19" t="n"/>
      <c r="N4" s="21" t="n"/>
      <c r="O4" s="19" t="n"/>
      <c r="P4" s="21" t="n"/>
      <c r="Q4" s="81" t="n"/>
      <c r="R4" s="21" t="n"/>
      <c r="S4" s="19" t="n"/>
      <c r="T4" s="21" t="n"/>
      <c r="U4" s="19" t="n"/>
      <c r="V4" s="21" t="n"/>
      <c r="W4" s="19" t="n"/>
      <c r="X4" s="21" t="n"/>
      <c r="Y4" s="19" t="n"/>
      <c r="Z4" s="21" t="n"/>
      <c r="AA4" s="21" t="n"/>
      <c r="AB4" s="684" t="n"/>
      <c r="AC4" s="684" t="n"/>
      <c r="AD4" s="684" t="n"/>
      <c r="AE4" s="684" t="n"/>
      <c r="AF4" s="684" t="n"/>
      <c r="AG4" s="684" t="n"/>
      <c r="AH4" s="684" t="n"/>
      <c r="AI4" s="684" t="n"/>
      <c r="AJ4" s="684" t="n"/>
      <c r="AK4" s="684" t="n"/>
    </row>
    <row r="5" ht="15" customFormat="1" customHeight="1" s="685">
      <c r="A5" s="19" t="n"/>
      <c r="B5" s="93" t="n"/>
      <c r="C5" s="684" t="n"/>
      <c r="D5" s="684" t="n"/>
      <c r="E5" s="684" t="n"/>
      <c r="F5" s="684" t="n"/>
      <c r="G5" s="684" t="n"/>
      <c r="H5" s="684" t="n"/>
      <c r="I5" s="684" t="n"/>
      <c r="J5" s="684" t="n"/>
      <c r="K5" s="19" t="n"/>
      <c r="L5" s="21" t="n"/>
      <c r="M5" s="19" t="n"/>
      <c r="N5" s="21" t="n"/>
      <c r="O5" s="19" t="n"/>
      <c r="P5" s="21" t="n"/>
      <c r="Q5" s="81" t="n"/>
      <c r="R5" s="21" t="n"/>
      <c r="S5" s="19" t="n"/>
      <c r="T5" s="21" t="n"/>
      <c r="U5" s="19" t="n"/>
      <c r="V5" s="21" t="n"/>
      <c r="W5" s="19" t="n"/>
      <c r="X5" s="21" t="n"/>
      <c r="Y5" s="19" t="n"/>
      <c r="Z5" s="21" t="n"/>
      <c r="AA5" s="21" t="n"/>
      <c r="AB5" s="684" t="n"/>
      <c r="AC5" s="684" t="n"/>
      <c r="AD5" s="684" t="n"/>
      <c r="AE5" s="684" t="n"/>
      <c r="AF5" s="684" t="n"/>
      <c r="AG5" s="684" t="n"/>
      <c r="AH5" s="684" t="n"/>
      <c r="AI5" s="684" t="n"/>
      <c r="AJ5" s="684" t="n"/>
      <c r="AK5" s="684" t="n"/>
    </row>
    <row r="6" ht="15" customFormat="1" customHeight="1" s="685">
      <c r="A6" s="19" t="n"/>
      <c r="B6" s="93" t="n"/>
      <c r="C6" s="684" t="n"/>
      <c r="D6" s="684" t="n"/>
      <c r="E6" s="684" t="n"/>
      <c r="F6" s="684" t="n"/>
      <c r="G6" s="684" t="n"/>
      <c r="H6" s="684" t="n"/>
      <c r="I6" s="684" t="n"/>
      <c r="J6" s="684" t="n"/>
      <c r="K6" s="19" t="n"/>
      <c r="L6" s="21" t="n"/>
      <c r="M6" s="19" t="n"/>
      <c r="N6" s="21" t="n"/>
      <c r="O6" s="19" t="n"/>
      <c r="P6" s="21" t="n"/>
      <c r="Q6" s="81" t="n"/>
      <c r="R6" s="21" t="n"/>
      <c r="S6" s="19" t="n"/>
      <c r="T6" s="21" t="n"/>
      <c r="U6" s="19" t="n"/>
      <c r="V6" s="21" t="n"/>
      <c r="W6" s="19" t="n"/>
      <c r="X6" s="21" t="n"/>
      <c r="Y6" s="19" t="n"/>
      <c r="Z6" s="21" t="n"/>
      <c r="AA6" s="21" t="n"/>
      <c r="AB6" s="684" t="n"/>
      <c r="AC6" s="684" t="n"/>
      <c r="AD6" s="684" t="n"/>
      <c r="AE6" s="684" t="n"/>
      <c r="AF6" s="684" t="n"/>
      <c r="AG6" s="684" t="n"/>
      <c r="AH6" s="684" t="n"/>
      <c r="AI6" s="684" t="n"/>
      <c r="AJ6" s="684" t="n"/>
      <c r="AK6" s="684" t="n"/>
    </row>
    <row r="7" ht="15" customFormat="1" customHeight="1" s="685">
      <c r="A7" s="19" t="n"/>
      <c r="B7" s="93" t="n"/>
      <c r="C7" s="684" t="n"/>
      <c r="D7" s="684" t="n"/>
      <c r="E7" s="684" t="n"/>
      <c r="F7" s="684" t="n"/>
      <c r="G7" s="684" t="n"/>
      <c r="H7" s="684" t="n"/>
      <c r="I7" s="684" t="n"/>
      <c r="J7" s="684" t="n"/>
      <c r="K7" s="19" t="n"/>
      <c r="L7" s="21" t="n"/>
      <c r="M7" s="19" t="n"/>
      <c r="N7" s="21" t="n"/>
      <c r="O7" s="19" t="n"/>
      <c r="P7" s="21" t="n"/>
      <c r="Q7" s="81" t="n"/>
      <c r="R7" s="21" t="n"/>
      <c r="S7" s="19" t="n"/>
      <c r="T7" s="21" t="n"/>
      <c r="U7" s="19" t="n"/>
      <c r="V7" s="21" t="n"/>
      <c r="W7" s="19" t="n"/>
      <c r="X7" s="21" t="n"/>
      <c r="Y7" s="19" t="n"/>
      <c r="Z7" s="21" t="n"/>
      <c r="AA7" s="21" t="n"/>
      <c r="AB7" s="684" t="n"/>
      <c r="AC7" s="684" t="n"/>
      <c r="AD7" s="684" t="n"/>
      <c r="AE7" s="684" t="n"/>
      <c r="AF7" s="684" t="n"/>
      <c r="AG7" s="684" t="n"/>
      <c r="AH7" s="684" t="n"/>
      <c r="AI7" s="684" t="n"/>
      <c r="AJ7" s="684" t="n"/>
      <c r="AK7" s="684" t="n"/>
    </row>
    <row r="8" ht="15" customFormat="1" customHeight="1" s="685">
      <c r="A8" s="19" t="n"/>
      <c r="B8" s="93" t="n"/>
      <c r="C8" s="684" t="n"/>
      <c r="D8" s="684" t="n"/>
      <c r="E8" s="684" t="n"/>
      <c r="F8" s="684" t="n"/>
      <c r="G8" s="684" t="n"/>
      <c r="H8" s="684" t="n"/>
      <c r="I8" s="684" t="n"/>
      <c r="J8" s="684" t="n"/>
      <c r="K8" s="19" t="n"/>
      <c r="L8" s="21" t="n"/>
      <c r="M8" s="19" t="n"/>
      <c r="N8" s="21" t="n"/>
      <c r="O8" s="19" t="n"/>
      <c r="P8" s="21" t="n"/>
      <c r="Q8" s="81" t="n"/>
      <c r="R8" s="21" t="n"/>
      <c r="S8" s="19" t="n"/>
      <c r="T8" s="21" t="n"/>
      <c r="U8" s="19" t="n"/>
      <c r="V8" s="21" t="n"/>
      <c r="W8" s="19" t="n"/>
      <c r="X8" s="21" t="n"/>
      <c r="Y8" s="19" t="n"/>
      <c r="Z8" s="21" t="n"/>
      <c r="AA8" s="21" t="n"/>
      <c r="AB8" s="684" t="n"/>
      <c r="AC8" s="684" t="n"/>
      <c r="AD8" s="684" t="n"/>
      <c r="AE8" s="684" t="n"/>
      <c r="AF8" s="684" t="n"/>
      <c r="AG8" s="684" t="n"/>
      <c r="AH8" s="684" t="n"/>
      <c r="AI8" s="684" t="n"/>
      <c r="AJ8" s="684" t="n"/>
      <c r="AK8" s="684" t="n"/>
    </row>
    <row r="9" ht="15" customFormat="1" customHeight="1" s="685">
      <c r="A9" s="19" t="n"/>
      <c r="B9" s="93" t="n"/>
      <c r="C9" s="684" t="n"/>
      <c r="D9" s="684" t="n"/>
      <c r="E9" s="684" t="n"/>
      <c r="F9" s="684" t="n"/>
      <c r="G9" s="684" t="n"/>
      <c r="H9" s="684" t="n"/>
      <c r="I9" s="684" t="n"/>
      <c r="J9" s="684" t="n"/>
      <c r="K9" s="19" t="n"/>
      <c r="L9" s="21" t="n"/>
      <c r="M9" s="19" t="n"/>
      <c r="N9" s="21" t="n"/>
      <c r="O9" s="19" t="n"/>
      <c r="P9" s="21" t="n"/>
      <c r="Q9" s="81" t="n"/>
      <c r="R9" s="21" t="n"/>
      <c r="S9" s="19" t="n"/>
      <c r="T9" s="21" t="n"/>
      <c r="U9" s="19" t="n"/>
      <c r="V9" s="21" t="n"/>
      <c r="W9" s="19" t="n"/>
      <c r="X9" s="21" t="n"/>
      <c r="Y9" s="19" t="n"/>
      <c r="Z9" s="21" t="n"/>
      <c r="AA9" s="21" t="n"/>
      <c r="AB9" s="684" t="n"/>
      <c r="AC9" s="684" t="n"/>
      <c r="AD9" s="684" t="n"/>
      <c r="AE9" s="684" t="n"/>
      <c r="AF9" s="684" t="n"/>
      <c r="AG9" s="684" t="n"/>
      <c r="AH9" s="684" t="n"/>
      <c r="AI9" s="684" t="n"/>
      <c r="AJ9" s="684" t="n"/>
      <c r="AK9" s="684" t="n"/>
    </row>
    <row r="10" ht="15" customFormat="1" customHeight="1" s="685">
      <c r="A10" s="19" t="n"/>
      <c r="B10" s="93" t="n"/>
      <c r="C10" s="684" t="n"/>
      <c r="D10" s="684" t="n"/>
      <c r="E10" s="684" t="n"/>
      <c r="F10" s="684" t="n"/>
      <c r="G10" s="684" t="n"/>
      <c r="H10" s="684" t="n"/>
      <c r="I10" s="684" t="n"/>
      <c r="J10" s="684" t="n"/>
      <c r="K10" s="19" t="n"/>
      <c r="L10" s="21" t="n"/>
      <c r="M10" s="19" t="n"/>
      <c r="N10" s="21" t="n"/>
      <c r="O10" s="19" t="n"/>
      <c r="P10" s="21" t="n"/>
      <c r="Q10" s="81" t="n"/>
      <c r="R10" s="21" t="n"/>
      <c r="S10" s="19" t="n"/>
      <c r="T10" s="21" t="n"/>
      <c r="U10" s="19" t="n"/>
      <c r="V10" s="21" t="n"/>
      <c r="W10" s="19" t="n"/>
      <c r="X10" s="21" t="n"/>
      <c r="Y10" s="19" t="n"/>
      <c r="Z10" s="21" t="n"/>
      <c r="AA10" s="21" t="n"/>
      <c r="AB10" s="684" t="n"/>
      <c r="AC10" s="684" t="n"/>
      <c r="AD10" s="684" t="n"/>
      <c r="AE10" s="684" t="n"/>
      <c r="AF10" s="684" t="n"/>
      <c r="AG10" s="684" t="n"/>
      <c r="AH10" s="684" t="n"/>
      <c r="AI10" s="684" t="n"/>
      <c r="AJ10" s="684" t="n"/>
      <c r="AK10" s="684" t="n"/>
    </row>
    <row r="11" ht="15" customFormat="1" customHeight="1" s="685">
      <c r="A11" s="19" t="n"/>
      <c r="B11" s="93" t="n"/>
      <c r="C11" s="684" t="n"/>
      <c r="D11" s="684" t="n"/>
      <c r="E11" s="684" t="n"/>
      <c r="F11" s="684" t="n"/>
      <c r="G11" s="684" t="n"/>
      <c r="H11" s="684" t="n"/>
      <c r="I11" s="684" t="n"/>
      <c r="J11" s="684" t="n"/>
      <c r="K11" s="19" t="n"/>
      <c r="L11" s="21" t="n"/>
      <c r="M11" s="19" t="n"/>
      <c r="N11" s="21" t="n"/>
      <c r="O11" s="19" t="n"/>
      <c r="P11" s="21" t="n"/>
      <c r="Q11" s="81" t="n"/>
      <c r="R11" s="21" t="n"/>
      <c r="S11" s="19" t="n"/>
      <c r="T11" s="21" t="n"/>
      <c r="U11" s="19" t="n"/>
      <c r="V11" s="21" t="n"/>
      <c r="W11" s="19" t="n"/>
      <c r="X11" s="21" t="n"/>
      <c r="Y11" s="19" t="n"/>
      <c r="Z11" s="21" t="n"/>
      <c r="AA11" s="21" t="n"/>
      <c r="AB11" s="684" t="n"/>
      <c r="AC11" s="684" t="n"/>
      <c r="AD11" s="684" t="n"/>
      <c r="AE11" s="684" t="n"/>
      <c r="AF11" s="684" t="n"/>
      <c r="AG11" s="684" t="n"/>
      <c r="AH11" s="684" t="n"/>
      <c r="AI11" s="684" t="n"/>
      <c r="AJ11" s="684" t="n"/>
      <c r="AK11" s="684" t="n"/>
    </row>
    <row r="12" ht="15" customFormat="1" customHeight="1" s="685">
      <c r="A12" s="19" t="n"/>
      <c r="B12" s="93" t="n"/>
      <c r="C12" s="684" t="n"/>
      <c r="D12" s="684" t="n"/>
      <c r="E12" s="684" t="n"/>
      <c r="F12" s="684" t="n"/>
      <c r="G12" s="684" t="n"/>
      <c r="H12" s="684" t="n"/>
      <c r="I12" s="684" t="n"/>
      <c r="J12" s="684" t="n"/>
      <c r="K12" s="19" t="n"/>
      <c r="L12" s="21" t="n"/>
      <c r="M12" s="19" t="n"/>
      <c r="N12" s="21" t="n"/>
      <c r="O12" s="19" t="n"/>
      <c r="P12" s="21" t="n"/>
      <c r="Q12" s="81" t="n"/>
      <c r="R12" s="21" t="n"/>
      <c r="S12" s="19" t="n"/>
      <c r="T12" s="21" t="n"/>
      <c r="U12" s="19" t="n"/>
      <c r="V12" s="21" t="n"/>
      <c r="W12" s="19" t="n"/>
      <c r="X12" s="21" t="n"/>
      <c r="Y12" s="19" t="n"/>
      <c r="Z12" s="21" t="n"/>
      <c r="AA12" s="21" t="n"/>
      <c r="AB12" s="684" t="n"/>
      <c r="AC12" s="684" t="n"/>
      <c r="AD12" s="684" t="n"/>
      <c r="AE12" s="684" t="n"/>
      <c r="AF12" s="684" t="n"/>
      <c r="AG12" s="684" t="n"/>
      <c r="AH12" s="684" t="n"/>
      <c r="AI12" s="684" t="n"/>
      <c r="AJ12" s="684" t="n"/>
      <c r="AK12" s="684" t="n"/>
    </row>
    <row r="13" ht="15" customFormat="1" customHeight="1" s="685">
      <c r="A13" s="19" t="n"/>
      <c r="B13" s="93" t="n"/>
      <c r="C13" s="684" t="n"/>
      <c r="D13" s="684" t="n"/>
      <c r="E13" s="684" t="n"/>
      <c r="F13" s="684" t="n"/>
      <c r="G13" s="684" t="n"/>
      <c r="H13" s="684" t="n"/>
      <c r="I13" s="684" t="n"/>
      <c r="J13" s="684" t="n"/>
      <c r="K13" s="19" t="n"/>
      <c r="L13" s="21" t="n"/>
      <c r="M13" s="19" t="n"/>
      <c r="N13" s="21" t="n"/>
      <c r="O13" s="19" t="n"/>
      <c r="P13" s="21" t="n"/>
      <c r="Q13" s="81" t="n"/>
      <c r="R13" s="21" t="n"/>
      <c r="S13" s="19" t="n"/>
      <c r="T13" s="21" t="n"/>
      <c r="U13" s="19" t="n"/>
      <c r="V13" s="21" t="n"/>
      <c r="W13" s="19" t="n"/>
      <c r="X13" s="21" t="n"/>
      <c r="Y13" s="19" t="n"/>
      <c r="Z13" s="21" t="n"/>
      <c r="AA13" s="21" t="n"/>
      <c r="AB13" s="684" t="n"/>
      <c r="AC13" s="684" t="n"/>
      <c r="AD13" s="684" t="n"/>
      <c r="AE13" s="684" t="n"/>
      <c r="AF13" s="684" t="n"/>
      <c r="AG13" s="684" t="n"/>
      <c r="AH13" s="684" t="n"/>
      <c r="AI13" s="684" t="n"/>
      <c r="AJ13" s="684" t="n"/>
      <c r="AK13" s="684" t="n"/>
    </row>
    <row r="14" ht="15" customFormat="1" customHeight="1" s="685">
      <c r="A14" s="19" t="n"/>
      <c r="B14" s="93" t="n"/>
      <c r="C14" s="684" t="n"/>
      <c r="D14" s="684" t="n"/>
      <c r="E14" s="684" t="n"/>
      <c r="F14" s="684" t="n"/>
      <c r="G14" s="684" t="n"/>
      <c r="H14" s="684" t="n"/>
      <c r="I14" s="684" t="n"/>
      <c r="J14" s="684" t="n"/>
      <c r="K14" s="19" t="n"/>
      <c r="L14" s="21" t="n"/>
      <c r="M14" s="19" t="n"/>
      <c r="N14" s="21" t="n"/>
      <c r="O14" s="19" t="n"/>
      <c r="P14" s="21" t="n"/>
      <c r="Q14" s="81" t="n"/>
      <c r="R14" s="21" t="n"/>
      <c r="S14" s="19" t="n"/>
      <c r="T14" s="21" t="n"/>
      <c r="U14" s="19" t="n"/>
      <c r="V14" s="21" t="n"/>
      <c r="W14" s="19" t="n"/>
      <c r="X14" s="21" t="n"/>
      <c r="Y14" s="19" t="n"/>
      <c r="Z14" s="21" t="n"/>
      <c r="AA14" s="21" t="n"/>
      <c r="AB14" s="684" t="n"/>
      <c r="AC14" s="684" t="n"/>
      <c r="AD14" s="684" t="n"/>
      <c r="AE14" s="684" t="n"/>
      <c r="AF14" s="684" t="n"/>
      <c r="AG14" s="684" t="n"/>
      <c r="AH14" s="684" t="n"/>
      <c r="AI14" s="684" t="n"/>
      <c r="AJ14" s="684" t="n"/>
      <c r="AK14" s="684" t="n"/>
    </row>
    <row r="15" ht="15" customFormat="1" customHeight="1" s="685">
      <c r="A15" s="19" t="n"/>
      <c r="B15" s="93" t="n"/>
      <c r="C15" s="684" t="n"/>
      <c r="D15" s="684" t="n"/>
      <c r="E15" s="684" t="n"/>
      <c r="F15" s="684" t="n"/>
      <c r="G15" s="684" t="n"/>
      <c r="H15" s="684" t="n"/>
      <c r="I15" s="684" t="n"/>
      <c r="J15" s="684" t="n"/>
      <c r="K15" s="19" t="n"/>
      <c r="L15" s="21" t="n"/>
      <c r="M15" s="19" t="n"/>
      <c r="N15" s="21" t="n"/>
      <c r="O15" s="19" t="n"/>
      <c r="P15" s="21" t="n"/>
      <c r="Q15" s="81" t="n"/>
      <c r="R15" s="21" t="n"/>
      <c r="S15" s="19" t="n"/>
      <c r="T15" s="21" t="n"/>
      <c r="U15" s="19" t="n"/>
      <c r="V15" s="21" t="n"/>
      <c r="W15" s="19" t="n"/>
      <c r="X15" s="21" t="n"/>
      <c r="Y15" s="19" t="n"/>
      <c r="Z15" s="21" t="n"/>
      <c r="AA15" s="21" t="n"/>
      <c r="AB15" s="684" t="n"/>
      <c r="AC15" s="684" t="n"/>
      <c r="AD15" s="684" t="n"/>
      <c r="AE15" s="684" t="n"/>
      <c r="AF15" s="684" t="n"/>
      <c r="AG15" s="684" t="n"/>
      <c r="AH15" s="684" t="n"/>
      <c r="AI15" s="684" t="n"/>
      <c r="AJ15" s="684" t="n"/>
      <c r="AK15" s="684" t="n"/>
    </row>
    <row r="16" ht="15" customFormat="1" customHeight="1" s="685">
      <c r="A16" s="19" t="n"/>
      <c r="B16" s="93" t="n"/>
      <c r="C16" s="684" t="n"/>
      <c r="D16" s="684" t="n"/>
      <c r="E16" s="684" t="n"/>
      <c r="F16" s="684" t="n"/>
      <c r="G16" s="684" t="n"/>
      <c r="H16" s="684" t="n"/>
      <c r="I16" s="684" t="n"/>
      <c r="J16" s="684" t="n"/>
      <c r="K16" s="19" t="n"/>
      <c r="L16" s="21" t="n"/>
      <c r="M16" s="19" t="n"/>
      <c r="N16" s="21" t="n"/>
      <c r="O16" s="19" t="n"/>
      <c r="P16" s="21" t="n"/>
      <c r="Q16" s="81" t="n"/>
      <c r="R16" s="21" t="n"/>
      <c r="S16" s="19" t="n"/>
      <c r="T16" s="21" t="n"/>
      <c r="U16" s="19" t="n"/>
      <c r="V16" s="21" t="n"/>
      <c r="W16" s="19" t="n"/>
      <c r="X16" s="21" t="n"/>
      <c r="Y16" s="19" t="n"/>
      <c r="Z16" s="21" t="n"/>
      <c r="AA16" s="21" t="n"/>
      <c r="AB16" s="684" t="n"/>
      <c r="AC16" s="684" t="n"/>
      <c r="AD16" s="684" t="n"/>
      <c r="AE16" s="684" t="n"/>
      <c r="AF16" s="684" t="n"/>
      <c r="AG16" s="684" t="n"/>
      <c r="AH16" s="684" t="n"/>
      <c r="AI16" s="684" t="n"/>
      <c r="AJ16" s="684" t="n"/>
      <c r="AK16" s="684" t="n"/>
    </row>
    <row r="17" ht="15" customFormat="1" customHeight="1" s="685">
      <c r="A17" s="19" t="n"/>
      <c r="B17" s="93" t="n"/>
      <c r="C17" s="684" t="n"/>
      <c r="D17" s="684" t="n"/>
      <c r="E17" s="684" t="n"/>
      <c r="F17" s="684" t="n"/>
      <c r="G17" s="684" t="n"/>
      <c r="H17" s="684" t="n"/>
      <c r="I17" s="684" t="n"/>
      <c r="J17" s="684" t="n"/>
      <c r="K17" s="19" t="n"/>
      <c r="L17" s="21" t="n"/>
      <c r="M17" s="19" t="n"/>
      <c r="N17" s="21" t="n"/>
      <c r="O17" s="19" t="n"/>
      <c r="P17" s="21" t="n"/>
      <c r="Q17" s="81" t="n"/>
      <c r="R17" s="21" t="n"/>
      <c r="S17" s="19" t="n"/>
      <c r="T17" s="21" t="n"/>
      <c r="U17" s="19" t="n"/>
      <c r="V17" s="21" t="n"/>
      <c r="W17" s="19" t="n"/>
      <c r="X17" s="21" t="n"/>
      <c r="Y17" s="19" t="n"/>
      <c r="Z17" s="21" t="n"/>
      <c r="AA17" s="21" t="n"/>
      <c r="AB17" s="684" t="n"/>
      <c r="AC17" s="684" t="n"/>
      <c r="AD17" s="684" t="n"/>
      <c r="AE17" s="684" t="n"/>
      <c r="AF17" s="684" t="n"/>
      <c r="AG17" s="684" t="n"/>
      <c r="AH17" s="684" t="n"/>
      <c r="AI17" s="684" t="n"/>
      <c r="AJ17" s="684" t="n"/>
      <c r="AK17" s="684" t="n"/>
    </row>
    <row r="18" ht="15" customFormat="1" customHeight="1" s="685">
      <c r="A18" s="19" t="n"/>
      <c r="B18" s="93" t="n"/>
      <c r="C18" s="684" t="n"/>
      <c r="D18" s="684" t="n"/>
      <c r="E18" s="684" t="n"/>
      <c r="F18" s="684" t="n"/>
      <c r="G18" s="684" t="n"/>
      <c r="H18" s="684" t="n"/>
      <c r="I18" s="684" t="n"/>
      <c r="J18" s="684" t="n"/>
      <c r="K18" s="19" t="n"/>
      <c r="L18" s="21" t="n"/>
      <c r="M18" s="19" t="n"/>
      <c r="N18" s="21" t="n"/>
      <c r="O18" s="19" t="n"/>
      <c r="P18" s="21" t="n"/>
      <c r="Q18" s="81" t="n"/>
      <c r="R18" s="21" t="n"/>
      <c r="S18" s="19" t="n"/>
      <c r="T18" s="21" t="n"/>
      <c r="U18" s="19" t="n"/>
      <c r="V18" s="21" t="n"/>
      <c r="W18" s="19" t="n"/>
      <c r="X18" s="21" t="n"/>
      <c r="Y18" s="19" t="n"/>
      <c r="Z18" s="21" t="n"/>
      <c r="AA18" s="21" t="n"/>
      <c r="AB18" s="684" t="n"/>
      <c r="AC18" s="684" t="n"/>
      <c r="AD18" s="684" t="n"/>
      <c r="AE18" s="684" t="n"/>
      <c r="AF18" s="684" t="n"/>
      <c r="AG18" s="684" t="n"/>
      <c r="AH18" s="684" t="n"/>
      <c r="AI18" s="684" t="n"/>
      <c r="AJ18" s="684" t="n"/>
      <c r="AK18" s="684" t="n"/>
    </row>
    <row r="19" ht="15" customFormat="1" customHeight="1" s="685">
      <c r="A19" s="19" t="n"/>
      <c r="B19" s="93" t="n"/>
      <c r="C19" s="684" t="n"/>
      <c r="D19" s="684" t="n"/>
      <c r="E19" s="684" t="n"/>
      <c r="F19" s="684" t="n"/>
      <c r="G19" s="684" t="n"/>
      <c r="H19" s="684" t="n"/>
      <c r="I19" s="684" t="n"/>
      <c r="J19" s="684" t="n"/>
      <c r="K19" s="19" t="n"/>
      <c r="L19" s="21" t="n"/>
      <c r="M19" s="19" t="n"/>
      <c r="N19" s="21" t="n"/>
      <c r="O19" s="19" t="n"/>
      <c r="P19" s="21" t="n"/>
      <c r="Q19" s="81" t="n"/>
      <c r="R19" s="21" t="n"/>
      <c r="S19" s="19" t="n"/>
      <c r="T19" s="21" t="n"/>
      <c r="U19" s="19" t="n"/>
      <c r="V19" s="21" t="n"/>
      <c r="W19" s="19" t="n"/>
      <c r="X19" s="21" t="n"/>
      <c r="Y19" s="19" t="n"/>
      <c r="Z19" s="21" t="n"/>
      <c r="AA19" s="21" t="n"/>
      <c r="AB19" s="684" t="n"/>
      <c r="AC19" s="684" t="n"/>
      <c r="AD19" s="684" t="n"/>
      <c r="AE19" s="684" t="n"/>
      <c r="AF19" s="684" t="n"/>
      <c r="AG19" s="684" t="n"/>
      <c r="AH19" s="684" t="n"/>
      <c r="AI19" s="684" t="n"/>
      <c r="AJ19" s="684" t="n"/>
      <c r="AK19" s="684" t="n"/>
    </row>
    <row r="20" ht="15" customFormat="1" customHeight="1" s="685">
      <c r="A20" s="19" t="n"/>
      <c r="B20" s="93" t="n"/>
      <c r="C20" s="684" t="n"/>
      <c r="D20" s="684" t="n"/>
      <c r="E20" s="684" t="n"/>
      <c r="F20" s="684" t="n"/>
      <c r="G20" s="684" t="n"/>
      <c r="H20" s="684" t="n"/>
      <c r="I20" s="684" t="n"/>
      <c r="J20" s="684" t="n"/>
      <c r="K20" s="19" t="n"/>
      <c r="L20" s="21" t="n"/>
      <c r="M20" s="19" t="n"/>
      <c r="N20" s="21" t="n"/>
      <c r="O20" s="19" t="n"/>
      <c r="P20" s="21" t="n"/>
      <c r="Q20" s="81" t="n"/>
      <c r="R20" s="21" t="n"/>
      <c r="S20" s="19" t="n"/>
      <c r="T20" s="21" t="n"/>
      <c r="U20" s="19" t="n"/>
      <c r="V20" s="21" t="n"/>
      <c r="W20" s="19" t="n"/>
      <c r="X20" s="21" t="n"/>
      <c r="Y20" s="19" t="n"/>
      <c r="Z20" s="21" t="n"/>
      <c r="AA20" s="21" t="n"/>
      <c r="AB20" s="684" t="n"/>
      <c r="AC20" s="684" t="n"/>
      <c r="AD20" s="684" t="n"/>
      <c r="AE20" s="684" t="n"/>
      <c r="AF20" s="684" t="n"/>
      <c r="AG20" s="684" t="n"/>
      <c r="AH20" s="684" t="n"/>
      <c r="AI20" s="684" t="n"/>
      <c r="AJ20" s="684" t="n"/>
      <c r="AK20" s="684" t="n"/>
    </row>
    <row r="21" ht="15" customFormat="1" customHeight="1" s="685">
      <c r="A21" s="19" t="n"/>
      <c r="B21" s="93" t="n"/>
      <c r="C21" s="684" t="n"/>
      <c r="D21" s="684" t="n"/>
      <c r="E21" s="684" t="n"/>
      <c r="F21" s="684" t="n"/>
      <c r="G21" s="684" t="n"/>
      <c r="H21" s="684" t="n"/>
      <c r="I21" s="684" t="n"/>
      <c r="J21" s="684" t="n"/>
      <c r="K21" s="19" t="n"/>
      <c r="L21" s="21" t="n"/>
      <c r="M21" s="19" t="n"/>
      <c r="N21" s="21" t="n"/>
      <c r="O21" s="19" t="n"/>
      <c r="P21" s="21" t="n"/>
      <c r="Q21" s="81" t="n"/>
      <c r="R21" s="21" t="n"/>
      <c r="S21" s="19" t="n"/>
      <c r="T21" s="21" t="n"/>
      <c r="U21" s="19" t="n"/>
      <c r="V21" s="21" t="n"/>
      <c r="W21" s="19" t="n"/>
      <c r="X21" s="21" t="n"/>
      <c r="Y21" s="19" t="n"/>
      <c r="Z21" s="21" t="n"/>
      <c r="AA21" s="21" t="n"/>
      <c r="AB21" s="684" t="n"/>
      <c r="AC21" s="684" t="n"/>
      <c r="AD21" s="684" t="n"/>
      <c r="AE21" s="684" t="n"/>
      <c r="AF21" s="684" t="n"/>
      <c r="AG21" s="684" t="n"/>
      <c r="AH21" s="684" t="n"/>
      <c r="AI21" s="684" t="n"/>
      <c r="AJ21" s="684" t="n"/>
      <c r="AK21" s="684" t="n"/>
    </row>
    <row r="22" ht="15" customFormat="1" customHeight="1" s="685">
      <c r="A22" s="19" t="n"/>
      <c r="B22" s="93" t="n"/>
      <c r="C22" s="684" t="n"/>
      <c r="D22" s="684" t="n"/>
      <c r="E22" s="684" t="n"/>
      <c r="F22" s="684" t="n"/>
      <c r="G22" s="684" t="n"/>
      <c r="H22" s="684" t="n"/>
      <c r="I22" s="684" t="n"/>
      <c r="J22" s="684" t="n"/>
      <c r="K22" s="19" t="n"/>
      <c r="L22" s="21" t="n"/>
      <c r="M22" s="19" t="n"/>
      <c r="N22" s="21" t="n"/>
      <c r="O22" s="19" t="n"/>
      <c r="P22" s="21" t="n"/>
      <c r="Q22" s="81" t="n"/>
      <c r="R22" s="21" t="n"/>
      <c r="S22" s="19" t="n"/>
      <c r="T22" s="21" t="n"/>
      <c r="U22" s="19" t="n"/>
      <c r="V22" s="21" t="n"/>
      <c r="W22" s="19" t="n"/>
      <c r="X22" s="21" t="n"/>
      <c r="Y22" s="19" t="n"/>
      <c r="Z22" s="21" t="n"/>
      <c r="AA22" s="21" t="n"/>
      <c r="AB22" s="684" t="n"/>
      <c r="AC22" s="684" t="n"/>
      <c r="AD22" s="684" t="n"/>
      <c r="AE22" s="684" t="n"/>
      <c r="AF22" s="684" t="n"/>
      <c r="AG22" s="684" t="n"/>
      <c r="AH22" s="684" t="n"/>
      <c r="AI22" s="684" t="n"/>
      <c r="AJ22" s="684" t="n"/>
      <c r="AK22" s="684" t="n"/>
    </row>
    <row r="23" ht="15" customFormat="1" customHeight="1" s="685">
      <c r="A23" s="19" t="n"/>
      <c r="B23" s="93" t="n"/>
      <c r="C23" s="684" t="n"/>
      <c r="D23" s="684" t="n"/>
      <c r="E23" s="684" t="n"/>
      <c r="F23" s="684" t="n"/>
      <c r="G23" s="684" t="n"/>
      <c r="H23" s="684" t="n"/>
      <c r="I23" s="684" t="n"/>
      <c r="J23" s="684" t="n"/>
      <c r="K23" s="19" t="n"/>
      <c r="L23" s="21" t="n"/>
      <c r="M23" s="19" t="n"/>
      <c r="N23" s="21" t="n"/>
      <c r="O23" s="19" t="n"/>
      <c r="P23" s="21" t="n"/>
      <c r="Q23" s="81" t="n"/>
      <c r="R23" s="21" t="n"/>
      <c r="S23" s="19" t="n"/>
      <c r="T23" s="21" t="n"/>
      <c r="U23" s="19" t="n"/>
      <c r="V23" s="21" t="n"/>
      <c r="W23" s="19" t="n"/>
      <c r="X23" s="21" t="n"/>
      <c r="Y23" s="19" t="n"/>
      <c r="Z23" s="21" t="n"/>
      <c r="AA23" s="21" t="n"/>
      <c r="AB23" s="684" t="n"/>
      <c r="AC23" s="684" t="n"/>
      <c r="AD23" s="684" t="n"/>
      <c r="AE23" s="684" t="n"/>
      <c r="AF23" s="684" t="n"/>
      <c r="AG23" s="684" t="n"/>
      <c r="AH23" s="684" t="n"/>
      <c r="AI23" s="684" t="n"/>
      <c r="AJ23" s="684" t="n"/>
      <c r="AK23" s="684" t="n"/>
    </row>
    <row r="24" ht="15" customFormat="1" customHeight="1" s="189">
      <c r="A24" s="432" t="n"/>
      <c r="B24" s="188" t="n"/>
      <c r="C24" s="189" t="inlineStr">
        <is>
          <t>C/ Las Cruzadas 3A, Local D</t>
        </is>
      </c>
      <c r="D24" s="189" t="inlineStr">
        <is>
          <t>Sevilla 41004</t>
        </is>
      </c>
      <c r="E24" s="189" t="inlineStr">
        <is>
          <t>ESB91938662</t>
        </is>
      </c>
      <c r="F24" s="433" t="inlineStr">
        <is>
          <t>Atn. Mr. Jiao Jiajia</t>
        </is>
      </c>
      <c r="G24" s="189" t="inlineStr">
        <is>
          <t>China Building Material International Technology Investment Co., Limited</t>
        </is>
      </c>
      <c r="H24" s="192">
        <f>VLOOKUP($G24,DATOS!$B:$E,2,FALSE)</f>
        <v/>
      </c>
      <c r="I24" s="192">
        <f>VLOOKUP($G24,DATOS!$B:$E,3,FALSE)</f>
        <v/>
      </c>
      <c r="J24" s="192">
        <f>VLOOKUP($G24,DATOS!$B:$E,4,FALSE)</f>
        <v/>
      </c>
      <c r="K24" s="189" t="inlineStr">
        <is>
          <t>PEVAFERSA FACILITIES</t>
        </is>
      </c>
      <c r="L24" s="190" t="n"/>
      <c r="M24" s="189" t="inlineStr">
        <is>
          <t>Toro, Zamora (Spain)</t>
        </is>
      </c>
      <c r="N24" s="190" t="n"/>
      <c r="P24" s="190" t="n"/>
      <c r="Q24" s="189" t="inlineStr">
        <is>
          <t>Technical &amp; Administrative support (Recy-01, OF 0001_2024)</t>
        </is>
      </c>
      <c r="R24" s="190" t="n">
        <v>2000</v>
      </c>
      <c r="S24" s="190" t="inlineStr">
        <is>
          <t>Lightpost removal works (Recy-02, OF 0001_2024)</t>
        </is>
      </c>
      <c r="T24" s="190">
        <f>2000+1500</f>
        <v/>
      </c>
      <c r="U24" s="190" t="n"/>
      <c r="V24" s="190" t="n"/>
      <c r="X24" s="190" t="n"/>
      <c r="Z24" s="190" t="n"/>
      <c r="AA24" s="190" t="n"/>
      <c r="AB24" s="403" t="inlineStr">
        <is>
          <t>ES85 2080 3509 1130 4009 6171</t>
        </is>
      </c>
      <c r="AC24" s="192" t="inlineStr">
        <is>
          <t>pagado</t>
        </is>
      </c>
      <c r="AD24" s="200">
        <f>L24+N24+P24+R24+T24+V24+X24+Z24</f>
        <v/>
      </c>
      <c r="AE24" s="200">
        <f>IF((LEFT(K24,6))="Contab",L24,0)</f>
        <v/>
      </c>
      <c r="AF24" s="201">
        <f>VLOOKUP(G24,CLIENTES!B:E,4,FALSE)</f>
        <v/>
      </c>
      <c r="AG24" s="200">
        <f>AF24*AE24</f>
        <v/>
      </c>
      <c r="AH24" s="200">
        <f>AD24*1.21</f>
        <v/>
      </c>
      <c r="AI24" s="283">
        <f>IF(AE24&lt;&gt;0,AG24/AD24,"N/A")</f>
        <v/>
      </c>
      <c r="AJ24" s="200">
        <f>IF(AC24="pendiente",AD24,0)</f>
        <v/>
      </c>
      <c r="AK24" s="192">
        <f>VLOOKUP(G24,CLIENTES!B:D,3,FALSE)</f>
        <v/>
      </c>
      <c r="AL24" s="192" t="inlineStr">
        <is>
          <t>Ingeniería</t>
        </is>
      </c>
      <c r="AM24" s="192" t="inlineStr">
        <is>
          <t>Extraordinario</t>
        </is>
      </c>
    </row>
    <row r="25" ht="15" customFormat="1" customHeight="1" s="278">
      <c r="A25" s="434" t="n"/>
      <c r="B25" s="279" t="n"/>
      <c r="F25" s="706" t="n"/>
      <c r="L25" s="280" t="n"/>
      <c r="N25" s="280" t="n"/>
      <c r="P25" s="280" t="n"/>
      <c r="R25" s="280" t="n"/>
      <c r="S25" s="280" t="n"/>
      <c r="T25" s="280" t="n"/>
      <c r="U25" s="280" t="n"/>
      <c r="V25" s="280" t="n"/>
      <c r="X25" s="280" t="n"/>
      <c r="Z25" s="280" t="n"/>
      <c r="AA25" s="280" t="n"/>
      <c r="AB25" s="281" t="n"/>
      <c r="AD25" s="280" t="n"/>
      <c r="AE25" s="280" t="n"/>
      <c r="AF25" s="281" t="n"/>
      <c r="AG25" s="280" t="n"/>
      <c r="AH25" s="280" t="n"/>
      <c r="AI25" s="282" t="n"/>
      <c r="AJ25" s="280" t="n"/>
    </row>
    <row r="26" ht="18" customFormat="1" customHeight="1" s="408">
      <c r="A26" s="427" t="n"/>
      <c r="B26" s="428" t="n"/>
      <c r="C26" s="429" t="n"/>
      <c r="D26" s="429" t="n"/>
      <c r="E26" s="429" t="n"/>
      <c r="F26" s="429" t="n"/>
      <c r="G26" s="429" t="n"/>
      <c r="H26" s="429" t="n"/>
      <c r="I26" s="429" t="n"/>
      <c r="J26" s="429" t="n"/>
      <c r="K26" s="427" t="n"/>
      <c r="L26" s="430" t="n"/>
      <c r="M26" s="427" t="n"/>
      <c r="N26" s="430" t="n"/>
      <c r="O26" s="427" t="n"/>
      <c r="P26" s="430" t="n"/>
      <c r="Q26" s="431" t="n"/>
      <c r="R26" s="430" t="n"/>
      <c r="S26" s="427" t="n"/>
      <c r="T26" s="430" t="n"/>
      <c r="U26" s="427" t="n"/>
      <c r="V26" s="430" t="n"/>
      <c r="W26" s="427" t="n"/>
      <c r="X26" s="430" t="n"/>
      <c r="Y26" s="427" t="n"/>
      <c r="Z26" s="430" t="n"/>
      <c r="AA26" s="430" t="n"/>
      <c r="AB26" s="429" t="n"/>
      <c r="AC26" s="429" t="n"/>
      <c r="AD26" s="429" t="n"/>
      <c r="AE26" s="429" t="n"/>
      <c r="AF26" s="429" t="n"/>
      <c r="AG26" s="429" t="n"/>
      <c r="AH26" s="429" t="n"/>
      <c r="AI26" s="429" t="n"/>
      <c r="AJ26" s="429" t="n"/>
      <c r="AK26" s="429" t="n"/>
    </row>
    <row r="27" ht="15" customFormat="1" customHeight="1" s="189">
      <c r="A27" s="432" t="n"/>
      <c r="B27" s="188" t="n"/>
      <c r="C27" s="189" t="inlineStr">
        <is>
          <t>C/ Las Cruzadas 3A, Local D</t>
        </is>
      </c>
      <c r="D27" s="189" t="inlineStr">
        <is>
          <t>Sevilla 41004</t>
        </is>
      </c>
      <c r="E27" s="189" t="inlineStr">
        <is>
          <t>ESB91938662</t>
        </is>
      </c>
      <c r="F27" s="433" t="inlineStr">
        <is>
          <t>Atn. Mr. Lui Lei</t>
        </is>
      </c>
      <c r="G27" s="189" t="inlineStr">
        <is>
          <t>China Triumph International Engineering Co.,Ltd.</t>
        </is>
      </c>
      <c r="H27" s="189" t="inlineStr">
        <is>
          <t>91310000102016281D</t>
        </is>
      </c>
      <c r="I27" s="189" t="inlineStr">
        <is>
          <t>27fl Zhongqi building, 2000 North Zhongshan Road</t>
        </is>
      </c>
      <c r="J27" s="189" t="inlineStr">
        <is>
          <t>200063 Shanghai (China)</t>
        </is>
      </c>
      <c r="K27" s="189" t="inlineStr">
        <is>
          <t>Construction Supervision and Monitoring</t>
        </is>
      </c>
      <c r="L27" s="190" t="n"/>
      <c r="N27" s="190" t="n"/>
      <c r="O27" s="189" t="inlineStr">
        <is>
          <t>Solara4 PV - Vaqueiros | Portugal</t>
        </is>
      </c>
      <c r="P27" s="190" t="n">
        <v>17000</v>
      </c>
      <c r="Q27" s="189" t="inlineStr">
        <is>
          <t>Services provided on December 2020</t>
        </is>
      </c>
      <c r="R27" s="190" t="n"/>
      <c r="T27" s="190" t="n"/>
      <c r="U27" s="190" t="n"/>
      <c r="V27" s="190" t="n"/>
      <c r="X27" s="190" t="n"/>
      <c r="Z27" s="190" t="n"/>
      <c r="AA27" s="190" t="n"/>
      <c r="AB27" s="191" t="inlineStr">
        <is>
          <t>ES11 0081 7069 2700 0122 7724</t>
        </is>
      </c>
      <c r="AC27" s="192" t="inlineStr">
        <is>
          <t>pagado</t>
        </is>
      </c>
      <c r="AD27" s="190">
        <f>L27+N27+P27+R27+T27+V27+X27+Z27</f>
        <v/>
      </c>
      <c r="AE27" s="190">
        <f>IF((LEFT(M27,4))="Cont",L27,0)</f>
        <v/>
      </c>
      <c r="AF27" s="191">
        <f>VLOOKUP(G27,CLIENTES!B:E,4,FALSE)</f>
        <v/>
      </c>
      <c r="AG27" s="190">
        <f>AF27*AE27</f>
        <v/>
      </c>
      <c r="AH27" s="190">
        <f>AD27</f>
        <v/>
      </c>
      <c r="AI27" s="193">
        <f>IF(AE27&lt;&gt;0,AG27/AD27,"N/A")</f>
        <v/>
      </c>
      <c r="AJ27" s="190">
        <f>IF(AC27="pendiente",AD27,0)</f>
        <v/>
      </c>
      <c r="AK27" s="189">
        <f>VLOOKUP(G27,CLIENTES!B:D,3,FALSE)</f>
        <v/>
      </c>
    </row>
    <row r="28" ht="15" customFormat="1" customHeight="1" s="189">
      <c r="A28" s="432" t="n"/>
      <c r="B28" s="188" t="n"/>
      <c r="C28" s="189" t="inlineStr">
        <is>
          <t>C/ Las Cruzadas 3A, Local D</t>
        </is>
      </c>
      <c r="D28" s="189" t="inlineStr">
        <is>
          <t>Sevilla 41004</t>
        </is>
      </c>
      <c r="E28" s="189" t="inlineStr">
        <is>
          <t>ESB91938662</t>
        </is>
      </c>
      <c r="F28" s="433" t="inlineStr">
        <is>
          <t>Atn. Mr. Lui Lei</t>
        </is>
      </c>
      <c r="G28" s="189" t="inlineStr">
        <is>
          <t>China Triumph International Engineering Co.,Ltd.</t>
        </is>
      </c>
      <c r="H28" s="189" t="inlineStr">
        <is>
          <t>91310000102016281D</t>
        </is>
      </c>
      <c r="I28" s="189" t="inlineStr">
        <is>
          <t>27fl Zhongqi building, 2000 North Zhongshan Road</t>
        </is>
      </c>
      <c r="J28" s="189" t="inlineStr">
        <is>
          <t>200063 Shanghai (China)</t>
        </is>
      </c>
      <c r="K28" s="189" t="inlineStr">
        <is>
          <t>Construction Supervision and Monitoring</t>
        </is>
      </c>
      <c r="L28" s="190" t="n"/>
      <c r="N28" s="190" t="n"/>
      <c r="O28" s="189" t="inlineStr">
        <is>
          <t>Solara4 PV - Vaqueiros | Portugal</t>
        </is>
      </c>
      <c r="P28" s="190" t="n">
        <v>17000</v>
      </c>
      <c r="Q28" s="189" t="inlineStr">
        <is>
          <t>Services provided on January 2021</t>
        </is>
      </c>
      <c r="R28" s="190" t="n"/>
      <c r="T28" s="190" t="n"/>
      <c r="U28" s="190" t="n"/>
      <c r="V28" s="190" t="n"/>
      <c r="X28" s="190" t="n"/>
      <c r="Z28" s="190" t="n"/>
      <c r="AA28" s="190" t="n"/>
      <c r="AB28" s="191" t="inlineStr">
        <is>
          <t>ES11 0081 7069 2700 0122 7724</t>
        </is>
      </c>
      <c r="AC28" s="192" t="inlineStr">
        <is>
          <t>pagado</t>
        </is>
      </c>
      <c r="AD28" s="190">
        <f>L28+N28+P28+R28+T28+V28+X28+Z28</f>
        <v/>
      </c>
      <c r="AE28" s="190">
        <f>IF((LEFT(M28,4))="Cont",L28,0)</f>
        <v/>
      </c>
      <c r="AF28" s="191">
        <f>VLOOKUP(G28,CLIENTES!B:E,4,FALSE)</f>
        <v/>
      </c>
      <c r="AG28" s="190">
        <f>AF28*AE28</f>
        <v/>
      </c>
      <c r="AH28" s="190">
        <f>AD28</f>
        <v/>
      </c>
      <c r="AI28" s="193">
        <f>IF(AE28&lt;&gt;0,AG28/AD28,"N/A")</f>
        <v/>
      </c>
      <c r="AJ28" s="190">
        <f>IF(AC28="pendiente",AD28,0)</f>
        <v/>
      </c>
      <c r="AK28" s="189">
        <f>VLOOKUP(G28,CLIENTES!B:D,3,FALSE)</f>
        <v/>
      </c>
    </row>
    <row r="29" ht="15" customFormat="1" customHeight="1" s="189">
      <c r="A29" s="432" t="n"/>
      <c r="B29" s="188" t="n"/>
      <c r="C29" s="189" t="inlineStr">
        <is>
          <t>C/ Las Cruzadas 3A, Local D</t>
        </is>
      </c>
      <c r="D29" s="189" t="inlineStr">
        <is>
          <t>Sevilla 41004</t>
        </is>
      </c>
      <c r="E29" s="189" t="inlineStr">
        <is>
          <t>ESB91938662</t>
        </is>
      </c>
      <c r="F29" s="433" t="inlineStr">
        <is>
          <t>Atn. Mr. Lui Lei</t>
        </is>
      </c>
      <c r="G29" s="189" t="inlineStr">
        <is>
          <t>China Triumph International Engineering Co.,Ltd.</t>
        </is>
      </c>
      <c r="H29" s="189" t="inlineStr">
        <is>
          <t>91310000102016281D</t>
        </is>
      </c>
      <c r="I29" s="189" t="inlineStr">
        <is>
          <t>27fl Zhongqi building, 2000 North Zhongshan Road</t>
        </is>
      </c>
      <c r="J29" s="189" t="inlineStr">
        <is>
          <t>200063 Shanghai (China)</t>
        </is>
      </c>
      <c r="K29" s="189" t="inlineStr">
        <is>
          <t>Construction Supervision and Monitoring</t>
        </is>
      </c>
      <c r="L29" s="190" t="n"/>
      <c r="N29" s="190" t="n"/>
      <c r="O29" s="189" t="inlineStr">
        <is>
          <t>Solara4 PV - Vaqueiros | Portugal</t>
        </is>
      </c>
      <c r="P29" s="190" t="n">
        <v>17000</v>
      </c>
      <c r="Q29" s="189" t="inlineStr">
        <is>
          <t>Services provided on February 2021</t>
        </is>
      </c>
      <c r="R29" s="190" t="n"/>
      <c r="T29" s="190" t="n"/>
      <c r="U29" s="190" t="n"/>
      <c r="V29" s="190" t="n"/>
      <c r="X29" s="190" t="n"/>
      <c r="Z29" s="190" t="n"/>
      <c r="AA29" s="190" t="n"/>
      <c r="AB29" s="191" t="inlineStr">
        <is>
          <t>ES11 0081 7069 2700 0122 7724</t>
        </is>
      </c>
      <c r="AC29" s="192" t="inlineStr">
        <is>
          <t>pagado</t>
        </is>
      </c>
      <c r="AD29" s="190">
        <f>L29+N29+P29+R29+T29+V29+X29+Z29</f>
        <v/>
      </c>
      <c r="AE29" s="190">
        <f>IF((LEFT(M29,4))="Cont",L29,0)</f>
        <v/>
      </c>
      <c r="AF29" s="191">
        <f>VLOOKUP(G29,CLIENTES!B:E,4,FALSE)</f>
        <v/>
      </c>
      <c r="AG29" s="190">
        <f>AF29*AE29</f>
        <v/>
      </c>
      <c r="AH29" s="190">
        <f>AD29</f>
        <v/>
      </c>
      <c r="AI29" s="193">
        <f>IF(AE29&lt;&gt;0,AG29/AD29,"N/A")</f>
        <v/>
      </c>
      <c r="AJ29" s="190">
        <f>IF(AC29="pendiente",AD29,0)</f>
        <v/>
      </c>
      <c r="AK29" s="189">
        <f>VLOOKUP(G29,CLIENTES!B:D,3,FALSE)</f>
        <v/>
      </c>
    </row>
    <row r="30" ht="15" customFormat="1" customHeight="1" s="189">
      <c r="A30" s="432" t="n"/>
      <c r="B30" s="188" t="n"/>
      <c r="C30" s="189" t="inlineStr">
        <is>
          <t>C/ Las Cruzadas 3A, Local D</t>
        </is>
      </c>
      <c r="D30" s="189" t="inlineStr">
        <is>
          <t>Sevilla 41004</t>
        </is>
      </c>
      <c r="E30" s="189" t="inlineStr">
        <is>
          <t>ESB91938662</t>
        </is>
      </c>
      <c r="F30" s="433" t="inlineStr">
        <is>
          <t>Atn. Mr. Lui Lei</t>
        </is>
      </c>
      <c r="G30" s="189" t="inlineStr">
        <is>
          <t>China Triumph International Engineering Co.,Ltd.</t>
        </is>
      </c>
      <c r="H30" s="189" t="inlineStr">
        <is>
          <t>91310000102016281D</t>
        </is>
      </c>
      <c r="I30" s="189" t="inlineStr">
        <is>
          <t>27fl Zhongqi building, 2000 North Zhongshan Road</t>
        </is>
      </c>
      <c r="J30" s="189" t="inlineStr">
        <is>
          <t>200063 Shanghai (China)</t>
        </is>
      </c>
      <c r="K30" s="189" t="inlineStr">
        <is>
          <t>Construction Supervision and Monitoring</t>
        </is>
      </c>
      <c r="L30" s="190" t="n"/>
      <c r="N30" s="190" t="n"/>
      <c r="O30" s="189" t="inlineStr">
        <is>
          <t>Solara4 PV - Vaqueiros | Portugal</t>
        </is>
      </c>
      <c r="P30" s="190" t="n">
        <v>17000</v>
      </c>
      <c r="Q30" s="189" t="inlineStr">
        <is>
          <t>Services provided on March 2021</t>
        </is>
      </c>
      <c r="R30" s="190" t="n"/>
      <c r="T30" s="190" t="n"/>
      <c r="U30" s="190" t="n"/>
      <c r="V30" s="190" t="n"/>
      <c r="X30" s="190" t="n"/>
      <c r="Z30" s="190" t="n"/>
      <c r="AA30" s="190" t="n"/>
      <c r="AB30" s="191" t="inlineStr">
        <is>
          <t>ES11 0081 7069 2700 0122 7724</t>
        </is>
      </c>
      <c r="AC30" s="192" t="inlineStr">
        <is>
          <t>pagado</t>
        </is>
      </c>
      <c r="AD30" s="190">
        <f>L30+N30+P30+R30+T30+V30+X30+Z30</f>
        <v/>
      </c>
      <c r="AE30" s="190">
        <f>IF((LEFT(M30,4))="Cont",L30,0)</f>
        <v/>
      </c>
      <c r="AF30" s="191">
        <f>VLOOKUP(G30,CLIENTES!B:E,4,FALSE)</f>
        <v/>
      </c>
      <c r="AG30" s="190">
        <f>AF30*AE30</f>
        <v/>
      </c>
      <c r="AH30" s="190">
        <f>AD30</f>
        <v/>
      </c>
      <c r="AI30" s="193">
        <f>IF(AE30&lt;&gt;0,AG30/AD30,"N/A")</f>
        <v/>
      </c>
      <c r="AJ30" s="190">
        <f>IF(AC30="pendiente",AD30,0)</f>
        <v/>
      </c>
      <c r="AK30" s="189">
        <f>VLOOKUP(G30,CLIENTES!B:D,3,FALSE)</f>
        <v/>
      </c>
    </row>
    <row r="31" ht="15" customFormat="1" customHeight="1" s="189">
      <c r="A31" s="432" t="n"/>
      <c r="B31" s="188" t="n"/>
      <c r="C31" s="189" t="inlineStr">
        <is>
          <t>C/ Las Cruzadas 3A, Local D</t>
        </is>
      </c>
      <c r="D31" s="189" t="inlineStr">
        <is>
          <t>Sevilla 41004</t>
        </is>
      </c>
      <c r="E31" s="189" t="inlineStr">
        <is>
          <t>ESB91938662</t>
        </is>
      </c>
      <c r="F31" s="433" t="inlineStr">
        <is>
          <t>Atn. Mr. Lui Lei</t>
        </is>
      </c>
      <c r="G31" s="189" t="inlineStr">
        <is>
          <t>China Triumph International Engineering Co.,Ltd.</t>
        </is>
      </c>
      <c r="H31" s="189" t="inlineStr">
        <is>
          <t>91310000102016281D</t>
        </is>
      </c>
      <c r="I31" s="189" t="inlineStr">
        <is>
          <t>27fl Zhongqi building, 2000 North Zhongshan Road</t>
        </is>
      </c>
      <c r="J31" s="189" t="inlineStr">
        <is>
          <t>200063 Shanghai (China)</t>
        </is>
      </c>
      <c r="K31" s="189" t="inlineStr">
        <is>
          <t>Construction Supervision and Monitoring</t>
        </is>
      </c>
      <c r="L31" s="190" t="n"/>
      <c r="N31" s="190" t="n"/>
      <c r="O31" s="189" t="inlineStr">
        <is>
          <t>Solara4 PV - Vaqueiros | Portugal</t>
        </is>
      </c>
      <c r="P31" s="190" t="n">
        <v>17000</v>
      </c>
      <c r="Q31" s="189" t="inlineStr">
        <is>
          <t>Services provided on April 2021</t>
        </is>
      </c>
      <c r="R31" s="190" t="n"/>
      <c r="T31" s="190" t="n"/>
      <c r="U31" s="190" t="n"/>
      <c r="V31" s="190" t="n"/>
      <c r="X31" s="190" t="n"/>
      <c r="Z31" s="190" t="n"/>
      <c r="AA31" s="190" t="n"/>
      <c r="AB31" s="191" t="inlineStr">
        <is>
          <t>ES11 0081 7069 2700 0122 7724</t>
        </is>
      </c>
      <c r="AC31" s="192" t="inlineStr">
        <is>
          <t>pagado</t>
        </is>
      </c>
      <c r="AD31" s="190">
        <f>L31+N31+P31+R31+T31+V31+X31+Z31</f>
        <v/>
      </c>
      <c r="AE31" s="190">
        <f>IF((LEFT(M31,4))="Cont",L31,0)</f>
        <v/>
      </c>
      <c r="AF31" s="191">
        <f>VLOOKUP(G31,CLIENTES!B:E,4,FALSE)</f>
        <v/>
      </c>
      <c r="AG31" s="190">
        <f>AF31*AE31</f>
        <v/>
      </c>
      <c r="AH31" s="190">
        <f>AD31</f>
        <v/>
      </c>
      <c r="AI31" s="193">
        <f>IF(AE31&lt;&gt;0,AG31/AD31,"N/A")</f>
        <v/>
      </c>
      <c r="AJ31" s="190">
        <f>IF(AC31="pendiente",AD31,0)</f>
        <v/>
      </c>
      <c r="AK31" s="189">
        <f>VLOOKUP(G31,CLIENTES!B:D,3,FALSE)</f>
        <v/>
      </c>
    </row>
    <row r="32" ht="15" customFormat="1" customHeight="1" s="189">
      <c r="A32" s="432" t="n"/>
      <c r="B32" s="188" t="n"/>
      <c r="C32" s="189" t="inlineStr">
        <is>
          <t>C/ Las Cruzadas 3A, Local D</t>
        </is>
      </c>
      <c r="D32" s="189" t="inlineStr">
        <is>
          <t>Sevilla 41004</t>
        </is>
      </c>
      <c r="E32" s="189" t="inlineStr">
        <is>
          <t>ESB91938662</t>
        </is>
      </c>
      <c r="F32" s="433" t="inlineStr">
        <is>
          <t>Atn. Mr. Lui Lei</t>
        </is>
      </c>
      <c r="G32" s="189" t="inlineStr">
        <is>
          <t>China Triumph International Engineering Co.,Ltd.</t>
        </is>
      </c>
      <c r="H32" s="189" t="inlineStr">
        <is>
          <t>91310000102016281D</t>
        </is>
      </c>
      <c r="I32" s="189" t="inlineStr">
        <is>
          <t>27fl Zhongqi building, 2000 North Zhongshan Road</t>
        </is>
      </c>
      <c r="J32" s="189" t="inlineStr">
        <is>
          <t>200063 Shanghai (China)</t>
        </is>
      </c>
      <c r="K32" s="189" t="inlineStr">
        <is>
          <t>Technical Advisory for Procurement Stage</t>
        </is>
      </c>
      <c r="L32" s="190" t="n"/>
      <c r="N32" s="190" t="n"/>
      <c r="O32" s="189" t="inlineStr">
        <is>
          <t>Puerto Real II PV - Cádiz | Spain</t>
        </is>
      </c>
      <c r="P32" s="190" t="n">
        <v>6075</v>
      </c>
      <c r="Q32" s="189" t="inlineStr">
        <is>
          <t>Set-up and start of works (30% from contractual price)</t>
        </is>
      </c>
      <c r="R32" s="190" t="n"/>
      <c r="T32" s="190" t="n"/>
      <c r="U32" s="190" t="n"/>
      <c r="V32" s="190" t="n"/>
      <c r="X32" s="190" t="n"/>
      <c r="Z32" s="190" t="n"/>
      <c r="AA32" s="190" t="n"/>
      <c r="AB32" s="191" t="inlineStr">
        <is>
          <t>ES11 0081 7069 2700 0122 7724</t>
        </is>
      </c>
      <c r="AC32" s="192" t="inlineStr">
        <is>
          <t>pagado</t>
        </is>
      </c>
      <c r="AD32" s="190">
        <f>L32+N32+P32+R32+T32+V32+X32+Z32</f>
        <v/>
      </c>
      <c r="AE32" s="190">
        <f>IF((LEFT(M32,4))="Cont",L32,0)</f>
        <v/>
      </c>
      <c r="AF32" s="191">
        <f>VLOOKUP(G32,CLIENTES!B:E,4,FALSE)</f>
        <v/>
      </c>
      <c r="AG32" s="190">
        <f>AF32*AE32</f>
        <v/>
      </c>
      <c r="AH32" s="190">
        <f>AD32</f>
        <v/>
      </c>
      <c r="AI32" s="193">
        <f>IF(AE32&lt;&gt;0,AG32/AD32,"N/A")</f>
        <v/>
      </c>
      <c r="AJ32" s="190">
        <f>IF(AC32="pendiente",AD32,0)</f>
        <v/>
      </c>
      <c r="AK32" s="189">
        <f>VLOOKUP(G32,CLIENTES!B:D,3,FALSE)</f>
        <v/>
      </c>
    </row>
    <row r="33" ht="15" customFormat="1" customHeight="1" s="189">
      <c r="A33" s="432" t="n"/>
      <c r="B33" s="188" t="n"/>
      <c r="C33" s="189" t="inlineStr">
        <is>
          <t>C/ Las Cruzadas 3A, Local D</t>
        </is>
      </c>
      <c r="D33" s="189" t="inlineStr">
        <is>
          <t>Sevilla 41004</t>
        </is>
      </c>
      <c r="E33" s="189" t="inlineStr">
        <is>
          <t>ESB91938662</t>
        </is>
      </c>
      <c r="F33" s="433" t="inlineStr">
        <is>
          <t>Atn. Mr. Lui Lei</t>
        </is>
      </c>
      <c r="G33" s="189" t="inlineStr">
        <is>
          <t>China Triumph International Engineering Co.,Ltd.</t>
        </is>
      </c>
      <c r="H33" s="189" t="inlineStr">
        <is>
          <t>91310000102016281D</t>
        </is>
      </c>
      <c r="I33" s="189" t="inlineStr">
        <is>
          <t>27fl Zhongqi building, 2000 North Zhongshan Road</t>
        </is>
      </c>
      <c r="J33" s="189" t="inlineStr">
        <is>
          <t>200063 Shanghai (China)</t>
        </is>
      </c>
      <c r="K33" s="189" t="inlineStr">
        <is>
          <t>Construction Supervision and Monitoring</t>
        </is>
      </c>
      <c r="L33" s="190" t="n"/>
      <c r="N33" s="190" t="n"/>
      <c r="O33" s="189" t="inlineStr">
        <is>
          <t>Solara4 PV - Vaqueiros | Portugal</t>
        </is>
      </c>
      <c r="P33" s="190" t="n">
        <v>17000</v>
      </c>
      <c r="Q33" s="189" t="inlineStr">
        <is>
          <t>Services provided on May 2021</t>
        </is>
      </c>
      <c r="R33" s="190" t="n"/>
      <c r="T33" s="190" t="n"/>
      <c r="U33" s="190" t="n"/>
      <c r="V33" s="190" t="n"/>
      <c r="X33" s="190" t="n"/>
      <c r="Z33" s="190" t="n"/>
      <c r="AA33" s="190" t="n"/>
      <c r="AB33" s="191" t="inlineStr">
        <is>
          <t>ES11 0081 7069 2700 0122 7724</t>
        </is>
      </c>
      <c r="AC33" s="192" t="inlineStr">
        <is>
          <t>pagado</t>
        </is>
      </c>
      <c r="AD33" s="190">
        <f>L33+N33+P33+R33+T33+V33+X33+Z33</f>
        <v/>
      </c>
      <c r="AE33" s="190">
        <f>IF((LEFT(M33,4))="Cont",L33,0)</f>
        <v/>
      </c>
      <c r="AF33" s="191">
        <f>VLOOKUP(G33,CLIENTES!B:E,4,FALSE)</f>
        <v/>
      </c>
      <c r="AG33" s="190">
        <f>AF33*AE33</f>
        <v/>
      </c>
      <c r="AH33" s="190">
        <f>AD33</f>
        <v/>
      </c>
      <c r="AI33" s="193">
        <f>IF(AE33&lt;&gt;0,AG33/AD33,"N/A")</f>
        <v/>
      </c>
      <c r="AJ33" s="190">
        <f>IF(AC33="pendiente",AD33,0)</f>
        <v/>
      </c>
      <c r="AK33" s="189">
        <f>VLOOKUP(G33,CLIENTES!B:D,3,FALSE)</f>
        <v/>
      </c>
    </row>
    <row r="34" ht="15" customFormat="1" customHeight="1" s="189">
      <c r="A34" s="432" t="n"/>
      <c r="B34" s="188" t="n"/>
      <c r="C34" s="189" t="inlineStr">
        <is>
          <t>C/ Las Cruzadas 3A, Local D</t>
        </is>
      </c>
      <c r="D34" s="189" t="inlineStr">
        <is>
          <t>Sevilla 41004</t>
        </is>
      </c>
      <c r="E34" s="189" t="inlineStr">
        <is>
          <t>ESB91938662</t>
        </is>
      </c>
      <c r="F34" s="433" t="inlineStr">
        <is>
          <t>Atn. Mr. Lui Lei</t>
        </is>
      </c>
      <c r="G34" s="189" t="inlineStr">
        <is>
          <t>China Triumph International Engineering Co.,Ltd.</t>
        </is>
      </c>
      <c r="H34" s="189" t="inlineStr">
        <is>
          <t>91310000102016281D</t>
        </is>
      </c>
      <c r="I34" s="189" t="inlineStr">
        <is>
          <t>27fl Zhongqi building, 2000 North Zhongshan Road</t>
        </is>
      </c>
      <c r="J34" s="189" t="inlineStr">
        <is>
          <t>200063 Shanghai (China)</t>
        </is>
      </c>
      <c r="K34" s="189" t="inlineStr">
        <is>
          <t>Construction Supervision and Monitoring</t>
        </is>
      </c>
      <c r="L34" s="190" t="n"/>
      <c r="N34" s="190" t="n"/>
      <c r="O34" s="189" t="inlineStr">
        <is>
          <t>Solara4 PV - Vaqueiros | Portugal</t>
        </is>
      </c>
      <c r="P34" s="190" t="n">
        <v>17000</v>
      </c>
      <c r="Q34" s="189" t="inlineStr">
        <is>
          <t>Services provided on June 2021</t>
        </is>
      </c>
      <c r="R34" s="190" t="n"/>
      <c r="T34" s="190" t="n"/>
      <c r="U34" s="190" t="n"/>
      <c r="V34" s="190" t="n"/>
      <c r="X34" s="190" t="n"/>
      <c r="Z34" s="190" t="n"/>
      <c r="AA34" s="190" t="n"/>
      <c r="AB34" s="191" t="inlineStr">
        <is>
          <t>ES11 0081 7069 2700 0122 7724</t>
        </is>
      </c>
      <c r="AC34" s="192" t="inlineStr">
        <is>
          <t>pagado</t>
        </is>
      </c>
      <c r="AD34" s="190">
        <f>L34+N34+P34+R34+T34+V34+X34+Z34</f>
        <v/>
      </c>
      <c r="AE34" s="190">
        <f>IF((LEFT(M34,4))="Cont",L34,0)</f>
        <v/>
      </c>
      <c r="AF34" s="191">
        <f>VLOOKUP(G34,CLIENTES!B:E,4,FALSE)</f>
        <v/>
      </c>
      <c r="AG34" s="190">
        <f>AF34*AE34</f>
        <v/>
      </c>
      <c r="AH34" s="190">
        <f>AD34</f>
        <v/>
      </c>
      <c r="AI34" s="193">
        <f>IF(AE34&lt;&gt;0,AG34/AD34,"N/A")</f>
        <v/>
      </c>
      <c r="AJ34" s="190">
        <f>IF(AC34="pendiente",AD34,0)</f>
        <v/>
      </c>
      <c r="AK34" s="189">
        <f>VLOOKUP(G34,CLIENTES!B:D,3,FALSE)</f>
        <v/>
      </c>
    </row>
    <row r="35" ht="15" customFormat="1" customHeight="1" s="189">
      <c r="A35" s="432" t="n"/>
      <c r="B35" s="188" t="n"/>
      <c r="C35" s="189" t="inlineStr">
        <is>
          <t>C/ Las Cruzadas 3A, Local D</t>
        </is>
      </c>
      <c r="D35" s="189" t="inlineStr">
        <is>
          <t>Sevilla 41004</t>
        </is>
      </c>
      <c r="E35" s="189" t="inlineStr">
        <is>
          <t>ESB91938662</t>
        </is>
      </c>
      <c r="F35" s="433" t="inlineStr">
        <is>
          <t>Atn. Mr. Lui Lei</t>
        </is>
      </c>
      <c r="G35" s="189" t="inlineStr">
        <is>
          <t>China Triumph International Engineering Co.,Ltd.</t>
        </is>
      </c>
      <c r="H35" s="189" t="inlineStr">
        <is>
          <t>91310000102016281D</t>
        </is>
      </c>
      <c r="I35" s="189" t="inlineStr">
        <is>
          <t>27fl Zhongqi building, 2000 North Zhongshan Road</t>
        </is>
      </c>
      <c r="J35" s="189" t="inlineStr">
        <is>
          <t>200063 Shanghai (China)</t>
        </is>
      </c>
      <c r="K35" s="189" t="inlineStr">
        <is>
          <t>Construction Supervision and Monitoring</t>
        </is>
      </c>
      <c r="L35" s="190" t="n"/>
      <c r="N35" s="190" t="n"/>
      <c r="O35" s="189" t="inlineStr">
        <is>
          <t>Solara4 PV - Vaqueiros | Portugal</t>
        </is>
      </c>
      <c r="P35" s="190" t="n">
        <v>17000</v>
      </c>
      <c r="Q35" s="189" t="inlineStr">
        <is>
          <t>Services provided on July 2021</t>
        </is>
      </c>
      <c r="R35" s="190" t="n"/>
      <c r="T35" s="190" t="n"/>
      <c r="U35" s="190" t="n"/>
      <c r="V35" s="190" t="n"/>
      <c r="X35" s="190" t="n"/>
      <c r="Z35" s="190" t="n"/>
      <c r="AA35" s="190" t="n"/>
      <c r="AB35" s="191" t="inlineStr">
        <is>
          <t>ES11 0081 7069 2700 0122 7724</t>
        </is>
      </c>
      <c r="AC35" s="192" t="inlineStr">
        <is>
          <t>pagado</t>
        </is>
      </c>
      <c r="AD35" s="190">
        <f>L35+N35+P35+R35+T35+V35+X35+Z35</f>
        <v/>
      </c>
      <c r="AE35" s="190">
        <f>IF((LEFT(M35,4))="Cont",L35,0)</f>
        <v/>
      </c>
      <c r="AF35" s="191">
        <f>VLOOKUP(G35,CLIENTES!B:E,4,FALSE)</f>
        <v/>
      </c>
      <c r="AG35" s="190">
        <f>AF35*AE35</f>
        <v/>
      </c>
      <c r="AH35" s="190">
        <f>AD35</f>
        <v/>
      </c>
      <c r="AI35" s="193">
        <f>IF(AE35&lt;&gt;0,AG35/AD35,"N/A")</f>
        <v/>
      </c>
      <c r="AJ35" s="190">
        <f>IF(AC35="pendiente",AD35,0)</f>
        <v/>
      </c>
      <c r="AK35" s="189">
        <f>VLOOKUP(G35,CLIENTES!B:D,3,FALSE)</f>
        <v/>
      </c>
    </row>
    <row r="36" ht="15" customFormat="1" customHeight="1" s="189">
      <c r="A36" s="432" t="n"/>
      <c r="B36" s="188" t="n"/>
      <c r="C36" s="189" t="inlineStr">
        <is>
          <t>C/ Las Cruzadas 3A, Local D</t>
        </is>
      </c>
      <c r="D36" s="189" t="inlineStr">
        <is>
          <t>Sevilla 41004</t>
        </is>
      </c>
      <c r="E36" s="189" t="inlineStr">
        <is>
          <t>ESB91938662</t>
        </is>
      </c>
      <c r="F36" s="433" t="inlineStr">
        <is>
          <t>Atn. Mr. Lui Lei</t>
        </is>
      </c>
      <c r="G36" s="189" t="inlineStr">
        <is>
          <t>China Triumph International Engineering Co.,Ltd.</t>
        </is>
      </c>
      <c r="H36" s="189" t="inlineStr">
        <is>
          <t>91310000102016281D</t>
        </is>
      </c>
      <c r="I36" s="189" t="inlineStr">
        <is>
          <t>27fl Zhongqi building, 2000 North Zhongshan Road</t>
        </is>
      </c>
      <c r="J36" s="189" t="inlineStr">
        <is>
          <t>200063 Shanghai (China)</t>
        </is>
      </c>
      <c r="K36" s="189" t="inlineStr">
        <is>
          <t>Construction Supervision and Monitoring</t>
        </is>
      </c>
      <c r="L36" s="190" t="n"/>
      <c r="N36" s="190" t="n"/>
      <c r="O36" s="189" t="inlineStr">
        <is>
          <t>Solara4 PV - Vaqueiros | Portugal</t>
        </is>
      </c>
      <c r="P36" s="190" t="n">
        <v>17000</v>
      </c>
      <c r="Q36" s="189" t="inlineStr">
        <is>
          <t>Services provided on August 2021</t>
        </is>
      </c>
      <c r="R36" s="190" t="n"/>
      <c r="T36" s="190" t="n"/>
      <c r="U36" s="190" t="n"/>
      <c r="V36" s="190" t="n"/>
      <c r="X36" s="190" t="n"/>
      <c r="Z36" s="190" t="n"/>
      <c r="AA36" s="190" t="n"/>
      <c r="AB36" s="191" t="inlineStr">
        <is>
          <t>ES11 0081 7069 2700 0122 7724</t>
        </is>
      </c>
      <c r="AC36" s="192" t="inlineStr">
        <is>
          <t>pagado</t>
        </is>
      </c>
      <c r="AD36" s="190">
        <f>L36+N36+P36+R36+T36+V36+X36+Z36</f>
        <v/>
      </c>
      <c r="AE36" s="190">
        <f>IF((LEFT(M36,4))="Cont",L36,0)</f>
        <v/>
      </c>
      <c r="AF36" s="191">
        <f>VLOOKUP(G36,CLIENTES!B:E,4,FALSE)</f>
        <v/>
      </c>
      <c r="AG36" s="190">
        <f>AF36*AE36</f>
        <v/>
      </c>
      <c r="AH36" s="190">
        <f>AD36</f>
        <v/>
      </c>
      <c r="AI36" s="193">
        <f>IF(AE36&lt;&gt;0,AG36/AD36,"N/A")</f>
        <v/>
      </c>
      <c r="AJ36" s="190">
        <f>IF(AC36="pendiente",AD36,0)</f>
        <v/>
      </c>
      <c r="AK36" s="189">
        <f>VLOOKUP(G36,CLIENTES!B:D,3,FALSE)</f>
        <v/>
      </c>
    </row>
    <row r="37" ht="15" customFormat="1" customHeight="1" s="189">
      <c r="A37" s="432" t="n"/>
      <c r="B37" s="188" t="n"/>
      <c r="C37" s="189" t="inlineStr">
        <is>
          <t>C/ Las Cruzadas 3A, Local D</t>
        </is>
      </c>
      <c r="D37" s="189" t="inlineStr">
        <is>
          <t>Sevilla 41004</t>
        </is>
      </c>
      <c r="E37" s="189" t="inlineStr">
        <is>
          <t>ESB91938662</t>
        </is>
      </c>
      <c r="F37" s="433" t="inlineStr">
        <is>
          <t>Atn. Mr. Lui Lei</t>
        </is>
      </c>
      <c r="G37" s="189" t="inlineStr">
        <is>
          <t>China Triumph International Engineering Co.,Ltd.</t>
        </is>
      </c>
      <c r="H37" s="189" t="inlineStr">
        <is>
          <t>91310000102016281D</t>
        </is>
      </c>
      <c r="I37" s="189" t="inlineStr">
        <is>
          <t>27fl Zhongqi building, 2000 North Zhongshan Road</t>
        </is>
      </c>
      <c r="J37" s="189" t="inlineStr">
        <is>
          <t>200063 Shanghai (China)</t>
        </is>
      </c>
      <c r="K37" s="189" t="inlineStr">
        <is>
          <t>Construction Supervision and Monitoring</t>
        </is>
      </c>
      <c r="L37" s="190" t="n"/>
      <c r="N37" s="190" t="n"/>
      <c r="O37" s="189" t="inlineStr">
        <is>
          <t>Solara4 PV - Vaqueiros | Portugal</t>
        </is>
      </c>
      <c r="P37" s="190" t="n">
        <v>17000</v>
      </c>
      <c r="Q37" s="189" t="inlineStr">
        <is>
          <t>Services provided on September 2021</t>
        </is>
      </c>
      <c r="R37" s="190" t="n"/>
      <c r="T37" s="190" t="n"/>
      <c r="U37" s="190" t="n"/>
      <c r="V37" s="190" t="n"/>
      <c r="X37" s="190" t="n"/>
      <c r="Z37" s="190" t="n"/>
      <c r="AA37" s="190" t="n"/>
      <c r="AB37" s="191" t="inlineStr">
        <is>
          <t>ES11 0081 7069 2700 0122 7724</t>
        </is>
      </c>
      <c r="AC37" s="192" t="inlineStr">
        <is>
          <t>pagado</t>
        </is>
      </c>
      <c r="AD37" s="190">
        <f>L37+N37+P37+R37+T37+V37+X37+Z37</f>
        <v/>
      </c>
      <c r="AE37" s="190">
        <f>IF((LEFT(M37,4))="Cont",L37,0)</f>
        <v/>
      </c>
      <c r="AF37" s="191">
        <f>VLOOKUP(G37,CLIENTES!B:E,4,FALSE)</f>
        <v/>
      </c>
      <c r="AG37" s="190">
        <f>AF37*AE37</f>
        <v/>
      </c>
      <c r="AH37" s="190">
        <f>AD37</f>
        <v/>
      </c>
      <c r="AI37" s="193">
        <f>IF(AE37&lt;&gt;0,AG37/AD37,"N/A")</f>
        <v/>
      </c>
      <c r="AJ37" s="190">
        <f>IF(AC37="pendiente",AD37,0)</f>
        <v/>
      </c>
      <c r="AK37" s="189">
        <f>VLOOKUP(G37,CLIENTES!B:D,3,FALSE)</f>
        <v/>
      </c>
    </row>
    <row r="38" ht="15" customFormat="1" customHeight="1" s="189">
      <c r="A38" s="432" t="n"/>
      <c r="B38" s="188" t="n"/>
      <c r="C38" s="189" t="inlineStr">
        <is>
          <t>C/ Las Cruzadas 3A, Local D</t>
        </is>
      </c>
      <c r="D38" s="189" t="inlineStr">
        <is>
          <t>Sevilla 41004</t>
        </is>
      </c>
      <c r="E38" s="189" t="inlineStr">
        <is>
          <t>ESB91938662</t>
        </is>
      </c>
      <c r="F38" s="433" t="inlineStr">
        <is>
          <t>Atn. Mr. Kevin Li</t>
        </is>
      </c>
      <c r="G38" s="189" t="inlineStr">
        <is>
          <t>China Triumph International Engineering Co.,Ltd.</t>
        </is>
      </c>
      <c r="H38" s="189" t="inlineStr">
        <is>
          <t>91310000102016281D</t>
        </is>
      </c>
      <c r="I38" s="189" t="inlineStr">
        <is>
          <t>27fl Zhongqi building, 2000 North Zhongshan Road</t>
        </is>
      </c>
      <c r="J38" s="189" t="inlineStr">
        <is>
          <t>200063 Shanghai (China)</t>
        </is>
      </c>
      <c r="K38" s="189" t="inlineStr">
        <is>
          <t>SUPPORT WITH TESTING CAMPAING</t>
        </is>
      </c>
      <c r="L38" s="190" t="n"/>
      <c r="M38" s="189" t="inlineStr">
        <is>
          <t>Ourika PV - Ourique | Portugal</t>
        </is>
      </c>
      <c r="N38" s="190" t="n"/>
      <c r="P38" s="190" t="n"/>
      <c r="Q38" s="189" t="inlineStr">
        <is>
          <t>Site assistance for the module collection</t>
        </is>
      </c>
      <c r="R38" s="190" t="n">
        <v>4810</v>
      </c>
      <c r="S38" s="190" t="inlineStr">
        <is>
          <t>STC Module characterization (Fraunhofer)</t>
        </is>
      </c>
      <c r="T38" s="190" t="n">
        <v>4000</v>
      </c>
      <c r="U38" s="189" t="inlineStr">
        <is>
          <t>Site assistance for the module return</t>
        </is>
      </c>
      <c r="V38" s="190" t="n">
        <v>1450</v>
      </c>
      <c r="X38" s="190" t="n"/>
      <c r="Z38" s="190" t="n"/>
      <c r="AA38" s="190" t="n"/>
      <c r="AB38" s="191" t="inlineStr">
        <is>
          <t>ES11 0081 7069 2700 0122 7724</t>
        </is>
      </c>
      <c r="AC38" s="192" t="inlineStr">
        <is>
          <t>pendiente</t>
        </is>
      </c>
      <c r="AD38" s="190">
        <f>L38+N38+P38+R38+T38+V38+X38+Z38</f>
        <v/>
      </c>
      <c r="AE38" s="190">
        <f>IF((LEFT(M38,4))="Cont",L38,0)</f>
        <v/>
      </c>
      <c r="AF38" s="191">
        <f>VLOOKUP(G38,CLIENTES!B:E,4,FALSE)</f>
        <v/>
      </c>
      <c r="AG38" s="190">
        <f>AF38*AE38</f>
        <v/>
      </c>
      <c r="AH38" s="190">
        <f>AD38</f>
        <v/>
      </c>
      <c r="AI38" s="193">
        <f>IF(AE38&lt;&gt;0,AG38/AD38,"N/A")</f>
        <v/>
      </c>
      <c r="AJ38" s="190">
        <f>IF(AC38="pendiente",AD38,0)</f>
        <v/>
      </c>
      <c r="AK38" s="189">
        <f>VLOOKUP(G38,CLIENTES!B:D,3,FALSE)</f>
        <v/>
      </c>
    </row>
    <row r="39" ht="15" customFormat="1" customHeight="1" s="189">
      <c r="A39" s="432" t="n"/>
      <c r="B39" s="188" t="n"/>
      <c r="C39" s="189" t="inlineStr">
        <is>
          <t>C/ Las Cruzadas 3A, Local D</t>
        </is>
      </c>
      <c r="D39" s="189" t="inlineStr">
        <is>
          <t>Sevilla 41004</t>
        </is>
      </c>
      <c r="E39" s="189" t="inlineStr">
        <is>
          <t>ESB91938662</t>
        </is>
      </c>
      <c r="F39" s="433" t="inlineStr">
        <is>
          <t>Atn. Mr. Lui Lei</t>
        </is>
      </c>
      <c r="G39" s="189" t="inlineStr">
        <is>
          <t>China Triumph International Engineering Co.,Ltd.</t>
        </is>
      </c>
      <c r="H39" s="189" t="inlineStr">
        <is>
          <t>91310000102016281D</t>
        </is>
      </c>
      <c r="I39" s="189" t="inlineStr">
        <is>
          <t>27fl Zhongqi building, 2000 North Zhongshan Road</t>
        </is>
      </c>
      <c r="J39" s="189" t="inlineStr">
        <is>
          <t>200063 Shanghai (China)</t>
        </is>
      </c>
      <c r="K39" s="189" t="inlineStr">
        <is>
          <t>Construction Supervision and Monitoring</t>
        </is>
      </c>
      <c r="L39" s="190" t="n"/>
      <c r="N39" s="190" t="n"/>
      <c r="O39" s="189" t="inlineStr">
        <is>
          <t>Solara4 PV - Vaqueiros | Portugal</t>
        </is>
      </c>
      <c r="P39" s="190" t="n">
        <v>17000</v>
      </c>
      <c r="Q39" s="189" t="inlineStr">
        <is>
          <t>Services provided on October 2021</t>
        </is>
      </c>
      <c r="R39" s="190" t="n"/>
      <c r="T39" s="190" t="n"/>
      <c r="U39" s="190" t="n"/>
      <c r="V39" s="190" t="n"/>
      <c r="X39" s="190" t="n"/>
      <c r="Z39" s="190" t="n"/>
      <c r="AA39" s="190" t="n"/>
      <c r="AB39" s="191" t="inlineStr">
        <is>
          <t>ES11 0081 7069 2700 0122 7724</t>
        </is>
      </c>
      <c r="AC39" s="192" t="inlineStr">
        <is>
          <t>pagado</t>
        </is>
      </c>
      <c r="AD39" s="190">
        <f>L39+N39+P39+R39+T39+V39+X39+Z39</f>
        <v/>
      </c>
      <c r="AE39" s="190">
        <f>IF((LEFT(M39,4))="Cont",L39,0)</f>
        <v/>
      </c>
      <c r="AF39" s="191">
        <f>VLOOKUP(G39,CLIENTES!B:E,4,FALSE)</f>
        <v/>
      </c>
      <c r="AG39" s="190">
        <f>AF39*AE39</f>
        <v/>
      </c>
      <c r="AH39" s="190">
        <f>AD39</f>
        <v/>
      </c>
      <c r="AI39" s="193">
        <f>IF(AE39&lt;&gt;0,AG39/AD39,"N/A")</f>
        <v/>
      </c>
      <c r="AJ39" s="190">
        <f>IF(AC39="pendiente",AD39,0)</f>
        <v/>
      </c>
      <c r="AK39" s="189">
        <f>VLOOKUP(G39,CLIENTES!B:D,3,FALSE)</f>
        <v/>
      </c>
    </row>
    <row r="40" ht="15" customFormat="1" customHeight="1" s="189">
      <c r="A40" s="432" t="n"/>
      <c r="B40" s="188" t="n"/>
      <c r="C40" s="189" t="inlineStr">
        <is>
          <t>C/ Las Cruzadas 3A, Local D</t>
        </is>
      </c>
      <c r="D40" s="189" t="inlineStr">
        <is>
          <t>Sevilla 41004</t>
        </is>
      </c>
      <c r="E40" s="189" t="inlineStr">
        <is>
          <t>ESB91938662</t>
        </is>
      </c>
      <c r="F40" s="433" t="inlineStr">
        <is>
          <t>Atn. Mr. Lui Lei</t>
        </is>
      </c>
      <c r="G40" s="189" t="inlineStr">
        <is>
          <t>China Triumph International Engineering Co.,Ltd.</t>
        </is>
      </c>
      <c r="H40" s="189" t="inlineStr">
        <is>
          <t>91310000102016281D</t>
        </is>
      </c>
      <c r="I40" s="189" t="inlineStr">
        <is>
          <t>27fl Zhongqi building, 2000 North Zhongshan Road</t>
        </is>
      </c>
      <c r="J40" s="189" t="inlineStr">
        <is>
          <t>200063 Shanghai (China)</t>
        </is>
      </c>
      <c r="K40" s="189" t="inlineStr">
        <is>
          <t>Construction Supervision and Monitoring</t>
        </is>
      </c>
      <c r="L40" s="190" t="n"/>
      <c r="N40" s="190" t="n"/>
      <c r="O40" s="189" t="inlineStr">
        <is>
          <t>Solara4 PV - Vaqueiros | Portugal</t>
        </is>
      </c>
      <c r="P40" s="190" t="n">
        <v>17000</v>
      </c>
      <c r="Q40" s="189" t="inlineStr">
        <is>
          <t>Services provided on November 2021</t>
        </is>
      </c>
      <c r="R40" s="190" t="n"/>
      <c r="T40" s="190" t="n"/>
      <c r="U40" s="190" t="n"/>
      <c r="V40" s="190" t="n"/>
      <c r="X40" s="190" t="n"/>
      <c r="Z40" s="190" t="n"/>
      <c r="AA40" s="190" t="n"/>
      <c r="AB40" s="191" t="inlineStr">
        <is>
          <t>ES11 0081 7069 2700 0122 7724</t>
        </is>
      </c>
      <c r="AC40" s="192" t="inlineStr">
        <is>
          <t>pendiente</t>
        </is>
      </c>
      <c r="AD40" s="190">
        <f>L40+N40+P40+R40+T40+V40+X40+Z40</f>
        <v/>
      </c>
      <c r="AE40" s="190">
        <f>IF((LEFT(M40,4))="Cont",L40,0)</f>
        <v/>
      </c>
      <c r="AF40" s="191">
        <f>VLOOKUP(G40,CLIENTES!B:E,4,FALSE)</f>
        <v/>
      </c>
      <c r="AG40" s="190">
        <f>AF40*AE40</f>
        <v/>
      </c>
      <c r="AH40" s="190">
        <f>AD40</f>
        <v/>
      </c>
      <c r="AI40" s="193">
        <f>IF(AE40&lt;&gt;0,AG40/AD40,"N/A")</f>
        <v/>
      </c>
      <c r="AJ40" s="190">
        <f>IF(AC40="pendiente",AD40,0)</f>
        <v/>
      </c>
      <c r="AK40" s="189">
        <f>VLOOKUP(G40,CLIENTES!B:D,3,FALSE)</f>
        <v/>
      </c>
    </row>
    <row r="41" ht="15" customFormat="1" customHeight="1" s="195">
      <c r="A41" s="435" t="n"/>
      <c r="B41" s="194" t="n"/>
      <c r="C41" s="195" t="inlineStr">
        <is>
          <t>C/ Las Cruzadas 3A, Local D</t>
        </is>
      </c>
      <c r="D41" s="195" t="inlineStr">
        <is>
          <t>Sevilla 41004</t>
        </is>
      </c>
      <c r="E41" s="195" t="inlineStr">
        <is>
          <t>ESB91938662</t>
        </is>
      </c>
      <c r="F41" s="436" t="inlineStr">
        <is>
          <t>Atn. Mr. Lui Lei</t>
        </is>
      </c>
      <c r="G41" s="195" t="inlineStr">
        <is>
          <t>China Triumph International Engineering Co.,Ltd.</t>
        </is>
      </c>
      <c r="H41" s="195" t="inlineStr">
        <is>
          <t>91310000102016281D</t>
        </is>
      </c>
      <c r="I41" s="195" t="inlineStr">
        <is>
          <t>27fl Zhongqi building, 2000 North Zhongshan Road</t>
        </is>
      </c>
      <c r="J41" s="195" t="inlineStr">
        <is>
          <t>200063 Shanghai (China)</t>
        </is>
      </c>
      <c r="K41" s="195" t="inlineStr">
        <is>
          <t>Construction Supervision and Monitoring</t>
        </is>
      </c>
      <c r="L41" s="196" t="n"/>
      <c r="N41" s="196" t="n"/>
      <c r="O41" s="195" t="inlineStr">
        <is>
          <t>Solara4 PV - Vaqueiros | Portugal</t>
        </is>
      </c>
      <c r="P41" s="196" t="n">
        <v>17000</v>
      </c>
      <c r="Q41" s="195" t="inlineStr">
        <is>
          <t>Services provided on December 2021</t>
        </is>
      </c>
      <c r="R41" s="196" t="n"/>
      <c r="T41" s="196" t="n"/>
      <c r="U41" s="196" t="n"/>
      <c r="V41" s="196" t="n"/>
      <c r="X41" s="196" t="n"/>
      <c r="Z41" s="196" t="n"/>
      <c r="AA41" s="196" t="n"/>
      <c r="AB41" s="197" t="inlineStr">
        <is>
          <t>ES11 0081 7069 2700 0122 7724</t>
        </is>
      </c>
      <c r="AC41" s="278" t="inlineStr">
        <is>
          <t>pendiente</t>
        </is>
      </c>
      <c r="AD41" s="196">
        <f>L41+N41+P41+R41+T41+V41+X41+Z41</f>
        <v/>
      </c>
      <c r="AE41" s="196">
        <f>IF((LEFT(M41,4))="Cont",L41,0)</f>
        <v/>
      </c>
      <c r="AF41" s="197">
        <f>VLOOKUP(G41,CLIENTES!B:E,4,FALSE)</f>
        <v/>
      </c>
      <c r="AG41" s="196">
        <f>AF41*AE41</f>
        <v/>
      </c>
      <c r="AH41" s="196">
        <f>AD41</f>
        <v/>
      </c>
      <c r="AI41" s="198">
        <f>IF(AE41&lt;&gt;0,AG41/AD41,"N/A")</f>
        <v/>
      </c>
      <c r="AJ41" s="196">
        <f>IF(AC41="pendiente",AD41,0)</f>
        <v/>
      </c>
      <c r="AK41" s="195">
        <f>VLOOKUP(G41,CLIENTES!B:D,3,FALSE)</f>
        <v/>
      </c>
    </row>
    <row r="42" ht="15" customFormat="1" customHeight="1" s="192">
      <c r="A42" s="437" t="n"/>
      <c r="B42" s="199" t="n"/>
      <c r="C42" s="192" t="inlineStr">
        <is>
          <t>C/ Las Cruzadas 3A, Local D</t>
        </is>
      </c>
      <c r="D42" s="192" t="inlineStr">
        <is>
          <t>Sevilla 41004</t>
        </is>
      </c>
      <c r="E42" s="192" t="inlineStr">
        <is>
          <t>ESB91938662</t>
        </is>
      </c>
      <c r="F42" s="426" t="inlineStr">
        <is>
          <t>Atn. Mr. Sam Xu</t>
        </is>
      </c>
      <c r="G42" s="192" t="inlineStr">
        <is>
          <t>China Triumph International Engineering Co.,Ltd.</t>
        </is>
      </c>
      <c r="H42" s="192" t="inlineStr">
        <is>
          <t>91310000102016281D</t>
        </is>
      </c>
      <c r="I42" s="192" t="inlineStr">
        <is>
          <t>27fl Zhongqi building, 2000 North Zhongshan Road</t>
        </is>
      </c>
      <c r="J42" s="192" t="inlineStr">
        <is>
          <t>200063 Shanghai (China)</t>
        </is>
      </c>
      <c r="K42" s="192" t="inlineStr">
        <is>
          <t>Technical Advisory for Provisional Acceptance Certification</t>
        </is>
      </c>
      <c r="L42" s="200" t="n"/>
      <c r="M42" s="192" t="inlineStr">
        <is>
          <t>Minbu PV - Myanmar | Birmania</t>
        </is>
      </c>
      <c r="N42" s="200" t="n"/>
      <c r="P42" s="200" t="n"/>
      <c r="Q42" s="192" t="inlineStr">
        <is>
          <t>Background analysis</t>
        </is>
      </c>
      <c r="R42" s="200" t="n">
        <v>7000</v>
      </c>
      <c r="S42" s="200" t="n"/>
      <c r="T42" s="200" t="n"/>
      <c r="V42" s="200" t="n"/>
      <c r="X42" s="200" t="n"/>
      <c r="Z42" s="200" t="n"/>
      <c r="AA42" s="200" t="n"/>
      <c r="AB42" s="201" t="inlineStr">
        <is>
          <t>ES11 0081 7069 2700 0122 7724</t>
        </is>
      </c>
      <c r="AC42" s="192" t="inlineStr">
        <is>
          <t>pendiente</t>
        </is>
      </c>
      <c r="AD42" s="200">
        <f>L42+N42+P42+R42+T42+V42+X42+Z42</f>
        <v/>
      </c>
      <c r="AE42" s="200">
        <f>IF((LEFT(M42,4))="Cont",L42,0)</f>
        <v/>
      </c>
      <c r="AF42" s="201">
        <f>VLOOKUP(G42,CLIENTES!B:E,4,FALSE)</f>
        <v/>
      </c>
      <c r="AG42" s="200">
        <f>AF42*AE42</f>
        <v/>
      </c>
      <c r="AH42" s="200">
        <f>AD42</f>
        <v/>
      </c>
      <c r="AI42" s="202">
        <f>IF(AE42&lt;&gt;0,AG42/AD42,"N/A")</f>
        <v/>
      </c>
      <c r="AJ42" s="200">
        <f>IF(AC42="pendiente",AD42,0)</f>
        <v/>
      </c>
      <c r="AK42" s="192">
        <f>VLOOKUP(G42,CLIENTES!B:D,3,FALSE)</f>
        <v/>
      </c>
    </row>
  </sheetData>
  <autoFilter ref="A1:AK32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D27:AE27">
    <cfRule type="cellIs" priority="131" operator="equal" dxfId="1">
      <formula>"pendiente"</formula>
    </cfRule>
  </conditionalFormatting>
  <conditionalFormatting sqref="AC27">
    <cfRule type="containsText" priority="128" operator="containsText" dxfId="62" text="abonado">
      <formula>NOT(ISERROR(SEARCH("abonado",AC27)))</formula>
    </cfRule>
    <cfRule type="containsText" priority="129" operator="containsText" dxfId="61" text="pagado">
      <formula>NOT(ISERROR(SEARCH("pagado",AC27)))</formula>
    </cfRule>
    <cfRule type="containsText" priority="130" operator="containsText" dxfId="60" text="pendiente">
      <formula>NOT(ISERROR(SEARCH("pendiente",AC27)))</formula>
    </cfRule>
  </conditionalFormatting>
  <conditionalFormatting sqref="AD28:AE28">
    <cfRule type="cellIs" priority="127" operator="equal" dxfId="1">
      <formula>"pendiente"</formula>
    </cfRule>
  </conditionalFormatting>
  <conditionalFormatting sqref="AC28">
    <cfRule type="containsText" priority="124" operator="containsText" dxfId="62" text="abonado">
      <formula>NOT(ISERROR(SEARCH("abonado",AC28)))</formula>
    </cfRule>
    <cfRule type="containsText" priority="125" operator="containsText" dxfId="61" text="pagado">
      <formula>NOT(ISERROR(SEARCH("pagado",AC28)))</formula>
    </cfRule>
    <cfRule type="containsText" priority="126" operator="containsText" dxfId="60" text="pendiente">
      <formula>NOT(ISERROR(SEARCH("pendiente",AC28)))</formula>
    </cfRule>
  </conditionalFormatting>
  <conditionalFormatting sqref="AD29:AE29">
    <cfRule type="cellIs" priority="123" operator="equal" dxfId="1">
      <formula>"pendiente"</formula>
    </cfRule>
  </conditionalFormatting>
  <conditionalFormatting sqref="AC29">
    <cfRule type="containsText" priority="120" operator="containsText" dxfId="62" text="abonado">
      <formula>NOT(ISERROR(SEARCH("abonado",AC29)))</formula>
    </cfRule>
    <cfRule type="containsText" priority="121" operator="containsText" dxfId="61" text="pagado">
      <formula>NOT(ISERROR(SEARCH("pagado",AC29)))</formula>
    </cfRule>
    <cfRule type="containsText" priority="122" operator="containsText" dxfId="60" text="pendiente">
      <formula>NOT(ISERROR(SEARCH("pendiente",AC29)))</formula>
    </cfRule>
  </conditionalFormatting>
  <conditionalFormatting sqref="AD30:AE30">
    <cfRule type="cellIs" priority="119" operator="equal" dxfId="1">
      <formula>"pendiente"</formula>
    </cfRule>
  </conditionalFormatting>
  <conditionalFormatting sqref="AC30">
    <cfRule type="containsText" priority="116" operator="containsText" dxfId="62" text="abonado">
      <formula>NOT(ISERROR(SEARCH("abonado",AC30)))</formula>
    </cfRule>
    <cfRule type="containsText" priority="117" operator="containsText" dxfId="61" text="pagado">
      <formula>NOT(ISERROR(SEARCH("pagado",AC30)))</formula>
    </cfRule>
    <cfRule type="containsText" priority="118" operator="containsText" dxfId="60" text="pendiente">
      <formula>NOT(ISERROR(SEARCH("pendiente",AC30)))</formula>
    </cfRule>
  </conditionalFormatting>
  <conditionalFormatting sqref="AD31:AE31">
    <cfRule type="cellIs" priority="115" operator="equal" dxfId="1">
      <formula>"pendiente"</formula>
    </cfRule>
  </conditionalFormatting>
  <conditionalFormatting sqref="AC31">
    <cfRule type="containsText" priority="112" operator="containsText" dxfId="62" text="abonado">
      <formula>NOT(ISERROR(SEARCH("abonado",AC31)))</formula>
    </cfRule>
    <cfRule type="containsText" priority="113" operator="containsText" dxfId="61" text="pagado">
      <formula>NOT(ISERROR(SEARCH("pagado",AC31)))</formula>
    </cfRule>
    <cfRule type="containsText" priority="114" operator="containsText" dxfId="60" text="pendiente">
      <formula>NOT(ISERROR(SEARCH("pendiente",AC31)))</formula>
    </cfRule>
  </conditionalFormatting>
  <conditionalFormatting sqref="AD32:AE32">
    <cfRule type="cellIs" priority="111" operator="equal" dxfId="1">
      <formula>"pendiente"</formula>
    </cfRule>
  </conditionalFormatting>
  <conditionalFormatting sqref="AC32">
    <cfRule type="containsText" priority="108" operator="containsText" dxfId="62" text="abonado">
      <formula>NOT(ISERROR(SEARCH("abonado",AC32)))</formula>
    </cfRule>
    <cfRule type="containsText" priority="109" operator="containsText" dxfId="61" text="pagado">
      <formula>NOT(ISERROR(SEARCH("pagado",AC32)))</formula>
    </cfRule>
    <cfRule type="containsText" priority="110" operator="containsText" dxfId="60" text="pendiente">
      <formula>NOT(ISERROR(SEARCH("pendiente",AC32)))</formula>
    </cfRule>
  </conditionalFormatting>
  <conditionalFormatting sqref="AD33:AE33">
    <cfRule type="cellIs" priority="107" operator="equal" dxfId="1">
      <formula>"pendiente"</formula>
    </cfRule>
  </conditionalFormatting>
  <conditionalFormatting sqref="AC33">
    <cfRule type="containsText" priority="104" operator="containsText" dxfId="62" text="abonado">
      <formula>NOT(ISERROR(SEARCH("abonado",AC33)))</formula>
    </cfRule>
    <cfRule type="containsText" priority="105" operator="containsText" dxfId="61" text="pagado">
      <formula>NOT(ISERROR(SEARCH("pagado",AC33)))</formula>
    </cfRule>
    <cfRule type="containsText" priority="106" operator="containsText" dxfId="60" text="pendiente">
      <formula>NOT(ISERROR(SEARCH("pendiente",AC33)))</formula>
    </cfRule>
  </conditionalFormatting>
  <conditionalFormatting sqref="AD34:AE34">
    <cfRule type="cellIs" priority="103" operator="equal" dxfId="1">
      <formula>"pendiente"</formula>
    </cfRule>
  </conditionalFormatting>
  <conditionalFormatting sqref="AC34">
    <cfRule type="containsText" priority="100" operator="containsText" dxfId="62" text="abonado">
      <formula>NOT(ISERROR(SEARCH("abonado",AC34)))</formula>
    </cfRule>
    <cfRule type="containsText" priority="101" operator="containsText" dxfId="61" text="pagado">
      <formula>NOT(ISERROR(SEARCH("pagado",AC34)))</formula>
    </cfRule>
    <cfRule type="containsText" priority="102" operator="containsText" dxfId="60" text="pendiente">
      <formula>NOT(ISERROR(SEARCH("pendiente",AC34)))</formula>
    </cfRule>
  </conditionalFormatting>
  <conditionalFormatting sqref="AD35:AE35">
    <cfRule type="cellIs" priority="99" operator="equal" dxfId="1">
      <formula>"pendiente"</formula>
    </cfRule>
  </conditionalFormatting>
  <conditionalFormatting sqref="AC35">
    <cfRule type="containsText" priority="96" operator="containsText" dxfId="62" text="abonado">
      <formula>NOT(ISERROR(SEARCH("abonado",AC35)))</formula>
    </cfRule>
    <cfRule type="containsText" priority="97" operator="containsText" dxfId="61" text="pagado">
      <formula>NOT(ISERROR(SEARCH("pagado",AC35)))</formula>
    </cfRule>
    <cfRule type="containsText" priority="98" operator="containsText" dxfId="60" text="pendiente">
      <formula>NOT(ISERROR(SEARCH("pendiente",AC35)))</formula>
    </cfRule>
  </conditionalFormatting>
  <conditionalFormatting sqref="AD36:AE36">
    <cfRule type="cellIs" priority="95" operator="equal" dxfId="1">
      <formula>"pendiente"</formula>
    </cfRule>
  </conditionalFormatting>
  <conditionalFormatting sqref="AC36">
    <cfRule type="containsText" priority="92" operator="containsText" dxfId="62" text="abonado">
      <formula>NOT(ISERROR(SEARCH("abonado",AC36)))</formula>
    </cfRule>
    <cfRule type="containsText" priority="93" operator="containsText" dxfId="61" text="pagado">
      <formula>NOT(ISERROR(SEARCH("pagado",AC36)))</formula>
    </cfRule>
    <cfRule type="containsText" priority="94" operator="containsText" dxfId="60" text="pendiente">
      <formula>NOT(ISERROR(SEARCH("pendiente",AC36)))</formula>
    </cfRule>
  </conditionalFormatting>
  <conditionalFormatting sqref="AD37:AE37">
    <cfRule type="cellIs" priority="91" operator="equal" dxfId="1">
      <formula>"pendiente"</formula>
    </cfRule>
  </conditionalFormatting>
  <conditionalFormatting sqref="AC37">
    <cfRule type="containsText" priority="88" operator="containsText" dxfId="62" text="abonado">
      <formula>NOT(ISERROR(SEARCH("abonado",AC37)))</formula>
    </cfRule>
    <cfRule type="containsText" priority="89" operator="containsText" dxfId="61" text="pagado">
      <formula>NOT(ISERROR(SEARCH("pagado",AC37)))</formula>
    </cfRule>
    <cfRule type="containsText" priority="90" operator="containsText" dxfId="60" text="pendiente">
      <formula>NOT(ISERROR(SEARCH("pendiente",AC37)))</formula>
    </cfRule>
  </conditionalFormatting>
  <conditionalFormatting sqref="AD38:AE38">
    <cfRule type="cellIs" priority="87" operator="equal" dxfId="1">
      <formula>"pendiente"</formula>
    </cfRule>
  </conditionalFormatting>
  <conditionalFormatting sqref="AC38">
    <cfRule type="containsText" priority="84" operator="containsText" dxfId="62" text="abonado">
      <formula>NOT(ISERROR(SEARCH("abonado",AC38)))</formula>
    </cfRule>
    <cfRule type="containsText" priority="85" operator="containsText" dxfId="61" text="pagado">
      <formula>NOT(ISERROR(SEARCH("pagado",AC38)))</formula>
    </cfRule>
    <cfRule type="containsText" priority="86" operator="containsText" dxfId="60" text="pendiente">
      <formula>NOT(ISERROR(SEARCH("pendiente",AC38)))</formula>
    </cfRule>
  </conditionalFormatting>
  <conditionalFormatting sqref="AD39:AE39">
    <cfRule type="cellIs" priority="83" operator="equal" dxfId="1">
      <formula>"pendiente"</formula>
    </cfRule>
  </conditionalFormatting>
  <conditionalFormatting sqref="AC39">
    <cfRule type="containsText" priority="80" operator="containsText" dxfId="62" text="abonado">
      <formula>NOT(ISERROR(SEARCH("abonado",AC39)))</formula>
    </cfRule>
    <cfRule type="containsText" priority="81" operator="containsText" dxfId="61" text="pagado">
      <formula>NOT(ISERROR(SEARCH("pagado",AC39)))</formula>
    </cfRule>
    <cfRule type="containsText" priority="82" operator="containsText" dxfId="60" text="pendiente">
      <formula>NOT(ISERROR(SEARCH("pendiente",AC39)))</formula>
    </cfRule>
  </conditionalFormatting>
  <conditionalFormatting sqref="AD40:AE40">
    <cfRule type="cellIs" priority="79" operator="equal" dxfId="1">
      <formula>"pendiente"</formula>
    </cfRule>
  </conditionalFormatting>
  <conditionalFormatting sqref="AC40">
    <cfRule type="containsText" priority="73" operator="containsText" dxfId="62" text="abonado">
      <formula>NOT(ISERROR(SEARCH("abonado",AC40)))</formula>
    </cfRule>
    <cfRule type="containsText" priority="74" operator="containsText" dxfId="61" text="pagado">
      <formula>NOT(ISERROR(SEARCH("pagado",AC40)))</formula>
    </cfRule>
    <cfRule type="containsText" priority="75" operator="containsText" dxfId="60" text="pendiente">
      <formula>NOT(ISERROR(SEARCH("pendiente",AC40)))</formula>
    </cfRule>
  </conditionalFormatting>
  <conditionalFormatting sqref="AD41:AE41">
    <cfRule type="cellIs" priority="72" operator="equal" dxfId="1">
      <formula>"pendiente"</formula>
    </cfRule>
  </conditionalFormatting>
  <conditionalFormatting sqref="AC41">
    <cfRule type="containsText" priority="69" operator="containsText" dxfId="62" text="abonado">
      <formula>NOT(ISERROR(SEARCH("abonado",AC41)))</formula>
    </cfRule>
    <cfRule type="containsText" priority="70" operator="containsText" dxfId="61" text="pagado">
      <formula>NOT(ISERROR(SEARCH("pagado",AC41)))</formula>
    </cfRule>
    <cfRule type="containsText" priority="71" operator="containsText" dxfId="60" text="pendiente">
      <formula>NOT(ISERROR(SEARCH("pendiente",AC41)))</formula>
    </cfRule>
  </conditionalFormatting>
  <conditionalFormatting sqref="AD42:AE42">
    <cfRule type="cellIs" priority="68" operator="equal" dxfId="1">
      <formula>"pendiente"</formula>
    </cfRule>
  </conditionalFormatting>
  <conditionalFormatting sqref="AC42">
    <cfRule type="containsText" priority="65" operator="containsText" dxfId="62" text="abonado">
      <formula>NOT(ISERROR(SEARCH("abonado",AC42)))</formula>
    </cfRule>
    <cfRule type="containsText" priority="66" operator="containsText" dxfId="61" text="pagado">
      <formula>NOT(ISERROR(SEARCH("pagado",AC42)))</formula>
    </cfRule>
    <cfRule type="containsText" priority="67" operator="containsText" dxfId="60" text="pendiente">
      <formula>NOT(ISERROR(SEARCH("pendiente",AC42)))</formula>
    </cfRule>
  </conditionalFormatting>
  <conditionalFormatting sqref="AD25:AE25">
    <cfRule type="cellIs" priority="56" operator="equal" dxfId="1">
      <formula>"pendiente"</formula>
    </cfRule>
  </conditionalFormatting>
  <conditionalFormatting sqref="AC25">
    <cfRule type="containsText" priority="49" operator="containsText" dxfId="62" text="abonado">
      <formula>NOT(ISERROR(SEARCH("abonado",AC25)))</formula>
    </cfRule>
    <cfRule type="containsText" priority="50" operator="containsText" dxfId="61" text="pagado">
      <formula>NOT(ISERROR(SEARCH("pagado",AC25)))</formula>
    </cfRule>
    <cfRule type="containsText" priority="51" operator="containsText" dxfId="60" text="pendiente">
      <formula>NOT(ISERROR(SEARCH("pendiente",AC25)))</formula>
    </cfRule>
  </conditionalFormatting>
  <conditionalFormatting sqref="AC24:AE24 AG24">
    <cfRule type="containsText" priority="34" operator="containsText" dxfId="1" text="pendiente">
      <formula>NOT(ISERROR(SEARCH("pendiente",AC24)))</formula>
    </cfRule>
  </conditionalFormatting>
  <conditionalFormatting sqref="AC24">
    <cfRule type="cellIs" priority="33" operator="equal" dxfId="6">
      <formula>"abonado"</formula>
    </cfRule>
    <cfRule type="cellIs" priority="31" operator="equal" dxfId="1">
      <formula>"pendiente"</formula>
    </cfRule>
    <cfRule type="containsText" priority="32" operator="containsText" dxfId="0" text="pagado">
      <formula>NOT(ISERROR(SEARCH("pagado",AC24)))</formula>
    </cfRule>
  </conditionalFormatting>
  <conditionalFormatting sqref="AC24:AE24">
    <cfRule type="cellIs" priority="29" operator="equal" dxfId="1">
      <formula>"pendiente"</formula>
    </cfRule>
    <cfRule type="containsText" priority="30" operator="containsText" dxfId="0" text="pagado">
      <formula>NOT(ISERROR(SEARCH("pagado",AC24)))</formula>
    </cfRule>
    <cfRule type="cellIs" priority="27" operator="equal" dxfId="1">
      <formula>"pendiente"</formula>
    </cfRule>
    <cfRule type="containsText" priority="28" operator="containsText" dxfId="0" text="pagado">
      <formula>NOT(ISERROR(SEARCH("pagado",AC24)))</formula>
    </cfRule>
  </conditionalFormatting>
  <dataValidations disablePrompts="1" count="4">
    <dataValidation sqref="AC25 AC27:AC43 AC45:AC1048576" showDropDown="0" showInputMessage="1" showErrorMessage="1" allowBlank="1" type="list">
      <formula1>"pagado,pendiente,abonado"</formula1>
    </dataValidation>
    <dataValidation sqref="AL24" showDropDown="0" showInputMessage="1" showErrorMessage="1" allowBlank="1" type="list">
      <formula1>"WOC_Asset,WOC_OM,OM_Otros,nudos,Ingeniería,Asset"</formula1>
    </dataValidation>
    <dataValidation sqref="AM24" showDropDown="0" showInputMessage="1" showErrorMessage="1" allowBlank="1" type="list">
      <formula1>"Refacturación,Promoción,Explotación,Extraordinario,Legal,Administración,Privativas,Dirección"</formula1>
    </dataValidation>
    <dataValidation sqref="AC24" showDropDown="0" showInputMessage="1" showErrorMessage="1" allowBlank="1" type="list">
      <formula1>"pendiente,pagado,abonado"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Hoja24">
    <tabColor rgb="FF92D050"/>
    <outlinePr summaryBelow="1" summaryRight="1"/>
    <pageSetUpPr/>
  </sheetPr>
  <dimension ref="A1:AK166"/>
  <sheetViews>
    <sheetView topLeftCell="C1" zoomScale="85" zoomScaleNormal="85" workbookViewId="0">
      <pane ySplit="1" topLeftCell="A5" activePane="bottomLeft" state="frozen"/>
      <selection activeCell="S1" sqref="S1"/>
      <selection pane="bottomLeft" activeCell="G50" sqref="G50"/>
    </sheetView>
  </sheetViews>
  <sheetFormatPr baseColWidth="10" defaultColWidth="11.3828125" defaultRowHeight="12.45"/>
  <cols>
    <col width="9.84375" customWidth="1" style="1" min="1" max="1"/>
    <col width="10.84375" customWidth="1" style="1" min="2" max="2"/>
    <col width="28.3828125" customWidth="1" style="1" min="3" max="3"/>
    <col width="11.84375" customWidth="1" style="1" min="4" max="4"/>
    <col width="13.84375" customWidth="1" style="1" min="5" max="5"/>
    <col hidden="1" width="22.53515625" customWidth="1" style="1" min="6" max="6"/>
    <col width="44.3046875" customWidth="1" style="1" min="7" max="7"/>
    <col width="18.53515625" customWidth="1" style="1" min="8" max="8"/>
    <col width="30.3828125" customWidth="1" style="1" min="9" max="9"/>
    <col width="14.3828125" bestFit="1" customWidth="1" style="4" min="10" max="10"/>
    <col width="59.3828125" customWidth="1" style="1" min="11" max="11"/>
    <col width="12.3828125" customWidth="1" style="5" min="12" max="12"/>
    <col width="64" customWidth="1" style="1" min="13" max="13"/>
    <col width="12" customWidth="1" style="5" min="14" max="14"/>
    <col width="59.53515625" customWidth="1" style="1" min="15" max="15"/>
    <col width="16.53515625" customWidth="1" style="5" min="16" max="16"/>
    <col width="39.3828125" customWidth="1" style="1" min="17" max="17"/>
    <col width="11.3828125" customWidth="1" style="5" min="18" max="18"/>
    <col width="11.3828125" customWidth="1" style="1" min="19" max="19"/>
    <col width="11.3828125" customWidth="1" style="5" min="20" max="20"/>
    <col width="11.3828125" customWidth="1" style="1" min="21" max="21"/>
    <col width="11.3828125" customWidth="1" style="5" min="22" max="22"/>
    <col width="11.3828125" customWidth="1" style="1" min="23" max="23"/>
    <col width="11.3828125" customWidth="1" style="5" min="24" max="24"/>
    <col width="41.3828125" customWidth="1" style="1" min="25" max="25"/>
    <col width="11.3828125" customWidth="1" style="5" min="26" max="26"/>
    <col width="13.15234375" customWidth="1" style="5" min="27" max="27"/>
    <col width="28.84375" bestFit="1" customWidth="1" style="6" min="28" max="28"/>
    <col width="15" customWidth="1" style="6" min="29" max="29"/>
    <col width="17" customWidth="1" style="1" min="30" max="30"/>
    <col width="10.69140625" customWidth="1" style="1" min="31" max="31"/>
    <col width="6" customWidth="1" style="6" min="32" max="32"/>
    <col width="12.3828125" customWidth="1" style="1" min="33" max="33"/>
    <col width="14.3828125" customWidth="1" style="1" min="34" max="34"/>
    <col width="13.3828125" customWidth="1" style="1" min="35" max="35"/>
    <col width="14.53515625" customWidth="1" style="1" min="36" max="36"/>
    <col width="11.3828125" customWidth="1" style="1" min="37" max="47"/>
    <col width="11.3828125" customWidth="1" style="1" min="48" max="16384"/>
  </cols>
  <sheetData>
    <row r="1" ht="67.5" customFormat="1" customHeight="1" s="685">
      <c r="A1" s="19" t="inlineStr">
        <is>
          <t>nº Factura</t>
        </is>
      </c>
      <c r="B1" s="19" t="inlineStr">
        <is>
          <t>Fecha Factura</t>
        </is>
      </c>
      <c r="C1" s="684" t="inlineStr">
        <is>
          <t>Emisor</t>
        </is>
      </c>
      <c r="G1" s="684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4" t="inlineStr">
        <is>
          <t>nº cuenta</t>
        </is>
      </c>
      <c r="AC1" s="684" t="inlineStr">
        <is>
          <t>Estado</t>
        </is>
      </c>
      <c r="AD1" s="684" t="inlineStr">
        <is>
          <t>Total</t>
        </is>
      </c>
      <c r="AE1" s="684" t="inlineStr">
        <is>
          <t>AP Asesores</t>
        </is>
      </c>
      <c r="AH1" s="684" t="inlineStr">
        <is>
          <t>Total (+IVA)</t>
        </is>
      </c>
      <c r="AI1" s="684" t="inlineStr">
        <is>
          <t>% Contabilidad</t>
        </is>
      </c>
      <c r="AJ1" s="684" t="inlineStr">
        <is>
          <t>Pendiente</t>
        </is>
      </c>
      <c r="AK1" s="684" t="inlineStr">
        <is>
          <t>cliente</t>
        </is>
      </c>
    </row>
    <row r="2" ht="15" customHeight="1" s="700">
      <c r="A2" s="1" t="inlineStr">
        <is>
          <t>S25001</t>
        </is>
      </c>
      <c r="B2" s="26" t="n">
        <v>45743</v>
      </c>
      <c r="C2" s="1" t="inlineStr">
        <is>
          <t>c/ Las Cruzadas 3A, local D</t>
        </is>
      </c>
      <c r="D2" s="1" t="inlineStr">
        <is>
          <t>Sevilla 41004</t>
        </is>
      </c>
      <c r="E2" s="1" t="inlineStr">
        <is>
          <t>CIF B91938662</t>
        </is>
      </c>
      <c r="F2" s="1" t="inlineStr">
        <is>
          <t>aBalados@abalados.es</t>
        </is>
      </c>
      <c r="G2" s="1" t="inlineStr">
        <is>
          <t>Renovables Brovales 400 kV, S.L.</t>
        </is>
      </c>
      <c r="H2" s="1">
        <f>VLOOKUP($G2,DATOS!$B:$E,2,FALSE)</f>
        <v/>
      </c>
      <c r="I2" s="1">
        <f>VLOOKUP($G2,DATOS!$B:$E,3,FALSE)</f>
        <v/>
      </c>
      <c r="J2" s="1">
        <f>VLOOKUP($G2,DATOS!$B:$E,4,FALSE)</f>
        <v/>
      </c>
      <c r="K2" s="1" t="inlineStr">
        <is>
          <t>Factura de suplidos</t>
        </is>
      </c>
      <c r="O2" s="1" t="inlineStr">
        <is>
          <t>FNMT Nº 8250075555</t>
        </is>
      </c>
      <c r="P2" s="5" t="n">
        <v>16.94</v>
      </c>
      <c r="AA2" s="5">
        <f>L2+N2+P2+R2+T2+V2+X2+Z2</f>
        <v/>
      </c>
      <c r="AB2" s="438" t="inlineStr">
        <is>
          <t>ES85 2080 3509 1130 4009 6171</t>
        </is>
      </c>
      <c r="AC2" s="1" t="inlineStr">
        <is>
          <t>pagado</t>
        </is>
      </c>
      <c r="AD2" s="5">
        <f>L2+N2+P2+R2+T2+V2+X2+Z2</f>
        <v/>
      </c>
      <c r="AE2" s="5">
        <f>IF((LEFT(K2,6))="Contab",L2,0)</f>
        <v/>
      </c>
      <c r="AF2" s="6">
        <f>VLOOKUP(G2,CLIENTES!B:E,4,FALSE)</f>
        <v/>
      </c>
      <c r="AG2" s="5">
        <f>AF2*AE2</f>
        <v/>
      </c>
      <c r="AH2" s="5">
        <f>AD2</f>
        <v/>
      </c>
      <c r="AI2" s="261">
        <f>IF(AE2&lt;&gt;0,AG2/AD2,"N/A")</f>
        <v/>
      </c>
      <c r="AJ2" s="5">
        <f>IF(AC2="pendiente",AD2,0)</f>
        <v/>
      </c>
      <c r="AK2" s="1">
        <f>VLOOKUP(G2,CLIENTES!B:D,3,FALSE)</f>
        <v/>
      </c>
    </row>
    <row r="3" ht="15" customHeight="1" s="700">
      <c r="A3" s="1" t="inlineStr">
        <is>
          <t>S25002</t>
        </is>
      </c>
      <c r="B3" s="26" t="n">
        <v>45743</v>
      </c>
      <c r="C3" s="1" t="inlineStr">
        <is>
          <t>c/ Las Cruzadas 3A, local D</t>
        </is>
      </c>
      <c r="D3" s="1" t="inlineStr">
        <is>
          <t>Sevilla 41004</t>
        </is>
      </c>
      <c r="E3" s="1" t="inlineStr">
        <is>
          <t>CIF B91938662</t>
        </is>
      </c>
      <c r="F3" s="1" t="inlineStr">
        <is>
          <t>aBalados@abalados.es</t>
        </is>
      </c>
      <c r="G3" s="1" t="inlineStr">
        <is>
          <t>Promotores Benejama Generación, S.L.</t>
        </is>
      </c>
      <c r="H3" s="1">
        <f>VLOOKUP($G3,DATOS!$B:$E,2,FALSE)</f>
        <v/>
      </c>
      <c r="I3" s="1">
        <f>VLOOKUP($G3,DATOS!$B:$E,3,FALSE)</f>
        <v/>
      </c>
      <c r="J3" s="1">
        <f>VLOOKUP($G3,DATOS!$B:$E,4,FALSE)</f>
        <v/>
      </c>
      <c r="K3" s="1" t="inlineStr">
        <is>
          <t>Factura de suplidos</t>
        </is>
      </c>
      <c r="O3" s="1" t="inlineStr">
        <is>
          <t>REGISTRO MERCANTIL DE SEVILLA Nº12863</t>
        </is>
      </c>
      <c r="P3" s="5" t="n">
        <v>253.7</v>
      </c>
      <c r="AA3" s="5">
        <f>L3+N3+P3+R3+T3+V3+X3+Z3</f>
        <v/>
      </c>
      <c r="AB3" s="438" t="inlineStr">
        <is>
          <t>ES85 2080 3509 1130 4009 6171</t>
        </is>
      </c>
      <c r="AC3" s="1" t="inlineStr">
        <is>
          <t>pagado</t>
        </is>
      </c>
      <c r="AD3" s="5">
        <f>L3+N3+P3+R3+T3+V3+X3+Z3</f>
        <v/>
      </c>
      <c r="AE3" s="5">
        <f>IF((LEFT(K3,6))="Contab",L3,0)</f>
        <v/>
      </c>
      <c r="AF3" s="6">
        <f>VLOOKUP(G3,CLIENTES!B:E,4,FALSE)</f>
        <v/>
      </c>
      <c r="AG3" s="5">
        <f>AF3*AE3</f>
        <v/>
      </c>
      <c r="AH3" s="5">
        <f>AD3</f>
        <v/>
      </c>
      <c r="AI3" s="261">
        <f>IF(AE3&lt;&gt;0,AG3/AD3,"N/A")</f>
        <v/>
      </c>
      <c r="AJ3" s="5">
        <f>IF(AC3="pendiente",AD3,0)</f>
        <v/>
      </c>
      <c r="AK3" s="1">
        <f>VLOOKUP(G3,CLIENTES!B:D,3,FALSE)</f>
        <v/>
      </c>
    </row>
    <row r="4" ht="15" customHeight="1" s="700">
      <c r="A4" s="1" t="inlineStr">
        <is>
          <t>S25003</t>
        </is>
      </c>
      <c r="B4" s="26" t="n">
        <v>45743</v>
      </c>
      <c r="C4" s="1" t="inlineStr">
        <is>
          <t>c/ Las Cruzadas 3A, local D</t>
        </is>
      </c>
      <c r="D4" s="1" t="inlineStr">
        <is>
          <t>Sevilla 41004</t>
        </is>
      </c>
      <c r="E4" s="1" t="inlineStr">
        <is>
          <t>CIF B91938662</t>
        </is>
      </c>
      <c r="F4" s="1" t="inlineStr">
        <is>
          <t>aBalados@abalados.es</t>
        </is>
      </c>
      <c r="G4" s="1" t="inlineStr">
        <is>
          <t>Línea Covatillas, A.I.E.</t>
        </is>
      </c>
      <c r="H4" s="1">
        <f>VLOOKUP($G4,DATOS!$B:$E,2,FALSE)</f>
        <v/>
      </c>
      <c r="I4" s="1">
        <f>VLOOKUP($G4,DATOS!$B:$E,3,FALSE)</f>
        <v/>
      </c>
      <c r="J4" s="1">
        <f>VLOOKUP($G4,DATOS!$B:$E,4,FALSE)</f>
        <v/>
      </c>
      <c r="K4" s="1" t="inlineStr">
        <is>
          <t>Factura de suplidos</t>
        </is>
      </c>
      <c r="O4" s="1" t="inlineStr">
        <is>
          <t>FNMT Nº 8241029026</t>
        </is>
      </c>
      <c r="P4" s="5" t="n">
        <v>16.94</v>
      </c>
      <c r="AA4" s="5">
        <f>L4+N4+P4+R4+T4+V4+X4+Z4</f>
        <v/>
      </c>
      <c r="AB4" s="438" t="inlineStr">
        <is>
          <t>ES85 2080 3509 1130 4009 6171</t>
        </is>
      </c>
      <c r="AC4" s="1" t="inlineStr">
        <is>
          <t>pagado</t>
        </is>
      </c>
      <c r="AD4" s="5">
        <f>L4+N4+P4+R4+T4+V4+X4+Z4</f>
        <v/>
      </c>
      <c r="AE4" s="5">
        <f>IF((LEFT(K4,6))="Contab",L4,0)</f>
        <v/>
      </c>
      <c r="AF4" s="6">
        <f>VLOOKUP(G4,CLIENTES!B:E,4,FALSE)</f>
        <v/>
      </c>
      <c r="AG4" s="5">
        <f>AF4*AE4</f>
        <v/>
      </c>
      <c r="AH4" s="5">
        <f>AD4</f>
        <v/>
      </c>
      <c r="AI4" s="261">
        <f>IF(AE4&lt;&gt;0,AG4/AD4,"N/A")</f>
        <v/>
      </c>
      <c r="AJ4" s="5">
        <f>IF(AC4="pendiente",AD4,0)</f>
        <v/>
      </c>
      <c r="AK4" s="1">
        <f>VLOOKUP(G4,CLIENTES!B:D,3,FALSE)</f>
        <v/>
      </c>
    </row>
    <row r="5" ht="15" customHeight="1" s="700">
      <c r="A5" s="1" t="inlineStr">
        <is>
          <t>S25004</t>
        </is>
      </c>
      <c r="B5" s="26" t="n">
        <v>45743</v>
      </c>
      <c r="C5" s="1" t="inlineStr">
        <is>
          <t>c/ Las Cruzadas 3A, local D</t>
        </is>
      </c>
      <c r="D5" s="1" t="inlineStr">
        <is>
          <t>Sevilla 41004</t>
        </is>
      </c>
      <c r="E5" s="1" t="inlineStr">
        <is>
          <t>CIF B91938662</t>
        </is>
      </c>
      <c r="F5" s="1" t="inlineStr">
        <is>
          <t>aBalados@abalados.es</t>
        </is>
      </c>
      <c r="G5" s="1" t="inlineStr">
        <is>
          <t>Belisol 132 kV, S.L.</t>
        </is>
      </c>
      <c r="H5" s="1">
        <f>VLOOKUP($G5,DATOS!$B:$E,2,FALSE)</f>
        <v/>
      </c>
      <c r="I5" s="1">
        <f>VLOOKUP($G5,DATOS!$B:$E,3,FALSE)</f>
        <v/>
      </c>
      <c r="J5" s="1">
        <f>VLOOKUP($G5,DATOS!$B:$E,4,FALSE)</f>
        <v/>
      </c>
      <c r="K5" s="1" t="inlineStr">
        <is>
          <t>Factura de suplidos</t>
        </is>
      </c>
      <c r="O5" s="1" t="inlineStr">
        <is>
          <t>FNMT Nº 8250274183</t>
        </is>
      </c>
      <c r="P5" s="5" t="n">
        <v>16.94</v>
      </c>
      <c r="AA5" s="5">
        <f>L5+N5+P5+R5+T5+V5+X5+Z5</f>
        <v/>
      </c>
      <c r="AB5" s="438" t="inlineStr">
        <is>
          <t>ES85 2080 3509 1130 4009 6171</t>
        </is>
      </c>
      <c r="AC5" s="1" t="inlineStr">
        <is>
          <t>pagado</t>
        </is>
      </c>
      <c r="AD5" s="5">
        <f>L5+N5+P5+R5+T5+V5+X5+Z5</f>
        <v/>
      </c>
      <c r="AE5" s="5">
        <f>IF((LEFT(K5,6))="Contab",L5,0)</f>
        <v/>
      </c>
      <c r="AF5" s="6">
        <f>VLOOKUP(G5,CLIENTES!B:E,4,FALSE)</f>
        <v/>
      </c>
      <c r="AG5" s="5">
        <f>AF5*AE5</f>
        <v/>
      </c>
      <c r="AH5" s="5">
        <f>AD5</f>
        <v/>
      </c>
      <c r="AI5" s="261">
        <f>IF(AE5&lt;&gt;0,AG5/AD5,"N/A")</f>
        <v/>
      </c>
      <c r="AJ5" s="5">
        <f>IF(AC5="pendiente",AD5,0)</f>
        <v/>
      </c>
      <c r="AK5" s="1">
        <f>VLOOKUP(G5,CLIENTES!B:D,3,FALSE)</f>
        <v/>
      </c>
    </row>
    <row r="6" ht="15" customHeight="1" s="700">
      <c r="A6" s="1" t="inlineStr">
        <is>
          <t>S25005</t>
        </is>
      </c>
      <c r="B6" s="26" t="n">
        <v>45743</v>
      </c>
      <c r="C6" s="1" t="inlineStr">
        <is>
          <t>c/ Las Cruzadas 3A, local D</t>
        </is>
      </c>
      <c r="D6" s="1" t="inlineStr">
        <is>
          <t>Sevilla 41004</t>
        </is>
      </c>
      <c r="E6" s="1" t="inlineStr">
        <is>
          <t>CIF B91938662</t>
        </is>
      </c>
      <c r="F6" s="1" t="inlineStr">
        <is>
          <t>aBalados@abalados.es</t>
        </is>
      </c>
      <c r="G6" s="1" t="inlineStr">
        <is>
          <t>San Pedro Pinatar Renovables, S.L.</t>
        </is>
      </c>
      <c r="H6" s="1">
        <f>VLOOKUP($G6,DATOS!$B:$E,2,FALSE)</f>
        <v/>
      </c>
      <c r="I6" s="1">
        <f>VLOOKUP($G6,DATOS!$B:$E,3,FALSE)</f>
        <v/>
      </c>
      <c r="J6" s="1">
        <f>VLOOKUP($G6,DATOS!$B:$E,4,FALSE)</f>
        <v/>
      </c>
      <c r="K6" s="1" t="inlineStr">
        <is>
          <t>Factura de suplidos</t>
        </is>
      </c>
      <c r="O6" s="1" t="inlineStr">
        <is>
          <t>PAGO MODELO 111 4ºT</t>
        </is>
      </c>
      <c r="P6" s="5" t="n">
        <v>63.55</v>
      </c>
      <c r="Q6" s="1" t="inlineStr">
        <is>
          <t>FNMT Nº 8250180677</t>
        </is>
      </c>
      <c r="R6" s="5" t="n">
        <v>16.94</v>
      </c>
      <c r="AA6" s="5">
        <f>L6+N6+P6+R6+T6+V6+X6+Z6</f>
        <v/>
      </c>
      <c r="AB6" s="438" t="inlineStr">
        <is>
          <t>ES85 2080 3509 1130 4009 6171</t>
        </is>
      </c>
      <c r="AC6" s="1" t="inlineStr">
        <is>
          <t>pagado</t>
        </is>
      </c>
      <c r="AD6" s="5">
        <f>L6+N6+P6+R6+T6+V6+X6+Z6</f>
        <v/>
      </c>
      <c r="AE6" s="5">
        <f>IF((LEFT(K6,6))="Contab",L6,0)</f>
        <v/>
      </c>
      <c r="AF6" s="6">
        <f>VLOOKUP(G6,CLIENTES!B:E,4,FALSE)</f>
        <v/>
      </c>
      <c r="AG6" s="5">
        <f>AF6*AE6</f>
        <v/>
      </c>
      <c r="AH6" s="5">
        <f>AD6</f>
        <v/>
      </c>
      <c r="AI6" s="261">
        <f>IF(AE6&lt;&gt;0,AG6/AD6,"N/A")</f>
        <v/>
      </c>
      <c r="AJ6" s="5">
        <f>IF(AC6="pendiente",AD6,0)</f>
        <v/>
      </c>
      <c r="AK6" s="1">
        <f>VLOOKUP(G6,CLIENTES!B:D,3,FALSE)</f>
        <v/>
      </c>
    </row>
    <row r="7" ht="15" customHeight="1" s="700">
      <c r="A7" s="1" t="inlineStr">
        <is>
          <t>S25006</t>
        </is>
      </c>
      <c r="B7" s="26" t="n">
        <v>45743</v>
      </c>
      <c r="C7" s="1" t="inlineStr">
        <is>
          <t>c/ Las Cruzadas 3A, local D</t>
        </is>
      </c>
      <c r="D7" s="1" t="inlineStr">
        <is>
          <t>Sevilla 41004</t>
        </is>
      </c>
      <c r="E7" s="1" t="inlineStr">
        <is>
          <t>CIF B91938662</t>
        </is>
      </c>
      <c r="F7" s="1" t="inlineStr">
        <is>
          <t>aBalados@abalados.es</t>
        </is>
      </c>
      <c r="G7" s="1" t="inlineStr">
        <is>
          <t>ICE Santa Engracia, S.L.</t>
        </is>
      </c>
      <c r="H7" s="1">
        <f>VLOOKUP($G7,DATOS!$B:$E,2,FALSE)</f>
        <v/>
      </c>
      <c r="I7" s="1">
        <f>VLOOKUP($G7,DATOS!$B:$E,3,FALSE)</f>
        <v/>
      </c>
      <c r="J7" s="1">
        <f>VLOOKUP($G7,DATOS!$B:$E,4,FALSE)</f>
        <v/>
      </c>
      <c r="K7" s="1" t="inlineStr">
        <is>
          <t>Factura de suplidos</t>
        </is>
      </c>
      <c r="O7" s="1" t="inlineStr">
        <is>
          <t>REGISTRO MERCANTIL DE LA RIOJA nº 2180</t>
        </is>
      </c>
      <c r="P7" s="5" t="n">
        <v>183.14</v>
      </c>
      <c r="Q7" s="1" t="inlineStr">
        <is>
          <t>FNMT Nº 9230654477</t>
        </is>
      </c>
      <c r="R7" s="5" t="n">
        <v>16.94</v>
      </c>
      <c r="S7" s="1" t="inlineStr">
        <is>
          <t>Servicios por Docusing 20/07/2023</t>
        </is>
      </c>
      <c r="T7" s="5" t="n">
        <v>276</v>
      </c>
      <c r="U7" s="1" t="inlineStr">
        <is>
          <t>Servicios por Docusing nº 20/07/2024</t>
        </is>
      </c>
      <c r="V7" s="5" t="n">
        <v>276</v>
      </c>
      <c r="AA7" s="5">
        <f>L7+N7+P7+R7+T7+V7+X7+Z7</f>
        <v/>
      </c>
      <c r="AB7" s="438" t="inlineStr">
        <is>
          <t>ES85 2080 3509 1130 4009 6171</t>
        </is>
      </c>
      <c r="AC7" s="1" t="inlineStr">
        <is>
          <t>pagado</t>
        </is>
      </c>
      <c r="AD7" s="5">
        <f>L7+N7+P7+R7+T7+V7+X7+Z7</f>
        <v/>
      </c>
      <c r="AE7" s="5">
        <f>IF((LEFT(K7,6))="Contab",L7,0)</f>
        <v/>
      </c>
      <c r="AF7" s="6">
        <f>VLOOKUP(G7,CLIENTES!B:E,4,FALSE)</f>
        <v/>
      </c>
      <c r="AG7" s="5">
        <f>AF7*AE7</f>
        <v/>
      </c>
      <c r="AH7" s="5">
        <f>AD7</f>
        <v/>
      </c>
      <c r="AI7" s="261">
        <f>IF(AE7&lt;&gt;0,AG7/AD7,"N/A")</f>
        <v/>
      </c>
      <c r="AJ7" s="5">
        <f>IF(AC7="pendiente",AD7,0)</f>
        <v/>
      </c>
      <c r="AK7" s="1">
        <f>VLOOKUP(G7,CLIENTES!B:D,3,FALSE)</f>
        <v/>
      </c>
    </row>
    <row r="8" ht="15" customHeight="1" s="700">
      <c r="A8" s="1" t="inlineStr">
        <is>
          <t>S25007</t>
        </is>
      </c>
      <c r="B8" s="26" t="n">
        <v>45743</v>
      </c>
      <c r="C8" s="1" t="inlineStr">
        <is>
          <t>c/ Las Cruzadas 3A, local D</t>
        </is>
      </c>
      <c r="D8" s="1" t="inlineStr">
        <is>
          <t>Sevilla 41004</t>
        </is>
      </c>
      <c r="E8" s="1" t="inlineStr">
        <is>
          <t>CIF B91938662</t>
        </is>
      </c>
      <c r="F8" s="1" t="inlineStr">
        <is>
          <t>aBalados@abalados.es</t>
        </is>
      </c>
      <c r="G8" s="1" t="inlineStr">
        <is>
          <t>Teodomiro Renovables, S.L.</t>
        </is>
      </c>
      <c r="H8" s="1">
        <f>VLOOKUP($G8,DATOS!$B:$E,2,FALSE)</f>
        <v/>
      </c>
      <c r="I8" s="1">
        <f>VLOOKUP($G8,DATOS!$B:$E,3,FALSE)</f>
        <v/>
      </c>
      <c r="J8" s="1">
        <f>VLOOKUP($G8,DATOS!$B:$E,4,FALSE)</f>
        <v/>
      </c>
      <c r="K8" s="1" t="inlineStr">
        <is>
          <t>Factura de suplidos</t>
        </is>
      </c>
      <c r="O8" s="1" t="inlineStr">
        <is>
          <t>REGISTRO MERCANTIL DE SEVILLA Nº58266</t>
        </is>
      </c>
      <c r="P8" s="5" t="n">
        <v>50.44</v>
      </c>
      <c r="R8" s="1" t="n"/>
      <c r="AA8" s="5">
        <f>L8+N8+P8+R8+T8+V8+X8+Z8</f>
        <v/>
      </c>
      <c r="AB8" s="438" t="inlineStr">
        <is>
          <t>ES85 2080 3509 1130 4009 6171</t>
        </is>
      </c>
      <c r="AC8" s="1" t="inlineStr">
        <is>
          <t>pagado</t>
        </is>
      </c>
      <c r="AD8" s="5">
        <f>L8+N8+P8+R8+T8+V8+X8+Z8</f>
        <v/>
      </c>
      <c r="AE8" s="5">
        <f>IF((LEFT(K8,6))="Contab",L8,0)</f>
        <v/>
      </c>
      <c r="AF8" s="6">
        <f>VLOOKUP(G8,CLIENTES!B:E,4,FALSE)</f>
        <v/>
      </c>
      <c r="AG8" s="5">
        <f>AF8*AE8</f>
        <v/>
      </c>
      <c r="AH8" s="5">
        <f>AD8</f>
        <v/>
      </c>
      <c r="AI8" s="261">
        <f>IF(AE8&lt;&gt;0,AG8/AD8,"N/A")</f>
        <v/>
      </c>
      <c r="AJ8" s="5">
        <f>IF(AC8="pendiente",AD8,0)</f>
        <v/>
      </c>
      <c r="AK8" s="1">
        <f>VLOOKUP(G8,CLIENTES!B:D,3,FALSE)</f>
        <v/>
      </c>
    </row>
    <row r="9" ht="15" customHeight="1" s="700">
      <c r="A9" s="1" t="inlineStr">
        <is>
          <t>S25008</t>
        </is>
      </c>
      <c r="B9" s="26" t="n">
        <v>45743</v>
      </c>
      <c r="C9" s="1" t="inlineStr">
        <is>
          <t>c/ Las Cruzadas 3A, local D</t>
        </is>
      </c>
      <c r="D9" s="1" t="inlineStr">
        <is>
          <t>Sevilla 41004</t>
        </is>
      </c>
      <c r="E9" s="1" t="inlineStr">
        <is>
          <t>CIF B91938662</t>
        </is>
      </c>
      <c r="F9" s="1" t="inlineStr">
        <is>
          <t>aBalados@abalados.es</t>
        </is>
      </c>
      <c r="G9" s="1" t="inlineStr">
        <is>
          <t>Energías Limpias de Carmona, S.L.</t>
        </is>
      </c>
      <c r="H9" s="1">
        <f>VLOOKUP($G9,DATOS!$B:$E,2,FALSE)</f>
        <v/>
      </c>
      <c r="I9" s="1">
        <f>VLOOKUP($G9,DATOS!$B:$E,3,FALSE)</f>
        <v/>
      </c>
      <c r="J9" s="1">
        <f>VLOOKUP($G9,DATOS!$B:$E,4,FALSE)</f>
        <v/>
      </c>
      <c r="K9" s="1" t="inlineStr">
        <is>
          <t>Factura de suplidos</t>
        </is>
      </c>
      <c r="O9" s="1" t="inlineStr">
        <is>
          <t>REGISTRO MERCANTIL DE SEVILLA Nº 17474</t>
        </is>
      </c>
      <c r="P9" s="5" t="n">
        <v>636.09</v>
      </c>
      <c r="Q9" s="1" t="inlineStr">
        <is>
          <t>REGISTRO MERCANTIL DE SEVILLA Nº 17487</t>
        </is>
      </c>
      <c r="R9" s="5" t="n">
        <v>119.54</v>
      </c>
      <c r="AA9" s="5">
        <f>L9+N9+P9+R9+T9+V9+X9+Z9</f>
        <v/>
      </c>
      <c r="AB9" s="438" t="inlineStr">
        <is>
          <t>ES85 2080 3509 1130 4009 6171</t>
        </is>
      </c>
      <c r="AC9" s="1" t="inlineStr">
        <is>
          <t>pagado</t>
        </is>
      </c>
      <c r="AD9" s="5">
        <f>L9+N9+P9+R9+T9+V9+X9+Z9</f>
        <v/>
      </c>
      <c r="AE9" s="5">
        <f>IF((LEFT(K9,6))="Contab",L9,0)</f>
        <v/>
      </c>
      <c r="AF9" s="6">
        <f>VLOOKUP(G9,CLIENTES!B:E,4,FALSE)</f>
        <v/>
      </c>
      <c r="AG9" s="5">
        <f>AF9*AE9</f>
        <v/>
      </c>
      <c r="AH9" s="5">
        <f>AD9</f>
        <v/>
      </c>
      <c r="AI9" s="261">
        <f>IF(AE9&lt;&gt;0,AG9/AD9,"N/A")</f>
        <v/>
      </c>
      <c r="AJ9" s="5">
        <f>IF(AC9="pendiente",AD9,0)</f>
        <v/>
      </c>
      <c r="AK9" s="1">
        <f>VLOOKUP(G9,CLIENTES!B:D,3,FALSE)</f>
        <v/>
      </c>
    </row>
    <row r="10" ht="15" customHeight="1" s="700">
      <c r="A10" s="1" t="inlineStr">
        <is>
          <t>S25009</t>
        </is>
      </c>
      <c r="B10" s="26" t="n">
        <v>45743</v>
      </c>
      <c r="C10" s="1" t="inlineStr">
        <is>
          <t>c/ Las Cruzadas 3A, local D</t>
        </is>
      </c>
      <c r="D10" s="1" t="inlineStr">
        <is>
          <t>Sevilla 41004</t>
        </is>
      </c>
      <c r="E10" s="1" t="inlineStr">
        <is>
          <t>CIF B91938662</t>
        </is>
      </c>
      <c r="F10" s="1" t="inlineStr">
        <is>
          <t>aBalados@abalados.es</t>
        </is>
      </c>
      <c r="G10" s="1" t="inlineStr">
        <is>
          <t>Evacuación Carmona 400-220 kV Renovables, S.L.</t>
        </is>
      </c>
      <c r="H10" s="1">
        <f>VLOOKUP($G10,DATOS!$B:$E,2,FALSE)</f>
        <v/>
      </c>
      <c r="I10" s="1">
        <f>VLOOKUP($G10,DATOS!$B:$E,3,FALSE)</f>
        <v/>
      </c>
      <c r="J10" s="1">
        <f>VLOOKUP($G10,DATOS!$B:$E,4,FALSE)</f>
        <v/>
      </c>
      <c r="K10" s="1" t="inlineStr">
        <is>
          <t>Factura de suplidos</t>
        </is>
      </c>
      <c r="O10" s="1" t="inlineStr">
        <is>
          <t>REGISTRO MERCANTIL DE SEVILLA Nº 17907</t>
        </is>
      </c>
      <c r="P10" s="5" t="n">
        <v>456.6</v>
      </c>
      <c r="Q10" s="1" t="inlineStr">
        <is>
          <t>FNMT Nº 8250010050</t>
        </is>
      </c>
      <c r="R10" s="5" t="n">
        <v>16.94</v>
      </c>
      <c r="S10" s="1" t="inlineStr">
        <is>
          <t>Servicios por Docusing nº 49841769</t>
        </is>
      </c>
      <c r="T10" s="5" t="n">
        <v>276</v>
      </c>
      <c r="AA10" s="5">
        <f>L10+N10+P10+R10+T10+V10+X10+Z10</f>
        <v/>
      </c>
      <c r="AB10" s="438" t="inlineStr">
        <is>
          <t>ES85 2080 3509 1130 4009 6171</t>
        </is>
      </c>
      <c r="AC10" s="1" t="inlineStr">
        <is>
          <t>pagado</t>
        </is>
      </c>
      <c r="AD10" s="5">
        <f>L10+N10+P10+R10+T10+V10+X10+Z10</f>
        <v/>
      </c>
      <c r="AE10" s="5">
        <f>IF((LEFT(K10,6))="Contab",L10,0)</f>
        <v/>
      </c>
      <c r="AF10" s="6">
        <f>VLOOKUP(G10,CLIENTES!B:E,4,FALSE)</f>
        <v/>
      </c>
      <c r="AG10" s="5">
        <f>AF10*AE10</f>
        <v/>
      </c>
      <c r="AH10" s="5">
        <f>AD10</f>
        <v/>
      </c>
      <c r="AI10" s="261">
        <f>IF(AE10&lt;&gt;0,AG10/AD10,"N/A")</f>
        <v/>
      </c>
      <c r="AJ10" s="5">
        <f>IF(AC10="pendiente",AD10,0)</f>
        <v/>
      </c>
      <c r="AK10" s="1">
        <f>VLOOKUP(G10,CLIENTES!B:D,3,FALSE)</f>
        <v/>
      </c>
    </row>
    <row r="11" ht="15" customHeight="1" s="700">
      <c r="A11" s="1" t="inlineStr">
        <is>
          <t>S25010</t>
        </is>
      </c>
      <c r="B11" s="26" t="n">
        <v>45743</v>
      </c>
      <c r="C11" s="1" t="inlineStr">
        <is>
          <t>c/ Las Cruzadas 3A, local D</t>
        </is>
      </c>
      <c r="D11" s="1" t="inlineStr">
        <is>
          <t>Sevilla 41004</t>
        </is>
      </c>
      <c r="E11" s="1" t="inlineStr">
        <is>
          <t>CIF B91938662</t>
        </is>
      </c>
      <c r="F11" s="1" t="inlineStr">
        <is>
          <t>aBalados@abalados.es</t>
        </is>
      </c>
      <c r="G11" s="1" t="inlineStr">
        <is>
          <t>Herrera Sotillo Renovables, A.I.E.</t>
        </is>
      </c>
      <c r="H11" s="1">
        <f>VLOOKUP($G11,DATOS!$B:$E,2,FALSE)</f>
        <v/>
      </c>
      <c r="I11" s="1">
        <f>VLOOKUP($G11,DATOS!$B:$E,3,FALSE)</f>
        <v/>
      </c>
      <c r="J11" s="1">
        <f>VLOOKUP($G11,DATOS!$B:$E,4,FALSE)</f>
        <v/>
      </c>
      <c r="K11" s="1" t="inlineStr">
        <is>
          <t>Factura de suplidos</t>
        </is>
      </c>
      <c r="O11" s="1" t="inlineStr">
        <is>
          <t>FNMT Nº 8241291791</t>
        </is>
      </c>
      <c r="P11" s="5" t="n">
        <v>16.94</v>
      </c>
      <c r="Q11" s="1" t="inlineStr">
        <is>
          <t>Servicios por Docusing nº51076924</t>
        </is>
      </c>
      <c r="R11" s="5" t="n">
        <v>276</v>
      </c>
      <c r="AA11" s="5">
        <f>L11+N11+P11+R11+T11+V11+X11+Z11</f>
        <v/>
      </c>
      <c r="AB11" s="438" t="inlineStr">
        <is>
          <t>ES85 2080 3509 1130 4009 6171</t>
        </is>
      </c>
      <c r="AC11" s="1" t="inlineStr">
        <is>
          <t>pagado</t>
        </is>
      </c>
      <c r="AD11" s="5">
        <f>L11+N11+P11+R11+T11+V11+X11+Z11</f>
        <v/>
      </c>
      <c r="AE11" s="5">
        <f>IF((LEFT(K11,6))="Contab",L11,0)</f>
        <v/>
      </c>
      <c r="AF11" s="6">
        <f>VLOOKUP(G11,CLIENTES!B:E,4,FALSE)</f>
        <v/>
      </c>
      <c r="AG11" s="5">
        <f>AF11*AE11</f>
        <v/>
      </c>
      <c r="AH11" s="5">
        <f>AD11</f>
        <v/>
      </c>
      <c r="AI11" s="261">
        <f>IF(AE11&lt;&gt;0,AG11/AD11,"N/A")</f>
        <v/>
      </c>
      <c r="AJ11" s="5">
        <f>IF(AC11="pendiente",AD11,0)</f>
        <v/>
      </c>
      <c r="AK11" s="1">
        <f>VLOOKUP(G11,CLIENTES!B:D,3,FALSE)</f>
        <v/>
      </c>
    </row>
    <row r="12" ht="15" customHeight="1" s="700">
      <c r="A12" s="1" t="inlineStr">
        <is>
          <t>S25011</t>
        </is>
      </c>
      <c r="B12" s="26" t="n">
        <v>45743</v>
      </c>
      <c r="C12" s="1" t="inlineStr">
        <is>
          <t>c/ Las Cruzadas 3A, local D</t>
        </is>
      </c>
      <c r="D12" s="1" t="inlineStr">
        <is>
          <t>Sevilla 41004</t>
        </is>
      </c>
      <c r="E12" s="1" t="inlineStr">
        <is>
          <t>CIF B91938662</t>
        </is>
      </c>
      <c r="F12" s="1" t="inlineStr">
        <is>
          <t>aBalados@abalados.es</t>
        </is>
      </c>
      <c r="G12" s="1" t="inlineStr">
        <is>
          <t>Promotores Albatarrec 220 kV, S.L.</t>
        </is>
      </c>
      <c r="H12" s="1">
        <f>VLOOKUP($G12,DATOS!$B:$E,2,FALSE)</f>
        <v/>
      </c>
      <c r="I12" s="1">
        <f>VLOOKUP($G12,DATOS!$B:$E,3,FALSE)</f>
        <v/>
      </c>
      <c r="J12" s="1">
        <f>VLOOKUP($G12,DATOS!$B:$E,4,FALSE)</f>
        <v/>
      </c>
      <c r="K12" s="1" t="inlineStr">
        <is>
          <t>Factura de suplidos</t>
        </is>
      </c>
      <c r="O12" s="1" t="inlineStr">
        <is>
          <t>PAGO MODELO 111 4ºT</t>
        </is>
      </c>
      <c r="P12" s="520" t="n">
        <v>1110.56</v>
      </c>
      <c r="Q12" s="1" t="inlineStr">
        <is>
          <t xml:space="preserve">FNMT Nº 8250234490 </t>
        </is>
      </c>
      <c r="R12" s="5" t="n">
        <v>16.94</v>
      </c>
      <c r="AA12" s="5">
        <f>L12+N12+P12+R12+T12+V12+X12+Z12</f>
        <v/>
      </c>
      <c r="AB12" s="438" t="inlineStr">
        <is>
          <t>ES85 2080 3509 1130 4009 6171</t>
        </is>
      </c>
      <c r="AC12" s="1" t="inlineStr">
        <is>
          <t>pagado</t>
        </is>
      </c>
      <c r="AD12" s="5">
        <f>L12+N12+P12+R12+T12+V12+X12+Z12</f>
        <v/>
      </c>
      <c r="AE12" s="5">
        <f>IF((LEFT(K12,6))="Contab",L12,0)</f>
        <v/>
      </c>
      <c r="AF12" s="6">
        <f>VLOOKUP(G12,CLIENTES!B:E,4,FALSE)</f>
        <v/>
      </c>
      <c r="AG12" s="5">
        <f>AF12*AE12</f>
        <v/>
      </c>
      <c r="AH12" s="5">
        <f>AD12</f>
        <v/>
      </c>
      <c r="AI12" s="261">
        <f>IF(AE12&lt;&gt;0,AG12/AD12,"N/A")</f>
        <v/>
      </c>
      <c r="AJ12" s="5">
        <f>IF(AC12="pendiente",AD12,0)</f>
        <v/>
      </c>
      <c r="AK12" s="1">
        <f>VLOOKUP(G12,CLIENTES!B:D,3,FALSE)</f>
        <v/>
      </c>
    </row>
    <row r="13" ht="15" customHeight="1" s="700">
      <c r="A13" s="1" t="inlineStr">
        <is>
          <t>S25012</t>
        </is>
      </c>
      <c r="B13" s="26" t="n">
        <v>45743</v>
      </c>
      <c r="C13" s="1" t="inlineStr">
        <is>
          <t>c/ Las Cruzadas 3A, local D</t>
        </is>
      </c>
      <c r="D13" s="1" t="inlineStr">
        <is>
          <t>Sevilla 41004</t>
        </is>
      </c>
      <c r="E13" s="1" t="inlineStr">
        <is>
          <t>CIF B91938662</t>
        </is>
      </c>
      <c r="F13" s="1" t="inlineStr">
        <is>
          <t>aBalados@abalados.es</t>
        </is>
      </c>
      <c r="G13" s="1" t="inlineStr">
        <is>
          <t>Cuádruple Belinchón, S.L.</t>
        </is>
      </c>
      <c r="H13" s="1">
        <f>VLOOKUP($G13,DATOS!$B:$E,2,FALSE)</f>
        <v/>
      </c>
      <c r="I13" s="1">
        <f>VLOOKUP($G13,DATOS!$B:$E,3,FALSE)</f>
        <v/>
      </c>
      <c r="J13" s="1">
        <f>VLOOKUP($G13,DATOS!$B:$E,4,FALSE)</f>
        <v/>
      </c>
      <c r="K13" s="1" t="inlineStr">
        <is>
          <t>Factura de suplidos</t>
        </is>
      </c>
      <c r="O13" s="1" t="inlineStr">
        <is>
          <t>FNMT Nº 8250062667</t>
        </is>
      </c>
      <c r="P13" s="5" t="n">
        <v>16.94</v>
      </c>
      <c r="AA13" s="5">
        <f>L13+N13+P13+R13+T13+V13+X13+Z13</f>
        <v/>
      </c>
      <c r="AB13" s="438" t="inlineStr">
        <is>
          <t>ES85 2080 3509 1130 4009 6171</t>
        </is>
      </c>
      <c r="AC13" s="1" t="inlineStr">
        <is>
          <t>pagado</t>
        </is>
      </c>
      <c r="AD13" s="5">
        <f>L13+N13+P13+R13+T13+V13+X13+Z13</f>
        <v/>
      </c>
      <c r="AE13" s="5">
        <f>IF((LEFT(K13,6))="Contab",L13,0)</f>
        <v/>
      </c>
      <c r="AF13" s="6">
        <f>VLOOKUP(G13,CLIENTES!B:E,4,FALSE)</f>
        <v/>
      </c>
      <c r="AG13" s="5">
        <f>AF13*AE13</f>
        <v/>
      </c>
      <c r="AH13" s="5">
        <f>AD13</f>
        <v/>
      </c>
      <c r="AI13" s="261">
        <f>IF(AE13&lt;&gt;0,AG13/AD13,"N/A")</f>
        <v/>
      </c>
      <c r="AJ13" s="5">
        <f>IF(AC13="pendiente",AD13,0)</f>
        <v/>
      </c>
      <c r="AK13" s="1">
        <f>VLOOKUP(G13,CLIENTES!B:D,3,FALSE)</f>
        <v/>
      </c>
    </row>
    <row r="14" ht="15" customHeight="1" s="700">
      <c r="A14" s="1" t="inlineStr">
        <is>
          <t>S25013</t>
        </is>
      </c>
      <c r="B14" s="26" t="n">
        <v>45743</v>
      </c>
      <c r="C14" s="1" t="inlineStr">
        <is>
          <t>c/ Las Cruzadas 3A, local D</t>
        </is>
      </c>
      <c r="D14" s="1" t="inlineStr">
        <is>
          <t>Sevilla 41004</t>
        </is>
      </c>
      <c r="E14" s="1" t="inlineStr">
        <is>
          <t>CIF B91938662</t>
        </is>
      </c>
      <c r="F14" s="1" t="inlineStr">
        <is>
          <t>aBalados@abalados.es</t>
        </is>
      </c>
      <c r="G14" s="1" t="inlineStr">
        <is>
          <t>Huerta Sevilla Renovables, S.L.</t>
        </is>
      </c>
      <c r="H14" s="1">
        <f>VLOOKUP($G14,DATOS!$B:$E,2,FALSE)</f>
        <v/>
      </c>
      <c r="I14" s="1">
        <f>VLOOKUP($G14,DATOS!$B:$E,3,FALSE)</f>
        <v/>
      </c>
      <c r="J14" s="1">
        <f>VLOOKUP($G14,DATOS!$B:$E,4,FALSE)</f>
        <v/>
      </c>
      <c r="K14" s="1" t="inlineStr">
        <is>
          <t>Factura de suplidos</t>
        </is>
      </c>
      <c r="O14" s="1" t="inlineStr">
        <is>
          <t>FNMT Nº 8250062695</t>
        </is>
      </c>
      <c r="P14" s="5" t="n">
        <v>16.94</v>
      </c>
      <c r="AA14" s="5">
        <f>L14+N14+P14+R14+T14+V14+X14+Z14</f>
        <v/>
      </c>
      <c r="AB14" s="438" t="inlineStr">
        <is>
          <t>ES85 2080 3509 1130 4009 6171</t>
        </is>
      </c>
      <c r="AC14" s="1" t="inlineStr">
        <is>
          <t>pagado</t>
        </is>
      </c>
      <c r="AD14" s="5">
        <f>L14+N14+P14+R14+T14+V14+X14+Z14</f>
        <v/>
      </c>
      <c r="AE14" s="5">
        <f>IF((LEFT(K14,6))="Contab",L14,0)</f>
        <v/>
      </c>
      <c r="AF14" s="6">
        <f>VLOOKUP(G14,CLIENTES!B:E,4,FALSE)</f>
        <v/>
      </c>
      <c r="AG14" s="5">
        <f>AF14*AE14</f>
        <v/>
      </c>
      <c r="AH14" s="5">
        <f>AD14</f>
        <v/>
      </c>
      <c r="AI14" s="261">
        <f>IF(AE14&lt;&gt;0,AG14/AD14,"N/A")</f>
        <v/>
      </c>
      <c r="AJ14" s="5">
        <f>IF(AC14="pendiente",AD14,0)</f>
        <v/>
      </c>
      <c r="AK14" s="1">
        <f>VLOOKUP(G14,CLIENTES!B:D,3,FALSE)</f>
        <v/>
      </c>
    </row>
    <row r="15" ht="15" customHeight="1" s="700">
      <c r="A15" s="1" t="inlineStr">
        <is>
          <t>S25014</t>
        </is>
      </c>
      <c r="B15" s="26" t="n">
        <v>45743</v>
      </c>
      <c r="C15" s="1" t="inlineStr">
        <is>
          <t>c/ Las Cruzadas 3A, local D</t>
        </is>
      </c>
      <c r="D15" s="1" t="inlineStr">
        <is>
          <t>Sevilla 41004</t>
        </is>
      </c>
      <c r="E15" s="1" t="inlineStr">
        <is>
          <t>CIF B91938662</t>
        </is>
      </c>
      <c r="F15" s="1" t="inlineStr">
        <is>
          <t>aBalados@abalados.es</t>
        </is>
      </c>
      <c r="G15" s="1" t="inlineStr">
        <is>
          <t>Energías Renovables El Canto, S.L.</t>
        </is>
      </c>
      <c r="H15" s="1">
        <f>VLOOKUP($G15,DATOS!$B:$E,2,FALSE)</f>
        <v/>
      </c>
      <c r="I15" s="1">
        <f>VLOOKUP($G15,DATOS!$B:$E,3,FALSE)</f>
        <v/>
      </c>
      <c r="J15" s="1">
        <f>VLOOKUP($G15,DATOS!$B:$E,4,FALSE)</f>
        <v/>
      </c>
      <c r="K15" s="1" t="inlineStr">
        <is>
          <t>Factura de suplidos</t>
        </is>
      </c>
      <c r="O15" s="1" t="inlineStr">
        <is>
          <t>FNMT Nº 8250186248</t>
        </is>
      </c>
      <c r="P15" s="5" t="n">
        <v>16.94</v>
      </c>
      <c r="AA15" s="5">
        <f>L15+N15+P15+R15+T15+V15+X15+Z15</f>
        <v/>
      </c>
      <c r="AB15" s="438" t="inlineStr">
        <is>
          <t>ES85 2080 3509 1130 4009 6171</t>
        </is>
      </c>
      <c r="AC15" s="1" t="inlineStr">
        <is>
          <t>pagado</t>
        </is>
      </c>
      <c r="AD15" s="5">
        <f>L15+N15+P15+R15+T15+V15+X15+Z15</f>
        <v/>
      </c>
      <c r="AE15" s="5">
        <f>IF((LEFT(K15,6))="Contab",L15,0)</f>
        <v/>
      </c>
      <c r="AF15" s="6">
        <f>VLOOKUP(G15,CLIENTES!B:E,4,FALSE)</f>
        <v/>
      </c>
      <c r="AG15" s="5">
        <f>AF15*AE15</f>
        <v/>
      </c>
      <c r="AH15" s="5">
        <f>AD15</f>
        <v/>
      </c>
      <c r="AI15" s="261">
        <f>IF(AE15&lt;&gt;0,AG15/AD15,"N/A")</f>
        <v/>
      </c>
      <c r="AJ15" s="5">
        <f>IF(AC15="pendiente",AD15,0)</f>
        <v/>
      </c>
      <c r="AK15" s="1">
        <f>VLOOKUP(G15,CLIENTES!B:D,3,FALSE)</f>
        <v/>
      </c>
    </row>
    <row r="16" ht="15" customHeight="1" s="700">
      <c r="A16" s="1" t="inlineStr">
        <is>
          <t>S25015</t>
        </is>
      </c>
      <c r="B16" s="26" t="n">
        <v>45743</v>
      </c>
      <c r="C16" s="1" t="inlineStr">
        <is>
          <t>c/ Las Cruzadas 3A, local D</t>
        </is>
      </c>
      <c r="D16" s="1" t="inlineStr">
        <is>
          <t>Sevilla 41004</t>
        </is>
      </c>
      <c r="E16" s="1" t="inlineStr">
        <is>
          <t>CIF B91938662</t>
        </is>
      </c>
      <c r="F16" s="1" t="inlineStr">
        <is>
          <t>aBalados@abalados.es</t>
        </is>
      </c>
      <c r="G16" s="1" t="inlineStr">
        <is>
          <t>Toro Renovables, S.L.</t>
        </is>
      </c>
      <c r="H16" s="1">
        <f>VLOOKUP($G16,DATOS!$B:$E,2,FALSE)</f>
        <v/>
      </c>
      <c r="I16" s="1">
        <f>VLOOKUP($G16,DATOS!$B:$E,3,FALSE)</f>
        <v/>
      </c>
      <c r="J16" s="1">
        <f>VLOOKUP($G16,DATOS!$B:$E,4,FALSE)</f>
        <v/>
      </c>
      <c r="K16" s="1" t="inlineStr">
        <is>
          <t>Factura de suplidos</t>
        </is>
      </c>
      <c r="O16" s="1" t="inlineStr">
        <is>
          <t>Servicios por Docusing nº 50380297</t>
        </is>
      </c>
      <c r="P16" s="5" t="n">
        <v>456</v>
      </c>
      <c r="AA16" s="5">
        <f>L16+N16+P16+R16+T16+V16+X16+Z16</f>
        <v/>
      </c>
      <c r="AB16" s="438" t="inlineStr">
        <is>
          <t>ES85 2080 3509 1130 4009 6171</t>
        </is>
      </c>
      <c r="AC16" s="1" t="inlineStr">
        <is>
          <t>pagado</t>
        </is>
      </c>
      <c r="AD16" s="5">
        <f>L16+N16+P16+R16+T16+V16+X16+Z16</f>
        <v/>
      </c>
      <c r="AE16" s="5">
        <f>IF((LEFT(K16,6))="Contab",L16,0)</f>
        <v/>
      </c>
      <c r="AF16" s="6">
        <f>VLOOKUP(G16,CLIENTES!B:E,4,FALSE)</f>
        <v/>
      </c>
      <c r="AG16" s="5">
        <f>AF16*AE16</f>
        <v/>
      </c>
      <c r="AH16" s="5">
        <f>AD16</f>
        <v/>
      </c>
      <c r="AI16" s="261">
        <f>IF(AE16&lt;&gt;0,AG16/AD16,"N/A")</f>
        <v/>
      </c>
      <c r="AJ16" s="5">
        <f>IF(AC16="pendiente",AD16,0)</f>
        <v/>
      </c>
      <c r="AK16" s="1">
        <f>VLOOKUP(G16,CLIENTES!B:D,3,FALSE)</f>
        <v/>
      </c>
    </row>
    <row r="17" ht="15" customHeight="1" s="700">
      <c r="A17" s="1" t="inlineStr">
        <is>
          <t>S25016</t>
        </is>
      </c>
      <c r="B17" s="26" t="n">
        <v>45743</v>
      </c>
      <c r="C17" s="1" t="inlineStr">
        <is>
          <t>c/ Las Cruzadas 3A, local D</t>
        </is>
      </c>
      <c r="D17" s="1" t="inlineStr">
        <is>
          <t>Sevilla 41004</t>
        </is>
      </c>
      <c r="E17" s="1" t="inlineStr">
        <is>
          <t>CIF B91938662</t>
        </is>
      </c>
      <c r="F17" s="1" t="inlineStr">
        <is>
          <t>aBalados@abalados.es</t>
        </is>
      </c>
      <c r="G17" s="1" t="inlineStr">
        <is>
          <t>SE Colectora Ayora Renovables, A.I.E.</t>
        </is>
      </c>
      <c r="H17" s="1">
        <f>VLOOKUP($G17,DATOS!$B:$E,2,FALSE)</f>
        <v/>
      </c>
      <c r="I17" s="1">
        <f>VLOOKUP($G17,DATOS!$B:$E,3,FALSE)</f>
        <v/>
      </c>
      <c r="J17" s="1">
        <f>VLOOKUP($G17,DATOS!$B:$E,4,FALSE)</f>
        <v/>
      </c>
      <c r="K17" s="1" t="inlineStr">
        <is>
          <t>Factura de suplidos</t>
        </is>
      </c>
      <c r="O17" s="1" t="inlineStr">
        <is>
          <t>Servicios por Docusing nº 48471912</t>
        </is>
      </c>
      <c r="P17" s="5" t="n">
        <v>456</v>
      </c>
      <c r="AA17" s="5">
        <f>L17+N17+P17+R17+T17+V17+X17+Z17</f>
        <v/>
      </c>
      <c r="AB17" s="438" t="inlineStr">
        <is>
          <t>ES85 2080 3509 1130 4009 6171</t>
        </is>
      </c>
      <c r="AC17" s="1" t="inlineStr">
        <is>
          <t>pagado</t>
        </is>
      </c>
      <c r="AD17" s="5">
        <f>L17+N17+P17+R17+T17+V17+X17+Z17</f>
        <v/>
      </c>
      <c r="AE17" s="5">
        <f>IF((LEFT(K17,6))="Contab",L17,0)</f>
        <v/>
      </c>
      <c r="AF17" s="6">
        <f>VLOOKUP(G17,CLIENTES!B:E,4,FALSE)</f>
        <v/>
      </c>
      <c r="AG17" s="5">
        <f>AF17*AE17</f>
        <v/>
      </c>
      <c r="AH17" s="5">
        <f>AD17</f>
        <v/>
      </c>
      <c r="AI17" s="261">
        <f>IF(AE17&lt;&gt;0,AG17/AD17,"N/A")</f>
        <v/>
      </c>
      <c r="AJ17" s="5">
        <f>IF(AC17="pendiente",AD17,0)</f>
        <v/>
      </c>
      <c r="AK17" s="1">
        <f>VLOOKUP(G17,CLIENTES!B:D,3,FALSE)</f>
        <v/>
      </c>
    </row>
    <row r="18" ht="15" customFormat="1" customHeight="1" s="146">
      <c r="A18" s="146" t="inlineStr">
        <is>
          <t>S25017</t>
        </is>
      </c>
      <c r="B18" s="149" t="n">
        <v>45743</v>
      </c>
      <c r="C18" s="146" t="inlineStr">
        <is>
          <t>c/ Las Cruzadas 3A, local D</t>
        </is>
      </c>
      <c r="D18" s="146" t="inlineStr">
        <is>
          <t>Sevilla 41004</t>
        </is>
      </c>
      <c r="E18" s="146" t="inlineStr">
        <is>
          <t>CIF B91938662</t>
        </is>
      </c>
      <c r="F18" s="146" t="inlineStr">
        <is>
          <t>aBalados@abalados.es</t>
        </is>
      </c>
      <c r="G18" s="146" t="inlineStr">
        <is>
          <t>Escatrón Promotores 400 y 220, S.L.</t>
        </is>
      </c>
      <c r="H18" s="146">
        <f>VLOOKUP($G18,DATOS!$B:$E,2,FALSE)</f>
        <v/>
      </c>
      <c r="I18" s="146">
        <f>VLOOKUP($G18,DATOS!$B:$E,3,FALSE)</f>
        <v/>
      </c>
      <c r="J18" s="146">
        <f>VLOOKUP($G18,DATOS!$B:$E,4,FALSE)</f>
        <v/>
      </c>
      <c r="K18" s="146" t="inlineStr">
        <is>
          <t>Factura de suplidos</t>
        </is>
      </c>
      <c r="L18" s="147" t="n"/>
      <c r="N18" s="147" t="n"/>
      <c r="O18" s="146" t="inlineStr">
        <is>
          <t>Pago de tasas y publicaciones</t>
        </is>
      </c>
      <c r="P18" s="147">
        <f>2966.3+2091.34+483.85+745.97</f>
        <v/>
      </c>
      <c r="R18" s="147" t="n"/>
      <c r="T18" s="147" t="n"/>
      <c r="V18" s="147" t="n"/>
      <c r="X18" s="147" t="n"/>
      <c r="Z18" s="147" t="n"/>
      <c r="AA18" s="147">
        <f>L18+N18+P18+R18+T18+V18+X18+Z18</f>
        <v/>
      </c>
      <c r="AB18" s="481" t="inlineStr">
        <is>
          <t>ES85 2080 3509 1130 4009 6171</t>
        </is>
      </c>
      <c r="AC18" s="146" t="inlineStr">
        <is>
          <t>pagado</t>
        </is>
      </c>
      <c r="AD18" s="147">
        <f>L18+N18+P18+R18+T18+V18+X18+Z18</f>
        <v/>
      </c>
      <c r="AE18" s="147">
        <f>IF((LEFT(K18,6))="Contab",L18,0)</f>
        <v/>
      </c>
      <c r="AF18" s="148">
        <f>VLOOKUP(G18,CLIENTES!B:E,4,FALSE)</f>
        <v/>
      </c>
      <c r="AG18" s="147">
        <f>AF18*AE18</f>
        <v/>
      </c>
      <c r="AH18" s="147">
        <f>AD18</f>
        <v/>
      </c>
      <c r="AI18" s="257">
        <f>IF(AE18&lt;&gt;0,AG18/AD18,"N/A")</f>
        <v/>
      </c>
      <c r="AJ18" s="147">
        <f>IF(AC18="pendiente",AD18,0)</f>
        <v/>
      </c>
      <c r="AK18" s="146">
        <f>VLOOKUP(G18,CLIENTES!B:D,3,FALSE)</f>
        <v/>
      </c>
    </row>
    <row r="19" ht="15" customHeight="1" s="700">
      <c r="A19" s="1" t="inlineStr">
        <is>
          <t>S25018</t>
        </is>
      </c>
      <c r="B19" s="26" t="n">
        <v>45771</v>
      </c>
      <c r="C19" s="1" t="inlineStr">
        <is>
          <t>c/ Las Cruzadas 3A, local D</t>
        </is>
      </c>
      <c r="D19" s="1" t="inlineStr">
        <is>
          <t>Sevilla 41004</t>
        </is>
      </c>
      <c r="E19" s="1" t="inlineStr">
        <is>
          <t>CIF B91938662</t>
        </is>
      </c>
      <c r="F19" s="1" t="inlineStr">
        <is>
          <t>aBalados@abalados.es</t>
        </is>
      </c>
      <c r="G19" s="1" t="inlineStr">
        <is>
          <t>FP LUX REIO PV ZARAGOZA SL.</t>
        </is>
      </c>
      <c r="H19" s="1">
        <f>VLOOKUP($G19,DATOS!$B:$E,2,FALSE)</f>
        <v/>
      </c>
      <c r="I19" s="1">
        <f>VLOOKUP($G19,DATOS!$B:$E,3,FALSE)</f>
        <v/>
      </c>
      <c r="J19" s="1">
        <f>VLOOKUP($G19,DATOS!$B:$E,4,FALSE)</f>
        <v/>
      </c>
      <c r="K19" s="1" t="inlineStr">
        <is>
          <t>Factura de suplidos</t>
        </is>
      </c>
      <c r="O19" s="1" t="inlineStr">
        <is>
          <t>Pago de impuestos en nombre de la sociedad (BICE 2025)</t>
        </is>
      </c>
      <c r="P19" s="5" t="n">
        <v>24213.67</v>
      </c>
      <c r="AA19" s="5">
        <f>L19+N19+P19+R19+T19+V19+X19+Z19</f>
        <v/>
      </c>
      <c r="AB19" s="438" t="inlineStr">
        <is>
          <t>ES85 2080 3509 1130 4009 6171</t>
        </is>
      </c>
      <c r="AC19" s="1" t="inlineStr">
        <is>
          <t>pagado</t>
        </is>
      </c>
      <c r="AD19" s="5">
        <f>L19+N19+P19+R19+T19+V19+X19+Z19</f>
        <v/>
      </c>
      <c r="AE19" s="5">
        <f>IF((LEFT(K19,6))="Contab",L19,0)</f>
        <v/>
      </c>
      <c r="AF19" s="6">
        <f>VLOOKUP(G19,CLIENTES!B:E,4,FALSE)</f>
        <v/>
      </c>
      <c r="AG19" s="5">
        <f>AF19*AE19</f>
        <v/>
      </c>
      <c r="AH19" s="5">
        <f>AD19</f>
        <v/>
      </c>
      <c r="AI19" s="261">
        <f>IF(AE19&lt;&gt;0,AG19/AD19,"N/A")</f>
        <v/>
      </c>
      <c r="AJ19" s="5">
        <f>IF(AC19="pendiente",AD19,0)</f>
        <v/>
      </c>
      <c r="AK19" s="1">
        <f>VLOOKUP(G19,CLIENTES!B:D,3,FALSE)</f>
        <v/>
      </c>
    </row>
    <row r="20" ht="15" customFormat="1" customHeight="1" s="146">
      <c r="A20" s="146" t="inlineStr">
        <is>
          <t>S25019</t>
        </is>
      </c>
      <c r="B20" s="149" t="n">
        <v>45743</v>
      </c>
      <c r="C20" s="146" t="inlineStr">
        <is>
          <t>c/ Las Cruzadas 3A, local D</t>
        </is>
      </c>
      <c r="D20" s="146" t="inlineStr">
        <is>
          <t>Sevilla 41004</t>
        </is>
      </c>
      <c r="E20" s="146" t="inlineStr">
        <is>
          <t>CIF B91938662</t>
        </is>
      </c>
      <c r="F20" s="146" t="inlineStr">
        <is>
          <t>aBalados@abalados.es</t>
        </is>
      </c>
      <c r="G20" s="146" t="inlineStr">
        <is>
          <t>aBalados Recycling, S.L.</t>
        </is>
      </c>
      <c r="H20" s="146">
        <f>VLOOKUP($G20,DATOS!$B:$E,2,FALSE)</f>
        <v/>
      </c>
      <c r="I20" s="146">
        <f>VLOOKUP($G20,DATOS!$B:$E,3,FALSE)</f>
        <v/>
      </c>
      <c r="J20" s="146">
        <f>VLOOKUP($G20,DATOS!$B:$E,4,FALSE)</f>
        <v/>
      </c>
      <c r="K20" s="146" t="inlineStr">
        <is>
          <t>Factura de suplidos</t>
        </is>
      </c>
      <c r="L20" s="147" t="n"/>
      <c r="N20" s="147" t="n"/>
      <c r="O20" s="146" t="inlineStr">
        <is>
          <t>Pago de tasas en nombre de la sociedad (Licencia urbanística)</t>
        </is>
      </c>
      <c r="P20" s="147" t="n">
        <v>1625</v>
      </c>
      <c r="Q20" s="146" t="inlineStr">
        <is>
          <t>Pago de fianza en nombre de la sociedad (Licencia de obra)</t>
        </is>
      </c>
      <c r="R20" s="147" t="n">
        <v>2500</v>
      </c>
      <c r="T20" s="147" t="n"/>
      <c r="V20" s="147" t="n"/>
      <c r="X20" s="147" t="n"/>
      <c r="Z20" s="147" t="n"/>
      <c r="AA20" s="147">
        <f>L20+N20+P20+R20+T20+V20+X20+Z20</f>
        <v/>
      </c>
      <c r="AB20" s="481" t="inlineStr">
        <is>
          <t>ES85 2080 3509 1130 4009 6171</t>
        </is>
      </c>
      <c r="AC20" s="146" t="inlineStr">
        <is>
          <t>pendiente</t>
        </is>
      </c>
      <c r="AD20" s="147">
        <f>L20+N20+P20+R20+T20+V20+X20+Z20</f>
        <v/>
      </c>
      <c r="AE20" s="147">
        <f>IF((LEFT(K20,6))="Contab",L20,0)</f>
        <v/>
      </c>
      <c r="AF20" s="148">
        <f>VLOOKUP(G20,CLIENTES!B:E,4,FALSE)</f>
        <v/>
      </c>
      <c r="AG20" s="147">
        <f>AF20*AE20</f>
        <v/>
      </c>
      <c r="AH20" s="147">
        <f>AD20</f>
        <v/>
      </c>
      <c r="AI20" s="257">
        <f>IF(AE20&lt;&gt;0,AG20/AD20,"N/A")</f>
        <v/>
      </c>
      <c r="AJ20" s="147">
        <f>IF(AC20="pendiente",AD20,0)</f>
        <v/>
      </c>
      <c r="AK20" s="146">
        <f>VLOOKUP(G20,CLIENTES!B:D,3,FALSE)</f>
        <v/>
      </c>
    </row>
    <row r="21" ht="15" customHeight="1" s="700">
      <c r="A21" s="1" t="inlineStr">
        <is>
          <t>S25020</t>
        </is>
      </c>
      <c r="B21" s="26" t="n">
        <v>45833</v>
      </c>
      <c r="C21" s="1" t="inlineStr">
        <is>
          <t>c/ Las Cruzadas 3A, local D</t>
        </is>
      </c>
      <c r="D21" s="1" t="inlineStr">
        <is>
          <t>Sevilla 41004</t>
        </is>
      </c>
      <c r="E21" s="1" t="inlineStr">
        <is>
          <t>CIF B91938662</t>
        </is>
      </c>
      <c r="F21" s="1" t="inlineStr">
        <is>
          <t>aBalados@abalados.es</t>
        </is>
      </c>
      <c r="G21" s="1" t="inlineStr">
        <is>
          <t>FP LUX REIO PV ZARAGOZA SL.</t>
        </is>
      </c>
      <c r="H21" s="1">
        <f>VLOOKUP($G21,DATOS!$B:$E,2,FALSE)</f>
        <v/>
      </c>
      <c r="I21" s="1">
        <f>VLOOKUP($G21,DATOS!$B:$E,3,FALSE)</f>
        <v/>
      </c>
      <c r="J21" s="1">
        <f>VLOOKUP($G21,DATOS!$B:$E,4,FALSE)</f>
        <v/>
      </c>
      <c r="K21" s="1" t="inlineStr">
        <is>
          <t>Factura de suplidos</t>
        </is>
      </c>
      <c r="O21" s="1" t="inlineStr">
        <is>
          <t>Pago de impuestos en nombre de la sociedad</t>
        </is>
      </c>
      <c r="P21" s="5">
        <f>695.83+3383.25</f>
        <v/>
      </c>
      <c r="Q21" s="1" t="inlineStr">
        <is>
          <t>Modelo 746  -  Abril &amp; Junio 2025</t>
        </is>
      </c>
      <c r="AA21" s="5">
        <f>L21+N21+P21+R21+T21+V21+X21+Z21</f>
        <v/>
      </c>
      <c r="AB21" s="438" t="inlineStr">
        <is>
          <t>ES85 2080 3509 1130 4009 6171</t>
        </is>
      </c>
      <c r="AC21" s="1" t="inlineStr">
        <is>
          <t>pagado</t>
        </is>
      </c>
      <c r="AD21" s="5">
        <f>L21+N21+P21+R21+T21+V21+X21+Z21</f>
        <v/>
      </c>
      <c r="AE21" s="5">
        <f>IF((LEFT(K21,6))="Contab",L21,0)</f>
        <v/>
      </c>
      <c r="AF21" s="6">
        <f>VLOOKUP(G21,CLIENTES!B:E,4,FALSE)</f>
        <v/>
      </c>
      <c r="AG21" s="5">
        <f>AF21*AE21</f>
        <v/>
      </c>
      <c r="AH21" s="5">
        <f>AD21</f>
        <v/>
      </c>
      <c r="AI21" s="261">
        <f>IF(AE21&lt;&gt;0,AG21/AD21,"N/A")</f>
        <v/>
      </c>
      <c r="AJ21" s="5">
        <f>IF(AC21="pendiente",AD21,0)</f>
        <v/>
      </c>
      <c r="AK21" s="1">
        <f>VLOOKUP(G21,CLIENTES!B:D,3,FALSE)</f>
        <v/>
      </c>
    </row>
    <row r="22" ht="15" customHeight="1" s="700">
      <c r="A22" s="1" t="inlineStr">
        <is>
          <t>S25021</t>
        </is>
      </c>
      <c r="B22" s="26" t="n">
        <v>45833</v>
      </c>
      <c r="C22" s="1" t="inlineStr">
        <is>
          <t>c/ Las Cruzadas 3A, local D</t>
        </is>
      </c>
      <c r="D22" s="1" t="inlineStr">
        <is>
          <t>Sevilla 41004</t>
        </is>
      </c>
      <c r="E22" s="1" t="inlineStr">
        <is>
          <t>CIF B91938662</t>
        </is>
      </c>
      <c r="F22" s="1" t="inlineStr">
        <is>
          <t>aBalados@abalados.es</t>
        </is>
      </c>
      <c r="G22" s="1" t="inlineStr">
        <is>
          <t>ICE Santa Engracia, S.L.</t>
        </is>
      </c>
      <c r="H22" s="1">
        <f>VLOOKUP($G22,DATOS!$B:$E,2,FALSE)</f>
        <v/>
      </c>
      <c r="I22" s="1">
        <f>VLOOKUP($G22,DATOS!$B:$E,3,FALSE)</f>
        <v/>
      </c>
      <c r="J22" s="1">
        <f>VLOOKUP($G22,DATOS!$B:$E,4,FALSE)</f>
        <v/>
      </c>
      <c r="K22" s="1" t="inlineStr">
        <is>
          <t>Factura de suplidos</t>
        </is>
      </c>
      <c r="M22" s="1" t="inlineStr">
        <is>
          <t>REG MERCANTIL RIOJA 2180 (SOLO EL BORME)</t>
        </is>
      </c>
      <c r="N22" s="5" t="n">
        <v>59.11</v>
      </c>
      <c r="AA22" s="5">
        <f>L22+N22+P22+R22+T22+V22+X22+Z22</f>
        <v/>
      </c>
      <c r="AB22" s="438" t="inlineStr">
        <is>
          <t>ES85 2080 3509 1130 4009 6171</t>
        </is>
      </c>
      <c r="AC22" s="1" t="inlineStr">
        <is>
          <t>pagado</t>
        </is>
      </c>
      <c r="AD22" s="5">
        <f>L22+N22+P22+R22+T22+V22+X22+Z22</f>
        <v/>
      </c>
      <c r="AE22" s="5">
        <f>IF((LEFT(K22,6))="Contab",L22,0)</f>
        <v/>
      </c>
      <c r="AF22" s="6">
        <f>VLOOKUP(G22,CLIENTES!B:E,4,FALSE)</f>
        <v/>
      </c>
      <c r="AG22" s="5">
        <f>AF22*AE22</f>
        <v/>
      </c>
      <c r="AH22" s="5">
        <f>AD22</f>
        <v/>
      </c>
      <c r="AI22" s="261">
        <f>IF(AE22&lt;&gt;0,AG22/AD22,"N/A")</f>
        <v/>
      </c>
      <c r="AJ22" s="5">
        <f>IF(AC22="pendiente",AD22,0)</f>
        <v/>
      </c>
      <c r="AK22" s="1">
        <f>VLOOKUP(G22,CLIENTES!B:D,3,FALSE)</f>
        <v/>
      </c>
    </row>
    <row r="23" ht="15" customHeight="1" s="700">
      <c r="A23" s="1" t="inlineStr">
        <is>
          <t>S25022</t>
        </is>
      </c>
      <c r="B23" s="26" t="n">
        <v>45833</v>
      </c>
      <c r="C23" s="1" t="inlineStr">
        <is>
          <t>c/ Las Cruzadas 3A, local D</t>
        </is>
      </c>
      <c r="D23" s="1" t="inlineStr">
        <is>
          <t>Sevilla 41004</t>
        </is>
      </c>
      <c r="E23" s="1" t="inlineStr">
        <is>
          <t>CIF B91938662</t>
        </is>
      </c>
      <c r="F23" s="1" t="inlineStr">
        <is>
          <t>aBalados@abalados.es</t>
        </is>
      </c>
      <c r="G23" s="1" t="inlineStr">
        <is>
          <t>Teodomiro Renovables, S.L.</t>
        </is>
      </c>
      <c r="H23" s="1">
        <f>VLOOKUP($G23,DATOS!$B:$E,2,FALSE)</f>
        <v/>
      </c>
      <c r="I23" s="1">
        <f>VLOOKUP($G23,DATOS!$B:$E,3,FALSE)</f>
        <v/>
      </c>
      <c r="J23" s="1">
        <f>VLOOKUP($G23,DATOS!$B:$E,4,FALSE)</f>
        <v/>
      </c>
      <c r="K23" s="1" t="inlineStr">
        <is>
          <t>Factura de suplidos</t>
        </is>
      </c>
      <c r="M23" s="1" t="inlineStr">
        <is>
          <t>FNMT 9230323603</t>
        </is>
      </c>
      <c r="N23" s="5" t="n">
        <v>16.94</v>
      </c>
      <c r="O23" s="1" t="inlineStr">
        <is>
          <t>FNMT 8250565638</t>
        </is>
      </c>
      <c r="P23" s="5" t="n">
        <v>16.94</v>
      </c>
      <c r="Q23" s="1" t="inlineStr">
        <is>
          <t>FNMT 8250566549</t>
        </is>
      </c>
      <c r="R23" s="5" t="n">
        <v>16.94</v>
      </c>
      <c r="AA23" s="5">
        <f>L23+N23+P23+R23+T23+V23+X23+Z23</f>
        <v/>
      </c>
      <c r="AB23" s="438" t="inlineStr">
        <is>
          <t>ES85 2080 3509 1130 4009 6171</t>
        </is>
      </c>
      <c r="AC23" s="1" t="inlineStr">
        <is>
          <t>pagado</t>
        </is>
      </c>
      <c r="AD23" s="5">
        <f>L23+N23+P23+R23+T23+V23+X23+Z23</f>
        <v/>
      </c>
      <c r="AE23" s="5">
        <f>IF((LEFT(K23,6))="Contab",L23,0)</f>
        <v/>
      </c>
      <c r="AF23" s="6">
        <f>VLOOKUP(G23,CLIENTES!B:E,4,FALSE)</f>
        <v/>
      </c>
      <c r="AG23" s="5">
        <f>AF23*AE23</f>
        <v/>
      </c>
      <c r="AH23" s="5">
        <f>AD23</f>
        <v/>
      </c>
      <c r="AI23" s="261">
        <f>IF(AE23&lt;&gt;0,AG23/AD23,"N/A")</f>
        <v/>
      </c>
      <c r="AJ23" s="5">
        <f>IF(AC23="pendiente",AD23,0)</f>
        <v/>
      </c>
      <c r="AK23" s="1">
        <f>VLOOKUP(G23,CLIENTES!B:D,3,FALSE)</f>
        <v/>
      </c>
    </row>
    <row r="24" ht="15" customHeight="1" s="700">
      <c r="A24" s="1" t="inlineStr">
        <is>
          <t>S25023</t>
        </is>
      </c>
      <c r="B24" s="26" t="n">
        <v>45833</v>
      </c>
      <c r="C24" s="1" t="inlineStr">
        <is>
          <t>c/ Las Cruzadas 3A, local D</t>
        </is>
      </c>
      <c r="D24" s="1" t="inlineStr">
        <is>
          <t>Sevilla 41004</t>
        </is>
      </c>
      <c r="E24" s="1" t="inlineStr">
        <is>
          <t>CIF B91938662</t>
        </is>
      </c>
      <c r="F24" s="1" t="inlineStr">
        <is>
          <t>aBalados@abalados.es</t>
        </is>
      </c>
      <c r="G24" s="1" t="inlineStr">
        <is>
          <t>Energías Limpias de Carmona, S.L.</t>
        </is>
      </c>
      <c r="H24" s="1">
        <f>VLOOKUP($G24,DATOS!$B:$E,2,FALSE)</f>
        <v/>
      </c>
      <c r="I24" s="1">
        <f>VLOOKUP($G24,DATOS!$B:$E,3,FALSE)</f>
        <v/>
      </c>
      <c r="J24" s="1">
        <f>VLOOKUP($G24,DATOS!$B:$E,4,FALSE)</f>
        <v/>
      </c>
      <c r="K24" s="1" t="inlineStr">
        <is>
          <t>Factura de suplidos</t>
        </is>
      </c>
      <c r="M24" s="1" t="inlineStr">
        <is>
          <t>REG MERCANTIL SEVILLA D/2025/6426</t>
        </is>
      </c>
      <c r="N24" s="5" t="n">
        <v>235.23</v>
      </c>
      <c r="O24" s="1" t="inlineStr">
        <is>
          <t>FNMT 8240886129</t>
        </is>
      </c>
      <c r="P24" s="5" t="n">
        <v>16.94</v>
      </c>
      <c r="AA24" s="5">
        <f>L24+N24+P24+R24+T24+V24+X24+Z24</f>
        <v/>
      </c>
      <c r="AB24" s="438" t="inlineStr">
        <is>
          <t>ES85 2080 3509 1130 4009 6171</t>
        </is>
      </c>
      <c r="AC24" s="1" t="inlineStr">
        <is>
          <t>pagado</t>
        </is>
      </c>
      <c r="AD24" s="5">
        <f>L24+N24+P24+R24+T24+V24+X24+Z24</f>
        <v/>
      </c>
      <c r="AE24" s="5">
        <f>IF((LEFT(K24,6))="Contab",L24,0)</f>
        <v/>
      </c>
      <c r="AF24" s="6">
        <f>VLOOKUP(G24,CLIENTES!B:E,4,FALSE)</f>
        <v/>
      </c>
      <c r="AG24" s="5">
        <f>AF24*AE24</f>
        <v/>
      </c>
      <c r="AH24" s="5">
        <f>AD24</f>
        <v/>
      </c>
      <c r="AI24" s="261">
        <f>IF(AE24&lt;&gt;0,AG24/AD24,"N/A")</f>
        <v/>
      </c>
      <c r="AJ24" s="5">
        <f>IF(AC24="pendiente",AD24,0)</f>
        <v/>
      </c>
      <c r="AK24" s="1">
        <f>VLOOKUP(G24,CLIENTES!B:D,3,FALSE)</f>
        <v/>
      </c>
    </row>
    <row r="25" ht="15" customHeight="1" s="700">
      <c r="A25" s="1" t="inlineStr">
        <is>
          <t>S25024</t>
        </is>
      </c>
      <c r="B25" s="26" t="n">
        <v>45833</v>
      </c>
      <c r="C25" s="1" t="inlineStr">
        <is>
          <t>c/ Las Cruzadas 3A, local D</t>
        </is>
      </c>
      <c r="D25" s="1" t="inlineStr">
        <is>
          <t>Sevilla 41004</t>
        </is>
      </c>
      <c r="E25" s="1" t="inlineStr">
        <is>
          <t>CIF B91938662</t>
        </is>
      </c>
      <c r="F25" s="1" t="inlineStr">
        <is>
          <t>aBalados@abalados.es</t>
        </is>
      </c>
      <c r="G25" s="1" t="inlineStr">
        <is>
          <t>Evacuación Carmona 400-220 kV Renovables, S.L.</t>
        </is>
      </c>
      <c r="H25" s="1">
        <f>VLOOKUP($G25,DATOS!$B:$E,2,FALSE)</f>
        <v/>
      </c>
      <c r="I25" s="1">
        <f>VLOOKUP($G25,DATOS!$B:$E,3,FALSE)</f>
        <v/>
      </c>
      <c r="J25" s="1">
        <f>VLOOKUP($G25,DATOS!$B:$E,4,FALSE)</f>
        <v/>
      </c>
      <c r="K25" s="1" t="inlineStr">
        <is>
          <t>Factura de suplidos</t>
        </is>
      </c>
      <c r="M25" s="1" t="inlineStr">
        <is>
          <t>REG MERCANTIL SEVILLA D/2024/3994</t>
        </is>
      </c>
      <c r="N25" s="5" t="n">
        <v>284.72</v>
      </c>
      <c r="AA25" s="5">
        <f>L25+N25+P25+R25+T25+V25+X25+Z25</f>
        <v/>
      </c>
      <c r="AB25" s="438" t="inlineStr">
        <is>
          <t>ES85 2080 3509 1130 4009 6171</t>
        </is>
      </c>
      <c r="AC25" s="1" t="inlineStr">
        <is>
          <t>pagado</t>
        </is>
      </c>
      <c r="AD25" s="5">
        <f>L25+N25+P25+R25+T25+V25+X25+Z25</f>
        <v/>
      </c>
      <c r="AE25" s="5">
        <f>IF((LEFT(K25,6))="Contab",L25,0)</f>
        <v/>
      </c>
      <c r="AF25" s="6">
        <f>VLOOKUP(G25,CLIENTES!B:E,4,FALSE)</f>
        <v/>
      </c>
      <c r="AG25" s="5">
        <f>AF25*AE25</f>
        <v/>
      </c>
      <c r="AH25" s="5">
        <f>AD25</f>
        <v/>
      </c>
      <c r="AI25" s="261">
        <f>IF(AE25&lt;&gt;0,AG25/AD25,"N/A")</f>
        <v/>
      </c>
      <c r="AJ25" s="5">
        <f>IF(AC25="pendiente",AD25,0)</f>
        <v/>
      </c>
      <c r="AK25" s="1">
        <f>VLOOKUP(G25,CLIENTES!B:D,3,FALSE)</f>
        <v/>
      </c>
    </row>
    <row r="26" ht="15" customHeight="1" s="700">
      <c r="A26" s="1" t="inlineStr">
        <is>
          <t>S25025</t>
        </is>
      </c>
      <c r="B26" s="26" t="n">
        <v>45833</v>
      </c>
      <c r="C26" s="1" t="inlineStr">
        <is>
          <t>c/ Las Cruzadas 3A, local D</t>
        </is>
      </c>
      <c r="D26" s="1" t="inlineStr">
        <is>
          <t>Sevilla 41004</t>
        </is>
      </c>
      <c r="E26" s="1" t="inlineStr">
        <is>
          <t>CIF B91938662</t>
        </is>
      </c>
      <c r="F26" s="1" t="inlineStr">
        <is>
          <t>aBalados@abalados.es</t>
        </is>
      </c>
      <c r="G26" s="1" t="inlineStr">
        <is>
          <t>Escatrón Promotores 400 y 220, S.L.</t>
        </is>
      </c>
      <c r="H26" s="1">
        <f>VLOOKUP($G26,DATOS!$B:$E,2,FALSE)</f>
        <v/>
      </c>
      <c r="I26" s="1">
        <f>VLOOKUP($G26,DATOS!$B:$E,3,FALSE)</f>
        <v/>
      </c>
      <c r="J26" s="1">
        <f>VLOOKUP($G26,DATOS!$B:$E,4,FALSE)</f>
        <v/>
      </c>
      <c r="K26" s="1" t="inlineStr">
        <is>
          <t>Factura de suplidos</t>
        </is>
      </c>
      <c r="M26" s="1" t="inlineStr">
        <is>
          <t>GOBIERNO DE ARAGON 992435</t>
        </is>
      </c>
      <c r="N26" s="5" t="n">
        <v>627.36</v>
      </c>
      <c r="O26" s="1" t="inlineStr">
        <is>
          <t>GOBIERNO DE ARAGON 992446</t>
        </is>
      </c>
      <c r="P26" s="5" t="n">
        <v>627.36</v>
      </c>
      <c r="AA26" s="5">
        <f>L26+N26+P26+R26+T26+V26+X26+Z26</f>
        <v/>
      </c>
      <c r="AB26" s="438" t="inlineStr">
        <is>
          <t>ES85 2080 3509 1130 4009 6171</t>
        </is>
      </c>
      <c r="AC26" s="1" t="inlineStr">
        <is>
          <t>pendiente</t>
        </is>
      </c>
      <c r="AD26" s="5">
        <f>L26+N26+P26+R26+T26+V26+X26+Z26</f>
        <v/>
      </c>
      <c r="AE26" s="5">
        <f>IF((LEFT(K26,6))="Contab",L26,0)</f>
        <v/>
      </c>
      <c r="AF26" s="6">
        <f>VLOOKUP(G26,CLIENTES!B:E,4,FALSE)</f>
        <v/>
      </c>
      <c r="AG26" s="5">
        <f>AF26*AE26</f>
        <v/>
      </c>
      <c r="AH26" s="5">
        <f>AD26</f>
        <v/>
      </c>
      <c r="AI26" s="261">
        <f>IF(AE26&lt;&gt;0,AG26/AD26,"N/A")</f>
        <v/>
      </c>
      <c r="AJ26" s="5">
        <f>IF(AC26="pendiente",AD26,0)</f>
        <v/>
      </c>
      <c r="AK26" s="1">
        <f>VLOOKUP(G26,CLIENTES!B:D,3,FALSE)</f>
        <v/>
      </c>
    </row>
    <row r="27" ht="15" customHeight="1" s="700">
      <c r="A27" s="1" t="inlineStr">
        <is>
          <t>S25026</t>
        </is>
      </c>
      <c r="B27" s="26" t="n">
        <v>45833</v>
      </c>
      <c r="C27" s="1" t="inlineStr">
        <is>
          <t>c/ Las Cruzadas 3A, local D</t>
        </is>
      </c>
      <c r="D27" s="1" t="inlineStr">
        <is>
          <t>Sevilla 41004</t>
        </is>
      </c>
      <c r="E27" s="1" t="inlineStr">
        <is>
          <t>CIF B91938662</t>
        </is>
      </c>
      <c r="F27" s="1" t="inlineStr">
        <is>
          <t>aBalados@abalados.es</t>
        </is>
      </c>
      <c r="G27" s="1" t="inlineStr">
        <is>
          <t>Transformadora Almodóvar Renovables, S.L.</t>
        </is>
      </c>
      <c r="H27" s="1">
        <f>VLOOKUP($G27,DATOS!$B:$E,2,FALSE)</f>
        <v/>
      </c>
      <c r="I27" s="1">
        <f>VLOOKUP($G27,DATOS!$B:$E,3,FALSE)</f>
        <v/>
      </c>
      <c r="J27" s="1">
        <f>VLOOKUP($G27,DATOS!$B:$E,4,FALSE)</f>
        <v/>
      </c>
      <c r="K27" s="1" t="inlineStr">
        <is>
          <t>Factura de suplidos</t>
        </is>
      </c>
      <c r="M27" s="1" t="inlineStr">
        <is>
          <t>FNMT 8250611631</t>
        </is>
      </c>
      <c r="N27" s="5" t="n">
        <v>16.94</v>
      </c>
      <c r="AA27" s="5">
        <f>L27+N27+P27+R27+T27+V27+X27+Z27</f>
        <v/>
      </c>
      <c r="AB27" s="438" t="inlineStr">
        <is>
          <t>ES85 2080 3509 1130 4009 6171</t>
        </is>
      </c>
      <c r="AC27" s="1" t="inlineStr">
        <is>
          <t>pagado</t>
        </is>
      </c>
      <c r="AD27" s="5">
        <f>L27+N27+P27+R27+T27+V27+X27+Z27</f>
        <v/>
      </c>
      <c r="AE27" s="5">
        <f>IF((LEFT(K27,6))="Contab",L27,0)</f>
        <v/>
      </c>
      <c r="AF27" s="6">
        <f>VLOOKUP(G27,CLIENTES!B:E,4,FALSE)</f>
        <v/>
      </c>
      <c r="AG27" s="5">
        <f>AF27*AE27</f>
        <v/>
      </c>
      <c r="AH27" s="5">
        <f>AD27</f>
        <v/>
      </c>
      <c r="AI27" s="261">
        <f>IF(AE27&lt;&gt;0,AG27/AD27,"N/A")</f>
        <v/>
      </c>
      <c r="AJ27" s="5">
        <f>IF(AC27="pendiente",AD27,0)</f>
        <v/>
      </c>
      <c r="AK27" s="1">
        <f>VLOOKUP(G27,CLIENTES!B:D,3,FALSE)</f>
        <v/>
      </c>
    </row>
    <row r="28" ht="15" customHeight="1" s="700">
      <c r="A28" s="1" t="inlineStr">
        <is>
          <t>S25027</t>
        </is>
      </c>
      <c r="B28" s="26" t="n">
        <v>45833</v>
      </c>
      <c r="C28" s="1" t="inlineStr">
        <is>
          <t>c/ Las Cruzadas 3A, local D</t>
        </is>
      </c>
      <c r="D28" s="1" t="inlineStr">
        <is>
          <t>Sevilla 41004</t>
        </is>
      </c>
      <c r="E28" s="1" t="inlineStr">
        <is>
          <t>CIF B91938662</t>
        </is>
      </c>
      <c r="F28" s="1" t="inlineStr">
        <is>
          <t>aBalados@abalados.es</t>
        </is>
      </c>
      <c r="G28" s="1" t="inlineStr">
        <is>
          <t>ICE Andújar, S.L.</t>
        </is>
      </c>
      <c r="H28" s="1">
        <f>VLOOKUP($G28,DATOS!$B:$E,2,FALSE)</f>
        <v/>
      </c>
      <c r="I28" s="1">
        <f>VLOOKUP($G28,DATOS!$B:$E,3,FALSE)</f>
        <v/>
      </c>
      <c r="J28" s="1">
        <f>VLOOKUP($G28,DATOS!$B:$E,4,FALSE)</f>
        <v/>
      </c>
      <c r="K28" s="1" t="inlineStr">
        <is>
          <t>Factura de suplidos</t>
        </is>
      </c>
      <c r="M28" s="1" t="inlineStr">
        <is>
          <t>PROVISIÓN DE FONDOS 2025/36086</t>
        </is>
      </c>
      <c r="N28" s="5" t="n">
        <v>200</v>
      </c>
      <c r="O28" s="1" t="inlineStr">
        <is>
          <t>PROVISIÓN DE FONDOS 2025/35474</t>
        </is>
      </c>
      <c r="P28" s="5" t="n">
        <v>200</v>
      </c>
      <c r="Q28" s="1" t="inlineStr">
        <is>
          <t>PROVISIÓN DE FONDOS  2025/35483</t>
        </is>
      </c>
      <c r="R28" s="5" t="n">
        <v>292.34</v>
      </c>
      <c r="S28" s="1" t="inlineStr">
        <is>
          <t>PROVISIÓN DE FONDOS 2025/34733</t>
        </is>
      </c>
      <c r="T28" s="5" t="n">
        <v>266.96</v>
      </c>
      <c r="AA28" s="5">
        <f>L28+N28+P28+R28+T28+V28+X28+Z28</f>
        <v/>
      </c>
      <c r="AB28" s="438" t="inlineStr">
        <is>
          <t>ES85 2080 3509 1130 4009 6171</t>
        </is>
      </c>
      <c r="AC28" s="1" t="inlineStr">
        <is>
          <t>pendiente</t>
        </is>
      </c>
      <c r="AD28" s="5">
        <f>L28+N28+P28+R28+T28+V28+X28+Z28</f>
        <v/>
      </c>
      <c r="AE28" s="5">
        <f>IF((LEFT(K28,6))="Contab",L28,0)</f>
        <v/>
      </c>
      <c r="AF28" s="6">
        <f>VLOOKUP(G28,CLIENTES!B:E,4,FALSE)</f>
        <v/>
      </c>
      <c r="AG28" s="5">
        <f>AF28*AE28</f>
        <v/>
      </c>
      <c r="AH28" s="5">
        <f>AD28</f>
        <v/>
      </c>
      <c r="AI28" s="261">
        <f>IF(AE28&lt;&gt;0,AG28/AD28,"N/A")</f>
        <v/>
      </c>
      <c r="AJ28" s="5">
        <f>IF(AC28="pendiente",AD28,0)</f>
        <v/>
      </c>
      <c r="AK28" s="1">
        <f>VLOOKUP(G28,CLIENTES!B:D,3,FALSE)</f>
        <v/>
      </c>
    </row>
    <row r="29" ht="15" customHeight="1" s="700">
      <c r="A29" s="1" t="inlineStr">
        <is>
          <t>S25028</t>
        </is>
      </c>
      <c r="B29" s="26" t="n">
        <v>45833</v>
      </c>
      <c r="C29" s="1" t="inlineStr">
        <is>
          <t>c/ Las Cruzadas 3A, local D</t>
        </is>
      </c>
      <c r="D29" s="1" t="inlineStr">
        <is>
          <t>Sevilla 41004</t>
        </is>
      </c>
      <c r="E29" s="1" t="inlineStr">
        <is>
          <t>CIF B91938662</t>
        </is>
      </c>
      <c r="F29" s="1" t="inlineStr">
        <is>
          <t>aBalados@abalados.es</t>
        </is>
      </c>
      <c r="G29" s="1" t="inlineStr">
        <is>
          <t>Brazatortas 220 Renovables, S.L.</t>
        </is>
      </c>
      <c r="H29" s="1">
        <f>VLOOKUP($G29,DATOS!$B:$E,2,FALSE)</f>
        <v/>
      </c>
      <c r="I29" s="1">
        <f>VLOOKUP($G29,DATOS!$B:$E,3,FALSE)</f>
        <v/>
      </c>
      <c r="J29" s="1">
        <f>VLOOKUP($G29,DATOS!$B:$E,4,FALSE)</f>
        <v/>
      </c>
      <c r="K29" s="1" t="inlineStr">
        <is>
          <t>Factura de suplidos</t>
        </is>
      </c>
      <c r="M29" s="1" t="inlineStr">
        <is>
          <t>FNMT 8250451202</t>
        </is>
      </c>
      <c r="N29" s="5" t="n">
        <v>16.94</v>
      </c>
      <c r="AA29" s="5">
        <f>L29+N29+P29+R29+T29+V29+X29+Z29</f>
        <v/>
      </c>
      <c r="AB29" s="438" t="inlineStr">
        <is>
          <t>ES85 2080 3509 1130 4009 6171</t>
        </is>
      </c>
      <c r="AC29" s="1" t="inlineStr">
        <is>
          <t>pagado</t>
        </is>
      </c>
      <c r="AD29" s="5">
        <f>L29+N29+P29+R29+T29+V29+X29+Z29</f>
        <v/>
      </c>
      <c r="AE29" s="5">
        <f>IF((LEFT(K29,6))="Contab",L29,0)</f>
        <v/>
      </c>
      <c r="AF29" s="6">
        <f>VLOOKUP(G29,CLIENTES!B:E,4,FALSE)</f>
        <v/>
      </c>
      <c r="AG29" s="5">
        <f>AF29*AE29</f>
        <v/>
      </c>
      <c r="AH29" s="5">
        <f>AD29</f>
        <v/>
      </c>
      <c r="AI29" s="261">
        <f>IF(AE29&lt;&gt;0,AG29/AD29,"N/A")</f>
        <v/>
      </c>
      <c r="AJ29" s="5">
        <f>IF(AC29="pendiente",AD29,0)</f>
        <v/>
      </c>
      <c r="AK29" s="1">
        <f>VLOOKUP(G29,CLIENTES!B:D,3,FALSE)</f>
        <v/>
      </c>
    </row>
    <row r="30" ht="15" customHeight="1" s="700">
      <c r="A30" s="1" t="inlineStr">
        <is>
          <t>S25029</t>
        </is>
      </c>
      <c r="B30" s="26" t="n">
        <v>45833</v>
      </c>
      <c r="C30" s="1" t="inlineStr">
        <is>
          <t>c/ Las Cruzadas 3A, local D</t>
        </is>
      </c>
      <c r="D30" s="1" t="inlineStr">
        <is>
          <t>Sevilla 41004</t>
        </is>
      </c>
      <c r="E30" s="1" t="inlineStr">
        <is>
          <t>CIF B91938662</t>
        </is>
      </c>
      <c r="F30" s="1" t="inlineStr">
        <is>
          <t>aBalados@abalados.es</t>
        </is>
      </c>
      <c r="G30" s="1" t="inlineStr">
        <is>
          <t>Renovables Brovales Segura de León 400 kV, S.L.</t>
        </is>
      </c>
      <c r="H30" s="1">
        <f>VLOOKUP($G30,DATOS!$B:$E,2,FALSE)</f>
        <v/>
      </c>
      <c r="I30" s="1">
        <f>VLOOKUP($G30,DATOS!$B:$E,3,FALSE)</f>
        <v/>
      </c>
      <c r="J30" s="1">
        <f>VLOOKUP($G30,DATOS!$B:$E,4,FALSE)</f>
        <v/>
      </c>
      <c r="K30" s="1" t="inlineStr">
        <is>
          <t>Factura de suplidos</t>
        </is>
      </c>
      <c r="M30" s="1" t="inlineStr">
        <is>
          <t>FNMT 8250566649</t>
        </is>
      </c>
      <c r="N30" s="5" t="n">
        <v>16.94</v>
      </c>
      <c r="AA30" s="5">
        <f>L30+N30+P30+R30+T30+V30+X30+Z30</f>
        <v/>
      </c>
      <c r="AB30" s="438" t="inlineStr">
        <is>
          <t>ES85 2080 3509 1130 4009 6171</t>
        </is>
      </c>
      <c r="AC30" s="1" t="inlineStr">
        <is>
          <t>pagado</t>
        </is>
      </c>
      <c r="AD30" s="5">
        <f>L30+N30+P30+R30+T30+V30+X30+Z30</f>
        <v/>
      </c>
      <c r="AE30" s="5">
        <f>IF((LEFT(K30,6))="Contab",L30,0)</f>
        <v/>
      </c>
      <c r="AF30" s="6">
        <f>VLOOKUP(G30,CLIENTES!B:E,4,FALSE)</f>
        <v/>
      </c>
      <c r="AG30" s="5">
        <f>AF30*AE30</f>
        <v/>
      </c>
      <c r="AH30" s="5">
        <f>AD30</f>
        <v/>
      </c>
      <c r="AI30" s="261">
        <f>IF(AE30&lt;&gt;0,AG30/AD30,"N/A")</f>
        <v/>
      </c>
      <c r="AJ30" s="5">
        <f>IF(AC30="pendiente",AD30,0)</f>
        <v/>
      </c>
      <c r="AK30" s="1">
        <f>VLOOKUP(G30,CLIENTES!B:D,3,FALSE)</f>
        <v/>
      </c>
    </row>
    <row r="31" ht="15" customHeight="1" s="700">
      <c r="A31" s="1" t="inlineStr">
        <is>
          <t>S25030</t>
        </is>
      </c>
      <c r="B31" s="26" t="n">
        <v>45833</v>
      </c>
      <c r="C31" s="1" t="inlineStr">
        <is>
          <t>c/ Las Cruzadas 3A, local D</t>
        </is>
      </c>
      <c r="D31" s="1" t="inlineStr">
        <is>
          <t>Sevilla 41004</t>
        </is>
      </c>
      <c r="E31" s="1" t="inlineStr">
        <is>
          <t>CIF B91938662</t>
        </is>
      </c>
      <c r="F31" s="1" t="inlineStr">
        <is>
          <t>aBalados@abalados.es</t>
        </is>
      </c>
      <c r="G31" s="1" t="inlineStr">
        <is>
          <t>Evacuación Liquesun, S.L.</t>
        </is>
      </c>
      <c r="H31" s="1">
        <f>VLOOKUP($G31,DATOS!$B:$E,2,FALSE)</f>
        <v/>
      </c>
      <c r="I31" s="1">
        <f>VLOOKUP($G31,DATOS!$B:$E,3,FALSE)</f>
        <v/>
      </c>
      <c r="J31" s="1">
        <f>VLOOKUP($G31,DATOS!$B:$E,4,FALSE)</f>
        <v/>
      </c>
      <c r="K31" s="1" t="inlineStr">
        <is>
          <t>Factura de suplidos</t>
        </is>
      </c>
      <c r="M31" s="1" t="inlineStr">
        <is>
          <t>FNMT 8250469534</t>
        </is>
      </c>
      <c r="N31" s="5" t="n">
        <v>16.94</v>
      </c>
      <c r="AA31" s="5">
        <f>L31+N31+P31+R31+T31+V31+X31+Z31</f>
        <v/>
      </c>
      <c r="AB31" s="438" t="inlineStr">
        <is>
          <t>ES85 2080 3509 1130 4009 6171</t>
        </is>
      </c>
      <c r="AC31" s="1" t="inlineStr">
        <is>
          <t>pagado</t>
        </is>
      </c>
      <c r="AD31" s="5">
        <f>L31+N31+P31+R31+T31+V31+X31+Z31</f>
        <v/>
      </c>
      <c r="AE31" s="5">
        <f>IF((LEFT(K31,6))="Contab",L31,0)</f>
        <v/>
      </c>
      <c r="AF31" s="6">
        <f>VLOOKUP(G31,CLIENTES!B:E,4,FALSE)</f>
        <v/>
      </c>
      <c r="AG31" s="5">
        <f>AF31*AE31</f>
        <v/>
      </c>
      <c r="AH31" s="5">
        <f>AD31</f>
        <v/>
      </c>
      <c r="AI31" s="261">
        <f>IF(AE31&lt;&gt;0,AG31/AD31,"N/A")</f>
        <v/>
      </c>
      <c r="AJ31" s="5">
        <f>IF(AC31="pendiente",AD31,0)</f>
        <v/>
      </c>
      <c r="AK31" s="1">
        <f>VLOOKUP(G31,CLIENTES!B:D,3,FALSE)</f>
        <v/>
      </c>
    </row>
    <row r="32" ht="15" customHeight="1" s="700">
      <c r="A32" s="1" t="inlineStr">
        <is>
          <t>S25031</t>
        </is>
      </c>
      <c r="B32" s="26" t="n">
        <v>45833</v>
      </c>
      <c r="C32" s="1" t="inlineStr">
        <is>
          <t>c/ Las Cruzadas 3A, local D</t>
        </is>
      </c>
      <c r="D32" s="1" t="inlineStr">
        <is>
          <t>Sevilla 41004</t>
        </is>
      </c>
      <c r="E32" s="1" t="inlineStr">
        <is>
          <t>CIF B91938662</t>
        </is>
      </c>
      <c r="F32" s="1" t="inlineStr">
        <is>
          <t>aBalados@abalados.es</t>
        </is>
      </c>
      <c r="G32" s="1" t="inlineStr">
        <is>
          <t>Maria Renovables, S.L.</t>
        </is>
      </c>
      <c r="H32" s="1">
        <f>VLOOKUP($G32,DATOS!$B:$E,2,FALSE)</f>
        <v/>
      </c>
      <c r="I32" s="1">
        <f>VLOOKUP($G32,DATOS!$B:$E,3,FALSE)</f>
        <v/>
      </c>
      <c r="J32" s="1">
        <f>VLOOKUP($G32,DATOS!$B:$E,4,FALSE)</f>
        <v/>
      </c>
      <c r="K32" s="1" t="inlineStr">
        <is>
          <t>Factura de suplidos</t>
        </is>
      </c>
      <c r="M32" s="1" t="inlineStr">
        <is>
          <t>FNMT 8250581020</t>
        </is>
      </c>
      <c r="N32" s="5" t="n">
        <v>16.94</v>
      </c>
      <c r="AA32" s="5">
        <f>L32+N32+P32+R32+T32+V32+X32+Z32</f>
        <v/>
      </c>
      <c r="AB32" s="438" t="inlineStr">
        <is>
          <t>ES85 2080 3509 1130 4009 6171</t>
        </is>
      </c>
      <c r="AC32" s="1" t="inlineStr">
        <is>
          <t>pagado</t>
        </is>
      </c>
      <c r="AD32" s="5">
        <f>L32+N32+P32+R32+T32+V32+X32+Z32</f>
        <v/>
      </c>
      <c r="AE32" s="5">
        <f>IF((LEFT(K32,6))="Contab",L32,0)</f>
        <v/>
      </c>
      <c r="AF32" s="6">
        <f>VLOOKUP(G32,CLIENTES!B:E,4,FALSE)</f>
        <v/>
      </c>
      <c r="AG32" s="5">
        <f>AF32*AE32</f>
        <v/>
      </c>
      <c r="AH32" s="5">
        <f>AD32</f>
        <v/>
      </c>
      <c r="AI32" s="261">
        <f>IF(AE32&lt;&gt;0,AG32/AD32,"N/A")</f>
        <v/>
      </c>
      <c r="AJ32" s="5">
        <f>IF(AC32="pendiente",AD32,0)</f>
        <v/>
      </c>
      <c r="AK32" s="1">
        <f>VLOOKUP(G32,CLIENTES!B:D,3,FALSE)</f>
        <v/>
      </c>
    </row>
    <row r="33" ht="15" customHeight="1" s="700">
      <c r="A33" s="1" t="inlineStr">
        <is>
          <t>S25032</t>
        </is>
      </c>
      <c r="B33" s="26" t="n">
        <v>45833</v>
      </c>
      <c r="C33" s="1" t="inlineStr">
        <is>
          <t>c/ Las Cruzadas 3A, local D</t>
        </is>
      </c>
      <c r="D33" s="1" t="inlineStr">
        <is>
          <t>Sevilla 41004</t>
        </is>
      </c>
      <c r="E33" s="1" t="inlineStr">
        <is>
          <t>CIF B91938662</t>
        </is>
      </c>
      <c r="F33" s="1" t="inlineStr">
        <is>
          <t>aBalados@abalados.es</t>
        </is>
      </c>
      <c r="G33" s="1" t="inlineStr">
        <is>
          <t>Pujalt Infras Privativas Ignis Forestalia, S.L.</t>
        </is>
      </c>
      <c r="H33" s="1">
        <f>VLOOKUP($G33,DATOS!$B:$E,2,FALSE)</f>
        <v/>
      </c>
      <c r="I33" s="1">
        <f>VLOOKUP($G33,DATOS!$B:$E,3,FALSE)</f>
        <v/>
      </c>
      <c r="J33" s="1">
        <f>VLOOKUP($G33,DATOS!$B:$E,4,FALSE)</f>
        <v/>
      </c>
      <c r="K33" s="1" t="inlineStr">
        <is>
          <t>Factura de suplidos</t>
        </is>
      </c>
      <c r="M33" s="1" t="inlineStr">
        <is>
          <t>FNMT 8250647016</t>
        </is>
      </c>
      <c r="N33" s="5" t="n">
        <v>16.94</v>
      </c>
      <c r="O33" s="1" t="inlineStr">
        <is>
          <t>PROVISIÓN DE FONDOS 2025/4255</t>
        </is>
      </c>
      <c r="P33" s="5" t="n">
        <v>100</v>
      </c>
      <c r="AA33" s="5">
        <f>L33+N33+P33+R33+T33+V33+X33+Z33</f>
        <v/>
      </c>
      <c r="AB33" s="438" t="inlineStr">
        <is>
          <t>ES85 2080 3509 1130 4009 6171</t>
        </is>
      </c>
      <c r="AC33" s="1" t="inlineStr">
        <is>
          <t>pagado</t>
        </is>
      </c>
      <c r="AD33" s="5">
        <f>L33+N33+P33+R33+T33+V33+X33+Z33</f>
        <v/>
      </c>
      <c r="AE33" s="5">
        <f>IF((LEFT(K33,6))="Contab",L33,0)</f>
        <v/>
      </c>
      <c r="AF33" s="6">
        <f>VLOOKUP(G33,CLIENTES!B:E,4,FALSE)</f>
        <v/>
      </c>
      <c r="AG33" s="5">
        <f>AF33*AE33</f>
        <v/>
      </c>
      <c r="AH33" s="5">
        <f>AD33</f>
        <v/>
      </c>
      <c r="AI33" s="261">
        <f>IF(AE33&lt;&gt;0,AG33/AD33,"N/A")</f>
        <v/>
      </c>
      <c r="AJ33" s="5">
        <f>IF(AC33="pendiente",AD33,0)</f>
        <v/>
      </c>
      <c r="AK33" s="1">
        <f>VLOOKUP(G33,CLIENTES!B:D,3,FALSE)</f>
        <v/>
      </c>
    </row>
    <row r="34" ht="15" customFormat="1" customHeight="1" s="146">
      <c r="A34" s="146" t="inlineStr">
        <is>
          <t>S25033</t>
        </is>
      </c>
      <c r="B34" s="149" t="n">
        <v>45833</v>
      </c>
      <c r="C34" s="146" t="inlineStr">
        <is>
          <t>c/ Las Cruzadas 3A, local D</t>
        </is>
      </c>
      <c r="D34" s="146" t="inlineStr">
        <is>
          <t>Sevilla 41004</t>
        </is>
      </c>
      <c r="E34" s="146" t="inlineStr">
        <is>
          <t>CIF B91938662</t>
        </is>
      </c>
      <c r="F34" s="146" t="inlineStr">
        <is>
          <t>aBalados@abalados.es</t>
        </is>
      </c>
      <c r="G34" s="146" t="inlineStr">
        <is>
          <t>Tordesillas T2Prima 132kV, S.L.</t>
        </is>
      </c>
      <c r="H34" s="146">
        <f>VLOOKUP($G34,DATOS!$B:$E,2,FALSE)</f>
        <v/>
      </c>
      <c r="I34" s="146">
        <f>VLOOKUP($G34,DATOS!$B:$E,3,FALSE)</f>
        <v/>
      </c>
      <c r="J34" s="146">
        <f>VLOOKUP($G34,DATOS!$B:$E,4,FALSE)</f>
        <v/>
      </c>
      <c r="K34" s="146" t="inlineStr">
        <is>
          <t>Factura de suplidos</t>
        </is>
      </c>
      <c r="L34" s="147" t="n"/>
      <c r="M34" s="146" t="inlineStr">
        <is>
          <t>FNMT 8250575115</t>
        </is>
      </c>
      <c r="N34" s="147" t="n">
        <v>16.94</v>
      </c>
      <c r="O34" s="146" t="inlineStr">
        <is>
          <t>PROVISIÓN DE FONDOS 2025/53817</t>
        </is>
      </c>
      <c r="P34" s="147" t="n">
        <v>200</v>
      </c>
      <c r="R34" s="147" t="n"/>
      <c r="T34" s="147" t="n"/>
      <c r="V34" s="147" t="n"/>
      <c r="X34" s="147" t="n"/>
      <c r="Z34" s="147" t="n"/>
      <c r="AA34" s="147">
        <f>L34+N34+P34+R34+T34+V34+X34+Z34</f>
        <v/>
      </c>
      <c r="AB34" s="481" t="inlineStr">
        <is>
          <t>ES85 2080 3509 1130 4009 6171</t>
        </is>
      </c>
      <c r="AC34" s="146" t="inlineStr">
        <is>
          <t>pagado</t>
        </is>
      </c>
      <c r="AD34" s="147">
        <f>L34+N34+P34+R34+T34+V34+X34+Z34</f>
        <v/>
      </c>
      <c r="AE34" s="147">
        <f>IF((LEFT(K34,6))="Contab",L34,0)</f>
        <v/>
      </c>
      <c r="AF34" s="148">
        <f>VLOOKUP(G34,CLIENTES!B:E,4,FALSE)</f>
        <v/>
      </c>
      <c r="AG34" s="147">
        <f>AF34*AE34</f>
        <v/>
      </c>
      <c r="AH34" s="147">
        <f>AD34</f>
        <v/>
      </c>
      <c r="AI34" s="257">
        <f>IF(AE34&lt;&gt;0,AG34/AD34,"N/A")</f>
        <v/>
      </c>
      <c r="AJ34" s="147">
        <f>IF(AC34="pendiente",AD34,0)</f>
        <v/>
      </c>
      <c r="AK34" s="146">
        <f>VLOOKUP(G34,CLIENTES!B:D,3,FALSE)</f>
        <v/>
      </c>
    </row>
    <row r="35" ht="15" customFormat="1" customHeight="1" s="146">
      <c r="A35" s="146" t="inlineStr">
        <is>
          <t>S25034</t>
        </is>
      </c>
      <c r="B35" s="149" t="n">
        <v>45883</v>
      </c>
      <c r="C35" s="146" t="inlineStr">
        <is>
          <t>c/ Las Cruzadas 3A, local D</t>
        </is>
      </c>
      <c r="D35" s="146" t="inlineStr">
        <is>
          <t>Sevilla 41004</t>
        </is>
      </c>
      <c r="E35" s="146" t="inlineStr">
        <is>
          <t>CIF B91938662</t>
        </is>
      </c>
      <c r="F35" s="146" t="inlineStr">
        <is>
          <t>aBalados@abalados.es</t>
        </is>
      </c>
      <c r="G35" s="146" t="inlineStr">
        <is>
          <t>aBalados Recycling, S.L.</t>
        </is>
      </c>
      <c r="H35" s="146">
        <f>VLOOKUP($G35,DATOS!$B:$E,2,FALSE)</f>
        <v/>
      </c>
      <c r="I35" s="146">
        <f>VLOOKUP($G35,DATOS!$B:$E,3,FALSE)</f>
        <v/>
      </c>
      <c r="J35" s="146">
        <f>VLOOKUP($G35,DATOS!$B:$E,4,FALSE)</f>
        <v/>
      </c>
      <c r="K35" s="146" t="inlineStr">
        <is>
          <t>Factura de suplidos</t>
        </is>
      </c>
      <c r="L35" s="147" t="n"/>
      <c r="N35" s="147" t="n"/>
      <c r="O35" s="146" t="inlineStr">
        <is>
          <t>Pago de tasas en nombre de la sociedad</t>
        </is>
      </c>
      <c r="P35" s="147" t="n">
        <v>2448</v>
      </c>
      <c r="Q35" s="146" t="inlineStr">
        <is>
          <t>Tasa por act. adtvas. para la apertura de establecimientos</t>
        </is>
      </c>
      <c r="R35" s="147" t="n"/>
      <c r="T35" s="147" t="n"/>
      <c r="V35" s="147" t="n"/>
      <c r="X35" s="147" t="n"/>
      <c r="Z35" s="147" t="n"/>
      <c r="AA35" s="147">
        <f>L35+N35+P35+R35+T35+V35+X35+Z35</f>
        <v/>
      </c>
      <c r="AB35" s="481" t="inlineStr">
        <is>
          <t>ES85 2080 3509 1130 4009 6171</t>
        </is>
      </c>
      <c r="AC35" s="146" t="inlineStr">
        <is>
          <t>pendiente</t>
        </is>
      </c>
      <c r="AD35" s="147">
        <f>L35+N35+P35+R35+T35+V35+X35+Z35</f>
        <v/>
      </c>
      <c r="AE35" s="147">
        <f>IF((LEFT(K35,6))="Contab",L35,0)</f>
        <v/>
      </c>
      <c r="AF35" s="148">
        <f>VLOOKUP(G35,CLIENTES!B:E,4,FALSE)</f>
        <v/>
      </c>
      <c r="AG35" s="147">
        <f>AF35*AE35</f>
        <v/>
      </c>
      <c r="AH35" s="147">
        <f>AD35*1.21</f>
        <v/>
      </c>
      <c r="AI35" s="257">
        <f>IF(AE35&lt;&gt;0,AG35/AD35,"N/A")</f>
        <v/>
      </c>
      <c r="AJ35" s="147">
        <f>IF(AC35="pendiente",AD35,0)</f>
        <v/>
      </c>
      <c r="AK35" s="146">
        <f>VLOOKUP(G35,CLIENTES!B:D,3,FALSE)</f>
        <v/>
      </c>
    </row>
    <row r="36" ht="15" customHeight="1" s="700">
      <c r="A36" s="1" t="inlineStr">
        <is>
          <t>S25035</t>
        </is>
      </c>
      <c r="B36" s="26" t="n">
        <v>45929</v>
      </c>
      <c r="C36" s="1" t="inlineStr">
        <is>
          <t>c/ Las Cruzadas 3A, local D</t>
        </is>
      </c>
      <c r="D36" s="1" t="inlineStr">
        <is>
          <t>Sevilla 41004</t>
        </is>
      </c>
      <c r="E36" s="1" t="inlineStr">
        <is>
          <t>CIF B91938662</t>
        </is>
      </c>
      <c r="F36" s="1" t="inlineStr">
        <is>
          <t>aBalados@abalados.es</t>
        </is>
      </c>
      <c r="G36" s="1" t="inlineStr">
        <is>
          <t>ICE Santa Engracia, S.L.</t>
        </is>
      </c>
      <c r="H36" s="1">
        <f>VLOOKUP($G36,DATOS!$B:$E,2,FALSE)</f>
        <v/>
      </c>
      <c r="I36" s="1">
        <f>VLOOKUP($G36,DATOS!$B:$E,3,FALSE)</f>
        <v/>
      </c>
      <c r="J36" s="1">
        <f>VLOOKUP($G36,DATOS!$B:$E,4,FALSE)</f>
        <v/>
      </c>
      <c r="K36" s="1" t="inlineStr">
        <is>
          <t>FNMT 8250866433</t>
        </is>
      </c>
      <c r="L36" s="5" t="n">
        <v>16.94</v>
      </c>
      <c r="AA36" s="5">
        <f>L36+N36+P36+R36+T36+V36+X36+Z36</f>
        <v/>
      </c>
      <c r="AB36" s="438" t="inlineStr">
        <is>
          <t>ES85 2080 3509 1130 4009 6171</t>
        </is>
      </c>
      <c r="AC36" s="1" t="inlineStr">
        <is>
          <t>pendiente</t>
        </is>
      </c>
      <c r="AD36" s="5">
        <f>L36+N36+P36+R36+T36+V36+X36+Z36</f>
        <v/>
      </c>
      <c r="AE36" s="5">
        <f>IF((LEFT(K36,6))="Contab",L36,0)</f>
        <v/>
      </c>
      <c r="AF36" s="6">
        <f>VLOOKUP(G36,CLIENTES!B:E,4,FALSE)</f>
        <v/>
      </c>
      <c r="AG36" s="5">
        <f>AF36*AE36</f>
        <v/>
      </c>
      <c r="AH36" s="5">
        <f>AD36</f>
        <v/>
      </c>
      <c r="AI36" s="261">
        <f>IF(AE36&lt;&gt;0,AG36/AD36,"N/A")</f>
        <v/>
      </c>
      <c r="AJ36" s="5">
        <f>IF(AC36="pendiente",AD36,0)</f>
        <v/>
      </c>
      <c r="AK36" s="1">
        <f>VLOOKUP(G36,CLIENTES!B:D,3,FALSE)</f>
        <v/>
      </c>
    </row>
    <row r="37" ht="15" customHeight="1" s="700">
      <c r="A37" s="1" t="inlineStr">
        <is>
          <t>S25036</t>
        </is>
      </c>
      <c r="B37" s="26" t="n">
        <v>45929</v>
      </c>
      <c r="C37" s="1" t="inlineStr">
        <is>
          <t>c/ Las Cruzadas 3A, local D</t>
        </is>
      </c>
      <c r="D37" s="1" t="inlineStr">
        <is>
          <t>Sevilla 41004</t>
        </is>
      </c>
      <c r="E37" s="1" t="inlineStr">
        <is>
          <t>CIF B91938662</t>
        </is>
      </c>
      <c r="F37" s="1" t="inlineStr">
        <is>
          <t>aBalados@abalados.es</t>
        </is>
      </c>
      <c r="G37" s="1" t="inlineStr">
        <is>
          <t>Evacuación Carmona 400-220 kV Renovables, S.L.</t>
        </is>
      </c>
      <c r="H37" s="1">
        <f>VLOOKUP($G37,DATOS!$B:$E,2,FALSE)</f>
        <v/>
      </c>
      <c r="I37" s="1">
        <f>VLOOKUP($G37,DATOS!$B:$E,3,FALSE)</f>
        <v/>
      </c>
      <c r="J37" s="1">
        <f>VLOOKUP($G37,DATOS!$B:$E,4,FALSE)</f>
        <v/>
      </c>
      <c r="K37" s="1" t="inlineStr">
        <is>
          <t>PAGO IBI AYTO CARMONA 007321065609</t>
        </is>
      </c>
      <c r="L37" s="5" t="n">
        <v>166.07</v>
      </c>
      <c r="AA37" s="5">
        <f>L37+N37+P37+R37+T37+V37+X37+Z37</f>
        <v/>
      </c>
      <c r="AB37" s="438" t="inlineStr">
        <is>
          <t>ES85 2080 3509 1130 4009 6171</t>
        </is>
      </c>
      <c r="AC37" s="1" t="inlineStr">
        <is>
          <t>pagado</t>
        </is>
      </c>
      <c r="AD37" s="5">
        <f>L37+N37+P37+R37+T37+V37+X37+Z37</f>
        <v/>
      </c>
      <c r="AE37" s="5">
        <f>IF((LEFT(K37,6))="Contab",L37,0)</f>
        <v/>
      </c>
      <c r="AF37" s="6">
        <f>VLOOKUP(G37,CLIENTES!B:E,4,FALSE)</f>
        <v/>
      </c>
      <c r="AG37" s="5">
        <f>AF37*AE37</f>
        <v/>
      </c>
      <c r="AH37" s="5">
        <f>AD37</f>
        <v/>
      </c>
      <c r="AI37" s="261">
        <f>IF(AE37&lt;&gt;0,AG37/AD37,"N/A")</f>
        <v/>
      </c>
      <c r="AJ37" s="5">
        <f>IF(AC37="pendiente",AD37,0)</f>
        <v/>
      </c>
      <c r="AK37" s="1">
        <f>VLOOKUP(G37,CLIENTES!B:D,3,FALSE)</f>
        <v/>
      </c>
    </row>
    <row r="38" ht="15" customHeight="1" s="700">
      <c r="A38" s="1" t="inlineStr">
        <is>
          <t>S25037</t>
        </is>
      </c>
      <c r="B38" s="26" t="n">
        <v>45929</v>
      </c>
      <c r="C38" s="1" t="inlineStr">
        <is>
          <t>c/ Las Cruzadas 3A, local D</t>
        </is>
      </c>
      <c r="D38" s="1" t="inlineStr">
        <is>
          <t>Sevilla 41004</t>
        </is>
      </c>
      <c r="E38" s="1" t="inlineStr">
        <is>
          <t>CIF B91938662</t>
        </is>
      </c>
      <c r="F38" s="1" t="inlineStr">
        <is>
          <t>aBalados@abalados.es</t>
        </is>
      </c>
      <c r="G38" s="1" t="inlineStr">
        <is>
          <t>Escatrón Promotores 400 y 220, S.L.</t>
        </is>
      </c>
      <c r="H38" s="1">
        <f>VLOOKUP($G38,DATOS!$B:$E,2,FALSE)</f>
        <v/>
      </c>
      <c r="I38" s="1">
        <f>VLOOKUP($G38,DATOS!$B:$E,3,FALSE)</f>
        <v/>
      </c>
      <c r="J38" s="1">
        <f>VLOOKUP($G38,DATOS!$B:$E,4,FALSE)</f>
        <v/>
      </c>
      <c r="K38" s="1" t="inlineStr">
        <is>
          <t>TASA 17 GOBIERNO DE ARAGÓN</t>
        </is>
      </c>
      <c r="L38" s="5" t="n">
        <v>234</v>
      </c>
      <c r="AA38" s="5">
        <f>L38+N38+P38+R38+T38+V38+X38+Z38</f>
        <v/>
      </c>
      <c r="AB38" s="438" t="inlineStr">
        <is>
          <t>ES85 2080 3509 1130 4009 6171</t>
        </is>
      </c>
      <c r="AC38" s="1" t="inlineStr">
        <is>
          <t>pendiente</t>
        </is>
      </c>
      <c r="AD38" s="5">
        <f>L38+N38+P38+R38+T38+V38+X38+Z38</f>
        <v/>
      </c>
      <c r="AE38" s="5">
        <f>IF((LEFT(K38,6))="Contab",L38,0)</f>
        <v/>
      </c>
      <c r="AF38" s="6">
        <f>VLOOKUP(G38,CLIENTES!B:E,4,FALSE)</f>
        <v/>
      </c>
      <c r="AG38" s="5">
        <f>AF38*AE38</f>
        <v/>
      </c>
      <c r="AH38" s="5">
        <f>AD38</f>
        <v/>
      </c>
      <c r="AI38" s="261">
        <f>IF(AE38&lt;&gt;0,AG38/AD38,"N/A")</f>
        <v/>
      </c>
      <c r="AJ38" s="5">
        <f>IF(AC38="pendiente",AD38,0)</f>
        <v/>
      </c>
      <c r="AK38" s="1">
        <f>VLOOKUP(G38,CLIENTES!B:D,3,FALSE)</f>
        <v/>
      </c>
    </row>
    <row r="39" ht="15" customHeight="1" s="700">
      <c r="A39" s="1" t="inlineStr">
        <is>
          <t>S25038</t>
        </is>
      </c>
      <c r="B39" s="26" t="n">
        <v>45929</v>
      </c>
      <c r="C39" s="1" t="inlineStr">
        <is>
          <t>c/ Las Cruzadas 3A, local D</t>
        </is>
      </c>
      <c r="D39" s="1" t="inlineStr">
        <is>
          <t>Sevilla 41004</t>
        </is>
      </c>
      <c r="E39" s="1" t="inlineStr">
        <is>
          <t>CIF B91938662</t>
        </is>
      </c>
      <c r="F39" s="1" t="inlineStr">
        <is>
          <t>aBalados@abalados.es</t>
        </is>
      </c>
      <c r="G39" s="1" t="inlineStr">
        <is>
          <t>Brazatortas 220 Renovables, S.L.</t>
        </is>
      </c>
      <c r="H39" s="1">
        <f>VLOOKUP($G39,DATOS!$B:$E,2,FALSE)</f>
        <v/>
      </c>
      <c r="I39" s="1">
        <f>VLOOKUP($G39,DATOS!$B:$E,3,FALSE)</f>
        <v/>
      </c>
      <c r="J39" s="1">
        <f>VLOOKUP($G39,DATOS!$B:$E,4,FALSE)</f>
        <v/>
      </c>
      <c r="K39" s="1" t="inlineStr">
        <is>
          <t>PROVISIÓN DE FONDOS 2023.39428</t>
        </is>
      </c>
      <c r="L39" s="5" t="n">
        <v>200</v>
      </c>
      <c r="AA39" s="5">
        <f>L39+N39+P39+R39+T39+V39+X39+Z39</f>
        <v/>
      </c>
      <c r="AB39" s="438" t="inlineStr">
        <is>
          <t>ES85 2080 3509 1130 4009 6171</t>
        </is>
      </c>
      <c r="AC39" s="1" t="inlineStr">
        <is>
          <t>pendiente</t>
        </is>
      </c>
      <c r="AD39" s="5">
        <f>L39+N39+P39+R39+T39+V39+X39+Z39</f>
        <v/>
      </c>
      <c r="AE39" s="5">
        <f>IF((LEFT(K39,6))="Contab",L39,0)</f>
        <v/>
      </c>
      <c r="AF39" s="6">
        <f>VLOOKUP(G39,CLIENTES!B:E,4,FALSE)</f>
        <v/>
      </c>
      <c r="AG39" s="5">
        <f>AF39*AE39</f>
        <v/>
      </c>
      <c r="AH39" s="5">
        <f>AD39</f>
        <v/>
      </c>
      <c r="AI39" s="261">
        <f>IF(AE39&lt;&gt;0,AG39/AD39,"N/A")</f>
        <v/>
      </c>
      <c r="AJ39" s="5">
        <f>IF(AC39="pendiente",AD39,0)</f>
        <v/>
      </c>
      <c r="AK39" s="1">
        <f>VLOOKUP(G39,CLIENTES!B:D,3,FALSE)</f>
        <v/>
      </c>
    </row>
    <row r="40" ht="15" customHeight="1" s="700">
      <c r="A40" s="1" t="inlineStr">
        <is>
          <t>S25039</t>
        </is>
      </c>
      <c r="B40" s="26" t="n">
        <v>45929</v>
      </c>
      <c r="C40" s="1" t="inlineStr">
        <is>
          <t>c/ Las Cruzadas 3A, local D</t>
        </is>
      </c>
      <c r="D40" s="1" t="inlineStr">
        <is>
          <t>Sevilla 41004</t>
        </is>
      </c>
      <c r="E40" s="1" t="inlineStr">
        <is>
          <t>CIF B91938662</t>
        </is>
      </c>
      <c r="F40" s="1" t="inlineStr">
        <is>
          <t>aBalados@abalados.es</t>
        </is>
      </c>
      <c r="G40" s="1" t="inlineStr">
        <is>
          <t>Renovables Brovales Segura de León 400 kV, S.L.</t>
        </is>
      </c>
      <c r="H40" s="1">
        <f>VLOOKUP($G40,DATOS!$B:$E,2,FALSE)</f>
        <v/>
      </c>
      <c r="I40" s="1">
        <f>VLOOKUP($G40,DATOS!$B:$E,3,FALSE)</f>
        <v/>
      </c>
      <c r="J40" s="1">
        <f>VLOOKUP($G40,DATOS!$B:$E,4,FALSE)</f>
        <v/>
      </c>
      <c r="K40" s="1" t="inlineStr">
        <is>
          <t>REGISTRO MERCANTIL DE SEVILLA 2025,11074</t>
        </is>
      </c>
      <c r="L40" s="5" t="n">
        <v>387.46</v>
      </c>
      <c r="AA40" s="5">
        <f>L40+N40+P40+R40+T40+V40+X40+Z40</f>
        <v/>
      </c>
      <c r="AB40" s="438" t="inlineStr">
        <is>
          <t>ES85 2080 3509 1130 4009 6171</t>
        </is>
      </c>
      <c r="AC40" s="1" t="inlineStr">
        <is>
          <t>pagado</t>
        </is>
      </c>
      <c r="AD40" s="5">
        <f>L40+N40+P40+R40+T40+V40+X40+Z40</f>
        <v/>
      </c>
      <c r="AE40" s="5">
        <f>IF((LEFT(K40,6))="Contab",L40,0)</f>
        <v/>
      </c>
      <c r="AF40" s="6">
        <f>VLOOKUP(G40,CLIENTES!B:E,4,FALSE)</f>
        <v/>
      </c>
      <c r="AG40" s="5">
        <f>AF40*AE40</f>
        <v/>
      </c>
      <c r="AH40" s="5">
        <f>AD40</f>
        <v/>
      </c>
      <c r="AI40" s="261">
        <f>IF(AE40&lt;&gt;0,AG40/AD40,"N/A")</f>
        <v/>
      </c>
      <c r="AJ40" s="5">
        <f>IF(AC40="pendiente",AD40,0)</f>
        <v/>
      </c>
      <c r="AK40" s="1">
        <f>VLOOKUP(G40,CLIENTES!B:D,3,FALSE)</f>
        <v/>
      </c>
    </row>
    <row r="41" ht="15" customHeight="1" s="700">
      <c r="A41" s="1" t="inlineStr">
        <is>
          <t>S25040</t>
        </is>
      </c>
      <c r="B41" s="26" t="n">
        <v>45929</v>
      </c>
      <c r="C41" s="1" t="inlineStr">
        <is>
          <t>c/ Las Cruzadas 3A, local D</t>
        </is>
      </c>
      <c r="D41" s="1" t="inlineStr">
        <is>
          <t>Sevilla 41004</t>
        </is>
      </c>
      <c r="E41" s="1" t="inlineStr">
        <is>
          <t>CIF B91938662</t>
        </is>
      </c>
      <c r="F41" s="1" t="inlineStr">
        <is>
          <t>aBalados@abalados.es</t>
        </is>
      </c>
      <c r="G41" s="1" t="inlineStr">
        <is>
          <t>Pujalt Infras Privativas Ignis Forestalia, S.L.</t>
        </is>
      </c>
      <c r="H41" s="1">
        <f>VLOOKUP($G41,DATOS!$B:$E,2,FALSE)</f>
        <v/>
      </c>
      <c r="I41" s="1">
        <f>VLOOKUP($G41,DATOS!$B:$E,3,FALSE)</f>
        <v/>
      </c>
      <c r="J41" s="1">
        <f>VLOOKUP($G41,DATOS!$B:$E,4,FALSE)</f>
        <v/>
      </c>
      <c r="K41" s="1" t="inlineStr">
        <is>
          <t>SANTIAGO CHAFER RUDILLA 404</t>
        </is>
      </c>
      <c r="L41" s="5" t="n">
        <v>219.42</v>
      </c>
      <c r="AA41" s="5">
        <f>L41+N41+P41+R41+T41+V41+X41+Z41</f>
        <v/>
      </c>
      <c r="AB41" s="438" t="inlineStr">
        <is>
          <t>ES85 2080 3509 1130 4009 6171</t>
        </is>
      </c>
      <c r="AC41" s="1" t="inlineStr">
        <is>
          <t>pendiente</t>
        </is>
      </c>
      <c r="AD41" s="5">
        <f>L41+N41+P41+R41+T41+V41+X41+Z41</f>
        <v/>
      </c>
      <c r="AE41" s="5">
        <f>IF((LEFT(K41,6))="Contab",L41,0)</f>
        <v/>
      </c>
      <c r="AF41" s="6">
        <f>VLOOKUP(G41,CLIENTES!B:E,4,FALSE)</f>
        <v/>
      </c>
      <c r="AG41" s="5">
        <f>AF41*AE41</f>
        <v/>
      </c>
      <c r="AH41" s="5">
        <f>AD41</f>
        <v/>
      </c>
      <c r="AI41" s="261">
        <f>IF(AE41&lt;&gt;0,AG41/AD41,"N/A")</f>
        <v/>
      </c>
      <c r="AJ41" s="5">
        <f>IF(AC41="pendiente",AD41,0)</f>
        <v/>
      </c>
      <c r="AK41" s="1">
        <f>VLOOKUP(G41,CLIENTES!B:D,3,FALSE)</f>
        <v/>
      </c>
    </row>
    <row r="42" ht="15" customHeight="1" s="700">
      <c r="A42" s="1" t="inlineStr">
        <is>
          <t>S25041</t>
        </is>
      </c>
      <c r="B42" s="26" t="n">
        <v>45929</v>
      </c>
      <c r="C42" s="1" t="inlineStr">
        <is>
          <t>c/ Las Cruzadas 3A, local D</t>
        </is>
      </c>
      <c r="D42" s="1" t="inlineStr">
        <is>
          <t>Sevilla 41004</t>
        </is>
      </c>
      <c r="E42" s="1" t="inlineStr">
        <is>
          <t>CIF B91938662</t>
        </is>
      </c>
      <c r="F42" s="1" t="inlineStr">
        <is>
          <t>aBalados@abalados.es</t>
        </is>
      </c>
      <c r="G42" s="1" t="inlineStr">
        <is>
          <t>Promotores Benejama Colectora, S.L.</t>
        </is>
      </c>
      <c r="H42" s="1">
        <f>VLOOKUP($G42,DATOS!$B:$E,2,FALSE)</f>
        <v/>
      </c>
      <c r="I42" s="1">
        <f>VLOOKUP($G42,DATOS!$B:$E,3,FALSE)</f>
        <v/>
      </c>
      <c r="J42" s="1">
        <f>VLOOKUP($G42,DATOS!$B:$E,4,FALSE)</f>
        <v/>
      </c>
      <c r="K42" s="1" t="inlineStr">
        <is>
          <t>REGISTRO MERCANTIL DE SEVILLA 2025.10303</t>
        </is>
      </c>
      <c r="L42" s="5" t="n">
        <v>246.8</v>
      </c>
      <c r="AA42" s="5">
        <f>L42+N42+P42+R42+T42+V42+X42+Z42</f>
        <v/>
      </c>
      <c r="AB42" s="438" t="inlineStr">
        <is>
          <t>ES85 2080 3509 1130 4009 6171</t>
        </is>
      </c>
      <c r="AC42" s="1" t="inlineStr">
        <is>
          <t>pendiente</t>
        </is>
      </c>
      <c r="AD42" s="5">
        <f>L42+N42+P42+R42+T42+V42+X42+Z42</f>
        <v/>
      </c>
      <c r="AE42" s="5">
        <f>IF((LEFT(K42,6))="Contab",L42,0)</f>
        <v/>
      </c>
      <c r="AF42" s="6">
        <f>VLOOKUP(G42,CLIENTES!B:E,4,FALSE)</f>
        <v/>
      </c>
      <c r="AG42" s="5">
        <f>AF42*AE42</f>
        <v/>
      </c>
      <c r="AH42" s="5">
        <f>AD42</f>
        <v/>
      </c>
      <c r="AI42" s="261">
        <f>IF(AE42&lt;&gt;0,AG42/AD42,"N/A")</f>
        <v/>
      </c>
      <c r="AJ42" s="5">
        <f>IF(AC42="pendiente",AD42,0)</f>
        <v/>
      </c>
      <c r="AK42" s="1">
        <f>VLOOKUP(G42,CLIENTES!B:D,3,FALSE)</f>
        <v/>
      </c>
    </row>
    <row r="43" ht="15" customHeight="1" s="700">
      <c r="A43" s="1" t="inlineStr">
        <is>
          <t>S25042</t>
        </is>
      </c>
      <c r="B43" s="26" t="n">
        <v>45929</v>
      </c>
      <c r="C43" s="1" t="inlineStr">
        <is>
          <t>c/ Las Cruzadas 3A, local D</t>
        </is>
      </c>
      <c r="D43" s="1" t="inlineStr">
        <is>
          <t>Sevilla 41004</t>
        </is>
      </c>
      <c r="E43" s="1" t="inlineStr">
        <is>
          <t>CIF B91938662</t>
        </is>
      </c>
      <c r="F43" s="1" t="inlineStr">
        <is>
          <t>aBalados@abalados.es</t>
        </is>
      </c>
      <c r="G43" s="1" t="inlineStr">
        <is>
          <t>Colectora Carmona, S.L.</t>
        </is>
      </c>
      <c r="H43" s="1">
        <f>VLOOKUP($G43,DATOS!$B:$E,2,FALSE)</f>
        <v/>
      </c>
      <c r="I43" s="1">
        <f>VLOOKUP($G43,DATOS!$B:$E,3,FALSE)</f>
        <v/>
      </c>
      <c r="J43" s="1">
        <f>VLOOKUP($G43,DATOS!$B:$E,4,FALSE)</f>
        <v/>
      </c>
      <c r="K43" s="1" t="inlineStr">
        <is>
          <t>FNMT 8250758423</t>
        </is>
      </c>
      <c r="L43" s="5" t="n">
        <v>16.94</v>
      </c>
      <c r="AA43" s="5">
        <f>L43+N43+P43+R43+T43+V43+X43+Z43</f>
        <v/>
      </c>
      <c r="AB43" s="438" t="inlineStr">
        <is>
          <t>ES85 2080 3509 1130 4009 6171</t>
        </is>
      </c>
      <c r="AC43" s="1" t="inlineStr">
        <is>
          <t>pagado</t>
        </is>
      </c>
      <c r="AD43" s="5">
        <f>L43+N43+P43+R43+T43+V43+X43+Z43</f>
        <v/>
      </c>
      <c r="AE43" s="5">
        <f>IF((LEFT(K43,6))="Contab",L43,0)</f>
        <v/>
      </c>
      <c r="AF43" s="6">
        <f>VLOOKUP(G43,CLIENTES!B:E,4,FALSE)</f>
        <v/>
      </c>
      <c r="AG43" s="5">
        <f>AF43*AE43</f>
        <v/>
      </c>
      <c r="AH43" s="5">
        <f>AD43</f>
        <v/>
      </c>
      <c r="AI43" s="261">
        <f>IF(AE43&lt;&gt;0,AG43/AD43,"N/A")</f>
        <v/>
      </c>
      <c r="AJ43" s="5">
        <f>IF(AC43="pendiente",AD43,0)</f>
        <v/>
      </c>
      <c r="AK43" s="1">
        <f>VLOOKUP(G43,CLIENTES!B:D,3,FALSE)</f>
        <v/>
      </c>
    </row>
    <row r="44" ht="15" customHeight="1" s="700">
      <c r="A44" s="1" t="inlineStr">
        <is>
          <t>S25043</t>
        </is>
      </c>
      <c r="B44" s="26" t="n">
        <v>45929</v>
      </c>
      <c r="C44" s="1" t="inlineStr">
        <is>
          <t>c/ Las Cruzadas 3A, local D</t>
        </is>
      </c>
      <c r="D44" s="1" t="inlineStr">
        <is>
          <t>Sevilla 41004</t>
        </is>
      </c>
      <c r="E44" s="1" t="inlineStr">
        <is>
          <t>CIF B91938662</t>
        </is>
      </c>
      <c r="F44" s="1" t="inlineStr">
        <is>
          <t>aBalados@abalados.es</t>
        </is>
      </c>
      <c r="G44" s="1" t="inlineStr">
        <is>
          <t>ICE Sequero, S.L.</t>
        </is>
      </c>
      <c r="H44" s="1">
        <f>VLOOKUP($G44,DATOS!$B:$E,2,FALSE)</f>
        <v/>
      </c>
      <c r="I44" s="1">
        <f>VLOOKUP($G44,DATOS!$B:$E,3,FALSE)</f>
        <v/>
      </c>
      <c r="J44" s="1">
        <f>VLOOKUP($G44,DATOS!$B:$E,4,FALSE)</f>
        <v/>
      </c>
      <c r="K44" s="1" t="inlineStr">
        <is>
          <t>REGISTRO MERCANTIL DE SEVILLA 2025,8899</t>
        </is>
      </c>
      <c r="L44" s="5" t="n">
        <v>209.43</v>
      </c>
      <c r="AA44" s="5">
        <f>L44+N44+P44+R44+T44+V44+X44+Z44</f>
        <v/>
      </c>
      <c r="AB44" s="438" t="inlineStr">
        <is>
          <t>ES85 2080 3509 1130 4009 6171</t>
        </is>
      </c>
      <c r="AC44" s="1" t="inlineStr">
        <is>
          <t>pendiente</t>
        </is>
      </c>
      <c r="AD44" s="5">
        <f>L44+N44+P44+R44+T44+V44+X44+Z44</f>
        <v/>
      </c>
      <c r="AE44" s="5">
        <f>IF((LEFT(K44,6))="Contab",L44,0)</f>
        <v/>
      </c>
      <c r="AF44" s="6">
        <f>VLOOKUP(G44,CLIENTES!B:E,4,FALSE)</f>
        <v/>
      </c>
      <c r="AG44" s="5">
        <f>AF44*AE44</f>
        <v/>
      </c>
      <c r="AH44" s="5">
        <f>AD44</f>
        <v/>
      </c>
      <c r="AI44" s="261">
        <f>IF(AE44&lt;&gt;0,AG44/AD44,"N/A")</f>
        <v/>
      </c>
      <c r="AJ44" s="5">
        <f>IF(AC44="pendiente",AD44,0)</f>
        <v/>
      </c>
      <c r="AK44" s="1">
        <f>VLOOKUP(G44,CLIENTES!B:D,3,FALSE)</f>
        <v/>
      </c>
    </row>
    <row r="45" ht="15" customHeight="1" s="700">
      <c r="A45" s="1" t="inlineStr">
        <is>
          <t>S25044</t>
        </is>
      </c>
      <c r="B45" s="26" t="n">
        <v>45929</v>
      </c>
      <c r="C45" s="1" t="inlineStr">
        <is>
          <t>c/ Las Cruzadas 3A, local D</t>
        </is>
      </c>
      <c r="D45" s="1" t="inlineStr">
        <is>
          <t>Sevilla 41004</t>
        </is>
      </c>
      <c r="E45" s="1" t="inlineStr">
        <is>
          <t>CIF B91938662</t>
        </is>
      </c>
      <c r="F45" s="1" t="inlineStr">
        <is>
          <t>aBalados@abalados.es</t>
        </is>
      </c>
      <c r="G45" s="1" t="inlineStr">
        <is>
          <t>Toro Renovables, S.L.</t>
        </is>
      </c>
      <c r="H45" s="1">
        <f>VLOOKUP($G45,DATOS!$B:$E,2,FALSE)</f>
        <v/>
      </c>
      <c r="I45" s="1">
        <f>VLOOKUP($G45,DATOS!$B:$E,3,FALSE)</f>
        <v/>
      </c>
      <c r="J45" s="1">
        <f>VLOOKUP($G45,DATOS!$B:$E,4,FALSE)</f>
        <v/>
      </c>
      <c r="K45" s="1" t="inlineStr">
        <is>
          <t>FNMT 8250892463</t>
        </is>
      </c>
      <c r="L45" s="5" t="n">
        <v>16.94</v>
      </c>
      <c r="AA45" s="5">
        <f>L45+N45+P45+R45+T45+V45+X45+Z45</f>
        <v/>
      </c>
      <c r="AB45" s="438" t="inlineStr">
        <is>
          <t>ES85 2080 3509 1130 4009 6171</t>
        </is>
      </c>
      <c r="AC45" s="1" t="inlineStr">
        <is>
          <t>pendiente</t>
        </is>
      </c>
      <c r="AD45" s="5">
        <f>L45+N45+P45+R45+T45+V45+X45+Z45</f>
        <v/>
      </c>
      <c r="AE45" s="5">
        <f>IF((LEFT(K45,6))="Contab",L45,0)</f>
        <v/>
      </c>
      <c r="AF45" s="6">
        <f>VLOOKUP(G45,CLIENTES!B:E,4,FALSE)</f>
        <v/>
      </c>
      <c r="AG45" s="5">
        <f>AF45*AE45</f>
        <v/>
      </c>
      <c r="AH45" s="5">
        <f>AD45</f>
        <v/>
      </c>
      <c r="AI45" s="261">
        <f>IF(AE45&lt;&gt;0,AG45/AD45,"N/A")</f>
        <v/>
      </c>
      <c r="AJ45" s="5">
        <f>IF(AC45="pendiente",AD45,0)</f>
        <v/>
      </c>
      <c r="AK45" s="1">
        <f>VLOOKUP(G45,CLIENTES!B:D,3,FALSE)</f>
        <v/>
      </c>
    </row>
    <row r="46" ht="15" customHeight="1" s="700">
      <c r="A46" s="1" t="inlineStr">
        <is>
          <t>S25045</t>
        </is>
      </c>
      <c r="B46" s="26" t="n">
        <v>45929</v>
      </c>
      <c r="C46" s="1" t="inlineStr">
        <is>
          <t>c/ Las Cruzadas 3A, local D</t>
        </is>
      </c>
      <c r="D46" s="1" t="inlineStr">
        <is>
          <t>Sevilla 41004</t>
        </is>
      </c>
      <c r="E46" s="1" t="inlineStr">
        <is>
          <t>CIF B91938662</t>
        </is>
      </c>
      <c r="F46" s="1" t="inlineStr">
        <is>
          <t>aBalados@abalados.es</t>
        </is>
      </c>
      <c r="G46" s="1" t="inlineStr">
        <is>
          <t>Valcabado Renovables 220 kV, S.L.</t>
        </is>
      </c>
      <c r="H46" s="1">
        <f>VLOOKUP($G46,DATOS!$B:$E,2,FALSE)</f>
        <v/>
      </c>
      <c r="I46" s="1">
        <f>VLOOKUP($G46,DATOS!$B:$E,3,FALSE)</f>
        <v/>
      </c>
      <c r="J46" s="1">
        <f>VLOOKUP($G46,DATOS!$B:$E,4,FALSE)</f>
        <v/>
      </c>
      <c r="K46" s="1" t="inlineStr">
        <is>
          <t>FNMT 8250870816</t>
        </is>
      </c>
      <c r="L46" s="5" t="n">
        <v>16.94</v>
      </c>
      <c r="AA46" s="5">
        <f>L46+N46+P46+R46+T46+V46+X46+Z46</f>
        <v/>
      </c>
      <c r="AB46" s="438" t="inlineStr">
        <is>
          <t>ES85 2080 3509 1130 4009 6171</t>
        </is>
      </c>
      <c r="AC46" s="1" t="inlineStr">
        <is>
          <t>pagado</t>
        </is>
      </c>
      <c r="AD46" s="5">
        <f>L46+N46+P46+R46+T46+V46+X46+Z46</f>
        <v/>
      </c>
      <c r="AE46" s="5">
        <f>IF((LEFT(K46,6))="Contab",L46,0)</f>
        <v/>
      </c>
      <c r="AF46" s="6">
        <f>VLOOKUP(G46,CLIENTES!B:E,4,FALSE)</f>
        <v/>
      </c>
      <c r="AG46" s="5">
        <f>AF46*AE46</f>
        <v/>
      </c>
      <c r="AH46" s="5">
        <f>AD46</f>
        <v/>
      </c>
      <c r="AI46" s="261">
        <f>IF(AE46&lt;&gt;0,AG46/AD46,"N/A")</f>
        <v/>
      </c>
      <c r="AJ46" s="5">
        <f>IF(AC46="pendiente",AD46,0)</f>
        <v/>
      </c>
      <c r="AK46" s="1">
        <f>VLOOKUP(G46,CLIENTES!B:D,3,FALSE)</f>
        <v/>
      </c>
    </row>
    <row r="47" ht="15" customHeight="1" s="700">
      <c r="A47" s="1" t="inlineStr">
        <is>
          <t>S25046</t>
        </is>
      </c>
      <c r="B47" s="26" t="n">
        <v>45929</v>
      </c>
      <c r="C47" s="1" t="inlineStr">
        <is>
          <t>c/ Las Cruzadas 3A, local D</t>
        </is>
      </c>
      <c r="D47" s="1" t="inlineStr">
        <is>
          <t>Sevilla 41004</t>
        </is>
      </c>
      <c r="E47" s="1" t="inlineStr">
        <is>
          <t>CIF B91938662</t>
        </is>
      </c>
      <c r="F47" s="1" t="inlineStr">
        <is>
          <t>aBalados@abalados.es</t>
        </is>
      </c>
      <c r="G47" s="1" t="inlineStr">
        <is>
          <t>Grijota Renovables, S.L.</t>
        </is>
      </c>
      <c r="H47" s="1">
        <f>VLOOKUP($G47,DATOS!$B:$E,2,FALSE)</f>
        <v/>
      </c>
      <c r="I47" s="1">
        <f>VLOOKUP($G47,DATOS!$B:$E,3,FALSE)</f>
        <v/>
      </c>
      <c r="J47" s="1">
        <f>VLOOKUP($G47,DATOS!$B:$E,4,FALSE)</f>
        <v/>
      </c>
      <c r="K47" s="1" t="inlineStr">
        <is>
          <t>FNMT 8251010648</t>
        </is>
      </c>
      <c r="L47" s="5" t="n">
        <v>16.94</v>
      </c>
      <c r="AA47" s="5">
        <f>L47+N47+P47+R47+T47+V47+X47+Z47</f>
        <v/>
      </c>
      <c r="AB47" s="438" t="inlineStr">
        <is>
          <t>ES85 2080 3509 1130 4009 6171</t>
        </is>
      </c>
      <c r="AC47" s="1" t="inlineStr">
        <is>
          <t>pendiente</t>
        </is>
      </c>
      <c r="AD47" s="5">
        <f>L47+N47+P47+R47+T47+V47+X47+Z47</f>
        <v/>
      </c>
      <c r="AE47" s="5">
        <f>IF((LEFT(K47,6))="Contab",L47,0)</f>
        <v/>
      </c>
      <c r="AF47" s="6">
        <f>VLOOKUP(G47,CLIENTES!B:E,4,FALSE)</f>
        <v/>
      </c>
      <c r="AG47" s="5">
        <f>AF47*AE47</f>
        <v/>
      </c>
      <c r="AH47" s="5">
        <f>AD47</f>
        <v/>
      </c>
      <c r="AI47" s="261">
        <f>IF(AE47&lt;&gt;0,AG47/AD47,"N/A")</f>
        <v/>
      </c>
      <c r="AJ47" s="5">
        <f>IF(AC47="pendiente",AD47,0)</f>
        <v/>
      </c>
      <c r="AK47" s="1">
        <f>VLOOKUP(G47,CLIENTES!B:D,3,FALSE)</f>
        <v/>
      </c>
    </row>
    <row r="48" ht="15" customHeight="1" s="700">
      <c r="A48" s="1" t="inlineStr">
        <is>
          <t>S25047</t>
        </is>
      </c>
      <c r="B48" s="26" t="n">
        <v>45929</v>
      </c>
      <c r="C48" s="1" t="inlineStr">
        <is>
          <t>c/ Las Cruzadas 3A, local D</t>
        </is>
      </c>
      <c r="D48" s="1" t="inlineStr">
        <is>
          <t>Sevilla 41004</t>
        </is>
      </c>
      <c r="E48" s="1" t="inlineStr">
        <is>
          <t>CIF B91938662</t>
        </is>
      </c>
      <c r="F48" s="1" t="inlineStr">
        <is>
          <t>aBalados@abalados.es</t>
        </is>
      </c>
      <c r="G48" s="1" t="inlineStr">
        <is>
          <t>SET Carmona 400 kV Renovables, S.L.</t>
        </is>
      </c>
      <c r="H48" s="1">
        <f>VLOOKUP($G48,DATOS!$B:$E,2,FALSE)</f>
        <v/>
      </c>
      <c r="I48" s="1">
        <f>VLOOKUP($G48,DATOS!$B:$E,3,FALSE)</f>
        <v/>
      </c>
      <c r="J48" s="1">
        <f>VLOOKUP($G48,DATOS!$B:$E,4,FALSE)</f>
        <v/>
      </c>
      <c r="K48" s="1" t="inlineStr">
        <is>
          <t>PAGO IBI AYTO CARMONA 007321259128</t>
        </is>
      </c>
      <c r="L48" s="5" t="n">
        <v>260.2</v>
      </c>
      <c r="AA48" s="5">
        <f>L48+N48+P48+R48+T48+V48+X48+Z48</f>
        <v/>
      </c>
      <c r="AB48" s="438" t="inlineStr">
        <is>
          <t>ES85 2080 3509 1130 4009 6171</t>
        </is>
      </c>
      <c r="AC48" s="1" t="inlineStr">
        <is>
          <t>pendiente</t>
        </is>
      </c>
      <c r="AD48" s="5">
        <f>L48+N48+P48+R48+T48+V48+X48+Z48</f>
        <v/>
      </c>
      <c r="AE48" s="5">
        <f>IF((LEFT(K48,6))="Contab",L48,0)</f>
        <v/>
      </c>
      <c r="AF48" s="6">
        <f>VLOOKUP(G48,CLIENTES!B:E,4,FALSE)</f>
        <v/>
      </c>
      <c r="AG48" s="5">
        <f>AF48*AE48</f>
        <v/>
      </c>
      <c r="AH48" s="5">
        <f>AD48</f>
        <v/>
      </c>
      <c r="AI48" s="261">
        <f>IF(AE48&lt;&gt;0,AG48/AD48,"N/A")</f>
        <v/>
      </c>
      <c r="AJ48" s="5">
        <f>IF(AC48="pendiente",AD48,0)</f>
        <v/>
      </c>
      <c r="AK48" s="1">
        <f>VLOOKUP(G48,CLIENTES!B:D,3,FALSE)</f>
        <v/>
      </c>
    </row>
    <row r="49" ht="15" customHeight="1" s="700">
      <c r="A49" s="1" t="inlineStr">
        <is>
          <t>S25048</t>
        </is>
      </c>
      <c r="B49" s="26" t="n">
        <v>45929</v>
      </c>
      <c r="C49" s="1" t="inlineStr">
        <is>
          <t>c/ Las Cruzadas 3A, local D</t>
        </is>
      </c>
      <c r="D49" s="1" t="inlineStr">
        <is>
          <t>Sevilla 41004</t>
        </is>
      </c>
      <c r="E49" s="1" t="inlineStr">
        <is>
          <t>CIF B91938662</t>
        </is>
      </c>
      <c r="F49" s="1" t="inlineStr">
        <is>
          <t>aBalados@abalados.es</t>
        </is>
      </c>
      <c r="G49" s="1" t="inlineStr">
        <is>
          <t>Tordesillas Renovables, S.L.</t>
        </is>
      </c>
      <c r="H49" s="1">
        <f>VLOOKUP($G49,DATOS!$B:$E,2,FALSE)</f>
        <v/>
      </c>
      <c r="I49" s="1">
        <f>VLOOKUP($G49,DATOS!$B:$E,3,FALSE)</f>
        <v/>
      </c>
      <c r="J49" s="1">
        <f>VLOOKUP($G49,DATOS!$B:$E,4,FALSE)</f>
        <v/>
      </c>
      <c r="K49" s="1" t="inlineStr">
        <is>
          <t>PAGO IBI AYTO TORDESILLAS 500017708224</t>
        </is>
      </c>
      <c r="L49" s="5" t="n">
        <v>146.06</v>
      </c>
      <c r="AA49" s="5">
        <f>L49+N49+P49+R49+T49+V49+X49+Z49</f>
        <v/>
      </c>
      <c r="AB49" s="438" t="inlineStr">
        <is>
          <t>ES85 2080 3509 1130 4009 6171</t>
        </is>
      </c>
      <c r="AC49" s="1" t="inlineStr">
        <is>
          <t>pagado</t>
        </is>
      </c>
      <c r="AD49" s="5">
        <f>L49+N49+P49+R49+T49+V49+X49+Z49</f>
        <v/>
      </c>
      <c r="AE49" s="5">
        <f>IF((LEFT(K49,6))="Contab",L49,0)</f>
        <v/>
      </c>
      <c r="AF49" s="6">
        <f>VLOOKUP(G49,CLIENTES!B:E,4,FALSE)</f>
        <v/>
      </c>
      <c r="AG49" s="5">
        <f>AF49*AE49</f>
        <v/>
      </c>
      <c r="AH49" s="5">
        <f>AD49</f>
        <v/>
      </c>
      <c r="AI49" s="261">
        <f>IF(AE49&lt;&gt;0,AG49/AD49,"N/A")</f>
        <v/>
      </c>
      <c r="AJ49" s="5">
        <f>IF(AC49="pendiente",AD49,0)</f>
        <v/>
      </c>
      <c r="AK49" s="1">
        <f>VLOOKUP(G49,CLIENTES!B:D,3,FALSE)</f>
        <v/>
      </c>
    </row>
    <row r="50" ht="15" customFormat="1" customHeight="1" s="146">
      <c r="A50" s="146" t="inlineStr">
        <is>
          <t>S25049</t>
        </is>
      </c>
      <c r="B50" s="149" t="n">
        <v>45929</v>
      </c>
      <c r="C50" s="146" t="inlineStr">
        <is>
          <t>c/ Las Cruzadas 3A, local D</t>
        </is>
      </c>
      <c r="D50" s="146" t="inlineStr">
        <is>
          <t>Sevilla 41004</t>
        </is>
      </c>
      <c r="E50" s="146" t="inlineStr">
        <is>
          <t>CIF B91938662</t>
        </is>
      </c>
      <c r="F50" s="146" t="inlineStr">
        <is>
          <t>aBalados@abalados.es</t>
        </is>
      </c>
      <c r="G50" s="146" t="inlineStr">
        <is>
          <t>ICE TORRECILLA RENOVABLES, S.L.</t>
        </is>
      </c>
      <c r="H50" s="146">
        <f>VLOOKUP($G50,DATOS!$B:$E,2,FALSE)</f>
        <v/>
      </c>
      <c r="I50" s="146">
        <f>VLOOKUP($G50,DATOS!$B:$E,3,FALSE)</f>
        <v/>
      </c>
      <c r="J50" s="146">
        <f>VLOOKUP($G50,DATOS!$B:$E,4,FALSE)</f>
        <v/>
      </c>
      <c r="K50" s="146" t="inlineStr">
        <is>
          <t>FNMT 8251086650</t>
        </is>
      </c>
      <c r="L50" s="147" t="n">
        <v>16.94</v>
      </c>
      <c r="N50" s="147" t="n"/>
      <c r="P50" s="147" t="n"/>
      <c r="R50" s="147" t="n"/>
      <c r="T50" s="147" t="n"/>
      <c r="V50" s="147" t="n"/>
      <c r="X50" s="147" t="n"/>
      <c r="Z50" s="147" t="n"/>
      <c r="AA50" s="147">
        <f>L50+N50+P50+R50+T50+V50+X50+Z50</f>
        <v/>
      </c>
      <c r="AB50" s="481" t="inlineStr">
        <is>
          <t>ES85 2080 3509 1130 4009 6171</t>
        </is>
      </c>
      <c r="AC50" s="146" t="inlineStr">
        <is>
          <t>pendiente</t>
        </is>
      </c>
      <c r="AD50" s="147">
        <f>L50+N50+P50+R50+T50+V50+X50+Z50</f>
        <v/>
      </c>
      <c r="AE50" s="147">
        <f>IF((LEFT(K50,6))="Contab",L50,0)</f>
        <v/>
      </c>
      <c r="AF50" s="148">
        <f>VLOOKUP(G50,CLIENTES!B:E,4,FALSE)</f>
        <v/>
      </c>
      <c r="AG50" s="147">
        <f>AF50*AE50</f>
        <v/>
      </c>
      <c r="AH50" s="147">
        <f>AD50</f>
        <v/>
      </c>
      <c r="AI50" s="257">
        <f>IF(AE50&lt;&gt;0,AG50/AD50,"N/A")</f>
        <v/>
      </c>
      <c r="AJ50" s="147">
        <f>IF(AC50="pendiente",AD50,0)</f>
        <v/>
      </c>
      <c r="AK50" s="146">
        <f>VLOOKUP(G50,CLIENTES!B:D,3,FALSE)</f>
        <v/>
      </c>
    </row>
    <row r="51" ht="15" customHeight="1" s="700">
      <c r="B51" s="26" t="n"/>
      <c r="J51" s="1" t="n"/>
      <c r="AC51" s="1" t="n"/>
      <c r="AD51" s="5" t="n"/>
      <c r="AE51" s="5" t="n"/>
      <c r="AG51" s="5" t="n"/>
      <c r="AH51" s="5" t="n"/>
      <c r="AI51" s="261" t="n"/>
      <c r="AJ51" s="5" t="n"/>
    </row>
    <row r="52" ht="15" customHeight="1" s="700">
      <c r="B52" s="26" t="n"/>
      <c r="J52" s="1" t="n"/>
      <c r="AC52" s="1" t="n"/>
      <c r="AD52" s="5" t="n"/>
      <c r="AE52" s="5" t="n"/>
      <c r="AG52" s="5" t="n"/>
      <c r="AH52" s="5" t="n"/>
      <c r="AI52" s="261" t="n"/>
      <c r="AJ52" s="5" t="n"/>
    </row>
    <row r="53" ht="15" customHeight="1" s="700">
      <c r="B53" s="26" t="n"/>
      <c r="J53" s="1" t="n"/>
      <c r="AC53" s="1" t="n"/>
      <c r="AD53" s="5" t="n"/>
      <c r="AE53" s="5" t="n"/>
      <c r="AG53" s="5" t="n"/>
      <c r="AH53" s="5" t="n"/>
      <c r="AI53" s="261" t="n"/>
      <c r="AJ53" s="5" t="n"/>
    </row>
    <row r="54" ht="15" customHeight="1" s="700">
      <c r="B54" s="26" t="n"/>
      <c r="J54" s="1" t="n"/>
      <c r="AC54" s="1" t="n"/>
      <c r="AD54" s="5" t="n"/>
      <c r="AE54" s="5" t="n"/>
      <c r="AG54" s="5" t="n"/>
      <c r="AH54" s="5" t="n"/>
      <c r="AI54" s="261" t="n"/>
      <c r="AJ54" s="5" t="n"/>
    </row>
    <row r="55" ht="15" customHeight="1" s="700">
      <c r="B55" s="26" t="n"/>
      <c r="J55" s="1" t="n"/>
      <c r="AC55" s="1" t="n"/>
      <c r="AD55" s="5" t="n"/>
      <c r="AE55" s="5" t="n"/>
      <c r="AG55" s="5" t="n"/>
      <c r="AH55" s="5" t="n"/>
      <c r="AI55" s="261" t="n"/>
      <c r="AJ55" s="5" t="n"/>
    </row>
    <row r="56" ht="15" customHeight="1" s="700">
      <c r="B56" s="26" t="n"/>
      <c r="J56" s="1" t="n"/>
      <c r="AC56" s="1" t="n"/>
      <c r="AD56" s="5" t="n"/>
      <c r="AE56" s="5" t="n"/>
      <c r="AG56" s="5" t="n"/>
      <c r="AH56" s="5" t="n"/>
      <c r="AI56" s="261" t="n"/>
      <c r="AJ56" s="5" t="n"/>
    </row>
    <row r="57" ht="15" customHeight="1" s="700">
      <c r="B57" s="26" t="n"/>
      <c r="J57" s="1" t="n"/>
      <c r="AC57" s="1" t="n"/>
      <c r="AD57" s="5" t="n"/>
      <c r="AE57" s="5" t="n"/>
      <c r="AG57" s="5" t="n"/>
      <c r="AH57" s="5" t="n"/>
      <c r="AI57" s="261" t="n"/>
      <c r="AJ57" s="5" t="n"/>
    </row>
    <row r="58" ht="15" customHeight="1" s="700">
      <c r="B58" s="26" t="n"/>
      <c r="J58" s="1" t="n"/>
      <c r="AC58" s="1" t="n"/>
      <c r="AD58" s="5" t="n"/>
      <c r="AE58" s="5" t="n"/>
      <c r="AG58" s="5" t="n"/>
      <c r="AH58" s="5" t="n"/>
      <c r="AI58" s="261" t="n"/>
      <c r="AJ58" s="5" t="n"/>
    </row>
    <row r="59" ht="15" customHeight="1" s="700">
      <c r="B59" s="26" t="n"/>
      <c r="J59" s="1" t="n"/>
      <c r="AC59" s="1" t="n"/>
      <c r="AD59" s="5" t="n"/>
      <c r="AE59" s="5" t="n"/>
      <c r="AG59" s="5" t="n"/>
      <c r="AH59" s="5" t="n"/>
      <c r="AI59" s="261" t="n"/>
      <c r="AJ59" s="5" t="n"/>
    </row>
    <row r="60" ht="15" customHeight="1" s="700">
      <c r="B60" s="26" t="n"/>
      <c r="J60" s="1" t="n"/>
      <c r="AC60" s="1" t="n"/>
      <c r="AD60" s="5" t="n"/>
      <c r="AE60" s="5" t="n"/>
      <c r="AG60" s="5" t="n"/>
      <c r="AH60" s="5" t="n"/>
      <c r="AI60" s="261" t="n"/>
      <c r="AJ60" s="5" t="n"/>
    </row>
    <row r="61" ht="15" customHeight="1" s="700">
      <c r="B61" s="26" t="n"/>
      <c r="J61" s="1" t="n"/>
      <c r="AC61" s="1" t="n"/>
      <c r="AD61" s="5" t="n"/>
      <c r="AE61" s="5" t="n"/>
      <c r="AG61" s="5" t="n"/>
      <c r="AH61" s="5" t="n"/>
      <c r="AI61" s="261" t="n"/>
      <c r="AJ61" s="5" t="n"/>
    </row>
    <row r="62" ht="15" customHeight="1" s="700">
      <c r="B62" s="26" t="n"/>
      <c r="J62" s="1" t="n"/>
      <c r="AC62" s="1" t="n"/>
      <c r="AD62" s="5" t="n"/>
      <c r="AE62" s="5" t="n"/>
      <c r="AG62" s="5" t="n"/>
      <c r="AH62" s="5" t="n"/>
      <c r="AI62" s="261" t="n"/>
      <c r="AJ62" s="5" t="n"/>
    </row>
    <row r="63" ht="15" customHeight="1" s="700">
      <c r="B63" s="26" t="n"/>
      <c r="J63" s="1" t="n"/>
      <c r="AC63" s="1" t="n"/>
      <c r="AD63" s="5" t="n"/>
      <c r="AE63" s="5" t="n"/>
      <c r="AG63" s="5" t="n"/>
      <c r="AH63" s="5" t="n"/>
      <c r="AI63" s="261" t="n"/>
      <c r="AJ63" s="5" t="n"/>
    </row>
    <row r="64" ht="15" customHeight="1" s="700">
      <c r="B64" s="26" t="n"/>
      <c r="J64" s="1" t="n"/>
      <c r="AC64" s="1" t="n"/>
      <c r="AD64" s="5" t="n"/>
      <c r="AE64" s="5" t="n"/>
      <c r="AG64" s="5" t="n"/>
      <c r="AH64" s="5" t="n"/>
      <c r="AI64" s="261" t="n"/>
      <c r="AJ64" s="5" t="n"/>
    </row>
    <row r="65" ht="15" customFormat="1" customHeight="1" s="189">
      <c r="B65" s="188" t="n"/>
      <c r="C65" s="189" t="inlineStr">
        <is>
          <t>c/ Las Cruzadas 3A, local D</t>
        </is>
      </c>
      <c r="D65" s="189" t="inlineStr">
        <is>
          <t>Sevilla 41004</t>
        </is>
      </c>
      <c r="E65" s="189" t="inlineStr">
        <is>
          <t>CIF B91938662</t>
        </is>
      </c>
      <c r="F65" s="189" t="inlineStr">
        <is>
          <t>aBalados@abalados.es</t>
        </is>
      </c>
      <c r="G65" s="189" t="inlineStr">
        <is>
          <t>Gubier Investments, S.L.</t>
        </is>
      </c>
      <c r="H65" s="189">
        <f>VLOOKUP($G65,DATOS!$B:$E,2,FALSE)</f>
        <v/>
      </c>
      <c r="I65" s="189">
        <f>VLOOKUP($G65,DATOS!$B:$E,3,FALSE)</f>
        <v/>
      </c>
      <c r="J65" s="189">
        <f>VLOOKUP($G65,DATOS!$B:$E,4,FALSE)</f>
        <v/>
      </c>
      <c r="K65" s="189" t="inlineStr">
        <is>
          <t>Factura de suplidos</t>
        </is>
      </c>
      <c r="L65" s="190" t="n"/>
      <c r="N65" s="190" t="n"/>
      <c r="O65" s="189" t="inlineStr">
        <is>
          <t>Adquisición de equipos informáticos - Serv.Informáticos Pavón S.L. FRA ES/2024/10823</t>
        </is>
      </c>
      <c r="P65" s="190" t="n">
        <v>1237.35</v>
      </c>
      <c r="Q65" s="189" t="inlineStr">
        <is>
          <t>Adquisición de equipos informáticos - ProComp Team SL FRA ES-1-41431</t>
        </is>
      </c>
      <c r="R65" s="190" t="n">
        <v>163.03</v>
      </c>
      <c r="T65" s="190" t="n"/>
      <c r="V65" s="190" t="n"/>
      <c r="X65" s="190" t="n"/>
      <c r="Z65" s="190" t="n"/>
      <c r="AA65" s="200">
        <f>L65+N65+P65+R65+T65+V65+X65+Z65</f>
        <v/>
      </c>
      <c r="AB65" s="403" t="inlineStr">
        <is>
          <t>ES85 2080 3509 1130 4009 6171</t>
        </is>
      </c>
      <c r="AC65" s="189" t="inlineStr">
        <is>
          <t>pagado</t>
        </is>
      </c>
      <c r="AD65" s="190">
        <f>L65+N65+P65+R65+T65+V65+X65+Z65</f>
        <v/>
      </c>
      <c r="AE65" s="190">
        <f>IF((LEFT(K65,6))="Contab",L65,0)</f>
        <v/>
      </c>
      <c r="AF65" s="191">
        <f>VLOOKUP(G65,CLIENTES!B:E,4,FALSE)</f>
        <v/>
      </c>
      <c r="AG65" s="190">
        <f>AF65*AE65</f>
        <v/>
      </c>
      <c r="AH65" s="190">
        <f>AD65*1.21</f>
        <v/>
      </c>
      <c r="AI65" s="289">
        <f>IF(AE65&lt;&gt;0,AG65/AD65,"N/A")</f>
        <v/>
      </c>
      <c r="AJ65" s="190">
        <f>IF(AC65="pendiente",AD65,0)</f>
        <v/>
      </c>
      <c r="AK65" s="189">
        <f>VLOOKUP(G65,CLIENTES!B:D,3,FALSE)</f>
        <v/>
      </c>
    </row>
    <row r="66" ht="15" customFormat="1" customHeight="1" s="189">
      <c r="B66" s="188" t="n"/>
      <c r="C66" s="189" t="inlineStr">
        <is>
          <t>c/ Las Cruzadas 3A, local D</t>
        </is>
      </c>
      <c r="D66" s="189" t="inlineStr">
        <is>
          <t>Sevilla 41004</t>
        </is>
      </c>
      <c r="E66" s="189" t="inlineStr">
        <is>
          <t>CIF B91938662</t>
        </is>
      </c>
      <c r="F66" s="189" t="inlineStr">
        <is>
          <t>aBalados@abalados.es</t>
        </is>
      </c>
      <c r="G66" s="189" t="inlineStr">
        <is>
          <t>Nudo SE Zaratan 220 kV, S.L.</t>
        </is>
      </c>
      <c r="H66" s="189">
        <f>VLOOKUP($G66,DATOS!$B:$E,2,FALSE)</f>
        <v/>
      </c>
      <c r="I66" s="189">
        <f>VLOOKUP($G66,DATOS!$B:$E,3,FALSE)</f>
        <v/>
      </c>
      <c r="J66" s="189">
        <f>VLOOKUP($G66,DATOS!$B:$E,4,FALSE)</f>
        <v/>
      </c>
      <c r="K66" s="189" t="inlineStr">
        <is>
          <t>Factura de suplidos</t>
        </is>
      </c>
      <c r="L66" s="190" t="n"/>
      <c r="N66" s="190" t="n"/>
      <c r="O66" s="189" t="inlineStr">
        <is>
          <t>Liquidación AJD por elevación a público del contrato de cesión de arrendamiento</t>
        </is>
      </c>
      <c r="P66" s="190" t="n">
        <v>763.9400000000001</v>
      </c>
      <c r="Q66" s="189" t="inlineStr">
        <is>
          <t>Liquidación AJD por elevación a público del contrato de arrendamiento</t>
        </is>
      </c>
      <c r="R66" s="190" t="n">
        <v>5250</v>
      </c>
      <c r="T66" s="190" t="n"/>
      <c r="V66" s="190" t="n"/>
      <c r="X66" s="190" t="n"/>
      <c r="Z66" s="190" t="n"/>
      <c r="AA66" s="200">
        <f>L66+N66+P66+R66+T66+V66+X66+Z66</f>
        <v/>
      </c>
      <c r="AB66" s="403" t="inlineStr">
        <is>
          <t>ES85 2080 3509 1130 4009 6171</t>
        </is>
      </c>
      <c r="AC66" s="189" t="inlineStr">
        <is>
          <t>pagado</t>
        </is>
      </c>
      <c r="AD66" s="190">
        <f>L66+N66+P66+R66+T66+V66+X66+Z66</f>
        <v/>
      </c>
      <c r="AE66" s="190">
        <f>IF((LEFT(K66,6))="Contab",L66,0)</f>
        <v/>
      </c>
      <c r="AF66" s="191">
        <f>VLOOKUP(G66,CLIENTES!B:E,4,FALSE)</f>
        <v/>
      </c>
      <c r="AG66" s="190">
        <f>AF66*AE66</f>
        <v/>
      </c>
      <c r="AH66" s="190">
        <f>AD66*1.21</f>
        <v/>
      </c>
      <c r="AI66" s="289">
        <f>IF(AE66&lt;&gt;0,AG66/AD66,"N/A")</f>
        <v/>
      </c>
      <c r="AJ66" s="190">
        <f>IF(AC66="pendiente",AD66,0)</f>
        <v/>
      </c>
      <c r="AK66" s="189">
        <f>VLOOKUP(G66,CLIENTES!B:D,3,FALSE)</f>
        <v/>
      </c>
    </row>
    <row r="67" ht="15" customFormat="1" customHeight="1" s="195">
      <c r="B67" s="194" t="n"/>
      <c r="C67" s="195" t="inlineStr">
        <is>
          <t>c/ Las Cruzadas 3A, local D</t>
        </is>
      </c>
      <c r="D67" s="195" t="inlineStr">
        <is>
          <t>Sevilla 41004</t>
        </is>
      </c>
      <c r="E67" s="195" t="inlineStr">
        <is>
          <t>CIF B91938662</t>
        </is>
      </c>
      <c r="F67" s="195" t="inlineStr">
        <is>
          <t>aBalados@abalados.es</t>
        </is>
      </c>
      <c r="G67" s="195" t="inlineStr">
        <is>
          <t>aBalados Recycling, S.L.</t>
        </is>
      </c>
      <c r="H67" s="195">
        <f>VLOOKUP($G67,DATOS!$B:$E,2,FALSE)</f>
        <v/>
      </c>
      <c r="I67" s="195">
        <f>VLOOKUP($G67,DATOS!$B:$E,3,FALSE)</f>
        <v/>
      </c>
      <c r="J67" s="195">
        <f>VLOOKUP($G67,DATOS!$B:$E,4,FALSE)</f>
        <v/>
      </c>
      <c r="K67" s="195" t="inlineStr">
        <is>
          <t>Factura de suplidos</t>
        </is>
      </c>
      <c r="L67" s="196" t="n"/>
      <c r="N67" s="196" t="n"/>
      <c r="O67" s="195" t="inlineStr">
        <is>
          <t>Liquidación Modelo 046</t>
        </is>
      </c>
      <c r="P67" s="196" t="n">
        <v>1331.25</v>
      </c>
      <c r="Q67" s="195" t="inlineStr">
        <is>
          <t>Liquidación Modelo 046</t>
        </is>
      </c>
      <c r="R67" s="196" t="n">
        <v>52.4</v>
      </c>
      <c r="T67" s="196" t="n"/>
      <c r="V67" s="196" t="n"/>
      <c r="X67" s="196" t="n"/>
      <c r="Z67" s="196" t="n"/>
      <c r="AA67" s="280">
        <f>L67+N67+P67+R67+T67+V67+X67+Z67</f>
        <v/>
      </c>
      <c r="AB67" s="402" t="inlineStr">
        <is>
          <t>ES85 2080 3509 1130 4009 6171</t>
        </is>
      </c>
      <c r="AC67" s="195" t="inlineStr">
        <is>
          <t>pendiente</t>
        </is>
      </c>
      <c r="AD67" s="196">
        <f>L67+N67+P67+R67+T67+V67+X67+Z67</f>
        <v/>
      </c>
      <c r="AE67" s="196">
        <f>IF((LEFT(K67,6))="Contab",L67,0)</f>
        <v/>
      </c>
      <c r="AF67" s="197">
        <f>VLOOKUP(G67,CLIENTES!B:E,4,FALSE)</f>
        <v/>
      </c>
      <c r="AG67" s="196">
        <f>AF67*AE67</f>
        <v/>
      </c>
      <c r="AH67" s="196">
        <f>AD67*1.21</f>
        <v/>
      </c>
      <c r="AI67" s="285">
        <f>IF(AE67&lt;&gt;0,AG67/AD67,"N/A")</f>
        <v/>
      </c>
      <c r="AJ67" s="196">
        <f>IF(AC67="pendiente",AD67,0)</f>
        <v/>
      </c>
      <c r="AK67" s="195">
        <f>VLOOKUP(G67,CLIENTES!B:D,3,FALSE)</f>
        <v/>
      </c>
    </row>
    <row r="68" ht="15" customFormat="1" customHeight="1" s="192">
      <c r="B68" s="199" t="n"/>
      <c r="C68" s="192" t="inlineStr">
        <is>
          <t>c/ Las Cruzadas 3A, local D</t>
        </is>
      </c>
      <c r="D68" s="192" t="inlineStr">
        <is>
          <t>Sevilla 41004</t>
        </is>
      </c>
      <c r="E68" s="192" t="inlineStr">
        <is>
          <t>CIF B91938662</t>
        </is>
      </c>
      <c r="F68" s="192" t="inlineStr">
        <is>
          <t>aBalados@abalados.es</t>
        </is>
      </c>
      <c r="G68" s="192" t="inlineStr">
        <is>
          <t>Becerril Renovables, S.L.</t>
        </is>
      </c>
      <c r="H68" s="192">
        <f>VLOOKUP($G68,DATOS!$B:$E,2,FALSE)</f>
        <v/>
      </c>
      <c r="I68" s="192">
        <f>VLOOKUP($G68,DATOS!$B:$E,3,FALSE)</f>
        <v/>
      </c>
      <c r="J68" s="192">
        <f>VLOOKUP($G68,DATOS!$B:$E,4,FALSE)</f>
        <v/>
      </c>
      <c r="K68" s="192" t="inlineStr">
        <is>
          <t>Factura de suplidos</t>
        </is>
      </c>
      <c r="L68" s="200" t="n"/>
      <c r="N68" s="200" t="n"/>
      <c r="O68" s="192" t="inlineStr">
        <is>
          <t>Liquidación del ITP por elevación a público de escritura de compraventa</t>
        </is>
      </c>
      <c r="P68" s="200" t="n">
        <v>3054.99</v>
      </c>
      <c r="R68" s="200" t="n"/>
      <c r="T68" s="200" t="n"/>
      <c r="V68" s="200" t="n"/>
      <c r="X68" s="200" t="n"/>
      <c r="Z68" s="200" t="n"/>
      <c r="AA68" s="200">
        <f>L68+N68+P68+R68+T68+V68+X68+Z68</f>
        <v/>
      </c>
      <c r="AB68" s="403" t="inlineStr">
        <is>
          <t>ES85 2080 3509 1130 4009 6171</t>
        </is>
      </c>
      <c r="AC68" s="192" t="inlineStr">
        <is>
          <t>pagado</t>
        </is>
      </c>
      <c r="AD68" s="200">
        <f>L68+N68+P68+R68+T68+V68+X68+Z68</f>
        <v/>
      </c>
      <c r="AE68" s="200">
        <f>IF((LEFT(K68,6))="Contab",L68,0)</f>
        <v/>
      </c>
      <c r="AF68" s="201">
        <f>VLOOKUP(G68,CLIENTES!B:E,4,FALSE)</f>
        <v/>
      </c>
      <c r="AG68" s="200">
        <f>AF68*AE68</f>
        <v/>
      </c>
      <c r="AH68" s="200">
        <f>AD68*1.21</f>
        <v/>
      </c>
      <c r="AI68" s="283">
        <f>IF(AE68&lt;&gt;0,AG68/AD68,"N/A")</f>
        <v/>
      </c>
      <c r="AJ68" s="200">
        <f>IF(AC68="pendiente",AD68,0)</f>
        <v/>
      </c>
      <c r="AK68" s="192">
        <f>VLOOKUP(G68,CLIENTES!B:D,3,FALSE)</f>
        <v/>
      </c>
    </row>
    <row r="69" ht="15" customFormat="1" customHeight="1" s="278">
      <c r="B69" s="279" t="n"/>
      <c r="C69" s="278" t="inlineStr">
        <is>
          <t>c/ Las Cruzadas 3A, local D</t>
        </is>
      </c>
      <c r="D69" s="278" t="inlineStr">
        <is>
          <t>Sevilla 41004</t>
        </is>
      </c>
      <c r="E69" s="278" t="inlineStr">
        <is>
          <t>CIF B91938662</t>
        </is>
      </c>
      <c r="F69" s="278" t="inlineStr">
        <is>
          <t>aBalados@abalados.es</t>
        </is>
      </c>
      <c r="G69" s="278" t="inlineStr">
        <is>
          <t>Promotores Benejama Colectora, S.L.</t>
        </is>
      </c>
      <c r="H69" s="278">
        <f>VLOOKUP($G69,DATOS!$B:$E,2,FALSE)</f>
        <v/>
      </c>
      <c r="I69" s="278">
        <f>VLOOKUP($G69,DATOS!$B:$E,3,FALSE)</f>
        <v/>
      </c>
      <c r="J69" s="278">
        <f>VLOOKUP($G69,DATOS!$B:$E,4,FALSE)</f>
        <v/>
      </c>
      <c r="K69" s="278" t="inlineStr">
        <is>
          <t>Factura de suplidos</t>
        </is>
      </c>
      <c r="L69" s="280" t="n"/>
      <c r="M69" s="278" t="inlineStr">
        <is>
          <t>Pago factura Registro Mercantil D/2023/13710</t>
        </is>
      </c>
      <c r="N69" s="280" t="n">
        <v>195.89</v>
      </c>
      <c r="O69" s="278" t="inlineStr">
        <is>
          <t>Pago factura Registro Mercantil D/2023/13732</t>
        </is>
      </c>
      <c r="P69" s="280" t="n">
        <v>186.72</v>
      </c>
      <c r="R69" s="280" t="n"/>
      <c r="T69" s="280" t="n"/>
      <c r="V69" s="280" t="n"/>
      <c r="X69" s="280" t="n"/>
      <c r="Z69" s="280" t="n"/>
      <c r="AA69" s="280">
        <f>L69+N69+P69+R69+T69+V69+X69+Z69</f>
        <v/>
      </c>
      <c r="AB69" s="402" t="inlineStr">
        <is>
          <t>ES85 2080 3509 1130 4009 6171</t>
        </is>
      </c>
      <c r="AC69" s="278" t="inlineStr">
        <is>
          <t>pagado</t>
        </is>
      </c>
      <c r="AD69" s="280">
        <f>L69+N69+P69+R69+T69+V69+X69+Z69</f>
        <v/>
      </c>
      <c r="AE69" s="280">
        <f>IF((LEFT(K69,6))="Contab",L69,0)</f>
        <v/>
      </c>
      <c r="AF69" s="281">
        <f>VLOOKUP(G69,CLIENTES!B:E,4,FALSE)</f>
        <v/>
      </c>
      <c r="AG69" s="280">
        <f>AF69*AE69</f>
        <v/>
      </c>
      <c r="AH69" s="280">
        <f>AD69*1.21</f>
        <v/>
      </c>
      <c r="AI69" s="284">
        <f>IF(AE69&lt;&gt;0,AG69/AD69,"N/A")</f>
        <v/>
      </c>
      <c r="AJ69" s="280">
        <f>IF(AC69="pendiente",AD69,0)</f>
        <v/>
      </c>
      <c r="AK69" s="278">
        <f>VLOOKUP(G69,CLIENTES!B:D,3,FALSE)</f>
        <v/>
      </c>
    </row>
    <row r="70" ht="15" customFormat="1" customHeight="1" s="278">
      <c r="B70" s="279" t="n"/>
      <c r="C70" s="278" t="inlineStr">
        <is>
          <t>c/ Las Cruzadas 3A, local D</t>
        </is>
      </c>
      <c r="D70" s="278" t="inlineStr">
        <is>
          <t>Sevilla 41004</t>
        </is>
      </c>
      <c r="E70" s="278" t="inlineStr">
        <is>
          <t>CIF B91938662</t>
        </is>
      </c>
      <c r="F70" s="278" t="inlineStr">
        <is>
          <t>aBalados@abalados.es</t>
        </is>
      </c>
      <c r="G70" s="278" t="inlineStr">
        <is>
          <t>Promotores Benejama Generación, S.L.</t>
        </is>
      </c>
      <c r="H70" s="278">
        <f>VLOOKUP($G70,DATOS!$B:$E,2,FALSE)</f>
        <v/>
      </c>
      <c r="I70" s="278">
        <f>VLOOKUP($G70,DATOS!$B:$E,3,FALSE)</f>
        <v/>
      </c>
      <c r="J70" s="278">
        <f>VLOOKUP($G70,DATOS!$B:$E,4,FALSE)</f>
        <v/>
      </c>
      <c r="K70" s="278" t="inlineStr">
        <is>
          <t>Factura de suplidos</t>
        </is>
      </c>
      <c r="L70" s="280" t="n"/>
      <c r="M70" s="278" t="inlineStr">
        <is>
          <t>Pago factura Registro Mercantil D/2023/13705</t>
        </is>
      </c>
      <c r="N70" s="280" t="n">
        <v>223.8</v>
      </c>
      <c r="O70" s="278" t="inlineStr">
        <is>
          <t>Pago factura Registro Mercantil D/2023/13718</t>
        </is>
      </c>
      <c r="P70" s="280" t="n">
        <v>186.72</v>
      </c>
      <c r="R70" s="280" t="n"/>
      <c r="T70" s="280" t="n"/>
      <c r="V70" s="280" t="n"/>
      <c r="X70" s="280" t="n"/>
      <c r="Z70" s="280" t="n"/>
      <c r="AA70" s="280">
        <f>L70+N70+P70+R70+T70+V70+X70+Z70</f>
        <v/>
      </c>
      <c r="AB70" s="402" t="inlineStr">
        <is>
          <t>ES85 2080 3509 1130 4009 6171</t>
        </is>
      </c>
      <c r="AC70" s="278" t="inlineStr">
        <is>
          <t>pagado</t>
        </is>
      </c>
      <c r="AD70" s="280">
        <f>L70+N70+P70+R70+T70+V70+X70+Z70</f>
        <v/>
      </c>
      <c r="AE70" s="280">
        <f>IF((LEFT(K70,6))="Contab",L70,0)</f>
        <v/>
      </c>
      <c r="AF70" s="281">
        <f>VLOOKUP(G70,CLIENTES!B:E,4,FALSE)</f>
        <v/>
      </c>
      <c r="AG70" s="280">
        <f>AF70*AE70</f>
        <v/>
      </c>
      <c r="AH70" s="280">
        <f>AD70*1.21</f>
        <v/>
      </c>
      <c r="AI70" s="284">
        <f>IF(AE70&lt;&gt;0,AG70/AD70,"N/A")</f>
        <v/>
      </c>
      <c r="AJ70" s="280">
        <f>IF(AC70="pendiente",AD70,0)</f>
        <v/>
      </c>
      <c r="AK70" s="278">
        <f>VLOOKUP(G70,CLIENTES!B:D,3,FALSE)</f>
        <v/>
      </c>
    </row>
    <row r="71" ht="15" customFormat="1" customHeight="1" s="278">
      <c r="B71" s="279" t="n"/>
      <c r="C71" s="278" t="inlineStr">
        <is>
          <t>c/ Las Cruzadas 3A, local D</t>
        </is>
      </c>
      <c r="D71" s="278" t="inlineStr">
        <is>
          <t>Sevilla 41004</t>
        </is>
      </c>
      <c r="E71" s="278" t="inlineStr">
        <is>
          <t>CIF B91938662</t>
        </is>
      </c>
      <c r="F71" s="278" t="inlineStr">
        <is>
          <t>aBalados@abalados.es</t>
        </is>
      </c>
      <c r="G71" s="278" t="inlineStr">
        <is>
          <t>Maria Renovables, S.L.</t>
        </is>
      </c>
      <c r="H71" s="278">
        <f>VLOOKUP($G71,DATOS!$B:$E,2,FALSE)</f>
        <v/>
      </c>
      <c r="I71" s="278">
        <f>VLOOKUP($G71,DATOS!$B:$E,3,FALSE)</f>
        <v/>
      </c>
      <c r="J71" s="278">
        <f>VLOOKUP($G71,DATOS!$B:$E,4,FALSE)</f>
        <v/>
      </c>
      <c r="K71" s="278" t="inlineStr">
        <is>
          <t>Factura de suplidos</t>
        </is>
      </c>
      <c r="L71" s="280" t="n"/>
      <c r="M71" s="278" t="inlineStr">
        <is>
          <t>Pago Tasa nº14 Gobierno de Aragon</t>
        </is>
      </c>
      <c r="N71" s="280" t="n">
        <v>129.5</v>
      </c>
      <c r="P71" s="280" t="n"/>
      <c r="R71" s="280" t="n"/>
      <c r="T71" s="280" t="n"/>
      <c r="V71" s="280" t="n"/>
      <c r="X71" s="280" t="n"/>
      <c r="Z71" s="280" t="n"/>
      <c r="AA71" s="280">
        <f>L71+N71+P71+R71+T71+V71+X71+Z71</f>
        <v/>
      </c>
      <c r="AB71" s="402" t="inlineStr">
        <is>
          <t>ES85 2080 3509 1130 4009 6171</t>
        </is>
      </c>
      <c r="AC71" s="278" t="inlineStr">
        <is>
          <t>pagado</t>
        </is>
      </c>
      <c r="AD71" s="280">
        <f>L71+N71+P71+R71+T71+V71+X71+Z71</f>
        <v/>
      </c>
      <c r="AE71" s="280">
        <f>IF((LEFT(K71,6))="Contab",L71,0)</f>
        <v/>
      </c>
      <c r="AF71" s="281">
        <f>VLOOKUP(G71,CLIENTES!B:E,4,FALSE)</f>
        <v/>
      </c>
      <c r="AG71" s="280">
        <f>AF71*AE71</f>
        <v/>
      </c>
      <c r="AH71" s="280">
        <f>AD71*1.21</f>
        <v/>
      </c>
      <c r="AI71" s="284">
        <f>IF(AE71&lt;&gt;0,AG71/AD71,"N/A")</f>
        <v/>
      </c>
      <c r="AJ71" s="280">
        <f>IF(AC71="pendiente",AD71,0)</f>
        <v/>
      </c>
      <c r="AK71" s="278">
        <f>VLOOKUP(G71,CLIENTES!B:D,3,FALSE)</f>
        <v/>
      </c>
    </row>
    <row r="72" ht="15" customFormat="1" customHeight="1" s="278">
      <c r="B72" s="279" t="n"/>
      <c r="C72" s="278" t="inlineStr">
        <is>
          <t>c/ Las Cruzadas 3A, local D</t>
        </is>
      </c>
      <c r="D72" s="278" t="inlineStr">
        <is>
          <t>Sevilla 41004</t>
        </is>
      </c>
      <c r="E72" s="278" t="inlineStr">
        <is>
          <t>CIF B91938662</t>
        </is>
      </c>
      <c r="F72" s="278" t="inlineStr">
        <is>
          <t>aBalados@abalados.es</t>
        </is>
      </c>
      <c r="G72" s="278" t="inlineStr">
        <is>
          <t>Gazules Renovables, S.L.</t>
        </is>
      </c>
      <c r="H72" s="278">
        <f>VLOOKUP($G72,DATOS!$B:$E,2,FALSE)</f>
        <v/>
      </c>
      <c r="I72" s="278">
        <f>VLOOKUP($G72,DATOS!$B:$E,3,FALSE)</f>
        <v/>
      </c>
      <c r="J72" s="278">
        <f>VLOOKUP($G72,DATOS!$B:$E,4,FALSE)</f>
        <v/>
      </c>
      <c r="K72" s="278" t="inlineStr">
        <is>
          <t>Factura de suplidos</t>
        </is>
      </c>
      <c r="L72" s="280" t="n"/>
      <c r="M72" s="278" t="inlineStr">
        <is>
          <t>Renovación firma electrónica FNMT NºFactura 8240058692</t>
        </is>
      </c>
      <c r="N72" s="280" t="n">
        <v>16.94</v>
      </c>
      <c r="O72" s="278" t="inlineStr">
        <is>
          <t>Tasa Modelo 046 Para actualizació de la AAC</t>
        </is>
      </c>
      <c r="P72" s="280" t="n">
        <v>1000</v>
      </c>
      <c r="Q72" s="278" t="inlineStr">
        <is>
          <t>Tasa Modelo 046 Para actualizació de la AAE</t>
        </is>
      </c>
      <c r="R72" s="280" t="n">
        <v>1000</v>
      </c>
      <c r="T72" s="280" t="n"/>
      <c r="V72" s="280" t="n"/>
      <c r="X72" s="280" t="n"/>
      <c r="Z72" s="280" t="n"/>
      <c r="AA72" s="280">
        <f>L72+N72+P72+R72+T72+V72+X72+Z72</f>
        <v/>
      </c>
      <c r="AB72" s="402" t="inlineStr">
        <is>
          <t>ES85 2080 3509 1130 4009 6171</t>
        </is>
      </c>
      <c r="AC72" s="278" t="inlineStr">
        <is>
          <t>pagado</t>
        </is>
      </c>
      <c r="AD72" s="280">
        <f>L72+N72+P72+R72+T72+V72+X72+Z72</f>
        <v/>
      </c>
      <c r="AE72" s="280">
        <f>IF((LEFT(K72,6))="Contab",L72,0)</f>
        <v/>
      </c>
      <c r="AF72" s="281">
        <f>VLOOKUP(G72,CLIENTES!B:E,4,FALSE)</f>
        <v/>
      </c>
      <c r="AG72" s="280">
        <f>AF72*AE72</f>
        <v/>
      </c>
      <c r="AH72" s="280">
        <f>AD72*1.21</f>
        <v/>
      </c>
      <c r="AI72" s="284">
        <f>IF(AE72&lt;&gt;0,AG72/AD72,"N/A")</f>
        <v/>
      </c>
      <c r="AJ72" s="280">
        <f>IF(AC72="pendiente",AD72,0)</f>
        <v/>
      </c>
      <c r="AK72" s="278">
        <f>VLOOKUP(G72,CLIENTES!B:D,3,FALSE)</f>
        <v/>
      </c>
    </row>
    <row r="73" ht="15" customFormat="1" customHeight="1" s="278">
      <c r="B73" s="279" t="n"/>
      <c r="C73" s="278" t="inlineStr">
        <is>
          <t>c/ Las Cruzadas 3A, local D</t>
        </is>
      </c>
      <c r="D73" s="278" t="inlineStr">
        <is>
          <t>Sevilla 41004</t>
        </is>
      </c>
      <c r="E73" s="278" t="inlineStr">
        <is>
          <t>CIF B91938662</t>
        </is>
      </c>
      <c r="F73" s="278" t="inlineStr">
        <is>
          <t>aBalados@abalados.es</t>
        </is>
      </c>
      <c r="G73" s="278" t="inlineStr">
        <is>
          <t>Transformadora Almodóvar Renovables, S.L.</t>
        </is>
      </c>
      <c r="H73" s="278">
        <f>VLOOKUP($G73,DATOS!$B:$E,2,FALSE)</f>
        <v/>
      </c>
      <c r="I73" s="278">
        <f>VLOOKUP($G73,DATOS!$B:$E,3,FALSE)</f>
        <v/>
      </c>
      <c r="J73" s="278">
        <f>VLOOKUP($G73,DATOS!$B:$E,4,FALSE)</f>
        <v/>
      </c>
      <c r="K73" s="278" t="inlineStr">
        <is>
          <t>Factura de suplidos</t>
        </is>
      </c>
      <c r="L73" s="280" t="n"/>
      <c r="M73" s="278" t="inlineStr">
        <is>
          <t>Pago factura Registro Mercantil D/2023/14576</t>
        </is>
      </c>
      <c r="N73" s="280" t="n">
        <v>483.59</v>
      </c>
      <c r="P73" s="280" t="n"/>
      <c r="R73" s="280" t="n"/>
      <c r="T73" s="280" t="n"/>
      <c r="V73" s="280" t="n"/>
      <c r="X73" s="280" t="n"/>
      <c r="Z73" s="280" t="n"/>
      <c r="AA73" s="280">
        <f>L73+N73+P73+R73+T73+V73+X73+Z73</f>
        <v/>
      </c>
      <c r="AB73" s="402" t="inlineStr">
        <is>
          <t>ES85 2080 3509 1130 4009 6171</t>
        </is>
      </c>
      <c r="AC73" s="189" t="inlineStr">
        <is>
          <t>pagado</t>
        </is>
      </c>
      <c r="AD73" s="280">
        <f>L73+N73+P73+R73+T73+V73+X73+Z73</f>
        <v/>
      </c>
      <c r="AE73" s="280">
        <f>IF((LEFT(K73,6))="Contab",L73,0)</f>
        <v/>
      </c>
      <c r="AF73" s="281">
        <f>VLOOKUP(G73,CLIENTES!B:E,4,FALSE)</f>
        <v/>
      </c>
      <c r="AG73" s="280">
        <f>AF73*AE73</f>
        <v/>
      </c>
      <c r="AH73" s="280">
        <f>AD73*1.21</f>
        <v/>
      </c>
      <c r="AI73" s="284">
        <f>IF(AE73&lt;&gt;0,AG73/AD73,"N/A")</f>
        <v/>
      </c>
      <c r="AJ73" s="280">
        <f>IF(AC73="pendiente",AD73,0)</f>
        <v/>
      </c>
      <c r="AK73" s="278">
        <f>VLOOKUP(G73,CLIENTES!B:D,3,FALSE)</f>
        <v/>
      </c>
    </row>
    <row r="74" ht="15" customFormat="1" customHeight="1" s="278">
      <c r="B74" s="279" t="n"/>
      <c r="C74" s="278" t="inlineStr">
        <is>
          <t>c/ Las Cruzadas 3A, local D</t>
        </is>
      </c>
      <c r="D74" s="278" t="inlineStr">
        <is>
          <t>Sevilla 41004</t>
        </is>
      </c>
      <c r="E74" s="278" t="inlineStr">
        <is>
          <t>CIF B91938662</t>
        </is>
      </c>
      <c r="F74" s="278" t="inlineStr">
        <is>
          <t>aBalados@abalados.es</t>
        </is>
      </c>
      <c r="G74" s="278" t="inlineStr">
        <is>
          <t>Grijota Renovables, S.L.</t>
        </is>
      </c>
      <c r="H74" s="278">
        <f>VLOOKUP($G74,DATOS!$B:$E,2,FALSE)</f>
        <v/>
      </c>
      <c r="I74" s="278">
        <f>VLOOKUP($G74,DATOS!$B:$E,3,FALSE)</f>
        <v/>
      </c>
      <c r="J74" s="278">
        <f>VLOOKUP($G74,DATOS!$B:$E,4,FALSE)</f>
        <v/>
      </c>
      <c r="K74" s="278" t="inlineStr">
        <is>
          <t>Factura de suplidos</t>
        </is>
      </c>
      <c r="L74" s="280" t="n"/>
      <c r="M74" s="278" t="inlineStr">
        <is>
          <t>Tasa expropiación forzosa Modelo 046</t>
        </is>
      </c>
      <c r="N74" s="280" t="n">
        <v>762.15</v>
      </c>
      <c r="P74" s="280" t="n"/>
      <c r="R74" s="280" t="n"/>
      <c r="T74" s="280" t="n"/>
      <c r="V74" s="280" t="n"/>
      <c r="X74" s="280" t="n"/>
      <c r="Z74" s="280" t="n"/>
      <c r="AA74" s="280">
        <f>L74+N74+P74+R74+T74+V74+X74+Z74</f>
        <v/>
      </c>
      <c r="AB74" s="402" t="inlineStr">
        <is>
          <t>ES85 2080 3509 1130 4009 6171</t>
        </is>
      </c>
      <c r="AC74" s="278" t="inlineStr">
        <is>
          <t>pagado</t>
        </is>
      </c>
      <c r="AD74" s="280">
        <f>L74+N74+P74+R74+T74+V74+X74+Z74</f>
        <v/>
      </c>
      <c r="AE74" s="280">
        <f>IF((LEFT(K74,6))="Contab",L74,0)</f>
        <v/>
      </c>
      <c r="AF74" s="281">
        <f>VLOOKUP(G74,CLIENTES!B:E,4,FALSE)</f>
        <v/>
      </c>
      <c r="AG74" s="280">
        <f>AF74*AE74</f>
        <v/>
      </c>
      <c r="AH74" s="280">
        <f>AD74*1.21</f>
        <v/>
      </c>
      <c r="AI74" s="284">
        <f>IF(AE74&lt;&gt;0,AG74/AD74,"N/A")</f>
        <v/>
      </c>
      <c r="AJ74" s="280">
        <f>IF(AC74="pendiente",AD74,0)</f>
        <v/>
      </c>
      <c r="AK74" s="278">
        <f>VLOOKUP(G74,CLIENTES!B:D,3,FALSE)</f>
        <v/>
      </c>
    </row>
    <row r="75" ht="15" customFormat="1" customHeight="1" s="278">
      <c r="B75" s="279" t="n"/>
      <c r="C75" s="278" t="inlineStr">
        <is>
          <t>c/ Las Cruzadas 3A, local D</t>
        </is>
      </c>
      <c r="D75" s="278" t="inlineStr">
        <is>
          <t>Sevilla 41004</t>
        </is>
      </c>
      <c r="E75" s="278" t="inlineStr">
        <is>
          <t>CIF B91938662</t>
        </is>
      </c>
      <c r="F75" s="278" t="inlineStr">
        <is>
          <t>aBalados@abalados.es</t>
        </is>
      </c>
      <c r="G75" s="278" t="inlineStr">
        <is>
          <t>Escatrón Promotores 400 y 220, S.L.</t>
        </is>
      </c>
      <c r="H75" s="278">
        <f>VLOOKUP($G75,DATOS!$B:$E,2,FALSE)</f>
        <v/>
      </c>
      <c r="I75" s="278">
        <f>VLOOKUP($G75,DATOS!$B:$E,3,FALSE)</f>
        <v/>
      </c>
      <c r="J75" s="278">
        <f>VLOOKUP($G75,DATOS!$B:$E,4,FALSE)</f>
        <v/>
      </c>
      <c r="K75" s="278" t="inlineStr">
        <is>
          <t>Factura de suplidos</t>
        </is>
      </c>
      <c r="L75" s="280" t="n"/>
      <c r="M75" s="278" t="inlineStr">
        <is>
          <t>Pago provisión de fondos notaria</t>
        </is>
      </c>
      <c r="N75" s="280" t="n">
        <v>1310</v>
      </c>
      <c r="O75" s="278" t="inlineStr">
        <is>
          <t>Pago provisión de fondos notaria</t>
        </is>
      </c>
      <c r="P75" s="280" t="n">
        <v>660</v>
      </c>
      <c r="Q75" s="278" t="inlineStr">
        <is>
          <t>Pago provisión de fondos notaria</t>
        </is>
      </c>
      <c r="R75" s="280" t="n">
        <v>620</v>
      </c>
      <c r="T75" s="280" t="n"/>
      <c r="V75" s="280" t="n"/>
      <c r="X75" s="280" t="n"/>
      <c r="Z75" s="280" t="n"/>
      <c r="AA75" s="280">
        <f>L75+N75+P75+R75+T75+V75+X75+Z75</f>
        <v/>
      </c>
      <c r="AB75" s="402" t="inlineStr">
        <is>
          <t>ES85 2080 3509 1130 4009 6171</t>
        </is>
      </c>
      <c r="AC75" s="278" t="inlineStr">
        <is>
          <t>pagado</t>
        </is>
      </c>
      <c r="AD75" s="280">
        <f>L75+N75+P75+R75+T75+V75+X75+Z75</f>
        <v/>
      </c>
      <c r="AE75" s="280">
        <f>IF((LEFT(K75,6))="Contab",L75,0)</f>
        <v/>
      </c>
      <c r="AF75" s="281">
        <f>VLOOKUP(G75,CLIENTES!B:E,4,FALSE)</f>
        <v/>
      </c>
      <c r="AG75" s="280">
        <f>AF75*AE75</f>
        <v/>
      </c>
      <c r="AH75" s="280">
        <f>AD75*1.21</f>
        <v/>
      </c>
      <c r="AI75" s="284">
        <f>IF(AE75&lt;&gt;0,AG75/AD75,"N/A")</f>
        <v/>
      </c>
      <c r="AJ75" s="280">
        <f>IF(AC75="pendiente",AD75,0)</f>
        <v/>
      </c>
      <c r="AK75" s="278">
        <f>VLOOKUP(G75,CLIENTES!B:D,3,FALSE)</f>
        <v/>
      </c>
    </row>
    <row r="76" ht="15" customFormat="1" customHeight="1" s="278">
      <c r="B76" s="279" t="n"/>
      <c r="C76" s="278" t="inlineStr">
        <is>
          <t>c/ Las Cruzadas 3A, local D</t>
        </is>
      </c>
      <c r="D76" s="278" t="inlineStr">
        <is>
          <t>Sevilla 41004</t>
        </is>
      </c>
      <c r="E76" s="278" t="inlineStr">
        <is>
          <t>CIF B91938662</t>
        </is>
      </c>
      <c r="F76" s="278" t="inlineStr">
        <is>
          <t>aBalados@abalados.es</t>
        </is>
      </c>
      <c r="G76" s="278" t="inlineStr">
        <is>
          <t>Renedo Renovables, S.L.</t>
        </is>
      </c>
      <c r="H76" s="278">
        <f>VLOOKUP($G76,DATOS!$B:$E,2,FALSE)</f>
        <v/>
      </c>
      <c r="I76" s="278">
        <f>VLOOKUP($G76,DATOS!$B:$E,3,FALSE)</f>
        <v/>
      </c>
      <c r="J76" s="278">
        <f>VLOOKUP($G76,DATOS!$B:$E,4,FALSE)</f>
        <v/>
      </c>
      <c r="K76" s="278" t="inlineStr">
        <is>
          <t>Factura de suplidos</t>
        </is>
      </c>
      <c r="L76" s="280" t="n"/>
      <c r="M76" s="278" t="inlineStr">
        <is>
          <t>Pago factura Notaria nº PRO/06372</t>
        </is>
      </c>
      <c r="N76" s="280" t="n">
        <v>148.49</v>
      </c>
      <c r="P76" s="280" t="n"/>
      <c r="R76" s="280" t="n"/>
      <c r="T76" s="280" t="n"/>
      <c r="V76" s="280" t="n"/>
      <c r="X76" s="280" t="n"/>
      <c r="Z76" s="280" t="n"/>
      <c r="AA76" s="280">
        <f>L76+N76+P76+R76+T76+V76+X76+Z76</f>
        <v/>
      </c>
      <c r="AB76" s="402" t="inlineStr">
        <is>
          <t>ES85 2080 3509 1130 4009 6171</t>
        </is>
      </c>
      <c r="AC76" s="278" t="inlineStr">
        <is>
          <t>pagado</t>
        </is>
      </c>
      <c r="AD76" s="280">
        <f>L76+N76+P76+R76+T76+V76+X76+Z76</f>
        <v/>
      </c>
      <c r="AE76" s="280">
        <f>IF((LEFT(K76,6))="Contab",L76,0)</f>
        <v/>
      </c>
      <c r="AF76" s="281">
        <f>VLOOKUP(G76,CLIENTES!B:E,4,FALSE)</f>
        <v/>
      </c>
      <c r="AG76" s="280">
        <f>AF76*AE76</f>
        <v/>
      </c>
      <c r="AH76" s="280">
        <f>AD76*1.21</f>
        <v/>
      </c>
      <c r="AI76" s="284">
        <f>IF(AE76&lt;&gt;0,AG76/AD76,"N/A")</f>
        <v/>
      </c>
      <c r="AJ76" s="280">
        <f>IF(AC76="pendiente",AD76,0)</f>
        <v/>
      </c>
      <c r="AK76" s="278">
        <f>VLOOKUP(G76,CLIENTES!B:D,3,FALSE)</f>
        <v/>
      </c>
    </row>
    <row r="77" ht="15" customFormat="1" customHeight="1" s="278">
      <c r="B77" s="279" t="n"/>
      <c r="C77" s="278" t="inlineStr">
        <is>
          <t>c/ Las Cruzadas 3A, local D</t>
        </is>
      </c>
      <c r="D77" s="278" t="inlineStr">
        <is>
          <t>Sevilla 41004</t>
        </is>
      </c>
      <c r="E77" s="278" t="inlineStr">
        <is>
          <t>CIF B91938662</t>
        </is>
      </c>
      <c r="F77" s="278" t="inlineStr">
        <is>
          <t>aBalados@abalados.es</t>
        </is>
      </c>
      <c r="G77" s="278" t="inlineStr">
        <is>
          <t>Comunidad de Bienes Grupotec Rotonda</t>
        </is>
      </c>
      <c r="H77" s="278">
        <f>VLOOKUP($G77,DATOS!$B:$E,2,FALSE)</f>
        <v/>
      </c>
      <c r="I77" s="278">
        <f>VLOOKUP($G77,DATOS!$B:$E,3,FALSE)</f>
        <v/>
      </c>
      <c r="J77" s="278">
        <f>VLOOKUP($G77,DATOS!$B:$E,4,FALSE)</f>
        <v/>
      </c>
      <c r="K77" s="278" t="inlineStr">
        <is>
          <t>Factura de suplidos</t>
        </is>
      </c>
      <c r="L77" s="280" t="n"/>
      <c r="M77" s="278" t="inlineStr">
        <is>
          <t>Pago factura Notaria Nº0000139 A/2024</t>
        </is>
      </c>
      <c r="N77" s="280" t="n">
        <v>165</v>
      </c>
      <c r="O77" s="278" t="inlineStr">
        <is>
          <t>Pago factura Notaria Nº A233</t>
        </is>
      </c>
      <c r="P77" s="280" t="n">
        <v>77.34999999999999</v>
      </c>
      <c r="R77" s="280" t="n"/>
      <c r="T77" s="280" t="n"/>
      <c r="V77" s="280" t="n"/>
      <c r="X77" s="280" t="n"/>
      <c r="Z77" s="280" t="n"/>
      <c r="AA77" s="280">
        <f>L77+N77+P77+R77+T77+V77+X77+Z77</f>
        <v/>
      </c>
      <c r="AB77" s="402" t="inlineStr">
        <is>
          <t>ES85 2080 3509 1130 4009 6171</t>
        </is>
      </c>
      <c r="AC77" s="278" t="inlineStr">
        <is>
          <t>pagado</t>
        </is>
      </c>
      <c r="AD77" s="280">
        <f>L77+N77+P77+R77+T77+V77+X77+Z77</f>
        <v/>
      </c>
      <c r="AE77" s="280">
        <f>IF((LEFT(K77,6))="Contab",L77,0)</f>
        <v/>
      </c>
      <c r="AF77" s="281">
        <f>VLOOKUP(G77,CLIENTES!B:E,4,FALSE)</f>
        <v/>
      </c>
      <c r="AG77" s="280">
        <f>AF77*AE77</f>
        <v/>
      </c>
      <c r="AH77" s="280">
        <f>AD77*1.21</f>
        <v/>
      </c>
      <c r="AI77" s="284">
        <f>IF(AE77&lt;&gt;0,AG77/AD77,"N/A")</f>
        <v/>
      </c>
      <c r="AJ77" s="280">
        <f>IF(AC77="pendiente",AD77,0)</f>
        <v/>
      </c>
      <c r="AK77" s="278">
        <f>VLOOKUP(G77,CLIENTES!B:D,3,FALSE)</f>
        <v/>
      </c>
    </row>
    <row r="78" ht="15" customFormat="1" customHeight="1" s="278">
      <c r="B78" s="279" t="n"/>
      <c r="C78" s="278" t="inlineStr">
        <is>
          <t>c/ Las Cruzadas 3A, local D</t>
        </is>
      </c>
      <c r="D78" s="278" t="inlineStr">
        <is>
          <t>Sevilla 41004</t>
        </is>
      </c>
      <c r="E78" s="278" t="inlineStr">
        <is>
          <t>CIF B91938662</t>
        </is>
      </c>
      <c r="F78" s="278" t="inlineStr">
        <is>
          <t>aBalados@abalados.es</t>
        </is>
      </c>
      <c r="G78" s="278" t="inlineStr">
        <is>
          <t>Tordesillas Renovables, S.L.</t>
        </is>
      </c>
      <c r="H78" s="278">
        <f>VLOOKUP($G78,DATOS!$B:$E,2,FALSE)</f>
        <v/>
      </c>
      <c r="I78" s="278">
        <f>VLOOKUP($G78,DATOS!$B:$E,3,FALSE)</f>
        <v/>
      </c>
      <c r="J78" s="278">
        <f>VLOOKUP($G78,DATOS!$B:$E,4,FALSE)</f>
        <v/>
      </c>
      <c r="K78" s="278" t="inlineStr">
        <is>
          <t>Factura de suplidos</t>
        </is>
      </c>
      <c r="L78" s="280" t="n"/>
      <c r="M78" s="278" t="inlineStr">
        <is>
          <t>Renovación firma electrónica FNMT NºFactura 8240092625</t>
        </is>
      </c>
      <c r="N78" s="280" t="n">
        <v>16.94</v>
      </c>
      <c r="P78" s="280" t="n"/>
      <c r="R78" s="280" t="n"/>
      <c r="T78" s="280" t="n"/>
      <c r="V78" s="280" t="n"/>
      <c r="X78" s="280" t="n"/>
      <c r="Z78" s="280" t="n"/>
      <c r="AA78" s="280">
        <f>L78+N78+P78+R78+T78+V78+X78+Z78</f>
        <v/>
      </c>
      <c r="AB78" s="402" t="inlineStr">
        <is>
          <t>ES85 2080 3509 1130 4009 6171</t>
        </is>
      </c>
      <c r="AC78" s="278" t="inlineStr">
        <is>
          <t>pagado</t>
        </is>
      </c>
      <c r="AD78" s="280">
        <f>L78+N78+P78+R78+T78+V78+X78+Z78</f>
        <v/>
      </c>
      <c r="AE78" s="280">
        <f>IF((LEFT(K78,6))="Contab",L78,0)</f>
        <v/>
      </c>
      <c r="AF78" s="281">
        <f>VLOOKUP(G78,CLIENTES!B:E,4,FALSE)</f>
        <v/>
      </c>
      <c r="AG78" s="280">
        <f>AF78*AE78</f>
        <v/>
      </c>
      <c r="AH78" s="280">
        <f>AD78*1.21</f>
        <v/>
      </c>
      <c r="AI78" s="284">
        <f>IF(AE78&lt;&gt;0,AG78/AD78,"N/A")</f>
        <v/>
      </c>
      <c r="AJ78" s="280">
        <f>IF(AC78="pendiente",AD78,0)</f>
        <v/>
      </c>
      <c r="AK78" s="278">
        <f>VLOOKUP(G78,CLIENTES!B:D,3,FALSE)</f>
        <v/>
      </c>
    </row>
    <row r="79" ht="15" customFormat="1" customHeight="1" s="278">
      <c r="B79" s="279" t="n"/>
      <c r="C79" s="278" t="inlineStr">
        <is>
          <t>c/ Las Cruzadas 3A, local D</t>
        </is>
      </c>
      <c r="D79" s="278" t="inlineStr">
        <is>
          <t>Sevilla 41004</t>
        </is>
      </c>
      <c r="E79" s="278" t="inlineStr">
        <is>
          <t>CIF B91938662</t>
        </is>
      </c>
      <c r="F79" s="278" t="inlineStr">
        <is>
          <t>aBalados@abalados.es</t>
        </is>
      </c>
      <c r="G79" s="278" t="inlineStr">
        <is>
          <t>Herrera Renovables 400, A.I.E.</t>
        </is>
      </c>
      <c r="H79" s="278">
        <f>VLOOKUP($G79,DATOS!$B:$E,2,FALSE)</f>
        <v/>
      </c>
      <c r="I79" s="278">
        <f>VLOOKUP($G79,DATOS!$B:$E,3,FALSE)</f>
        <v/>
      </c>
      <c r="J79" s="278">
        <f>VLOOKUP($G79,DATOS!$B:$E,4,FALSE)</f>
        <v/>
      </c>
      <c r="K79" s="278" t="inlineStr">
        <is>
          <t>Factura de suplidos</t>
        </is>
      </c>
      <c r="L79" s="280" t="n"/>
      <c r="M79" s="278" t="inlineStr">
        <is>
          <t>Renovación firma electrónica FNMT NºFactura 8240268500</t>
        </is>
      </c>
      <c r="N79" s="280" t="n">
        <v>16.94</v>
      </c>
      <c r="P79" s="280" t="n"/>
      <c r="R79" s="280" t="n"/>
      <c r="T79" s="280" t="n"/>
      <c r="V79" s="280" t="n"/>
      <c r="X79" s="280" t="n"/>
      <c r="Z79" s="280" t="n"/>
      <c r="AA79" s="280">
        <f>L79+N79+P79+R79+T79+V79+X79+Z79</f>
        <v/>
      </c>
      <c r="AB79" s="402" t="inlineStr">
        <is>
          <t>ES85 2080 3509 1130 4009 6171</t>
        </is>
      </c>
      <c r="AC79" s="278" t="inlineStr">
        <is>
          <t>pagado</t>
        </is>
      </c>
      <c r="AD79" s="280">
        <f>L79+N79+P79+R79+T79+V79+X79+Z79</f>
        <v/>
      </c>
      <c r="AE79" s="280">
        <f>IF((LEFT(K79,6))="Contab",L79,0)</f>
        <v/>
      </c>
      <c r="AF79" s="281">
        <f>VLOOKUP(G79,CLIENTES!B:E,4,FALSE)</f>
        <v/>
      </c>
      <c r="AG79" s="280">
        <f>AF79*AE79</f>
        <v/>
      </c>
      <c r="AH79" s="280">
        <f>AD79*1.21</f>
        <v/>
      </c>
      <c r="AI79" s="284">
        <f>IF(AE79&lt;&gt;0,AG79/AD79,"N/A")</f>
        <v/>
      </c>
      <c r="AJ79" s="280">
        <f>IF(AC79="pendiente",AD79,0)</f>
        <v/>
      </c>
      <c r="AK79" s="278">
        <f>VLOOKUP(G79,CLIENTES!B:D,3,FALSE)</f>
        <v/>
      </c>
    </row>
    <row r="80" ht="15" customFormat="1" customHeight="1" s="278">
      <c r="B80" s="279" t="n"/>
      <c r="C80" s="278" t="inlineStr">
        <is>
          <t>c/ Las Cruzadas 3A, local D</t>
        </is>
      </c>
      <c r="D80" s="278" t="inlineStr">
        <is>
          <t>Sevilla 41004</t>
        </is>
      </c>
      <c r="E80" s="278" t="inlineStr">
        <is>
          <t>CIF B91938662</t>
        </is>
      </c>
      <c r="F80" s="278" t="inlineStr">
        <is>
          <t>aBalados@abalados.es</t>
        </is>
      </c>
      <c r="G80" s="278" t="inlineStr">
        <is>
          <t>ICE Sequero, S.L.</t>
        </is>
      </c>
      <c r="H80" s="278">
        <f>VLOOKUP($G80,DATOS!$B:$E,2,FALSE)</f>
        <v/>
      </c>
      <c r="I80" s="278">
        <f>VLOOKUP($G80,DATOS!$B:$E,3,FALSE)</f>
        <v/>
      </c>
      <c r="J80" s="278">
        <f>VLOOKUP($G80,DATOS!$B:$E,4,FALSE)</f>
        <v/>
      </c>
      <c r="K80" s="278" t="inlineStr">
        <is>
          <t>Factura de suplidos</t>
        </is>
      </c>
      <c r="L80" s="280" t="n"/>
      <c r="M80" s="278" t="inlineStr">
        <is>
          <t>Renovación firma electrónica FNMT NºFactura 8240268522</t>
        </is>
      </c>
      <c r="N80" s="280" t="n">
        <v>16.94</v>
      </c>
      <c r="P80" s="280" t="n"/>
      <c r="R80" s="280" t="n"/>
      <c r="T80" s="280" t="n"/>
      <c r="V80" s="280" t="n"/>
      <c r="X80" s="280" t="n"/>
      <c r="Z80" s="280" t="n"/>
      <c r="AA80" s="280">
        <f>L80+N80+P80+R80+T80+V80+X80+Z80</f>
        <v/>
      </c>
      <c r="AB80" s="402" t="inlineStr">
        <is>
          <t>ES85 2080 3509 1130 4009 6171</t>
        </is>
      </c>
      <c r="AC80" s="278" t="inlineStr">
        <is>
          <t>pagado</t>
        </is>
      </c>
      <c r="AD80" s="280">
        <f>L80+N80+P80+R80+T80+V80+X80+Z80</f>
        <v/>
      </c>
      <c r="AE80" s="280">
        <f>IF((LEFT(K80,6))="Contab",L80,0)</f>
        <v/>
      </c>
      <c r="AF80" s="281">
        <f>VLOOKUP(G80,CLIENTES!B:E,4,FALSE)</f>
        <v/>
      </c>
      <c r="AG80" s="280">
        <f>AF80*AE80</f>
        <v/>
      </c>
      <c r="AH80" s="280">
        <f>AD80*1.21</f>
        <v/>
      </c>
      <c r="AI80" s="284">
        <f>IF(AE80&lt;&gt;0,AG80/AD80,"N/A")</f>
        <v/>
      </c>
      <c r="AJ80" s="280">
        <f>IF(AC80="pendiente",AD80,0)</f>
        <v/>
      </c>
      <c r="AK80" s="278">
        <f>VLOOKUP(G80,CLIENTES!B:D,3,FALSE)</f>
        <v/>
      </c>
    </row>
    <row r="81" ht="15" customFormat="1" customHeight="1" s="192">
      <c r="B81" s="199" t="n"/>
      <c r="C81" s="192" t="inlineStr">
        <is>
          <t>c/ Las Cruzadas 3A, local D</t>
        </is>
      </c>
      <c r="D81" s="192" t="inlineStr">
        <is>
          <t>Sevilla 41004</t>
        </is>
      </c>
      <c r="E81" s="192" t="inlineStr">
        <is>
          <t>CIF B91938662</t>
        </is>
      </c>
      <c r="F81" s="192" t="inlineStr">
        <is>
          <t>aBalados@abalados.es</t>
        </is>
      </c>
      <c r="G81" s="192" t="inlineStr">
        <is>
          <t>Las Monas Gallego, A.I.E.</t>
        </is>
      </c>
      <c r="H81" s="192">
        <f>VLOOKUP($G81,DATOS!$B:$E,2,FALSE)</f>
        <v/>
      </c>
      <c r="I81" s="192">
        <f>VLOOKUP($G81,DATOS!$B:$E,3,FALSE)</f>
        <v/>
      </c>
      <c r="J81" s="192">
        <f>VLOOKUP($G81,DATOS!$B:$E,4,FALSE)</f>
        <v/>
      </c>
      <c r="K81" s="192" t="inlineStr">
        <is>
          <t>Factura de suplidos</t>
        </is>
      </c>
      <c r="L81" s="200" t="n"/>
      <c r="M81" s="192" t="inlineStr">
        <is>
          <t>Pago modelo 111 4T</t>
        </is>
      </c>
      <c r="N81" s="200" t="n">
        <v>8.57</v>
      </c>
      <c r="P81" s="200" t="n"/>
      <c r="R81" s="200" t="n"/>
      <c r="T81" s="200" t="n"/>
      <c r="V81" s="200" t="n"/>
      <c r="X81" s="200" t="n"/>
      <c r="Z81" s="200" t="n"/>
      <c r="AA81" s="200">
        <f>L81+N81+P81+R81+T81+V81+X81+Z81</f>
        <v/>
      </c>
      <c r="AB81" s="403" t="inlineStr">
        <is>
          <t>ES85 2080 3509 1130 4009 6171</t>
        </is>
      </c>
      <c r="AC81" s="192" t="inlineStr">
        <is>
          <t>pagado</t>
        </is>
      </c>
      <c r="AD81" s="200">
        <f>L81+N81+P81+R81+T81+V81+X81+Z81</f>
        <v/>
      </c>
      <c r="AE81" s="200">
        <f>IF((LEFT(K81,6))="Contab",L81,0)</f>
        <v/>
      </c>
      <c r="AF81" s="201">
        <f>VLOOKUP(G81,CLIENTES!B:E,4,FALSE)</f>
        <v/>
      </c>
      <c r="AG81" s="200">
        <f>AF81*AE81</f>
        <v/>
      </c>
      <c r="AH81" s="200">
        <f>AD81*1.21</f>
        <v/>
      </c>
      <c r="AI81" s="283">
        <f>IF(AE81&lt;&gt;0,AG81/AD81,"N/A")</f>
        <v/>
      </c>
      <c r="AJ81" s="200">
        <f>IF(AC81="pendiente",AD81,0)</f>
        <v/>
      </c>
      <c r="AK81" s="192">
        <f>VLOOKUP(G81,CLIENTES!B:D,3,FALSE)</f>
        <v/>
      </c>
    </row>
    <row r="82" ht="15" customFormat="1" customHeight="1" s="192">
      <c r="B82" s="199" t="n"/>
      <c r="C82" s="192" t="inlineStr">
        <is>
          <t>c/ Las Cruzadas 3A, local D</t>
        </is>
      </c>
      <c r="D82" s="192" t="inlineStr">
        <is>
          <t>Sevilla 41004</t>
        </is>
      </c>
      <c r="E82" s="192" t="inlineStr">
        <is>
          <t>CIF B91938662</t>
        </is>
      </c>
      <c r="F82" s="192" t="inlineStr">
        <is>
          <t>aBalados@abalados.es</t>
        </is>
      </c>
      <c r="G82" s="192" t="inlineStr">
        <is>
          <t>La Serranilla Renovables 132 kV, A.I.E.</t>
        </is>
      </c>
      <c r="H82" s="192">
        <f>VLOOKUP($G82,DATOS!$B:$E,2,FALSE)</f>
        <v/>
      </c>
      <c r="I82" s="192">
        <f>VLOOKUP($G82,DATOS!$B:$E,3,FALSE)</f>
        <v/>
      </c>
      <c r="J82" s="192">
        <f>VLOOKUP($G82,DATOS!$B:$E,4,FALSE)</f>
        <v/>
      </c>
      <c r="K82" s="192" t="inlineStr">
        <is>
          <t>Factura de suplidos</t>
        </is>
      </c>
      <c r="L82" s="200" t="n"/>
      <c r="M82" s="192" t="inlineStr">
        <is>
          <t>Pago complementeria modelo 600 por Compraventa de Finca Rustica</t>
        </is>
      </c>
      <c r="N82" s="200" t="n">
        <v>807.55</v>
      </c>
      <c r="P82" s="200" t="n"/>
      <c r="R82" s="200" t="n"/>
      <c r="T82" s="200" t="n"/>
      <c r="V82" s="200" t="n"/>
      <c r="X82" s="200" t="n"/>
      <c r="Z82" s="200" t="n"/>
      <c r="AA82" s="200">
        <f>L82+N82+P82+R82+T82+V82+X82+Z82</f>
        <v/>
      </c>
      <c r="AB82" s="403" t="inlineStr">
        <is>
          <t>ES85 2080 3509 1130 4009 6171</t>
        </is>
      </c>
      <c r="AC82" s="192" t="inlineStr">
        <is>
          <t>pagado</t>
        </is>
      </c>
      <c r="AD82" s="200">
        <f>L82+N82+P82+R82+T82+V82+X82+Z82</f>
        <v/>
      </c>
      <c r="AE82" s="200">
        <f>IF((LEFT(K82,6))="Contab",L82,0)</f>
        <v/>
      </c>
      <c r="AF82" s="201">
        <f>VLOOKUP(G82,CLIENTES!B:E,4,FALSE)</f>
        <v/>
      </c>
      <c r="AG82" s="200">
        <f>AF82*AE82</f>
        <v/>
      </c>
      <c r="AH82" s="200">
        <f>AD82*1.21</f>
        <v/>
      </c>
      <c r="AI82" s="283">
        <f>IF(AE82&lt;&gt;0,AG82/AD82,"N/A")</f>
        <v/>
      </c>
      <c r="AJ82" s="200">
        <f>IF(AC82="pendiente",AD82,0)</f>
        <v/>
      </c>
      <c r="AK82" s="192">
        <f>VLOOKUP(G82,CLIENTES!B:D,3,FALSE)</f>
        <v/>
      </c>
    </row>
    <row r="83" ht="15" customFormat="1" customHeight="1" s="192">
      <c r="B83" s="199" t="n"/>
      <c r="C83" s="192" t="inlineStr">
        <is>
          <t>c/ Las Cruzadas 3A, local D</t>
        </is>
      </c>
      <c r="D83" s="192" t="inlineStr">
        <is>
          <t>Sevilla 41004</t>
        </is>
      </c>
      <c r="E83" s="192" t="inlineStr">
        <is>
          <t>CIF B91938662</t>
        </is>
      </c>
      <c r="F83" s="192" t="inlineStr">
        <is>
          <t>aBalados@abalados.es</t>
        </is>
      </c>
      <c r="G83" s="192" t="inlineStr">
        <is>
          <t>China Triumph International Engineering Co., LTD EP EN SPAIN</t>
        </is>
      </c>
      <c r="H83" s="192">
        <f>VLOOKUP($G83,DATOS!$B:$E,2,FALSE)</f>
        <v/>
      </c>
      <c r="I83" s="192">
        <f>VLOOKUP($G83,DATOS!$B:$E,3,FALSE)</f>
        <v/>
      </c>
      <c r="J83" s="192">
        <f>VLOOKUP($G83,DATOS!$B:$E,4,FALSE)</f>
        <v/>
      </c>
      <c r="K83" s="192" t="inlineStr">
        <is>
          <t>Factura de suplidos</t>
        </is>
      </c>
      <c r="L83" s="200" t="n"/>
      <c r="M83" s="192" t="inlineStr">
        <is>
          <t>Payment of Debit Note for policy number 85387626 on behalf of CTIEC</t>
        </is>
      </c>
      <c r="N83" s="200" t="n">
        <v>1132.77</v>
      </c>
      <c r="O83" s="192" t="inlineStr">
        <is>
          <t>RC Prof. -  AXA SEGUROS GENERALES,S.A.DE SEGUROS Y REASEGUROS</t>
        </is>
      </c>
      <c r="P83" s="200" t="n"/>
      <c r="R83" s="200" t="n"/>
      <c r="T83" s="200" t="n"/>
      <c r="V83" s="200" t="n"/>
      <c r="X83" s="200" t="n"/>
      <c r="Z83" s="200" t="n"/>
      <c r="AA83" s="200">
        <f>L83+N83+P83+R83+T83+V83+X83+Z83</f>
        <v/>
      </c>
      <c r="AB83" s="403" t="inlineStr">
        <is>
          <t>ES85 2080 3509 1130 4009 6171</t>
        </is>
      </c>
      <c r="AC83" s="192" t="inlineStr">
        <is>
          <t>pagado</t>
        </is>
      </c>
      <c r="AD83" s="200">
        <f>L83+N83+P83+R83+T83+V83+X83+Z83</f>
        <v/>
      </c>
      <c r="AE83" s="200">
        <f>IF((LEFT(K83,6))="Contab",L83,0)</f>
        <v/>
      </c>
      <c r="AF83" s="201">
        <f>VLOOKUP(G83,CLIENTES!B:E,4,FALSE)</f>
        <v/>
      </c>
      <c r="AG83" s="200">
        <f>AF83*AE83</f>
        <v/>
      </c>
      <c r="AH83" s="200">
        <f>AD83*1.21</f>
        <v/>
      </c>
      <c r="AI83" s="283">
        <f>IF(AE83&lt;&gt;0,AG83/AD83,"N/A")</f>
        <v/>
      </c>
      <c r="AJ83" s="200">
        <f>IF(AC83="pendiente",AD83,0)</f>
        <v/>
      </c>
      <c r="AK83" s="192">
        <f>VLOOKUP(G83,CLIENTES!B:D,3,FALSE)</f>
        <v/>
      </c>
    </row>
    <row r="84" ht="15" customFormat="1" customHeight="1" s="278">
      <c r="B84" s="279" t="n"/>
      <c r="C84" s="278" t="inlineStr">
        <is>
          <t>c/ Las Cruzadas 3A, local D</t>
        </is>
      </c>
      <c r="D84" s="278" t="inlineStr">
        <is>
          <t>Sevilla 41004</t>
        </is>
      </c>
      <c r="E84" s="278" t="inlineStr">
        <is>
          <t>CIF B91938662</t>
        </is>
      </c>
      <c r="F84" s="278" t="inlineStr">
        <is>
          <t>aBalados@abalados.es</t>
        </is>
      </c>
      <c r="G84" s="278" t="inlineStr">
        <is>
          <t>Promotores Benejama Colectora, S.L.</t>
        </is>
      </c>
      <c r="H84" s="278">
        <f>VLOOKUP($G84,DATOS!$B:$E,2,FALSE)</f>
        <v/>
      </c>
      <c r="I84" s="278">
        <f>VLOOKUP($G84,DATOS!$B:$E,3,FALSE)</f>
        <v/>
      </c>
      <c r="J84" s="278">
        <f>VLOOKUP($G84,DATOS!$B:$E,4,FALSE)</f>
        <v/>
      </c>
      <c r="K84" s="278" t="inlineStr">
        <is>
          <t>Factura de suplidos</t>
        </is>
      </c>
      <c r="L84" s="280" t="n"/>
      <c r="M84" s="278" t="inlineStr">
        <is>
          <t xml:space="preserve">Pago factura nº D/2024/5690 del Registro Mercantil de Sevilla </t>
        </is>
      </c>
      <c r="N84" s="280" t="n">
        <v>264.5</v>
      </c>
      <c r="P84" s="280" t="n"/>
      <c r="R84" s="280" t="n"/>
      <c r="T84" s="280" t="n"/>
      <c r="V84" s="280" t="n"/>
      <c r="X84" s="280" t="n"/>
      <c r="Z84" s="280" t="n"/>
      <c r="AA84" s="280">
        <f>L84+N84+P84+R84+T84+V84+X84+Z84</f>
        <v/>
      </c>
      <c r="AB84" s="402" t="inlineStr">
        <is>
          <t>ES85 2080 3509 1130 4009 6171</t>
        </is>
      </c>
      <c r="AC84" s="195" t="inlineStr">
        <is>
          <t>pagado</t>
        </is>
      </c>
      <c r="AD84" s="280">
        <f>L84+N84+P84+R84+T84+V84+X84+Z84</f>
        <v/>
      </c>
      <c r="AE84" s="280">
        <f>IF((LEFT(K84,6))="Contab",L84,0)</f>
        <v/>
      </c>
      <c r="AF84" s="281">
        <f>VLOOKUP(G84,CLIENTES!B:E,4,FALSE)</f>
        <v/>
      </c>
      <c r="AG84" s="280">
        <f>AF84*AE84</f>
        <v/>
      </c>
      <c r="AH84" s="280">
        <f>AD84*1.21</f>
        <v/>
      </c>
      <c r="AI84" s="284">
        <f>IF(AE84&lt;&gt;0,AG84/AD84,"N/A")</f>
        <v/>
      </c>
      <c r="AJ84" s="280">
        <f>IF(AC84="pendiente",AD84,0)</f>
        <v/>
      </c>
      <c r="AK84" s="278">
        <f>VLOOKUP(G84,CLIENTES!B:D,3,FALSE)</f>
        <v/>
      </c>
    </row>
    <row r="85" ht="15" customFormat="1" customHeight="1" s="192">
      <c r="B85" s="199" t="n"/>
      <c r="C85" s="192" t="inlineStr">
        <is>
          <t>c/ Las Cruzadas 3A, local D</t>
        </is>
      </c>
      <c r="D85" s="192" t="inlineStr">
        <is>
          <t>Sevilla 41004</t>
        </is>
      </c>
      <c r="E85" s="192" t="inlineStr">
        <is>
          <t>CIF B91938662</t>
        </is>
      </c>
      <c r="F85" s="192" t="inlineStr">
        <is>
          <t>aBalados@abalados.es</t>
        </is>
      </c>
      <c r="G85" s="192" t="inlineStr">
        <is>
          <t>Promotores Benejama Generación, S.L.</t>
        </is>
      </c>
      <c r="H85" s="192">
        <f>VLOOKUP($G85,DATOS!$B:$E,2,FALSE)</f>
        <v/>
      </c>
      <c r="I85" s="192">
        <f>VLOOKUP($G85,DATOS!$B:$E,3,FALSE)</f>
        <v/>
      </c>
      <c r="J85" s="192">
        <f>VLOOKUP($G85,DATOS!$B:$E,4,FALSE)</f>
        <v/>
      </c>
      <c r="K85" s="192" t="inlineStr">
        <is>
          <t>Factura de suplidos</t>
        </is>
      </c>
      <c r="L85" s="200" t="n"/>
      <c r="M85" s="192" t="inlineStr">
        <is>
          <t xml:space="preserve">Pago factura nº D/2024/5678 del Registro Mercantil de Sevilla </t>
        </is>
      </c>
      <c r="N85" s="200" t="n">
        <v>313.97</v>
      </c>
      <c r="P85" s="200" t="n"/>
      <c r="R85" s="200" t="n"/>
      <c r="T85" s="200" t="n"/>
      <c r="V85" s="200" t="n"/>
      <c r="X85" s="200" t="n"/>
      <c r="Z85" s="200" t="n"/>
      <c r="AA85" s="200">
        <f>L85+N85+P85+R85+T85+V85+X85+Z85</f>
        <v/>
      </c>
      <c r="AB85" s="403" t="inlineStr">
        <is>
          <t>ES85 2080 3509 1130 4009 6171</t>
        </is>
      </c>
      <c r="AC85" s="195" t="inlineStr">
        <is>
          <t>pagado</t>
        </is>
      </c>
      <c r="AD85" s="200">
        <f>L85+N85+P85+R85+T85+V85+X85+Z85</f>
        <v/>
      </c>
      <c r="AE85" s="200">
        <f>IF((LEFT(K85,6))="Contab",L85,0)</f>
        <v/>
      </c>
      <c r="AF85" s="201">
        <f>VLOOKUP(G85,CLIENTES!B:E,4,FALSE)</f>
        <v/>
      </c>
      <c r="AG85" s="200">
        <f>AF85*AE85</f>
        <v/>
      </c>
      <c r="AH85" s="200">
        <f>AD85*1.21</f>
        <v/>
      </c>
      <c r="AI85" s="283">
        <f>IF(AE85&lt;&gt;0,AG85/AD85,"N/A")</f>
        <v/>
      </c>
      <c r="AJ85" s="200">
        <f>IF(AC85="pendiente",AD85,0)</f>
        <v/>
      </c>
      <c r="AK85" s="192">
        <f>VLOOKUP(G85,CLIENTES!B:D,3,FALSE)</f>
        <v/>
      </c>
    </row>
    <row r="86" ht="15" customFormat="1" customHeight="1" s="192">
      <c r="B86" s="199" t="n"/>
      <c r="C86" s="192" t="inlineStr">
        <is>
          <t>c/ Las Cruzadas 3A, local D</t>
        </is>
      </c>
      <c r="D86" s="192" t="inlineStr">
        <is>
          <t>Sevilla 41004</t>
        </is>
      </c>
      <c r="E86" s="192" t="inlineStr">
        <is>
          <t>CIF B91938662</t>
        </is>
      </c>
      <c r="F86" s="192" t="inlineStr">
        <is>
          <t>aBalados@abalados.es</t>
        </is>
      </c>
      <c r="G86" s="192" t="inlineStr">
        <is>
          <t>China Triumph International Engineering Co., LTD EP EN SPAIN</t>
        </is>
      </c>
      <c r="H86" s="192">
        <f>VLOOKUP($G86,DATOS!$B:$E,2,FALSE)</f>
        <v/>
      </c>
      <c r="I86" s="192">
        <f>VLOOKUP($G86,DATOS!$B:$E,3,FALSE)</f>
        <v/>
      </c>
      <c r="J86" s="192">
        <f>VLOOKUP($G86,DATOS!$B:$E,4,FALSE)</f>
        <v/>
      </c>
      <c r="K86" s="192" t="inlineStr">
        <is>
          <t>Factura de suplidos</t>
        </is>
      </c>
      <c r="L86" s="200" t="n"/>
      <c r="M86" s="192" t="inlineStr">
        <is>
          <t>Technical Advisory  -  DoA No.2406_01</t>
        </is>
      </c>
      <c r="N86" s="200" t="n"/>
      <c r="O86" s="192" t="inlineStr">
        <is>
          <t>Puerto Real 1 PV - Cádiz | Spain</t>
        </is>
      </c>
      <c r="P86" s="200" t="n"/>
      <c r="R86" s="200" t="n"/>
      <c r="S86" s="192" t="inlineStr">
        <is>
          <t>Advanced payment for Hitachi's EM5DA air dryer for substation</t>
        </is>
      </c>
      <c r="T86" s="200" t="n">
        <v>1130</v>
      </c>
      <c r="V86" s="200" t="n"/>
      <c r="X86" s="200" t="n"/>
      <c r="Z86" s="200" t="n"/>
      <c r="AA86" s="200">
        <f>L86+N86+P86+R86+T86+V86+X86+Z86</f>
        <v/>
      </c>
      <c r="AB86" s="403" t="inlineStr">
        <is>
          <t>ES85 2080 3509 1130 4009 6171</t>
        </is>
      </c>
      <c r="AC86" s="192" t="inlineStr">
        <is>
          <t>pagado</t>
        </is>
      </c>
      <c r="AD86" s="200">
        <f>L86+N86+P86+R86+T86+V86+X86+Z86</f>
        <v/>
      </c>
      <c r="AE86" s="200">
        <f>IF((LEFT(K86,6))="Contab",L86,0)</f>
        <v/>
      </c>
      <c r="AF86" s="201">
        <f>VLOOKUP(G86,CLIENTES!B:E,4,FALSE)</f>
        <v/>
      </c>
      <c r="AG86" s="200">
        <f>AF86*AE86</f>
        <v/>
      </c>
      <c r="AH86" s="200">
        <f>AD86*1.21</f>
        <v/>
      </c>
      <c r="AI86" s="283">
        <f>IF(AE86&lt;&gt;0,AG86/AD86,"N/A")</f>
        <v/>
      </c>
      <c r="AJ86" s="200">
        <f>IF(AC86="pendiente",AD86,0)</f>
        <v/>
      </c>
      <c r="AK86" s="192">
        <f>VLOOKUP(G86,CLIENTES!B:D,3,FALSE)</f>
        <v/>
      </c>
    </row>
    <row r="87" ht="15" customFormat="1" customHeight="1" s="278">
      <c r="B87" s="279" t="n"/>
      <c r="C87" s="278" t="inlineStr">
        <is>
          <t>c/ Las Cruzadas 3A, local D</t>
        </is>
      </c>
      <c r="D87" s="278" t="inlineStr">
        <is>
          <t>Sevilla 41004</t>
        </is>
      </c>
      <c r="E87" s="278" t="inlineStr">
        <is>
          <t>CIF B91938662</t>
        </is>
      </c>
      <c r="F87" s="278" t="inlineStr">
        <is>
          <t>aBalados@abalados.es</t>
        </is>
      </c>
      <c r="G87" s="278" t="inlineStr">
        <is>
          <t>FP LUX REIO PV ZARAGOZA SL.</t>
        </is>
      </c>
      <c r="H87" s="278">
        <f>VLOOKUP($G87,DATOS!$B:$E,2,FALSE)</f>
        <v/>
      </c>
      <c r="I87" s="278">
        <f>VLOOKUP($G87,DATOS!$B:$E,3,FALSE)</f>
        <v/>
      </c>
      <c r="J87" s="278">
        <f>VLOOKUP($G87,DATOS!$B:$E,4,FALSE)</f>
        <v/>
      </c>
      <c r="K87" s="278" t="inlineStr">
        <is>
          <t>Factura de suplidos</t>
        </is>
      </c>
      <c r="L87" s="280" t="n"/>
      <c r="M87" s="278" t="inlineStr">
        <is>
          <t>Tasa Autonómica OCA MT</t>
        </is>
      </c>
      <c r="N87" s="280">
        <f>20</f>
        <v/>
      </c>
      <c r="O87" s="278" t="inlineStr">
        <is>
          <t>Nota informativa Registro Mercantil</t>
        </is>
      </c>
      <c r="P87" s="280" t="n">
        <v>8.26</v>
      </c>
      <c r="R87" s="280" t="n"/>
      <c r="T87" s="280" t="n"/>
      <c r="V87" s="280" t="n"/>
      <c r="X87" s="280" t="n"/>
      <c r="Z87" s="280" t="n"/>
      <c r="AA87" s="280">
        <f>L87+N87+P87+R87+T87+V87+X87+Z87</f>
        <v/>
      </c>
      <c r="AB87" s="402" t="inlineStr">
        <is>
          <t>ES85 2080 3509 1130 4009 6171</t>
        </is>
      </c>
      <c r="AC87" s="278" t="inlineStr">
        <is>
          <t>pagado</t>
        </is>
      </c>
      <c r="AD87" s="280">
        <f>L87+N87+P87+R87+T87+V87+X87+Z87</f>
        <v/>
      </c>
      <c r="AE87" s="280">
        <f>IF((LEFT(K87,6))="Contab",L87,0)</f>
        <v/>
      </c>
      <c r="AF87" s="281">
        <f>VLOOKUP(G87,CLIENTES!B:E,4,FALSE)</f>
        <v/>
      </c>
      <c r="AG87" s="280">
        <f>AF87*AE87</f>
        <v/>
      </c>
      <c r="AH87" s="280">
        <f>AD87*1.21</f>
        <v/>
      </c>
      <c r="AI87" s="284">
        <f>IF(AE87&lt;&gt;0,AG87/AD87,"N/A")</f>
        <v/>
      </c>
      <c r="AJ87" s="280">
        <f>IF(AC87="pendiente",AD87,0)</f>
        <v/>
      </c>
      <c r="AK87" s="278">
        <f>VLOOKUP(G87,CLIENTES!B:D,3,FALSE)</f>
        <v/>
      </c>
    </row>
    <row r="88" ht="15" customFormat="1" customHeight="1" s="192">
      <c r="B88" s="199" t="n"/>
      <c r="C88" s="192" t="inlineStr">
        <is>
          <t>c/ Las Cruzadas 3A, local D</t>
        </is>
      </c>
      <c r="D88" s="192" t="inlineStr">
        <is>
          <t>Sevilla 41004</t>
        </is>
      </c>
      <c r="E88" s="192" t="inlineStr">
        <is>
          <t>CIF B91938662</t>
        </is>
      </c>
      <c r="F88" s="192" t="inlineStr">
        <is>
          <t>aBalados@abalados.es</t>
        </is>
      </c>
      <c r="G88" s="192" t="inlineStr">
        <is>
          <t>Inver Generación 1, S.L.</t>
        </is>
      </c>
      <c r="H88" s="192">
        <f>VLOOKUP($G88,DATOS!$B:$E,2,FALSE)</f>
        <v/>
      </c>
      <c r="I88" s="192">
        <f>VLOOKUP($G88,DATOS!$B:$E,3,FALSE)</f>
        <v/>
      </c>
      <c r="J88" s="192">
        <f>VLOOKUP($G88,DATOS!$B:$E,4,FALSE)</f>
        <v/>
      </c>
      <c r="K88" s="192" t="inlineStr">
        <is>
          <t>Factura de suplidos</t>
        </is>
      </c>
      <c r="L88" s="200" t="n"/>
      <c r="M88" s="192" t="inlineStr">
        <is>
          <t>Nota informativa Registro Mercantil</t>
        </is>
      </c>
      <c r="N88" s="200">
        <f>6.97</f>
        <v/>
      </c>
      <c r="O88" s="192" t="inlineStr">
        <is>
          <t>Emisión LEI</t>
        </is>
      </c>
      <c r="P88" s="200" t="n">
        <v>104.16</v>
      </c>
      <c r="R88" s="200" t="n"/>
      <c r="T88" s="200" t="n"/>
      <c r="V88" s="200" t="n"/>
      <c r="X88" s="200" t="n"/>
      <c r="Z88" s="200" t="n"/>
      <c r="AA88" s="200">
        <f>L88+N88+P88+R88+T88+V88+X88+Z88</f>
        <v/>
      </c>
      <c r="AB88" s="403" t="inlineStr">
        <is>
          <t>ES85 2080 3509 1130 4009 6171</t>
        </is>
      </c>
      <c r="AC88" s="192" t="inlineStr">
        <is>
          <t>pagado</t>
        </is>
      </c>
      <c r="AD88" s="200">
        <f>L88+N88+P88+R88+T88+V88+X88+Z88</f>
        <v/>
      </c>
      <c r="AE88" s="200">
        <f>IF((LEFT(K88,6))="Contab",L88,0)</f>
        <v/>
      </c>
      <c r="AF88" s="201">
        <f>VLOOKUP(G88,CLIENTES!B:E,4,FALSE)</f>
        <v/>
      </c>
      <c r="AG88" s="200">
        <f>AF88*AE88</f>
        <v/>
      </c>
      <c r="AH88" s="200">
        <f>AD88*1.21</f>
        <v/>
      </c>
      <c r="AI88" s="283">
        <f>IF(AE88&lt;&gt;0,AG88/AD88,"N/A")</f>
        <v/>
      </c>
      <c r="AJ88" s="200">
        <f>IF(AC88="pendiente",AD88,0)</f>
        <v/>
      </c>
      <c r="AK88" s="192">
        <f>VLOOKUP(G88,CLIENTES!B:D,3,FALSE)</f>
        <v/>
      </c>
    </row>
    <row r="89" ht="15" customFormat="1" customHeight="1" s="192">
      <c r="B89" s="199" t="n"/>
      <c r="C89" s="192" t="inlineStr">
        <is>
          <t>c/ Las Cruzadas 3A, local D</t>
        </is>
      </c>
      <c r="D89" s="192" t="inlineStr">
        <is>
          <t>Sevilla 41004</t>
        </is>
      </c>
      <c r="E89" s="192" t="inlineStr">
        <is>
          <t>CIF B91938662</t>
        </is>
      </c>
      <c r="F89" s="192" t="inlineStr">
        <is>
          <t>aBalados@abalados.es</t>
        </is>
      </c>
      <c r="G89" s="192" t="inlineStr">
        <is>
          <t>FP LUX REIO PV ZARAGOZA SL.</t>
        </is>
      </c>
      <c r="H89" s="192">
        <f>VLOOKUP($G89,DATOS!$B:$E,2,FALSE)</f>
        <v/>
      </c>
      <c r="I89" s="192">
        <f>VLOOKUP($G89,DATOS!$B:$E,3,FALSE)</f>
        <v/>
      </c>
      <c r="J89" s="192">
        <f>VLOOKUP($G89,DATOS!$B:$E,4,FALSE)</f>
        <v/>
      </c>
      <c r="K89" s="192" t="inlineStr">
        <is>
          <t>Factura de suplidos</t>
        </is>
      </c>
      <c r="L89" s="200" t="n"/>
      <c r="M89" s="192" t="inlineStr">
        <is>
          <t>PSFV El Marqués - Zaragoza | Spain</t>
        </is>
      </c>
      <c r="N89" s="200" t="n"/>
      <c r="P89" s="200" t="n"/>
      <c r="Q89" s="192" t="inlineStr">
        <is>
          <t>Advanced payment - TAX Mod.746 (2024 1ºP.F.)</t>
        </is>
      </c>
      <c r="R89" s="200" t="n">
        <v>2978.95</v>
      </c>
      <c r="T89" s="200" t="n"/>
      <c r="V89" s="200" t="n"/>
      <c r="X89" s="200" t="n"/>
      <c r="Z89" s="200" t="n"/>
      <c r="AA89" s="200">
        <f>L89+N89+P89+R89+T89+V89+X89+Z89</f>
        <v/>
      </c>
      <c r="AB89" s="403" t="inlineStr">
        <is>
          <t>ES85 2080 3509 1130 4009 6171</t>
        </is>
      </c>
      <c r="AC89" s="192" t="inlineStr">
        <is>
          <t>pagado</t>
        </is>
      </c>
      <c r="AD89" s="200">
        <f>L89+N89+P89+R89+T89+V89+X89+Z89</f>
        <v/>
      </c>
      <c r="AE89" s="200">
        <f>IF((LEFT(K89,6))="Contab",L89,0)</f>
        <v/>
      </c>
      <c r="AF89" s="201">
        <f>VLOOKUP(G89,CLIENTES!B:E,4,FALSE)</f>
        <v/>
      </c>
      <c r="AG89" s="200">
        <f>AF89*AE89</f>
        <v/>
      </c>
      <c r="AH89" s="200">
        <f>AD89*1.21</f>
        <v/>
      </c>
      <c r="AI89" s="283">
        <f>IF(AE89&lt;&gt;0,AG89/AD89,"N/A")</f>
        <v/>
      </c>
      <c r="AJ89" s="200">
        <f>IF(AC89="pendiente",AD89,0)</f>
        <v/>
      </c>
      <c r="AK89" s="192">
        <f>VLOOKUP(G89,CLIENTES!B:D,3,FALSE)</f>
        <v/>
      </c>
    </row>
    <row r="90" ht="15" customFormat="1" customHeight="1" s="278">
      <c r="B90" s="279" t="n"/>
      <c r="C90" s="278" t="inlineStr">
        <is>
          <t>c/ Las Cruzadas 3A, local D</t>
        </is>
      </c>
      <c r="D90" s="278" t="inlineStr">
        <is>
          <t>Sevilla 41004</t>
        </is>
      </c>
      <c r="E90" s="278" t="inlineStr">
        <is>
          <t>CIF B91938662</t>
        </is>
      </c>
      <c r="F90" s="278" t="inlineStr">
        <is>
          <t>aBalados@abalados.es</t>
        </is>
      </c>
      <c r="G90" s="278" t="inlineStr">
        <is>
          <t>FP LUX REIO PV ZARAGOZA SL.</t>
        </is>
      </c>
      <c r="H90" s="278">
        <f>VLOOKUP($G90,DATOS!$B:$E,2,FALSE)</f>
        <v/>
      </c>
      <c r="I90" s="278">
        <f>VLOOKUP($G90,DATOS!$B:$E,3,FALSE)</f>
        <v/>
      </c>
      <c r="J90" s="278">
        <f>VLOOKUP($G90,DATOS!$B:$E,4,FALSE)</f>
        <v/>
      </c>
      <c r="K90" s="278" t="inlineStr">
        <is>
          <t>Factura de suplidos</t>
        </is>
      </c>
      <c r="L90" s="280" t="n"/>
      <c r="M90" s="278" t="inlineStr">
        <is>
          <t>Tasa Autonómica OCA MT</t>
        </is>
      </c>
      <c r="N90" s="280">
        <f>20</f>
        <v/>
      </c>
      <c r="P90" s="280" t="n"/>
      <c r="R90" s="280" t="n"/>
      <c r="T90" s="280" t="n"/>
      <c r="U90" s="278" t="inlineStr">
        <is>
          <t>El presente suplido rectifica al S24023</t>
        </is>
      </c>
      <c r="V90" s="280" t="n"/>
      <c r="X90" s="280" t="n"/>
      <c r="Z90" s="280" t="n"/>
      <c r="AA90" s="280">
        <f>L90+N90+P90+R90+T90+V90+X90+Z90</f>
        <v/>
      </c>
      <c r="AB90" s="402" t="inlineStr">
        <is>
          <t>ES85 2080 3509 1130 4009 6171</t>
        </is>
      </c>
      <c r="AC90" s="278" t="inlineStr">
        <is>
          <t>pagado</t>
        </is>
      </c>
      <c r="AD90" s="280">
        <f>L90+N90+P90+R90+T90+V90+X90+Z90</f>
        <v/>
      </c>
      <c r="AE90" s="280">
        <f>IF((LEFT(K90,6))="Contab",L90,0)</f>
        <v/>
      </c>
      <c r="AF90" s="281">
        <f>VLOOKUP(G90,CLIENTES!B:E,4,FALSE)</f>
        <v/>
      </c>
      <c r="AG90" s="280">
        <f>AF90*AE90</f>
        <v/>
      </c>
      <c r="AH90" s="280">
        <f>AD90*1.21</f>
        <v/>
      </c>
      <c r="AI90" s="284">
        <f>IF(AE90&lt;&gt;0,AG90/AD90,"N/A")</f>
        <v/>
      </c>
      <c r="AJ90" s="280">
        <f>IF(AC90="pendiente",AD90,0)</f>
        <v/>
      </c>
      <c r="AK90" s="278">
        <f>VLOOKUP(G90,CLIENTES!B:D,3,FALSE)</f>
        <v/>
      </c>
    </row>
    <row r="91" ht="15" customFormat="1" customHeight="1" s="192">
      <c r="B91" s="199" t="n"/>
      <c r="C91" s="192" t="inlineStr">
        <is>
          <t>c/ Las Cruzadas 3A, local D</t>
        </is>
      </c>
      <c r="D91" s="192" t="inlineStr">
        <is>
          <t>Sevilla 41004</t>
        </is>
      </c>
      <c r="E91" s="192" t="inlineStr">
        <is>
          <t>CIF B91938662</t>
        </is>
      </c>
      <c r="F91" s="192" t="inlineStr">
        <is>
          <t>aBalados@abalados.es</t>
        </is>
      </c>
      <c r="G91" s="192" t="inlineStr">
        <is>
          <t>FP LUX REIO PV VALLADOLID, S.L.U.</t>
        </is>
      </c>
      <c r="H91" s="192">
        <f>VLOOKUP($G91,DATOS!$B:$E,2,FALSE)</f>
        <v/>
      </c>
      <c r="I91" s="192">
        <f>VLOOKUP($G91,DATOS!$B:$E,3,FALSE)</f>
        <v/>
      </c>
      <c r="J91" s="192">
        <f>VLOOKUP($G91,DATOS!$B:$E,4,FALSE)</f>
        <v/>
      </c>
      <c r="K91" s="192" t="inlineStr">
        <is>
          <t>Factura de suplidos</t>
        </is>
      </c>
      <c r="L91" s="200" t="n"/>
      <c r="M91" s="192" t="inlineStr">
        <is>
          <t>Emisión LEI</t>
        </is>
      </c>
      <c r="N91" s="200" t="n">
        <v>104.16</v>
      </c>
      <c r="P91" s="200" t="n"/>
      <c r="R91" s="200" t="n"/>
      <c r="T91" s="200" t="n"/>
      <c r="U91" s="192" t="inlineStr">
        <is>
          <t>El presente suplido rectifica al S24024</t>
        </is>
      </c>
      <c r="V91" s="200" t="n"/>
      <c r="X91" s="200" t="n"/>
      <c r="Z91" s="200" t="n"/>
      <c r="AA91" s="200">
        <f>L91+N91+P91+R91+T91+V91+X91+Z91</f>
        <v/>
      </c>
      <c r="AB91" s="403" t="inlineStr">
        <is>
          <t>ES85 2080 3509 1130 4009 6171</t>
        </is>
      </c>
      <c r="AC91" s="192" t="inlineStr">
        <is>
          <t>pagado</t>
        </is>
      </c>
      <c r="AD91" s="200">
        <f>L91+N91+P91+R91+T91+V91+X91+Z91</f>
        <v/>
      </c>
      <c r="AE91" s="200">
        <f>IF((LEFT(K91,6))="Contab",L91,0)</f>
        <v/>
      </c>
      <c r="AF91" s="201">
        <f>VLOOKUP(G91,CLIENTES!B:E,4,FALSE)</f>
        <v/>
      </c>
      <c r="AG91" s="200">
        <f>AF91*AE91</f>
        <v/>
      </c>
      <c r="AH91" s="200">
        <f>AD91*1.21</f>
        <v/>
      </c>
      <c r="AI91" s="283">
        <f>IF(AE91&lt;&gt;0,AG91/AD91,"N/A")</f>
        <v/>
      </c>
      <c r="AJ91" s="200">
        <f>IF(AC91="pendiente",AD91,0)</f>
        <v/>
      </c>
      <c r="AK91" s="192">
        <f>VLOOKUP(G91,CLIENTES!B:D,3,FALSE)</f>
        <v/>
      </c>
    </row>
    <row r="92" ht="15" customFormat="1" customHeight="1" s="195">
      <c r="B92" s="194" t="n"/>
      <c r="C92" s="195" t="inlineStr">
        <is>
          <t>c/ Las Cruzadas 3A, local D</t>
        </is>
      </c>
      <c r="D92" s="195" t="inlineStr">
        <is>
          <t>Sevilla 41004</t>
        </is>
      </c>
      <c r="E92" s="195" t="inlineStr">
        <is>
          <t>CIF B91938662</t>
        </is>
      </c>
      <c r="F92" s="195" t="inlineStr">
        <is>
          <t>aBalados@abalados.es</t>
        </is>
      </c>
      <c r="G92" s="195" t="inlineStr">
        <is>
          <t>Renovables Brovales 400 kV, S.L.</t>
        </is>
      </c>
      <c r="H92" s="195">
        <f>VLOOKUP($G92,DATOS!$B:$E,2,FALSE)</f>
        <v/>
      </c>
      <c r="I92" s="195">
        <f>VLOOKUP($G92,DATOS!$B:$E,3,FALSE)</f>
        <v/>
      </c>
      <c r="J92" s="195">
        <f>VLOOKUP($G92,DATOS!$B:$E,4,FALSE)</f>
        <v/>
      </c>
      <c r="K92" s="195" t="inlineStr">
        <is>
          <t>Factura de suplidos</t>
        </is>
      </c>
      <c r="L92" s="196" t="n"/>
      <c r="M92" s="195" t="inlineStr">
        <is>
          <t>FACTURA REGISTRO MERCANTIL DE SEVILLA NºD/2024/5211</t>
        </is>
      </c>
      <c r="N92" s="196" t="n">
        <v>140.72</v>
      </c>
      <c r="P92" s="196" t="n"/>
      <c r="R92" s="196" t="n"/>
      <c r="T92" s="196" t="n"/>
      <c r="V92" s="196" t="n"/>
      <c r="X92" s="196" t="n"/>
      <c r="Z92" s="196" t="n"/>
      <c r="AA92" s="196">
        <f>L92+N92+P92+R92+T92+V92+X92+Z92</f>
        <v/>
      </c>
      <c r="AB92" s="401" t="inlineStr">
        <is>
          <t>ES85 2080 3509 1130 4009 6171</t>
        </is>
      </c>
      <c r="AC92" s="195" t="inlineStr">
        <is>
          <t>pagado</t>
        </is>
      </c>
      <c r="AD92" s="196">
        <f>L92+N92+P92+R92+T92+V92+X92+Z92</f>
        <v/>
      </c>
      <c r="AE92" s="196">
        <f>IF((LEFT(K92,6))="Contab",L92,0)</f>
        <v/>
      </c>
      <c r="AF92" s="197">
        <f>VLOOKUP(G92,CLIENTES!B:E,4,FALSE)</f>
        <v/>
      </c>
      <c r="AG92" s="196">
        <f>AF92*AE92</f>
        <v/>
      </c>
      <c r="AH92" s="196">
        <f>AD92*1.21</f>
        <v/>
      </c>
      <c r="AI92" s="285">
        <f>IF(AE92&lt;&gt;0,AG92/AD92,"N/A")</f>
        <v/>
      </c>
      <c r="AJ92" s="196">
        <f>IF(AC92="pendiente",AD92,0)</f>
        <v/>
      </c>
      <c r="AK92" s="195">
        <f>VLOOKUP(G92,CLIENTES!B:D,3,FALSE)</f>
        <v/>
      </c>
    </row>
    <row r="93" ht="15" customFormat="1" customHeight="1" s="278">
      <c r="B93" s="279" t="n"/>
      <c r="C93" s="278" t="inlineStr">
        <is>
          <t>c/ Las Cruzadas 3A, local D</t>
        </is>
      </c>
      <c r="D93" s="278" t="inlineStr">
        <is>
          <t>Sevilla 41004</t>
        </is>
      </c>
      <c r="E93" s="278" t="inlineStr">
        <is>
          <t>CIF B91938662</t>
        </is>
      </c>
      <c r="F93" s="278" t="inlineStr">
        <is>
          <t>aBalados@abalados.es</t>
        </is>
      </c>
      <c r="G93" s="278" t="inlineStr">
        <is>
          <t>SE Colectora Ayora Renovables, A.I.E.</t>
        </is>
      </c>
      <c r="H93" s="278">
        <f>VLOOKUP($G93,DATOS!$B:$E,2,FALSE)</f>
        <v/>
      </c>
      <c r="I93" s="278">
        <f>VLOOKUP($G93,DATOS!$B:$E,3,FALSE)</f>
        <v/>
      </c>
      <c r="J93" s="278">
        <f>VLOOKUP($G93,DATOS!$B:$E,4,FALSE)</f>
        <v/>
      </c>
      <c r="K93" s="278" t="inlineStr">
        <is>
          <t>Factura de suplidos</t>
        </is>
      </c>
      <c r="L93" s="280" t="n"/>
      <c r="M93" s="278" t="inlineStr">
        <is>
          <t>FACTURA FNMT Nº8240443125</t>
        </is>
      </c>
      <c r="N93" s="280" t="n">
        <v>16.94</v>
      </c>
      <c r="P93" s="280" t="n"/>
      <c r="R93" s="280" t="n"/>
      <c r="T93" s="280" t="n"/>
      <c r="V93" s="280" t="n"/>
      <c r="X93" s="280" t="n"/>
      <c r="Z93" s="280" t="n"/>
      <c r="AA93" s="280">
        <f>L93+N93+P93+R93+T93+V93+X93+Z93</f>
        <v/>
      </c>
      <c r="AB93" s="402" t="inlineStr">
        <is>
          <t>ES85 2080 3509 1130 4009 6171</t>
        </is>
      </c>
      <c r="AC93" s="278" t="inlineStr">
        <is>
          <t>pendiente</t>
        </is>
      </c>
      <c r="AD93" s="280">
        <f>L93+N93+P93+R93+T93+V93+X93+Z93</f>
        <v/>
      </c>
      <c r="AE93" s="280">
        <f>IF((LEFT(K93,6))="Contab",L93,0)</f>
        <v/>
      </c>
      <c r="AF93" s="281">
        <f>VLOOKUP(G93,CLIENTES!B:E,4,FALSE)</f>
        <v/>
      </c>
      <c r="AG93" s="280">
        <f>AF93*AE93</f>
        <v/>
      </c>
      <c r="AH93" s="280">
        <f>AD93*1.21</f>
        <v/>
      </c>
      <c r="AI93" s="284">
        <f>IF(AE93&lt;&gt;0,AG93/AD93,"N/A")</f>
        <v/>
      </c>
      <c r="AJ93" s="280">
        <f>IF(AC93="pendiente",AD93,0)</f>
        <v/>
      </c>
      <c r="AK93" s="278">
        <f>VLOOKUP(G93,CLIENTES!B:D,3,FALSE)</f>
        <v/>
      </c>
    </row>
    <row r="94" ht="15" customFormat="1" customHeight="1" s="278">
      <c r="B94" s="279" t="n"/>
      <c r="C94" s="278" t="inlineStr">
        <is>
          <t>c/ Las Cruzadas 3A, local D</t>
        </is>
      </c>
      <c r="D94" s="278" t="inlineStr">
        <is>
          <t>Sevilla 41004</t>
        </is>
      </c>
      <c r="E94" s="278" t="inlineStr">
        <is>
          <t>CIF B91938662</t>
        </is>
      </c>
      <c r="F94" s="278" t="inlineStr">
        <is>
          <t>aBalados@abalados.es</t>
        </is>
      </c>
      <c r="G94" s="278" t="inlineStr">
        <is>
          <t>Renovables Valle Solar Fotovoltaica, A.I.E.</t>
        </is>
      </c>
      <c r="H94" s="278">
        <f>VLOOKUP($G94,DATOS!$B:$E,2,FALSE)</f>
        <v/>
      </c>
      <c r="I94" s="278">
        <f>VLOOKUP($G94,DATOS!$B:$E,3,FALSE)</f>
        <v/>
      </c>
      <c r="J94" s="278">
        <f>VLOOKUP($G94,DATOS!$B:$E,4,FALSE)</f>
        <v/>
      </c>
      <c r="K94" s="278" t="inlineStr">
        <is>
          <t>Factura de suplidos</t>
        </is>
      </c>
      <c r="L94" s="280" t="n"/>
      <c r="M94" s="278" t="inlineStr">
        <is>
          <t>FACTURA FNMT Nº840443128</t>
        </is>
      </c>
      <c r="N94" s="280" t="n">
        <v>16.94</v>
      </c>
      <c r="P94" s="280" t="n"/>
      <c r="R94" s="280" t="n"/>
      <c r="T94" s="280" t="n"/>
      <c r="V94" s="280" t="n"/>
      <c r="X94" s="280" t="n"/>
      <c r="Z94" s="280" t="n"/>
      <c r="AA94" s="280">
        <f>L94+N94+P94+R94+T94+V94+X94+Z94</f>
        <v/>
      </c>
      <c r="AB94" s="402" t="inlineStr">
        <is>
          <t>ES85 2080 3509 1130 4009 6171</t>
        </is>
      </c>
      <c r="AC94" s="278" t="inlineStr">
        <is>
          <t>pendiente</t>
        </is>
      </c>
      <c r="AD94" s="280">
        <f>L94+N94+P94+R94+T94+V94+X94+Z94</f>
        <v/>
      </c>
      <c r="AE94" s="280">
        <f>IF((LEFT(K94,6))="Contab",L94,0)</f>
        <v/>
      </c>
      <c r="AF94" s="281">
        <f>VLOOKUP(G94,CLIENTES!B:E,4,FALSE)</f>
        <v/>
      </c>
      <c r="AG94" s="280">
        <f>AF94*AE94</f>
        <v/>
      </c>
      <c r="AH94" s="280">
        <f>AD94*1.21</f>
        <v/>
      </c>
      <c r="AI94" s="284">
        <f>IF(AE94&lt;&gt;0,AG94/AD94,"N/A")</f>
        <v/>
      </c>
      <c r="AJ94" s="280">
        <f>IF(AC94="pendiente",AD94,0)</f>
        <v/>
      </c>
      <c r="AK94" s="278">
        <f>VLOOKUP(G94,CLIENTES!B:D,3,FALSE)</f>
        <v/>
      </c>
    </row>
    <row r="95" ht="15" customFormat="1" customHeight="1" s="278">
      <c r="B95" s="279" t="n"/>
      <c r="C95" s="278" t="inlineStr">
        <is>
          <t>c/ Las Cruzadas 3A, local D</t>
        </is>
      </c>
      <c r="D95" s="278" t="inlineStr">
        <is>
          <t>Sevilla 41004</t>
        </is>
      </c>
      <c r="E95" s="278" t="inlineStr">
        <is>
          <t>CIF B91938662</t>
        </is>
      </c>
      <c r="F95" s="278" t="inlineStr">
        <is>
          <t>aBalados@abalados.es</t>
        </is>
      </c>
      <c r="G95" s="278" t="inlineStr">
        <is>
          <t>La Serranilla Renovables 132 kV, A.I.E.</t>
        </is>
      </c>
      <c r="H95" s="278">
        <f>VLOOKUP($G95,DATOS!$B:$E,2,FALSE)</f>
        <v/>
      </c>
      <c r="I95" s="278">
        <f>VLOOKUP($G95,DATOS!$B:$E,3,FALSE)</f>
        <v/>
      </c>
      <c r="J95" s="278">
        <f>VLOOKUP($G95,DATOS!$B:$E,4,FALSE)</f>
        <v/>
      </c>
      <c r="K95" s="278" t="inlineStr">
        <is>
          <t>Factura de suplidos</t>
        </is>
      </c>
      <c r="L95" s="280" t="n"/>
      <c r="M95" s="278" t="inlineStr">
        <is>
          <t>FACTURA FNMT Nº8240881627</t>
        </is>
      </c>
      <c r="N95" s="280" t="n">
        <v>16.94</v>
      </c>
      <c r="P95" s="280" t="n"/>
      <c r="R95" s="280" t="n"/>
      <c r="T95" s="280" t="n"/>
      <c r="V95" s="280" t="n"/>
      <c r="X95" s="280" t="n"/>
      <c r="Z95" s="280" t="n"/>
      <c r="AA95" s="280">
        <f>L95+N95+P95+R95+T95+V95+X95+Z95</f>
        <v/>
      </c>
      <c r="AB95" s="402" t="inlineStr">
        <is>
          <t>ES85 2080 3509 1130 4009 6171</t>
        </is>
      </c>
      <c r="AC95" s="278" t="inlineStr">
        <is>
          <t>pendiente</t>
        </is>
      </c>
      <c r="AD95" s="280">
        <f>L95+N95+P95+R95+T95+V95+X95+Z95</f>
        <v/>
      </c>
      <c r="AE95" s="280">
        <f>IF((LEFT(K95,6))="Contab",L95,0)</f>
        <v/>
      </c>
      <c r="AF95" s="281">
        <f>VLOOKUP(G95,CLIENTES!B:E,4,FALSE)</f>
        <v/>
      </c>
      <c r="AG95" s="280">
        <f>AF95*AE95</f>
        <v/>
      </c>
      <c r="AH95" s="280">
        <f>AD95*1.21</f>
        <v/>
      </c>
      <c r="AI95" s="284">
        <f>IF(AE95&lt;&gt;0,AG95/AD95,"N/A")</f>
        <v/>
      </c>
      <c r="AJ95" s="280">
        <f>IF(AC95="pendiente",AD95,0)</f>
        <v/>
      </c>
      <c r="AK95" s="278">
        <f>VLOOKUP(G95,CLIENTES!B:D,3,FALSE)</f>
        <v/>
      </c>
    </row>
    <row r="96" ht="15" customFormat="1" customHeight="1" s="278">
      <c r="B96" s="279" t="n"/>
      <c r="C96" s="278" t="inlineStr">
        <is>
          <t>c/ Las Cruzadas 3A, local D</t>
        </is>
      </c>
      <c r="D96" s="278" t="inlineStr">
        <is>
          <t>Sevilla 41004</t>
        </is>
      </c>
      <c r="E96" s="278" t="inlineStr">
        <is>
          <t>CIF B91938662</t>
        </is>
      </c>
      <c r="F96" s="278" t="inlineStr">
        <is>
          <t>aBalados@abalados.es</t>
        </is>
      </c>
      <c r="G96" s="278" t="inlineStr">
        <is>
          <t>Línea Covatillas, A.I.E.</t>
        </is>
      </c>
      <c r="H96" s="278">
        <f>VLOOKUP($G96,DATOS!$B:$E,2,FALSE)</f>
        <v/>
      </c>
      <c r="I96" s="278">
        <f>VLOOKUP($G96,DATOS!$B:$E,3,FALSE)</f>
        <v/>
      </c>
      <c r="J96" s="278">
        <f>VLOOKUP($G96,DATOS!$B:$E,4,FALSE)</f>
        <v/>
      </c>
      <c r="K96" s="278" t="inlineStr">
        <is>
          <t>Factura de suplidos</t>
        </is>
      </c>
      <c r="L96" s="280" t="n"/>
      <c r="M96" s="278" t="inlineStr">
        <is>
          <t>FACTURA REGISTRO MERCANTIL DE SEVILLA Nº 12575684</t>
        </is>
      </c>
      <c r="N96" s="280" t="n">
        <v>400</v>
      </c>
      <c r="P96" s="280" t="n"/>
      <c r="R96" s="280" t="n"/>
      <c r="T96" s="280" t="n"/>
      <c r="V96" s="280" t="n"/>
      <c r="X96" s="280" t="n"/>
      <c r="Z96" s="280" t="n"/>
      <c r="AA96" s="280">
        <f>L96+N96+P96+R96+T96+V96+X96+Z96</f>
        <v/>
      </c>
      <c r="AB96" s="402" t="inlineStr">
        <is>
          <t>ES85 2080 3509 1130 4009 6171</t>
        </is>
      </c>
      <c r="AC96" s="278" t="inlineStr">
        <is>
          <t>pendiente</t>
        </is>
      </c>
      <c r="AD96" s="280">
        <f>L96+N96+P96+R96+T96+V96+X96+Z96</f>
        <v/>
      </c>
      <c r="AE96" s="280">
        <f>IF((LEFT(K96,6))="Contab",L96,0)</f>
        <v/>
      </c>
      <c r="AF96" s="281">
        <f>VLOOKUP(G96,CLIENTES!B:E,4,FALSE)</f>
        <v/>
      </c>
      <c r="AG96" s="280">
        <f>AF96*AE96</f>
        <v/>
      </c>
      <c r="AH96" s="280">
        <f>AD96*1.21</f>
        <v/>
      </c>
      <c r="AI96" s="284">
        <f>IF(AE96&lt;&gt;0,AG96/AD96,"N/A")</f>
        <v/>
      </c>
      <c r="AJ96" s="280">
        <f>IF(AC96="pendiente",AD96,0)</f>
        <v/>
      </c>
      <c r="AK96" s="278">
        <f>VLOOKUP(G96,CLIENTES!B:D,3,FALSE)</f>
        <v/>
      </c>
    </row>
    <row r="97" ht="15" customFormat="1" customHeight="1" s="278">
      <c r="B97" s="279" t="n"/>
      <c r="C97" s="278" t="inlineStr">
        <is>
          <t>c/ Las Cruzadas 3A, local D</t>
        </is>
      </c>
      <c r="D97" s="278" t="inlineStr">
        <is>
          <t>Sevilla 41004</t>
        </is>
      </c>
      <c r="E97" s="278" t="inlineStr">
        <is>
          <t>CIF B91938662</t>
        </is>
      </c>
      <c r="F97" s="278" t="inlineStr">
        <is>
          <t>aBalados@abalados.es</t>
        </is>
      </c>
      <c r="G97" s="278" t="inlineStr">
        <is>
          <t>Evacuación Tordesillas 400 kV, S.L.</t>
        </is>
      </c>
      <c r="H97" s="278">
        <f>VLOOKUP($G97,DATOS!$B:$E,2,FALSE)</f>
        <v/>
      </c>
      <c r="I97" s="278">
        <f>VLOOKUP($G97,DATOS!$B:$E,3,FALSE)</f>
        <v/>
      </c>
      <c r="J97" s="278">
        <f>VLOOKUP($G97,DATOS!$B:$E,4,FALSE)</f>
        <v/>
      </c>
      <c r="K97" s="278" t="inlineStr">
        <is>
          <t>Factura de suplidos</t>
        </is>
      </c>
      <c r="L97" s="280" t="n"/>
      <c r="M97" s="278" t="inlineStr">
        <is>
          <t>FACTURA FNMT Nº8240472753</t>
        </is>
      </c>
      <c r="N97" s="280" t="n">
        <v>16.94</v>
      </c>
      <c r="P97" s="280" t="n"/>
      <c r="R97" s="280" t="n"/>
      <c r="T97" s="280" t="n"/>
      <c r="V97" s="280" t="n"/>
      <c r="X97" s="280" t="n"/>
      <c r="Z97" s="280" t="n"/>
      <c r="AA97" s="280">
        <f>L97+N97+P97+R97+T97+V97+X97+Z97</f>
        <v/>
      </c>
      <c r="AB97" s="402" t="inlineStr">
        <is>
          <t>ES85 2080 3509 1130 4009 6171</t>
        </is>
      </c>
      <c r="AC97" s="278" t="inlineStr">
        <is>
          <t>pagado</t>
        </is>
      </c>
      <c r="AD97" s="280">
        <f>L97+N97+P97+R97+T97+V97+X97+Z97</f>
        <v/>
      </c>
      <c r="AE97" s="280">
        <f>IF((LEFT(K97,6))="Contab",L97,0)</f>
        <v/>
      </c>
      <c r="AF97" s="281">
        <f>VLOOKUP(G97,CLIENTES!B:E,4,FALSE)</f>
        <v/>
      </c>
      <c r="AG97" s="280">
        <f>AF97*AE97</f>
        <v/>
      </c>
      <c r="AH97" s="280">
        <f>AD97*1.21</f>
        <v/>
      </c>
      <c r="AI97" s="284">
        <f>IF(AE97&lt;&gt;0,AG97/AD97,"N/A")</f>
        <v/>
      </c>
      <c r="AJ97" s="280">
        <f>IF(AC97="pendiente",AD97,0)</f>
        <v/>
      </c>
      <c r="AK97" s="278">
        <f>VLOOKUP(G97,CLIENTES!B:D,3,FALSE)</f>
        <v/>
      </c>
    </row>
    <row r="98" ht="15" customFormat="1" customHeight="1" s="278">
      <c r="B98" s="279" t="n"/>
      <c r="C98" s="278" t="inlineStr">
        <is>
          <t>c/ Las Cruzadas 3A, local D</t>
        </is>
      </c>
      <c r="D98" s="278" t="inlineStr">
        <is>
          <t>Sevilla 41004</t>
        </is>
      </c>
      <c r="E98" s="278" t="inlineStr">
        <is>
          <t>CIF B91938662</t>
        </is>
      </c>
      <c r="F98" s="278" t="inlineStr">
        <is>
          <t>aBalados@abalados.es</t>
        </is>
      </c>
      <c r="G98" s="278" t="inlineStr">
        <is>
          <t>Irina Generación 220, A.I.E.</t>
        </is>
      </c>
      <c r="H98" s="278">
        <f>VLOOKUP($G98,DATOS!$B:$E,2,FALSE)</f>
        <v/>
      </c>
      <c r="I98" s="278">
        <f>VLOOKUP($G98,DATOS!$B:$E,3,FALSE)</f>
        <v/>
      </c>
      <c r="J98" s="278">
        <f>VLOOKUP($G98,DATOS!$B:$E,4,FALSE)</f>
        <v/>
      </c>
      <c r="K98" s="278" t="inlineStr">
        <is>
          <t>Factura de suplidos</t>
        </is>
      </c>
      <c r="L98" s="280" t="n"/>
      <c r="M98" s="278" t="inlineStr">
        <is>
          <t>FACTURA FNMT Nº8240687225</t>
        </is>
      </c>
      <c r="N98" s="280" t="n">
        <v>16.94</v>
      </c>
      <c r="P98" s="280" t="n"/>
      <c r="R98" s="280" t="n"/>
      <c r="T98" s="280" t="n"/>
      <c r="V98" s="280" t="n"/>
      <c r="X98" s="280" t="n"/>
      <c r="Z98" s="280" t="n"/>
      <c r="AA98" s="280">
        <f>L98+N98+P98+R98+T98+V98+X98+Z98</f>
        <v/>
      </c>
      <c r="AB98" s="402" t="inlineStr">
        <is>
          <t>ES85 2080 3509 1130 4009 6171</t>
        </is>
      </c>
      <c r="AC98" s="278" t="inlineStr">
        <is>
          <t>pagado</t>
        </is>
      </c>
      <c r="AD98" s="280">
        <f>L98+N98+P98+R98+T98+V98+X98+Z98</f>
        <v/>
      </c>
      <c r="AE98" s="280">
        <f>IF((LEFT(K98,6))="Contab",L98,0)</f>
        <v/>
      </c>
      <c r="AF98" s="281">
        <f>VLOOKUP(G98,CLIENTES!B:E,4,FALSE)</f>
        <v/>
      </c>
      <c r="AG98" s="280">
        <f>AF98*AE98</f>
        <v/>
      </c>
      <c r="AH98" s="280">
        <f>AD98*1.21</f>
        <v/>
      </c>
      <c r="AI98" s="284">
        <f>IF(AE98&lt;&gt;0,AG98/AD98,"N/A")</f>
        <v/>
      </c>
      <c r="AJ98" s="280">
        <f>IF(AC98="pendiente",AD98,0)</f>
        <v/>
      </c>
      <c r="AK98" s="278">
        <f>VLOOKUP(G98,CLIENTES!B:D,3,FALSE)</f>
        <v/>
      </c>
    </row>
    <row r="99" ht="15" customFormat="1" customHeight="1" s="278">
      <c r="B99" s="279" t="n"/>
      <c r="C99" s="278" t="inlineStr">
        <is>
          <t>c/ Las Cruzadas 3A, local D</t>
        </is>
      </c>
      <c r="D99" s="278" t="inlineStr">
        <is>
          <t>Sevilla 41004</t>
        </is>
      </c>
      <c r="E99" s="278" t="inlineStr">
        <is>
          <t>CIF B91938662</t>
        </is>
      </c>
      <c r="F99" s="278" t="inlineStr">
        <is>
          <t>aBalados@abalados.es</t>
        </is>
      </c>
      <c r="G99" s="278" t="inlineStr">
        <is>
          <t>Nudo SE Zaratan 220 kV, S.L.</t>
        </is>
      </c>
      <c r="H99" s="278">
        <f>VLOOKUP($G99,DATOS!$B:$E,2,FALSE)</f>
        <v/>
      </c>
      <c r="I99" s="278">
        <f>VLOOKUP($G99,DATOS!$B:$E,3,FALSE)</f>
        <v/>
      </c>
      <c r="J99" s="278">
        <f>VLOOKUP($G99,DATOS!$B:$E,4,FALSE)</f>
        <v/>
      </c>
      <c r="K99" s="278" t="inlineStr">
        <is>
          <t>Factura de suplidos</t>
        </is>
      </c>
      <c r="L99" s="280" t="n"/>
      <c r="M99" s="278" t="inlineStr">
        <is>
          <t>FACTURA FNMT Nº8240499207</t>
        </is>
      </c>
      <c r="N99" s="280" t="n">
        <v>16.94</v>
      </c>
      <c r="P99" s="280" t="n"/>
      <c r="R99" s="280" t="n"/>
      <c r="T99" s="280" t="n"/>
      <c r="V99" s="280" t="n"/>
      <c r="X99" s="280" t="n"/>
      <c r="Z99" s="280" t="n"/>
      <c r="AA99" s="280">
        <f>L99+N99+P99+R99+T99+V99+X99+Z99</f>
        <v/>
      </c>
      <c r="AB99" s="402" t="inlineStr">
        <is>
          <t>ES85 2080 3509 1130 4009 6171</t>
        </is>
      </c>
      <c r="AC99" s="278" t="inlineStr">
        <is>
          <t>pagado</t>
        </is>
      </c>
      <c r="AD99" s="280">
        <f>L99+N99+P99+R99+T99+V99+X99+Z99</f>
        <v/>
      </c>
      <c r="AE99" s="280">
        <f>IF((LEFT(K99,6))="Contab",L99,0)</f>
        <v/>
      </c>
      <c r="AF99" s="281">
        <f>VLOOKUP(G99,CLIENTES!B:E,4,FALSE)</f>
        <v/>
      </c>
      <c r="AG99" s="280">
        <f>AF99*AE99</f>
        <v/>
      </c>
      <c r="AH99" s="280">
        <f>AD99*1.21</f>
        <v/>
      </c>
      <c r="AI99" s="284">
        <f>IF(AE99&lt;&gt;0,AG99/AD99,"N/A")</f>
        <v/>
      </c>
      <c r="AJ99" s="280">
        <f>IF(AC99="pendiente",AD99,0)</f>
        <v/>
      </c>
      <c r="AK99" s="278">
        <f>VLOOKUP(G99,CLIENTES!B:D,3,FALSE)</f>
        <v/>
      </c>
    </row>
    <row r="100" ht="15" customFormat="1" customHeight="1" s="278">
      <c r="B100" s="279" t="n"/>
      <c r="C100" s="278" t="inlineStr">
        <is>
          <t>c/ Las Cruzadas 3A, local D</t>
        </is>
      </c>
      <c r="D100" s="278" t="inlineStr">
        <is>
          <t>Sevilla 41004</t>
        </is>
      </c>
      <c r="E100" s="278" t="inlineStr">
        <is>
          <t>CIF B91938662</t>
        </is>
      </c>
      <c r="F100" s="278" t="inlineStr">
        <is>
          <t>aBalados@abalados.es</t>
        </is>
      </c>
      <c r="G100" s="278" t="inlineStr">
        <is>
          <t>Manzasol 132 kV, S.L.</t>
        </is>
      </c>
      <c r="H100" s="278">
        <f>VLOOKUP($G100,DATOS!$B:$E,2,FALSE)</f>
        <v/>
      </c>
      <c r="I100" s="278">
        <f>VLOOKUP($G100,DATOS!$B:$E,3,FALSE)</f>
        <v/>
      </c>
      <c r="J100" s="278">
        <f>VLOOKUP($G100,DATOS!$B:$E,4,FALSE)</f>
        <v/>
      </c>
      <c r="K100" s="278" t="inlineStr">
        <is>
          <t>Factura de suplidos</t>
        </is>
      </c>
      <c r="L100" s="280" t="n"/>
      <c r="M100" s="278" t="inlineStr">
        <is>
          <t>FACTURA FNMT Nº8240505393</t>
        </is>
      </c>
      <c r="N100" s="280" t="n">
        <v>16.94</v>
      </c>
      <c r="P100" s="280" t="n"/>
      <c r="R100" s="280" t="n"/>
      <c r="T100" s="280" t="n"/>
      <c r="V100" s="280" t="n"/>
      <c r="X100" s="280" t="n"/>
      <c r="Z100" s="280" t="n"/>
      <c r="AA100" s="280">
        <f>L100+N100+P100+R100+T100+V100+X100+Z100</f>
        <v/>
      </c>
      <c r="AB100" s="402" t="inlineStr">
        <is>
          <t>ES85 2080 3509 1130 4009 6171</t>
        </is>
      </c>
      <c r="AC100" s="278" t="inlineStr">
        <is>
          <t>pagado</t>
        </is>
      </c>
      <c r="AD100" s="280">
        <f>L100+N100+P100+R100+T100+V100+X100+Z100</f>
        <v/>
      </c>
      <c r="AE100" s="280">
        <f>IF((LEFT(K100,6))="Contab",L100,0)</f>
        <v/>
      </c>
      <c r="AF100" s="281">
        <f>VLOOKUP(G100,CLIENTES!B:E,4,FALSE)</f>
        <v/>
      </c>
      <c r="AG100" s="280">
        <f>AF100*AE100</f>
        <v/>
      </c>
      <c r="AH100" s="280">
        <f>AD100*1.21</f>
        <v/>
      </c>
      <c r="AI100" s="284">
        <f>IF(AE100&lt;&gt;0,AG100/AD100,"N/A")</f>
        <v/>
      </c>
      <c r="AJ100" s="280">
        <f>IF(AC100="pendiente",AD100,0)</f>
        <v/>
      </c>
      <c r="AK100" s="278">
        <f>VLOOKUP(G100,CLIENTES!B:D,3,FALSE)</f>
        <v/>
      </c>
    </row>
    <row r="101" ht="15" customFormat="1" customHeight="1" s="278">
      <c r="B101" s="279" t="n"/>
      <c r="C101" s="278" t="inlineStr">
        <is>
          <t>c/ Las Cruzadas 3A, local D</t>
        </is>
      </c>
      <c r="D101" s="278" t="inlineStr">
        <is>
          <t>Sevilla 41004</t>
        </is>
      </c>
      <c r="E101" s="278" t="inlineStr">
        <is>
          <t>CIF B91938662</t>
        </is>
      </c>
      <c r="F101" s="278" t="inlineStr">
        <is>
          <t>aBalados@abalados.es</t>
        </is>
      </c>
      <c r="G101" s="278" t="inlineStr">
        <is>
          <t>Monte Reina Renovables, S.L.</t>
        </is>
      </c>
      <c r="H101" s="278">
        <f>VLOOKUP($G101,DATOS!$B:$E,2,FALSE)</f>
        <v/>
      </c>
      <c r="I101" s="278">
        <f>VLOOKUP($G101,DATOS!$B:$E,3,FALSE)</f>
        <v/>
      </c>
      <c r="J101" s="278">
        <f>VLOOKUP($G101,DATOS!$B:$E,4,FALSE)</f>
        <v/>
      </c>
      <c r="K101" s="278" t="inlineStr">
        <is>
          <t>Factura de suplidos</t>
        </is>
      </c>
      <c r="L101" s="280" t="n"/>
      <c r="M101" s="278" t="inlineStr">
        <is>
          <t>FACTURA FNMT Nº8240581106</t>
        </is>
      </c>
      <c r="N101" s="280" t="n">
        <v>16.94</v>
      </c>
      <c r="P101" s="280" t="n"/>
      <c r="R101" s="280" t="n"/>
      <c r="T101" s="280" t="n"/>
      <c r="V101" s="280" t="n"/>
      <c r="X101" s="280" t="n"/>
      <c r="Z101" s="280" t="n"/>
      <c r="AA101" s="280">
        <f>L101+N101+P101+R101+T101+V101+X101+Z101</f>
        <v/>
      </c>
      <c r="AB101" s="402" t="inlineStr">
        <is>
          <t>ES85 2080 3509 1130 4009 6171</t>
        </is>
      </c>
      <c r="AC101" s="278" t="inlineStr">
        <is>
          <t>pagado</t>
        </is>
      </c>
      <c r="AD101" s="280">
        <f>L101+N101+P101+R101+T101+V101+X101+Z101</f>
        <v/>
      </c>
      <c r="AE101" s="280">
        <f>IF((LEFT(K101,6))="Contab",L101,0)</f>
        <v/>
      </c>
      <c r="AF101" s="281">
        <f>VLOOKUP(G101,CLIENTES!B:E,4,FALSE)</f>
        <v/>
      </c>
      <c r="AG101" s="280">
        <f>AF101*AE101</f>
        <v/>
      </c>
      <c r="AH101" s="280">
        <f>AD101*1.21</f>
        <v/>
      </c>
      <c r="AI101" s="284">
        <f>IF(AE101&lt;&gt;0,AG101/AD101,"N/A")</f>
        <v/>
      </c>
      <c r="AJ101" s="280">
        <f>IF(AC101="pendiente",AD101,0)</f>
        <v/>
      </c>
      <c r="AK101" s="278">
        <f>VLOOKUP(G101,CLIENTES!B:D,3,FALSE)</f>
        <v/>
      </c>
    </row>
    <row r="102" ht="15" customFormat="1" customHeight="1" s="278">
      <c r="B102" s="279" t="n"/>
      <c r="C102" s="278" t="inlineStr">
        <is>
          <t>c/ Las Cruzadas 3A, local D</t>
        </is>
      </c>
      <c r="D102" s="278" t="inlineStr">
        <is>
          <t>Sevilla 41004</t>
        </is>
      </c>
      <c r="E102" s="278" t="inlineStr">
        <is>
          <t>CIF B91938662</t>
        </is>
      </c>
      <c r="F102" s="278" t="inlineStr">
        <is>
          <t>aBalados@abalados.es</t>
        </is>
      </c>
      <c r="G102" s="278" t="inlineStr">
        <is>
          <t>Belisol 132 kV, S.L.</t>
        </is>
      </c>
      <c r="H102" s="278">
        <f>VLOOKUP($G102,DATOS!$B:$E,2,FALSE)</f>
        <v/>
      </c>
      <c r="I102" s="278">
        <f>VLOOKUP($G102,DATOS!$B:$E,3,FALSE)</f>
        <v/>
      </c>
      <c r="J102" s="278">
        <f>VLOOKUP($G102,DATOS!$B:$E,4,FALSE)</f>
        <v/>
      </c>
      <c r="K102" s="278" t="inlineStr">
        <is>
          <t>Factura de suplidos</t>
        </is>
      </c>
      <c r="L102" s="280" t="n"/>
      <c r="M102" s="278" t="inlineStr">
        <is>
          <t>JUST. PAGO TASA EN MATERIA DE INSDUSTRIA Y ENERGÍA Nº5263</t>
        </is>
      </c>
      <c r="N102" s="280" t="n">
        <v>36.48</v>
      </c>
      <c r="O102" s="278" t="inlineStr">
        <is>
          <t>JUST. PAGO TASA EN MATERIA DE INSDUSTRIA Y ENERGÍA Nº5236</t>
        </is>
      </c>
      <c r="P102" s="280" t="n">
        <v>36.48</v>
      </c>
      <c r="Q102" s="278" t="inlineStr">
        <is>
          <t>JUST. PAGO TASA EN MATERIA DE INSDUSTRIA Y ENERGÍA Nº0043</t>
        </is>
      </c>
      <c r="R102" s="280" t="n">
        <v>36.48</v>
      </c>
      <c r="T102" s="280" t="n"/>
      <c r="V102" s="280" t="n"/>
      <c r="X102" s="280" t="n"/>
      <c r="Z102" s="280" t="n"/>
      <c r="AA102" s="280">
        <f>L102+N102+P102+R102+T102+V102+X102+Z102</f>
        <v/>
      </c>
      <c r="AB102" s="402" t="inlineStr">
        <is>
          <t>ES85 2080 3509 1130 4009 6171</t>
        </is>
      </c>
      <c r="AC102" s="278" t="inlineStr">
        <is>
          <t>pendiente</t>
        </is>
      </c>
      <c r="AD102" s="280">
        <f>L102+N102+P102+R102+T102+V102+X102+Z102</f>
        <v/>
      </c>
      <c r="AE102" s="280">
        <f>IF((LEFT(K102,6))="Contab",L102,0)</f>
        <v/>
      </c>
      <c r="AF102" s="281">
        <f>VLOOKUP(G102,CLIENTES!B:E,4,FALSE)</f>
        <v/>
      </c>
      <c r="AG102" s="280">
        <f>AF102*AE102</f>
        <v/>
      </c>
      <c r="AH102" s="280">
        <f>AD102*1.21</f>
        <v/>
      </c>
      <c r="AI102" s="284">
        <f>IF(AE102&lt;&gt;0,AG102/AD102,"N/A")</f>
        <v/>
      </c>
      <c r="AJ102" s="280">
        <f>IF(AC102="pendiente",AD102,0)</f>
        <v/>
      </c>
      <c r="AK102" s="278">
        <f>VLOOKUP(G102,CLIENTES!B:D,3,FALSE)</f>
        <v/>
      </c>
    </row>
    <row r="103" ht="15" customFormat="1" customHeight="1" s="192">
      <c r="A103" t="n"/>
      <c r="B103" s="199" t="n"/>
      <c r="C103" s="192" t="inlineStr">
        <is>
          <t>c/ Las Cruzadas 3A, local D</t>
        </is>
      </c>
      <c r="D103" s="192" t="inlineStr">
        <is>
          <t>Sevilla 41004</t>
        </is>
      </c>
      <c r="E103" s="192" t="inlineStr">
        <is>
          <t>CIF B91938662</t>
        </is>
      </c>
      <c r="F103" s="192" t="inlineStr">
        <is>
          <t>aBalados@abalados.es</t>
        </is>
      </c>
      <c r="G103" s="192" t="inlineStr">
        <is>
          <t>San Pedro Pinatar Renovables, S.L.</t>
        </is>
      </c>
      <c r="H103" s="192">
        <f>VLOOKUP($G103,DATOS!$B:$E,2,FALSE)</f>
        <v/>
      </c>
      <c r="I103" s="192">
        <f>VLOOKUP($G103,DATOS!$B:$E,3,FALSE)</f>
        <v/>
      </c>
      <c r="J103" s="192">
        <f>VLOOKUP($G103,DATOS!$B:$E,4,FALSE)</f>
        <v/>
      </c>
      <c r="K103" s="192" t="inlineStr">
        <is>
          <t>Factura de suplidos</t>
        </is>
      </c>
      <c r="L103" s="200" t="n"/>
      <c r="M103" s="192" t="inlineStr">
        <is>
          <t>PROVISION DE FONDOS REGISTRO MERCANTIL</t>
        </is>
      </c>
      <c r="N103" s="200" t="n">
        <v>71.77</v>
      </c>
      <c r="P103" s="200" t="n"/>
      <c r="R103" s="200" t="n"/>
      <c r="T103" s="200" t="n"/>
      <c r="V103" s="200" t="n"/>
      <c r="X103" s="200" t="n"/>
      <c r="Z103" s="200" t="n"/>
      <c r="AA103" s="200">
        <f>L103+N103+P103+R103+T103+V103+X103+Z103</f>
        <v/>
      </c>
      <c r="AB103" s="403" t="inlineStr">
        <is>
          <t>ES85 2080 3509 1130 4009 6171</t>
        </is>
      </c>
      <c r="AC103" s="192" t="inlineStr">
        <is>
          <t>pendiente</t>
        </is>
      </c>
      <c r="AD103" s="200">
        <f>L103+N103+P103+R103+T103+V103+X103+Z103</f>
        <v/>
      </c>
      <c r="AE103" s="200">
        <f>IF((LEFT(K103,6))="Contab",L103,0)</f>
        <v/>
      </c>
      <c r="AF103" s="201">
        <f>VLOOKUP(G103,CLIENTES!B:E,4,FALSE)</f>
        <v/>
      </c>
      <c r="AG103" s="200">
        <f>AF103*AE103</f>
        <v/>
      </c>
      <c r="AH103" s="200">
        <f>AD103*1.21</f>
        <v/>
      </c>
      <c r="AI103" s="283">
        <f>IF(AE103&lt;&gt;0,AG103/AD103,"N/A")</f>
        <v/>
      </c>
      <c r="AJ103" s="200">
        <f>IF(AC103="pendiente",AD103,0)</f>
        <v/>
      </c>
      <c r="AK103" s="192">
        <f>VLOOKUP(G103,CLIENTES!B:D,3,FALSE)</f>
        <v/>
      </c>
    </row>
    <row r="104" ht="15" customFormat="1" customHeight="1" s="278">
      <c r="B104" s="279" t="n"/>
      <c r="C104" s="278" t="inlineStr">
        <is>
          <t>c/ Las Cruzadas 3A, local D</t>
        </is>
      </c>
      <c r="D104" s="278" t="inlineStr">
        <is>
          <t>Sevilla 41004</t>
        </is>
      </c>
      <c r="E104" s="278" t="inlineStr">
        <is>
          <t>CIF B91938662</t>
        </is>
      </c>
      <c r="F104" s="278" t="inlineStr">
        <is>
          <t>aBalados@abalados.es</t>
        </is>
      </c>
      <c r="G104" s="278" t="inlineStr">
        <is>
          <t>Agrupación Solar el Algarrobo I, S.L.U.</t>
        </is>
      </c>
      <c r="H104" s="278">
        <f>VLOOKUP($G104,DATOS!$B:$E,2,FALSE)</f>
        <v/>
      </c>
      <c r="I104" s="278">
        <f>VLOOKUP($G104,DATOS!$B:$E,3,FALSE)</f>
        <v/>
      </c>
      <c r="J104" s="278">
        <f>VLOOKUP($G104,DATOS!$B:$E,4,FALSE)</f>
        <v/>
      </c>
      <c r="K104" s="278" t="inlineStr">
        <is>
          <t>Factura de suplidos</t>
        </is>
      </c>
      <c r="L104" s="280" t="n"/>
      <c r="M104" s="278" t="inlineStr">
        <is>
          <t>Emisión de certificado de representación</t>
        </is>
      </c>
      <c r="N104" s="280" t="n">
        <v>29.04</v>
      </c>
      <c r="P104" s="280" t="n"/>
      <c r="R104" s="280" t="n"/>
      <c r="T104" s="280" t="n"/>
      <c r="V104" s="280" t="n"/>
      <c r="X104" s="280" t="n"/>
      <c r="Z104" s="280" t="n"/>
      <c r="AA104" s="280">
        <f>L104+N104+P104+R104+T104+V104+X104+Z104</f>
        <v/>
      </c>
      <c r="AB104" s="402" t="inlineStr">
        <is>
          <t>ES85 2080 3509 1130 4009 6171</t>
        </is>
      </c>
      <c r="AC104" s="278" t="inlineStr">
        <is>
          <t>pendiente</t>
        </is>
      </c>
      <c r="AD104" s="280">
        <f>L104+N104+P104+R104+T104+V104+X104+Z104</f>
        <v/>
      </c>
      <c r="AE104" s="280">
        <f>IF((LEFT(K104,6))="Contab",L104,0)</f>
        <v/>
      </c>
      <c r="AF104" s="281">
        <f>VLOOKUP(G104,CLIENTES!B:E,4,FALSE)</f>
        <v/>
      </c>
      <c r="AG104" s="280">
        <f>AF104*AE104</f>
        <v/>
      </c>
      <c r="AH104" s="280">
        <f>AD104*1.21</f>
        <v/>
      </c>
      <c r="AI104" s="284">
        <f>IF(AE104&lt;&gt;0,AG104/AD104,"N/A")</f>
        <v/>
      </c>
      <c r="AJ104" s="280">
        <f>IF(AC104="pendiente",AD104,0)</f>
        <v/>
      </c>
      <c r="AK104" s="278">
        <f>VLOOKUP(G104,CLIENTES!B:D,3,FALSE)</f>
        <v/>
      </c>
    </row>
    <row r="105" ht="15" customFormat="1" customHeight="1" s="278">
      <c r="B105" s="279" t="n"/>
      <c r="C105" s="278" t="inlineStr">
        <is>
          <t>c/ Las Cruzadas 3A, local D</t>
        </is>
      </c>
      <c r="D105" s="278" t="inlineStr">
        <is>
          <t>Sevilla 41004</t>
        </is>
      </c>
      <c r="E105" s="278" t="inlineStr">
        <is>
          <t>CIF B91938662</t>
        </is>
      </c>
      <c r="F105" s="278" t="inlineStr">
        <is>
          <t>aBalados@abalados.es</t>
        </is>
      </c>
      <c r="G105" s="278" t="inlineStr">
        <is>
          <t>Agrupación Solar el Algarrobo II, S.L.U.</t>
        </is>
      </c>
      <c r="H105" s="278">
        <f>VLOOKUP($G105,DATOS!$B:$E,2,FALSE)</f>
        <v/>
      </c>
      <c r="I105" s="278">
        <f>VLOOKUP($G105,DATOS!$B:$E,3,FALSE)</f>
        <v/>
      </c>
      <c r="J105" s="278">
        <f>VLOOKUP($G105,DATOS!$B:$E,4,FALSE)</f>
        <v/>
      </c>
      <c r="K105" s="278" t="inlineStr">
        <is>
          <t>Factura de suplidos</t>
        </is>
      </c>
      <c r="L105" s="280" t="n"/>
      <c r="M105" s="278" t="inlineStr">
        <is>
          <t>Emisión de certificado de representación</t>
        </is>
      </c>
      <c r="N105" s="280" t="n">
        <v>29.04</v>
      </c>
      <c r="P105" s="280" t="n"/>
      <c r="R105" s="280" t="n"/>
      <c r="T105" s="280" t="n"/>
      <c r="V105" s="280" t="n"/>
      <c r="X105" s="280" t="n"/>
      <c r="Z105" s="280" t="n"/>
      <c r="AA105" s="280">
        <f>L105+N105+P105+R105+T105+V105+X105+Z105</f>
        <v/>
      </c>
      <c r="AB105" s="402" t="inlineStr">
        <is>
          <t>ES85 2080 3509 1130 4009 6171</t>
        </is>
      </c>
      <c r="AC105" s="278" t="inlineStr">
        <is>
          <t>pendiente</t>
        </is>
      </c>
      <c r="AD105" s="280">
        <f>L105+N105+P105+R105+T105+V105+X105+Z105</f>
        <v/>
      </c>
      <c r="AE105" s="280">
        <f>IF((LEFT(K105,6))="Contab",L105,0)</f>
        <v/>
      </c>
      <c r="AF105" s="281">
        <f>VLOOKUP(G105,CLIENTES!B:E,4,FALSE)</f>
        <v/>
      </c>
      <c r="AG105" s="280">
        <f>AF105*AE105</f>
        <v/>
      </c>
      <c r="AH105" s="280">
        <f>AD105*1.21</f>
        <v/>
      </c>
      <c r="AI105" s="284">
        <f>IF(AE105&lt;&gt;0,AG105/AD105,"N/A")</f>
        <v/>
      </c>
      <c r="AJ105" s="280">
        <f>IF(AC105="pendiente",AD105,0)</f>
        <v/>
      </c>
      <c r="AK105" s="278">
        <f>VLOOKUP(G105,CLIENTES!B:D,3,FALSE)</f>
        <v/>
      </c>
    </row>
    <row r="106" ht="15" customFormat="1" customHeight="1" s="278">
      <c r="B106" s="279" t="n"/>
      <c r="C106" s="278" t="inlineStr">
        <is>
          <t>c/ Las Cruzadas 3A, local D</t>
        </is>
      </c>
      <c r="D106" s="278" t="inlineStr">
        <is>
          <t>Sevilla 41004</t>
        </is>
      </c>
      <c r="E106" s="278" t="inlineStr">
        <is>
          <t>CIF B91938662</t>
        </is>
      </c>
      <c r="F106" s="278" t="inlineStr">
        <is>
          <t>aBalados@abalados.es</t>
        </is>
      </c>
      <c r="G106" s="278" t="inlineStr">
        <is>
          <t>Agrupación Solar el Algarrobo III, S.L.U.</t>
        </is>
      </c>
      <c r="H106" s="278">
        <f>VLOOKUP($G106,DATOS!$B:$E,2,FALSE)</f>
        <v/>
      </c>
      <c r="I106" s="278">
        <f>VLOOKUP($G106,DATOS!$B:$E,3,FALSE)</f>
        <v/>
      </c>
      <c r="J106" s="278">
        <f>VLOOKUP($G106,DATOS!$B:$E,4,FALSE)</f>
        <v/>
      </c>
      <c r="K106" s="278" t="inlineStr">
        <is>
          <t>Factura de suplidos</t>
        </is>
      </c>
      <c r="L106" s="280" t="n"/>
      <c r="M106" s="278" t="inlineStr">
        <is>
          <t>Emisión de certificado de representación</t>
        </is>
      </c>
      <c r="N106" s="280" t="n">
        <v>29.04</v>
      </c>
      <c r="P106" s="280" t="n"/>
      <c r="R106" s="280" t="n"/>
      <c r="T106" s="280" t="n"/>
      <c r="V106" s="280" t="n"/>
      <c r="X106" s="280" t="n"/>
      <c r="Z106" s="280" t="n"/>
      <c r="AA106" s="280">
        <f>L106+N106+P106+R106+T106+V106+X106+Z106</f>
        <v/>
      </c>
      <c r="AB106" s="402" t="inlineStr">
        <is>
          <t>ES85 2080 3509 1130 4009 6171</t>
        </is>
      </c>
      <c r="AC106" s="278" t="inlineStr">
        <is>
          <t>pendiente</t>
        </is>
      </c>
      <c r="AD106" s="280">
        <f>L106+N106+P106+R106+T106+V106+X106+Z106</f>
        <v/>
      </c>
      <c r="AE106" s="280">
        <f>IF((LEFT(K106,6))="Contab",L106,0)</f>
        <v/>
      </c>
      <c r="AF106" s="281">
        <f>VLOOKUP(G106,CLIENTES!B:E,4,FALSE)</f>
        <v/>
      </c>
      <c r="AG106" s="280">
        <f>AF106*AE106</f>
        <v/>
      </c>
      <c r="AH106" s="280">
        <f>AD106*1.21</f>
        <v/>
      </c>
      <c r="AI106" s="284">
        <f>IF(AE106&lt;&gt;0,AG106/AD106,"N/A")</f>
        <v/>
      </c>
      <c r="AJ106" s="280">
        <f>IF(AC106="pendiente",AD106,0)</f>
        <v/>
      </c>
      <c r="AK106" s="278">
        <f>VLOOKUP(G106,CLIENTES!B:D,3,FALSE)</f>
        <v/>
      </c>
    </row>
    <row r="107" ht="15" customFormat="1" customHeight="1" s="278">
      <c r="B107" s="279" t="n"/>
      <c r="C107" s="278" t="inlineStr">
        <is>
          <t>c/ Las Cruzadas 3A, local D</t>
        </is>
      </c>
      <c r="D107" s="278" t="inlineStr">
        <is>
          <t>Sevilla 41004</t>
        </is>
      </c>
      <c r="E107" s="278" t="inlineStr">
        <is>
          <t>CIF B91938662</t>
        </is>
      </c>
      <c r="F107" s="278" t="inlineStr">
        <is>
          <t>aBalados@abalados.es</t>
        </is>
      </c>
      <c r="G107" s="278" t="inlineStr">
        <is>
          <t>Contreras Parque Solar S.L.U.</t>
        </is>
      </c>
      <c r="H107" s="278">
        <f>VLOOKUP($G107,DATOS!$B:$E,2,FALSE)</f>
        <v/>
      </c>
      <c r="I107" s="278">
        <f>VLOOKUP($G107,DATOS!$B:$E,3,FALSE)</f>
        <v/>
      </c>
      <c r="J107" s="278">
        <f>VLOOKUP($G107,DATOS!$B:$E,4,FALSE)</f>
        <v/>
      </c>
      <c r="K107" s="278" t="inlineStr">
        <is>
          <t>Factura de suplidos</t>
        </is>
      </c>
      <c r="L107" s="280" t="n"/>
      <c r="M107" s="278" t="inlineStr">
        <is>
          <t>Emisión de certificado de representación</t>
        </is>
      </c>
      <c r="N107" s="280" t="n">
        <v>16.94</v>
      </c>
      <c r="P107" s="280" t="n"/>
      <c r="R107" s="280" t="n"/>
      <c r="T107" s="280" t="n"/>
      <c r="V107" s="280" t="n"/>
      <c r="X107" s="280" t="n"/>
      <c r="Z107" s="280" t="n"/>
      <c r="AA107" s="280">
        <f>L107+N107+P107+R107+T107+V107+X107+Z107</f>
        <v/>
      </c>
      <c r="AB107" s="402" t="inlineStr">
        <is>
          <t>ES85 2080 3509 1130 4009 6171</t>
        </is>
      </c>
      <c r="AC107" s="278" t="inlineStr">
        <is>
          <t>pendiente</t>
        </is>
      </c>
      <c r="AD107" s="280">
        <f>L107+N107+P107+R107+T107+V107+X107+Z107</f>
        <v/>
      </c>
      <c r="AE107" s="280">
        <f>IF((LEFT(K107,6))="Contab",L107,0)</f>
        <v/>
      </c>
      <c r="AF107" s="281">
        <f>VLOOKUP(G107,CLIENTES!B:E,4,FALSE)</f>
        <v/>
      </c>
      <c r="AG107" s="280">
        <f>AF107*AE107</f>
        <v/>
      </c>
      <c r="AH107" s="280">
        <f>AD107*1.21</f>
        <v/>
      </c>
      <c r="AI107" s="284">
        <f>IF(AE107&lt;&gt;0,AG107/AD107,"N/A")</f>
        <v/>
      </c>
      <c r="AJ107" s="280">
        <f>IF(AC107="pendiente",AD107,0)</f>
        <v/>
      </c>
      <c r="AK107" s="278">
        <f>VLOOKUP(G107,CLIENTES!B:D,3,FALSE)</f>
        <v/>
      </c>
    </row>
    <row r="108" ht="15" customFormat="1" customHeight="1" s="278">
      <c r="B108" s="279" t="n"/>
      <c r="C108" s="278" t="inlineStr">
        <is>
          <t>c/ Las Cruzadas 3A, local D</t>
        </is>
      </c>
      <c r="D108" s="278" t="inlineStr">
        <is>
          <t>Sevilla 41004</t>
        </is>
      </c>
      <c r="E108" s="278" t="inlineStr">
        <is>
          <t>CIF B91938662</t>
        </is>
      </c>
      <c r="F108" s="278" t="inlineStr">
        <is>
          <t>aBalados@abalados.es</t>
        </is>
      </c>
      <c r="G108" s="278" t="inlineStr">
        <is>
          <t>Turbinto Parque Solar S.L.U.</t>
        </is>
      </c>
      <c r="H108" s="278">
        <f>VLOOKUP($G108,DATOS!$B:$E,2,FALSE)</f>
        <v/>
      </c>
      <c r="I108" s="278">
        <f>VLOOKUP($G108,DATOS!$B:$E,3,FALSE)</f>
        <v/>
      </c>
      <c r="J108" s="278">
        <f>VLOOKUP($G108,DATOS!$B:$E,4,FALSE)</f>
        <v/>
      </c>
      <c r="K108" s="278" t="inlineStr">
        <is>
          <t>Factura de suplidos</t>
        </is>
      </c>
      <c r="L108" s="280" t="n"/>
      <c r="M108" s="278" t="inlineStr">
        <is>
          <t>Emisión de certificado de representación</t>
        </is>
      </c>
      <c r="N108" s="280" t="n">
        <v>16.94</v>
      </c>
      <c r="P108" s="280" t="n"/>
      <c r="R108" s="280" t="n"/>
      <c r="T108" s="280" t="n"/>
      <c r="V108" s="280" t="n"/>
      <c r="X108" s="280" t="n"/>
      <c r="Z108" s="280" t="n"/>
      <c r="AA108" s="280">
        <f>L108+N108+P108+R108+T108+V108+X108+Z108</f>
        <v/>
      </c>
      <c r="AB108" s="402" t="inlineStr">
        <is>
          <t>ES85 2080 3509 1130 4009 6171</t>
        </is>
      </c>
      <c r="AC108" s="278" t="inlineStr">
        <is>
          <t>pendiente</t>
        </is>
      </c>
      <c r="AD108" s="280">
        <f>L108+N108+P108+R108+T108+V108+X108+Z108</f>
        <v/>
      </c>
      <c r="AE108" s="280">
        <f>IF((LEFT(K108,6))="Contab",L108,0)</f>
        <v/>
      </c>
      <c r="AF108" s="281">
        <f>VLOOKUP(G108,CLIENTES!B:E,4,FALSE)</f>
        <v/>
      </c>
      <c r="AG108" s="280">
        <f>AF108*AE108</f>
        <v/>
      </c>
      <c r="AH108" s="280">
        <f>AD108*1.21</f>
        <v/>
      </c>
      <c r="AI108" s="284">
        <f>IF(AE108&lt;&gt;0,AG108/AD108,"N/A")</f>
        <v/>
      </c>
      <c r="AJ108" s="280">
        <f>IF(AC108="pendiente",AD108,0)</f>
        <v/>
      </c>
      <c r="AK108" s="278">
        <f>VLOOKUP(G108,CLIENTES!B:D,3,FALSE)</f>
        <v/>
      </c>
    </row>
    <row r="109" ht="15" customFormat="1" customHeight="1" s="278">
      <c r="B109" s="279" t="n"/>
      <c r="C109" s="278" t="inlineStr">
        <is>
          <t>c/ Las Cruzadas 3A, local D</t>
        </is>
      </c>
      <c r="D109" s="278" t="inlineStr">
        <is>
          <t>Sevilla 41004</t>
        </is>
      </c>
      <c r="E109" s="278" t="inlineStr">
        <is>
          <t>CIF B91938662</t>
        </is>
      </c>
      <c r="F109" s="278" t="inlineStr">
        <is>
          <t>aBalados@abalados.es</t>
        </is>
      </c>
      <c r="G109" s="278" t="inlineStr">
        <is>
          <t>Lo Illán  Parque Solar S.L.U.</t>
        </is>
      </c>
      <c r="H109" s="278">
        <f>VLOOKUP($G109,DATOS!$B:$E,2,FALSE)</f>
        <v/>
      </c>
      <c r="I109" s="278">
        <f>VLOOKUP($G109,DATOS!$B:$E,3,FALSE)</f>
        <v/>
      </c>
      <c r="J109" s="278">
        <f>VLOOKUP($G109,DATOS!$B:$E,4,FALSE)</f>
        <v/>
      </c>
      <c r="K109" s="278" t="inlineStr">
        <is>
          <t>Factura de suplidos</t>
        </is>
      </c>
      <c r="L109" s="280" t="n"/>
      <c r="M109" s="278" t="inlineStr">
        <is>
          <t>Emisión de certificado de representación</t>
        </is>
      </c>
      <c r="N109" s="280" t="n">
        <v>16.94</v>
      </c>
      <c r="P109" s="280" t="n"/>
      <c r="R109" s="280" t="n"/>
      <c r="T109" s="280" t="n"/>
      <c r="V109" s="280" t="n"/>
      <c r="X109" s="280" t="n"/>
      <c r="Z109" s="280" t="n"/>
      <c r="AA109" s="280">
        <f>L109+N109+P109+R109+T109+V109+X109+Z109</f>
        <v/>
      </c>
      <c r="AB109" s="402" t="inlineStr">
        <is>
          <t>ES85 2080 3509 1130 4009 6171</t>
        </is>
      </c>
      <c r="AC109" s="278" t="inlineStr">
        <is>
          <t>pendiente</t>
        </is>
      </c>
      <c r="AD109" s="280">
        <f>L109+N109+P109+R109+T109+V109+X109+Z109</f>
        <v/>
      </c>
      <c r="AE109" s="280">
        <f>IF((LEFT(K109,6))="Contab",L109,0)</f>
        <v/>
      </c>
      <c r="AF109" s="281">
        <f>VLOOKUP(G109,CLIENTES!B:E,4,FALSE)</f>
        <v/>
      </c>
      <c r="AG109" s="280">
        <f>AF109*AE109</f>
        <v/>
      </c>
      <c r="AH109" s="280">
        <f>AD109*1.21</f>
        <v/>
      </c>
      <c r="AI109" s="284">
        <f>IF(AE109&lt;&gt;0,AG109/AD109,"N/A")</f>
        <v/>
      </c>
      <c r="AJ109" s="280">
        <f>IF(AC109="pendiente",AD109,0)</f>
        <v/>
      </c>
      <c r="AK109" s="278">
        <f>VLOOKUP(G109,CLIENTES!B:D,3,FALSE)</f>
        <v/>
      </c>
    </row>
    <row r="110" ht="15" customFormat="1" customHeight="1" s="278">
      <c r="B110" s="279" t="n"/>
      <c r="C110" s="278" t="inlineStr">
        <is>
          <t>c/ Las Cruzadas 3A, local D</t>
        </is>
      </c>
      <c r="D110" s="278" t="inlineStr">
        <is>
          <t>Sevilla 41004</t>
        </is>
      </c>
      <c r="E110" s="278" t="inlineStr">
        <is>
          <t>CIF B91938662</t>
        </is>
      </c>
      <c r="F110" s="278" t="inlineStr">
        <is>
          <t>aBalados@abalados.es</t>
        </is>
      </c>
      <c r="G110" s="278" t="inlineStr">
        <is>
          <t>WOC Fotovoltaica España Proyecto Sollana S.L.U.</t>
        </is>
      </c>
      <c r="H110" s="278">
        <f>VLOOKUP($G110,DATOS!$B:$E,2,FALSE)</f>
        <v/>
      </c>
      <c r="I110" s="278">
        <f>VLOOKUP($G110,DATOS!$B:$E,3,FALSE)</f>
        <v/>
      </c>
      <c r="J110" s="278">
        <f>VLOOKUP($G110,DATOS!$B:$E,4,FALSE)</f>
        <v/>
      </c>
      <c r="K110" s="278" t="inlineStr">
        <is>
          <t>Factura de suplidos</t>
        </is>
      </c>
      <c r="L110" s="280" t="n"/>
      <c r="M110" s="278" t="inlineStr">
        <is>
          <t>Emisión de certificado de representación</t>
        </is>
      </c>
      <c r="N110" s="280" t="n">
        <v>16.94</v>
      </c>
      <c r="P110" s="280" t="n"/>
      <c r="R110" s="280" t="n"/>
      <c r="T110" s="280" t="n"/>
      <c r="V110" s="280" t="n"/>
      <c r="X110" s="280" t="n"/>
      <c r="Z110" s="280" t="n"/>
      <c r="AA110" s="280">
        <f>L110+N110+P110+R110+T110+V110+X110+Z110</f>
        <v/>
      </c>
      <c r="AB110" s="402" t="inlineStr">
        <is>
          <t>ES85 2080 3509 1130 4009 6171</t>
        </is>
      </c>
      <c r="AC110" s="278" t="inlineStr">
        <is>
          <t>pendiente</t>
        </is>
      </c>
      <c r="AD110" s="280">
        <f>L110+N110+P110+R110+T110+V110+X110+Z110</f>
        <v/>
      </c>
      <c r="AE110" s="280">
        <f>IF((LEFT(K110,6))="Contab",L110,0)</f>
        <v/>
      </c>
      <c r="AF110" s="281">
        <f>VLOOKUP(G110,CLIENTES!B:E,4,FALSE)</f>
        <v/>
      </c>
      <c r="AG110" s="280">
        <f>AF110*AE110</f>
        <v/>
      </c>
      <c r="AH110" s="280">
        <f>AD110*1.21</f>
        <v/>
      </c>
      <c r="AI110" s="284">
        <f>IF(AE110&lt;&gt;0,AG110/AD110,"N/A")</f>
        <v/>
      </c>
      <c r="AJ110" s="280">
        <f>IF(AC110="pendiente",AD110,0)</f>
        <v/>
      </c>
      <c r="AK110" s="278">
        <f>VLOOKUP(G110,CLIENTES!B:D,3,FALSE)</f>
        <v/>
      </c>
    </row>
    <row r="111" ht="15" customFormat="1" customHeight="1" s="278">
      <c r="B111" s="279" t="n"/>
      <c r="C111" s="278" t="inlineStr">
        <is>
          <t>c/ Las Cruzadas 3A, local D</t>
        </is>
      </c>
      <c r="D111" s="278" t="inlineStr">
        <is>
          <t>Sevilla 41004</t>
        </is>
      </c>
      <c r="E111" s="278" t="inlineStr">
        <is>
          <t>CIF B91938662</t>
        </is>
      </c>
      <c r="F111" s="278" t="inlineStr">
        <is>
          <t>aBalados@abalados.es</t>
        </is>
      </c>
      <c r="G111" s="278" t="inlineStr">
        <is>
          <t>WOC Fotovoltaica España 2.3 S.L. S. Com.</t>
        </is>
      </c>
      <c r="H111" s="278">
        <f>VLOOKUP($G111,DATOS!$B:$E,2,FALSE)</f>
        <v/>
      </c>
      <c r="I111" s="278">
        <f>VLOOKUP($G111,DATOS!$B:$E,3,FALSE)</f>
        <v/>
      </c>
      <c r="J111" s="278">
        <f>VLOOKUP($G111,DATOS!$B:$E,4,FALSE)</f>
        <v/>
      </c>
      <c r="K111" s="278" t="inlineStr">
        <is>
          <t>Factura de suplidos</t>
        </is>
      </c>
      <c r="L111" s="280" t="n"/>
      <c r="M111" s="278" t="inlineStr">
        <is>
          <t>Emisión de certificado de representación</t>
        </is>
      </c>
      <c r="N111" s="280" t="n">
        <v>16.94</v>
      </c>
      <c r="P111" s="280" t="n"/>
      <c r="R111" s="280" t="n"/>
      <c r="T111" s="280" t="n"/>
      <c r="V111" s="280" t="n"/>
      <c r="X111" s="280" t="n"/>
      <c r="Z111" s="280" t="n"/>
      <c r="AA111" s="280">
        <f>L111+N111+P111+R111+T111+V111+X111+Z111</f>
        <v/>
      </c>
      <c r="AB111" s="402" t="inlineStr">
        <is>
          <t>ES85 2080 3509 1130 4009 6171</t>
        </is>
      </c>
      <c r="AC111" s="278" t="inlineStr">
        <is>
          <t>pendiente</t>
        </is>
      </c>
      <c r="AD111" s="280">
        <f>L111+N111+P111+R111+T111+V111+X111+Z111</f>
        <v/>
      </c>
      <c r="AE111" s="280">
        <f>IF((LEFT(K111,6))="Contab",L111,0)</f>
        <v/>
      </c>
      <c r="AF111" s="281">
        <f>VLOOKUP(G111,CLIENTES!B:E,4,FALSE)</f>
        <v/>
      </c>
      <c r="AG111" s="280">
        <f>AF111*AE111</f>
        <v/>
      </c>
      <c r="AH111" s="280">
        <f>AD111*1.21</f>
        <v/>
      </c>
      <c r="AI111" s="284">
        <f>IF(AE111&lt;&gt;0,AG111/AD111,"N/A")</f>
        <v/>
      </c>
      <c r="AJ111" s="280">
        <f>IF(AC111="pendiente",AD111,0)</f>
        <v/>
      </c>
      <c r="AK111" s="278">
        <f>VLOOKUP(G111,CLIENTES!B:D,3,FALSE)</f>
        <v/>
      </c>
    </row>
    <row r="112" ht="15" customFormat="1" customHeight="1" s="278">
      <c r="B112" s="279" t="n"/>
      <c r="C112" s="278" t="inlineStr">
        <is>
          <t>c/ Las Cruzadas 3A, local D</t>
        </is>
      </c>
      <c r="D112" s="278" t="inlineStr">
        <is>
          <t>Sevilla 41004</t>
        </is>
      </c>
      <c r="E112" s="278" t="inlineStr">
        <is>
          <t>CIF B91938662</t>
        </is>
      </c>
      <c r="F112" s="278" t="inlineStr">
        <is>
          <t>aBalados@abalados.es</t>
        </is>
      </c>
      <c r="G112" s="278" t="inlineStr">
        <is>
          <t>WOC Fotovoltaica España 2.5 S.L. S. Com.</t>
        </is>
      </c>
      <c r="H112" s="278">
        <f>VLOOKUP($G112,DATOS!$B:$E,2,FALSE)</f>
        <v/>
      </c>
      <c r="I112" s="278">
        <f>VLOOKUP($G112,DATOS!$B:$E,3,FALSE)</f>
        <v/>
      </c>
      <c r="J112" s="278">
        <f>VLOOKUP($G112,DATOS!$B:$E,4,FALSE)</f>
        <v/>
      </c>
      <c r="K112" s="278" t="inlineStr">
        <is>
          <t>Factura de suplidos</t>
        </is>
      </c>
      <c r="L112" s="280" t="n"/>
      <c r="M112" s="278" t="inlineStr">
        <is>
          <t>Emisión de certificado de representación</t>
        </is>
      </c>
      <c r="N112" s="280" t="n">
        <v>16.94</v>
      </c>
      <c r="P112" s="280" t="n"/>
      <c r="R112" s="280" t="n"/>
      <c r="T112" s="280" t="n"/>
      <c r="V112" s="280" t="n"/>
      <c r="X112" s="280" t="n"/>
      <c r="Z112" s="280" t="n"/>
      <c r="AA112" s="280">
        <f>L112+N112+P112+R112+T112+V112+X112+Z112</f>
        <v/>
      </c>
      <c r="AB112" s="402" t="inlineStr">
        <is>
          <t>ES85 2080 3509 1130 4009 6171</t>
        </is>
      </c>
      <c r="AC112" s="278" t="inlineStr">
        <is>
          <t>pendiente</t>
        </is>
      </c>
      <c r="AD112" s="280">
        <f>L112+N112+P112+R112+T112+V112+X112+Z112</f>
        <v/>
      </c>
      <c r="AE112" s="280">
        <f>IF((LEFT(K112,6))="Contab",L112,0)</f>
        <v/>
      </c>
      <c r="AF112" s="281">
        <f>VLOOKUP(G112,CLIENTES!B:E,4,FALSE)</f>
        <v/>
      </c>
      <c r="AG112" s="280">
        <f>AF112*AE112</f>
        <v/>
      </c>
      <c r="AH112" s="280">
        <f>AD112*1.21</f>
        <v/>
      </c>
      <c r="AI112" s="284">
        <f>IF(AE112&lt;&gt;0,AG112/AD112,"N/A")</f>
        <v/>
      </c>
      <c r="AJ112" s="280">
        <f>IF(AC112="pendiente",AD112,0)</f>
        <v/>
      </c>
      <c r="AK112" s="278">
        <f>VLOOKUP(G112,CLIENTES!B:D,3,FALSE)</f>
        <v/>
      </c>
    </row>
    <row r="113" ht="15" customFormat="1" customHeight="1" s="278">
      <c r="B113" s="279" t="n"/>
      <c r="C113" s="278" t="inlineStr">
        <is>
          <t>c/ Las Cruzadas 3A, local D</t>
        </is>
      </c>
      <c r="D113" s="278" t="inlineStr">
        <is>
          <t>Sevilla 41004</t>
        </is>
      </c>
      <c r="E113" s="278" t="inlineStr">
        <is>
          <t>CIF B91938662</t>
        </is>
      </c>
      <c r="F113" s="278" t="inlineStr">
        <is>
          <t>aBalados@abalados.es</t>
        </is>
      </c>
      <c r="G113" s="278" t="inlineStr">
        <is>
          <t>WOC Fotovoltaica España, 2.7, S.L, S.Com</t>
        </is>
      </c>
      <c r="H113" s="278">
        <f>VLOOKUP($G113,DATOS!$B:$E,2,FALSE)</f>
        <v/>
      </c>
      <c r="I113" s="278">
        <f>VLOOKUP($G113,DATOS!$B:$E,3,FALSE)</f>
        <v/>
      </c>
      <c r="J113" s="278">
        <f>VLOOKUP($G113,DATOS!$B:$E,4,FALSE)</f>
        <v/>
      </c>
      <c r="K113" s="278" t="inlineStr">
        <is>
          <t>Factura de suplidos</t>
        </is>
      </c>
      <c r="L113" s="280" t="n"/>
      <c r="M113" s="278" t="inlineStr">
        <is>
          <t>Emisión de certificado de representación</t>
        </is>
      </c>
      <c r="N113" s="280" t="n">
        <v>16.94</v>
      </c>
      <c r="P113" s="280" t="n"/>
      <c r="R113" s="280" t="n"/>
      <c r="T113" s="280" t="n"/>
      <c r="V113" s="280" t="n"/>
      <c r="X113" s="280" t="n"/>
      <c r="Z113" s="280" t="n"/>
      <c r="AA113" s="280">
        <f>L113+N113+P113+R113+T113+V113+X113+Z113</f>
        <v/>
      </c>
      <c r="AB113" s="402" t="inlineStr">
        <is>
          <t>ES85 2080 3509 1130 4009 6171</t>
        </is>
      </c>
      <c r="AC113" s="278" t="inlineStr">
        <is>
          <t>pendiente</t>
        </is>
      </c>
      <c r="AD113" s="280">
        <f>L113+N113+P113+R113+T113+V113+X113+Z113</f>
        <v/>
      </c>
      <c r="AE113" s="280">
        <f>IF((LEFT(K113,6))="Contab",L113,0)</f>
        <v/>
      </c>
      <c r="AF113" s="281">
        <f>VLOOKUP(G113,CLIENTES!B:E,4,FALSE)</f>
        <v/>
      </c>
      <c r="AG113" s="280">
        <f>AF113*AE113</f>
        <v/>
      </c>
      <c r="AH113" s="280">
        <f>AD113*1.21</f>
        <v/>
      </c>
      <c r="AI113" s="284">
        <f>IF(AE113&lt;&gt;0,AG113/AD113,"N/A")</f>
        <v/>
      </c>
      <c r="AJ113" s="280">
        <f>IF(AC113="pendiente",AD113,0)</f>
        <v/>
      </c>
      <c r="AK113" s="278">
        <f>VLOOKUP(G113,CLIENTES!B:D,3,FALSE)</f>
        <v/>
      </c>
    </row>
    <row r="114" ht="15" customFormat="1" customHeight="1" s="278">
      <c r="B114" s="279" t="n"/>
      <c r="C114" s="278" t="inlineStr">
        <is>
          <t>c/ Las Cruzadas 3A, local D</t>
        </is>
      </c>
      <c r="D114" s="278" t="inlineStr">
        <is>
          <t>Sevilla 41004</t>
        </is>
      </c>
      <c r="E114" s="278" t="inlineStr">
        <is>
          <t>CIF B91938662</t>
        </is>
      </c>
      <c r="F114" s="278" t="inlineStr">
        <is>
          <t>aBalados@abalados.es</t>
        </is>
      </c>
      <c r="G114" s="278" t="inlineStr">
        <is>
          <t>WOC Fotovoltaica España Proyecto Villamartín S.L. S. Com.</t>
        </is>
      </c>
      <c r="H114" s="278">
        <f>VLOOKUP($G114,DATOS!$B:$E,2,FALSE)</f>
        <v/>
      </c>
      <c r="I114" s="278">
        <f>VLOOKUP($G114,DATOS!$B:$E,3,FALSE)</f>
        <v/>
      </c>
      <c r="J114" s="278">
        <f>VLOOKUP($G114,DATOS!$B:$E,4,FALSE)</f>
        <v/>
      </c>
      <c r="K114" s="278" t="inlineStr">
        <is>
          <t>Factura de suplidos</t>
        </is>
      </c>
      <c r="L114" s="280" t="n"/>
      <c r="M114" s="278" t="inlineStr">
        <is>
          <t>Emisión de certificado de representación</t>
        </is>
      </c>
      <c r="N114" s="280" t="n">
        <v>16.94</v>
      </c>
      <c r="P114" s="280" t="n"/>
      <c r="R114" s="280" t="n"/>
      <c r="T114" s="280" t="n"/>
      <c r="V114" s="280" t="n"/>
      <c r="X114" s="280" t="n"/>
      <c r="Z114" s="280" t="n"/>
      <c r="AA114" s="280">
        <f>L114+N114+P114+R114+T114+V114+X114+Z114</f>
        <v/>
      </c>
      <c r="AB114" s="402" t="inlineStr">
        <is>
          <t>ES85 2080 3509 1130 4009 6171</t>
        </is>
      </c>
      <c r="AC114" s="278" t="inlineStr">
        <is>
          <t>pendiente</t>
        </is>
      </c>
      <c r="AD114" s="280">
        <f>L114+N114+P114+R114+T114+V114+X114+Z114</f>
        <v/>
      </c>
      <c r="AE114" s="280">
        <f>IF((LEFT(K114,6))="Contab",L114,0)</f>
        <v/>
      </c>
      <c r="AF114" s="281">
        <f>VLOOKUP(G114,CLIENTES!B:E,4,FALSE)</f>
        <v/>
      </c>
      <c r="AG114" s="280">
        <f>AF114*AE114</f>
        <v/>
      </c>
      <c r="AH114" s="280">
        <f>AD114*1.21</f>
        <v/>
      </c>
      <c r="AI114" s="284">
        <f>IF(AE114&lt;&gt;0,AG114/AD114,"N/A")</f>
        <v/>
      </c>
      <c r="AJ114" s="280">
        <f>IF(AC114="pendiente",AD114,0)</f>
        <v/>
      </c>
      <c r="AK114" s="278">
        <f>VLOOKUP(G114,CLIENTES!B:D,3,FALSE)</f>
        <v/>
      </c>
    </row>
    <row r="115" ht="15" customFormat="1" customHeight="1" s="278">
      <c r="B115" s="279" t="n"/>
      <c r="C115" s="278" t="inlineStr">
        <is>
          <t>c/ Las Cruzadas 3A, local D</t>
        </is>
      </c>
      <c r="D115" s="278" t="inlineStr">
        <is>
          <t>Sevilla 41004</t>
        </is>
      </c>
      <c r="E115" s="278" t="inlineStr">
        <is>
          <t>CIF B91938662</t>
        </is>
      </c>
      <c r="F115" s="278" t="inlineStr">
        <is>
          <t>aBalados@abalados.es</t>
        </is>
      </c>
      <c r="G115" s="278" t="inlineStr">
        <is>
          <t>FP LUX REIO PV ZARAGOZA SL.</t>
        </is>
      </c>
      <c r="H115" s="278">
        <f>VLOOKUP($G115,DATOS!$B:$E,2,FALSE)</f>
        <v/>
      </c>
      <c r="I115" s="278">
        <f>VLOOKUP($G115,DATOS!$B:$E,3,FALSE)</f>
        <v/>
      </c>
      <c r="J115" s="278">
        <f>VLOOKUP($G115,DATOS!$B:$E,4,FALSE)</f>
        <v/>
      </c>
      <c r="K115" s="278" t="inlineStr">
        <is>
          <t>Factura de suplidos</t>
        </is>
      </c>
      <c r="L115" s="280" t="n"/>
      <c r="M115" s="278" t="inlineStr">
        <is>
          <t>Renovación LEI</t>
        </is>
      </c>
      <c r="N115" s="280">
        <f>67.86</f>
        <v/>
      </c>
      <c r="O115" s="278" t="inlineStr">
        <is>
          <t>Tasa municipal de obra</t>
        </is>
      </c>
      <c r="P115" s="280">
        <f>27.96</f>
        <v/>
      </c>
      <c r="Q115" s="278" t="inlineStr">
        <is>
          <t>TAX Mod.746</t>
        </is>
      </c>
      <c r="R115" s="280" t="n">
        <v>2978.95</v>
      </c>
      <c r="T115" s="280" t="n"/>
      <c r="V115" s="280" t="n"/>
      <c r="X115" s="280" t="n"/>
      <c r="Z115" s="280" t="n"/>
      <c r="AA115" s="280">
        <f>L115+N115+P115+R115+T115+V115+X115+Z115</f>
        <v/>
      </c>
      <c r="AB115" s="402" t="inlineStr">
        <is>
          <t>ES85 2080 3509 1130 4009 6171</t>
        </is>
      </c>
      <c r="AC115" s="278" t="inlineStr">
        <is>
          <t>pendiente</t>
        </is>
      </c>
      <c r="AD115" s="280">
        <f>L115+N115+P115+R115+T115+V115+X115+Z115</f>
        <v/>
      </c>
      <c r="AE115" s="280">
        <f>IF((LEFT(K115,6))="Contab",L115,0)</f>
        <v/>
      </c>
      <c r="AF115" s="281">
        <f>VLOOKUP(G115,CLIENTES!B:E,4,FALSE)</f>
        <v/>
      </c>
      <c r="AG115" s="280">
        <f>AF115*AE115</f>
        <v/>
      </c>
      <c r="AH115" s="280">
        <f>AD115*1.21</f>
        <v/>
      </c>
      <c r="AI115" s="284">
        <f>IF(AE115&lt;&gt;0,AG115/AD115,"N/A")</f>
        <v/>
      </c>
      <c r="AJ115" s="280">
        <f>IF(AC115="pendiente",AD115,0)</f>
        <v/>
      </c>
      <c r="AK115" s="278">
        <f>VLOOKUP(G115,CLIENTES!B:D,3,FALSE)</f>
        <v/>
      </c>
    </row>
    <row r="116" ht="15" customFormat="1" customHeight="1" s="278">
      <c r="B116" s="279" t="n"/>
      <c r="C116" s="278" t="inlineStr">
        <is>
          <t>c/ Las Cruzadas 3A, local D</t>
        </is>
      </c>
      <c r="D116" s="278" t="inlineStr">
        <is>
          <t>Sevilla 41004</t>
        </is>
      </c>
      <c r="E116" s="278" t="inlineStr">
        <is>
          <t>CIF B91938662</t>
        </is>
      </c>
      <c r="F116" s="278" t="inlineStr">
        <is>
          <t>aBalados@abalados.es</t>
        </is>
      </c>
      <c r="G116" s="278" t="inlineStr">
        <is>
          <t>FP LUX REIO PV VALLADOLID, S.L.U.</t>
        </is>
      </c>
      <c r="H116" s="278">
        <f>VLOOKUP($G116,DATOS!$B:$E,2,FALSE)</f>
        <v/>
      </c>
      <c r="I116" s="278">
        <f>VLOOKUP($G116,DATOS!$B:$E,3,FALSE)</f>
        <v/>
      </c>
      <c r="J116" s="278">
        <f>VLOOKUP($G116,DATOS!$B:$E,4,FALSE)</f>
        <v/>
      </c>
      <c r="K116" s="278" t="inlineStr">
        <is>
          <t>Factura de suplidos</t>
        </is>
      </c>
      <c r="L116" s="280" t="n"/>
      <c r="M116" s="278" t="inlineStr">
        <is>
          <t>Registro Mercantil - Cambio razón social</t>
        </is>
      </c>
      <c r="N116" s="280">
        <f>375.95</f>
        <v/>
      </c>
      <c r="O116" s="278" t="inlineStr">
        <is>
          <t>Certificado Representante Admin. único y solidario</t>
        </is>
      </c>
      <c r="P116" s="280">
        <f>29.04</f>
        <v/>
      </c>
      <c r="Q116" s="278" t="inlineStr">
        <is>
          <t>Renovación Código LEI</t>
        </is>
      </c>
      <c r="R116" s="280">
        <f>67.86</f>
        <v/>
      </c>
      <c r="S116" s="278" t="inlineStr">
        <is>
          <t>Coste notaría (apoderamiento)</t>
        </is>
      </c>
      <c r="T116" s="280">
        <f>88.06</f>
        <v/>
      </c>
      <c r="V116" s="280" t="n"/>
      <c r="X116" s="280" t="n"/>
      <c r="Z116" s="280" t="n"/>
      <c r="AA116" s="280">
        <f>L116+N116+P116+R116+T116+V116+X116+Z116</f>
        <v/>
      </c>
      <c r="AB116" s="402" t="inlineStr">
        <is>
          <t>ES85 2080 3509 1130 4009 6171</t>
        </is>
      </c>
      <c r="AC116" s="278" t="inlineStr">
        <is>
          <t>pendiente</t>
        </is>
      </c>
      <c r="AD116" s="280">
        <f>L116+N116+P116+R116+T116+V116+X116+Z116</f>
        <v/>
      </c>
      <c r="AE116" s="280">
        <f>IF((LEFT(K116,6))="Contab",L116,0)</f>
        <v/>
      </c>
      <c r="AF116" s="281">
        <f>VLOOKUP(G116,CLIENTES!B:E,4,FALSE)</f>
        <v/>
      </c>
      <c r="AG116" s="280">
        <f>AF116*AE116</f>
        <v/>
      </c>
      <c r="AH116" s="280">
        <f>AD116*1.21</f>
        <v/>
      </c>
      <c r="AI116" s="284">
        <f>IF(AE116&lt;&gt;0,AG116/AD116,"N/A")</f>
        <v/>
      </c>
      <c r="AJ116" s="280">
        <f>IF(AC116="pendiente",AD116,0)</f>
        <v/>
      </c>
      <c r="AK116" s="278">
        <f>VLOOKUP(G116,CLIENTES!B:D,3,FALSE)</f>
        <v/>
      </c>
    </row>
    <row r="117" ht="15" customFormat="1" customHeight="1" s="278">
      <c r="B117" s="279" t="n"/>
      <c r="C117" s="278" t="inlineStr">
        <is>
          <t>c/ Las Cruzadas 3A, local D</t>
        </is>
      </c>
      <c r="D117" s="278" t="inlineStr">
        <is>
          <t>Sevilla 41004</t>
        </is>
      </c>
      <c r="E117" s="278" t="inlineStr">
        <is>
          <t>CIF B91938662</t>
        </is>
      </c>
      <c r="F117" s="278" t="inlineStr">
        <is>
          <t>aBalados@abalados.es</t>
        </is>
      </c>
      <c r="G117" s="278" t="inlineStr">
        <is>
          <t>WFE 02 S.L., S.COM</t>
        </is>
      </c>
      <c r="H117" s="278">
        <f>VLOOKUP($G117,DATOS!$B:$E,2,FALSE)</f>
        <v/>
      </c>
      <c r="I117" s="278">
        <f>VLOOKUP($G117,DATOS!$B:$E,3,FALSE)</f>
        <v/>
      </c>
      <c r="J117" s="278">
        <f>VLOOKUP($G117,DATOS!$B:$E,4,FALSE)</f>
        <v/>
      </c>
      <c r="K117" s="278" t="inlineStr">
        <is>
          <t>Factura de suplidos</t>
        </is>
      </c>
      <c r="L117" s="280" t="n"/>
      <c r="M117" s="278" t="inlineStr">
        <is>
          <t>Emisión de certificado de representación</t>
        </is>
      </c>
      <c r="N117" s="280" t="n">
        <v>16.94</v>
      </c>
      <c r="P117" s="280" t="n"/>
      <c r="R117" s="280" t="n"/>
      <c r="T117" s="280" t="n"/>
      <c r="V117" s="280" t="n"/>
      <c r="X117" s="280" t="n"/>
      <c r="Z117" s="280" t="n"/>
      <c r="AA117" s="280">
        <f>L117+N117+P117+R117+T117+V117+X117+Z117</f>
        <v/>
      </c>
      <c r="AB117" s="402" t="inlineStr">
        <is>
          <t>ES85 2080 3509 1130 4009 6171</t>
        </is>
      </c>
      <c r="AC117" s="278" t="inlineStr">
        <is>
          <t>pendiente</t>
        </is>
      </c>
      <c r="AD117" s="280">
        <f>L117+N117+P117+R117+T117+V117+X117+Z117</f>
        <v/>
      </c>
      <c r="AE117" s="280">
        <f>IF((LEFT(K117,6))="Contab",L117,0)</f>
        <v/>
      </c>
      <c r="AF117" s="281">
        <f>VLOOKUP(G117,CLIENTES!B:E,4,FALSE)</f>
        <v/>
      </c>
      <c r="AG117" s="280">
        <f>AF117*AE117</f>
        <v/>
      </c>
      <c r="AH117" s="280">
        <f>AD117*1.21</f>
        <v/>
      </c>
      <c r="AI117" s="284">
        <f>IF(AE117&lt;&gt;0,AG117/AD117,"N/A")</f>
        <v/>
      </c>
      <c r="AJ117" s="280">
        <f>IF(AC117="pendiente",AD117,0)</f>
        <v/>
      </c>
      <c r="AK117" s="278">
        <f>VLOOKUP(G117,CLIENTES!B:D,3,FALSE)</f>
        <v/>
      </c>
    </row>
    <row r="118" ht="15" customFormat="1" customHeight="1" s="278">
      <c r="B118" s="279" t="n"/>
      <c r="C118" s="278" t="inlineStr">
        <is>
          <t>c/ Las Cruzadas 3A, local D</t>
        </is>
      </c>
      <c r="D118" s="278" t="inlineStr">
        <is>
          <t>Sevilla 41004</t>
        </is>
      </c>
      <c r="E118" s="278" t="inlineStr">
        <is>
          <t>CIF B91938662</t>
        </is>
      </c>
      <c r="F118" s="278" t="inlineStr">
        <is>
          <t>aBalados@abalados.es</t>
        </is>
      </c>
      <c r="G118" s="278" t="inlineStr">
        <is>
          <t>WOC Fotovoltaica España Proyecto Coreses S.L. S. Com.</t>
        </is>
      </c>
      <c r="H118" s="278">
        <f>VLOOKUP($G118,DATOS!$B:$E,2,FALSE)</f>
        <v/>
      </c>
      <c r="I118" s="278">
        <f>VLOOKUP($G118,DATOS!$B:$E,3,FALSE)</f>
        <v/>
      </c>
      <c r="J118" s="278">
        <f>VLOOKUP($G118,DATOS!$B:$E,4,FALSE)</f>
        <v/>
      </c>
      <c r="K118" s="278" t="inlineStr">
        <is>
          <t>Factura de suplidos</t>
        </is>
      </c>
      <c r="L118" s="280" t="n"/>
      <c r="M118" s="278" t="inlineStr">
        <is>
          <t>Emisión de certificado de representación</t>
        </is>
      </c>
      <c r="N118" s="280" t="n">
        <v>16.94</v>
      </c>
      <c r="P118" s="280" t="n"/>
      <c r="R118" s="280" t="n"/>
      <c r="T118" s="280" t="n"/>
      <c r="V118" s="280" t="n"/>
      <c r="X118" s="280" t="n"/>
      <c r="Z118" s="280" t="n"/>
      <c r="AA118" s="280">
        <f>L118+N118+P118+R118+T118+V118+X118+Z118</f>
        <v/>
      </c>
      <c r="AB118" s="402" t="inlineStr">
        <is>
          <t>ES85 2080 3509 1130 4009 6171</t>
        </is>
      </c>
      <c r="AC118" s="278" t="inlineStr">
        <is>
          <t>pendiente</t>
        </is>
      </c>
      <c r="AD118" s="280">
        <f>L118+N118+P118+R118+T118+V118+X118+Z118</f>
        <v/>
      </c>
      <c r="AE118" s="280">
        <f>IF((LEFT(K118,6))="Contab",L118,0)</f>
        <v/>
      </c>
      <c r="AF118" s="281">
        <f>VLOOKUP(G118,CLIENTES!B:E,4,FALSE)</f>
        <v/>
      </c>
      <c r="AG118" s="280">
        <f>AF118*AE118</f>
        <v/>
      </c>
      <c r="AH118" s="280">
        <f>AD118*1.21</f>
        <v/>
      </c>
      <c r="AI118" s="284">
        <f>IF(AE118&lt;&gt;0,AG118/AD118,"N/A")</f>
        <v/>
      </c>
      <c r="AJ118" s="280">
        <f>IF(AC118="pendiente",AD118,0)</f>
        <v/>
      </c>
      <c r="AK118" s="278">
        <f>VLOOKUP(G118,CLIENTES!B:D,3,FALSE)</f>
        <v/>
      </c>
    </row>
    <row r="119" ht="18" customFormat="1" customHeight="1" s="685">
      <c r="A119" s="19" t="n"/>
      <c r="B119" s="19" t="n"/>
      <c r="C119" s="684" t="n"/>
      <c r="D119" s="684" t="n"/>
      <c r="E119" s="684" t="n"/>
      <c r="F119" s="684" t="n"/>
      <c r="G119" s="684" t="n"/>
      <c r="H119" s="684" t="n"/>
      <c r="I119" s="684" t="n"/>
      <c r="J119" s="684" t="n"/>
      <c r="K119" s="19" t="n"/>
      <c r="L119" s="21" t="n"/>
      <c r="M119" s="19" t="n"/>
      <c r="N119" s="21" t="n"/>
      <c r="O119" s="19" t="n"/>
      <c r="P119" s="21" t="n"/>
      <c r="Q119" s="81" t="n"/>
      <c r="R119" s="21" t="n"/>
      <c r="S119" s="19" t="n"/>
      <c r="T119" s="21" t="n"/>
      <c r="U119" s="19" t="n"/>
      <c r="V119" s="21" t="n"/>
      <c r="W119" s="19" t="n"/>
      <c r="X119" s="21" t="n"/>
      <c r="Y119" s="19" t="n"/>
      <c r="Z119" s="21" t="n"/>
      <c r="AA119" s="21" t="n"/>
      <c r="AB119" s="684" t="n"/>
      <c r="AC119" s="684" t="n"/>
      <c r="AD119" s="684" t="n"/>
      <c r="AE119" s="684" t="n"/>
      <c r="AF119" s="684" t="n"/>
      <c r="AG119" s="684" t="n"/>
      <c r="AH119" s="684" t="n"/>
      <c r="AI119" s="684" t="n"/>
      <c r="AJ119" s="684" t="n"/>
      <c r="AK119" s="684" t="n"/>
    </row>
    <row r="120" ht="18" customFormat="1" customHeight="1" s="443">
      <c r="A120" s="439" t="n"/>
      <c r="B120" s="439" t="n"/>
      <c r="C120" s="440" t="n"/>
      <c r="D120" s="440" t="n"/>
      <c r="E120" s="440" t="n"/>
      <c r="F120" s="440" t="n"/>
      <c r="G120" s="440" t="n"/>
      <c r="H120" s="440" t="n"/>
      <c r="I120" s="440" t="n"/>
      <c r="J120" s="440" t="n"/>
      <c r="K120" s="439" t="n"/>
      <c r="L120" s="441" t="n"/>
      <c r="M120" s="439" t="n"/>
      <c r="N120" s="441" t="n"/>
      <c r="O120" s="439" t="n"/>
      <c r="P120" s="441" t="n"/>
      <c r="Q120" s="442" t="n"/>
      <c r="R120" s="441" t="n"/>
      <c r="S120" s="439" t="n"/>
      <c r="T120" s="441" t="n"/>
      <c r="U120" s="439" t="n"/>
      <c r="V120" s="441" t="n"/>
      <c r="W120" s="439" t="n"/>
      <c r="X120" s="441" t="n"/>
      <c r="Y120" s="439" t="n"/>
      <c r="Z120" s="441" t="n"/>
      <c r="AA120" s="441" t="n"/>
      <c r="AB120" s="440" t="n"/>
      <c r="AC120" s="440" t="n"/>
      <c r="AD120" s="440" t="n"/>
      <c r="AE120" s="440" t="n"/>
      <c r="AF120" s="440" t="n"/>
      <c r="AG120" s="440" t="n"/>
      <c r="AH120" s="440" t="n"/>
      <c r="AI120" s="440" t="n"/>
      <c r="AJ120" s="440" t="n"/>
      <c r="AK120" s="440" t="n"/>
    </row>
    <row r="121" ht="18" customFormat="1" customHeight="1" s="685">
      <c r="A121" s="19" t="n"/>
      <c r="B121" s="19" t="n"/>
      <c r="C121" s="684" t="n"/>
      <c r="D121" s="684" t="n"/>
      <c r="E121" s="684" t="n"/>
      <c r="F121" s="684" t="n"/>
      <c r="G121" s="684" t="n"/>
      <c r="H121" s="684" t="n"/>
      <c r="I121" s="684" t="n"/>
      <c r="J121" s="684" t="n"/>
      <c r="K121" s="19" t="n"/>
      <c r="L121" s="21" t="n"/>
      <c r="M121" s="19" t="n"/>
      <c r="N121" s="21" t="n"/>
      <c r="O121" s="19" t="n"/>
      <c r="P121" s="21" t="n"/>
      <c r="Q121" s="81" t="n"/>
      <c r="R121" s="21" t="n"/>
      <c r="S121" s="19" t="n"/>
      <c r="T121" s="21" t="n"/>
      <c r="U121" s="19" t="n"/>
      <c r="V121" s="21" t="n"/>
      <c r="W121" s="19" t="n"/>
      <c r="X121" s="21" t="n"/>
      <c r="Y121" s="19" t="n"/>
      <c r="Z121" s="21" t="n"/>
      <c r="AA121" s="21" t="n"/>
      <c r="AB121" s="684" t="n"/>
      <c r="AC121" s="684" t="n"/>
      <c r="AD121" s="684" t="n"/>
      <c r="AE121" s="684" t="n"/>
      <c r="AF121" s="684" t="n"/>
      <c r="AG121" s="684" t="n"/>
      <c r="AH121" s="684" t="n"/>
      <c r="AI121" s="684" t="n"/>
      <c r="AJ121" s="684" t="n"/>
      <c r="AK121" s="684" t="n"/>
    </row>
    <row r="122" ht="15" customFormat="1" customHeight="1" s="195">
      <c r="A122" s="195" t="inlineStr">
        <is>
          <t>S23001</t>
        </is>
      </c>
      <c r="B122" s="194" t="n">
        <v>45005</v>
      </c>
      <c r="C122" s="195" t="inlineStr">
        <is>
          <t>c/ Las Cruzadas 3A, local D</t>
        </is>
      </c>
      <c r="D122" s="195" t="inlineStr">
        <is>
          <t>Sevilla 41004</t>
        </is>
      </c>
      <c r="E122" s="195" t="inlineStr">
        <is>
          <t>CIF B91938662</t>
        </is>
      </c>
      <c r="F122" s="195" t="inlineStr">
        <is>
          <t>aBalados@abalados.es</t>
        </is>
      </c>
      <c r="G122" s="195" t="inlineStr">
        <is>
          <t>ENEL GREEN POWER ESPAÑA, S.L.</t>
        </is>
      </c>
      <c r="H122" s="195">
        <f>VLOOKUP($G122,DATOS!$B:$E,2,FALSE)</f>
        <v/>
      </c>
      <c r="I122" s="195">
        <f>VLOOKUP($G122,DATOS!$B:$E,3,FALSE)</f>
        <v/>
      </c>
      <c r="J122" s="195">
        <f>VLOOKUP($G122,DATOS!$B:$E,4,FALSE)</f>
        <v/>
      </c>
      <c r="K122" s="195" t="inlineStr">
        <is>
          <t>Factura de suplidos</t>
        </is>
      </c>
      <c r="L122" s="196" t="n"/>
      <c r="N122" s="196" t="n"/>
      <c r="O122" s="195" t="inlineStr">
        <is>
          <t>Notaría - Provisión de fondos</t>
        </is>
      </c>
      <c r="P122" s="196" t="n"/>
      <c r="Q122" s="195" t="inlineStr">
        <is>
          <t>Transformadora Almodóvar Renovables, S.L.</t>
        </is>
      </c>
      <c r="R122" s="196" t="n"/>
      <c r="T122" s="196" t="n"/>
      <c r="V122" s="196" t="n"/>
      <c r="X122" s="196" t="n"/>
      <c r="Z122" s="196" t="n"/>
      <c r="AA122" s="196" t="n">
        <v>605.3</v>
      </c>
      <c r="AB122" s="197" t="inlineStr">
        <is>
          <t>ES11 0081 7069 2700 0122 7724</t>
        </is>
      </c>
      <c r="AC122" s="195" t="inlineStr">
        <is>
          <t>pagado</t>
        </is>
      </c>
      <c r="AD122" s="196">
        <f>L122+N122+P122+R122+T122+V122+X122+Z122</f>
        <v/>
      </c>
      <c r="AE122" s="196">
        <f>IF((LEFT(K122,6))="Contab",L122,0)</f>
        <v/>
      </c>
      <c r="AF122" s="197">
        <f>VLOOKUP(G122,CLIENTES!B:E,4,FALSE)</f>
        <v/>
      </c>
      <c r="AG122" s="196">
        <f>AF122*AE122</f>
        <v/>
      </c>
      <c r="AH122" s="196">
        <f>AD122*1.21</f>
        <v/>
      </c>
      <c r="AI122" s="285">
        <f>IF(AE122&lt;&gt;0,AG122/AD122,"N/A")</f>
        <v/>
      </c>
      <c r="AJ122" s="196">
        <f>IF(AC122="pendiente",AD122,0)</f>
        <v/>
      </c>
      <c r="AK122" s="195">
        <f>VLOOKUP(G122,CLIENTES!B:D,3,FALSE)</f>
        <v/>
      </c>
    </row>
    <row r="123" ht="15" customFormat="1" customHeight="1" s="195">
      <c r="A123" s="195" t="inlineStr">
        <is>
          <t>S23002</t>
        </is>
      </c>
      <c r="B123" s="194" t="n">
        <v>45019</v>
      </c>
      <c r="C123" s="195" t="inlineStr">
        <is>
          <t>c/ Las Cruzadas 3A, local D</t>
        </is>
      </c>
      <c r="D123" s="195" t="inlineStr">
        <is>
          <t>Sevilla 41004</t>
        </is>
      </c>
      <c r="E123" s="195" t="inlineStr">
        <is>
          <t>CIF B91938662</t>
        </is>
      </c>
      <c r="F123" s="195" t="inlineStr">
        <is>
          <t>aBalados@abalados.es</t>
        </is>
      </c>
      <c r="G123" s="195" t="inlineStr">
        <is>
          <t>Herrera Renovables 400, A.I.E.</t>
        </is>
      </c>
      <c r="H123" s="195">
        <f>VLOOKUP($G123,DATOS!$B:$E,2,FALSE)</f>
        <v/>
      </c>
      <c r="I123" s="195">
        <f>VLOOKUP($G123,DATOS!$B:$E,3,FALSE)</f>
        <v/>
      </c>
      <c r="J123" s="195">
        <f>VLOOKUP($G123,DATOS!$B:$E,4,FALSE)</f>
        <v/>
      </c>
      <c r="K123" s="195" t="inlineStr">
        <is>
          <t>Factura de suplidos</t>
        </is>
      </c>
      <c r="L123" s="196" t="n"/>
      <c r="M123" s="195" t="inlineStr">
        <is>
          <t>Nota Simple Registro de la propiedad</t>
        </is>
      </c>
      <c r="N123" s="196" t="n">
        <v>9.56</v>
      </c>
      <c r="O123" s="195" t="inlineStr">
        <is>
          <t>Nota Simple Registro de la propiedad</t>
        </is>
      </c>
      <c r="P123" s="196" t="n">
        <v>9.56</v>
      </c>
      <c r="Q123" s="195" t="inlineStr">
        <is>
          <t>Nota Simple Registro de la propiedad</t>
        </is>
      </c>
      <c r="R123" s="196" t="n">
        <v>9.56</v>
      </c>
      <c r="S123" s="195" t="inlineStr">
        <is>
          <t>Nota Simple Registro de la propiedad</t>
        </is>
      </c>
      <c r="T123" s="196" t="n">
        <v>9.56</v>
      </c>
      <c r="V123" s="196" t="n"/>
      <c r="X123" s="196" t="n"/>
      <c r="Z123" s="196" t="n"/>
      <c r="AA123" s="196">
        <f>L123+N123+P123+R123+T123+V123+X123+Z123</f>
        <v/>
      </c>
      <c r="AB123" s="197" t="inlineStr">
        <is>
          <t>ES11 0081 7069 2700 0122 7724</t>
        </is>
      </c>
      <c r="AC123" s="195" t="inlineStr">
        <is>
          <t>pendiente</t>
        </is>
      </c>
      <c r="AD123" s="196">
        <f>L123+N123+P123+R123+T123+V123+X123+Z123</f>
        <v/>
      </c>
      <c r="AE123" s="196">
        <f>IF((LEFT(K123,6))="Contab",L123,0)</f>
        <v/>
      </c>
      <c r="AF123" s="197">
        <f>VLOOKUP(G123,CLIENTES!B:E,4,FALSE)</f>
        <v/>
      </c>
      <c r="AG123" s="196">
        <f>AF123*AE123</f>
        <v/>
      </c>
      <c r="AH123" s="196">
        <f>AD123*1.21</f>
        <v/>
      </c>
      <c r="AI123" s="285">
        <f>IF(AE123&lt;&gt;0,AG123/AD123,"N/A")</f>
        <v/>
      </c>
      <c r="AJ123" s="196">
        <f>IF(AC123="pendiente",AD123,0)</f>
        <v/>
      </c>
      <c r="AK123" s="195">
        <f>VLOOKUP(G123,CLIENTES!B:D,3,FALSE)</f>
        <v/>
      </c>
    </row>
    <row r="124" ht="15" customFormat="1" customHeight="1" s="278">
      <c r="A124" s="278" t="inlineStr">
        <is>
          <t>S23003</t>
        </is>
      </c>
      <c r="B124" s="279" t="n">
        <v>45019</v>
      </c>
      <c r="C124" s="278" t="inlineStr">
        <is>
          <t>c/ Las Cruzadas 3A, local D</t>
        </is>
      </c>
      <c r="D124" s="278" t="inlineStr">
        <is>
          <t>Sevilla 41004</t>
        </is>
      </c>
      <c r="E124" s="278" t="inlineStr">
        <is>
          <t>CIF B91938662</t>
        </is>
      </c>
      <c r="F124" s="278" t="inlineStr">
        <is>
          <t>aBalados@abalados.es</t>
        </is>
      </c>
      <c r="G124" s="278" t="inlineStr">
        <is>
          <t>Energías Limpias de Carmona, S.L.</t>
        </is>
      </c>
      <c r="H124" s="278">
        <f>VLOOKUP($G124,DATOS!$B:$E,2,FALSE)</f>
        <v/>
      </c>
      <c r="I124" s="278">
        <f>VLOOKUP($G124,DATOS!$B:$E,3,FALSE)</f>
        <v/>
      </c>
      <c r="J124" s="278">
        <f>VLOOKUP($G124,DATOS!$B:$E,4,FALSE)</f>
        <v/>
      </c>
      <c r="K124" s="278" t="inlineStr">
        <is>
          <t>Factura de suplidos</t>
        </is>
      </c>
      <c r="L124" s="280" t="n"/>
      <c r="M124" s="278" t="inlineStr">
        <is>
          <t>Registro Mercantil de Sevilla - Inscripción de Poderes</t>
        </is>
      </c>
      <c r="N124" s="280" t="n">
        <v>207.1</v>
      </c>
      <c r="P124" s="280" t="n"/>
      <c r="R124" s="280" t="n"/>
      <c r="T124" s="280" t="n"/>
      <c r="V124" s="280" t="n"/>
      <c r="X124" s="280" t="n"/>
      <c r="Z124" s="280" t="n"/>
      <c r="AA124" s="280">
        <f>L124+N124+P124+R124+T124+V124+X124+Z124</f>
        <v/>
      </c>
      <c r="AB124" s="281" t="inlineStr">
        <is>
          <t>ES11 0081 7069 2700 0122 7724</t>
        </is>
      </c>
      <c r="AC124" s="278" t="inlineStr">
        <is>
          <t>pendiente</t>
        </is>
      </c>
      <c r="AD124" s="280">
        <f>L124+N124+P124+R124+T124+V124+X124+Z124</f>
        <v/>
      </c>
      <c r="AE124" s="280">
        <f>IF((LEFT(K124,6))="Contab",L124,0)</f>
        <v/>
      </c>
      <c r="AF124" s="281">
        <f>VLOOKUP(G124,CLIENTES!B:E,4,FALSE)</f>
        <v/>
      </c>
      <c r="AG124" s="280">
        <f>AF124*AE124</f>
        <v/>
      </c>
      <c r="AH124" s="280">
        <f>AD124*1.21</f>
        <v/>
      </c>
      <c r="AI124" s="284">
        <f>IF(AE124&lt;&gt;0,AG124/AD124,"N/A")</f>
        <v/>
      </c>
      <c r="AJ124" s="280">
        <f>IF(AC124="pendiente",AD124,0)</f>
        <v/>
      </c>
      <c r="AK124" s="278">
        <f>VLOOKUP(G124,CLIENTES!B:D,3,FALSE)</f>
        <v/>
      </c>
    </row>
    <row r="125" ht="15" customFormat="1" customHeight="1" s="278">
      <c r="A125" s="278" t="inlineStr">
        <is>
          <t>S23004</t>
        </is>
      </c>
      <c r="B125" s="279" t="n">
        <v>45019</v>
      </c>
      <c r="C125" s="278" t="inlineStr">
        <is>
          <t>c/ Las Cruzadas 3A, local D</t>
        </is>
      </c>
      <c r="D125" s="278" t="inlineStr">
        <is>
          <t>Sevilla 41004</t>
        </is>
      </c>
      <c r="E125" s="278" t="inlineStr">
        <is>
          <t>CIF B91938662</t>
        </is>
      </c>
      <c r="F125" s="278" t="inlineStr">
        <is>
          <t>aBalados@abalados.es</t>
        </is>
      </c>
      <c r="G125" s="278" t="inlineStr">
        <is>
          <t>Línea Covatillas, A.I.E.</t>
        </is>
      </c>
      <c r="H125" s="278">
        <f>VLOOKUP($G125,DATOS!$B:$E,2,FALSE)</f>
        <v/>
      </c>
      <c r="I125" s="278">
        <f>VLOOKUP($G125,DATOS!$B:$E,3,FALSE)</f>
        <v/>
      </c>
      <c r="J125" s="278">
        <f>VLOOKUP($G125,DATOS!$B:$E,4,FALSE)</f>
        <v/>
      </c>
      <c r="K125" s="278" t="inlineStr">
        <is>
          <t>Factura de suplidos</t>
        </is>
      </c>
      <c r="L125" s="280" t="n"/>
      <c r="M125" s="278" t="inlineStr">
        <is>
          <t>Modelo 111 3T</t>
        </is>
      </c>
      <c r="N125" s="280" t="n">
        <v>7.3</v>
      </c>
      <c r="O125" s="278" t="inlineStr">
        <is>
          <t>Modelo 111 4T</t>
        </is>
      </c>
      <c r="P125" s="280" t="n">
        <v>12.44</v>
      </c>
      <c r="Q125" s="278" t="inlineStr">
        <is>
          <t>FNMT</t>
        </is>
      </c>
      <c r="R125" s="280" t="n">
        <v>16.94</v>
      </c>
      <c r="T125" s="280" t="n"/>
      <c r="V125" s="280" t="n"/>
      <c r="X125" s="280" t="n"/>
      <c r="Z125" s="280" t="n"/>
      <c r="AA125" s="280">
        <f>L125+N125+P125+R125+T125+V125+X125+Z125</f>
        <v/>
      </c>
      <c r="AB125" s="281" t="inlineStr">
        <is>
          <t>ES11 0081 7069 2700 0122 7724</t>
        </is>
      </c>
      <c r="AC125" s="278" t="inlineStr">
        <is>
          <t>pendiente</t>
        </is>
      </c>
      <c r="AD125" s="280">
        <f>L125+N125+P125+R125+T125+V125+X125+Z125</f>
        <v/>
      </c>
      <c r="AE125" s="280">
        <f>IF((LEFT(K125,6))="Contab",L125,0)</f>
        <v/>
      </c>
      <c r="AF125" s="281">
        <f>VLOOKUP(G125,CLIENTES!B:E,4,FALSE)</f>
        <v/>
      </c>
      <c r="AG125" s="280">
        <f>AF125*AE125</f>
        <v/>
      </c>
      <c r="AH125" s="280">
        <f>AD125*1.21</f>
        <v/>
      </c>
      <c r="AI125" s="284">
        <f>IF(AE125&lt;&gt;0,AG125/AD125,"N/A")</f>
        <v/>
      </c>
      <c r="AJ125" s="280">
        <f>IF(AC125="pendiente",AD125,0)</f>
        <v/>
      </c>
      <c r="AK125" s="278">
        <f>VLOOKUP(G125,CLIENTES!B:D,3,FALSE)</f>
        <v/>
      </c>
    </row>
    <row r="126" ht="15" customFormat="1" customHeight="1" s="278">
      <c r="A126" s="278" t="inlineStr">
        <is>
          <t>S23005</t>
        </is>
      </c>
      <c r="B126" s="279" t="n">
        <v>45019</v>
      </c>
      <c r="C126" s="278" t="inlineStr">
        <is>
          <t>c/ Las Cruzadas 3A, local D</t>
        </is>
      </c>
      <c r="D126" s="278" t="inlineStr">
        <is>
          <t>Sevilla 41004</t>
        </is>
      </c>
      <c r="E126" s="278" t="inlineStr">
        <is>
          <t>CIF B91938662</t>
        </is>
      </c>
      <c r="F126" s="278" t="inlineStr">
        <is>
          <t>aBalados@abalados.es</t>
        </is>
      </c>
      <c r="G126" s="278" t="inlineStr">
        <is>
          <t>Herrera Sotillo Renovables, A.I.E.</t>
        </is>
      </c>
      <c r="H126" s="278">
        <f>VLOOKUP($G126,DATOS!$B:$E,2,FALSE)</f>
        <v/>
      </c>
      <c r="I126" s="278">
        <f>VLOOKUP($G126,DATOS!$B:$E,3,FALSE)</f>
        <v/>
      </c>
      <c r="J126" s="278">
        <f>VLOOKUP($G126,DATOS!$B:$E,4,FALSE)</f>
        <v/>
      </c>
      <c r="K126" s="278" t="inlineStr">
        <is>
          <t>Factura de suplidos</t>
        </is>
      </c>
      <c r="L126" s="280" t="n"/>
      <c r="M126" s="278" t="inlineStr">
        <is>
          <t>Modelo 111 4T</t>
        </is>
      </c>
      <c r="N126" s="280" t="n">
        <v>39.15</v>
      </c>
      <c r="P126" s="280" t="n"/>
      <c r="R126" s="280" t="n"/>
      <c r="T126" s="280" t="n"/>
      <c r="V126" s="280" t="n"/>
      <c r="X126" s="280" t="n"/>
      <c r="Z126" s="280" t="n"/>
      <c r="AA126" s="280">
        <f>L126+N126+P126+R126+T126+V126+X126+Z126</f>
        <v/>
      </c>
      <c r="AB126" s="281" t="inlineStr">
        <is>
          <t>ES11 0081 7069 2700 0122 7724</t>
        </is>
      </c>
      <c r="AC126" s="278" t="inlineStr">
        <is>
          <t>pendiente</t>
        </is>
      </c>
      <c r="AD126" s="280">
        <f>L126+N126+P126+R126+T126+V126+X126+Z126</f>
        <v/>
      </c>
      <c r="AE126" s="280">
        <f>IF((LEFT(K126,6))="Contab",L126,0)</f>
        <v/>
      </c>
      <c r="AF126" s="281">
        <f>VLOOKUP(G126,CLIENTES!B:E,4,FALSE)</f>
        <v/>
      </c>
      <c r="AG126" s="280">
        <f>AF126*AE126</f>
        <v/>
      </c>
      <c r="AH126" s="280">
        <f>AD126*1.21</f>
        <v/>
      </c>
      <c r="AI126" s="284">
        <f>IF(AE126&lt;&gt;0,AG126/AD126,"N/A")</f>
        <v/>
      </c>
      <c r="AJ126" s="280">
        <f>IF(AC126="pendiente",AD126,0)</f>
        <v/>
      </c>
      <c r="AK126" s="278">
        <f>VLOOKUP(G126,CLIENTES!B:D,3,FALSE)</f>
        <v/>
      </c>
    </row>
    <row r="127" ht="15" customFormat="1" customHeight="1" s="278">
      <c r="A127" s="278" t="inlineStr">
        <is>
          <t>S23006</t>
        </is>
      </c>
      <c r="B127" s="279" t="n">
        <v>45019</v>
      </c>
      <c r="C127" s="278" t="inlineStr">
        <is>
          <t>c/ Las Cruzadas 3A, local D</t>
        </is>
      </c>
      <c r="D127" s="278" t="inlineStr">
        <is>
          <t>Sevilla 41004</t>
        </is>
      </c>
      <c r="E127" s="278" t="inlineStr">
        <is>
          <t>CIF B91938662</t>
        </is>
      </c>
      <c r="F127" s="278" t="inlineStr">
        <is>
          <t>aBalados@abalados.es</t>
        </is>
      </c>
      <c r="G127" s="278" t="inlineStr">
        <is>
          <t>Cuádruple Belinchón, S.L.</t>
        </is>
      </c>
      <c r="H127" s="278">
        <f>VLOOKUP($G127,DATOS!$B:$E,2,FALSE)</f>
        <v/>
      </c>
      <c r="I127" s="278">
        <f>VLOOKUP($G127,DATOS!$B:$E,3,FALSE)</f>
        <v/>
      </c>
      <c r="J127" s="278">
        <f>VLOOKUP($G127,DATOS!$B:$E,4,FALSE)</f>
        <v/>
      </c>
      <c r="K127" s="278" t="inlineStr">
        <is>
          <t>Factura de suplidos</t>
        </is>
      </c>
      <c r="L127" s="280" t="n"/>
      <c r="M127" s="278" t="inlineStr">
        <is>
          <t>FNMT</t>
        </is>
      </c>
      <c r="N127" s="280" t="n">
        <v>16.94</v>
      </c>
      <c r="P127" s="280" t="n"/>
      <c r="R127" s="280" t="n"/>
      <c r="T127" s="280" t="n"/>
      <c r="V127" s="280" t="n"/>
      <c r="X127" s="280" t="n"/>
      <c r="Z127" s="280" t="n"/>
      <c r="AA127" s="280">
        <f>L127+N127+P127+R127+T127+V127+X127+Z127</f>
        <v/>
      </c>
      <c r="AB127" s="281" t="inlineStr">
        <is>
          <t>ES11 0081 7069 2700 0122 7724</t>
        </is>
      </c>
      <c r="AC127" s="278" t="inlineStr">
        <is>
          <t>pendiente</t>
        </is>
      </c>
      <c r="AD127" s="280">
        <f>L127+N127+P127+R127+T127+V127+X127+Z127</f>
        <v/>
      </c>
      <c r="AE127" s="280">
        <f>IF((LEFT(K127,6))="Contab",L127,0)</f>
        <v/>
      </c>
      <c r="AF127" s="281">
        <f>VLOOKUP(G127,CLIENTES!B:E,4,FALSE)</f>
        <v/>
      </c>
      <c r="AG127" s="280">
        <f>AF127*AE127</f>
        <v/>
      </c>
      <c r="AH127" s="280">
        <f>AD127*1.21</f>
        <v/>
      </c>
      <c r="AI127" s="284">
        <f>IF(AE127&lt;&gt;0,AG127/AD127,"N/A")</f>
        <v/>
      </c>
      <c r="AJ127" s="280">
        <f>IF(AC127="pendiente",AD127,0)</f>
        <v/>
      </c>
      <c r="AK127" s="278">
        <f>VLOOKUP(G127,CLIENTES!B:D,3,FALSE)</f>
        <v/>
      </c>
    </row>
    <row r="128" ht="15" customFormat="1" customHeight="1" s="278">
      <c r="A128" s="278" t="inlineStr">
        <is>
          <t>S23007</t>
        </is>
      </c>
      <c r="B128" s="279" t="n">
        <v>45019</v>
      </c>
      <c r="C128" s="278" t="inlineStr">
        <is>
          <t>c/ Las Cruzadas 3A, local D</t>
        </is>
      </c>
      <c r="D128" s="278" t="inlineStr">
        <is>
          <t>Sevilla 41004</t>
        </is>
      </c>
      <c r="E128" s="278" t="inlineStr">
        <is>
          <t>CIF B91938662</t>
        </is>
      </c>
      <c r="F128" s="278" t="inlineStr">
        <is>
          <t>aBalados@abalados.es</t>
        </is>
      </c>
      <c r="G128" s="278" t="inlineStr">
        <is>
          <t>Renovables Brovales 400 kV, S.L.</t>
        </is>
      </c>
      <c r="H128" s="278">
        <f>VLOOKUP($G128,DATOS!$B:$E,2,FALSE)</f>
        <v/>
      </c>
      <c r="I128" s="278">
        <f>VLOOKUP($G128,DATOS!$B:$E,3,FALSE)</f>
        <v/>
      </c>
      <c r="J128" s="278">
        <f>VLOOKUP($G128,DATOS!$B:$E,4,FALSE)</f>
        <v/>
      </c>
      <c r="K128" s="278" t="inlineStr">
        <is>
          <t>Factura de suplidos</t>
        </is>
      </c>
      <c r="L128" s="280" t="n"/>
      <c r="M128" s="278" t="inlineStr">
        <is>
          <t>Modelo 111 4T</t>
        </is>
      </c>
      <c r="N128" s="280" t="n">
        <v>1303.79</v>
      </c>
      <c r="O128" s="278" t="inlineStr">
        <is>
          <t>FNMT</t>
        </is>
      </c>
      <c r="P128" s="280" t="n">
        <v>16.94</v>
      </c>
      <c r="Q128" s="278" t="inlineStr">
        <is>
          <t>Fernando de la Camara García - Modificación estatutos</t>
        </is>
      </c>
      <c r="R128" s="280" t="n">
        <v>132.79</v>
      </c>
      <c r="S128" s="278" t="inlineStr">
        <is>
          <t>Fernando de la Camara García - Nombramiento de cargos</t>
        </is>
      </c>
      <c r="T128" s="280" t="n">
        <v>157.97</v>
      </c>
      <c r="V128" s="280" t="n"/>
      <c r="X128" s="280" t="n"/>
      <c r="Z128" s="280" t="n"/>
      <c r="AA128" s="280">
        <f>L128+N128+P128+R128+T128+V128+X128+Z128</f>
        <v/>
      </c>
      <c r="AB128" s="281" t="inlineStr">
        <is>
          <t>ES11 0081 7069 2700 0122 7724</t>
        </is>
      </c>
      <c r="AC128" s="278" t="inlineStr">
        <is>
          <t>pendiente</t>
        </is>
      </c>
      <c r="AD128" s="280">
        <f>L128+N128+P128+R128+T128+V128+X128+Z128</f>
        <v/>
      </c>
      <c r="AE128" s="280">
        <f>IF((LEFT(K128,6))="Contab",L128,0)</f>
        <v/>
      </c>
      <c r="AF128" s="281">
        <f>VLOOKUP(G128,CLIENTES!B:E,4,FALSE)</f>
        <v/>
      </c>
      <c r="AG128" s="280">
        <f>AF128*AE128</f>
        <v/>
      </c>
      <c r="AH128" s="280">
        <f>AD128*1.21</f>
        <v/>
      </c>
      <c r="AI128" s="284">
        <f>IF(AE128&lt;&gt;0,AG128/AD128,"N/A")</f>
        <v/>
      </c>
      <c r="AJ128" s="280">
        <f>IF(AC128="pendiente",AD128,0)</f>
        <v/>
      </c>
      <c r="AK128" s="278">
        <f>VLOOKUP(G128,CLIENTES!B:D,3,FALSE)</f>
        <v/>
      </c>
    </row>
    <row r="129" ht="15" customFormat="1" customHeight="1" s="278">
      <c r="A129" s="278" t="inlineStr">
        <is>
          <t>S23008</t>
        </is>
      </c>
      <c r="B129" s="279" t="n">
        <v>45019</v>
      </c>
      <c r="C129" s="278" t="inlineStr">
        <is>
          <t>c/ Las Cruzadas 3A, local D</t>
        </is>
      </c>
      <c r="D129" s="278" t="inlineStr">
        <is>
          <t>Sevilla 41004</t>
        </is>
      </c>
      <c r="E129" s="278" t="inlineStr">
        <is>
          <t>CIF B91938662</t>
        </is>
      </c>
      <c r="F129" s="278" t="inlineStr">
        <is>
          <t>aBalados@abalados.es</t>
        </is>
      </c>
      <c r="G129" s="278" t="inlineStr">
        <is>
          <t>Huerta Sevilla Renovables, S.L.</t>
        </is>
      </c>
      <c r="H129" s="278">
        <f>VLOOKUP($G129,DATOS!$B:$E,2,FALSE)</f>
        <v/>
      </c>
      <c r="I129" s="278">
        <f>VLOOKUP($G129,DATOS!$B:$E,3,FALSE)</f>
        <v/>
      </c>
      <c r="J129" s="278">
        <f>VLOOKUP($G129,DATOS!$B:$E,4,FALSE)</f>
        <v/>
      </c>
      <c r="K129" s="278" t="inlineStr">
        <is>
          <t>Factura de suplidos</t>
        </is>
      </c>
      <c r="L129" s="280" t="n"/>
      <c r="M129" s="278" t="inlineStr">
        <is>
          <t>Modelo 111 4T</t>
        </is>
      </c>
      <c r="N129" s="280" t="n">
        <v>172.09</v>
      </c>
      <c r="O129" s="278" t="inlineStr">
        <is>
          <t>FNMT</t>
        </is>
      </c>
      <c r="P129" s="280" t="n">
        <v>16.94</v>
      </c>
      <c r="R129" s="280" t="n"/>
      <c r="T129" s="280" t="n"/>
      <c r="V129" s="280" t="n"/>
      <c r="X129" s="280" t="n"/>
      <c r="Z129" s="280" t="n"/>
      <c r="AA129" s="280">
        <f>L129+N129+P129+R129+T129+V129+X129+Z129</f>
        <v/>
      </c>
      <c r="AB129" s="281" t="inlineStr">
        <is>
          <t>ES11 0081 7069 2700 0122 7724</t>
        </is>
      </c>
      <c r="AC129" s="278" t="inlineStr">
        <is>
          <t>pendiente</t>
        </is>
      </c>
      <c r="AD129" s="280">
        <f>L129+N129+P129+R129+T129+V129+X129+Z129</f>
        <v/>
      </c>
      <c r="AE129" s="280">
        <f>IF((LEFT(K129,6))="Contab",L129,0)</f>
        <v/>
      </c>
      <c r="AF129" s="281">
        <f>VLOOKUP(G129,CLIENTES!B:E,4,FALSE)</f>
        <v/>
      </c>
      <c r="AG129" s="280">
        <f>AF129*AE129</f>
        <v/>
      </c>
      <c r="AH129" s="280">
        <f>AD129*1.21</f>
        <v/>
      </c>
      <c r="AI129" s="284">
        <f>IF(AE129&lt;&gt;0,AG129/AD129,"N/A")</f>
        <v/>
      </c>
      <c r="AJ129" s="280">
        <f>IF(AC129="pendiente",AD129,0)</f>
        <v/>
      </c>
      <c r="AK129" s="278">
        <f>VLOOKUP(G129,CLIENTES!B:D,3,FALSE)</f>
        <v/>
      </c>
    </row>
    <row r="130" ht="15" customFormat="1" customHeight="1" s="278">
      <c r="A130" s="278" t="inlineStr">
        <is>
          <t>S23009</t>
        </is>
      </c>
      <c r="B130" s="279" t="n">
        <v>45019</v>
      </c>
      <c r="C130" s="278" t="inlineStr">
        <is>
          <t>c/ Las Cruzadas 3A, local D</t>
        </is>
      </c>
      <c r="D130" s="278" t="inlineStr">
        <is>
          <t>Sevilla 41004</t>
        </is>
      </c>
      <c r="E130" s="278" t="inlineStr">
        <is>
          <t>CIF B91938662</t>
        </is>
      </c>
      <c r="F130" s="278" t="inlineStr">
        <is>
          <t>aBalados@abalados.es</t>
        </is>
      </c>
      <c r="G130" s="278" t="inlineStr">
        <is>
          <t>Belisol 132 kV, S.L.</t>
        </is>
      </c>
      <c r="H130" s="278">
        <f>VLOOKUP($G130,DATOS!$B:$E,2,FALSE)</f>
        <v/>
      </c>
      <c r="I130" s="278">
        <f>VLOOKUP($G130,DATOS!$B:$E,3,FALSE)</f>
        <v/>
      </c>
      <c r="J130" s="278">
        <f>VLOOKUP($G130,DATOS!$B:$E,4,FALSE)</f>
        <v/>
      </c>
      <c r="K130" s="278" t="inlineStr">
        <is>
          <t>Factura de suplidos</t>
        </is>
      </c>
      <c r="L130" s="280" t="n"/>
      <c r="M130" s="278" t="inlineStr">
        <is>
          <t>FNMT</t>
        </is>
      </c>
      <c r="N130" s="280" t="n">
        <v>16.94</v>
      </c>
      <c r="P130" s="280" t="n"/>
      <c r="R130" s="280" t="n"/>
      <c r="T130" s="280" t="n"/>
      <c r="V130" s="280" t="n"/>
      <c r="X130" s="280" t="n"/>
      <c r="Z130" s="280" t="n"/>
      <c r="AA130" s="280">
        <f>L130+N130+P130+R130+T130+V130+X130+Z130</f>
        <v/>
      </c>
      <c r="AB130" s="281" t="inlineStr">
        <is>
          <t>ES11 0081 7069 2700 0122 7724</t>
        </is>
      </c>
      <c r="AC130" s="278" t="inlineStr">
        <is>
          <t>pendiente</t>
        </is>
      </c>
      <c r="AD130" s="280">
        <f>L130+N130+P130+R130+T130+V130+X130+Z130</f>
        <v/>
      </c>
      <c r="AE130" s="280">
        <f>IF((LEFT(K130,6))="Contab",L130,0)</f>
        <v/>
      </c>
      <c r="AF130" s="281">
        <f>VLOOKUP(G130,CLIENTES!B:E,4,FALSE)</f>
        <v/>
      </c>
      <c r="AG130" s="280">
        <f>AF130*AE130</f>
        <v/>
      </c>
      <c r="AH130" s="280">
        <f>AD130*1.21</f>
        <v/>
      </c>
      <c r="AI130" s="284">
        <f>IF(AE130&lt;&gt;0,AG130/AD130,"N/A")</f>
        <v/>
      </c>
      <c r="AJ130" s="280">
        <f>IF(AC130="pendiente",AD130,0)</f>
        <v/>
      </c>
      <c r="AK130" s="278">
        <f>VLOOKUP(G130,CLIENTES!B:D,3,FALSE)</f>
        <v/>
      </c>
    </row>
    <row r="131" ht="15" customFormat="1" customHeight="1" s="278">
      <c r="A131" s="278" t="inlineStr">
        <is>
          <t>S23010</t>
        </is>
      </c>
      <c r="B131" s="279" t="n">
        <v>45019</v>
      </c>
      <c r="C131" s="278" t="inlineStr">
        <is>
          <t>c/ Las Cruzadas 3A, local D</t>
        </is>
      </c>
      <c r="D131" s="278" t="inlineStr">
        <is>
          <t>Sevilla 41004</t>
        </is>
      </c>
      <c r="E131" s="278" t="inlineStr">
        <is>
          <t>CIF B91938662</t>
        </is>
      </c>
      <c r="F131" s="278" t="inlineStr">
        <is>
          <t>aBalados@abalados.es</t>
        </is>
      </c>
      <c r="G131" s="278" t="inlineStr">
        <is>
          <t>Evacuación Liquesun, S.L.</t>
        </is>
      </c>
      <c r="H131" s="278">
        <f>VLOOKUP($G131,DATOS!$B:$E,2,FALSE)</f>
        <v/>
      </c>
      <c r="I131" s="278">
        <f>VLOOKUP($G131,DATOS!$B:$E,3,FALSE)</f>
        <v/>
      </c>
      <c r="J131" s="278">
        <f>VLOOKUP($G131,DATOS!$B:$E,4,FALSE)</f>
        <v/>
      </c>
      <c r="K131" s="278" t="inlineStr">
        <is>
          <t>Factura de suplidos</t>
        </is>
      </c>
      <c r="L131" s="280" t="n"/>
      <c r="M131" s="278" t="inlineStr">
        <is>
          <t>Registro Mercantil de Madrid - Inscripción de poderes</t>
        </is>
      </c>
      <c r="N131" s="280" t="n">
        <v>158.76</v>
      </c>
      <c r="O131" s="278" t="inlineStr">
        <is>
          <t>Registro Mercantil de Madrid - Inscripción de la sociedad</t>
        </is>
      </c>
      <c r="P131" s="280" t="n">
        <v>361.4</v>
      </c>
      <c r="R131" s="280" t="n"/>
      <c r="T131" s="280" t="n"/>
      <c r="V131" s="280" t="n"/>
      <c r="X131" s="280" t="n"/>
      <c r="Z131" s="280" t="n"/>
      <c r="AA131" s="280">
        <f>L131+N131+P131+R131+T131+V131+X131+Z131</f>
        <v/>
      </c>
      <c r="AB131" s="281" t="inlineStr">
        <is>
          <t>ES11 0081 7069 2700 0122 7724</t>
        </is>
      </c>
      <c r="AC131" s="278" t="inlineStr">
        <is>
          <t>pendiente</t>
        </is>
      </c>
      <c r="AD131" s="280">
        <f>L131+N131+P131+R131+T131+V131+X131+Z131</f>
        <v/>
      </c>
      <c r="AE131" s="280">
        <f>IF((LEFT(K131,6))="Contab",L131,0)</f>
        <v/>
      </c>
      <c r="AF131" s="281">
        <f>VLOOKUP(G131,CLIENTES!B:E,4,FALSE)</f>
        <v/>
      </c>
      <c r="AG131" s="280">
        <f>AF131*AE131</f>
        <v/>
      </c>
      <c r="AH131" s="280">
        <f>AD131*1.21</f>
        <v/>
      </c>
      <c r="AI131" s="284">
        <f>IF(AE131&lt;&gt;0,AG131/AD131,"N/A")</f>
        <v/>
      </c>
      <c r="AJ131" s="280">
        <f>IF(AC131="pendiente",AD131,0)</f>
        <v/>
      </c>
      <c r="AK131" s="278">
        <f>VLOOKUP(G131,CLIENTES!B:D,3,FALSE)</f>
        <v/>
      </c>
    </row>
    <row r="132" ht="15" customFormat="1" customHeight="1" s="192">
      <c r="A132" s="192" t="inlineStr">
        <is>
          <t>S23011</t>
        </is>
      </c>
      <c r="B132" s="199" t="n">
        <v>45019</v>
      </c>
      <c r="C132" s="192" t="inlineStr">
        <is>
          <t>c/ Las Cruzadas 3A, local D</t>
        </is>
      </c>
      <c r="D132" s="192" t="inlineStr">
        <is>
          <t>Sevilla 41004</t>
        </is>
      </c>
      <c r="E132" s="192" t="inlineStr">
        <is>
          <t>CIF B91938662</t>
        </is>
      </c>
      <c r="F132" s="192" t="inlineStr">
        <is>
          <t>aBalados@abalados.es</t>
        </is>
      </c>
      <c r="G132" s="192" t="inlineStr">
        <is>
          <t>China Triumph International Engineering Co., LTD EP EN SPAIN</t>
        </is>
      </c>
      <c r="H132" s="192">
        <f>VLOOKUP($G132,DATOS!$B:$E,2,FALSE)</f>
        <v/>
      </c>
      <c r="I132" s="192">
        <f>VLOOKUP($G132,DATOS!$B:$E,3,FALSE)</f>
        <v/>
      </c>
      <c r="J132" s="192">
        <f>VLOOKUP($G132,DATOS!$B:$E,4,FALSE)</f>
        <v/>
      </c>
      <c r="K132" s="192" t="inlineStr">
        <is>
          <t>Reimbursable expenses</t>
        </is>
      </c>
      <c r="L132" s="200" t="n"/>
      <c r="N132" s="200" t="n"/>
      <c r="O132" s="192" t="inlineStr">
        <is>
          <t>O&amp;M Supervision and Management  -  Additional Service (DoA November 11th 2022)</t>
        </is>
      </c>
      <c r="P132" s="200" t="n">
        <v>2250</v>
      </c>
      <c r="Q132" s="192" t="inlineStr">
        <is>
          <t>Puerto Real 1 PV - Cádiz | Spain</t>
        </is>
      </c>
      <c r="R132" s="200" t="n"/>
      <c r="S132" s="192" t="inlineStr">
        <is>
          <t>Support with WSS's assistance.</t>
        </is>
      </c>
      <c r="T132" s="200" t="n"/>
      <c r="U132" s="192" t="inlineStr">
        <is>
          <t>Invoice No.RG-23-00079 is paid on behalf of CTIEC</t>
        </is>
      </c>
      <c r="V132" s="200" t="n"/>
      <c r="X132" s="200" t="n"/>
      <c r="Z132" s="200" t="n"/>
      <c r="AA132" s="200" t="n">
        <v>2250</v>
      </c>
      <c r="AB132" s="201" t="inlineStr">
        <is>
          <t>ES11 0081 7069 2700 0122 7724</t>
        </is>
      </c>
      <c r="AC132" s="192" t="inlineStr">
        <is>
          <t>pagado</t>
        </is>
      </c>
      <c r="AD132" s="200">
        <f>L132+N132+P132+R132+T132+V132+X132+Z132</f>
        <v/>
      </c>
      <c r="AE132" s="200">
        <f>IF((LEFT(K132,6))="Contab",L132,0)</f>
        <v/>
      </c>
      <c r="AF132" s="201">
        <f>VLOOKUP(G132,CLIENTES!B:E,4,FALSE)</f>
        <v/>
      </c>
      <c r="AG132" s="200">
        <f>AF132*AE132</f>
        <v/>
      </c>
      <c r="AH132" s="200">
        <f>AD132*1.21</f>
        <v/>
      </c>
      <c r="AI132" s="283">
        <f>IF(AE132&lt;&gt;0,AG132/AD132,"N/A")</f>
        <v/>
      </c>
      <c r="AJ132" s="200">
        <f>IF(AC132="pendiente",AD132,0)</f>
        <v/>
      </c>
      <c r="AK132" s="192">
        <f>VLOOKUP(G132,CLIENTES!B:D,3,FALSE)</f>
        <v/>
      </c>
    </row>
    <row r="133" ht="15" customFormat="1" customHeight="1" s="192">
      <c r="A133" s="192" t="inlineStr">
        <is>
          <t>S23012</t>
        </is>
      </c>
      <c r="B133" s="199" t="n">
        <v>45078</v>
      </c>
      <c r="C133" s="192" t="inlineStr">
        <is>
          <t>c/ Las Cruzadas 3A, local D</t>
        </is>
      </c>
      <c r="D133" s="192" t="inlineStr">
        <is>
          <t>Sevilla 41004</t>
        </is>
      </c>
      <c r="E133" s="192" t="inlineStr">
        <is>
          <t>CIF B91938662</t>
        </is>
      </c>
      <c r="F133" s="192" t="inlineStr">
        <is>
          <t>aBalados@abalados.es</t>
        </is>
      </c>
      <c r="G133" s="192" t="inlineStr">
        <is>
          <t>Sun Tol I, S.L.U.</t>
        </is>
      </c>
      <c r="H133" s="192">
        <f>VLOOKUP($G133,DATOS!$B:$E,2,FALSE)</f>
        <v/>
      </c>
      <c r="I133" s="192">
        <f>VLOOKUP($G133,DATOS!$B:$E,3,FALSE)</f>
        <v/>
      </c>
      <c r="J133" s="192">
        <f>VLOOKUP($G133,DATOS!$B:$E,4,FALSE)</f>
        <v/>
      </c>
      <c r="K133" s="192" t="inlineStr">
        <is>
          <t>Reimbursable expenses</t>
        </is>
      </c>
      <c r="L133" s="200" t="n"/>
      <c r="N133" s="200" t="n"/>
      <c r="O133" s="192" t="inlineStr">
        <is>
          <t>Assistance with Francisco Javier Amo's (translation) services.</t>
        </is>
      </c>
      <c r="P133" s="200" t="n">
        <v>1324.68</v>
      </c>
      <c r="Q133" s="192" t="inlineStr">
        <is>
          <t>Invoice No."Estimate 316" is paid on behalf of Sun Tol I, S.L.U.</t>
        </is>
      </c>
      <c r="R133" s="200" t="n"/>
      <c r="T133" s="200" t="n"/>
      <c r="V133" s="200" t="n"/>
      <c r="X133" s="200" t="n"/>
      <c r="Z133" s="200" t="n"/>
      <c r="AA133" s="200" t="n">
        <v>1324.68</v>
      </c>
      <c r="AB133" s="201" t="inlineStr">
        <is>
          <t>ES11 0081 7069 2700 0122 7724</t>
        </is>
      </c>
      <c r="AC133" s="192" t="inlineStr">
        <is>
          <t>pagado</t>
        </is>
      </c>
      <c r="AD133" s="200">
        <f>L133+N133+P133+R133+T133+V133+X133+Z133</f>
        <v/>
      </c>
      <c r="AE133" s="200">
        <f>IF((LEFT(K133,6))="Contab",L133,0)</f>
        <v/>
      </c>
      <c r="AF133" s="201">
        <f>VLOOKUP(G133,CLIENTES!B:E,4,FALSE)</f>
        <v/>
      </c>
      <c r="AG133" s="200">
        <f>AF133*AE133</f>
        <v/>
      </c>
      <c r="AH133" s="200">
        <f>AD133*1.21</f>
        <v/>
      </c>
      <c r="AI133" s="283">
        <f>IF(AE133&lt;&gt;0,AG133/AD133,"N/A")</f>
        <v/>
      </c>
      <c r="AJ133" s="200">
        <f>IF(AC133="pendiente",AD133,0)</f>
        <v/>
      </c>
      <c r="AK133" s="192">
        <f>VLOOKUP(G133,CLIENTES!B:D,3,FALSE)</f>
        <v/>
      </c>
    </row>
    <row r="134" ht="15" customFormat="1" customHeight="1" s="278">
      <c r="A134" s="195" t="inlineStr">
        <is>
          <t>S23013</t>
        </is>
      </c>
      <c r="B134" s="279" t="n">
        <v>45106</v>
      </c>
      <c r="C134" s="278" t="inlineStr">
        <is>
          <t>c/ Las Cruzadas 3A, local D</t>
        </is>
      </c>
      <c r="D134" s="278" t="inlineStr">
        <is>
          <t>Sevilla 41004</t>
        </is>
      </c>
      <c r="E134" s="278" t="inlineStr">
        <is>
          <t>CIF B91938662</t>
        </is>
      </c>
      <c r="F134" s="278" t="inlineStr">
        <is>
          <t>aBalados@abalados.es</t>
        </is>
      </c>
      <c r="G134" s="278" t="inlineStr">
        <is>
          <t>Gazules Renovables, S.L.</t>
        </is>
      </c>
      <c r="H134" s="278">
        <f>VLOOKUP($G134,DATOS!$B:$E,2,FALSE)</f>
        <v/>
      </c>
      <c r="I134" s="278">
        <f>VLOOKUP($G134,DATOS!$B:$E,3,FALSE)</f>
        <v/>
      </c>
      <c r="J134" s="278">
        <f>VLOOKUP($G134,DATOS!$B:$E,4,FALSE)</f>
        <v/>
      </c>
      <c r="K134" s="278" t="inlineStr">
        <is>
          <t>Factura de suplidos</t>
        </is>
      </c>
      <c r="L134" s="280" t="n"/>
      <c r="M134" s="278" t="inlineStr">
        <is>
          <t>Registro mercantil de Sevilla</t>
        </is>
      </c>
      <c r="N134" s="280" t="n">
        <v>172.35</v>
      </c>
      <c r="P134" s="280" t="n"/>
      <c r="R134" s="280" t="n"/>
      <c r="T134" s="280" t="n"/>
      <c r="V134" s="280" t="n"/>
      <c r="X134" s="280" t="n"/>
      <c r="Z134" s="280" t="n"/>
      <c r="AA134" s="280">
        <f>L134+N134+P134+R134+T134+V134+X134+Z134</f>
        <v/>
      </c>
      <c r="AB134" s="281" t="inlineStr">
        <is>
          <t>ES11 0081 7069 2700 0122 7724</t>
        </is>
      </c>
      <c r="AC134" s="278" t="inlineStr">
        <is>
          <t>pagado</t>
        </is>
      </c>
      <c r="AD134" s="280">
        <f>L134+N134+P134+R134+T134+V134+X134+Z134</f>
        <v/>
      </c>
      <c r="AE134" s="280">
        <f>IF((LEFT(K134,6))="Contab",L134,0)</f>
        <v/>
      </c>
      <c r="AF134" s="281">
        <f>VLOOKUP(G134,CLIENTES!B:E,4,FALSE)</f>
        <v/>
      </c>
      <c r="AG134" s="280">
        <f>AF134*AE134</f>
        <v/>
      </c>
      <c r="AH134" s="280">
        <f>AD134*1.21</f>
        <v/>
      </c>
      <c r="AI134" s="284">
        <f>IF(AE134&lt;&gt;0,AG134/AD134,"N/A")</f>
        <v/>
      </c>
      <c r="AJ134" s="280">
        <f>IF(AC134="pendiente",AD134,0)</f>
        <v/>
      </c>
      <c r="AK134" s="278">
        <f>VLOOKUP(G134,CLIENTES!B:D,3,FALSE)</f>
        <v/>
      </c>
    </row>
    <row r="135" ht="15" customFormat="1" customHeight="1" s="278">
      <c r="A135" s="278" t="inlineStr">
        <is>
          <t>S23014</t>
        </is>
      </c>
      <c r="B135" s="279" t="n">
        <v>45106</v>
      </c>
      <c r="C135" s="278" t="inlineStr">
        <is>
          <t>c/ Las Cruzadas 3A, local D</t>
        </is>
      </c>
      <c r="D135" s="278" t="inlineStr">
        <is>
          <t>Sevilla 41004</t>
        </is>
      </c>
      <c r="E135" s="278" t="inlineStr">
        <is>
          <t>CIF B91938662</t>
        </is>
      </c>
      <c r="F135" s="278" t="inlineStr">
        <is>
          <t>aBalados@abalados.es</t>
        </is>
      </c>
      <c r="G135" s="278" t="inlineStr">
        <is>
          <t>Energías Limpias de Carmona, S.L.</t>
        </is>
      </c>
      <c r="H135" s="278">
        <f>VLOOKUP($G135,DATOS!$B:$E,2,FALSE)</f>
        <v/>
      </c>
      <c r="I135" s="278">
        <f>VLOOKUP($G135,DATOS!$B:$E,3,FALSE)</f>
        <v/>
      </c>
      <c r="J135" s="278">
        <f>VLOOKUP($G135,DATOS!$B:$E,4,FALSE)</f>
        <v/>
      </c>
      <c r="K135" s="278" t="inlineStr">
        <is>
          <t>Factura de suplidos</t>
        </is>
      </c>
      <c r="L135" s="280" t="n"/>
      <c r="M135" s="278" t="inlineStr">
        <is>
          <t>FNMT - Cert. Representante persona jurídica</t>
        </is>
      </c>
      <c r="N135" s="280" t="n">
        <v>16.94</v>
      </c>
      <c r="O135" s="278" t="inlineStr">
        <is>
          <t>Registro mercantill de Sevilla</t>
        </is>
      </c>
      <c r="P135" s="280" t="n">
        <v>232.39</v>
      </c>
      <c r="R135" s="280" t="n"/>
      <c r="T135" s="280" t="n"/>
      <c r="V135" s="280" t="n"/>
      <c r="X135" s="280" t="n"/>
      <c r="Z135" s="280" t="n"/>
      <c r="AA135" s="280">
        <f>L135+N135+P135+R135+T135+V135+X135+Z135</f>
        <v/>
      </c>
      <c r="AB135" s="281" t="inlineStr">
        <is>
          <t>ES11 0081 7069 2700 0122 7724</t>
        </is>
      </c>
      <c r="AC135" s="278" t="inlineStr">
        <is>
          <t>pagado</t>
        </is>
      </c>
      <c r="AD135" s="280">
        <f>L135+N135+P135+R135+T135+V135+X135+Z135</f>
        <v/>
      </c>
      <c r="AE135" s="280">
        <f>IF((LEFT(K135,6))="Contab",L135,0)</f>
        <v/>
      </c>
      <c r="AF135" s="281">
        <f>VLOOKUP(G135,CLIENTES!B:E,4,FALSE)</f>
        <v/>
      </c>
      <c r="AG135" s="280">
        <f>AF135*AE135</f>
        <v/>
      </c>
      <c r="AH135" s="280">
        <f>AD135*1.21</f>
        <v/>
      </c>
      <c r="AI135" s="284">
        <f>IF(AE135&lt;&gt;0,AG135/AD135,"N/A")</f>
        <v/>
      </c>
      <c r="AJ135" s="280">
        <f>IF(AC135="pendiente",AD135,0)</f>
        <v/>
      </c>
      <c r="AK135" s="278">
        <f>VLOOKUP(G135,CLIENTES!B:D,3,FALSE)</f>
        <v/>
      </c>
    </row>
    <row r="136" ht="15" customFormat="1" customHeight="1" s="278">
      <c r="A136" s="278" t="inlineStr">
        <is>
          <t>S23015</t>
        </is>
      </c>
      <c r="B136" s="279" t="n">
        <v>45106</v>
      </c>
      <c r="C136" s="278" t="inlineStr">
        <is>
          <t>c/ Las Cruzadas 3A, local D</t>
        </is>
      </c>
      <c r="D136" s="278" t="inlineStr">
        <is>
          <t>Sevilla 41004</t>
        </is>
      </c>
      <c r="E136" s="278" t="inlineStr">
        <is>
          <t>CIF B91938662</t>
        </is>
      </c>
      <c r="F136" s="278" t="inlineStr">
        <is>
          <t>aBalados@abalados.es</t>
        </is>
      </c>
      <c r="G136" s="278" t="inlineStr">
        <is>
          <t>SET Carmona 400 kV Renovables, S.L.</t>
        </is>
      </c>
      <c r="H136" s="278">
        <f>VLOOKUP($G136,DATOS!$B:$E,2,FALSE)</f>
        <v/>
      </c>
      <c r="I136" s="278">
        <f>VLOOKUP($G136,DATOS!$B:$E,3,FALSE)</f>
        <v/>
      </c>
      <c r="J136" s="278">
        <f>VLOOKUP($G136,DATOS!$B:$E,4,FALSE)</f>
        <v/>
      </c>
      <c r="K136" s="278" t="inlineStr">
        <is>
          <t>Factura de suplidos</t>
        </is>
      </c>
      <c r="L136" s="280" t="n"/>
      <c r="M136" s="278" t="inlineStr">
        <is>
          <t>Registro mercantill de Sevilla</t>
        </is>
      </c>
      <c r="N136" s="280" t="n">
        <v>277.62</v>
      </c>
      <c r="O136" s="278" t="inlineStr">
        <is>
          <t>Registro mercantill de Sevilla</t>
        </is>
      </c>
      <c r="P136" s="280" t="n">
        <v>277.62</v>
      </c>
      <c r="R136" s="280" t="n"/>
      <c r="T136" s="280" t="n"/>
      <c r="V136" s="280" t="n"/>
      <c r="X136" s="280" t="n"/>
      <c r="Z136" s="280" t="n"/>
      <c r="AA136" s="280">
        <f>L136+N136+P136+R136+T136+V136+X136+Z136</f>
        <v/>
      </c>
      <c r="AB136" s="281" t="inlineStr">
        <is>
          <t>ES11 0081 7069 2700 0122 7724</t>
        </is>
      </c>
      <c r="AC136" s="278" t="inlineStr">
        <is>
          <t>pagado</t>
        </is>
      </c>
      <c r="AD136" s="280">
        <f>L136+N136+P136+R136+T136+V136+X136+Z136</f>
        <v/>
      </c>
      <c r="AE136" s="280">
        <f>IF((LEFT(K136,6))="Contab",L136,0)</f>
        <v/>
      </c>
      <c r="AF136" s="281">
        <f>VLOOKUP(G136,CLIENTES!B:E,4,FALSE)</f>
        <v/>
      </c>
      <c r="AG136" s="280">
        <f>AF136*AE136</f>
        <v/>
      </c>
      <c r="AH136" s="280">
        <f>AD136*1.21</f>
        <v/>
      </c>
      <c r="AI136" s="284">
        <f>IF(AE136&lt;&gt;0,AG136/AD136,"N/A")</f>
        <v/>
      </c>
      <c r="AJ136" s="280">
        <f>IF(AC136="pendiente",AD136,0)</f>
        <v/>
      </c>
      <c r="AK136" s="278">
        <f>VLOOKUP(G136,CLIENTES!B:D,3,FALSE)</f>
        <v/>
      </c>
    </row>
    <row r="137" ht="15" customFormat="1" customHeight="1" s="278">
      <c r="A137" s="278" t="inlineStr">
        <is>
          <t>S23016</t>
        </is>
      </c>
      <c r="B137" s="279" t="n">
        <v>45106</v>
      </c>
      <c r="C137" s="278" t="inlineStr">
        <is>
          <t>c/ Las Cruzadas 3A, local D</t>
        </is>
      </c>
      <c r="D137" s="278" t="inlineStr">
        <is>
          <t>Sevilla 41004</t>
        </is>
      </c>
      <c r="E137" s="278" t="inlineStr">
        <is>
          <t>CIF B91938662</t>
        </is>
      </c>
      <c r="F137" s="278" t="inlineStr">
        <is>
          <t>aBalados@abalados.es</t>
        </is>
      </c>
      <c r="G137" s="278" t="inlineStr">
        <is>
          <t>Evacuación Carmona 400-220 kV Renovables, S.L.</t>
        </is>
      </c>
      <c r="H137" s="278">
        <f>VLOOKUP($G137,DATOS!$B:$E,2,FALSE)</f>
        <v/>
      </c>
      <c r="I137" s="278">
        <f>VLOOKUP($G137,DATOS!$B:$E,3,FALSE)</f>
        <v/>
      </c>
      <c r="J137" s="278">
        <f>VLOOKUP($G137,DATOS!$B:$E,4,FALSE)</f>
        <v/>
      </c>
      <c r="K137" s="278" t="inlineStr">
        <is>
          <t>Factura de suplidos</t>
        </is>
      </c>
      <c r="L137" s="280" t="n"/>
      <c r="M137" s="278" t="inlineStr">
        <is>
          <t>Registro mercantill de Sevilla - Inscripción de poderes</t>
        </is>
      </c>
      <c r="N137" s="280" t="n">
        <v>314.72</v>
      </c>
      <c r="O137" s="278" t="inlineStr">
        <is>
          <t>Registro mercantill de Sevilla</t>
        </is>
      </c>
      <c r="P137" s="280" t="n">
        <v>232.39</v>
      </c>
      <c r="R137" s="280" t="n"/>
      <c r="T137" s="280" t="n"/>
      <c r="V137" s="280" t="n"/>
      <c r="X137" s="280" t="n"/>
      <c r="Z137" s="280" t="n"/>
      <c r="AA137" s="280">
        <f>L137+N137+P137+R137+T137+V137+X137+Z137</f>
        <v/>
      </c>
      <c r="AB137" s="281" t="inlineStr">
        <is>
          <t>ES11 0081 7069 2700 0122 7724</t>
        </is>
      </c>
      <c r="AC137" s="278" t="inlineStr">
        <is>
          <t>pagado</t>
        </is>
      </c>
      <c r="AD137" s="280">
        <f>L137+N137+P137+R137+T137+V137+X137+Z137</f>
        <v/>
      </c>
      <c r="AE137" s="280">
        <f>IF((LEFT(K137,6))="Contab",L137,0)</f>
        <v/>
      </c>
      <c r="AF137" s="281">
        <f>VLOOKUP(G137,CLIENTES!B:E,4,FALSE)</f>
        <v/>
      </c>
      <c r="AG137" s="280">
        <f>AF137*AE137</f>
        <v/>
      </c>
      <c r="AH137" s="280">
        <f>AD137*1.21</f>
        <v/>
      </c>
      <c r="AI137" s="284">
        <f>IF(AE137&lt;&gt;0,AG137/AD137,"N/A")</f>
        <v/>
      </c>
      <c r="AJ137" s="280">
        <f>IF(AC137="pendiente",AD137,0)</f>
        <v/>
      </c>
      <c r="AK137" s="278">
        <f>VLOOKUP(G137,CLIENTES!B:D,3,FALSE)</f>
        <v/>
      </c>
    </row>
    <row r="138" ht="15" customFormat="1" customHeight="1" s="278">
      <c r="A138" s="278" t="inlineStr">
        <is>
          <t>S23017</t>
        </is>
      </c>
      <c r="B138" s="279" t="n">
        <v>45106</v>
      </c>
      <c r="C138" s="278" t="inlineStr">
        <is>
          <t>c/ Las Cruzadas 3A, local D</t>
        </is>
      </c>
      <c r="D138" s="278" t="inlineStr">
        <is>
          <t>Sevilla 41004</t>
        </is>
      </c>
      <c r="E138" s="278" t="inlineStr">
        <is>
          <t>CIF B91938662</t>
        </is>
      </c>
      <c r="F138" s="278" t="inlineStr">
        <is>
          <t>aBalados@abalados.es</t>
        </is>
      </c>
      <c r="G138" s="278" t="inlineStr">
        <is>
          <t>Cuádruple Belinchón, S.L.</t>
        </is>
      </c>
      <c r="H138" s="278">
        <f>VLOOKUP($G138,DATOS!$B:$E,2,FALSE)</f>
        <v/>
      </c>
      <c r="I138" s="278">
        <f>VLOOKUP($G138,DATOS!$B:$E,3,FALSE)</f>
        <v/>
      </c>
      <c r="J138" s="278">
        <f>VLOOKUP($G138,DATOS!$B:$E,4,FALSE)</f>
        <v/>
      </c>
      <c r="K138" s="278" t="inlineStr">
        <is>
          <t>Factura de suplidos</t>
        </is>
      </c>
      <c r="L138" s="280" t="n"/>
      <c r="M138" s="278" t="inlineStr">
        <is>
          <t>Pago modelo 801</t>
        </is>
      </c>
      <c r="N138" s="280" t="n">
        <v>813.22</v>
      </c>
      <c r="P138" s="280" t="n"/>
      <c r="R138" s="280" t="n"/>
      <c r="T138" s="280" t="n"/>
      <c r="V138" s="280" t="n"/>
      <c r="X138" s="280" t="n"/>
      <c r="Z138" s="280" t="n"/>
      <c r="AA138" s="280">
        <f>L138+N138+P138+R138+T138+V138+X138+Z138</f>
        <v/>
      </c>
      <c r="AB138" s="281" t="inlineStr">
        <is>
          <t>ES11 0081 7069 2700 0122 7724</t>
        </is>
      </c>
      <c r="AC138" s="278" t="inlineStr">
        <is>
          <t>pagado</t>
        </is>
      </c>
      <c r="AD138" s="280">
        <f>L138+N138+P138+R138+T138+V138+X138+Z138</f>
        <v/>
      </c>
      <c r="AE138" s="280">
        <f>IF((LEFT(K138,6))="Contab",L138,0)</f>
        <v/>
      </c>
      <c r="AF138" s="281">
        <f>VLOOKUP(G138,CLIENTES!B:E,4,FALSE)</f>
        <v/>
      </c>
      <c r="AG138" s="280">
        <f>AF138*AE138</f>
        <v/>
      </c>
      <c r="AH138" s="280">
        <f>AD138*1.21</f>
        <v/>
      </c>
      <c r="AI138" s="284">
        <f>IF(AE138&lt;&gt;0,AG138/AD138,"N/A")</f>
        <v/>
      </c>
      <c r="AJ138" s="280">
        <f>IF(AC138="pendiente",AD138,0)</f>
        <v/>
      </c>
      <c r="AK138" s="278">
        <f>VLOOKUP(G138,CLIENTES!B:D,3,FALSE)</f>
        <v/>
      </c>
    </row>
    <row r="139" ht="15" customFormat="1" customHeight="1" s="278">
      <c r="A139" s="278" t="inlineStr">
        <is>
          <t>S23018</t>
        </is>
      </c>
      <c r="B139" s="279" t="n">
        <v>45106</v>
      </c>
      <c r="C139" s="278" t="inlineStr">
        <is>
          <t>c/ Las Cruzadas 3A, local D</t>
        </is>
      </c>
      <c r="D139" s="278" t="inlineStr">
        <is>
          <t>Sevilla 41004</t>
        </is>
      </c>
      <c r="E139" s="278" t="inlineStr">
        <is>
          <t>CIF B91938662</t>
        </is>
      </c>
      <c r="F139" s="278" t="inlineStr">
        <is>
          <t>aBalados@abalados.es</t>
        </is>
      </c>
      <c r="G139" s="278" t="inlineStr">
        <is>
          <t>Renovables Brovales Segura de León 400 kV, S.L.</t>
        </is>
      </c>
      <c r="H139" s="278">
        <f>VLOOKUP($G139,DATOS!$B:$E,2,FALSE)</f>
        <v/>
      </c>
      <c r="I139" s="278">
        <f>VLOOKUP($G139,DATOS!$B:$E,3,FALSE)</f>
        <v/>
      </c>
      <c r="J139" s="278">
        <f>VLOOKUP($G139,DATOS!$B:$E,4,FALSE)</f>
        <v/>
      </c>
      <c r="K139" s="278" t="inlineStr">
        <is>
          <t>Factura de suplidos</t>
        </is>
      </c>
      <c r="L139" s="280" t="n"/>
      <c r="M139" s="278" t="inlineStr">
        <is>
          <t>FNMT - Cert. Representante persona jurídica</t>
        </is>
      </c>
      <c r="N139" s="280" t="n">
        <v>16.94</v>
      </c>
      <c r="O139" s="278" t="inlineStr">
        <is>
          <t xml:space="preserve">Registro Mercantil </t>
        </is>
      </c>
      <c r="P139" s="280" t="n">
        <v>187.5</v>
      </c>
      <c r="Q139" s="278" t="inlineStr">
        <is>
          <t>Registro mercantil</t>
        </is>
      </c>
      <c r="R139" s="280" t="n">
        <v>217.89</v>
      </c>
      <c r="T139" s="280" t="n"/>
      <c r="V139" s="280" t="n"/>
      <c r="X139" s="280" t="n"/>
      <c r="Z139" s="280" t="n"/>
      <c r="AA139" s="280">
        <f>L139+N139+P139+R139+T139+V139+X139+Z139</f>
        <v/>
      </c>
      <c r="AB139" s="281" t="inlineStr">
        <is>
          <t>ES11 0081 7069 2700 0122 7724</t>
        </is>
      </c>
      <c r="AC139" s="278" t="inlineStr">
        <is>
          <t>pagado</t>
        </is>
      </c>
      <c r="AD139" s="280">
        <f>L139+N139+P139+R139+T139+V139+X139+Z139</f>
        <v/>
      </c>
      <c r="AE139" s="280">
        <f>IF((LEFT(K139,6))="Contab",L139,0)</f>
        <v/>
      </c>
      <c r="AF139" s="281">
        <f>VLOOKUP(G139,CLIENTES!B:E,4,FALSE)</f>
        <v/>
      </c>
      <c r="AG139" s="280">
        <f>AF139*AE139</f>
        <v/>
      </c>
      <c r="AH139" s="280">
        <f>AD139*1.21</f>
        <v/>
      </c>
      <c r="AI139" s="284">
        <f>IF(AE139&lt;&gt;0,AG139/AD139,"N/A")</f>
        <v/>
      </c>
      <c r="AJ139" s="280">
        <f>IF(AC139="pendiente",AD139,0)</f>
        <v/>
      </c>
      <c r="AK139" s="278">
        <f>VLOOKUP(G139,CLIENTES!B:D,3,FALSE)</f>
        <v/>
      </c>
    </row>
    <row r="140" ht="15" customFormat="1" customHeight="1" s="278">
      <c r="A140" s="278" t="inlineStr">
        <is>
          <t>S23019</t>
        </is>
      </c>
      <c r="B140" s="279" t="n">
        <v>45106</v>
      </c>
      <c r="C140" s="278" t="inlineStr">
        <is>
          <t>c/ Las Cruzadas 3A, local D</t>
        </is>
      </c>
      <c r="D140" s="278" t="inlineStr">
        <is>
          <t>Sevilla 41004</t>
        </is>
      </c>
      <c r="E140" s="278" t="inlineStr">
        <is>
          <t>CIF B91938662</t>
        </is>
      </c>
      <c r="F140" s="278" t="inlineStr">
        <is>
          <t>aBalados@abalados.es</t>
        </is>
      </c>
      <c r="G140" s="278" t="inlineStr">
        <is>
          <t>Evacuación Liquesun, S.L.</t>
        </is>
      </c>
      <c r="H140" s="278">
        <f>VLOOKUP($G140,DATOS!$B:$E,2,FALSE)</f>
        <v/>
      </c>
      <c r="I140" s="278">
        <f>VLOOKUP($G140,DATOS!$B:$E,3,FALSE)</f>
        <v/>
      </c>
      <c r="J140" s="278">
        <f>VLOOKUP($G140,DATOS!$B:$E,4,FALSE)</f>
        <v/>
      </c>
      <c r="K140" s="278" t="inlineStr">
        <is>
          <t>Factura de suplidos</t>
        </is>
      </c>
      <c r="L140" s="280" t="n"/>
      <c r="M140" s="278" t="inlineStr">
        <is>
          <t>FNMT - Cert. Representante persona jurídica</t>
        </is>
      </c>
      <c r="N140" s="280" t="n">
        <v>16.94</v>
      </c>
      <c r="P140" s="280" t="n"/>
      <c r="R140" s="280" t="n"/>
      <c r="T140" s="280" t="n"/>
      <c r="V140" s="280" t="n"/>
      <c r="X140" s="280" t="n"/>
      <c r="Z140" s="280" t="n"/>
      <c r="AA140" s="280">
        <f>L140+N140+P140+R140+T140+V140+X140+Z140</f>
        <v/>
      </c>
      <c r="AB140" s="281" t="inlineStr">
        <is>
          <t>ES11 0081 7069 2700 0122 7724</t>
        </is>
      </c>
      <c r="AC140" s="278" t="inlineStr">
        <is>
          <t>pendiente</t>
        </is>
      </c>
      <c r="AD140" s="280">
        <f>L140+N140+P140+R140+T140+V140+X140+Z140</f>
        <v/>
      </c>
      <c r="AE140" s="280">
        <f>IF((LEFT(K140,6))="Contab",L140,0)</f>
        <v/>
      </c>
      <c r="AF140" s="281">
        <f>VLOOKUP(G140,CLIENTES!B:E,4,FALSE)</f>
        <v/>
      </c>
      <c r="AG140" s="280">
        <f>AF140*AE140</f>
        <v/>
      </c>
      <c r="AH140" s="280">
        <f>AD140*1.21</f>
        <v/>
      </c>
      <c r="AI140" s="284">
        <f>IF(AE140&lt;&gt;0,AG140/AD140,"N/A")</f>
        <v/>
      </c>
      <c r="AJ140" s="280">
        <f>IF(AC140="pendiente",AD140,0)</f>
        <v/>
      </c>
      <c r="AK140" s="278">
        <f>VLOOKUP(G140,CLIENTES!B:D,3,FALSE)</f>
        <v/>
      </c>
    </row>
    <row r="141" ht="15" customFormat="1" customHeight="1" s="192">
      <c r="A141" s="192" t="inlineStr">
        <is>
          <t>S23020</t>
        </is>
      </c>
      <c r="B141" s="199" t="n">
        <v>45106</v>
      </c>
      <c r="C141" s="192" t="inlineStr">
        <is>
          <t>c/ Las Cruzadas 3A, local D</t>
        </is>
      </c>
      <c r="D141" s="192" t="inlineStr">
        <is>
          <t>Sevilla 41004</t>
        </is>
      </c>
      <c r="E141" s="192" t="inlineStr">
        <is>
          <t>CIF B91938662</t>
        </is>
      </c>
      <c r="F141" s="192" t="inlineStr">
        <is>
          <t>aBalados@abalados.es</t>
        </is>
      </c>
      <c r="G141" s="192" t="inlineStr">
        <is>
          <t>Brazatortas 220 Renovables, S.L.</t>
        </is>
      </c>
      <c r="H141" s="192">
        <f>VLOOKUP($G141,DATOS!$B:$E,2,FALSE)</f>
        <v/>
      </c>
      <c r="I141" s="192">
        <f>VLOOKUP($G141,DATOS!$B:$E,3,FALSE)</f>
        <v/>
      </c>
      <c r="J141" s="192">
        <f>VLOOKUP($G141,DATOS!$B:$E,4,FALSE)</f>
        <v/>
      </c>
      <c r="K141" s="192" t="inlineStr">
        <is>
          <t>Factura de suplidos</t>
        </is>
      </c>
      <c r="L141" s="200" t="n"/>
      <c r="M141" s="192" t="inlineStr">
        <is>
          <t>FNMT - Cert. Representante persona jurídica</t>
        </is>
      </c>
      <c r="N141" s="200" t="n">
        <v>16.94</v>
      </c>
      <c r="O141" s="192" t="inlineStr">
        <is>
          <t>Registro Mercantil de Madrid - Inscripción de poderes</t>
        </is>
      </c>
      <c r="P141" s="200" t="n">
        <v>143.34</v>
      </c>
      <c r="R141" s="200" t="n"/>
      <c r="T141" s="200" t="n"/>
      <c r="V141" s="200" t="n"/>
      <c r="X141" s="200" t="n"/>
      <c r="Z141" s="200" t="n"/>
      <c r="AA141" s="200">
        <f>L141+N141+P141+R141+T141+V141+X141+Z141</f>
        <v/>
      </c>
      <c r="AB141" s="201" t="inlineStr">
        <is>
          <t>ES11 0081 7069 2700 0122 7724</t>
        </is>
      </c>
      <c r="AC141" s="192" t="inlineStr">
        <is>
          <t>pagado</t>
        </is>
      </c>
      <c r="AD141" s="200">
        <f>L141+N141+P141+R141+T141+V141+X141+Z141</f>
        <v/>
      </c>
      <c r="AE141" s="200">
        <f>IF((LEFT(K141,6))="Contab",L141,0)</f>
        <v/>
      </c>
      <c r="AF141" s="201">
        <f>VLOOKUP(G141,CLIENTES!B:E,4,FALSE)</f>
        <v/>
      </c>
      <c r="AG141" s="200">
        <f>AF141*AE141</f>
        <v/>
      </c>
      <c r="AH141" s="200">
        <f>AD141*1.21</f>
        <v/>
      </c>
      <c r="AI141" s="283">
        <f>IF(AE141&lt;&gt;0,AG141/AD141,"N/A")</f>
        <v/>
      </c>
      <c r="AJ141" s="200">
        <f>IF(AC141="pendiente",AD141,0)</f>
        <v/>
      </c>
      <c r="AK141" s="192">
        <f>VLOOKUP(G141,CLIENTES!B:D,3,FALSE)</f>
        <v/>
      </c>
    </row>
    <row r="142" ht="15" customFormat="1" customHeight="1" s="195">
      <c r="A142" s="278" t="inlineStr">
        <is>
          <t>S23021</t>
        </is>
      </c>
      <c r="B142" s="194" t="n">
        <v>45198</v>
      </c>
      <c r="C142" s="195" t="inlineStr">
        <is>
          <t>c/ Las Cruzadas 3A, local D</t>
        </is>
      </c>
      <c r="D142" s="195" t="inlineStr">
        <is>
          <t>Sevilla 41004</t>
        </is>
      </c>
      <c r="E142" s="195" t="inlineStr">
        <is>
          <t>CIF B91938662</t>
        </is>
      </c>
      <c r="F142" s="195" t="inlineStr">
        <is>
          <t>aBalados@abalados.es</t>
        </is>
      </c>
      <c r="G142" s="195" t="inlineStr">
        <is>
          <t>FP LUX REIO PV ZARAGOZA SL.</t>
        </is>
      </c>
      <c r="H142" s="195">
        <f>VLOOKUP($G142,DATOS!$B:$E,2,FALSE)</f>
        <v/>
      </c>
      <c r="I142" s="195">
        <f>VLOOKUP($G142,DATOS!$B:$E,3,FALSE)</f>
        <v/>
      </c>
      <c r="J142" s="195">
        <f>VLOOKUP($G142,DATOS!$B:$E,4,FALSE)</f>
        <v/>
      </c>
      <c r="K142" s="195" t="inlineStr">
        <is>
          <t>Factura de suplidos</t>
        </is>
      </c>
      <c r="L142" s="196" t="n"/>
      <c r="M142" s="195" t="inlineStr">
        <is>
          <t>Registradores mercantiles LEI</t>
        </is>
      </c>
      <c r="N142" s="196" t="n">
        <v>67.86</v>
      </c>
      <c r="P142" s="196" t="n"/>
      <c r="R142" s="196" t="n"/>
      <c r="T142" s="196" t="n"/>
      <c r="V142" s="196" t="n"/>
      <c r="X142" s="196" t="n"/>
      <c r="Z142" s="196" t="n"/>
      <c r="AA142" s="280">
        <f>L142+N142+P142+R142+T142+V142+X142+Z142</f>
        <v/>
      </c>
      <c r="AB142" s="197" t="inlineStr">
        <is>
          <t>ES11 0081 7069 2700 0122 7724</t>
        </is>
      </c>
      <c r="AC142" s="195" t="inlineStr">
        <is>
          <t>pendiente</t>
        </is>
      </c>
      <c r="AD142" s="196">
        <f>L142+N142+P142+R142+T142+V142+X142+Z142</f>
        <v/>
      </c>
      <c r="AE142" s="196">
        <f>IF((LEFT(K142,6))="Contab",L142,0)</f>
        <v/>
      </c>
      <c r="AF142" s="197">
        <f>VLOOKUP(G142,CLIENTES!B:E,4,FALSE)</f>
        <v/>
      </c>
      <c r="AG142" s="196">
        <f>AF142*AE142</f>
        <v/>
      </c>
      <c r="AH142" s="196">
        <f>AD142*1.21</f>
        <v/>
      </c>
      <c r="AI142" s="285">
        <f>IF(AE142&lt;&gt;0,AG142/AD142,"N/A")</f>
        <v/>
      </c>
      <c r="AJ142" s="196">
        <f>IF(AC142="pendiente",AD142,0)</f>
        <v/>
      </c>
      <c r="AK142" s="195">
        <f>VLOOKUP(G142,CLIENTES!B:D,3,FALSE)</f>
        <v/>
      </c>
    </row>
    <row r="143" ht="15" customFormat="1" customHeight="1" s="278">
      <c r="A143" s="278" t="inlineStr">
        <is>
          <t>S23022</t>
        </is>
      </c>
      <c r="B143" s="279" t="n">
        <v>45106</v>
      </c>
      <c r="C143" s="278" t="inlineStr">
        <is>
          <t>c/ Las Cruzadas 3A, local D</t>
        </is>
      </c>
      <c r="D143" s="278" t="inlineStr">
        <is>
          <t>Sevilla 41004</t>
        </is>
      </c>
      <c r="E143" s="278" t="inlineStr">
        <is>
          <t>CIF B91938662</t>
        </is>
      </c>
      <c r="F143" s="278" t="inlineStr">
        <is>
          <t>aBalados@abalados.es</t>
        </is>
      </c>
      <c r="G143" s="278" t="inlineStr">
        <is>
          <t>Colectora Carmona, S.L.</t>
        </is>
      </c>
      <c r="H143" s="278">
        <f>VLOOKUP($G143,DATOS!$B:$E,2,FALSE)</f>
        <v/>
      </c>
      <c r="I143" s="278">
        <f>VLOOKUP($G143,DATOS!$B:$E,3,FALSE)</f>
        <v/>
      </c>
      <c r="J143" s="278">
        <f>VLOOKUP($G143,DATOS!$B:$E,4,FALSE)</f>
        <v/>
      </c>
      <c r="K143" s="278" t="inlineStr">
        <is>
          <t>Factura de suplidos</t>
        </is>
      </c>
      <c r="L143" s="280" t="n"/>
      <c r="M143" s="278" t="inlineStr">
        <is>
          <t>Notaria Jose Antonio Caballos Castilla</t>
        </is>
      </c>
      <c r="N143" s="280" t="n">
        <v>105.11</v>
      </c>
      <c r="O143" s="278" t="inlineStr">
        <is>
          <t xml:space="preserve">Registro Mercantil de Sevilla </t>
        </is>
      </c>
      <c r="P143" s="280" t="n">
        <v>172.35</v>
      </c>
      <c r="Q143" s="278" t="inlineStr">
        <is>
          <t>Pago Modelo 111</t>
        </is>
      </c>
      <c r="R143" s="280" t="n">
        <v>14.87</v>
      </c>
      <c r="T143" s="280" t="n"/>
      <c r="V143" s="280" t="n"/>
      <c r="X143" s="280" t="n"/>
      <c r="Z143" s="280" t="n"/>
      <c r="AA143" s="280">
        <f>L143+N143+P143+R143+T143+V143+X143+Z143</f>
        <v/>
      </c>
      <c r="AB143" s="281" t="inlineStr">
        <is>
          <t>ES11 0081 7069 2700 0122 7724</t>
        </is>
      </c>
      <c r="AC143" s="278" t="inlineStr">
        <is>
          <t>pendiente</t>
        </is>
      </c>
      <c r="AD143" s="280">
        <f>L143+N143+P143+R143+T143+V143+X143+Z143</f>
        <v/>
      </c>
      <c r="AE143" s="280">
        <f>IF((LEFT(K143,6))="Contab",L143,0)</f>
        <v/>
      </c>
      <c r="AF143" s="281">
        <f>VLOOKUP(G143,CLIENTES!B:E,4,FALSE)</f>
        <v/>
      </c>
      <c r="AG143" s="280">
        <f>AF143*AE143</f>
        <v/>
      </c>
      <c r="AH143" s="280">
        <f>AD143*1.21</f>
        <v/>
      </c>
      <c r="AI143" s="284">
        <f>IF(AE143&lt;&gt;0,AG143/AD143,"N/A")</f>
        <v/>
      </c>
      <c r="AJ143" s="280">
        <f>IF(AC143="pendiente",AD143,0)</f>
        <v/>
      </c>
      <c r="AK143" s="278">
        <f>VLOOKUP(G143,CLIENTES!B:D,3,FALSE)</f>
        <v/>
      </c>
    </row>
    <row r="144" ht="15" customFormat="1" customHeight="1" s="278">
      <c r="A144" s="278" t="inlineStr">
        <is>
          <t>S23023</t>
        </is>
      </c>
      <c r="B144" s="279" t="n">
        <v>45106</v>
      </c>
      <c r="C144" s="278" t="inlineStr">
        <is>
          <t>c/ Las Cruzadas 3A, local D</t>
        </is>
      </c>
      <c r="D144" s="278" t="inlineStr">
        <is>
          <t>Sevilla 41004</t>
        </is>
      </c>
      <c r="E144" s="278" t="inlineStr">
        <is>
          <t>CIF B91938662</t>
        </is>
      </c>
      <c r="F144" s="278" t="inlineStr">
        <is>
          <t>aBalados@abalados.es</t>
        </is>
      </c>
      <c r="G144" s="278" t="inlineStr">
        <is>
          <t>Evacuación Liquesun, S.L.</t>
        </is>
      </c>
      <c r="H144" s="278">
        <f>VLOOKUP($G144,DATOS!$B:$E,2,FALSE)</f>
        <v/>
      </c>
      <c r="I144" s="278">
        <f>VLOOKUP($G144,DATOS!$B:$E,3,FALSE)</f>
        <v/>
      </c>
      <c r="J144" s="278">
        <f>VLOOKUP($G144,DATOS!$B:$E,4,FALSE)</f>
        <v/>
      </c>
      <c r="K144" s="278" t="inlineStr">
        <is>
          <t>Factura de suplidos</t>
        </is>
      </c>
      <c r="L144" s="280" t="n"/>
      <c r="M144" s="278" t="inlineStr">
        <is>
          <t>Pago Modelo 111</t>
        </is>
      </c>
      <c r="N144" s="280" t="n">
        <v>233.93</v>
      </c>
      <c r="P144" s="280" t="n"/>
      <c r="R144" s="280" t="n"/>
      <c r="T144" s="280" t="n"/>
      <c r="V144" s="280" t="n"/>
      <c r="X144" s="280" t="n"/>
      <c r="Z144" s="280" t="n"/>
      <c r="AA144" s="280">
        <f>L144+N144+P144+R144+T144+V144+X144+Z144</f>
        <v/>
      </c>
      <c r="AB144" s="281" t="inlineStr">
        <is>
          <t>ES11 0081 7069 2700 0122 7724</t>
        </is>
      </c>
      <c r="AC144" s="278" t="inlineStr">
        <is>
          <t>pendiente</t>
        </is>
      </c>
      <c r="AD144" s="280">
        <f>L144+N144+P144+R144+T144+V144+X144+Z144</f>
        <v/>
      </c>
      <c r="AE144" s="280">
        <f>IF((LEFT(K144,6))="Contab",L144,0)</f>
        <v/>
      </c>
      <c r="AF144" s="281">
        <f>VLOOKUP(G144,CLIENTES!B:E,4,FALSE)</f>
        <v/>
      </c>
      <c r="AG144" s="280">
        <f>AF144*AE144</f>
        <v/>
      </c>
      <c r="AH144" s="280">
        <f>AD144*1.21</f>
        <v/>
      </c>
      <c r="AI144" s="284">
        <f>IF(AE144&lt;&gt;0,AG144/AD144,"N/A")</f>
        <v/>
      </c>
      <c r="AJ144" s="280">
        <f>IF(AC144="pendiente",AD144,0)</f>
        <v/>
      </c>
      <c r="AK144" s="278">
        <f>VLOOKUP(G144,CLIENTES!B:D,3,FALSE)</f>
        <v/>
      </c>
    </row>
    <row r="145" ht="15" customFormat="1" customHeight="1" s="278">
      <c r="A145" s="278" t="inlineStr">
        <is>
          <t>S23024</t>
        </is>
      </c>
      <c r="B145" s="279" t="n">
        <v>45106</v>
      </c>
      <c r="C145" s="278" t="inlineStr">
        <is>
          <t>c/ Las Cruzadas 3A, local D</t>
        </is>
      </c>
      <c r="D145" s="278" t="inlineStr">
        <is>
          <t>Sevilla 41004</t>
        </is>
      </c>
      <c r="E145" s="278" t="inlineStr">
        <is>
          <t>CIF B91938662</t>
        </is>
      </c>
      <c r="F145" s="278" t="inlineStr">
        <is>
          <t>aBalados@abalados.es</t>
        </is>
      </c>
      <c r="G145" s="278" t="inlineStr">
        <is>
          <t>ICE Santa Engracia, S.L.</t>
        </is>
      </c>
      <c r="H145" s="278">
        <f>VLOOKUP($G145,DATOS!$B:$E,2,FALSE)</f>
        <v/>
      </c>
      <c r="I145" s="278">
        <f>VLOOKUP($G145,DATOS!$B:$E,3,FALSE)</f>
        <v/>
      </c>
      <c r="J145" s="278">
        <f>VLOOKUP($G145,DATOS!$B:$E,4,FALSE)</f>
        <v/>
      </c>
      <c r="K145" s="278" t="inlineStr">
        <is>
          <t>Factura de suplidos</t>
        </is>
      </c>
      <c r="L145" s="280" t="n"/>
      <c r="M145" s="278" t="inlineStr">
        <is>
          <t>Pago Modelo 111</t>
        </is>
      </c>
      <c r="N145" s="280" t="n">
        <v>27.47</v>
      </c>
      <c r="P145" s="280" t="n"/>
      <c r="R145" s="280" t="n"/>
      <c r="T145" s="280" t="n"/>
      <c r="V145" s="280" t="n"/>
      <c r="X145" s="280" t="n"/>
      <c r="Z145" s="280" t="n"/>
      <c r="AA145" s="280">
        <f>L145+N145+P145+R145+T145+V145+X145+Z145</f>
        <v/>
      </c>
      <c r="AB145" s="281" t="inlineStr">
        <is>
          <t>ES11 0081 7069 2700 0122 7724</t>
        </is>
      </c>
      <c r="AC145" s="278" t="inlineStr">
        <is>
          <t>pendiente</t>
        </is>
      </c>
      <c r="AD145" s="280">
        <f>L145+N145+P145+R145+T145+V145+X145+Z145</f>
        <v/>
      </c>
      <c r="AE145" s="280">
        <f>IF((LEFT(K145,6))="Contab",L145,0)</f>
        <v/>
      </c>
      <c r="AF145" s="281">
        <f>VLOOKUP(G145,CLIENTES!B:E,4,FALSE)</f>
        <v/>
      </c>
      <c r="AG145" s="280">
        <f>AF145*AE145</f>
        <v/>
      </c>
      <c r="AH145" s="280">
        <f>AD145*1.21</f>
        <v/>
      </c>
      <c r="AI145" s="284">
        <f>IF(AE145&lt;&gt;0,AG145/AD145,"N/A")</f>
        <v/>
      </c>
      <c r="AJ145" s="280">
        <f>IF(AC145="pendiente",AD145,0)</f>
        <v/>
      </c>
      <c r="AK145" s="278">
        <f>VLOOKUP(G145,CLIENTES!B:D,3,FALSE)</f>
        <v/>
      </c>
    </row>
    <row r="146" ht="15" customFormat="1" customHeight="1" s="278">
      <c r="A146" s="278" t="inlineStr">
        <is>
          <t>S23025</t>
        </is>
      </c>
      <c r="B146" s="279" t="n">
        <v>45106</v>
      </c>
      <c r="C146" s="278" t="inlineStr">
        <is>
          <t>c/ Las Cruzadas 3A, local D</t>
        </is>
      </c>
      <c r="D146" s="278" t="inlineStr">
        <is>
          <t>Sevilla 41004</t>
        </is>
      </c>
      <c r="E146" s="278" t="inlineStr">
        <is>
          <t>CIF B91938662</t>
        </is>
      </c>
      <c r="F146" s="278" t="inlineStr">
        <is>
          <t>aBalados@abalados.es</t>
        </is>
      </c>
      <c r="G146" s="278" t="inlineStr">
        <is>
          <t>Teodomiro Renovables, S.L.</t>
        </is>
      </c>
      <c r="H146" s="278">
        <f>VLOOKUP($G146,DATOS!$B:$E,2,FALSE)</f>
        <v/>
      </c>
      <c r="I146" s="278">
        <f>VLOOKUP($G146,DATOS!$B:$E,3,FALSE)</f>
        <v/>
      </c>
      <c r="J146" s="278">
        <f>VLOOKUP($G146,DATOS!$B:$E,4,FALSE)</f>
        <v/>
      </c>
      <c r="K146" s="278" t="inlineStr">
        <is>
          <t>Factura de suplidos</t>
        </is>
      </c>
      <c r="L146" s="280" t="n"/>
      <c r="M146" s="278" t="inlineStr">
        <is>
          <t>Pago Modelo 111</t>
        </is>
      </c>
      <c r="N146" s="280" t="n">
        <v>331.17</v>
      </c>
      <c r="P146" s="280" t="n"/>
      <c r="R146" s="280" t="n"/>
      <c r="T146" s="280" t="n"/>
      <c r="V146" s="280" t="n"/>
      <c r="X146" s="280" t="n"/>
      <c r="Z146" s="280" t="n"/>
      <c r="AA146" s="280">
        <f>L146+N146+P146+R146+T146+V146+X146+Z146</f>
        <v/>
      </c>
      <c r="AB146" s="281" t="inlineStr">
        <is>
          <t>ES11 0081 7069 2700 0122 7724</t>
        </is>
      </c>
      <c r="AC146" s="278" t="inlineStr">
        <is>
          <t>pendiente</t>
        </is>
      </c>
      <c r="AD146" s="280">
        <f>L146+N146+P146+R146+T146+V146+X146+Z146</f>
        <v/>
      </c>
      <c r="AE146" s="280">
        <f>IF((LEFT(K146,6))="Contab",L146,0)</f>
        <v/>
      </c>
      <c r="AF146" s="281">
        <f>VLOOKUP(G146,CLIENTES!B:E,4,FALSE)</f>
        <v/>
      </c>
      <c r="AG146" s="280">
        <f>AF146*AE146</f>
        <v/>
      </c>
      <c r="AH146" s="280">
        <f>AD146*1.21</f>
        <v/>
      </c>
      <c r="AI146" s="284">
        <f>IF(AE146&lt;&gt;0,AG146/AD146,"N/A")</f>
        <v/>
      </c>
      <c r="AJ146" s="280">
        <f>IF(AC146="pendiente",AD146,0)</f>
        <v/>
      </c>
      <c r="AK146" s="278">
        <f>VLOOKUP(G146,CLIENTES!B:D,3,FALSE)</f>
        <v/>
      </c>
    </row>
    <row r="147" ht="15" customFormat="1" customHeight="1" s="278">
      <c r="A147" s="278" t="inlineStr">
        <is>
          <t>S23026</t>
        </is>
      </c>
      <c r="B147" s="279" t="n">
        <v>45106</v>
      </c>
      <c r="C147" s="278" t="inlineStr">
        <is>
          <t>c/ Las Cruzadas 3A, local D</t>
        </is>
      </c>
      <c r="D147" s="278" t="inlineStr">
        <is>
          <t>Sevilla 41004</t>
        </is>
      </c>
      <c r="E147" s="278" t="inlineStr">
        <is>
          <t>CIF B91938662</t>
        </is>
      </c>
      <c r="F147" s="278" t="inlineStr">
        <is>
          <t>aBalados@abalados.es</t>
        </is>
      </c>
      <c r="G147" s="278" t="inlineStr">
        <is>
          <t>Promotores Benejama Colectora, S.L.</t>
        </is>
      </c>
      <c r="H147" s="278">
        <f>VLOOKUP($G147,DATOS!$B:$E,2,FALSE)</f>
        <v/>
      </c>
      <c r="I147" s="278">
        <f>VLOOKUP($G147,DATOS!$B:$E,3,FALSE)</f>
        <v/>
      </c>
      <c r="J147" s="278">
        <f>VLOOKUP($G147,DATOS!$B:$E,4,FALSE)</f>
        <v/>
      </c>
      <c r="K147" s="278" t="inlineStr">
        <is>
          <t>Factura de suplidos</t>
        </is>
      </c>
      <c r="L147" s="280" t="n"/>
      <c r="M147" s="278" t="inlineStr">
        <is>
          <t>Registro Mercantil Sevilla</t>
        </is>
      </c>
      <c r="N147" s="280" t="n">
        <v>582.04</v>
      </c>
      <c r="P147" s="280" t="n"/>
      <c r="R147" s="280" t="n"/>
      <c r="T147" s="280" t="n"/>
      <c r="V147" s="280" t="n"/>
      <c r="X147" s="280" t="n"/>
      <c r="Z147" s="280" t="n"/>
      <c r="AA147" s="280">
        <f>L147+N147+P147+R147+T147+V147+X147+Z147</f>
        <v/>
      </c>
      <c r="AB147" s="281" t="inlineStr">
        <is>
          <t>ES11 0081 7069 2700 0122 7724</t>
        </is>
      </c>
      <c r="AC147" s="278" t="inlineStr">
        <is>
          <t>pagado</t>
        </is>
      </c>
      <c r="AD147" s="280">
        <f>L147+N147+P147+R147+T147+V147+X147+Z147</f>
        <v/>
      </c>
      <c r="AE147" s="280">
        <f>IF((LEFT(K147,6))="Contab",L147,0)</f>
        <v/>
      </c>
      <c r="AF147" s="281">
        <f>VLOOKUP(G147,CLIENTES!B:E,4,FALSE)</f>
        <v/>
      </c>
      <c r="AG147" s="280">
        <f>AF147*AE147</f>
        <v/>
      </c>
      <c r="AH147" s="280">
        <f>AD147*1.21</f>
        <v/>
      </c>
      <c r="AI147" s="284">
        <f>IF(AE147&lt;&gt;0,AG147/AD147,"N/A")</f>
        <v/>
      </c>
      <c r="AJ147" s="280">
        <f>IF(AC147="pendiente",AD147,0)</f>
        <v/>
      </c>
      <c r="AK147" s="278">
        <f>VLOOKUP(G147,CLIENTES!B:D,3,FALSE)</f>
        <v/>
      </c>
    </row>
    <row r="148" ht="15" customFormat="1" customHeight="1" s="192">
      <c r="A148" s="192" t="inlineStr">
        <is>
          <t>S23027</t>
        </is>
      </c>
      <c r="B148" s="199" t="n">
        <v>45106</v>
      </c>
      <c r="C148" s="192" t="inlineStr">
        <is>
          <t>c/ Las Cruzadas 3A, local D</t>
        </is>
      </c>
      <c r="D148" s="192" t="inlineStr">
        <is>
          <t>Sevilla 41004</t>
        </is>
      </c>
      <c r="E148" s="192" t="inlineStr">
        <is>
          <t>CIF B91938662</t>
        </is>
      </c>
      <c r="F148" s="192" t="inlineStr">
        <is>
          <t>aBalados@abalados.es</t>
        </is>
      </c>
      <c r="G148" s="192" t="inlineStr">
        <is>
          <t>Promotores Benejama Generación, S.L.</t>
        </is>
      </c>
      <c r="H148" s="192">
        <f>VLOOKUP($G148,DATOS!$B:$E,2,FALSE)</f>
        <v/>
      </c>
      <c r="I148" s="192">
        <f>VLOOKUP($G148,DATOS!$B:$E,3,FALSE)</f>
        <v/>
      </c>
      <c r="J148" s="192">
        <f>VLOOKUP($G148,DATOS!$B:$E,4,FALSE)</f>
        <v/>
      </c>
      <c r="K148" s="192" t="inlineStr">
        <is>
          <t>Factura de suplidos</t>
        </is>
      </c>
      <c r="L148" s="200" t="n"/>
      <c r="M148" s="192" t="inlineStr">
        <is>
          <t>Registro Mercantil Sevilla</t>
        </is>
      </c>
      <c r="N148" s="200" t="n">
        <v>795.45</v>
      </c>
      <c r="P148" s="200" t="n"/>
      <c r="R148" s="200" t="n"/>
      <c r="T148" s="200" t="n"/>
      <c r="V148" s="200" t="n"/>
      <c r="X148" s="200" t="n"/>
      <c r="Z148" s="200" t="n"/>
      <c r="AA148" s="200">
        <f>L148+N148+P148+R148+T148+V148+X148+Z148</f>
        <v/>
      </c>
      <c r="AB148" s="201" t="inlineStr">
        <is>
          <t>ES11 0081 7069 2700 0122 7724</t>
        </is>
      </c>
      <c r="AC148" s="192" t="inlineStr">
        <is>
          <t>pagado</t>
        </is>
      </c>
      <c r="AD148" s="200">
        <f>L148+N148+P148+R148+T148+V148+X148+Z148</f>
        <v/>
      </c>
      <c r="AE148" s="200">
        <f>IF((LEFT(K148,6))="Contab",L148,0)</f>
        <v/>
      </c>
      <c r="AF148" s="201">
        <f>VLOOKUP(G148,CLIENTES!B:E,4,FALSE)</f>
        <v/>
      </c>
      <c r="AG148" s="200">
        <f>AF148*AE148</f>
        <v/>
      </c>
      <c r="AH148" s="200">
        <f>AD148*1.21</f>
        <v/>
      </c>
      <c r="AI148" s="283">
        <f>IF(AE148&lt;&gt;0,AG148/AD148,"N/A")</f>
        <v/>
      </c>
      <c r="AJ148" s="200">
        <f>IF(AC148="pendiente",AD148,0)</f>
        <v/>
      </c>
      <c r="AK148" s="192">
        <f>VLOOKUP(G148,CLIENTES!B:D,3,FALSE)</f>
        <v/>
      </c>
    </row>
    <row r="149" ht="15" customFormat="1" customHeight="1" s="192">
      <c r="A149" s="192" t="inlineStr">
        <is>
          <t>S23028</t>
        </is>
      </c>
      <c r="B149" s="199" t="n">
        <v>45208</v>
      </c>
      <c r="C149" s="192" t="inlineStr">
        <is>
          <t>c/ Las Cruzadas 3A, local D</t>
        </is>
      </c>
      <c r="D149" s="192" t="inlineStr">
        <is>
          <t>Sevilla 41004</t>
        </is>
      </c>
      <c r="E149" s="192" t="inlineStr">
        <is>
          <t>CIF B91938662</t>
        </is>
      </c>
      <c r="F149" s="192" t="inlineStr">
        <is>
          <t>aBalados@abalados.es</t>
        </is>
      </c>
      <c r="G149" s="192" t="inlineStr">
        <is>
          <t>aBalados Recycling, S.L.</t>
        </is>
      </c>
      <c r="H149" s="192">
        <f>VLOOKUP($G149,DATOS!$B:$E,2,FALSE)</f>
        <v/>
      </c>
      <c r="I149" s="192">
        <f>VLOOKUP($G149,DATOS!$B:$E,3,FALSE)</f>
        <v/>
      </c>
      <c r="J149" s="192">
        <f>VLOOKUP($G149,DATOS!$B:$E,4,FALSE)</f>
        <v/>
      </c>
      <c r="K149" s="192" t="inlineStr">
        <is>
          <t>Factura de suplidos</t>
        </is>
      </c>
      <c r="L149" s="200" t="n"/>
      <c r="M149" s="192" t="inlineStr">
        <is>
          <t>Pago autoliquidación 2023/00/0000000085 (29/09/2023)</t>
        </is>
      </c>
      <c r="N149" s="200" t="n">
        <v>41.8</v>
      </c>
      <c r="O149" s="192" t="inlineStr">
        <is>
          <t>Solicitud Cédula urbanística</t>
        </is>
      </c>
      <c r="P149" s="200" t="n"/>
      <c r="R149" s="200" t="n"/>
      <c r="T149" s="200" t="n"/>
      <c r="V149" s="200" t="n"/>
      <c r="X149" s="200" t="n"/>
      <c r="Z149" s="200" t="n"/>
      <c r="AA149" s="200">
        <f>L149+N149+P149+R149+T149+V149+X149+Z149</f>
        <v/>
      </c>
      <c r="AB149" s="201" t="inlineStr">
        <is>
          <t>ES11 0081 7069 2700 0122 7724</t>
        </is>
      </c>
      <c r="AC149" s="192" t="inlineStr">
        <is>
          <t>pendiente</t>
        </is>
      </c>
      <c r="AD149" s="200">
        <f>L149+N149+P149+R149+T149+V149+X149+Z149</f>
        <v/>
      </c>
      <c r="AE149" s="200">
        <f>IF((LEFT(K149,6))="Contab",L149,0)</f>
        <v/>
      </c>
      <c r="AF149" s="201">
        <f>VLOOKUP(G149,CLIENTES!B:E,4,FALSE)</f>
        <v/>
      </c>
      <c r="AG149" s="200">
        <f>AF149*AE149</f>
        <v/>
      </c>
      <c r="AH149" s="200">
        <f>AD149*1.21</f>
        <v/>
      </c>
      <c r="AI149" s="283">
        <f>IF(AE149&lt;&gt;0,AG149/AD149,"N/A")</f>
        <v/>
      </c>
      <c r="AJ149" s="200">
        <f>IF(AC149="pendiente",AD149,0)</f>
        <v/>
      </c>
      <c r="AK149" s="192">
        <f>VLOOKUP(G149,CLIENTES!B:D,3,FALSE)</f>
        <v/>
      </c>
    </row>
    <row r="150" ht="15" customFormat="1" customHeight="1" s="192">
      <c r="A150" s="192" t="inlineStr">
        <is>
          <t>S23029</t>
        </is>
      </c>
      <c r="B150" s="199" t="n">
        <v>45287</v>
      </c>
      <c r="C150" s="192" t="inlineStr">
        <is>
          <t>c/ Las Cruzadas 3A, local D</t>
        </is>
      </c>
      <c r="D150" s="192" t="inlineStr">
        <is>
          <t>Sevilla 41004</t>
        </is>
      </c>
      <c r="E150" s="192" t="inlineStr">
        <is>
          <t>CIF B91938662</t>
        </is>
      </c>
      <c r="F150" s="192" t="inlineStr">
        <is>
          <t>aBalados@abalados.es</t>
        </is>
      </c>
      <c r="G150" s="189" t="inlineStr">
        <is>
          <t>Solar Photo Corp S.L.U.</t>
        </is>
      </c>
      <c r="H150" s="192">
        <f>VLOOKUP($G150,DATOS!$B:$E,2,FALSE)</f>
        <v/>
      </c>
      <c r="I150" s="192">
        <f>VLOOKUP($G150,DATOS!$B:$E,3,FALSE)</f>
        <v/>
      </c>
      <c r="J150" s="192">
        <f>VLOOKUP($G150,DATOS!$B:$E,4,FALSE)</f>
        <v/>
      </c>
      <c r="K150" s="192" t="inlineStr">
        <is>
          <t>Factura de suplidos</t>
        </is>
      </c>
      <c r="L150" s="200" t="n"/>
      <c r="M150" s="192" t="inlineStr">
        <is>
          <t>Pago Tasa local (OCA)</t>
        </is>
      </c>
      <c r="N150" s="200" t="n">
        <v>11.4</v>
      </c>
      <c r="P150" s="200" t="n"/>
      <c r="R150" s="200" t="n"/>
      <c r="T150" s="200" t="n"/>
      <c r="V150" s="200" t="n"/>
      <c r="X150" s="200" t="n"/>
      <c r="Z150" s="200" t="n"/>
      <c r="AA150" s="200">
        <f>L150+N150+P150+R150+T150+V150+X150+Z150</f>
        <v/>
      </c>
      <c r="AB150" s="201" t="inlineStr">
        <is>
          <t>ES11 0081 7069 2700 0122 7724</t>
        </is>
      </c>
      <c r="AC150" s="192" t="inlineStr">
        <is>
          <t>pendiente</t>
        </is>
      </c>
      <c r="AD150" s="200">
        <f>L150+N150+P150+R150+T150+V150+X150+Z150</f>
        <v/>
      </c>
      <c r="AE150" s="200">
        <f>IF((LEFT(K150,6))="Contab",L150,0)</f>
        <v/>
      </c>
      <c r="AF150" s="201">
        <f>VLOOKUP(G150,CLIENTES!B:E,4,FALSE)</f>
        <v/>
      </c>
      <c r="AG150" s="200">
        <f>AF150*AE150</f>
        <v/>
      </c>
      <c r="AH150" s="200">
        <f>AD150*1.21</f>
        <v/>
      </c>
      <c r="AI150" s="283">
        <f>IF(AE150&lt;&gt;0,AG150/AD150,"N/A")</f>
        <v/>
      </c>
      <c r="AJ150" s="200">
        <f>IF(AC150="pendiente",AD150,0)</f>
        <v/>
      </c>
      <c r="AK150" s="192">
        <f>VLOOKUP(G150,CLIENTES!B:D,3,FALSE)</f>
        <v/>
      </c>
    </row>
    <row r="151" ht="15" customHeight="1" s="700">
      <c r="A151" s="217" t="n"/>
      <c r="B151" s="219" t="n"/>
      <c r="J151" s="1" t="n"/>
      <c r="AC151" s="1" t="n"/>
      <c r="AD151" s="5" t="n"/>
      <c r="AE151" s="5" t="n"/>
      <c r="AG151" s="5" t="n"/>
      <c r="AH151" s="5" t="n"/>
      <c r="AI151" s="261" t="n"/>
      <c r="AJ151" s="5" t="n"/>
    </row>
    <row r="152" ht="15" customHeight="1" s="700">
      <c r="A152" s="217" t="n"/>
      <c r="B152" s="219" t="n"/>
      <c r="J152" s="1" t="n"/>
      <c r="AC152" s="1" t="n"/>
      <c r="AD152" s="5" t="n"/>
      <c r="AE152" s="5" t="n"/>
      <c r="AG152" s="5" t="n"/>
      <c r="AH152" s="5" t="n"/>
      <c r="AI152" s="261" t="n"/>
      <c r="AJ152" s="5" t="n"/>
    </row>
    <row r="153" ht="15" customHeight="1" s="700">
      <c r="A153" s="217" t="n"/>
      <c r="B153" s="219" t="n"/>
      <c r="J153" s="1" t="n"/>
      <c r="AC153" s="1" t="n"/>
      <c r="AD153" s="5" t="n"/>
      <c r="AE153" s="5" t="n"/>
      <c r="AG153" s="5" t="n"/>
      <c r="AH153" s="5" t="n"/>
      <c r="AI153" s="261" t="n"/>
      <c r="AJ153" s="5" t="n"/>
    </row>
    <row r="154" ht="15" customHeight="1" s="700">
      <c r="A154" s="217" t="n"/>
      <c r="B154" s="219" t="n"/>
      <c r="J154" s="1" t="n"/>
      <c r="AC154" s="1" t="n"/>
      <c r="AD154" s="5" t="n"/>
      <c r="AE154" s="5" t="n"/>
      <c r="AG154" s="5" t="n"/>
      <c r="AH154" s="5" t="n"/>
      <c r="AI154" s="261" t="n"/>
      <c r="AJ154" s="5" t="n"/>
    </row>
    <row r="155" ht="15" customHeight="1" s="700">
      <c r="A155" s="217" t="n"/>
      <c r="B155" s="219" t="n"/>
      <c r="J155" s="1" t="n"/>
      <c r="AC155" s="1" t="n"/>
      <c r="AD155" s="5" t="n"/>
      <c r="AE155" s="5" t="n"/>
      <c r="AG155" s="5" t="n"/>
      <c r="AH155" s="5" t="n"/>
      <c r="AI155" s="261" t="n"/>
      <c r="AJ155" s="5" t="n"/>
    </row>
    <row r="156" ht="15" customHeight="1" s="700">
      <c r="A156" s="217" t="n"/>
      <c r="B156" s="219" t="n"/>
      <c r="J156" s="1" t="n"/>
      <c r="AC156" s="1" t="n"/>
      <c r="AD156" s="5" t="n"/>
      <c r="AE156" s="5" t="n"/>
      <c r="AG156" s="5" t="n"/>
      <c r="AH156" s="5" t="n"/>
      <c r="AI156" s="261" t="n"/>
      <c r="AJ156" s="5" t="n"/>
    </row>
    <row r="157" ht="15" customHeight="1" s="700">
      <c r="A157" s="217" t="n"/>
      <c r="B157" s="219" t="n"/>
      <c r="J157" s="1" t="n"/>
      <c r="AC157" s="1" t="n"/>
      <c r="AD157" s="5" t="n"/>
      <c r="AE157" s="5" t="n"/>
      <c r="AG157" s="5" t="n"/>
      <c r="AH157" s="5" t="n"/>
      <c r="AI157" s="261" t="n"/>
      <c r="AJ157" s="5" t="n"/>
    </row>
    <row r="158" ht="15" customHeight="1" s="700">
      <c r="A158" s="217" t="n"/>
      <c r="B158" s="219" t="n"/>
      <c r="J158" s="1" t="n"/>
      <c r="AC158" s="1" t="n"/>
      <c r="AD158" s="5" t="n"/>
      <c r="AE158" s="5" t="n"/>
      <c r="AG158" s="5" t="n"/>
      <c r="AH158" s="5" t="n"/>
      <c r="AI158" s="261" t="n"/>
      <c r="AJ158" s="5" t="n"/>
    </row>
    <row r="159" ht="15" customHeight="1" s="700">
      <c r="A159" s="217" t="n"/>
      <c r="B159" s="219" t="n"/>
      <c r="J159" s="1" t="n"/>
      <c r="AC159" s="1" t="n"/>
      <c r="AD159" s="5" t="n"/>
      <c r="AE159" s="5" t="n"/>
      <c r="AG159" s="5" t="n"/>
      <c r="AH159" s="5" t="n"/>
      <c r="AI159" s="261" t="n"/>
      <c r="AJ159" s="5" t="n"/>
    </row>
    <row r="160" ht="15" customHeight="1" s="700">
      <c r="A160" s="217" t="n"/>
      <c r="B160" s="219" t="n"/>
      <c r="J160" s="1" t="n"/>
      <c r="AC160" s="1" t="n"/>
      <c r="AD160" s="5" t="n"/>
      <c r="AE160" s="5" t="n"/>
      <c r="AG160" s="5" t="n"/>
      <c r="AH160" s="5" t="n"/>
      <c r="AI160" s="261" t="n"/>
      <c r="AJ160" s="5" t="n"/>
    </row>
    <row r="161" ht="15" customFormat="1" customHeight="1" s="258">
      <c r="A161" s="275" t="inlineStr">
        <is>
          <t>S23001</t>
        </is>
      </c>
      <c r="B161" s="276" t="n">
        <v>45079</v>
      </c>
      <c r="C161" s="258" t="inlineStr">
        <is>
          <t>c/ Las Cruzadas 3A, local D</t>
        </is>
      </c>
      <c r="D161" s="258" t="inlineStr">
        <is>
          <t>Sevilla 41004</t>
        </is>
      </c>
      <c r="E161" s="258" t="inlineStr">
        <is>
          <t>CIF B91938662</t>
        </is>
      </c>
      <c r="F161" s="258" t="inlineStr">
        <is>
          <t>aBalados@abalados.es</t>
        </is>
      </c>
      <c r="G161" s="258" t="inlineStr">
        <is>
          <t>Grijota Renovables, S.L.</t>
        </is>
      </c>
      <c r="H161" s="258">
        <f>VLOOKUP($G161,DATOS!$B:$E,2,FALSE)</f>
        <v/>
      </c>
      <c r="I161" s="258">
        <f>VLOOKUP($G161,DATOS!$B:$E,3,FALSE)</f>
        <v/>
      </c>
      <c r="J161" s="258">
        <f>VLOOKUP($G161,DATOS!$B:$E,4,FALSE)</f>
        <v/>
      </c>
      <c r="K161" s="258" t="inlineStr">
        <is>
          <t>Factura de suplidos</t>
        </is>
      </c>
      <c r="L161" s="259" t="n"/>
      <c r="M161" s="258" t="inlineStr">
        <is>
          <t>Notaría</t>
        </is>
      </c>
      <c r="N161" s="259" t="n"/>
      <c r="O161" s="258" t="inlineStr">
        <is>
          <t xml:space="preserve">Registro Mercantil  </t>
        </is>
      </c>
      <c r="P161" s="259" t="n"/>
      <c r="Q161" s="258" t="inlineStr">
        <is>
          <t>FNMT</t>
        </is>
      </c>
      <c r="R161" s="259" t="n"/>
      <c r="S161" s="258" t="inlineStr">
        <is>
          <t>Publicación BOP</t>
        </is>
      </c>
      <c r="T161" s="259" t="n"/>
      <c r="U161" s="258" t="inlineStr">
        <is>
          <t>Tasas Junta de Castilla y León</t>
        </is>
      </c>
      <c r="V161" s="259" t="n"/>
      <c r="X161" s="259" t="n"/>
      <c r="Z161" s="259" t="n"/>
      <c r="AA161" s="259">
        <f>147.85+16.94+1187.88+16.94+287.09+1645.6+155.34+4.26+44.2</f>
        <v/>
      </c>
      <c r="AB161" s="260" t="inlineStr">
        <is>
          <t>ES11 0081 7069 2700 0122 7724</t>
        </is>
      </c>
      <c r="AC161" s="258" t="inlineStr">
        <is>
          <t>pagado</t>
        </is>
      </c>
      <c r="AD161" s="259">
        <f>L161+N161+P161+R161+T161+V161+X161+Z161</f>
        <v/>
      </c>
      <c r="AE161" s="259">
        <f>IF((LEFT(K161,6))="Contab",L161,0)</f>
        <v/>
      </c>
      <c r="AF161" s="260">
        <f>VLOOKUP(G161,CLIENTES!B:E,4,FALSE)</f>
        <v/>
      </c>
      <c r="AG161" s="259">
        <f>AF161*AE161</f>
        <v/>
      </c>
      <c r="AH161" s="259">
        <f>AD161*1.21</f>
        <v/>
      </c>
      <c r="AI161" s="264">
        <f>IF(AE161&lt;&gt;0,AG161/AD161,"N/A")</f>
        <v/>
      </c>
      <c r="AJ161" s="259">
        <f>IF(AC161="pendiente",AD161,0)</f>
        <v/>
      </c>
      <c r="AK161" s="258">
        <f>VLOOKUP(G161,CLIENTES!B:D,3,FALSE)</f>
        <v/>
      </c>
    </row>
    <row r="162" ht="15" customHeight="1" s="700">
      <c r="A162" s="217" t="inlineStr">
        <is>
          <t>S23002</t>
        </is>
      </c>
      <c r="B162" s="219" t="n">
        <v>45079</v>
      </c>
      <c r="C162" s="1" t="inlineStr">
        <is>
          <t>c/ Las Cruzadas 3A, local D</t>
        </is>
      </c>
      <c r="D162" s="1" t="inlineStr">
        <is>
          <t>Sevilla 41004</t>
        </is>
      </c>
      <c r="E162" s="1" t="inlineStr">
        <is>
          <t>CIF B91938662</t>
        </is>
      </c>
      <c r="F162" s="1" t="inlineStr">
        <is>
          <t>aBalados@abalados.es</t>
        </is>
      </c>
      <c r="G162" s="1" t="inlineStr">
        <is>
          <t>Cubillos Renovables, S.L.</t>
        </is>
      </c>
      <c r="H162" s="1">
        <f>VLOOKUP($G162,DATOS!$B:$E,2,FALSE)</f>
        <v/>
      </c>
      <c r="I162" s="1">
        <f>VLOOKUP($G162,DATOS!$B:$E,3,FALSE)</f>
        <v/>
      </c>
      <c r="J162" s="1">
        <f>VLOOKUP($G162,DATOS!$B:$E,4,FALSE)</f>
        <v/>
      </c>
      <c r="K162" s="1" t="inlineStr">
        <is>
          <t>Factura de suplidos</t>
        </is>
      </c>
      <c r="M162" s="685" t="inlineStr">
        <is>
          <t>Notaría</t>
        </is>
      </c>
      <c r="O162" s="1" t="inlineStr">
        <is>
          <t>Registro Mercantil</t>
        </is>
      </c>
      <c r="Q162" s="1" t="inlineStr">
        <is>
          <t>FNMT</t>
        </is>
      </c>
      <c r="AA162" s="5">
        <f>153.36+135.49+16.94</f>
        <v/>
      </c>
      <c r="AB162" s="6" t="inlineStr">
        <is>
          <t>ES11 0081 7069 2700 0122 7724</t>
        </is>
      </c>
      <c r="AC162" s="1" t="inlineStr">
        <is>
          <t>pagado</t>
        </is>
      </c>
      <c r="AD162" s="5">
        <f>L162+N162+P162+R162+T162+V162+X162+Z162</f>
        <v/>
      </c>
      <c r="AE162" s="5">
        <f>IF((LEFT(K162,6))="Contab",L162,0)</f>
        <v/>
      </c>
      <c r="AF162" s="6">
        <f>VLOOKUP(G162,CLIENTES!B:E,4,FALSE)</f>
        <v/>
      </c>
      <c r="AG162" s="5">
        <f>AF162*AE162</f>
        <v/>
      </c>
      <c r="AH162" s="5">
        <f>AD162*1.21</f>
        <v/>
      </c>
      <c r="AI162" s="261">
        <f>IF(AE162&lt;&gt;0,AG162/AD162,"N/A")</f>
        <v/>
      </c>
      <c r="AJ162" s="5">
        <f>IF(AC162="pendiente",AD162,0)</f>
        <v/>
      </c>
      <c r="AK162" s="1">
        <f>VLOOKUP(G162,CLIENTES!B:D,3,FALSE)</f>
        <v/>
      </c>
    </row>
    <row r="163" ht="15" customHeight="1" s="700">
      <c r="A163" s="217" t="inlineStr">
        <is>
          <t>S23003</t>
        </is>
      </c>
      <c r="B163" s="219" t="n">
        <v>45079</v>
      </c>
      <c r="C163" s="1" t="inlineStr">
        <is>
          <t>c/ Las Cruzadas 3A, local D</t>
        </is>
      </c>
      <c r="D163" s="1" t="inlineStr">
        <is>
          <t>Sevilla 41004</t>
        </is>
      </c>
      <c r="E163" s="1" t="inlineStr">
        <is>
          <t>CIF B91938662</t>
        </is>
      </c>
      <c r="F163" s="1" t="inlineStr">
        <is>
          <t>aBalados@abalados.es</t>
        </is>
      </c>
      <c r="G163" s="1" t="inlineStr">
        <is>
          <t>Evacuación Tordesillas 400 kV, S.L.</t>
        </is>
      </c>
      <c r="H163" s="1">
        <f>VLOOKUP($G163,DATOS!$B:$E,2,FALSE)</f>
        <v/>
      </c>
      <c r="I163" s="1">
        <f>VLOOKUP($G163,DATOS!$B:$E,3,FALSE)</f>
        <v/>
      </c>
      <c r="J163" s="1">
        <f>VLOOKUP($G163,DATOS!$B:$E,4,FALSE)</f>
        <v/>
      </c>
      <c r="K163" s="1" t="inlineStr">
        <is>
          <t>Factura de suplidos</t>
        </is>
      </c>
      <c r="M163" s="1" t="inlineStr">
        <is>
          <t>Registro Mercantil</t>
        </is>
      </c>
      <c r="AA163" s="5" t="n">
        <v>146.33</v>
      </c>
      <c r="AB163" s="6" t="inlineStr">
        <is>
          <t>ES11 0081 7069 2700 0122 7724</t>
        </is>
      </c>
      <c r="AC163" s="1" t="inlineStr">
        <is>
          <t>pagado</t>
        </is>
      </c>
      <c r="AD163" s="5">
        <f>L163+N163+P163+R163+T163+V163+X163+Z163</f>
        <v/>
      </c>
      <c r="AE163" s="5">
        <f>IF((LEFT(K163,6))="Contab",L163,0)</f>
        <v/>
      </c>
      <c r="AF163" s="6">
        <f>VLOOKUP(G163,CLIENTES!B:E,4,FALSE)</f>
        <v/>
      </c>
      <c r="AG163" s="5">
        <f>AF163*AE163</f>
        <v/>
      </c>
      <c r="AH163" s="5">
        <f>AD163*1.21</f>
        <v/>
      </c>
      <c r="AI163" s="261">
        <f>IF(AE163&lt;&gt;0,AG163/AD163,"N/A")</f>
        <v/>
      </c>
      <c r="AJ163" s="5">
        <f>IF(AC163="pendiente",AD163,0)</f>
        <v/>
      </c>
      <c r="AK163" s="1">
        <f>VLOOKUP(G163,CLIENTES!B:D,3,FALSE)</f>
        <v/>
      </c>
    </row>
    <row r="164" ht="15" customHeight="1" s="700">
      <c r="A164" s="217" t="inlineStr">
        <is>
          <t>S23004</t>
        </is>
      </c>
      <c r="B164" s="219" t="n">
        <v>45079</v>
      </c>
      <c r="C164" s="1" t="inlineStr">
        <is>
          <t>c/ Las Cruzadas 3A, local D</t>
        </is>
      </c>
      <c r="D164" s="1" t="inlineStr">
        <is>
          <t>Sevilla 41004</t>
        </is>
      </c>
      <c r="E164" s="1" t="inlineStr">
        <is>
          <t>CIF B91938662</t>
        </is>
      </c>
      <c r="F164" s="1" t="inlineStr">
        <is>
          <t>aBalados@abalados.es</t>
        </is>
      </c>
      <c r="G164" s="1" t="inlineStr">
        <is>
          <t>LAAT 132 kV Doble Circuito-Tordesillas 400 kV, S.L.</t>
        </is>
      </c>
      <c r="H164" s="1">
        <f>VLOOKUP($G164,DATOS!$B:$E,2,FALSE)</f>
        <v/>
      </c>
      <c r="I164" s="1">
        <f>VLOOKUP($G164,DATOS!$B:$E,3,FALSE)</f>
        <v/>
      </c>
      <c r="J164" s="1">
        <f>VLOOKUP($G164,DATOS!$B:$E,4,FALSE)</f>
        <v/>
      </c>
      <c r="K164" s="1" t="inlineStr">
        <is>
          <t>Factura de suplidos</t>
        </is>
      </c>
      <c r="M164" s="1" t="inlineStr">
        <is>
          <t>FNMT</t>
        </is>
      </c>
      <c r="AA164" s="5" t="n">
        <v>16.94</v>
      </c>
      <c r="AB164" s="6" t="inlineStr">
        <is>
          <t>ES11 0081 7069 2700 0122 7724</t>
        </is>
      </c>
      <c r="AC164" s="1" t="inlineStr">
        <is>
          <t>pagado</t>
        </is>
      </c>
      <c r="AD164" s="5">
        <f>L164+N164+P164+R164+T164+V164+X164+Z164</f>
        <v/>
      </c>
      <c r="AE164" s="5">
        <f>IF((LEFT(K164,6))="Contab",L164,0)</f>
        <v/>
      </c>
      <c r="AF164" s="6">
        <f>VLOOKUP(G164,CLIENTES!B:E,4,FALSE)</f>
        <v/>
      </c>
      <c r="AG164" s="5">
        <f>AF164*AE164</f>
        <v/>
      </c>
      <c r="AH164" s="5">
        <f>AD164*1.21</f>
        <v/>
      </c>
      <c r="AI164" s="261">
        <f>IF(AE164&lt;&gt;0,AG164/AD164,"N/A")</f>
        <v/>
      </c>
      <c r="AJ164" s="5">
        <f>IF(AC164="pendiente",AD164,0)</f>
        <v/>
      </c>
      <c r="AK164" s="1">
        <f>VLOOKUP(G164,CLIENTES!B:D,3,FALSE)</f>
        <v/>
      </c>
    </row>
    <row r="165" ht="15" customHeight="1" s="700">
      <c r="A165" s="217" t="inlineStr">
        <is>
          <t>S23005</t>
        </is>
      </c>
      <c r="B165" s="219" t="n">
        <v>45079</v>
      </c>
      <c r="C165" s="1" t="inlineStr">
        <is>
          <t>c/ Las Cruzadas 3A, local D</t>
        </is>
      </c>
      <c r="D165" s="1" t="inlineStr">
        <is>
          <t>Sevilla 41004</t>
        </is>
      </c>
      <c r="E165" s="1" t="inlineStr">
        <is>
          <t>CIF B91938662</t>
        </is>
      </c>
      <c r="F165" s="1" t="inlineStr">
        <is>
          <t>aBalados@abalados.es</t>
        </is>
      </c>
      <c r="G165" s="1" t="inlineStr">
        <is>
          <t>Monte Reina Renovables, S.L.</t>
        </is>
      </c>
      <c r="H165" s="1">
        <f>VLOOKUP($G165,DATOS!$B:$E,2,FALSE)</f>
        <v/>
      </c>
      <c r="I165" s="1">
        <f>VLOOKUP($G165,DATOS!$B:$E,3,FALSE)</f>
        <v/>
      </c>
      <c r="J165" s="1">
        <f>VLOOKUP($G165,DATOS!$B:$E,4,FALSE)</f>
        <v/>
      </c>
      <c r="K165" s="1" t="inlineStr">
        <is>
          <t>Factura de suplidos</t>
        </is>
      </c>
      <c r="M165" s="1" t="inlineStr">
        <is>
          <t>Modelo 111 - 4T2021</t>
        </is>
      </c>
      <c r="AA165" s="5" t="n">
        <v>288.08</v>
      </c>
      <c r="AB165" s="6" t="inlineStr">
        <is>
          <t>ES11 0081 7069 2700 0122 7724</t>
        </is>
      </c>
      <c r="AC165" s="1" t="inlineStr">
        <is>
          <t>pagado</t>
        </is>
      </c>
      <c r="AD165" s="5">
        <f>L165+N165+P165+R165+T165+V165+X165+Z165</f>
        <v/>
      </c>
      <c r="AE165" s="5">
        <f>IF((LEFT(K165,6))="Contab",L165,0)</f>
        <v/>
      </c>
      <c r="AF165" s="6">
        <f>VLOOKUP(G165,CLIENTES!B:E,4,FALSE)</f>
        <v/>
      </c>
      <c r="AG165" s="5">
        <f>AF165*AE165</f>
        <v/>
      </c>
      <c r="AH165" s="5">
        <f>AD165*1.21</f>
        <v/>
      </c>
      <c r="AI165" s="261">
        <f>IF(AE165&lt;&gt;0,AG165/AD165,"N/A")</f>
        <v/>
      </c>
      <c r="AJ165" s="5">
        <f>IF(AC165="pendiente",AD165,0)</f>
        <v/>
      </c>
      <c r="AK165" s="1">
        <f>VLOOKUP(G165,CLIENTES!B:D,3,FALSE)</f>
        <v/>
      </c>
    </row>
    <row r="166" ht="15" customFormat="1" customHeight="1" s="146">
      <c r="A166" s="218" t="inlineStr">
        <is>
          <t>S23006</t>
        </is>
      </c>
      <c r="B166" s="274" t="n">
        <v>45079</v>
      </c>
      <c r="C166" s="146" t="inlineStr">
        <is>
          <t>c/ Las Cruzadas 3A, local D</t>
        </is>
      </c>
      <c r="D166" s="146" t="inlineStr">
        <is>
          <t>Sevilla 41004</t>
        </is>
      </c>
      <c r="E166" s="146" t="inlineStr">
        <is>
          <t>CIF B91938662</t>
        </is>
      </c>
      <c r="F166" s="146" t="inlineStr">
        <is>
          <t>aBalados@abalados.es</t>
        </is>
      </c>
      <c r="G166" s="146" t="inlineStr">
        <is>
          <t>Tordesillas Renovables, S.L.</t>
        </is>
      </c>
      <c r="H166" s="146">
        <f>VLOOKUP($G166,DATOS!$B:$E,2,FALSE)</f>
        <v/>
      </c>
      <c r="I166" s="146">
        <f>VLOOKUP($G166,DATOS!$B:$E,3,FALSE)</f>
        <v/>
      </c>
      <c r="J166" s="146">
        <f>VLOOKUP($G166,DATOS!$B:$E,4,FALSE)</f>
        <v/>
      </c>
      <c r="K166" s="146" t="inlineStr">
        <is>
          <t>Factura de suplidos</t>
        </is>
      </c>
      <c r="L166" s="147" t="n"/>
      <c r="M166" s="146" t="inlineStr">
        <is>
          <t>Registro Mercantil</t>
        </is>
      </c>
      <c r="N166" s="147" t="n"/>
      <c r="O166" s="146" t="inlineStr">
        <is>
          <t>mod 111 - 4T2021</t>
        </is>
      </c>
      <c r="P166" s="147" t="n"/>
      <c r="Q166" s="146" t="inlineStr">
        <is>
          <t>FNMT</t>
        </is>
      </c>
      <c r="R166" s="147" t="n"/>
      <c r="S166" s="146" t="inlineStr">
        <is>
          <t>Tasas Ayuntamiento</t>
        </is>
      </c>
      <c r="T166" s="147" t="n"/>
      <c r="V166" s="147" t="n"/>
      <c r="X166" s="147" t="n"/>
      <c r="Z166" s="147" t="n"/>
      <c r="AA166" s="147">
        <f>266.74+66.18+16.94+44.2+33.1</f>
        <v/>
      </c>
      <c r="AB166" s="148" t="inlineStr">
        <is>
          <t>ES11 0081 7069 2700 0122 7724</t>
        </is>
      </c>
      <c r="AC166" s="146" t="inlineStr">
        <is>
          <t>pagado</t>
        </is>
      </c>
      <c r="AD166" s="147">
        <f>L166+N166+P166+R166+T166+V166+X166+Z166</f>
        <v/>
      </c>
      <c r="AE166" s="147">
        <f>IF((LEFT(K166,6))="Contab",L166,0)</f>
        <v/>
      </c>
      <c r="AF166" s="148">
        <f>VLOOKUP(G166,CLIENTES!B:E,4,FALSE)</f>
        <v/>
      </c>
      <c r="AG166" s="147">
        <f>AF166*AE166</f>
        <v/>
      </c>
      <c r="AH166" s="147">
        <f>AD166*1.21</f>
        <v/>
      </c>
      <c r="AI166" s="257">
        <f>IF(AE166&lt;&gt;0,AG166/AD166,"N/A")</f>
        <v/>
      </c>
      <c r="AJ166" s="147">
        <f>IF(AC166="pendiente",AD166,0)</f>
        <v/>
      </c>
      <c r="AK166" s="146">
        <f>VLOOKUP(G166,CLIENTES!B:D,3,FALSE)</f>
        <v/>
      </c>
    </row>
  </sheetData>
  <autoFilter ref="A1:AK103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C2:AE79 AC86:AE118 AD167:AD1048576 AG2:AG118">
    <cfRule type="containsText" priority="827" operator="containsText" dxfId="1" text="pendiente">
      <formula>NOT(ISERROR(SEARCH("pendiente",AC2)))</formula>
    </cfRule>
  </conditionalFormatting>
  <conditionalFormatting sqref="AC164:AE164 AG164">
    <cfRule type="containsText" priority="110" operator="containsText" dxfId="1" text="pendiente">
      <formula>NOT(ISERROR(SEARCH("pendiente",AC164)))</formula>
    </cfRule>
  </conditionalFormatting>
  <conditionalFormatting sqref="AC2:AC79 AC86:AC118 AC164">
    <cfRule type="cellIs" priority="107" operator="equal" dxfId="6">
      <formula>"abonado"</formula>
    </cfRule>
  </conditionalFormatting>
  <conditionalFormatting sqref="AC122:AE161 AG122:AG161">
    <cfRule type="containsText" priority="97" operator="containsText" dxfId="1" text="pendiente">
      <formula>NOT(ISERROR(SEARCH("pendiente",AC122)))</formula>
    </cfRule>
  </conditionalFormatting>
  <conditionalFormatting sqref="AC86:AC94 AC92:AE114 AC117:AE118 AC122:AE161">
    <cfRule type="cellIs" priority="95" operator="equal" dxfId="1">
      <formula>"pendiente"</formula>
    </cfRule>
    <cfRule type="containsText" priority="96" operator="containsText" dxfId="0" text="pagado">
      <formula>NOT(ISERROR(SEARCH("pagado",AC86)))</formula>
    </cfRule>
  </conditionalFormatting>
  <conditionalFormatting sqref="AC122:AC161">
    <cfRule type="cellIs" priority="94" operator="equal" dxfId="6">
      <formula>"abonado"</formula>
    </cfRule>
  </conditionalFormatting>
  <conditionalFormatting sqref="AC162:AE162 AG162">
    <cfRule type="containsText" priority="93" operator="containsText" dxfId="1" text="pendiente">
      <formula>NOT(ISERROR(SEARCH("pendiente",AC162)))</formula>
    </cfRule>
  </conditionalFormatting>
  <conditionalFormatting sqref="AC162:AE162">
    <cfRule type="cellIs" priority="91" operator="equal" dxfId="1">
      <formula>"pendiente"</formula>
    </cfRule>
    <cfRule type="containsText" priority="92" operator="containsText" dxfId="0" text="pagado">
      <formula>NOT(ISERROR(SEARCH("pagado",AC162)))</formula>
    </cfRule>
  </conditionalFormatting>
  <conditionalFormatting sqref="AC162">
    <cfRule type="cellIs" priority="90" operator="equal" dxfId="6">
      <formula>"abonado"</formula>
    </cfRule>
  </conditionalFormatting>
  <conditionalFormatting sqref="AC163:AE163 AG163">
    <cfRule type="containsText" priority="89" operator="containsText" dxfId="1" text="pendiente">
      <formula>NOT(ISERROR(SEARCH("pendiente",AC163)))</formula>
    </cfRule>
  </conditionalFormatting>
  <conditionalFormatting sqref="AC163:AE163">
    <cfRule type="cellIs" priority="87" operator="equal" dxfId="1">
      <formula>"pendiente"</formula>
    </cfRule>
    <cfRule type="containsText" priority="88" operator="containsText" dxfId="0" text="pagado">
      <formula>NOT(ISERROR(SEARCH("pagado",AC163)))</formula>
    </cfRule>
  </conditionalFormatting>
  <conditionalFormatting sqref="AC163">
    <cfRule type="cellIs" priority="86" operator="equal" dxfId="6">
      <formula>"abonado"</formula>
    </cfRule>
  </conditionalFormatting>
  <conditionalFormatting sqref="AC164:AE164">
    <cfRule type="cellIs" priority="84" operator="equal" dxfId="1">
      <formula>"pendiente"</formula>
    </cfRule>
    <cfRule type="containsText" priority="85" operator="containsText" dxfId="0" text="pagado">
      <formula>NOT(ISERROR(SEARCH("pagado",AC164)))</formula>
    </cfRule>
  </conditionalFormatting>
  <conditionalFormatting sqref="AC165:AE165 AG165">
    <cfRule type="containsText" priority="83" operator="containsText" dxfId="1" text="pendiente">
      <formula>NOT(ISERROR(SEARCH("pendiente",AC165)))</formula>
    </cfRule>
  </conditionalFormatting>
  <conditionalFormatting sqref="AC165:AE165">
    <cfRule type="cellIs" priority="81" operator="equal" dxfId="1">
      <formula>"pendiente"</formula>
    </cfRule>
    <cfRule type="containsText" priority="82" operator="containsText" dxfId="0" text="pagado">
      <formula>NOT(ISERROR(SEARCH("pagado",AC165)))</formula>
    </cfRule>
  </conditionalFormatting>
  <conditionalFormatting sqref="AC165">
    <cfRule type="cellIs" priority="80" operator="equal" dxfId="6">
      <formula>"abonado"</formula>
    </cfRule>
  </conditionalFormatting>
  <conditionalFormatting sqref="AC166:AE166 AG166">
    <cfRule type="containsText" priority="79" operator="containsText" dxfId="1" text="pendiente">
      <formula>NOT(ISERROR(SEARCH("pendiente",AC166)))</formula>
    </cfRule>
  </conditionalFormatting>
  <conditionalFormatting sqref="AC166:AE166">
    <cfRule type="cellIs" priority="77" operator="equal" dxfId="1">
      <formula>"pendiente"</formula>
    </cfRule>
    <cfRule type="containsText" priority="78" operator="containsText" dxfId="0" text="pagado">
      <formula>NOT(ISERROR(SEARCH("pagado",AC166)))</formula>
    </cfRule>
  </conditionalFormatting>
  <conditionalFormatting sqref="AC166">
    <cfRule type="cellIs" priority="76" operator="equal" dxfId="6">
      <formula>"abonado"</formula>
    </cfRule>
  </conditionalFormatting>
  <conditionalFormatting sqref="AC81:AE83 AD80:AE80 AD84:AE85">
    <cfRule type="containsText" priority="75" operator="containsText" dxfId="1" text="pendiente">
      <formula>NOT(ISERROR(SEARCH("pendiente",AC80)))</formula>
    </cfRule>
  </conditionalFormatting>
  <conditionalFormatting sqref="AC51:AE65">
    <cfRule type="cellIs" priority="73" operator="equal" dxfId="1">
      <formula>"pendiente"</formula>
    </cfRule>
    <cfRule type="containsText" priority="74" operator="containsText" dxfId="0" text="pagado">
      <formula>NOT(ISERROR(SEARCH("pagado",AC51)))</formula>
    </cfRule>
  </conditionalFormatting>
  <conditionalFormatting sqref="AC81:AC83">
    <cfRule type="cellIs" priority="72" operator="equal" dxfId="6">
      <formula>"abonado"</formula>
    </cfRule>
  </conditionalFormatting>
  <conditionalFormatting sqref="AC66:AE66">
    <cfRule type="cellIs" priority="70" operator="equal" dxfId="1">
      <formula>"pendiente"</formula>
    </cfRule>
    <cfRule type="containsText" priority="71" operator="containsText" dxfId="0" text="pagado">
      <formula>NOT(ISERROR(SEARCH("pagado",AC66)))</formula>
    </cfRule>
  </conditionalFormatting>
  <conditionalFormatting sqref="AC67:AE67">
    <cfRule type="cellIs" priority="68" operator="equal" dxfId="1">
      <formula>"pendiente"</formula>
    </cfRule>
    <cfRule type="containsText" priority="69" operator="containsText" dxfId="0" text="pagado">
      <formula>NOT(ISERROR(SEARCH("pagado",AC67)))</formula>
    </cfRule>
  </conditionalFormatting>
  <conditionalFormatting sqref="AC68:AE79 AC81:AE81 AD80:AE80">
    <cfRule type="cellIs" priority="66" operator="equal" dxfId="1">
      <formula>"pendiente"</formula>
    </cfRule>
    <cfRule type="containsText" priority="67" operator="containsText" dxfId="0" text="pagado">
      <formula>NOT(ISERROR(SEARCH("pagado",AC68)))</formula>
    </cfRule>
  </conditionalFormatting>
  <conditionalFormatting sqref="AC82:AE82">
    <cfRule type="cellIs" priority="64" operator="equal" dxfId="1">
      <formula>"pendiente"</formula>
    </cfRule>
    <cfRule type="containsText" priority="65" operator="containsText" dxfId="0" text="pagado">
      <formula>NOT(ISERROR(SEARCH("pagado",AC82)))</formula>
    </cfRule>
  </conditionalFormatting>
  <conditionalFormatting sqref="AC83:AE83">
    <cfRule type="cellIs" priority="62" operator="equal" dxfId="1">
      <formula>"pendiente"</formula>
    </cfRule>
    <cfRule type="containsText" priority="63" operator="containsText" dxfId="0" text="pagado">
      <formula>NOT(ISERROR(SEARCH("pagado",AC83)))</formula>
    </cfRule>
  </conditionalFormatting>
  <conditionalFormatting sqref="AC83">
    <cfRule type="cellIs" priority="60" operator="equal" dxfId="1">
      <formula>"pendiente"</formula>
    </cfRule>
    <cfRule type="containsText" priority="61" operator="containsText" dxfId="0" text="pagado">
      <formula>NOT(ISERROR(SEARCH("pagado",AC83)))</formula>
    </cfRule>
  </conditionalFormatting>
  <conditionalFormatting sqref="AD84:AE84">
    <cfRule type="cellIs" priority="58" operator="equal" dxfId="1">
      <formula>"pendiente"</formula>
    </cfRule>
    <cfRule type="containsText" priority="59" operator="containsText" dxfId="0" text="pagado">
      <formula>NOT(ISERROR(SEARCH("pagado",AD84)))</formula>
    </cfRule>
  </conditionalFormatting>
  <conditionalFormatting sqref="AD85:AE85">
    <cfRule type="cellIs" priority="56" operator="equal" dxfId="1">
      <formula>"pendiente"</formula>
    </cfRule>
    <cfRule type="containsText" priority="57" operator="containsText" dxfId="0" text="pagado">
      <formula>NOT(ISERROR(SEARCH("pagado",AD85)))</formula>
    </cfRule>
  </conditionalFormatting>
  <conditionalFormatting sqref="AC73">
    <cfRule type="cellIs" priority="54" operator="equal" dxfId="1">
      <formula>"pendiente"</formula>
    </cfRule>
    <cfRule type="containsText" priority="55" operator="containsText" dxfId="0" text="pagado">
      <formula>NOT(ISERROR(SEARCH("pagado",AC73)))</formula>
    </cfRule>
  </conditionalFormatting>
  <conditionalFormatting sqref="AC86:AE86">
    <cfRule type="cellIs" priority="52" operator="equal" dxfId="1">
      <formula>"pendiente"</formula>
    </cfRule>
    <cfRule type="containsText" priority="53" operator="containsText" dxfId="0" text="pagado">
      <formula>NOT(ISERROR(SEARCH("pagado",AC86)))</formula>
    </cfRule>
  </conditionalFormatting>
  <conditionalFormatting sqref="AC87:AE87">
    <cfRule type="cellIs" priority="50" operator="equal" dxfId="1">
      <formula>"pendiente"</formula>
    </cfRule>
    <cfRule type="containsText" priority="51" operator="containsText" dxfId="0" text="pagado">
      <formula>NOT(ISERROR(SEARCH("pagado",AC87)))</formula>
    </cfRule>
  </conditionalFormatting>
  <conditionalFormatting sqref="AC88:AE88">
    <cfRule type="cellIs" priority="48" operator="equal" dxfId="1">
      <formula>"pendiente"</formula>
    </cfRule>
    <cfRule type="containsText" priority="49" operator="containsText" dxfId="0" text="pagado">
      <formula>NOT(ISERROR(SEARCH("pagado",AC88)))</formula>
    </cfRule>
  </conditionalFormatting>
  <conditionalFormatting sqref="AC89:AE89">
    <cfRule type="cellIs" priority="46" operator="equal" dxfId="1">
      <formula>"pendiente"</formula>
    </cfRule>
    <cfRule type="containsText" priority="47" operator="containsText" dxfId="0" text="pagado">
      <formula>NOT(ISERROR(SEARCH("pagado",AC89)))</formula>
    </cfRule>
  </conditionalFormatting>
  <conditionalFormatting sqref="AC90:AE90">
    <cfRule type="cellIs" priority="44" operator="equal" dxfId="1">
      <formula>"pendiente"</formula>
    </cfRule>
    <cfRule type="containsText" priority="45" operator="containsText" dxfId="0" text="pagado">
      <formula>NOT(ISERROR(SEARCH("pagado",AC90)))</formula>
    </cfRule>
  </conditionalFormatting>
  <conditionalFormatting sqref="AC91:AE91">
    <cfRule type="cellIs" priority="42" operator="equal" dxfId="1">
      <formula>"pendiente"</formula>
    </cfRule>
    <cfRule type="containsText" priority="43" operator="containsText" dxfId="0" text="pagado">
      <formula>NOT(ISERROR(SEARCH("pagado",AC91)))</formula>
    </cfRule>
  </conditionalFormatting>
  <conditionalFormatting sqref="AC80">
    <cfRule type="containsText" priority="41" operator="containsText" dxfId="1" text="pendiente">
      <formula>NOT(ISERROR(SEARCH("pendiente",AC80)))</formula>
    </cfRule>
    <cfRule type="cellIs" priority="39" operator="equal" dxfId="1">
      <formula>"pendiente"</formula>
    </cfRule>
    <cfRule type="containsText" priority="40" operator="containsText" dxfId="0" text="pagado">
      <formula>NOT(ISERROR(SEARCH("pagado",AC80)))</formula>
    </cfRule>
    <cfRule type="cellIs" priority="38" operator="equal" dxfId="6">
      <formula>"abonado"</formula>
    </cfRule>
    <cfRule type="containsText" priority="37" operator="containsText" dxfId="1" text="pendiente">
      <formula>NOT(ISERROR(SEARCH("pendiente",AC80)))</formula>
    </cfRule>
    <cfRule type="cellIs" priority="35" operator="equal" dxfId="1">
      <formula>"pendiente"</formula>
    </cfRule>
    <cfRule type="containsText" priority="36" operator="containsText" dxfId="0" text="pagado">
      <formula>NOT(ISERROR(SEARCH("pagado",AC80)))</formula>
    </cfRule>
    <cfRule type="containsText" priority="34" operator="containsText" dxfId="1" text="pendiente">
      <formula>NOT(ISERROR(SEARCH("pendiente",AC80)))</formula>
    </cfRule>
    <cfRule type="cellIs" priority="32" operator="equal" dxfId="1">
      <formula>"pendiente"</formula>
    </cfRule>
    <cfRule type="containsText" priority="33" operator="containsText" dxfId="0" text="pagado">
      <formula>NOT(ISERROR(SEARCH("pagado",AC80)))</formula>
    </cfRule>
    <cfRule type="cellIs" priority="31" operator="equal" dxfId="6">
      <formula>"abonado"</formula>
    </cfRule>
  </conditionalFormatting>
  <conditionalFormatting sqref="AC85">
    <cfRule type="containsText" priority="30" operator="containsText" dxfId="1" text="pendiente">
      <formula>NOT(ISERROR(SEARCH("pendiente",AC85)))</formula>
    </cfRule>
    <cfRule type="cellIs" priority="28" operator="equal" dxfId="1">
      <formula>"pendiente"</formula>
    </cfRule>
    <cfRule type="containsText" priority="29" operator="containsText" dxfId="0" text="pagado">
      <formula>NOT(ISERROR(SEARCH("pagado",AC85)))</formula>
    </cfRule>
    <cfRule type="cellIs" priority="27" operator="equal" dxfId="6">
      <formula>"abonado"</formula>
    </cfRule>
  </conditionalFormatting>
  <conditionalFormatting sqref="AC84">
    <cfRule type="containsText" priority="26" operator="containsText" dxfId="1" text="pendiente">
      <formula>NOT(ISERROR(SEARCH("pendiente",AC84)))</formula>
    </cfRule>
    <cfRule type="cellIs" priority="24" operator="equal" dxfId="1">
      <formula>"pendiente"</formula>
    </cfRule>
    <cfRule type="containsText" priority="25" operator="containsText" dxfId="0" text="pagado">
      <formula>NOT(ISERROR(SEARCH("pagado",AC84)))</formula>
    </cfRule>
    <cfRule type="cellIs" priority="23" operator="equal" dxfId="6">
      <formula>"abonado"</formula>
    </cfRule>
  </conditionalFormatting>
  <conditionalFormatting sqref="AC115:AE115">
    <cfRule type="cellIs" priority="17" operator="equal" dxfId="1">
      <formula>"pendiente"</formula>
    </cfRule>
    <cfRule type="containsText" priority="18" operator="containsText" dxfId="0" text="pagado">
      <formula>NOT(ISERROR(SEARCH("pagado",AC115)))</formula>
    </cfRule>
  </conditionalFormatting>
  <conditionalFormatting sqref="AC116:AE118">
    <cfRule type="cellIs" priority="15" operator="equal" dxfId="1">
      <formula>"pendiente"</formula>
    </cfRule>
    <cfRule type="containsText" priority="16" operator="containsText" dxfId="0" text="pagado">
      <formula>NOT(ISERROR(SEARCH("pagado",AC116)))</formula>
    </cfRule>
  </conditionalFormatting>
  <conditionalFormatting sqref="AC2:AE18">
    <cfRule type="cellIs" priority="13" operator="equal" dxfId="1">
      <formula>"pendiente"</formula>
    </cfRule>
    <cfRule type="containsText" priority="14" operator="containsText" dxfId="0" text="pagado">
      <formula>NOT(ISERROR(SEARCH("pagado",AC2)))</formula>
    </cfRule>
  </conditionalFormatting>
  <conditionalFormatting sqref="AC19:AE19">
    <cfRule type="cellIs" priority="11" operator="equal" dxfId="1">
      <formula>"pendiente"</formula>
    </cfRule>
    <cfRule type="containsText" priority="12" operator="containsText" dxfId="0" text="pagado">
      <formula>NOT(ISERROR(SEARCH("pagado",AC19)))</formula>
    </cfRule>
  </conditionalFormatting>
  <conditionalFormatting sqref="AC20:AE20">
    <cfRule type="cellIs" priority="9" operator="equal" dxfId="1">
      <formula>"pendiente"</formula>
    </cfRule>
    <cfRule type="containsText" priority="10" operator="containsText" dxfId="0" text="pagado">
      <formula>NOT(ISERROR(SEARCH("pagado",AC20)))</formula>
    </cfRule>
  </conditionalFormatting>
  <conditionalFormatting sqref="AC21:AE34">
    <cfRule type="cellIs" priority="7" operator="equal" dxfId="1">
      <formula>"pendiente"</formula>
    </cfRule>
    <cfRule type="containsText" priority="8" operator="containsText" dxfId="0" text="pagado">
      <formula>NOT(ISERROR(SEARCH("pagado",AC21)))</formula>
    </cfRule>
  </conditionalFormatting>
  <conditionalFormatting sqref="AC35:AE35">
    <cfRule type="cellIs" priority="3" operator="equal" dxfId="1">
      <formula>"pendiente"</formula>
    </cfRule>
    <cfRule type="containsText" priority="4" operator="containsText" dxfId="0" text="pagado">
      <formula>NOT(ISERROR(SEARCH("pagado",AC35)))</formula>
    </cfRule>
  </conditionalFormatting>
  <conditionalFormatting sqref="AC36:AE50">
    <cfRule type="cellIs" priority="1" operator="equal" dxfId="1">
      <formula>"pendiente"</formula>
    </cfRule>
    <cfRule type="containsText" priority="2" operator="containsText" dxfId="0" text="pagado">
      <formula>NOT(ISERROR(SEARCH("pagado",AC36)))</formula>
    </cfRule>
  </conditionalFormatting>
  <dataValidations count="1">
    <dataValidation sqref="AC2:AC118 AC122:AC1048576" showDropDown="0" showInputMessage="1" showErrorMessage="1" allowBlank="1" type="list">
      <formula1>"pendiente,pagado,abonado"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Hoja22">
    <outlinePr summaryBelow="1" summaryRight="1"/>
    <pageSetUpPr/>
  </sheetPr>
  <dimension ref="A1:AK25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2" sqref="A22"/>
    </sheetView>
  </sheetViews>
  <sheetFormatPr baseColWidth="10" defaultColWidth="11.3828125" defaultRowHeight="14.6"/>
  <cols>
    <col width="11.3828125" customWidth="1" style="700" min="1" max="1"/>
    <col width="15.3828125" bestFit="1" customWidth="1" style="700" min="2" max="2"/>
    <col width="28.84375" customWidth="1" style="700" min="3" max="3"/>
    <col width="11.84375" customWidth="1" style="700" min="4" max="4"/>
    <col width="13.53515625" customWidth="1" style="700" min="5" max="5"/>
    <col width="32.3828125" customWidth="1" style="700" min="6" max="6"/>
    <col width="39.69140625" bestFit="1" customWidth="1" style="700" min="7" max="7"/>
    <col width="23.3828125" bestFit="1" customWidth="1" style="700" min="8" max="8"/>
    <col width="28.3828125" customWidth="1" style="700" min="9" max="9"/>
    <col width="23.53515625" customWidth="1" style="700" min="10" max="10"/>
    <col width="51.84375" bestFit="1" customWidth="1" style="700" min="11" max="11"/>
    <col width="11.3046875" customWidth="1" style="700" min="12" max="12"/>
    <col width="37.53515625" customWidth="1" style="700" min="13" max="13"/>
    <col width="11.3828125" customWidth="1" style="700" min="18" max="26"/>
    <col width="28.3828125" bestFit="1" customWidth="1" style="700" min="28" max="28"/>
    <col width="11.84375" bestFit="1" customWidth="1" style="700" min="30" max="30"/>
    <col width="11.53515625" bestFit="1" customWidth="1" style="700" min="31" max="33"/>
    <col width="11.69140625" bestFit="1" customWidth="1" style="700" min="34" max="34"/>
    <col width="11.53515625" bestFit="1" customWidth="1" style="700" min="36" max="36"/>
  </cols>
  <sheetData>
    <row r="1" ht="54" customFormat="1" customHeight="1" s="368">
      <c r="A1" s="384" t="inlineStr">
        <is>
          <t>nº Factura</t>
        </is>
      </c>
      <c r="B1" s="385" t="inlineStr">
        <is>
          <t>fecha</t>
        </is>
      </c>
      <c r="C1" s="686" t="inlineStr">
        <is>
          <t>Emisor</t>
        </is>
      </c>
      <c r="D1" s="687" t="n"/>
      <c r="E1" s="687" t="n"/>
      <c r="F1" s="687" t="n"/>
      <c r="G1" s="686" t="inlineStr">
        <is>
          <t>Receptor</t>
        </is>
      </c>
      <c r="H1" s="687" t="n"/>
      <c r="I1" s="687" t="n"/>
      <c r="J1" s="687" t="n"/>
      <c r="K1" s="384" t="inlineStr">
        <is>
          <t>Línea 1</t>
        </is>
      </c>
      <c r="L1" s="387" t="inlineStr">
        <is>
          <t>Importe 1</t>
        </is>
      </c>
      <c r="M1" s="384" t="inlineStr">
        <is>
          <t>Línea 2</t>
        </is>
      </c>
      <c r="N1" s="387" t="inlineStr">
        <is>
          <t>Importe 2</t>
        </is>
      </c>
      <c r="O1" s="384" t="inlineStr">
        <is>
          <t>Línea 3</t>
        </is>
      </c>
      <c r="P1" s="387" t="inlineStr">
        <is>
          <t>Importe 3</t>
        </is>
      </c>
      <c r="Q1" s="388" t="inlineStr">
        <is>
          <t>Línea 4</t>
        </is>
      </c>
      <c r="R1" s="387" t="inlineStr">
        <is>
          <t>Importe 4</t>
        </is>
      </c>
      <c r="S1" s="384" t="inlineStr">
        <is>
          <t>Línea 5</t>
        </is>
      </c>
      <c r="T1" s="387" t="inlineStr">
        <is>
          <t>Importe 5</t>
        </is>
      </c>
      <c r="U1" s="384" t="inlineStr">
        <is>
          <t>Línea 6</t>
        </is>
      </c>
      <c r="V1" s="387" t="inlineStr">
        <is>
          <t>Importe 6</t>
        </is>
      </c>
      <c r="W1" s="384" t="inlineStr">
        <is>
          <t>Línea 7</t>
        </is>
      </c>
      <c r="X1" s="387" t="inlineStr">
        <is>
          <t>Importe 7</t>
        </is>
      </c>
      <c r="Y1" s="384" t="inlineStr">
        <is>
          <t>Línea 8</t>
        </is>
      </c>
      <c r="Z1" s="387" t="inlineStr">
        <is>
          <t>Importe 8</t>
        </is>
      </c>
      <c r="AA1" s="387" t="inlineStr">
        <is>
          <t>Gastos suplidos</t>
        </is>
      </c>
      <c r="AB1" s="686" t="inlineStr">
        <is>
          <t>nº cuenta</t>
        </is>
      </c>
      <c r="AC1" s="686" t="inlineStr">
        <is>
          <t>Estado</t>
        </is>
      </c>
      <c r="AD1" s="686" t="inlineStr">
        <is>
          <t>Total</t>
        </is>
      </c>
      <c r="AE1" s="686" t="inlineStr">
        <is>
          <t>AP Asesores</t>
        </is>
      </c>
      <c r="AF1" s="687" t="n"/>
      <c r="AG1" s="687" t="n"/>
      <c r="AH1" s="686" t="inlineStr">
        <is>
          <t>Total</t>
        </is>
      </c>
      <c r="AI1" s="686" t="inlineStr">
        <is>
          <t>% Contabilidad</t>
        </is>
      </c>
      <c r="AJ1" s="686" t="inlineStr">
        <is>
          <t>Pendiente</t>
        </is>
      </c>
      <c r="AK1" s="686" t="inlineStr">
        <is>
          <t>cliente</t>
        </is>
      </c>
    </row>
    <row r="2" ht="15" customFormat="1" customHeight="1" s="258">
      <c r="B2" s="299" t="n"/>
      <c r="L2" s="259" t="n"/>
      <c r="N2" s="259" t="n"/>
      <c r="P2" s="259" t="n"/>
      <c r="R2" s="259" t="n"/>
      <c r="T2" s="259" t="n"/>
      <c r="V2" s="259" t="n"/>
      <c r="X2" s="259" t="n"/>
      <c r="Z2" s="259" t="n"/>
      <c r="AA2" s="259" t="n"/>
      <c r="AB2" s="260" t="n"/>
      <c r="AD2" s="259" t="n"/>
      <c r="AE2" s="259" t="n"/>
      <c r="AF2" s="260" t="n"/>
      <c r="AG2" s="259" t="n"/>
      <c r="AH2" s="259" t="n"/>
      <c r="AI2" s="264" t="n"/>
      <c r="AJ2" s="259" t="n"/>
    </row>
    <row r="3" ht="15" customFormat="1" customHeight="1" s="1">
      <c r="B3" s="26" t="n"/>
      <c r="L3" s="5" t="n"/>
      <c r="N3" s="5" t="n"/>
      <c r="P3" s="5" t="n"/>
      <c r="R3" s="5" t="n"/>
      <c r="T3" s="5" t="n"/>
      <c r="V3" s="5" t="n"/>
      <c r="X3" s="5" t="n"/>
      <c r="Z3" s="5" t="n"/>
      <c r="AA3" s="5" t="n"/>
      <c r="AB3" s="6" t="n"/>
      <c r="AD3" s="5" t="n"/>
      <c r="AE3" s="5" t="n"/>
      <c r="AF3" s="6" t="n"/>
      <c r="AG3" s="5" t="n"/>
      <c r="AH3" s="5" t="n"/>
      <c r="AI3" s="261" t="n"/>
      <c r="AJ3" s="5" t="n"/>
    </row>
    <row r="4" ht="15" customFormat="1" customHeight="1" s="1">
      <c r="B4" s="26" t="n"/>
      <c r="L4" s="5" t="n"/>
      <c r="N4" s="5" t="n"/>
      <c r="P4" s="5" t="n"/>
      <c r="R4" s="5" t="n"/>
      <c r="T4" s="5" t="n"/>
      <c r="V4" s="5" t="n"/>
      <c r="X4" s="5" t="n"/>
      <c r="Z4" s="5" t="n"/>
      <c r="AA4" s="5" t="n"/>
      <c r="AB4" s="6" t="n"/>
      <c r="AD4" s="5" t="n"/>
      <c r="AE4" s="5" t="n"/>
      <c r="AF4" s="6" t="n"/>
      <c r="AG4" s="5" t="n"/>
      <c r="AH4" s="5" t="n"/>
      <c r="AI4" s="261" t="n"/>
      <c r="AJ4" s="5" t="n"/>
    </row>
    <row r="5" ht="15" customFormat="1" customHeight="1" s="1">
      <c r="B5" s="26" t="n"/>
      <c r="L5" s="5" t="n"/>
      <c r="N5" s="5" t="n"/>
      <c r="P5" s="5" t="n"/>
      <c r="R5" s="5" t="n"/>
      <c r="T5" s="5" t="n"/>
      <c r="V5" s="5" t="n"/>
      <c r="X5" s="5" t="n"/>
      <c r="Z5" s="5" t="n"/>
      <c r="AA5" s="5" t="n"/>
      <c r="AB5" s="6" t="n"/>
      <c r="AD5" s="5" t="n"/>
      <c r="AE5" s="5" t="n"/>
      <c r="AF5" s="6" t="n"/>
      <c r="AG5" s="5" t="n"/>
      <c r="AH5" s="5" t="n"/>
      <c r="AI5" s="261" t="n"/>
      <c r="AJ5" s="5" t="n"/>
    </row>
    <row r="6" ht="15" customFormat="1" customHeight="1" s="1">
      <c r="B6" s="26" t="n"/>
      <c r="L6" s="5" t="n"/>
      <c r="N6" s="5" t="n"/>
      <c r="P6" s="5" t="n"/>
      <c r="R6" s="5" t="n"/>
      <c r="T6" s="5" t="n"/>
      <c r="V6" s="5" t="n"/>
      <c r="X6" s="5" t="n"/>
      <c r="Z6" s="5" t="n"/>
      <c r="AA6" s="5" t="n"/>
      <c r="AB6" s="6" t="n"/>
      <c r="AD6" s="5" t="n"/>
      <c r="AE6" s="5" t="n"/>
      <c r="AF6" s="6" t="n"/>
      <c r="AG6" s="5" t="n"/>
      <c r="AH6" s="5" t="n"/>
      <c r="AI6" s="261" t="n"/>
      <c r="AJ6" s="5" t="n"/>
    </row>
    <row r="7" ht="15" customFormat="1" customHeight="1" s="1">
      <c r="B7" s="26" t="n"/>
      <c r="L7" s="5" t="n"/>
      <c r="N7" s="5" t="n"/>
      <c r="P7" s="5" t="n"/>
      <c r="R7" s="5" t="n"/>
      <c r="T7" s="5" t="n"/>
      <c r="V7" s="5" t="n"/>
      <c r="X7" s="5" t="n"/>
      <c r="Z7" s="5" t="n"/>
      <c r="AA7" s="5" t="n"/>
      <c r="AB7" s="6" t="n"/>
      <c r="AD7" s="5" t="n"/>
      <c r="AE7" s="5" t="n"/>
      <c r="AF7" s="6" t="n"/>
      <c r="AG7" s="5" t="n"/>
      <c r="AH7" s="5" t="n"/>
      <c r="AI7" s="261" t="n"/>
      <c r="AJ7" s="5" t="n"/>
    </row>
    <row r="8" ht="15" customFormat="1" customHeight="1" s="1">
      <c r="B8" s="26" t="n"/>
      <c r="L8" s="5" t="n"/>
      <c r="N8" s="5" t="n"/>
      <c r="P8" s="5" t="n"/>
      <c r="R8" s="5" t="n"/>
      <c r="T8" s="5" t="n"/>
      <c r="V8" s="5" t="n"/>
      <c r="X8" s="5" t="n"/>
      <c r="Z8" s="5" t="n"/>
      <c r="AA8" s="5" t="n"/>
      <c r="AB8" s="6" t="n"/>
      <c r="AD8" s="5" t="n"/>
      <c r="AE8" s="5" t="n"/>
      <c r="AF8" s="6" t="n"/>
      <c r="AG8" s="5" t="n"/>
      <c r="AH8" s="5" t="n"/>
      <c r="AI8" s="261" t="n"/>
      <c r="AJ8" s="5" t="n"/>
    </row>
    <row r="9" ht="15" customFormat="1" customHeight="1" s="1">
      <c r="B9" s="26" t="n"/>
      <c r="L9" s="5" t="n"/>
      <c r="N9" s="5" t="n"/>
      <c r="P9" s="5" t="n"/>
      <c r="R9" s="5" t="n"/>
      <c r="T9" s="5" t="n"/>
      <c r="V9" s="5" t="n"/>
      <c r="X9" s="5" t="n"/>
      <c r="Z9" s="5" t="n"/>
      <c r="AA9" s="5" t="n"/>
      <c r="AB9" s="6" t="n"/>
      <c r="AD9" s="5" t="n"/>
      <c r="AE9" s="5" t="n"/>
      <c r="AF9" s="6" t="n"/>
      <c r="AG9" s="5" t="n"/>
      <c r="AH9" s="5" t="n"/>
      <c r="AI9" s="261" t="n"/>
      <c r="AJ9" s="5" t="n"/>
    </row>
    <row r="10" ht="15" customFormat="1" customHeight="1" s="1">
      <c r="B10" s="26" t="n"/>
      <c r="L10" s="5" t="n"/>
      <c r="N10" s="5" t="n"/>
      <c r="P10" s="5" t="n"/>
      <c r="R10" s="5" t="n"/>
      <c r="T10" s="5" t="n"/>
      <c r="V10" s="5" t="n"/>
      <c r="X10" s="5" t="n"/>
      <c r="Z10" s="5" t="n"/>
      <c r="AA10" s="5" t="n"/>
      <c r="AB10" s="6" t="n"/>
      <c r="AD10" s="5" t="n"/>
      <c r="AE10" s="5" t="n"/>
      <c r="AF10" s="6" t="n"/>
      <c r="AG10" s="5" t="n"/>
      <c r="AH10" s="5" t="n"/>
      <c r="AI10" s="261" t="n"/>
      <c r="AJ10" s="5" t="n"/>
    </row>
    <row r="11" ht="15" customFormat="1" customHeight="1" s="1">
      <c r="B11" s="26" t="n"/>
      <c r="L11" s="5" t="n"/>
      <c r="N11" s="5" t="n"/>
      <c r="P11" s="5" t="n"/>
      <c r="R11" s="5" t="n"/>
      <c r="T11" s="5" t="n"/>
      <c r="V11" s="5" t="n"/>
      <c r="X11" s="5" t="n"/>
      <c r="Z11" s="5" t="n"/>
      <c r="AA11" s="5" t="n"/>
      <c r="AB11" s="6" t="n"/>
      <c r="AD11" s="5" t="n"/>
      <c r="AE11" s="5" t="n"/>
      <c r="AF11" s="6" t="n"/>
      <c r="AG11" s="5" t="n"/>
      <c r="AH11" s="5" t="n"/>
      <c r="AI11" s="261" t="n"/>
      <c r="AJ11" s="5" t="n"/>
    </row>
    <row r="12" ht="15" customFormat="1" customHeight="1" s="1">
      <c r="B12" s="26" t="n"/>
      <c r="L12" s="5" t="n"/>
      <c r="N12" s="5" t="n"/>
      <c r="P12" s="5" t="n"/>
      <c r="R12" s="5" t="n"/>
      <c r="T12" s="5" t="n"/>
      <c r="V12" s="5" t="n"/>
      <c r="X12" s="5" t="n"/>
      <c r="Z12" s="5" t="n"/>
      <c r="AA12" s="5" t="n"/>
      <c r="AB12" s="6" t="n"/>
      <c r="AD12" s="5" t="n"/>
      <c r="AE12" s="5" t="n"/>
      <c r="AF12" s="6" t="n"/>
      <c r="AG12" s="5" t="n"/>
      <c r="AH12" s="5" t="n"/>
      <c r="AI12" s="261" t="n"/>
      <c r="AJ12" s="5" t="n"/>
    </row>
    <row r="13" ht="15" customFormat="1" customHeight="1" s="1">
      <c r="B13" s="26" t="n"/>
      <c r="L13" s="5" t="n"/>
      <c r="N13" s="5" t="n"/>
      <c r="P13" s="5" t="n"/>
      <c r="R13" s="5" t="n"/>
      <c r="T13" s="5" t="n"/>
      <c r="V13" s="5" t="n"/>
      <c r="X13" s="5" t="n"/>
      <c r="Z13" s="5" t="n"/>
      <c r="AA13" s="5" t="n"/>
      <c r="AB13" s="6" t="n"/>
      <c r="AD13" s="5" t="n"/>
      <c r="AE13" s="5" t="n"/>
      <c r="AF13" s="6" t="n"/>
      <c r="AG13" s="5" t="n"/>
      <c r="AH13" s="5" t="n"/>
      <c r="AI13" s="261" t="n"/>
      <c r="AJ13" s="5" t="n"/>
    </row>
    <row r="14" ht="15" customFormat="1" customHeight="1" s="1">
      <c r="B14" s="26" t="n"/>
      <c r="L14" s="5" t="n"/>
      <c r="N14" s="5" t="n"/>
      <c r="P14" s="5" t="n"/>
      <c r="R14" s="5" t="n"/>
      <c r="T14" s="5" t="n"/>
      <c r="V14" s="5" t="n"/>
      <c r="X14" s="5" t="n"/>
      <c r="Z14" s="5" t="n"/>
      <c r="AA14" s="5" t="n"/>
      <c r="AB14" s="6" t="n"/>
      <c r="AD14" s="5" t="n"/>
      <c r="AE14" s="5" t="n"/>
      <c r="AF14" s="6" t="n"/>
      <c r="AG14" s="5" t="n"/>
      <c r="AH14" s="5" t="n"/>
      <c r="AI14" s="261" t="n"/>
      <c r="AJ14" s="5" t="n"/>
    </row>
    <row r="15" ht="15" customFormat="1" customHeight="1" s="1">
      <c r="B15" s="26" t="n"/>
      <c r="L15" s="5" t="n"/>
      <c r="N15" s="5" t="n"/>
      <c r="P15" s="5" t="n"/>
      <c r="R15" s="5" t="n"/>
      <c r="T15" s="5" t="n"/>
      <c r="V15" s="5" t="n"/>
      <c r="X15" s="5" t="n"/>
      <c r="Z15" s="5" t="n"/>
      <c r="AA15" s="5" t="n"/>
      <c r="AB15" s="6" t="n"/>
      <c r="AD15" s="5" t="n"/>
      <c r="AE15" s="5" t="n"/>
      <c r="AF15" s="6" t="n"/>
      <c r="AG15" s="5" t="n"/>
      <c r="AH15" s="5" t="n"/>
      <c r="AI15" s="261" t="n"/>
      <c r="AJ15" s="5" t="n"/>
    </row>
    <row r="16" ht="15" customFormat="1" customHeight="1" s="146">
      <c r="B16" s="149" t="n"/>
      <c r="L16" s="147" t="n"/>
      <c r="N16" s="147" t="n"/>
      <c r="P16" s="147" t="n"/>
      <c r="R16" s="147" t="n"/>
      <c r="T16" s="147" t="n"/>
      <c r="V16" s="147" t="n"/>
      <c r="X16" s="147" t="n"/>
      <c r="Z16" s="147" t="n"/>
      <c r="AA16" s="147" t="n"/>
      <c r="AB16" s="148" t="n"/>
      <c r="AD16" s="147" t="n"/>
      <c r="AE16" s="147" t="n"/>
      <c r="AF16" s="148" t="n"/>
      <c r="AG16" s="147" t="n"/>
      <c r="AH16" s="147" t="n"/>
      <c r="AI16" s="257" t="n"/>
      <c r="AJ16" s="147" t="n"/>
    </row>
    <row r="17" ht="15" customFormat="1" customHeight="1" s="189">
      <c r="B17" s="188" t="n"/>
      <c r="C17" s="189" t="inlineStr">
        <is>
          <t>c/ Las Cruzadas 3A, local D</t>
        </is>
      </c>
      <c r="D17" s="189" t="inlineStr">
        <is>
          <t>Sevilla 41004</t>
        </is>
      </c>
      <c r="E17" s="189" t="inlineStr">
        <is>
          <t>CIF B91938662</t>
        </is>
      </c>
      <c r="F17" s="189" t="inlineStr">
        <is>
          <t>aBalados@abalados.es</t>
        </is>
      </c>
      <c r="G17" s="189" t="inlineStr">
        <is>
          <t>Manuel Castro Crespo</t>
        </is>
      </c>
      <c r="H17" s="189">
        <f>VLOOKUP($G17,DATOS!$B:$E,2,FALSE)</f>
        <v/>
      </c>
      <c r="I17" s="189">
        <f>VLOOKUP($G17,DATOS!$B:$E,3,FALSE)</f>
        <v/>
      </c>
      <c r="J17" s="189">
        <f>VLOOKUP($G17,DATOS!$B:$E,4,FALSE)</f>
        <v/>
      </c>
      <c r="K17" s="189" t="inlineStr">
        <is>
          <t>Compraventa de Inmueble</t>
        </is>
      </c>
      <c r="L17" s="190" t="n">
        <v>135000</v>
      </c>
      <c r="M17" s="189" t="inlineStr">
        <is>
          <t>Nave industrial sita en c/Sabueso 23, 41007 Sevilla - Pol.Industrial Pagusa</t>
        </is>
      </c>
      <c r="N17" s="190" t="n"/>
      <c r="O17" s="189" t="inlineStr">
        <is>
          <t>Finca Registral 17.890</t>
        </is>
      </c>
      <c r="P17" s="190" t="n"/>
      <c r="Q17" s="189" t="inlineStr">
        <is>
          <t>Registro de la Propiedad nº11, tomo 3.380, libro 445, folio 174.</t>
        </is>
      </c>
      <c r="R17" s="190" t="n"/>
      <c r="T17" s="190" t="n"/>
      <c r="V17" s="190" t="n"/>
      <c r="X17" s="190" t="n"/>
      <c r="Y17" s="189" t="inlineStr">
        <is>
          <t>Operación con inversión de sujeto pasivo (art. 84.Uno.2º.f) de la Ley 37/1992 del IVA.</t>
        </is>
      </c>
      <c r="Z17" s="190" t="n"/>
      <c r="AA17" s="190" t="n"/>
      <c r="AB17" s="191" t="inlineStr">
        <is>
          <t>ES85 2080 3509 1130 4009 6171</t>
        </is>
      </c>
      <c r="AC17" s="189" t="inlineStr">
        <is>
          <t>pagado</t>
        </is>
      </c>
      <c r="AD17" s="190">
        <f>L17+N17+P17+R17+T17+V17+X17+Z17</f>
        <v/>
      </c>
      <c r="AE17" s="190">
        <f>IF((LEFT(K17,6))="Contab",L17,0)</f>
        <v/>
      </c>
      <c r="AF17" s="191">
        <f>VLOOKUP(G17,CLIENTES!B:E,4,FALSE)</f>
        <v/>
      </c>
      <c r="AG17" s="190">
        <f>AF17*AE17</f>
        <v/>
      </c>
      <c r="AH17" s="190">
        <f>AD17*1.21</f>
        <v/>
      </c>
      <c r="AI17" s="289">
        <f>IF(AE17&lt;&gt;0,AG17/AD17,"N/A")</f>
        <v/>
      </c>
      <c r="AJ17" s="190">
        <f>IF(AC17="pendiente",AD17,0)</f>
        <v/>
      </c>
      <c r="AK17" s="189">
        <f>VLOOKUP(G17,CLIENTES!B:D,3,FALSE)</f>
        <v/>
      </c>
    </row>
    <row r="18" ht="18" customFormat="1" customHeight="1" s="408">
      <c r="A18" s="427" t="n"/>
      <c r="B18" s="428" t="n"/>
      <c r="C18" s="429" t="n"/>
      <c r="D18" s="429" t="n"/>
      <c r="E18" s="429" t="n"/>
      <c r="F18" s="429" t="n"/>
      <c r="G18" s="429" t="n"/>
      <c r="H18" s="429" t="n"/>
      <c r="I18" s="429" t="n"/>
      <c r="J18" s="429" t="n"/>
      <c r="K18" s="427" t="n"/>
      <c r="L18" s="430" t="n"/>
      <c r="M18" s="427" t="n"/>
      <c r="N18" s="430" t="n"/>
      <c r="O18" s="427" t="n"/>
      <c r="P18" s="430" t="n"/>
      <c r="Q18" s="431" t="n"/>
      <c r="R18" s="430" t="n"/>
      <c r="S18" s="427" t="n"/>
      <c r="T18" s="430" t="n"/>
      <c r="U18" s="427" t="n"/>
      <c r="V18" s="430" t="n"/>
      <c r="W18" s="427" t="n"/>
      <c r="X18" s="430" t="n"/>
      <c r="Y18" s="427" t="n"/>
      <c r="Z18" s="430" t="n"/>
      <c r="AA18" s="430" t="n"/>
      <c r="AB18" s="429" t="n"/>
      <c r="AC18" s="429" t="n"/>
      <c r="AD18" s="429" t="n"/>
      <c r="AE18" s="429" t="n"/>
      <c r="AF18" s="429" t="n"/>
      <c r="AG18" s="429" t="n"/>
      <c r="AH18" s="429" t="n"/>
      <c r="AI18" s="429" t="n"/>
      <c r="AJ18" s="429" t="n"/>
      <c r="AK18" s="429" t="n"/>
    </row>
    <row r="19" ht="18" customFormat="1" customHeight="1" s="449">
      <c r="A19" s="444" t="n"/>
      <c r="B19" s="445" t="n"/>
      <c r="C19" s="446" t="n"/>
      <c r="D19" s="446" t="n"/>
      <c r="E19" s="446" t="n"/>
      <c r="F19" s="446" t="n"/>
      <c r="G19" s="446" t="n"/>
      <c r="H19" s="446" t="n"/>
      <c r="I19" s="446" t="n"/>
      <c r="J19" s="446" t="n"/>
      <c r="K19" s="444" t="n"/>
      <c r="L19" s="447" t="n"/>
      <c r="M19" s="444" t="n"/>
      <c r="N19" s="447" t="n"/>
      <c r="O19" s="444" t="n"/>
      <c r="P19" s="447" t="n"/>
      <c r="Q19" s="448" t="n"/>
      <c r="R19" s="447" t="n"/>
      <c r="S19" s="444" t="n"/>
      <c r="T19" s="447" t="n"/>
      <c r="U19" s="444" t="n"/>
      <c r="V19" s="447" t="n"/>
      <c r="W19" s="444" t="n"/>
      <c r="X19" s="447" t="n"/>
      <c r="Y19" s="444" t="n"/>
      <c r="Z19" s="447" t="n"/>
      <c r="AA19" s="447" t="n"/>
      <c r="AB19" s="446" t="n"/>
      <c r="AC19" s="446" t="n"/>
      <c r="AD19" s="446" t="n"/>
      <c r="AE19" s="446" t="n"/>
      <c r="AF19" s="446" t="n"/>
      <c r="AG19" s="446" t="n"/>
      <c r="AH19" s="446" t="n"/>
      <c r="AI19" s="446" t="n"/>
      <c r="AJ19" s="446" t="n"/>
      <c r="AK19" s="446" t="n"/>
    </row>
    <row r="20" ht="18" customFormat="1" customHeight="1" s="408">
      <c r="A20" s="427" t="n"/>
      <c r="B20" s="428" t="n"/>
      <c r="C20" s="429" t="n"/>
      <c r="D20" s="429" t="n"/>
      <c r="E20" s="429" t="n"/>
      <c r="F20" s="429" t="n"/>
      <c r="G20" s="429" t="n"/>
      <c r="H20" s="429" t="n"/>
      <c r="I20" s="429" t="n"/>
      <c r="J20" s="429" t="n"/>
      <c r="K20" s="427" t="n"/>
      <c r="L20" s="430" t="n"/>
      <c r="M20" s="427" t="n"/>
      <c r="N20" s="430" t="n"/>
      <c r="O20" s="427" t="n"/>
      <c r="P20" s="430" t="n"/>
      <c r="Q20" s="431" t="n"/>
      <c r="R20" s="430" t="n"/>
      <c r="S20" s="427" t="n"/>
      <c r="T20" s="430" t="n"/>
      <c r="U20" s="427" t="n"/>
      <c r="V20" s="430" t="n"/>
      <c r="W20" s="427" t="n"/>
      <c r="X20" s="430" t="n"/>
      <c r="Y20" s="427" t="n"/>
      <c r="Z20" s="430" t="n"/>
      <c r="AA20" s="430" t="n"/>
      <c r="AB20" s="429" t="n"/>
      <c r="AC20" s="429" t="n"/>
      <c r="AD20" s="429" t="n"/>
      <c r="AE20" s="429" t="n"/>
      <c r="AF20" s="429" t="n"/>
      <c r="AG20" s="429" t="n"/>
      <c r="AH20" s="429" t="n"/>
      <c r="AI20" s="429" t="n"/>
      <c r="AJ20" s="429" t="n"/>
      <c r="AK20" s="429" t="n"/>
    </row>
    <row r="21" ht="15" customFormat="1" customHeight="1" s="189">
      <c r="A21" s="188" t="n"/>
      <c r="B21" s="188" t="n"/>
      <c r="C21" s="189" t="inlineStr">
        <is>
          <t>C/ Las Cruzadas 3A, Local D</t>
        </is>
      </c>
      <c r="D21" s="189" t="inlineStr">
        <is>
          <t>Sevilla 41004</t>
        </is>
      </c>
      <c r="E21" s="189" t="inlineStr">
        <is>
          <t>ESB91938662</t>
        </is>
      </c>
      <c r="F21" s="433" t="inlineStr">
        <is>
          <t>Atn. Mr. Beer</t>
        </is>
      </c>
      <c r="G21" s="189" t="inlineStr">
        <is>
          <t>Kurt Beer</t>
        </is>
      </c>
      <c r="H21" s="189" t="inlineStr">
        <is>
          <t>NIE X1516030P</t>
        </is>
      </c>
      <c r="I21" s="189" t="inlineStr">
        <is>
          <t xml:space="preserve">Loma Los Lirios, 252 </t>
        </is>
      </c>
      <c r="J21" s="189" t="inlineStr">
        <is>
          <t>29680 Estepona, (Málaga)</t>
        </is>
      </c>
      <c r="K21" s="189" t="inlineStr">
        <is>
          <t xml:space="preserve">CONSTRUCCIÓN DE INSTALACIÓN SOLAR FOTOVOLTAICA </t>
        </is>
      </c>
      <c r="L21" s="190" t="n"/>
      <c r="M21" s="450" t="inlineStr">
        <is>
          <t>Sobre la cubierta del laboratorio</t>
        </is>
      </c>
      <c r="N21" s="190" t="n"/>
      <c r="O21" s="450" t="inlineStr">
        <is>
          <t>Según contrato EPC, celebrado el 22 de Mayo de 2020</t>
        </is>
      </c>
      <c r="P21" s="190" t="n"/>
      <c r="R21" s="190" t="n"/>
      <c r="T21" s="190" t="n"/>
      <c r="U21" s="189" t="inlineStr">
        <is>
          <t>(20%) Hito de pago 1: Conformidad y aceptación Endesa</t>
        </is>
      </c>
      <c r="V21" s="190" t="n">
        <v>9593</v>
      </c>
      <c r="X21" s="190" t="n"/>
      <c r="Y21" s="189" t="inlineStr">
        <is>
          <t>Operación con inversión del sujeto pasivo conforme al Art. 84 (Uno.2º) de la Ley 37/1992 de IVA</t>
        </is>
      </c>
      <c r="Z21" s="190" t="n"/>
      <c r="AA21" s="190" t="n"/>
      <c r="AB21" s="191" t="inlineStr">
        <is>
          <t>ES11 0081 7069 2700 0122 7724</t>
        </is>
      </c>
      <c r="AC21" s="192" t="inlineStr">
        <is>
          <t>pagado</t>
        </is>
      </c>
      <c r="AD21" s="190">
        <f>L21+N21+P21+R21+T21+V21+X21+Z21</f>
        <v/>
      </c>
      <c r="AE21" s="190">
        <f>IF((LEFT(M21,4))="Cont",L21,0)</f>
        <v/>
      </c>
      <c r="AF21" s="191">
        <f>VLOOKUP(G21,[4]Clientes!A:D,4,FALSE)</f>
        <v/>
      </c>
      <c r="AG21" s="190">
        <f>AF21*AE21</f>
        <v/>
      </c>
      <c r="AH21" s="190">
        <f>AD21</f>
        <v/>
      </c>
      <c r="AI21" s="193">
        <f>IF(AE21&lt;&gt;0,AG21/AD21,"N/A")</f>
        <v/>
      </c>
      <c r="AJ21" s="190">
        <f>IF(AC21="pendiente",AD21,0)</f>
        <v/>
      </c>
      <c r="AK21" s="189">
        <f>VLOOKUP(G21,[4]Clientes!A:C,3,FALSE)</f>
        <v/>
      </c>
    </row>
    <row r="22" ht="18" customFormat="1" customHeight="1" s="685">
      <c r="A22" s="19" t="n"/>
      <c r="B22" s="93" t="n"/>
      <c r="C22" s="684" t="n"/>
      <c r="D22" s="684" t="n"/>
      <c r="E22" s="684" t="n"/>
      <c r="F22" s="684" t="n"/>
      <c r="G22" s="684" t="n"/>
      <c r="H22" s="684" t="n"/>
      <c r="I22" s="684" t="n"/>
      <c r="J22" s="684" t="n"/>
      <c r="K22" s="19" t="n"/>
      <c r="L22" s="21" t="n"/>
      <c r="M22" s="19" t="n"/>
      <c r="N22" s="21" t="n"/>
      <c r="O22" s="19" t="n"/>
      <c r="P22" s="21" t="n"/>
      <c r="Q22" s="81" t="n"/>
      <c r="R22" s="21" t="n"/>
      <c r="S22" s="19" t="n"/>
      <c r="T22" s="21" t="n"/>
      <c r="U22" s="19" t="n"/>
      <c r="V22" s="21" t="n"/>
      <c r="W22" s="19" t="n"/>
      <c r="X22" s="21" t="n"/>
      <c r="Y22" s="19" t="n"/>
      <c r="Z22" s="21" t="n"/>
      <c r="AA22" s="21" t="n"/>
      <c r="AB22" s="684" t="n"/>
      <c r="AC22" s="684" t="n"/>
      <c r="AD22" s="684" t="n"/>
      <c r="AE22" s="684" t="n"/>
      <c r="AF22" s="684" t="n"/>
      <c r="AG22" s="684" t="n"/>
      <c r="AH22" s="684" t="n"/>
      <c r="AI22" s="684" t="n"/>
      <c r="AJ22" s="684" t="n"/>
      <c r="AK22" s="684" t="n"/>
    </row>
    <row r="24">
      <c r="N24" s="27" t="n"/>
    </row>
    <row r="25">
      <c r="F25" s="173" t="inlineStr">
        <is>
          <t>Serie - Inversión Sujeto Pasivo</t>
        </is>
      </c>
    </row>
  </sheetData>
  <autoFilter ref="A1:AK22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D21:AE21">
    <cfRule type="cellIs" priority="12" operator="equal" dxfId="1">
      <formula>"pendiente"</formula>
    </cfRule>
  </conditionalFormatting>
  <conditionalFormatting sqref="AC21">
    <cfRule type="containsText" priority="9" operator="containsText" dxfId="62" text="abonado">
      <formula>NOT(ISERROR(SEARCH("abonado",AC21)))</formula>
    </cfRule>
    <cfRule type="containsText" priority="10" operator="containsText" dxfId="61" text="pagado">
      <formula>NOT(ISERROR(SEARCH("pagado",AC21)))</formula>
    </cfRule>
    <cfRule type="containsText" priority="11" operator="containsText" dxfId="60" text="pendiente">
      <formula>NOT(ISERROR(SEARCH("pendiente",AC21)))</formula>
    </cfRule>
  </conditionalFormatting>
  <conditionalFormatting sqref="AC2:AE17 AG2:AG17">
    <cfRule type="containsText" priority="4" operator="containsText" dxfId="1" text="pendiente">
      <formula>NOT(ISERROR(SEARCH("pendiente",AC2)))</formula>
    </cfRule>
  </conditionalFormatting>
  <conditionalFormatting sqref="AC2:AC17">
    <cfRule type="cellIs" priority="3" operator="equal" dxfId="6">
      <formula>"abonado"</formula>
    </cfRule>
  </conditionalFormatting>
  <conditionalFormatting sqref="AC2:AE17">
    <cfRule type="cellIs" priority="1" operator="equal" dxfId="1">
      <formula>"pendiente"</formula>
    </cfRule>
    <cfRule type="containsText" priority="2" operator="containsText" dxfId="0" text="pagado">
      <formula>NOT(ISERROR(SEARCH("pagado",AC2)))</formula>
    </cfRule>
  </conditionalFormatting>
  <dataValidations count="4">
    <dataValidation sqref="AC21 AC23:AC1048576" showDropDown="0" showInputMessage="1" showErrorMessage="1" allowBlank="1" type="list">
      <formula1>"pagado,pendiente,abonado"</formula1>
    </dataValidation>
    <dataValidation sqref="AL2:AL17" showDropDown="0" showInputMessage="1" showErrorMessage="1" allowBlank="1" type="list">
      <formula1>"WOC_Asset,WOC_OM,OM_Otros,nudos,Ingeniería,Asset"</formula1>
    </dataValidation>
    <dataValidation sqref="AM2:AM17" showDropDown="0" showInputMessage="1" showErrorMessage="1" allowBlank="1" type="list">
      <formula1>"Refacturación,Promoción,Explotación,Extraordinario,Legal,Administración,Privativas,Dirección"</formula1>
    </dataValidation>
    <dataValidation sqref="AC2:AC17" showDropDown="0" showInputMessage="1" showErrorMessage="1" allowBlank="1" type="list">
      <formula1>"pendiente,pagado,abonado"</formula1>
    </dataValidation>
  </dataValidations>
  <hyperlinks>
    <hyperlink xmlns:r="http://schemas.openxmlformats.org/officeDocument/2006/relationships" ref="F17" r:id="rId1"/>
  </hyperlinks>
  <pageMargins left="0.7" right="0.7" top="0.75" bottom="0.75" header="0.3" footer="0.3"/>
  <pageSetup orientation="portrait" paperSize="9"/>
</worksheet>
</file>

<file path=xl/worksheets/sheet14.xml><?xml version="1.0" encoding="utf-8"?>
<worksheet xmlns="http://schemas.openxmlformats.org/spreadsheetml/2006/main">
  <sheetPr codeName="Hoja23">
    <outlinePr summaryBelow="1" summaryRight="1"/>
    <pageSetUpPr/>
  </sheetPr>
  <dimension ref="A1:AK2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4" sqref="A14"/>
    </sheetView>
  </sheetViews>
  <sheetFormatPr baseColWidth="10" defaultColWidth="11.3828125" defaultRowHeight="14.6"/>
  <cols>
    <col width="11.3828125" customWidth="1" style="700" min="1" max="1"/>
    <col width="15.3046875" bestFit="1" customWidth="1" style="700" min="2" max="2"/>
    <col width="28.84375" customWidth="1" style="700" min="3" max="3"/>
    <col width="11.84375" customWidth="1" style="700" min="4" max="4"/>
    <col width="13.53515625" customWidth="1" style="700" min="5" max="5"/>
    <col width="32.3828125" customWidth="1" style="700" min="6" max="6"/>
    <col width="39.69140625" bestFit="1" customWidth="1" style="700" min="7" max="7"/>
    <col width="23.3828125" bestFit="1" customWidth="1" style="700" min="8" max="8"/>
    <col width="28.3828125" customWidth="1" style="700" min="9" max="9"/>
    <col width="23.53515625" customWidth="1" style="700" min="10" max="10"/>
    <col width="51.84375" bestFit="1" customWidth="1" style="700" min="11" max="11"/>
    <col width="11.3046875" customWidth="1" style="700" min="12" max="12"/>
    <col width="37.53515625" customWidth="1" style="700" min="13" max="13"/>
    <col width="11.3828125" customWidth="1" style="700" min="18" max="26"/>
    <col width="28.3828125" bestFit="1" customWidth="1" style="700" min="28" max="28"/>
    <col width="11.69140625" bestFit="1" customWidth="1" style="700" min="30" max="30"/>
  </cols>
  <sheetData>
    <row r="1" ht="54" customFormat="1" customHeight="1" s="689">
      <c r="A1" s="178" t="inlineStr">
        <is>
          <t>nº Factura</t>
        </is>
      </c>
      <c r="B1" s="179" t="inlineStr">
        <is>
          <t>fecha</t>
        </is>
      </c>
      <c r="C1" s="688" t="inlineStr">
        <is>
          <t>Emisor</t>
        </is>
      </c>
      <c r="G1" s="688" t="inlineStr">
        <is>
          <t>Receptor</t>
        </is>
      </c>
      <c r="K1" s="178" t="inlineStr">
        <is>
          <t>Línea 1</t>
        </is>
      </c>
      <c r="L1" s="180" t="inlineStr">
        <is>
          <t>Importe 1</t>
        </is>
      </c>
      <c r="M1" s="178" t="inlineStr">
        <is>
          <t>Línea 2</t>
        </is>
      </c>
      <c r="N1" s="180" t="inlineStr">
        <is>
          <t>Importe 2</t>
        </is>
      </c>
      <c r="O1" s="178" t="inlineStr">
        <is>
          <t>Línea 3</t>
        </is>
      </c>
      <c r="P1" s="180" t="inlineStr">
        <is>
          <t>Importe 3</t>
        </is>
      </c>
      <c r="Q1" s="181" t="inlineStr">
        <is>
          <t>Línea 4</t>
        </is>
      </c>
      <c r="R1" s="180" t="inlineStr">
        <is>
          <t>Importe 4</t>
        </is>
      </c>
      <c r="S1" s="178" t="inlineStr">
        <is>
          <t>Línea 5</t>
        </is>
      </c>
      <c r="T1" s="180" t="inlineStr">
        <is>
          <t>Importe 5</t>
        </is>
      </c>
      <c r="U1" s="178" t="inlineStr">
        <is>
          <t>Línea 6</t>
        </is>
      </c>
      <c r="V1" s="180" t="inlineStr">
        <is>
          <t>Importe 6</t>
        </is>
      </c>
      <c r="W1" s="178" t="inlineStr">
        <is>
          <t>Línea 7</t>
        </is>
      </c>
      <c r="X1" s="180" t="inlineStr">
        <is>
          <t>Importe 7</t>
        </is>
      </c>
      <c r="Y1" s="178" t="inlineStr">
        <is>
          <t>Línea 8</t>
        </is>
      </c>
      <c r="Z1" s="180" t="inlineStr">
        <is>
          <t>Importe 8</t>
        </is>
      </c>
      <c r="AA1" s="180" t="inlineStr">
        <is>
          <t>Gastos suplidos</t>
        </is>
      </c>
      <c r="AB1" s="688" t="inlineStr">
        <is>
          <t>nº cuenta</t>
        </is>
      </c>
      <c r="AC1" s="688" t="inlineStr">
        <is>
          <t>Estado</t>
        </is>
      </c>
      <c r="AD1" s="688" t="inlineStr">
        <is>
          <t>Total</t>
        </is>
      </c>
      <c r="AE1" s="688" t="inlineStr">
        <is>
          <t>AP Asesores</t>
        </is>
      </c>
      <c r="AH1" s="688" t="inlineStr">
        <is>
          <t>Total</t>
        </is>
      </c>
      <c r="AI1" s="688" t="inlineStr">
        <is>
          <t>% Contabilidad</t>
        </is>
      </c>
      <c r="AJ1" s="688" t="inlineStr">
        <is>
          <t>Pendiente</t>
        </is>
      </c>
      <c r="AK1" s="688" t="inlineStr">
        <is>
          <t>cliente</t>
        </is>
      </c>
    </row>
    <row r="2" ht="15" customFormat="1" customHeight="1" s="217">
      <c r="A2" s="219" t="n"/>
      <c r="B2" s="219" t="n"/>
      <c r="F2" s="230" t="n"/>
      <c r="L2" s="220" t="n"/>
      <c r="M2" s="231" t="n"/>
      <c r="N2" s="220" t="n"/>
      <c r="O2" s="231" t="n"/>
      <c r="P2" s="220" t="n"/>
      <c r="R2" s="220" t="n"/>
      <c r="T2" s="220" t="n"/>
      <c r="V2" s="220" t="n"/>
      <c r="X2" s="220" t="n"/>
      <c r="Z2" s="220" t="n"/>
      <c r="AA2" s="220" t="n"/>
      <c r="AB2" s="221" t="n"/>
      <c r="AD2" s="220" t="n"/>
      <c r="AE2" s="220" t="n"/>
      <c r="AF2" s="221" t="n"/>
      <c r="AG2" s="220" t="n"/>
      <c r="AH2" s="220" t="n"/>
      <c r="AI2" s="222" t="n"/>
      <c r="AJ2" s="220" t="n"/>
    </row>
    <row r="3" ht="15" customFormat="1" customHeight="1" s="217">
      <c r="A3" s="219" t="n"/>
      <c r="B3" s="219" t="n"/>
      <c r="F3" s="230" t="n"/>
      <c r="L3" s="220" t="n"/>
      <c r="M3" s="231" t="n"/>
      <c r="N3" s="220" t="n"/>
      <c r="O3" s="231" t="n"/>
      <c r="P3" s="220" t="n"/>
      <c r="R3" s="220" t="n"/>
      <c r="T3" s="220" t="n"/>
      <c r="V3" s="220" t="n"/>
      <c r="X3" s="220" t="n"/>
      <c r="Z3" s="220" t="n"/>
      <c r="AA3" s="220" t="n"/>
      <c r="AB3" s="221" t="n"/>
      <c r="AD3" s="220" t="n"/>
      <c r="AE3" s="220" t="n"/>
      <c r="AF3" s="221" t="n"/>
      <c r="AG3" s="220" t="n"/>
      <c r="AH3" s="220" t="n"/>
      <c r="AI3" s="222" t="n"/>
      <c r="AJ3" s="220" t="n"/>
    </row>
    <row r="4" ht="15" customFormat="1" customHeight="1" s="217">
      <c r="A4" s="219" t="n"/>
      <c r="B4" s="219" t="n"/>
      <c r="F4" s="230" t="n"/>
      <c r="L4" s="220" t="n"/>
      <c r="M4" s="231" t="n"/>
      <c r="N4" s="220" t="n"/>
      <c r="O4" s="231" t="n"/>
      <c r="P4" s="220" t="n"/>
      <c r="R4" s="220" t="n"/>
      <c r="T4" s="220" t="n"/>
      <c r="V4" s="220" t="n"/>
      <c r="X4" s="220" t="n"/>
      <c r="Z4" s="220" t="n"/>
      <c r="AA4" s="220" t="n"/>
      <c r="AB4" s="221" t="n"/>
      <c r="AD4" s="220" t="n"/>
      <c r="AE4" s="220" t="n"/>
      <c r="AF4" s="221" t="n"/>
      <c r="AG4" s="220" t="n"/>
      <c r="AH4" s="220" t="n"/>
      <c r="AI4" s="222" t="n"/>
      <c r="AJ4" s="220" t="n"/>
    </row>
    <row r="5" ht="15" customFormat="1" customHeight="1" s="217">
      <c r="A5" s="219" t="n"/>
      <c r="B5" s="219" t="n"/>
      <c r="F5" s="230" t="n"/>
      <c r="L5" s="220" t="n"/>
      <c r="M5" s="231" t="n"/>
      <c r="N5" s="220" t="n"/>
      <c r="O5" s="231" t="n"/>
      <c r="P5" s="220" t="n"/>
      <c r="R5" s="220" t="n"/>
      <c r="T5" s="220" t="n"/>
      <c r="V5" s="220" t="n"/>
      <c r="X5" s="220" t="n"/>
      <c r="Z5" s="220" t="n"/>
      <c r="AA5" s="220" t="n"/>
      <c r="AB5" s="221" t="n"/>
      <c r="AD5" s="220" t="n"/>
      <c r="AE5" s="220" t="n"/>
      <c r="AF5" s="221" t="n"/>
      <c r="AG5" s="220" t="n"/>
      <c r="AH5" s="220" t="n"/>
      <c r="AI5" s="222" t="n"/>
      <c r="AJ5" s="220" t="n"/>
    </row>
    <row r="6" ht="15" customFormat="1" customHeight="1" s="217">
      <c r="A6" s="219" t="n"/>
      <c r="B6" s="219" t="n"/>
      <c r="F6" s="230" t="n"/>
      <c r="L6" s="220" t="n"/>
      <c r="M6" s="231" t="n"/>
      <c r="N6" s="220" t="n"/>
      <c r="O6" s="231" t="n"/>
      <c r="P6" s="220" t="n"/>
      <c r="R6" s="220" t="n"/>
      <c r="T6" s="220" t="n"/>
      <c r="V6" s="220" t="n"/>
      <c r="X6" s="220" t="n"/>
      <c r="Z6" s="220" t="n"/>
      <c r="AA6" s="220" t="n"/>
      <c r="AB6" s="221" t="n"/>
      <c r="AD6" s="220" t="n"/>
      <c r="AE6" s="220" t="n"/>
      <c r="AF6" s="221" t="n"/>
      <c r="AG6" s="220" t="n"/>
      <c r="AH6" s="220" t="n"/>
      <c r="AI6" s="222" t="n"/>
      <c r="AJ6" s="220" t="n"/>
    </row>
    <row r="7" ht="15" customFormat="1" customHeight="1" s="217">
      <c r="A7" s="219" t="n"/>
      <c r="B7" s="219" t="n"/>
      <c r="F7" s="230" t="n"/>
      <c r="L7" s="220" t="n"/>
      <c r="M7" s="231" t="n"/>
      <c r="N7" s="220" t="n"/>
      <c r="O7" s="231" t="n"/>
      <c r="P7" s="220" t="n"/>
      <c r="R7" s="220" t="n"/>
      <c r="T7" s="220" t="n"/>
      <c r="V7" s="220" t="n"/>
      <c r="X7" s="220" t="n"/>
      <c r="Z7" s="220" t="n"/>
      <c r="AA7" s="220" t="n"/>
      <c r="AB7" s="221" t="n"/>
      <c r="AD7" s="220" t="n"/>
      <c r="AE7" s="220" t="n"/>
      <c r="AF7" s="221" t="n"/>
      <c r="AG7" s="220" t="n"/>
      <c r="AH7" s="220" t="n"/>
      <c r="AI7" s="222" t="n"/>
      <c r="AJ7" s="220" t="n"/>
    </row>
    <row r="8" ht="15" customFormat="1" customHeight="1" s="217">
      <c r="A8" s="219" t="n"/>
      <c r="B8" s="219" t="n"/>
      <c r="F8" s="230" t="n"/>
      <c r="L8" s="220" t="n"/>
      <c r="M8" s="231" t="n"/>
      <c r="N8" s="220" t="n"/>
      <c r="O8" s="231" t="n"/>
      <c r="P8" s="220" t="n"/>
      <c r="R8" s="220" t="n"/>
      <c r="T8" s="220" t="n"/>
      <c r="V8" s="220" t="n"/>
      <c r="X8" s="220" t="n"/>
      <c r="Z8" s="220" t="n"/>
      <c r="AA8" s="220" t="n"/>
      <c r="AB8" s="221" t="n"/>
      <c r="AD8" s="220" t="n"/>
      <c r="AE8" s="220" t="n"/>
      <c r="AF8" s="221" t="n"/>
      <c r="AG8" s="220" t="n"/>
      <c r="AH8" s="220" t="n"/>
      <c r="AI8" s="222" t="n"/>
      <c r="AJ8" s="220" t="n"/>
    </row>
    <row r="9" ht="15" customFormat="1" customHeight="1" s="217">
      <c r="A9" s="219" t="n"/>
      <c r="B9" s="219" t="n"/>
      <c r="F9" s="230" t="n"/>
      <c r="L9" s="220" t="n"/>
      <c r="M9" s="231" t="n"/>
      <c r="N9" s="220" t="n"/>
      <c r="O9" s="231" t="n"/>
      <c r="P9" s="220" t="n"/>
      <c r="R9" s="220" t="n"/>
      <c r="T9" s="220" t="n"/>
      <c r="V9" s="220" t="n"/>
      <c r="X9" s="220" t="n"/>
      <c r="Z9" s="220" t="n"/>
      <c r="AA9" s="220" t="n"/>
      <c r="AB9" s="221" t="n"/>
      <c r="AD9" s="220" t="n"/>
      <c r="AE9" s="220" t="n"/>
      <c r="AF9" s="221" t="n"/>
      <c r="AG9" s="220" t="n"/>
      <c r="AH9" s="220" t="n"/>
      <c r="AI9" s="222" t="n"/>
      <c r="AJ9" s="220" t="n"/>
    </row>
    <row r="10" ht="15" customFormat="1" customHeight="1" s="217">
      <c r="A10" s="219" t="n"/>
      <c r="B10" s="219" t="n"/>
      <c r="F10" s="230" t="n"/>
      <c r="L10" s="220" t="n"/>
      <c r="M10" s="231" t="n"/>
      <c r="N10" s="220" t="n"/>
      <c r="O10" s="231" t="n"/>
      <c r="P10" s="220" t="n"/>
      <c r="R10" s="220" t="n"/>
      <c r="T10" s="220" t="n"/>
      <c r="V10" s="220" t="n"/>
      <c r="X10" s="220" t="n"/>
      <c r="Z10" s="220" t="n"/>
      <c r="AA10" s="220" t="n"/>
      <c r="AB10" s="221" t="n"/>
      <c r="AD10" s="220" t="n"/>
      <c r="AE10" s="220" t="n"/>
      <c r="AF10" s="221" t="n"/>
      <c r="AG10" s="220" t="n"/>
      <c r="AH10" s="220" t="n"/>
      <c r="AI10" s="222" t="n"/>
      <c r="AJ10" s="220" t="n"/>
    </row>
    <row r="11" ht="15" customFormat="1" customHeight="1" s="217">
      <c r="A11" s="219" t="n"/>
      <c r="B11" s="219" t="n"/>
      <c r="F11" s="230" t="n"/>
      <c r="L11" s="220" t="n"/>
      <c r="M11" s="231" t="n"/>
      <c r="N11" s="220" t="n"/>
      <c r="O11" s="231" t="n"/>
      <c r="P11" s="220" t="n"/>
      <c r="R11" s="220" t="n"/>
      <c r="T11" s="220" t="n"/>
      <c r="V11" s="220" t="n"/>
      <c r="X11" s="220" t="n"/>
      <c r="Z11" s="220" t="n"/>
      <c r="AA11" s="220" t="n"/>
      <c r="AB11" s="221" t="n"/>
      <c r="AD11" s="220" t="n"/>
      <c r="AE11" s="220" t="n"/>
      <c r="AF11" s="221" t="n"/>
      <c r="AG11" s="220" t="n"/>
      <c r="AH11" s="220" t="n"/>
      <c r="AI11" s="222" t="n"/>
      <c r="AJ11" s="220" t="n"/>
    </row>
    <row r="12" ht="15" customFormat="1" customHeight="1" s="217">
      <c r="A12" s="219" t="n"/>
      <c r="B12" s="219" t="n"/>
      <c r="F12" s="230" t="n"/>
      <c r="L12" s="220" t="n"/>
      <c r="M12" s="231" t="n"/>
      <c r="N12" s="220" t="n"/>
      <c r="O12" s="231" t="n"/>
      <c r="P12" s="220" t="n"/>
      <c r="R12" s="220" t="n"/>
      <c r="T12" s="220" t="n"/>
      <c r="V12" s="220" t="n"/>
      <c r="X12" s="220" t="n"/>
      <c r="Z12" s="220" t="n"/>
      <c r="AA12" s="220" t="n"/>
      <c r="AB12" s="221" t="n"/>
      <c r="AD12" s="220" t="n"/>
      <c r="AE12" s="220" t="n"/>
      <c r="AF12" s="221" t="n"/>
      <c r="AG12" s="220" t="n"/>
      <c r="AH12" s="220" t="n"/>
      <c r="AI12" s="222" t="n"/>
      <c r="AJ12" s="220" t="n"/>
    </row>
    <row r="13" ht="15" customFormat="1" customHeight="1" s="217">
      <c r="A13" s="219" t="n"/>
      <c r="B13" s="219" t="n"/>
      <c r="F13" s="230" t="n"/>
      <c r="L13" s="220" t="n"/>
      <c r="M13" s="231" t="n"/>
      <c r="N13" s="220" t="n"/>
      <c r="O13" s="231" t="n"/>
      <c r="P13" s="220" t="n"/>
      <c r="R13" s="220" t="n"/>
      <c r="T13" s="220" t="n"/>
      <c r="V13" s="220" t="n"/>
      <c r="X13" s="220" t="n"/>
      <c r="Z13" s="220" t="n"/>
      <c r="AA13" s="220" t="n"/>
      <c r="AB13" s="221" t="n"/>
      <c r="AD13" s="220" t="n"/>
      <c r="AE13" s="220" t="n"/>
      <c r="AF13" s="221" t="n"/>
      <c r="AG13" s="220" t="n"/>
      <c r="AH13" s="220" t="n"/>
      <c r="AI13" s="222" t="n"/>
      <c r="AJ13" s="220" t="n"/>
    </row>
    <row r="14" ht="15" customFormat="1" customHeight="1" s="224">
      <c r="A14" s="223" t="n"/>
      <c r="B14" s="223" t="n"/>
      <c r="C14" s="224" t="inlineStr">
        <is>
          <t>C/ Las Cruzadas 3A, Local D</t>
        </is>
      </c>
      <c r="D14" s="224" t="inlineStr">
        <is>
          <t>Sevilla 41004</t>
        </is>
      </c>
      <c r="E14" s="224" t="inlineStr">
        <is>
          <t>ESB91938662</t>
        </is>
      </c>
      <c r="F14" s="228" t="inlineStr">
        <is>
          <t>Atn. Mr. Beer</t>
        </is>
      </c>
      <c r="G14" s="224" t="inlineStr">
        <is>
          <t>Kurt Beer</t>
        </is>
      </c>
      <c r="H14" s="224" t="inlineStr">
        <is>
          <t>NIE X1516030P</t>
        </is>
      </c>
      <c r="I14" s="224" t="inlineStr">
        <is>
          <t xml:space="preserve">Loma Los Lirios, 252 </t>
        </is>
      </c>
      <c r="J14" s="224" t="inlineStr">
        <is>
          <t>29680 Estepona, (Málaga)</t>
        </is>
      </c>
      <c r="K14" s="224" t="inlineStr">
        <is>
          <t xml:space="preserve">INSTALACIÓN SOLAR FOTOVOLTAICA </t>
        </is>
      </c>
      <c r="L14" s="225" t="n"/>
      <c r="M14" s="229" t="inlineStr">
        <is>
          <t>Sobre la cubierta del laboratorio</t>
        </is>
      </c>
      <c r="N14" s="225" t="n"/>
      <c r="O14" s="229" t="inlineStr">
        <is>
          <t>Según contrato EPC, celebrado el 22 de Mayo de 2020</t>
        </is>
      </c>
      <c r="P14" s="225" t="n"/>
      <c r="R14" s="225" t="n"/>
      <c r="T14" s="225" t="n"/>
      <c r="U14" s="224" t="inlineStr">
        <is>
          <t>ABONO FACTURA ISP001 POR RETRASO EN COMIENZO PROYECTO</t>
        </is>
      </c>
      <c r="V14" s="225" t="n">
        <v>9593</v>
      </c>
      <c r="W14" s="224" t="inlineStr">
        <is>
          <t>(PARALIZADO POR EVACUACIÓN ENDESA)</t>
        </is>
      </c>
      <c r="X14" s="225" t="n"/>
      <c r="Y14" s="224" t="inlineStr">
        <is>
          <t>Operación con inversión del sujeto pasivo conforme al Art. 84 (Uno.2º) de la Ley 37/1992 de IVA</t>
        </is>
      </c>
      <c r="Z14" s="225" t="n"/>
      <c r="AA14" s="225" t="n"/>
      <c r="AB14" s="226" t="inlineStr">
        <is>
          <t>ES11 0081 7069 2700 0122 7724</t>
        </is>
      </c>
      <c r="AC14" s="218" t="inlineStr">
        <is>
          <t>pagado</t>
        </is>
      </c>
      <c r="AD14" s="225">
        <f>L14+N14+P14+R14+T14+V14+X14+Z14</f>
        <v/>
      </c>
      <c r="AE14" s="225">
        <f>IF((LEFT(M14,4))="Cont",L14,0)</f>
        <v/>
      </c>
      <c r="AF14" s="226">
        <f>VLOOKUP(G14,[4]Clientes!A:D,4,FALSE)</f>
        <v/>
      </c>
      <c r="AG14" s="225">
        <f>AF14*AE14</f>
        <v/>
      </c>
      <c r="AH14" s="225">
        <f>AD14</f>
        <v/>
      </c>
      <c r="AI14" s="227">
        <f>IF(AE14&lt;&gt;0,AG14/AD14,"N/A")</f>
        <v/>
      </c>
      <c r="AJ14" s="225">
        <f>IF(AC14="pendiente",AD14,0)</f>
        <v/>
      </c>
      <c r="AK14" s="224">
        <f>VLOOKUP(G14,[4]Clientes!A:C,3,FALSE)</f>
        <v/>
      </c>
    </row>
    <row r="15" ht="18" customFormat="1" customHeight="1" s="685">
      <c r="A15" s="19" t="n"/>
      <c r="B15" s="93" t="n"/>
      <c r="C15" s="684" t="n"/>
      <c r="D15" s="684" t="n"/>
      <c r="E15" s="684" t="n"/>
      <c r="F15" s="684" t="n"/>
      <c r="G15" s="684" t="n"/>
      <c r="H15" s="684" t="n"/>
      <c r="I15" s="684" t="n"/>
      <c r="J15" s="684" t="n"/>
      <c r="K15" s="19" t="n"/>
      <c r="L15" s="21" t="n"/>
      <c r="M15" s="19" t="n"/>
      <c r="N15" s="21" t="n"/>
      <c r="O15" s="19" t="n"/>
      <c r="P15" s="21" t="n"/>
      <c r="Q15" s="81" t="n"/>
      <c r="R15" s="21" t="n"/>
      <c r="S15" s="19" t="n"/>
      <c r="T15" s="21" t="n"/>
      <c r="U15" s="19" t="n"/>
      <c r="V15" s="21" t="n"/>
      <c r="W15" s="19" t="n"/>
      <c r="X15" s="21" t="n"/>
      <c r="Y15" s="19" t="n"/>
      <c r="Z15" s="21" t="n"/>
      <c r="AA15" s="21" t="n"/>
      <c r="AB15" s="684" t="n"/>
      <c r="AC15" s="684" t="n"/>
      <c r="AD15" s="684" t="n"/>
      <c r="AE15" s="684" t="n"/>
      <c r="AF15" s="684" t="n"/>
      <c r="AG15" s="684" t="n"/>
      <c r="AH15" s="684" t="n"/>
      <c r="AI15" s="684" t="n"/>
      <c r="AJ15" s="684" t="n"/>
      <c r="AK15" s="684" t="n"/>
    </row>
    <row r="16" ht="18" customFormat="1" customHeight="1" s="685">
      <c r="A16" s="19" t="n"/>
      <c r="B16" s="93" t="n"/>
      <c r="C16" s="684" t="n"/>
      <c r="D16" s="684" t="n"/>
      <c r="E16" s="684" t="n"/>
      <c r="F16" s="684" t="n"/>
      <c r="G16" s="684" t="n"/>
      <c r="H16" s="684" t="n"/>
      <c r="I16" s="684" t="n"/>
      <c r="J16" s="684" t="n"/>
      <c r="K16" s="19" t="n"/>
      <c r="L16" s="21" t="n"/>
      <c r="M16" s="19" t="n"/>
      <c r="N16" s="21" t="n"/>
      <c r="O16" s="19" t="n"/>
      <c r="P16" s="21" t="n"/>
      <c r="Q16" s="81" t="n"/>
      <c r="R16" s="21" t="n"/>
      <c r="S16" s="19" t="n"/>
      <c r="T16" s="21" t="n"/>
      <c r="U16" s="19" t="n"/>
      <c r="V16" s="21" t="n"/>
      <c r="W16" s="19" t="n"/>
      <c r="X16" s="21" t="n"/>
      <c r="Y16" s="19" t="n"/>
      <c r="Z16" s="21" t="n"/>
      <c r="AA16" s="21" t="n"/>
      <c r="AB16" s="684" t="n"/>
      <c r="AC16" s="684" t="n"/>
      <c r="AD16" s="684" t="n"/>
      <c r="AE16" s="684" t="n"/>
      <c r="AF16" s="684" t="n"/>
      <c r="AG16" s="684" t="n"/>
      <c r="AH16" s="684" t="n"/>
      <c r="AI16" s="684" t="n"/>
      <c r="AJ16" s="684" t="n"/>
      <c r="AK16" s="684" t="n"/>
    </row>
    <row r="19">
      <c r="F19" s="184" t="inlineStr">
        <is>
          <t>ABONOS</t>
        </is>
      </c>
      <c r="N19" s="27" t="n"/>
    </row>
    <row r="20">
      <c r="F20" s="184" t="inlineStr">
        <is>
          <t>Inversión Sujeto Pasivo</t>
        </is>
      </c>
    </row>
  </sheetData>
  <autoFilter ref="A1:AK16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D2:AE14">
    <cfRule type="cellIs" priority="4" operator="equal" dxfId="1">
      <formula>"pendiente"</formula>
    </cfRule>
  </conditionalFormatting>
  <conditionalFormatting sqref="AC2:AC14">
    <cfRule type="containsText" priority="1" operator="containsText" dxfId="62" text="abonado">
      <formula>NOT(ISERROR(SEARCH("abonado",AC2)))</formula>
    </cfRule>
    <cfRule type="containsText" priority="2" operator="containsText" dxfId="61" text="pagado">
      <formula>NOT(ISERROR(SEARCH("pagado",AC2)))</formula>
    </cfRule>
    <cfRule type="containsText" priority="3" operator="containsText" dxfId="60" text="pendiente">
      <formula>NOT(ISERROR(SEARCH("pendiente",AC2)))</formula>
    </cfRule>
  </conditionalFormatting>
  <dataValidations count="1">
    <dataValidation sqref="AC2:AC14 AC17:AC1048576" showDropDown="0" showInputMessage="1" showErrorMessage="1" allowBlank="1" type="list">
      <formula1>"pagado,pendiente,abonado"</formula1>
    </dataValidation>
  </dataValidations>
  <pageMargins left="0.7" right="0.7" top="0.75" bottom="0.75" header="0.3" footer="0.3"/>
  <pageSetup orientation="portrait" paperSize="9"/>
</worksheet>
</file>

<file path=xl/worksheets/sheet15.xml><?xml version="1.0" encoding="utf-8"?>
<worksheet xmlns="http://schemas.openxmlformats.org/spreadsheetml/2006/main">
  <sheetPr codeName="Hoja13">
    <tabColor rgb="FF92D050"/>
    <outlinePr summaryBelow="1" summaryRight="1"/>
    <pageSetUpPr fitToPage="1"/>
  </sheetPr>
  <dimension ref="A1:AK24"/>
  <sheetViews>
    <sheetView zoomScaleNormal="100" workbookViewId="0">
      <selection activeCell="A6" sqref="A6:XFD6"/>
    </sheetView>
  </sheetViews>
  <sheetFormatPr baseColWidth="10" defaultColWidth="11.3828125" defaultRowHeight="14.6"/>
  <cols>
    <col width="13.69140625" customWidth="1" style="700" min="1" max="1"/>
    <col width="11" bestFit="1" customWidth="1" style="700" min="2" max="2"/>
    <col width="28.84375" customWidth="1" style="700" min="3" max="3"/>
    <col width="12.3046875" customWidth="1" style="700" min="4" max="4"/>
    <col width="13.3046875" customWidth="1" style="700" min="5" max="5"/>
    <col width="5.53515625" customWidth="1" style="700" min="6" max="6"/>
    <col width="32.3046875" bestFit="1" customWidth="1" style="700" min="7" max="7"/>
    <col width="13.84375" customWidth="1" style="700" min="8" max="8"/>
    <col width="29.3046875" customWidth="1" style="700" min="9" max="9"/>
    <col width="22" customWidth="1" style="700" min="10" max="10"/>
    <col width="35" customWidth="1" style="700" min="11" max="11"/>
    <col width="11.3046875" customWidth="1" style="700" min="12" max="12"/>
    <col width="29.84375" customWidth="1" style="700" min="13" max="13"/>
    <col width="8.15234375" customWidth="1" style="700" min="14" max="14"/>
    <col width="35" customWidth="1" style="700" min="15" max="15"/>
    <col width="12.69140625" bestFit="1" customWidth="1" style="700" min="16" max="16"/>
    <col width="43.3046875" customWidth="1" style="700" min="17" max="17"/>
    <col width="9.53515625" customWidth="1" style="700" min="18" max="18"/>
    <col width="34.69140625" customWidth="1" style="700" min="19" max="19"/>
    <col width="9.53515625" customWidth="1" style="700" min="20" max="20"/>
    <col width="40.84375" customWidth="1" style="700" min="21" max="21"/>
    <col width="9.53515625" customWidth="1" style="700" min="22" max="22"/>
    <col width="34.69140625" customWidth="1" style="700" min="23" max="23"/>
    <col width="9.53515625" customWidth="1" style="700" min="24" max="24"/>
    <col width="7.15234375" customWidth="1" style="700" min="25" max="25"/>
    <col width="9.53515625" customWidth="1" style="700" min="26" max="26"/>
    <col width="10" customWidth="1" style="700" min="27" max="27"/>
    <col width="27.53515625" customWidth="1" style="700" min="28" max="28"/>
    <col width="10.3046875" bestFit="1" customWidth="1" style="700" min="29" max="30"/>
    <col width="6" customWidth="1" style="700" min="31" max="31"/>
    <col width="4.53515625" customWidth="1" style="700" min="32" max="32"/>
    <col width="6" customWidth="1" style="700" min="33" max="33"/>
    <col width="10.3046875" bestFit="1" customWidth="1" style="700" min="34" max="34"/>
    <col width="11.15234375" customWidth="1" style="700" min="35" max="35"/>
    <col width="10.3046875" customWidth="1" style="700" min="36" max="36"/>
    <col width="8.69140625" customWidth="1" style="700" min="37" max="37"/>
    <col width="11.3828125" customWidth="1" style="700" min="38" max="38"/>
  </cols>
  <sheetData>
    <row r="1" ht="45" customFormat="1" customHeight="1" s="691">
      <c r="A1" s="157" t="inlineStr">
        <is>
          <t>nº Factura</t>
        </is>
      </c>
      <c r="B1" s="158" t="inlineStr">
        <is>
          <t>Fecha</t>
        </is>
      </c>
      <c r="C1" s="690" t="inlineStr">
        <is>
          <t>Emisor</t>
        </is>
      </c>
      <c r="G1" s="690" t="inlineStr">
        <is>
          <t>Receptor</t>
        </is>
      </c>
      <c r="K1" s="157" t="inlineStr">
        <is>
          <t>Línea 1</t>
        </is>
      </c>
      <c r="L1" s="159" t="inlineStr">
        <is>
          <t>Importe 1</t>
        </is>
      </c>
      <c r="M1" s="157" t="inlineStr">
        <is>
          <t>Línea 2</t>
        </is>
      </c>
      <c r="N1" s="159" t="inlineStr">
        <is>
          <t>Importe 2</t>
        </is>
      </c>
      <c r="O1" s="157" t="inlineStr">
        <is>
          <t>Línea 3</t>
        </is>
      </c>
      <c r="P1" s="159" t="inlineStr">
        <is>
          <t>Importe 3</t>
        </is>
      </c>
      <c r="Q1" s="160" t="inlineStr">
        <is>
          <t>Línea 4</t>
        </is>
      </c>
      <c r="R1" s="159" t="inlineStr">
        <is>
          <t>Importe 4</t>
        </is>
      </c>
      <c r="S1" s="157" t="inlineStr">
        <is>
          <t>Línea 5</t>
        </is>
      </c>
      <c r="T1" s="159" t="inlineStr">
        <is>
          <t>Importe 5</t>
        </is>
      </c>
      <c r="U1" s="157" t="inlineStr">
        <is>
          <t>Línea 6</t>
        </is>
      </c>
      <c r="V1" s="159" t="inlineStr">
        <is>
          <t>Importe 6</t>
        </is>
      </c>
      <c r="W1" s="157" t="inlineStr">
        <is>
          <t>Línea 7</t>
        </is>
      </c>
      <c r="X1" s="159" t="inlineStr">
        <is>
          <t>Importe 7</t>
        </is>
      </c>
      <c r="Y1" s="157" t="inlineStr">
        <is>
          <t>Línea 8</t>
        </is>
      </c>
      <c r="Z1" s="159" t="inlineStr">
        <is>
          <t>Importe 8</t>
        </is>
      </c>
      <c r="AA1" s="159" t="inlineStr">
        <is>
          <t>Retención</t>
        </is>
      </c>
      <c r="AB1" s="690" t="inlineStr">
        <is>
          <t>nº cuenta</t>
        </is>
      </c>
      <c r="AC1" s="690" t="inlineStr">
        <is>
          <t>Estado</t>
        </is>
      </c>
      <c r="AD1" s="690" t="inlineStr">
        <is>
          <t>Total</t>
        </is>
      </c>
      <c r="AE1" s="690" t="inlineStr">
        <is>
          <t>AP Asesores</t>
        </is>
      </c>
      <c r="AH1" s="690" t="inlineStr">
        <is>
          <t>Total</t>
        </is>
      </c>
      <c r="AI1" s="690" t="inlineStr">
        <is>
          <t>% Contabilidad</t>
        </is>
      </c>
      <c r="AJ1" s="690" t="inlineStr">
        <is>
          <t>Pendiente</t>
        </is>
      </c>
      <c r="AK1" s="690" t="inlineStr">
        <is>
          <t>cliente</t>
        </is>
      </c>
    </row>
    <row r="2" ht="15" customFormat="1" customHeight="1" s="548">
      <c r="A2" s="538" t="inlineStr">
        <is>
          <t>Int25_001</t>
        </is>
      </c>
      <c r="B2" s="539" t="n">
        <v>45747</v>
      </c>
      <c r="C2" s="540" t="inlineStr">
        <is>
          <t>c/ Las Cruzadas 3A, local D</t>
        </is>
      </c>
      <c r="D2" s="540" t="inlineStr">
        <is>
          <t>Sevilla 41004</t>
        </is>
      </c>
      <c r="E2" s="540" t="inlineStr">
        <is>
          <t>CIF B91938662</t>
        </is>
      </c>
      <c r="F2" s="541" t="n"/>
      <c r="G2" s="540" t="inlineStr">
        <is>
          <t>aBalados S.L.U.</t>
        </is>
      </c>
      <c r="H2" s="540" t="inlineStr">
        <is>
          <t>CIF B91559971</t>
        </is>
      </c>
      <c r="I2" s="540" t="inlineStr">
        <is>
          <t>C/ Las Cruzadas 3 A Local D</t>
        </is>
      </c>
      <c r="J2" s="540" t="inlineStr">
        <is>
          <t>41004 Sevilla</t>
        </is>
      </c>
      <c r="K2" s="150" t="inlineStr">
        <is>
          <t>Liquidación intereses 1T2025</t>
        </is>
      </c>
      <c r="L2" s="154" t="n">
        <v>1019.84</v>
      </c>
      <c r="M2" s="150" t="inlineStr">
        <is>
          <t>Fecha constitución 31/10/2024</t>
        </is>
      </c>
      <c r="N2" s="154" t="n"/>
      <c r="O2" s="150" t="inlineStr">
        <is>
          <t>Total préstamo 129.000 EUR</t>
        </is>
      </c>
      <c r="P2" s="154" t="n"/>
      <c r="Q2" s="150" t="inlineStr">
        <is>
          <t>Tipo de Interés 3,20% según contrato</t>
        </is>
      </c>
      <c r="R2" s="150" t="n"/>
      <c r="S2" s="154" t="inlineStr">
        <is>
          <t>Amortización capital: 2.220,24</t>
        </is>
      </c>
      <c r="T2" s="154" t="n"/>
      <c r="U2" s="150" t="inlineStr">
        <is>
          <t>Exento de IVA según art. 20.Uno.18 Ley 37/1992</t>
        </is>
      </c>
      <c r="V2" s="154" t="n"/>
      <c r="W2" s="150" t="n"/>
      <c r="X2" s="542" t="n"/>
      <c r="Y2" s="543" t="n"/>
      <c r="Z2" s="542" t="n"/>
      <c r="AA2" s="542" t="n"/>
      <c r="AB2" s="540" t="inlineStr">
        <is>
          <t>ES85 2080 3509 1130 4009 6171</t>
        </is>
      </c>
      <c r="AC2" s="544" t="inlineStr">
        <is>
          <t>pagado</t>
        </is>
      </c>
      <c r="AD2" s="545">
        <f>SUM(K2:Z2)-AA2</f>
        <v/>
      </c>
      <c r="AE2" s="545">
        <f>IF((LEFT(M2,4))="Cont",L2,0)</f>
        <v/>
      </c>
      <c r="AF2" s="546" t="n">
        <v>0</v>
      </c>
      <c r="AG2" s="545">
        <f>AF2*AE2</f>
        <v/>
      </c>
      <c r="AH2" s="545">
        <f>AD2</f>
        <v/>
      </c>
      <c r="AI2" s="547">
        <f>IF(AE2&lt;&gt;0,AG2/AD2,"N/A")</f>
        <v/>
      </c>
      <c r="AJ2" s="545">
        <f>IF(AC2="pendiente",AD2,0)</f>
        <v/>
      </c>
      <c r="AK2" s="258">
        <f>VLOOKUP(G2,CLIENTES!B:D,3,FALSE)</f>
        <v/>
      </c>
    </row>
    <row r="3" ht="15" customFormat="1" customHeight="1" s="548">
      <c r="A3" s="538" t="inlineStr">
        <is>
          <t>Int25_002</t>
        </is>
      </c>
      <c r="B3" s="539" t="n">
        <v>45797</v>
      </c>
      <c r="C3" s="540" t="inlineStr">
        <is>
          <t>c/ Las Cruzadas 3A, local D</t>
        </is>
      </c>
      <c r="D3" s="540" t="inlineStr">
        <is>
          <t>Sevilla 41004</t>
        </is>
      </c>
      <c r="E3" s="540" t="inlineStr">
        <is>
          <t>CIF B91938662</t>
        </is>
      </c>
      <c r="F3" s="541" t="n"/>
      <c r="G3" s="540" t="inlineStr">
        <is>
          <t>Piquito Olé S.L.</t>
        </is>
      </c>
      <c r="H3" s="540" t="inlineStr">
        <is>
          <t>CIF B90482050</t>
        </is>
      </c>
      <c r="I3" s="540" t="inlineStr">
        <is>
          <t>c/ Virgen de Luján 3, 2A</t>
        </is>
      </c>
      <c r="J3" s="540" t="inlineStr">
        <is>
          <t>41011 Sevilla</t>
        </is>
      </c>
      <c r="K3" s="150" t="inlineStr">
        <is>
          <t>Liquidación intereses Amortización Anticipada</t>
        </is>
      </c>
      <c r="L3" s="154" t="n">
        <v>196.88</v>
      </c>
      <c r="M3" s="150" t="inlineStr">
        <is>
          <t>Fecha constitución 18/02/2020</t>
        </is>
      </c>
      <c r="N3" s="154" t="n"/>
      <c r="O3" s="150" t="inlineStr">
        <is>
          <t>Novación con fecha 03/01/2022</t>
        </is>
      </c>
      <c r="P3" s="154" t="n"/>
      <c r="Q3" s="150" t="inlineStr">
        <is>
          <t>Tipo de Interés 1.5% según contrato</t>
        </is>
      </c>
      <c r="R3" s="150" t="n"/>
      <c r="S3" s="154" t="inlineStr">
        <is>
          <t>Amortización capital: 25.000,00</t>
        </is>
      </c>
      <c r="T3" s="154" t="n"/>
      <c r="U3" s="150" t="inlineStr">
        <is>
          <t>Exento de IVA según art. 20.Uno.18 Ley 37/1992</t>
        </is>
      </c>
      <c r="V3" s="154" t="n"/>
      <c r="W3" s="150" t="n"/>
      <c r="X3" s="542" t="n"/>
      <c r="Y3" s="543" t="n"/>
      <c r="Z3" s="542" t="n"/>
      <c r="AA3" s="542" t="n"/>
      <c r="AB3" s="540" t="inlineStr">
        <is>
          <t>ES11 0081 7069 2700 0122 7724</t>
        </is>
      </c>
      <c r="AC3" s="544" t="inlineStr">
        <is>
          <t>pagado</t>
        </is>
      </c>
      <c r="AD3" s="545">
        <f>SUM(K3:Z3)-AA3</f>
        <v/>
      </c>
      <c r="AE3" s="545">
        <f>IF((LEFT(M3,4))="Cont",L3,0)</f>
        <v/>
      </c>
      <c r="AF3" s="546" t="n">
        <v>0</v>
      </c>
      <c r="AG3" s="545">
        <f>AF3*AE3</f>
        <v/>
      </c>
      <c r="AH3" s="545">
        <f>AD3</f>
        <v/>
      </c>
      <c r="AI3" s="547">
        <f>IF(AE3&lt;&gt;0,AG3/AD3,"N/A")</f>
        <v/>
      </c>
      <c r="AJ3" s="545">
        <f>IF(AC3="pendiente",AD3,0)</f>
        <v/>
      </c>
      <c r="AK3" s="258">
        <f>VLOOKUP(G3,CLIENTES!B:D,3,FALSE)</f>
        <v/>
      </c>
    </row>
    <row r="4" ht="15" customFormat="1" customHeight="1" s="548">
      <c r="A4" s="538" t="inlineStr">
        <is>
          <t>Int25_003</t>
        </is>
      </c>
      <c r="B4" s="539" t="n">
        <v>45833</v>
      </c>
      <c r="C4" s="540" t="inlineStr">
        <is>
          <t>c/ Las Cruzadas 3A, local D</t>
        </is>
      </c>
      <c r="D4" s="540" t="inlineStr">
        <is>
          <t>Sevilla 41004</t>
        </is>
      </c>
      <c r="E4" s="540" t="inlineStr">
        <is>
          <t>CIF B91938662</t>
        </is>
      </c>
      <c r="F4" s="541" t="n"/>
      <c r="G4" s="540" t="inlineStr">
        <is>
          <t>aBalados S.L.U.</t>
        </is>
      </c>
      <c r="H4" s="540" t="inlineStr">
        <is>
          <t>CIF B91559971</t>
        </is>
      </c>
      <c r="I4" s="540" t="inlineStr">
        <is>
          <t>C/ Las Cruzadas 3 A Local D</t>
        </is>
      </c>
      <c r="J4" s="540" t="inlineStr">
        <is>
          <t>41004 Sevilla</t>
        </is>
      </c>
      <c r="K4" s="150" t="inlineStr">
        <is>
          <t>Liquidación intereses 2T2025</t>
        </is>
      </c>
      <c r="L4" s="154" t="n">
        <v>1019.84</v>
      </c>
      <c r="M4" s="150" t="inlineStr">
        <is>
          <t>Fecha constitución 31/10/2024</t>
        </is>
      </c>
      <c r="N4" s="154" t="n"/>
      <c r="O4" s="150" t="inlineStr">
        <is>
          <t>Total préstamo 129.000 EUR</t>
        </is>
      </c>
      <c r="P4" s="154" t="n"/>
      <c r="Q4" s="150" t="inlineStr">
        <is>
          <t>Tipo de Interés 3,20% según contrato</t>
        </is>
      </c>
      <c r="R4" s="150" t="n"/>
      <c r="S4" s="154" t="inlineStr">
        <is>
          <t>Amortización capital: 2.220,24</t>
        </is>
      </c>
      <c r="T4" s="154" t="n"/>
      <c r="U4" s="150" t="inlineStr">
        <is>
          <t>Exento de IVA según art. 20.Uno.18 Ley 37/1992</t>
        </is>
      </c>
      <c r="V4" s="154" t="n"/>
      <c r="W4" s="150" t="n"/>
      <c r="X4" s="542" t="n"/>
      <c r="Y4" s="543" t="n"/>
      <c r="Z4" s="542" t="n"/>
      <c r="AA4" s="542" t="n"/>
      <c r="AB4" s="540" t="inlineStr">
        <is>
          <t>ES85 2080 3509 1130 4009 6171</t>
        </is>
      </c>
      <c r="AC4" s="544" t="inlineStr">
        <is>
          <t>pagado</t>
        </is>
      </c>
      <c r="AD4" s="545">
        <f>SUM(K4:Z4)-AA4</f>
        <v/>
      </c>
      <c r="AE4" s="545">
        <f>IF((LEFT(M4,4))="Cont",L4,0)</f>
        <v/>
      </c>
      <c r="AF4" s="546" t="n">
        <v>0</v>
      </c>
      <c r="AG4" s="545">
        <f>AF4*AE4</f>
        <v/>
      </c>
      <c r="AH4" s="545">
        <f>AD4</f>
        <v/>
      </c>
      <c r="AI4" s="547">
        <f>IF(AE4&lt;&gt;0,AG4/AD4,"N/A")</f>
        <v/>
      </c>
      <c r="AJ4" s="545">
        <f>IF(AC4="pendiente",AD4,0)</f>
        <v/>
      </c>
      <c r="AK4" s="258">
        <f>VLOOKUP(G4,CLIENTES!B:D,3,FALSE)</f>
        <v/>
      </c>
    </row>
    <row r="5">
      <c r="A5" s="580" t="inlineStr">
        <is>
          <t>Int25_004</t>
        </is>
      </c>
      <c r="B5" s="539" t="n">
        <v>45930</v>
      </c>
      <c r="C5" s="540" t="inlineStr">
        <is>
          <t>c/ Las Cruzadas 3A, local D</t>
        </is>
      </c>
      <c r="D5" s="540" t="inlineStr">
        <is>
          <t>Sevilla 41004</t>
        </is>
      </c>
      <c r="E5" s="540" t="inlineStr">
        <is>
          <t>CIF B91938662</t>
        </is>
      </c>
      <c r="F5" s="541" t="n"/>
      <c r="G5" s="540" t="inlineStr">
        <is>
          <t>aBalados S.L.U.</t>
        </is>
      </c>
      <c r="H5" s="540" t="inlineStr">
        <is>
          <t>CIF B91559971</t>
        </is>
      </c>
      <c r="I5" s="540" t="inlineStr">
        <is>
          <t>C/ Las Cruzadas 3 A Local D</t>
        </is>
      </c>
      <c r="J5" s="540" t="inlineStr">
        <is>
          <t>41004 Sevilla</t>
        </is>
      </c>
      <c r="K5" s="150" t="inlineStr">
        <is>
          <t>Liquidación intereses 3T2025</t>
        </is>
      </c>
      <c r="L5" s="154">
        <f>825.65-17.55</f>
        <v/>
      </c>
      <c r="M5" s="150" t="inlineStr">
        <is>
          <t>Fecha constitución 31/10/2024</t>
        </is>
      </c>
      <c r="N5" s="154" t="n"/>
      <c r="O5" s="150" t="inlineStr">
        <is>
          <t>Total préstamo 129.000 EUR</t>
        </is>
      </c>
      <c r="P5" s="154" t="n"/>
      <c r="Q5" s="150" t="inlineStr">
        <is>
          <t xml:space="preserve">Tipo de Interés 3,20% según contrato hasta 07/25 </t>
        </is>
      </c>
      <c r="R5" s="150" t="n"/>
      <c r="S5" s="154" t="inlineStr">
        <is>
          <t>Tipo de interés a partir de 08/25 2,45%</t>
        </is>
      </c>
      <c r="T5" s="154" t="n"/>
      <c r="U5" s="154" t="inlineStr">
        <is>
          <t>Amortización capital: 2.335,62</t>
        </is>
      </c>
      <c r="V5" s="154" t="n"/>
      <c r="W5" s="150" t="inlineStr">
        <is>
          <t>Exento de IVA según art. 20.Uno.18 Ley 37/1992</t>
        </is>
      </c>
      <c r="X5" s="542" t="n"/>
      <c r="Y5" s="543" t="n"/>
      <c r="Z5" s="542" t="n"/>
      <c r="AA5" s="542" t="n"/>
      <c r="AB5" s="540" t="inlineStr">
        <is>
          <t>ES85 2080 3509 1130 4009 6171</t>
        </is>
      </c>
      <c r="AC5" s="165" t="inlineStr">
        <is>
          <t>pendiente</t>
        </is>
      </c>
      <c r="AD5" s="545" t="n">
        <v>1002.29</v>
      </c>
      <c r="AE5" s="545" t="n">
        <v>0</v>
      </c>
      <c r="AF5" s="546" t="n">
        <v>0</v>
      </c>
      <c r="AG5" s="545" t="n">
        <v>0</v>
      </c>
      <c r="AH5" s="545" t="n">
        <v>1002.29</v>
      </c>
      <c r="AI5" s="547" t="inlineStr">
        <is>
          <t>N/A</t>
        </is>
      </c>
      <c r="AJ5" s="545" t="n">
        <v>0</v>
      </c>
      <c r="AK5" s="258" t="inlineStr">
        <is>
          <t>2008-049</t>
        </is>
      </c>
    </row>
    <row r="6" ht="15" customFormat="1" customHeight="1" s="548">
      <c r="A6" s="538" t="inlineStr">
        <is>
          <t>Int25_005</t>
        </is>
      </c>
      <c r="B6" s="539" t="n">
        <v>45939</v>
      </c>
      <c r="C6" s="540" t="inlineStr">
        <is>
          <t>c/ Las Cruzadas 3A, local D</t>
        </is>
      </c>
      <c r="D6" s="540" t="inlineStr">
        <is>
          <t>Sevilla 41004</t>
        </is>
      </c>
      <c r="E6" s="540" t="inlineStr">
        <is>
          <t>CIF B91938662</t>
        </is>
      </c>
      <c r="F6" s="541" t="n"/>
      <c r="G6" s="540" t="inlineStr">
        <is>
          <t>Piquito Olé S.L.</t>
        </is>
      </c>
      <c r="H6" s="540" t="inlineStr">
        <is>
          <t>CIF B90482050</t>
        </is>
      </c>
      <c r="I6" s="540" t="inlineStr">
        <is>
          <t>c/ Virgen de Luján 3, 2A</t>
        </is>
      </c>
      <c r="J6" s="540" t="inlineStr">
        <is>
          <t>41011 Sevilla</t>
        </is>
      </c>
      <c r="K6" s="150" t="inlineStr">
        <is>
          <t>Liquidación intereses Amortización Anticipada</t>
        </is>
      </c>
      <c r="L6" s="154" t="n">
        <v>182.94</v>
      </c>
      <c r="M6" s="150" t="inlineStr">
        <is>
          <t>Fecha constitución 18/02/2020</t>
        </is>
      </c>
      <c r="N6" s="154" t="n"/>
      <c r="O6" s="150" t="inlineStr">
        <is>
          <t>Novación con fecha 03/01/2022</t>
        </is>
      </c>
      <c r="P6" s="154" t="n"/>
      <c r="Q6" s="150" t="inlineStr">
        <is>
          <t>Tipo de Interés 1.5% según contrato</t>
        </is>
      </c>
      <c r="R6" s="150" t="n"/>
      <c r="S6" s="154" t="inlineStr">
        <is>
          <t>Amortización capital: 15.625,00</t>
        </is>
      </c>
      <c r="T6" s="154" t="n"/>
      <c r="U6" s="150" t="inlineStr">
        <is>
          <t>Exento de IVA según art. 20.Uno.18 Ley 37/1992</t>
        </is>
      </c>
      <c r="V6" s="154" t="n"/>
      <c r="W6" s="150" t="n"/>
      <c r="X6" s="542" t="n"/>
      <c r="Y6" s="543" t="n"/>
      <c r="Z6" s="542" t="n"/>
      <c r="AA6" s="542" t="n"/>
      <c r="AB6" s="540" t="inlineStr">
        <is>
          <t>ES11 0081 7069 2700 0122 7724</t>
        </is>
      </c>
      <c r="AC6" s="544" t="inlineStr">
        <is>
          <t>pagado</t>
        </is>
      </c>
      <c r="AD6" s="545">
        <f>SUM(K6:Z6)-AA6</f>
        <v/>
      </c>
      <c r="AE6" s="545">
        <f>IF((LEFT(M6,4))="Cont",L6,0)</f>
        <v/>
      </c>
      <c r="AF6" s="546" t="n">
        <v>0</v>
      </c>
      <c r="AG6" s="545">
        <f>AF6*AE6</f>
        <v/>
      </c>
      <c r="AH6" s="545">
        <f>AD6</f>
        <v/>
      </c>
      <c r="AI6" s="547">
        <f>IF(AE6&lt;&gt;0,AG6/AD6,"N/A")</f>
        <v/>
      </c>
      <c r="AJ6" s="545">
        <f>IF(AC6="pendiente",AD6,0)</f>
        <v/>
      </c>
      <c r="AK6" s="258">
        <f>VLOOKUP(G6,CLIENTES!B:D,3,FALSE)</f>
        <v/>
      </c>
    </row>
    <row r="7" customFormat="1" s="691">
      <c r="A7" s="157" t="n"/>
      <c r="B7" s="158" t="n"/>
      <c r="C7" s="690" t="n"/>
      <c r="D7" s="690" t="n"/>
      <c r="E7" s="690" t="n"/>
      <c r="F7" s="690" t="n"/>
      <c r="G7" s="690" t="n"/>
      <c r="H7" s="690" t="n"/>
      <c r="I7" s="690" t="n"/>
      <c r="J7" s="690" t="n"/>
      <c r="K7" s="157" t="n"/>
      <c r="L7" s="159" t="n"/>
      <c r="M7" s="157" t="n"/>
      <c r="N7" s="159" t="n"/>
      <c r="O7" s="157" t="n"/>
      <c r="P7" s="159" t="n"/>
      <c r="Q7" s="160" t="n"/>
      <c r="R7" s="159" t="n"/>
      <c r="S7" s="159" t="n"/>
      <c r="T7" s="159" t="n"/>
      <c r="U7" s="157" t="n"/>
      <c r="V7" s="159" t="n"/>
      <c r="W7" s="157" t="n"/>
      <c r="X7" s="159" t="n"/>
      <c r="Y7" s="157" t="n"/>
      <c r="Z7" s="159" t="n"/>
      <c r="AA7" s="159" t="n"/>
      <c r="AB7" s="690" t="n"/>
      <c r="AC7" s="690" t="n"/>
      <c r="AD7" s="690" t="n"/>
      <c r="AE7" s="690" t="n"/>
      <c r="AF7" s="690" t="n"/>
      <c r="AG7" s="690" t="n"/>
      <c r="AH7" s="690" t="n"/>
      <c r="AI7" s="690" t="n"/>
      <c r="AJ7" s="690" t="n"/>
      <c r="AK7" s="690" t="n"/>
    </row>
    <row r="8" customFormat="1" s="691">
      <c r="A8" s="157" t="n"/>
      <c r="B8" s="158" t="n"/>
      <c r="C8" s="690" t="n"/>
      <c r="D8" s="690" t="n"/>
      <c r="E8" s="690" t="n"/>
      <c r="F8" s="690" t="n"/>
      <c r="G8" s="690" t="n"/>
      <c r="H8" s="690" t="n"/>
      <c r="I8" s="690" t="n"/>
      <c r="J8" s="690" t="n"/>
      <c r="K8" s="157" t="n"/>
      <c r="L8" s="159" t="n"/>
      <c r="M8" s="157" t="n"/>
      <c r="N8" s="159" t="n"/>
      <c r="O8" s="157" t="n"/>
      <c r="P8" s="159" t="n"/>
      <c r="Q8" s="160" t="n"/>
      <c r="R8" s="159" t="n"/>
      <c r="S8" s="157" t="n"/>
      <c r="T8" s="159" t="n"/>
      <c r="U8" s="157" t="n"/>
      <c r="V8" s="159" t="n"/>
      <c r="W8" s="157" t="n"/>
      <c r="X8" s="159" t="n"/>
      <c r="Y8" s="157" t="n"/>
      <c r="Z8" s="159" t="n"/>
      <c r="AA8" s="159" t="n"/>
      <c r="AB8" s="690" t="n"/>
      <c r="AC8" s="690" t="n"/>
      <c r="AD8" s="690" t="n"/>
      <c r="AE8" s="690" t="n"/>
      <c r="AF8" s="690" t="n"/>
      <c r="AG8" s="690" t="n"/>
      <c r="AH8" s="690" t="n"/>
      <c r="AI8" s="690" t="n"/>
      <c r="AJ8" s="690" t="n"/>
      <c r="AK8" s="690" t="n"/>
    </row>
    <row r="9" customFormat="1" s="691">
      <c r="A9" s="157" t="n"/>
      <c r="B9" s="158" t="n"/>
      <c r="C9" s="690" t="n"/>
      <c r="D9" s="690" t="n"/>
      <c r="E9" s="690" t="n"/>
      <c r="F9" s="690" t="n"/>
      <c r="G9" s="690" t="n"/>
      <c r="H9" s="690" t="n"/>
      <c r="I9" s="690" t="n"/>
      <c r="J9" s="690" t="n"/>
      <c r="K9" s="157" t="n"/>
      <c r="L9" s="159" t="n"/>
      <c r="M9" s="157" t="n"/>
      <c r="N9" s="159" t="n"/>
      <c r="O9" s="157" t="n"/>
      <c r="P9" s="159" t="n"/>
      <c r="Q9" s="160" t="n"/>
      <c r="R9" s="159" t="n"/>
      <c r="S9" s="589" t="n"/>
      <c r="T9" s="159" t="n"/>
      <c r="U9" s="157" t="n"/>
      <c r="V9" s="159" t="n"/>
      <c r="W9" s="157" t="n"/>
      <c r="X9" s="159" t="n"/>
      <c r="Y9" s="157" t="n"/>
      <c r="Z9" s="159" t="n"/>
      <c r="AA9" s="159" t="n"/>
      <c r="AB9" s="690" t="n"/>
      <c r="AC9" s="690" t="n"/>
      <c r="AD9" s="690" t="n"/>
      <c r="AE9" s="690" t="n"/>
      <c r="AF9" s="690" t="n"/>
      <c r="AG9" s="690" t="n"/>
      <c r="AH9" s="690" t="n"/>
      <c r="AI9" s="690" t="n"/>
      <c r="AJ9" s="690" t="n"/>
      <c r="AK9" s="690" t="n"/>
    </row>
    <row r="10" customFormat="1" s="691">
      <c r="A10" s="157" t="n"/>
      <c r="B10" s="158" t="n"/>
      <c r="C10" s="690" t="n"/>
      <c r="D10" s="690" t="n"/>
      <c r="E10" s="690" t="n"/>
      <c r="F10" s="690" t="n"/>
      <c r="G10" s="690" t="n"/>
      <c r="H10" s="690" t="n"/>
      <c r="I10" s="690" t="n"/>
      <c r="J10" s="690" t="n"/>
      <c r="K10" s="157" t="n"/>
      <c r="L10" s="159" t="n"/>
      <c r="M10" s="157" t="n"/>
      <c r="N10" s="159" t="n"/>
      <c r="O10" s="157" t="n"/>
      <c r="P10" s="159" t="n"/>
      <c r="Q10" s="160" t="n"/>
      <c r="R10" s="159" t="n"/>
      <c r="S10" s="157" t="n"/>
      <c r="T10" s="159" t="n"/>
      <c r="U10" s="157" t="n"/>
      <c r="V10" s="159" t="n"/>
      <c r="W10" s="157" t="n"/>
      <c r="X10" s="159" t="n"/>
      <c r="Y10" s="157" t="n"/>
      <c r="Z10" s="159" t="n"/>
      <c r="AA10" s="159" t="n"/>
      <c r="AB10" s="690" t="n"/>
      <c r="AC10" s="690" t="n"/>
      <c r="AD10" s="690" t="n"/>
      <c r="AE10" s="690" t="n"/>
      <c r="AF10" s="690" t="n"/>
      <c r="AG10" s="690" t="n"/>
      <c r="AH10" s="690" t="n"/>
      <c r="AI10" s="690" t="n"/>
      <c r="AJ10" s="690" t="n"/>
      <c r="AK10" s="690" t="n"/>
    </row>
    <row r="11" customFormat="1" s="691">
      <c r="A11" s="157" t="n"/>
      <c r="B11" s="158" t="n"/>
      <c r="C11" s="690" t="n"/>
      <c r="D11" s="690" t="n"/>
      <c r="E11" s="690" t="n"/>
      <c r="F11" s="690" t="n"/>
      <c r="G11" s="690" t="n"/>
      <c r="H11" s="690" t="n"/>
      <c r="I11" s="690" t="n"/>
      <c r="J11" s="690" t="n"/>
      <c r="K11" s="157" t="n"/>
      <c r="L11" s="159" t="n"/>
      <c r="M11" s="157" t="n"/>
      <c r="N11" s="159" t="n"/>
      <c r="O11" s="157" t="n"/>
      <c r="P11" s="159" t="n"/>
      <c r="Q11" s="160" t="n"/>
      <c r="R11" s="159" t="n"/>
      <c r="S11" s="157" t="n"/>
      <c r="T11" s="159" t="n"/>
      <c r="U11" s="157" t="n"/>
      <c r="V11" s="159" t="n"/>
      <c r="W11" s="157" t="n"/>
      <c r="X11" s="159" t="n"/>
      <c r="Y11" s="157" t="n"/>
      <c r="Z11" s="159" t="n"/>
      <c r="AA11" s="159" t="n"/>
      <c r="AB11" s="690" t="n"/>
      <c r="AC11" s="690" t="n"/>
      <c r="AD11" s="690" t="n"/>
      <c r="AE11" s="690" t="n"/>
      <c r="AF11" s="690" t="n"/>
      <c r="AG11" s="690" t="n"/>
      <c r="AH11" s="690" t="n"/>
      <c r="AI11" s="690" t="n"/>
      <c r="AJ11" s="690" t="n"/>
      <c r="AK11" s="690" t="n"/>
    </row>
    <row r="12" customFormat="1" s="691">
      <c r="A12" s="157" t="n"/>
      <c r="B12" s="158" t="n"/>
      <c r="C12" s="690" t="n"/>
      <c r="D12" s="690" t="n"/>
      <c r="E12" s="690" t="n"/>
      <c r="F12" s="690" t="n"/>
      <c r="G12" s="690" t="n"/>
      <c r="H12" s="690" t="n"/>
      <c r="I12" s="690" t="n"/>
      <c r="J12" s="690" t="n"/>
      <c r="K12" s="157" t="n"/>
      <c r="L12" s="159" t="n"/>
      <c r="M12" s="157" t="n"/>
      <c r="N12" s="159" t="n"/>
      <c r="O12" s="157" t="n"/>
      <c r="P12" s="159" t="n"/>
      <c r="Q12" s="160" t="n"/>
      <c r="R12" s="159" t="n"/>
      <c r="S12" s="157" t="n"/>
      <c r="T12" s="159" t="n"/>
      <c r="U12" s="157" t="n"/>
      <c r="V12" s="159" t="n"/>
      <c r="W12" s="157" t="n"/>
      <c r="X12" s="159" t="n"/>
      <c r="Y12" s="157" t="n"/>
      <c r="Z12" s="159" t="n"/>
      <c r="AA12" s="159" t="n"/>
      <c r="AB12" s="690" t="n"/>
      <c r="AC12" s="690" t="n"/>
      <c r="AD12" s="690" t="n"/>
      <c r="AE12" s="690" t="n"/>
      <c r="AF12" s="690" t="n"/>
      <c r="AG12" s="690" t="n"/>
      <c r="AH12" s="690" t="n"/>
      <c r="AI12" s="690" t="n"/>
      <c r="AJ12" s="690" t="n"/>
      <c r="AK12" s="690" t="n"/>
    </row>
    <row r="13" customFormat="1" s="691">
      <c r="A13" s="157" t="n"/>
      <c r="B13" s="158" t="n"/>
      <c r="C13" s="690" t="n"/>
      <c r="D13" s="690" t="n"/>
      <c r="E13" s="690" t="n"/>
      <c r="F13" s="690" t="n"/>
      <c r="G13" s="690" t="n"/>
      <c r="H13" s="690" t="n"/>
      <c r="I13" s="690" t="n"/>
      <c r="J13" s="690" t="n"/>
      <c r="K13" s="157" t="n"/>
      <c r="L13" s="159" t="n"/>
      <c r="M13" s="157" t="n"/>
      <c r="N13" s="159" t="n"/>
      <c r="O13" s="157" t="n"/>
      <c r="P13" s="159" t="n"/>
      <c r="Q13" s="160" t="n"/>
      <c r="R13" s="159" t="n"/>
      <c r="S13" s="157" t="n"/>
      <c r="T13" s="159" t="n"/>
      <c r="U13" s="157" t="n"/>
      <c r="V13" s="159" t="n"/>
      <c r="W13" s="157" t="n"/>
      <c r="X13" s="159" t="n"/>
      <c r="Y13" s="157" t="n"/>
      <c r="Z13" s="159" t="n"/>
      <c r="AA13" s="159" t="n"/>
      <c r="AB13" s="690" t="n"/>
      <c r="AC13" s="690" t="n"/>
      <c r="AD13" s="690" t="n"/>
      <c r="AE13" s="690" t="n"/>
      <c r="AF13" s="690" t="n"/>
      <c r="AG13" s="690" t="n"/>
      <c r="AH13" s="690" t="n"/>
      <c r="AI13" s="690" t="n"/>
      <c r="AJ13" s="690" t="n"/>
      <c r="AK13" s="690" t="n"/>
    </row>
    <row r="14" customFormat="1" s="691">
      <c r="A14" s="157" t="n"/>
      <c r="B14" s="158" t="n"/>
      <c r="C14" s="690" t="n"/>
      <c r="D14" s="690" t="n"/>
      <c r="E14" s="690" t="n"/>
      <c r="F14" s="690" t="n"/>
      <c r="G14" s="690" t="n"/>
      <c r="H14" s="690" t="n"/>
      <c r="I14" s="690" t="n"/>
      <c r="J14" s="690" t="n"/>
      <c r="K14" s="157" t="n"/>
      <c r="L14" s="159" t="n"/>
      <c r="M14" s="157" t="n"/>
      <c r="N14" s="159" t="n"/>
      <c r="O14" s="157" t="n"/>
      <c r="P14" s="159" t="n"/>
      <c r="Q14" s="160" t="n"/>
      <c r="R14" s="159" t="n"/>
      <c r="S14" s="157" t="n"/>
      <c r="T14" s="159" t="n"/>
      <c r="U14" s="157" t="n"/>
      <c r="V14" s="159" t="n"/>
      <c r="W14" s="157" t="n"/>
      <c r="X14" s="159" t="n"/>
      <c r="Y14" s="157" t="n"/>
      <c r="Z14" s="159" t="n"/>
      <c r="AA14" s="159" t="n"/>
      <c r="AB14" s="690" t="n"/>
      <c r="AC14" s="690" t="n"/>
      <c r="AD14" s="690" t="n"/>
      <c r="AE14" s="690" t="n"/>
      <c r="AF14" s="690" t="n"/>
      <c r="AG14" s="690" t="n"/>
      <c r="AH14" s="690" t="n"/>
      <c r="AI14" s="690" t="n"/>
      <c r="AJ14" s="690" t="n"/>
      <c r="AK14" s="690" t="n"/>
    </row>
    <row r="15" ht="15" customFormat="1" customHeight="1" s="460">
      <c r="A15" s="451" t="n"/>
      <c r="B15" s="452" t="n"/>
      <c r="C15" s="453" t="inlineStr">
        <is>
          <t>c/ Las Cruzadas 3A, local D</t>
        </is>
      </c>
      <c r="D15" s="453" t="inlineStr">
        <is>
          <t>Sevilla 41004</t>
        </is>
      </c>
      <c r="E15" s="453" t="inlineStr">
        <is>
          <t>CIF B91938662</t>
        </is>
      </c>
      <c r="F15" s="454" t="n"/>
      <c r="G15" s="453" t="inlineStr">
        <is>
          <t>aBalados Recycling, S.L.</t>
        </is>
      </c>
      <c r="H15" s="453" t="inlineStr">
        <is>
          <t>CIF B16867533</t>
        </is>
      </c>
      <c r="I15" s="453" t="inlineStr">
        <is>
          <t>C/ Las Cruzadas 3 A Local D</t>
        </is>
      </c>
      <c r="J15" s="453" t="inlineStr">
        <is>
          <t>41004 Sevilla</t>
        </is>
      </c>
      <c r="K15" s="451" t="inlineStr">
        <is>
          <t xml:space="preserve">Liquidación intereses Amortización Total      </t>
        </is>
      </c>
      <c r="L15" s="455" t="n">
        <v>998.36</v>
      </c>
      <c r="M15" s="451" t="inlineStr">
        <is>
          <t>Fecha constitución 27/09/2023</t>
        </is>
      </c>
      <c r="N15" s="455" t="n"/>
      <c r="O15" s="451" t="inlineStr">
        <is>
          <t>Fecha amortización total 09/09/2024</t>
        </is>
      </c>
      <c r="P15" s="455" t="n"/>
      <c r="Q15" s="456" t="inlineStr">
        <is>
          <t>Tipo de Interés 3,50% según contrato</t>
        </is>
      </c>
      <c r="R15" s="455" t="n"/>
      <c r="S15" s="456" t="n"/>
      <c r="T15" s="455" t="n"/>
      <c r="U15" s="456" t="inlineStr">
        <is>
          <t>Exento de IVA según art. 20.Uno.18 Ley 37/1992</t>
        </is>
      </c>
      <c r="V15" s="455" t="n"/>
      <c r="W15" s="451" t="n"/>
      <c r="X15" s="455" t="n"/>
      <c r="Y15" s="456" t="inlineStr">
        <is>
          <t>Amortización préstamo EUR30.000</t>
        </is>
      </c>
      <c r="Z15" s="455" t="n"/>
      <c r="AA15" s="455" t="n"/>
      <c r="AB15" s="453" t="inlineStr">
        <is>
          <t>ES85 2080 3509 1130 4009 6171</t>
        </is>
      </c>
      <c r="AC15" s="436" t="inlineStr">
        <is>
          <t>pagado</t>
        </is>
      </c>
      <c r="AD15" s="457">
        <f>SUM(K15:Z15)-AA15</f>
        <v/>
      </c>
      <c r="AE15" s="457">
        <f>IF((LEFT(M15,4))="Cont",L15,0)</f>
        <v/>
      </c>
      <c r="AF15" s="458" t="n">
        <v>0</v>
      </c>
      <c r="AG15" s="457">
        <f>AF15*AE15</f>
        <v/>
      </c>
      <c r="AH15" s="457">
        <f>AD15</f>
        <v/>
      </c>
      <c r="AI15" s="459">
        <f>IF(AE15&lt;&gt;0,AG15/AD15,"N/A")</f>
        <v/>
      </c>
      <c r="AJ15" s="457">
        <f>IF(AC15="pendiente",AD15,0)</f>
        <v/>
      </c>
      <c r="AK15" s="195">
        <f>VLOOKUP(G15,CLIENTES!B:D,3,FALSE)</f>
        <v/>
      </c>
    </row>
    <row r="16" ht="15" customFormat="1" customHeight="1" s="460">
      <c r="A16" s="451" t="n"/>
      <c r="B16" s="452" t="n"/>
      <c r="C16" s="453" t="inlineStr">
        <is>
          <t>c/ Las Cruzadas 3A, local D</t>
        </is>
      </c>
      <c r="D16" s="453" t="inlineStr">
        <is>
          <t>Sevilla 41004</t>
        </is>
      </c>
      <c r="E16" s="453" t="inlineStr">
        <is>
          <t>CIF B91938662</t>
        </is>
      </c>
      <c r="F16" s="454" t="n"/>
      <c r="G16" s="453" t="inlineStr">
        <is>
          <t>aBalados Recycling, S.L.</t>
        </is>
      </c>
      <c r="H16" s="453" t="inlineStr">
        <is>
          <t>CIF B16867533</t>
        </is>
      </c>
      <c r="I16" s="453" t="inlineStr">
        <is>
          <t>C/ Las Cruzadas 3 A Local D</t>
        </is>
      </c>
      <c r="J16" s="453" t="inlineStr">
        <is>
          <t>41004 Sevilla</t>
        </is>
      </c>
      <c r="K16" s="451" t="inlineStr">
        <is>
          <t xml:space="preserve">Liquidación intereses Amortización Total      </t>
        </is>
      </c>
      <c r="L16" s="455" t="n">
        <v>268.72</v>
      </c>
      <c r="M16" s="451" t="inlineStr">
        <is>
          <t>Fecha constitución 02/01/2024</t>
        </is>
      </c>
      <c r="N16" s="455" t="n"/>
      <c r="O16" s="451" t="inlineStr">
        <is>
          <t>Fecha amortización total 09/10/2024</t>
        </is>
      </c>
      <c r="P16" s="455" t="n"/>
      <c r="Q16" s="456" t="inlineStr">
        <is>
          <t>Tipo de Interés 3,50% según contrato</t>
        </is>
      </c>
      <c r="R16" s="455" t="n"/>
      <c r="S16" s="456" t="n"/>
      <c r="T16" s="455" t="n"/>
      <c r="U16" s="456" t="inlineStr">
        <is>
          <t>Exento de IVA según art. 20.Uno.18 Ley 37/1992</t>
        </is>
      </c>
      <c r="V16" s="455" t="n"/>
      <c r="W16" s="451" t="n"/>
      <c r="X16" s="455" t="n"/>
      <c r="Y16" s="456" t="inlineStr">
        <is>
          <t>Amortización préstamo EUR10.000</t>
        </is>
      </c>
      <c r="Z16" s="455" t="n"/>
      <c r="AA16" s="455" t="n"/>
      <c r="AB16" s="453" t="inlineStr">
        <is>
          <t>ES85 2080 3509 1130 4009 6171</t>
        </is>
      </c>
      <c r="AC16" s="436" t="inlineStr">
        <is>
          <t>pagado</t>
        </is>
      </c>
      <c r="AD16" s="457">
        <f>SUM(K16:Z16)-AA16</f>
        <v/>
      </c>
      <c r="AE16" s="457">
        <f>IF((LEFT(M16,4))="Cont",L16,0)</f>
        <v/>
      </c>
      <c r="AF16" s="458" t="n">
        <v>0</v>
      </c>
      <c r="AG16" s="457">
        <f>AF16*AE16</f>
        <v/>
      </c>
      <c r="AH16" s="457">
        <f>AD16</f>
        <v/>
      </c>
      <c r="AI16" s="459">
        <f>IF(AE16&lt;&gt;0,AG16/AD16,"N/A")</f>
        <v/>
      </c>
      <c r="AJ16" s="457">
        <f>IF(AC16="pendiente",AD16,0)</f>
        <v/>
      </c>
      <c r="AK16" s="195">
        <f>VLOOKUP(G16,CLIENTES!B:D,3,FALSE)</f>
        <v/>
      </c>
    </row>
    <row r="17" ht="15" customFormat="1" customHeight="1" s="460">
      <c r="A17" s="451" t="n"/>
      <c r="B17" s="452" t="n"/>
      <c r="C17" s="453" t="inlineStr">
        <is>
          <t>c/ Las Cruzadas 3A, local D</t>
        </is>
      </c>
      <c r="D17" s="453" t="inlineStr">
        <is>
          <t>Sevilla 41004</t>
        </is>
      </c>
      <c r="E17" s="453" t="inlineStr">
        <is>
          <t>CIF B91938662</t>
        </is>
      </c>
      <c r="F17" s="454" t="n"/>
      <c r="G17" s="453" t="inlineStr">
        <is>
          <t>Piquito Olé S.L.</t>
        </is>
      </c>
      <c r="H17" s="453" t="inlineStr">
        <is>
          <t>CIF B90482050</t>
        </is>
      </c>
      <c r="I17" s="453" t="inlineStr">
        <is>
          <t>Calle Virgen de Luján 3, 2F</t>
        </is>
      </c>
      <c r="J17" s="453" t="inlineStr">
        <is>
          <t>41011 Sevilla</t>
        </is>
      </c>
      <c r="K17" s="451" t="inlineStr">
        <is>
          <t>Liquidación intereses año 2024</t>
        </is>
      </c>
      <c r="L17" s="455" t="n">
        <v>2190.09</v>
      </c>
      <c r="M17" s="451" t="inlineStr">
        <is>
          <t>Fecha constitución 18/02/2020</t>
        </is>
      </c>
      <c r="N17" s="455" t="n"/>
      <c r="O17" s="451" t="inlineStr">
        <is>
          <t>Novación con fecha 03/01/2022</t>
        </is>
      </c>
      <c r="P17" s="455" t="n"/>
      <c r="Q17" s="456" t="inlineStr">
        <is>
          <t>Tipo de Interés 1,50% según contrato</t>
        </is>
      </c>
      <c r="R17" s="455" t="n"/>
      <c r="S17" s="456" t="n"/>
      <c r="T17" s="455" t="n"/>
      <c r="U17" s="456" t="inlineStr">
        <is>
          <t>Exento de IVA según art. 20.Uno.18 Ley 37/1992</t>
        </is>
      </c>
      <c r="V17" s="455" t="n"/>
      <c r="W17" s="451" t="n"/>
      <c r="X17" s="455" t="n"/>
      <c r="Y17" s="456" t="inlineStr">
        <is>
          <t>Capital amortizado 2024: 15.993,64EUR</t>
        </is>
      </c>
      <c r="Z17" s="455" t="n"/>
      <c r="AA17" s="455" t="n"/>
      <c r="AB17" s="453" t="inlineStr">
        <is>
          <t>ES85 2080 3509 1130 4009 6171</t>
        </is>
      </c>
      <c r="AC17" s="436" t="inlineStr">
        <is>
          <t>pagado</t>
        </is>
      </c>
      <c r="AD17" s="457">
        <f>SUM(K17:Z17)-AA17</f>
        <v/>
      </c>
      <c r="AE17" s="457">
        <f>IF((LEFT(M17,4))="Cont",L17,0)</f>
        <v/>
      </c>
      <c r="AF17" s="458" t="n">
        <v>0</v>
      </c>
      <c r="AG17" s="457">
        <f>AF17*AE17</f>
        <v/>
      </c>
      <c r="AH17" s="457">
        <f>AD17</f>
        <v/>
      </c>
      <c r="AI17" s="459">
        <f>IF(AE17&lt;&gt;0,AG17/AD17,"N/A")</f>
        <v/>
      </c>
      <c r="AJ17" s="457">
        <f>IF(AC17="pendiente",AD17,0)</f>
        <v/>
      </c>
      <c r="AK17" s="195">
        <f>VLOOKUP(G17,CLIENTES!B:D,3,FALSE)</f>
        <v/>
      </c>
    </row>
    <row r="18" customFormat="1" s="395">
      <c r="A18" s="389" t="n"/>
      <c r="B18" s="390" t="n"/>
      <c r="C18" s="391" t="n"/>
      <c r="D18" s="391" t="n"/>
      <c r="E18" s="391" t="n"/>
      <c r="F18" s="392" t="n"/>
      <c r="G18" s="391" t="n"/>
      <c r="H18" s="391" t="n"/>
      <c r="I18" s="391" t="n"/>
      <c r="J18" s="391" t="n"/>
      <c r="K18" s="389" t="n"/>
      <c r="L18" s="393" t="n"/>
      <c r="M18" s="389" t="n"/>
      <c r="N18" s="393" t="n"/>
      <c r="O18" s="389" t="n"/>
      <c r="P18" s="393" t="n"/>
      <c r="Q18" s="394" t="n"/>
      <c r="R18" s="393" t="n"/>
      <c r="S18" s="394" t="n"/>
      <c r="T18" s="393" t="n"/>
      <c r="U18" s="394" t="n"/>
      <c r="V18" s="393" t="n"/>
      <c r="W18" s="389" t="n"/>
      <c r="X18" s="393" t="n"/>
      <c r="Y18" s="394" t="n"/>
      <c r="Z18" s="393" t="n"/>
      <c r="AA18" s="393" t="n"/>
      <c r="AB18" s="391" t="n"/>
      <c r="AC18" s="150" t="n"/>
      <c r="AD18" s="154" t="n"/>
      <c r="AE18" s="154" t="n"/>
      <c r="AF18" s="155" t="n"/>
      <c r="AG18" s="154" t="n"/>
      <c r="AH18" s="154" t="n"/>
      <c r="AI18" s="156" t="n"/>
      <c r="AJ18" s="154" t="n"/>
      <c r="AK18" s="1" t="n"/>
    </row>
    <row r="19" customFormat="1" s="691">
      <c r="A19" s="157" t="n"/>
      <c r="B19" s="158" t="n"/>
      <c r="C19" s="690" t="n"/>
      <c r="D19" s="690" t="n"/>
      <c r="E19" s="690" t="n"/>
      <c r="F19" s="690" t="n"/>
      <c r="G19" s="690" t="n"/>
      <c r="H19" s="690" t="n"/>
      <c r="I19" s="690" t="n"/>
      <c r="J19" s="690" t="n"/>
      <c r="K19" s="157" t="n"/>
      <c r="L19" s="159" t="n"/>
      <c r="M19" s="157" t="n"/>
      <c r="N19" s="159" t="n"/>
      <c r="O19" s="157" t="n"/>
      <c r="P19" s="159" t="n"/>
      <c r="Q19" s="160" t="n"/>
      <c r="R19" s="159" t="n"/>
      <c r="S19" s="157" t="n"/>
      <c r="T19" s="159" t="n"/>
      <c r="U19" s="157" t="n"/>
      <c r="V19" s="159" t="n"/>
      <c r="W19" s="157" t="n"/>
      <c r="X19" s="159" t="n"/>
      <c r="Y19" s="157" t="n"/>
      <c r="Z19" s="159" t="n"/>
      <c r="AA19" s="159" t="n"/>
      <c r="AB19" s="690" t="n"/>
      <c r="AC19" s="690" t="n"/>
      <c r="AD19" s="690" t="n"/>
      <c r="AE19" s="690" t="n"/>
      <c r="AF19" s="690" t="n"/>
      <c r="AG19" s="690" t="n"/>
      <c r="AH19" s="690" t="n"/>
      <c r="AI19" s="690" t="n"/>
      <c r="AJ19" s="690" t="n"/>
      <c r="AK19" s="690" t="n"/>
    </row>
    <row r="20" customFormat="1" s="151"/>
    <row r="21" ht="15" customFormat="1" customHeight="1" s="165">
      <c r="A21" s="369" t="n"/>
      <c r="B21" s="370" t="n"/>
      <c r="C21" s="165" t="inlineStr">
        <is>
          <t>c/ Las Cruzadas 3A, local D</t>
        </is>
      </c>
      <c r="D21" s="165" t="inlineStr">
        <is>
          <t>Sevilla 41004</t>
        </is>
      </c>
      <c r="E21" s="165" t="inlineStr">
        <is>
          <t>CIF B91938662</t>
        </is>
      </c>
      <c r="G21" s="165" t="inlineStr">
        <is>
          <t>Piquito Olé S.L.</t>
        </is>
      </c>
      <c r="H21" s="165" t="inlineStr">
        <is>
          <t>CIF B90482050</t>
        </is>
      </c>
      <c r="I21" s="165" t="inlineStr">
        <is>
          <t>c/ Virgen de Luján 3, 2A</t>
        </is>
      </c>
      <c r="J21" s="165" t="inlineStr">
        <is>
          <t>41011 Sevilla</t>
        </is>
      </c>
      <c r="K21" s="165" t="inlineStr">
        <is>
          <t>Liquidación intereses año 2024</t>
        </is>
      </c>
      <c r="L21" s="369" t="n"/>
      <c r="M21" s="165" t="inlineStr">
        <is>
          <t>Fecha constitución 18/02/2020</t>
        </is>
      </c>
      <c r="N21" s="371" t="n"/>
      <c r="O21" s="165" t="inlineStr">
        <is>
          <t>Novación con fecha 03/01/2022</t>
        </is>
      </c>
      <c r="P21" s="371" t="n"/>
      <c r="Q21" s="165" t="inlineStr">
        <is>
          <t>Tipo de Interés 1.5% según contrato</t>
        </is>
      </c>
      <c r="S21" s="371" t="n"/>
      <c r="T21" s="371" t="n"/>
      <c r="U21" s="165" t="inlineStr">
        <is>
          <t>Exento de IVA según art. 20.Uno.18 Ley 37/1992</t>
        </is>
      </c>
      <c r="V21" s="371" t="n"/>
      <c r="X21" s="371" t="n"/>
      <c r="Y21" s="372" t="inlineStr">
        <is>
          <t>Capital amortizado 2024: XX.XXX,XXEUR</t>
        </is>
      </c>
      <c r="Z21" s="371" t="n"/>
      <c r="AA21" s="371" t="n"/>
      <c r="AB21" s="373" t="inlineStr">
        <is>
          <t>ES11 0081 7069 2700 0122 7724</t>
        </is>
      </c>
      <c r="AC21" s="165" t="inlineStr">
        <is>
          <t>pendiente</t>
        </is>
      </c>
      <c r="AD21" s="371">
        <f>SUM(K21:Z21)-AA21</f>
        <v/>
      </c>
      <c r="AE21" s="371">
        <f>IF((LEFT(M21,4))="Cont",L21,0)</f>
        <v/>
      </c>
      <c r="AF21" s="373" t="n">
        <v>0</v>
      </c>
      <c r="AG21" s="371">
        <f>AF21*AE21</f>
        <v/>
      </c>
      <c r="AH21" s="371">
        <f>AD21</f>
        <v/>
      </c>
      <c r="AI21" s="374">
        <f>IF(AE21&lt;&gt;0,AG21/AD21,"N/A")</f>
        <v/>
      </c>
      <c r="AJ21" s="371">
        <f>IF(AC21="pendiente",AD21,0)</f>
        <v/>
      </c>
      <c r="AK21" s="165" t="inlineStr">
        <is>
          <t>Piquito Olé SL</t>
        </is>
      </c>
    </row>
    <row r="23">
      <c r="A23" s="152" t="inlineStr">
        <is>
          <t>FACTURAS INTERESES</t>
        </is>
      </c>
      <c r="B23" s="152" t="n"/>
    </row>
    <row r="24" ht="15" customFormat="1" customHeight="1" s="150">
      <c r="B24" s="153" t="n"/>
      <c r="G24" s="98" t="n"/>
      <c r="L24" s="154" t="n"/>
      <c r="N24" s="154" t="n"/>
      <c r="P24" s="154" t="n"/>
      <c r="R24" s="154" t="n"/>
      <c r="S24" s="154" t="n"/>
      <c r="T24" s="154" t="n"/>
      <c r="W24" s="154" t="n"/>
      <c r="X24" s="154" t="n"/>
      <c r="Z24" s="154" t="n"/>
      <c r="AA24" s="154" t="n"/>
      <c r="AB24" s="155" t="n"/>
      <c r="AD24" s="154" t="n"/>
      <c r="AE24" s="154" t="n"/>
      <c r="AF24" s="155" t="n"/>
      <c r="AG24" s="154" t="n"/>
      <c r="AH24" s="154" t="n"/>
      <c r="AI24" s="156" t="n"/>
      <c r="AJ24" s="154" t="n"/>
    </row>
  </sheetData>
  <autoFilter ref="A1:AK19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C21:AE21 AC24 AG21">
    <cfRule type="containsText" priority="315" operator="containsText" dxfId="1" text="pendiente">
      <formula>NOT(ISERROR(SEARCH("pendiente",AC21)))</formula>
    </cfRule>
  </conditionalFormatting>
  <conditionalFormatting sqref="AC21 AC24">
    <cfRule type="cellIs" priority="313" operator="equal" dxfId="1">
      <formula>"pendiente"</formula>
    </cfRule>
    <cfRule type="containsText" priority="314" operator="containsText" dxfId="0" text="pagado">
      <formula>NOT(ISERROR(SEARCH("pagado",AC21)))</formula>
    </cfRule>
    <cfRule type="cellIs" priority="312" operator="equal" dxfId="6">
      <formula>"abonado"</formula>
    </cfRule>
  </conditionalFormatting>
  <conditionalFormatting sqref="AD24:AE24 AG24">
    <cfRule type="containsText" priority="311" operator="containsText" dxfId="1" text="pendiente">
      <formula>NOT(ISERROR(SEARCH("pendiente",AD24)))</formula>
    </cfRule>
  </conditionalFormatting>
  <conditionalFormatting sqref="AD24:AE24">
    <cfRule type="cellIs" priority="309" operator="equal" dxfId="1">
      <formula>"pendiente"</formula>
    </cfRule>
    <cfRule type="containsText" priority="310" operator="containsText" dxfId="0" text="pagado">
      <formula>NOT(ISERROR(SEARCH("pagado",AD24)))</formula>
    </cfRule>
  </conditionalFormatting>
  <conditionalFormatting sqref="AD21:AE21">
    <cfRule type="cellIs" priority="44" operator="equal" dxfId="1">
      <formula>"pendiente"</formula>
    </cfRule>
    <cfRule type="containsText" priority="45" operator="containsText" dxfId="0" text="pagado">
      <formula>NOT(ISERROR(SEARCH("pagado",AD21)))</formula>
    </cfRule>
  </conditionalFormatting>
  <conditionalFormatting sqref="AC15:AC18">
    <cfRule type="containsText" priority="43" operator="containsText" dxfId="1" text="pendiente">
      <formula>NOT(ISERROR(SEARCH("pendiente",AC15)))</formula>
    </cfRule>
    <cfRule type="cellIs" priority="41" operator="equal" dxfId="1">
      <formula>"pendiente"</formula>
    </cfRule>
    <cfRule type="containsText" priority="42" operator="containsText" dxfId="0" text="pagado">
      <formula>NOT(ISERROR(SEARCH("pagado",AC15)))</formula>
    </cfRule>
    <cfRule type="cellIs" priority="40" operator="equal" dxfId="6">
      <formula>"abonado"</formula>
    </cfRule>
  </conditionalFormatting>
  <conditionalFormatting sqref="AD15:AE18 AG15:AG18">
    <cfRule type="containsText" priority="39" operator="containsText" dxfId="1" text="pendiente">
      <formula>NOT(ISERROR(SEARCH("pendiente",AD15)))</formula>
    </cfRule>
  </conditionalFormatting>
  <conditionalFormatting sqref="AD15:AE15">
    <cfRule type="cellIs" priority="37" operator="equal" dxfId="1">
      <formula>"pendiente"</formula>
    </cfRule>
    <cfRule type="containsText" priority="38" operator="containsText" dxfId="0" text="pagado">
      <formula>NOT(ISERROR(SEARCH("pagado",AD15)))</formula>
    </cfRule>
  </conditionalFormatting>
  <conditionalFormatting sqref="AD16:AE18">
    <cfRule type="cellIs" priority="35" operator="equal" dxfId="1">
      <formula>"pendiente"</formula>
    </cfRule>
    <cfRule type="containsText" priority="36" operator="containsText" dxfId="0" text="pagado">
      <formula>NOT(ISERROR(SEARCH("pagado",AD16)))</formula>
    </cfRule>
  </conditionalFormatting>
  <conditionalFormatting sqref="AC2:AC4">
    <cfRule type="containsText" priority="34" operator="containsText" dxfId="1" text="pendiente">
      <formula>NOT(ISERROR(SEARCH("pendiente",AC2)))</formula>
    </cfRule>
    <cfRule type="cellIs" priority="32" operator="equal" dxfId="1">
      <formula>"pendiente"</formula>
    </cfRule>
    <cfRule type="containsText" priority="33" operator="containsText" dxfId="0" text="pagado">
      <formula>NOT(ISERROR(SEARCH("pagado",AC2)))</formula>
    </cfRule>
    <cfRule type="cellIs" priority="31" operator="equal" dxfId="6">
      <formula>"abonado"</formula>
    </cfRule>
  </conditionalFormatting>
  <conditionalFormatting sqref="AD2:AE4 AG2:AG4">
    <cfRule type="containsText" priority="30" operator="containsText" dxfId="1" text="pendiente">
      <formula>NOT(ISERROR(SEARCH("pendiente",AD2)))</formula>
    </cfRule>
  </conditionalFormatting>
  <conditionalFormatting sqref="AD2:AE2">
    <cfRule type="cellIs" priority="28" operator="equal" dxfId="1">
      <formula>"pendiente"</formula>
    </cfRule>
    <cfRule type="containsText" priority="29" operator="containsText" dxfId="0" text="pagado">
      <formula>NOT(ISERROR(SEARCH("pagado",AD2)))</formula>
    </cfRule>
  </conditionalFormatting>
  <conditionalFormatting sqref="AD3:AE3">
    <cfRule type="cellIs" priority="18" operator="equal" dxfId="1">
      <formula>"pendiente"</formula>
    </cfRule>
    <cfRule type="containsText" priority="19" operator="containsText" dxfId="0" text="pagado">
      <formula>NOT(ISERROR(SEARCH("pagado",AD3)))</formula>
    </cfRule>
  </conditionalFormatting>
  <conditionalFormatting sqref="AD4:AE4">
    <cfRule type="cellIs" priority="16" operator="equal" dxfId="1">
      <formula>"pendiente"</formula>
    </cfRule>
    <cfRule type="containsText" priority="17" operator="containsText" dxfId="0" text="pagado">
      <formula>NOT(ISERROR(SEARCH("pagado",AD4)))</formula>
    </cfRule>
  </conditionalFormatting>
  <conditionalFormatting sqref="AC5">
    <cfRule type="containsText" priority="11" operator="containsText" dxfId="1" text="pendiente">
      <formula>NOT(ISERROR(SEARCH("pendiente",AC5)))</formula>
    </cfRule>
    <cfRule type="cellIs" priority="9" operator="equal" dxfId="1">
      <formula>"pendiente"</formula>
    </cfRule>
    <cfRule type="containsText" priority="10" operator="containsText" dxfId="0" text="pagado">
      <formula>NOT(ISERROR(SEARCH("pagado",AC5)))</formula>
    </cfRule>
    <cfRule type="cellIs" priority="8" operator="equal" dxfId="6">
      <formula>"abonado"</formula>
    </cfRule>
  </conditionalFormatting>
  <conditionalFormatting sqref="AC6">
    <cfRule type="containsText" priority="7" operator="containsText" dxfId="1" text="pendiente">
      <formula>NOT(ISERROR(SEARCH("pendiente",AC6)))</formula>
    </cfRule>
    <cfRule type="cellIs" priority="5" operator="equal" dxfId="1">
      <formula>"pendiente"</formula>
    </cfRule>
    <cfRule type="containsText" priority="6" operator="containsText" dxfId="0" text="pagado">
      <formula>NOT(ISERROR(SEARCH("pagado",AC6)))</formula>
    </cfRule>
    <cfRule type="cellIs" priority="4" operator="equal" dxfId="6">
      <formula>"abonado"</formula>
    </cfRule>
  </conditionalFormatting>
  <conditionalFormatting sqref="AD6:AE6 AG6">
    <cfRule type="containsText" priority="3" operator="containsText" dxfId="1" text="pendiente">
      <formula>NOT(ISERROR(SEARCH("pendiente",AD6)))</formula>
    </cfRule>
  </conditionalFormatting>
  <conditionalFormatting sqref="AD6:AE6">
    <cfRule type="cellIs" priority="1" operator="equal" dxfId="1">
      <formula>"pendiente"</formula>
    </cfRule>
    <cfRule type="containsText" priority="2" operator="containsText" dxfId="0" text="pagado">
      <formula>NOT(ISERROR(SEARCH("pagado",AD6)))</formula>
    </cfRule>
  </conditionalFormatting>
  <dataValidations count="1">
    <dataValidation sqref="AC2:AC6 AC15:AC18 AC21 AC24" showDropDown="0" showInputMessage="1" showErrorMessage="1" allowBlank="1" type="list">
      <formula1>"pagado,pendiente,abonado"</formula1>
    </dataValidation>
  </dataValidations>
  <pageMargins left="0.7086614173228347" right="0.7086614173228347" top="0.7480314960629921" bottom="0.7480314960629921" header="0.3149606299212598" footer="0.3149606299212598"/>
  <pageSetup orientation="landscape" scale="69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Hoja14">
    <outlinePr summaryBelow="1" summaryRight="1"/>
    <pageSetUpPr/>
  </sheetPr>
  <dimension ref="A1:AK30"/>
  <sheetViews>
    <sheetView workbookViewId="0">
      <selection activeCell="A7" sqref="A7"/>
    </sheetView>
  </sheetViews>
  <sheetFormatPr baseColWidth="10" defaultColWidth="11.3828125" defaultRowHeight="14.6"/>
  <cols>
    <col hidden="1" width="13" customWidth="1" style="700" min="3" max="6"/>
    <col width="50.3046875" customWidth="1" style="700" min="7" max="7"/>
    <col width="14.3828125" customWidth="1" style="700" min="8" max="8"/>
    <col width="37.3828125" bestFit="1" customWidth="1" style="700" min="9" max="9"/>
    <col width="30.53515625" bestFit="1" customWidth="1" style="700" min="10" max="10"/>
    <col width="30.69140625" customWidth="1" style="700" min="11" max="20"/>
    <col width="20.69140625" customWidth="1" style="700" min="21" max="25"/>
  </cols>
  <sheetData>
    <row r="1" ht="67.5" customFormat="1" customHeight="1" s="368">
      <c r="A1" s="384" t="inlineStr">
        <is>
          <t>nº Factura</t>
        </is>
      </c>
      <c r="B1" s="384" t="inlineStr">
        <is>
          <t>Fecha Factura</t>
        </is>
      </c>
      <c r="C1" s="686" t="inlineStr">
        <is>
          <t>Emisor</t>
        </is>
      </c>
      <c r="D1" s="687" t="n"/>
      <c r="E1" s="687" t="n"/>
      <c r="F1" s="687" t="n"/>
      <c r="G1" s="686" t="inlineStr">
        <is>
          <t>Receptor</t>
        </is>
      </c>
      <c r="H1" s="687" t="n"/>
      <c r="I1" s="687" t="n"/>
      <c r="J1" s="687" t="n"/>
      <c r="K1" s="384" t="inlineStr">
        <is>
          <t>Línea 1</t>
        </is>
      </c>
      <c r="L1" s="387" t="inlineStr">
        <is>
          <t>Importe 1</t>
        </is>
      </c>
      <c r="M1" s="384" t="inlineStr">
        <is>
          <t>Línea 2</t>
        </is>
      </c>
      <c r="N1" s="387" t="inlineStr">
        <is>
          <t>Importe 2</t>
        </is>
      </c>
      <c r="O1" s="384" t="inlineStr">
        <is>
          <t>Línea 3</t>
        </is>
      </c>
      <c r="P1" s="387" t="inlineStr">
        <is>
          <t>Importe 3</t>
        </is>
      </c>
      <c r="Q1" s="388" t="inlineStr">
        <is>
          <t>Línea 4</t>
        </is>
      </c>
      <c r="R1" s="387" t="inlineStr">
        <is>
          <t>Importe 4</t>
        </is>
      </c>
      <c r="S1" s="384" t="inlineStr">
        <is>
          <t>Línea 5</t>
        </is>
      </c>
      <c r="T1" s="387" t="inlineStr">
        <is>
          <t>Importe 5</t>
        </is>
      </c>
      <c r="U1" s="384" t="inlineStr">
        <is>
          <t>Línea 6</t>
        </is>
      </c>
      <c r="V1" s="387" t="inlineStr">
        <is>
          <t>Importe 6</t>
        </is>
      </c>
      <c r="W1" s="384" t="inlineStr">
        <is>
          <t>Línea 7</t>
        </is>
      </c>
      <c r="X1" s="387" t="inlineStr">
        <is>
          <t>Importe 7</t>
        </is>
      </c>
      <c r="Y1" s="384" t="inlineStr">
        <is>
          <t>Línea 8</t>
        </is>
      </c>
      <c r="Z1" s="387" t="inlineStr">
        <is>
          <t>Importe 8</t>
        </is>
      </c>
      <c r="AA1" s="387" t="inlineStr">
        <is>
          <t>Gastos suplidos</t>
        </is>
      </c>
      <c r="AB1" s="686" t="inlineStr">
        <is>
          <t>nº cuenta</t>
        </is>
      </c>
      <c r="AC1" s="686" t="inlineStr">
        <is>
          <t>Estado</t>
        </is>
      </c>
      <c r="AD1" s="686" t="inlineStr">
        <is>
          <t>Total</t>
        </is>
      </c>
      <c r="AE1" s="686" t="inlineStr">
        <is>
          <t>AP Asesores</t>
        </is>
      </c>
      <c r="AF1" s="687" t="n"/>
      <c r="AG1" s="687" t="n"/>
      <c r="AH1" s="686" t="inlineStr">
        <is>
          <t>Total (+IVA)</t>
        </is>
      </c>
      <c r="AI1" s="686" t="inlineStr">
        <is>
          <t>% Contabilidad</t>
        </is>
      </c>
      <c r="AJ1" s="686" t="inlineStr">
        <is>
          <t>Pendiente</t>
        </is>
      </c>
      <c r="AK1" s="686" t="inlineStr">
        <is>
          <t>cliente</t>
        </is>
      </c>
    </row>
    <row r="2" ht="15" customFormat="1" customHeight="1" s="475">
      <c r="A2" s="475" t="inlineStr">
        <is>
          <t>P250001</t>
        </is>
      </c>
      <c r="B2" s="476" t="n">
        <v>45685</v>
      </c>
      <c r="C2" s="475" t="inlineStr">
        <is>
          <t>c/ Las Cruzadas 3A, local D</t>
        </is>
      </c>
      <c r="D2" s="475" t="inlineStr">
        <is>
          <t>Sevilla 41004</t>
        </is>
      </c>
      <c r="E2" s="475" t="inlineStr">
        <is>
          <t>CIF B91938662</t>
        </is>
      </c>
      <c r="F2" s="475" t="inlineStr">
        <is>
          <t>aBalados@abalados.es</t>
        </is>
      </c>
      <c r="G2" s="480" t="inlineStr">
        <is>
          <t>China Triumph International Engineering Co., LTD EP EN SPAIN</t>
        </is>
      </c>
      <c r="H2" s="475">
        <f>VLOOKUP($G2,DATOS!$B:$E,2,FALSE)</f>
        <v/>
      </c>
      <c r="I2" s="475">
        <f>VLOOKUP($G2,DATOS!$B:$E,3,FALSE)</f>
        <v/>
      </c>
      <c r="J2" s="475">
        <f>VLOOKUP($G2,DATOS!$B:$E,4,FALSE)</f>
        <v/>
      </c>
      <c r="K2" s="475" t="inlineStr">
        <is>
          <t>SIEMENS Arbitration - Witness</t>
        </is>
      </c>
      <c r="L2" s="477" t="n"/>
      <c r="M2" s="475" t="inlineStr">
        <is>
          <t>Puerto Real 1 PV - Cádiz | Spain</t>
        </is>
      </c>
      <c r="N2" s="477" t="n"/>
      <c r="P2" s="477" t="n"/>
      <c r="Q2" s="475" t="inlineStr">
        <is>
          <t>Service assisstance (minimum service - 20h)</t>
        </is>
      </c>
      <c r="R2" s="477">
        <f>350*20</f>
        <v/>
      </c>
      <c r="S2" s="475" t="inlineStr">
        <is>
          <t>Travel rate (6h 15min)</t>
        </is>
      </c>
      <c r="T2" s="477">
        <f>6.25*200</f>
        <v/>
      </c>
      <c r="U2" s="475" t="inlineStr">
        <is>
          <t>Pocket expenses</t>
        </is>
      </c>
      <c r="V2" s="477">
        <f>8.43+70.95+29.55</f>
        <v/>
      </c>
      <c r="X2" s="477" t="n"/>
      <c r="Z2" s="477" t="n"/>
      <c r="AA2" s="477" t="n"/>
      <c r="AB2" s="481" t="inlineStr">
        <is>
          <t>ES85 2080 3509 1130 4009 6171</t>
        </is>
      </c>
      <c r="AC2" s="475" t="inlineStr">
        <is>
          <t>pendiente</t>
        </is>
      </c>
      <c r="AD2" s="477">
        <f>L2+N2+P2+R2+T2+V2+X2+Z2</f>
        <v/>
      </c>
      <c r="AE2" s="477">
        <f>IF((LEFT(K2,6))="Contab",L2,0)</f>
        <v/>
      </c>
      <c r="AF2" s="478">
        <f>VLOOKUP(G2,CLIENTES!B:E,4,FALSE)</f>
        <v/>
      </c>
      <c r="AG2" s="477">
        <f>AF2*AE2</f>
        <v/>
      </c>
      <c r="AH2" s="477">
        <f>AD2*1.21</f>
        <v/>
      </c>
      <c r="AI2" s="479">
        <f>IF(AE2&lt;&gt;0,AG2/AD2,"N/A")</f>
        <v/>
      </c>
      <c r="AJ2" s="477">
        <f>IF(AC2="pendiente",AD2,0)</f>
        <v/>
      </c>
      <c r="AK2" s="475">
        <f>VLOOKUP(G2,CLIENTES!B:D,3,FALSE)</f>
        <v/>
      </c>
    </row>
    <row r="3" ht="15" customFormat="1" customHeight="1" s="475">
      <c r="A3" s="475" t="inlineStr">
        <is>
          <t>P250002</t>
        </is>
      </c>
      <c r="B3" s="476" t="n">
        <v>45743</v>
      </c>
      <c r="C3" s="475" t="inlineStr">
        <is>
          <t>c/ Las Cruzadas 3A, local D</t>
        </is>
      </c>
      <c r="D3" s="475" t="inlineStr">
        <is>
          <t>Sevilla 41004</t>
        </is>
      </c>
      <c r="E3" s="475" t="inlineStr">
        <is>
          <t>CIF B91938662</t>
        </is>
      </c>
      <c r="F3" s="475" t="inlineStr">
        <is>
          <t>aBalados@abalados.es</t>
        </is>
      </c>
      <c r="G3" s="480" t="inlineStr">
        <is>
          <t>Sun Tol I, S.L.U.</t>
        </is>
      </c>
      <c r="H3" s="475">
        <f>VLOOKUP($G3,DATOS!$B:$E,2,FALSE)</f>
        <v/>
      </c>
      <c r="I3" s="475">
        <f>VLOOKUP($G3,DATOS!$B:$E,3,FALSE)</f>
        <v/>
      </c>
      <c r="J3" s="475">
        <f>VLOOKUP($G3,DATOS!$B:$E,4,FALSE)</f>
        <v/>
      </c>
      <c r="K3" s="475" t="inlineStr">
        <is>
          <t>Extraordinary Assistance for PSFV Castillejo I</t>
        </is>
      </c>
      <c r="L3" s="477" t="n"/>
      <c r="M3" s="475" t="inlineStr">
        <is>
          <t>PV Solar Plant Development Service Agreement</t>
        </is>
      </c>
      <c r="N3" s="477" t="n"/>
      <c r="O3" s="475" t="inlineStr">
        <is>
          <t>II addendum to PV solar plant development services agreement</t>
        </is>
      </c>
      <c r="P3" s="477" t="n"/>
      <c r="Q3" s="475" t="inlineStr">
        <is>
          <t>Site visit 21/12/2021 - La Pueblanueva: Meeting with the Major</t>
        </is>
      </c>
      <c r="R3" s="477">
        <f>810+155.53</f>
        <v/>
      </c>
      <c r="S3" s="475" t="inlineStr">
        <is>
          <t>Site visit 19/05/2022 - Toledo: Meeting with Authorities</t>
        </is>
      </c>
      <c r="T3" s="477">
        <f>810+122.5</f>
        <v/>
      </c>
      <c r="U3" s="475" t="inlineStr">
        <is>
          <t>Site visit 27/04/2023 - Madrid: Signature on Notary</t>
        </is>
      </c>
      <c r="V3" s="477">
        <f>810+180.47</f>
        <v/>
      </c>
      <c r="W3" s="475" t="inlineStr">
        <is>
          <t>Site visit 18/12/2024 - Madrid: EPC Negotiations</t>
        </is>
      </c>
      <c r="X3" s="477">
        <f>810+176</f>
        <v/>
      </c>
      <c r="Y3" s="475" t="inlineStr">
        <is>
          <t>Site visit 21/02/2025 - Madrid: Incorporation of the Company</t>
        </is>
      </c>
      <c r="Z3" s="477">
        <f>810+195</f>
        <v/>
      </c>
      <c r="AA3" s="477" t="n"/>
      <c r="AB3" s="481" t="inlineStr">
        <is>
          <t>ES85 2080 3509 1130 4009 6171</t>
        </is>
      </c>
      <c r="AC3" s="475" t="inlineStr">
        <is>
          <t>pendiente</t>
        </is>
      </c>
      <c r="AD3" s="477">
        <f>L3+N3+P3+R3+T3+V3+X3+Z3</f>
        <v/>
      </c>
      <c r="AE3" s="477">
        <f>IF((LEFT(K3,6))="Contab",L3,0)</f>
        <v/>
      </c>
      <c r="AF3" s="478">
        <f>VLOOKUP(G3,CLIENTES!B:E,4,FALSE)</f>
        <v/>
      </c>
      <c r="AG3" s="477">
        <f>AF3*AE3</f>
        <v/>
      </c>
      <c r="AH3" s="477">
        <f>AD3*1.21</f>
        <v/>
      </c>
      <c r="AI3" s="479">
        <f>IF(AE3&lt;&gt;0,AG3/AD3,"N/A")</f>
        <v/>
      </c>
      <c r="AJ3" s="477">
        <f>IF(AC3="pendiente",AD3,0)</f>
        <v/>
      </c>
      <c r="AK3" s="475">
        <f>VLOOKUP(G3,CLIENTES!B:D,3,FALSE)</f>
        <v/>
      </c>
    </row>
    <row r="4" ht="15" customFormat="1" customHeight="1" s="475">
      <c r="A4" s="475" t="inlineStr">
        <is>
          <t>P250003</t>
        </is>
      </c>
      <c r="B4" s="476" t="n">
        <v>45743</v>
      </c>
      <c r="C4" s="475" t="inlineStr">
        <is>
          <t>c/ Las Cruzadas 3A, local D</t>
        </is>
      </c>
      <c r="D4" s="475" t="inlineStr">
        <is>
          <t>Sevilla 41004</t>
        </is>
      </c>
      <c r="E4" s="475" t="inlineStr">
        <is>
          <t>CIF B91938662</t>
        </is>
      </c>
      <c r="F4" s="475" t="inlineStr">
        <is>
          <t>aBalados@abalados.es</t>
        </is>
      </c>
      <c r="G4" s="480" t="inlineStr">
        <is>
          <t>ASINPE S.L.</t>
        </is>
      </c>
      <c r="H4" s="475">
        <f>VLOOKUP($G4,DATOS!$B:$E,2,FALSE)</f>
        <v/>
      </c>
      <c r="I4" s="475">
        <f>VLOOKUP($G4,DATOS!$B:$E,3,FALSE)</f>
        <v/>
      </c>
      <c r="J4" s="475">
        <f>VLOOKUP($G4,DATOS!$B:$E,4,FALSE)</f>
        <v/>
      </c>
      <c r="K4" s="475" t="inlineStr">
        <is>
          <t>Repercusión del 50% del gasto correspondientes a las facturas:</t>
        </is>
      </c>
      <c r="L4" s="477" t="n"/>
      <c r="M4" s="475" t="inlineStr">
        <is>
          <t>·  0288-EP25 con fecha 21/04/2025</t>
        </is>
      </c>
      <c r="N4" s="477" t="n">
        <v>1085</v>
      </c>
      <c r="O4" s="475" t="inlineStr">
        <is>
          <t>·  112 con fecha 16/04/2025</t>
        </is>
      </c>
      <c r="P4" s="477">
        <f>16.53/2</f>
        <v/>
      </c>
      <c r="R4" s="477" t="n"/>
      <c r="T4" s="477" t="n"/>
      <c r="V4" s="477" t="n"/>
      <c r="X4" s="477" t="n"/>
      <c r="Z4" s="477" t="n"/>
      <c r="AA4" s="477" t="n"/>
      <c r="AB4" s="481" t="inlineStr">
        <is>
          <t>ES85 2080 3509 1130 4009 6171</t>
        </is>
      </c>
      <c r="AC4" s="475" t="inlineStr">
        <is>
          <t>pendiente</t>
        </is>
      </c>
      <c r="AD4" s="477">
        <f>L4+N4+P4+R4+T4+V4+X4+Z4</f>
        <v/>
      </c>
      <c r="AE4" s="477">
        <f>IF((LEFT(K4,6))="Contab",L4,0)</f>
        <v/>
      </c>
      <c r="AF4" s="478">
        <f>VLOOKUP(G4,CLIENTES!B:E,4,FALSE)</f>
        <v/>
      </c>
      <c r="AG4" s="477">
        <f>AF4*AE4</f>
        <v/>
      </c>
      <c r="AH4" s="477">
        <f>AD4*1.21</f>
        <v/>
      </c>
      <c r="AI4" s="479">
        <f>IF(AE4&lt;&gt;0,AG4/AD4,"N/A")</f>
        <v/>
      </c>
      <c r="AJ4" s="477">
        <f>IF(AC4="pendiente",AD4,0)</f>
        <v/>
      </c>
      <c r="AK4" s="475">
        <f>VLOOKUP(G4,CLIENTES!B:D,3,FALSE)</f>
        <v/>
      </c>
    </row>
    <row r="5" customFormat="1" s="165">
      <c r="A5" s="163" t="n"/>
      <c r="B5" s="164" t="n"/>
      <c r="C5" s="163" t="n"/>
      <c r="D5" s="163" t="n"/>
      <c r="E5" s="163" t="n"/>
      <c r="G5" s="163" t="n"/>
      <c r="H5" s="163" t="n"/>
      <c r="I5" s="163" t="n"/>
      <c r="J5" s="163" t="n"/>
      <c r="K5" s="163" t="n"/>
      <c r="L5" s="166" t="n"/>
      <c r="M5" s="163" t="n"/>
      <c r="N5" s="166" t="n"/>
      <c r="O5" s="163" t="n"/>
      <c r="P5" s="166" t="n"/>
      <c r="Q5" s="166" t="n"/>
      <c r="R5" s="166" t="n"/>
      <c r="S5" s="163" t="n"/>
      <c r="T5" s="166" t="n"/>
      <c r="U5" s="163" t="n"/>
      <c r="V5" s="166" t="n"/>
      <c r="W5" s="163" t="n"/>
      <c r="X5" s="166" t="n"/>
      <c r="Y5" s="163" t="n"/>
      <c r="Z5" s="166" t="n"/>
      <c r="AA5" s="166" t="n"/>
      <c r="AB5" s="167" t="n"/>
      <c r="AC5" s="163" t="n"/>
      <c r="AD5" s="166" t="n"/>
      <c r="AE5" s="166" t="n"/>
      <c r="AF5" s="167" t="n"/>
      <c r="AG5" s="166" t="n"/>
      <c r="AH5" s="166" t="n"/>
      <c r="AI5" s="168" t="n"/>
      <c r="AJ5" s="166" t="n"/>
      <c r="AK5" s="163" t="n"/>
    </row>
    <row r="6" customFormat="1" s="165">
      <c r="A6" s="163" t="n"/>
      <c r="B6" s="164" t="n"/>
      <c r="C6" s="163" t="n"/>
      <c r="D6" s="163" t="n"/>
      <c r="E6" s="163" t="n"/>
      <c r="G6" s="163" t="n"/>
      <c r="H6" s="163" t="n"/>
      <c r="I6" s="163" t="n"/>
      <c r="J6" s="163" t="n"/>
      <c r="K6" s="163" t="n"/>
      <c r="L6" s="166" t="n"/>
      <c r="M6" s="163" t="n"/>
      <c r="N6" s="166" t="n"/>
      <c r="O6" s="163" t="n"/>
      <c r="P6" s="166" t="n"/>
      <c r="Q6" s="166" t="n"/>
      <c r="R6" s="166" t="n"/>
      <c r="S6" s="163" t="n"/>
      <c r="T6" s="166" t="n"/>
      <c r="U6" s="163" t="n"/>
      <c r="V6" s="166" t="n"/>
      <c r="W6" s="163" t="n"/>
      <c r="X6" s="166" t="n"/>
      <c r="Y6" s="163" t="n"/>
      <c r="Z6" s="166" t="n"/>
      <c r="AA6" s="166" t="n"/>
      <c r="AB6" s="167" t="n"/>
      <c r="AC6" s="163" t="n"/>
      <c r="AD6" s="166" t="n"/>
      <c r="AE6" s="166" t="n"/>
      <c r="AF6" s="167" t="n"/>
      <c r="AG6" s="166" t="n"/>
      <c r="AH6" s="166" t="n"/>
      <c r="AI6" s="168" t="n"/>
      <c r="AJ6" s="166" t="n"/>
      <c r="AK6" s="163" t="n"/>
    </row>
    <row r="7" customFormat="1" s="165">
      <c r="A7" s="163" t="n"/>
      <c r="B7" s="164" t="n"/>
      <c r="C7" s="163" t="n"/>
      <c r="D7" s="163" t="n"/>
      <c r="E7" s="163" t="n"/>
      <c r="G7" s="163" t="n"/>
      <c r="H7" s="163" t="n"/>
      <c r="I7" s="163" t="n"/>
      <c r="J7" s="163" t="n"/>
      <c r="K7" s="163" t="n"/>
      <c r="L7" s="166" t="n"/>
      <c r="M7" s="163" t="n"/>
      <c r="N7" s="166" t="n"/>
      <c r="O7" s="163" t="n"/>
      <c r="P7" s="166" t="n"/>
      <c r="Q7" s="166" t="n"/>
      <c r="R7" s="166" t="n"/>
      <c r="S7" s="163" t="n"/>
      <c r="T7" s="166" t="n"/>
      <c r="U7" s="163" t="n"/>
      <c r="V7" s="166" t="n"/>
      <c r="W7" s="163" t="n"/>
      <c r="X7" s="166" t="n"/>
      <c r="Y7" s="163" t="n"/>
      <c r="Z7" s="166" t="n"/>
      <c r="AA7" s="166" t="n"/>
      <c r="AB7" s="167" t="n"/>
      <c r="AC7" s="163" t="n"/>
      <c r="AD7" s="166" t="n"/>
      <c r="AE7" s="166" t="n"/>
      <c r="AF7" s="167" t="n"/>
      <c r="AG7" s="166" t="n"/>
      <c r="AH7" s="166" t="n"/>
      <c r="AI7" s="168" t="n"/>
      <c r="AJ7" s="166" t="n"/>
      <c r="AK7" s="163" t="n"/>
    </row>
    <row r="8" customFormat="1" s="165">
      <c r="A8" s="163" t="n"/>
      <c r="B8" s="164" t="n"/>
      <c r="C8" s="163" t="n"/>
      <c r="D8" s="163" t="n"/>
      <c r="E8" s="163" t="n"/>
      <c r="G8" s="163" t="n"/>
      <c r="H8" s="163" t="n"/>
      <c r="I8" s="163" t="n"/>
      <c r="J8" s="163" t="n"/>
      <c r="K8" s="163" t="n"/>
      <c r="L8" s="166" t="n"/>
      <c r="M8" s="163" t="n"/>
      <c r="N8" s="166" t="n"/>
      <c r="O8" s="163" t="n"/>
      <c r="P8" s="166" t="n"/>
      <c r="Q8" s="166" t="n"/>
      <c r="R8" s="166" t="n"/>
      <c r="S8" s="163" t="n"/>
      <c r="T8" s="166" t="n"/>
      <c r="U8" s="163" t="n"/>
      <c r="V8" s="166" t="n"/>
      <c r="W8" s="163" t="n"/>
      <c r="X8" s="166" t="n"/>
      <c r="Y8" s="163" t="n"/>
      <c r="Z8" s="166" t="n"/>
      <c r="AA8" s="166" t="n"/>
      <c r="AB8" s="167" t="n"/>
      <c r="AC8" s="163" t="n"/>
      <c r="AD8" s="166" t="n"/>
      <c r="AE8" s="166" t="n"/>
      <c r="AF8" s="167" t="n"/>
      <c r="AG8" s="166" t="n"/>
      <c r="AH8" s="166" t="n"/>
      <c r="AI8" s="168" t="n"/>
      <c r="AJ8" s="166" t="n"/>
      <c r="AK8" s="163" t="n"/>
    </row>
    <row r="9" customFormat="1" s="165">
      <c r="A9" s="163" t="n"/>
      <c r="B9" s="164" t="n"/>
      <c r="C9" s="163" t="n"/>
      <c r="D9" s="163" t="n"/>
      <c r="E9" s="163" t="n"/>
      <c r="G9" s="163" t="n"/>
      <c r="H9" s="163" t="n"/>
      <c r="I9" s="163" t="n"/>
      <c r="J9" s="163" t="n"/>
      <c r="K9" s="163" t="n"/>
      <c r="L9" s="166" t="n"/>
      <c r="M9" s="163" t="n"/>
      <c r="N9" s="166" t="n"/>
      <c r="O9" s="163" t="n"/>
      <c r="P9" s="166" t="n"/>
      <c r="Q9" s="166" t="n"/>
      <c r="R9" s="166" t="n"/>
      <c r="S9" s="163" t="n"/>
      <c r="T9" s="166" t="n"/>
      <c r="U9" s="163" t="n"/>
      <c r="V9" s="166" t="n"/>
      <c r="W9" s="163" t="n"/>
      <c r="X9" s="166" t="n"/>
      <c r="Y9" s="163" t="n"/>
      <c r="Z9" s="166" t="n"/>
      <c r="AA9" s="166" t="n"/>
      <c r="AB9" s="167" t="n"/>
      <c r="AC9" s="163" t="n"/>
      <c r="AD9" s="166" t="n"/>
      <c r="AE9" s="166" t="n"/>
      <c r="AF9" s="167" t="n"/>
      <c r="AG9" s="166" t="n"/>
      <c r="AH9" s="166" t="n"/>
      <c r="AI9" s="168" t="n"/>
      <c r="AJ9" s="166" t="n"/>
      <c r="AK9" s="163" t="n"/>
    </row>
    <row r="10" customFormat="1" s="165">
      <c r="A10" s="163" t="n"/>
      <c r="B10" s="164" t="n"/>
      <c r="C10" s="163" t="n"/>
      <c r="D10" s="163" t="n"/>
      <c r="E10" s="163" t="n"/>
      <c r="G10" s="163" t="n"/>
      <c r="H10" s="163" t="n"/>
      <c r="I10" s="163" t="n"/>
      <c r="J10" s="163" t="n"/>
      <c r="K10" s="163" t="n"/>
      <c r="L10" s="166" t="n"/>
      <c r="M10" s="163" t="n"/>
      <c r="N10" s="166" t="n"/>
      <c r="O10" s="163" t="n"/>
      <c r="P10" s="166" t="n"/>
      <c r="Q10" s="166" t="n"/>
      <c r="R10" s="166" t="n"/>
      <c r="S10" s="163" t="n"/>
      <c r="T10" s="166" t="n"/>
      <c r="U10" s="163" t="n"/>
      <c r="V10" s="166" t="n"/>
      <c r="W10" s="163" t="n"/>
      <c r="X10" s="166" t="n"/>
      <c r="Y10" s="163" t="n"/>
      <c r="Z10" s="166" t="n"/>
      <c r="AA10" s="166" t="n"/>
      <c r="AB10" s="167" t="n"/>
      <c r="AC10" s="163" t="n"/>
      <c r="AD10" s="166" t="n"/>
      <c r="AE10" s="166" t="n"/>
      <c r="AF10" s="167" t="n"/>
      <c r="AG10" s="166" t="n"/>
      <c r="AH10" s="166" t="n"/>
      <c r="AI10" s="168" t="n"/>
      <c r="AJ10" s="166" t="n"/>
      <c r="AK10" s="163" t="n"/>
    </row>
    <row r="11" customFormat="1" s="165">
      <c r="A11" s="163" t="n"/>
      <c r="B11" s="164" t="n"/>
      <c r="C11" s="163" t="n"/>
      <c r="D11" s="163" t="n"/>
      <c r="E11" s="163" t="n"/>
      <c r="G11" s="163" t="n"/>
      <c r="H11" s="163" t="n"/>
      <c r="I11" s="163" t="n"/>
      <c r="J11" s="163" t="n"/>
      <c r="K11" s="163" t="n"/>
      <c r="L11" s="166" t="n"/>
      <c r="M11" s="163" t="n"/>
      <c r="N11" s="166" t="n"/>
      <c r="O11" s="163" t="n"/>
      <c r="P11" s="166" t="n"/>
      <c r="Q11" s="166" t="n"/>
      <c r="R11" s="166" t="n"/>
      <c r="S11" s="163" t="n"/>
      <c r="T11" s="166" t="n"/>
      <c r="U11" s="163" t="n"/>
      <c r="V11" s="166" t="n"/>
      <c r="W11" s="163" t="n"/>
      <c r="X11" s="166" t="n"/>
      <c r="Y11" s="163" t="n"/>
      <c r="Z11" s="166" t="n"/>
      <c r="AA11" s="166" t="n"/>
      <c r="AB11" s="167" t="n"/>
      <c r="AC11" s="163" t="n"/>
      <c r="AD11" s="166" t="n"/>
      <c r="AE11" s="166" t="n"/>
      <c r="AF11" s="167" t="n"/>
      <c r="AG11" s="166" t="n"/>
      <c r="AH11" s="166" t="n"/>
      <c r="AI11" s="168" t="n"/>
      <c r="AJ11" s="166" t="n"/>
      <c r="AK11" s="163" t="n"/>
    </row>
    <row r="12" customFormat="1" s="165">
      <c r="A12" s="163" t="n"/>
      <c r="B12" s="164" t="n"/>
      <c r="C12" s="163" t="n"/>
      <c r="D12" s="163" t="n"/>
      <c r="E12" s="163" t="n"/>
      <c r="G12" s="163" t="n"/>
      <c r="H12" s="163" t="n"/>
      <c r="I12" s="163" t="n"/>
      <c r="J12" s="163" t="n"/>
      <c r="K12" s="163" t="n"/>
      <c r="L12" s="166" t="n"/>
      <c r="M12" s="163" t="n"/>
      <c r="N12" s="166" t="n"/>
      <c r="O12" s="163" t="n"/>
      <c r="P12" s="166" t="n"/>
      <c r="Q12" s="166" t="n"/>
      <c r="R12" s="166" t="n"/>
      <c r="S12" s="163" t="n"/>
      <c r="T12" s="166" t="n"/>
      <c r="U12" s="163" t="n"/>
      <c r="V12" s="166" t="n"/>
      <c r="W12" s="163" t="n"/>
      <c r="X12" s="166" t="n"/>
      <c r="Y12" s="163" t="n"/>
      <c r="Z12" s="166" t="n"/>
      <c r="AA12" s="166" t="n"/>
      <c r="AB12" s="167" t="n"/>
      <c r="AC12" s="163" t="n"/>
      <c r="AD12" s="166" t="n"/>
      <c r="AE12" s="166" t="n"/>
      <c r="AF12" s="167" t="n"/>
      <c r="AG12" s="166" t="n"/>
      <c r="AH12" s="166" t="n"/>
      <c r="AI12" s="168" t="n"/>
      <c r="AJ12" s="166" t="n"/>
      <c r="AK12" s="163" t="n"/>
    </row>
    <row r="13" customFormat="1" s="165">
      <c r="A13" s="163" t="n"/>
      <c r="B13" s="164" t="n"/>
      <c r="C13" s="163" t="n"/>
      <c r="D13" s="163" t="n"/>
      <c r="E13" s="163" t="n"/>
      <c r="G13" s="163" t="n"/>
      <c r="H13" s="163" t="n"/>
      <c r="I13" s="163" t="n"/>
      <c r="J13" s="163" t="n"/>
      <c r="K13" s="163" t="n"/>
      <c r="L13" s="166" t="n"/>
      <c r="M13" s="163" t="n"/>
      <c r="N13" s="166" t="n"/>
      <c r="O13" s="163" t="n"/>
      <c r="P13" s="166" t="n"/>
      <c r="Q13" s="166" t="n"/>
      <c r="R13" s="166" t="n"/>
      <c r="S13" s="163" t="n"/>
      <c r="T13" s="166" t="n"/>
      <c r="U13" s="163" t="n"/>
      <c r="V13" s="166" t="n"/>
      <c r="W13" s="163" t="n"/>
      <c r="X13" s="166" t="n"/>
      <c r="Y13" s="163" t="n"/>
      <c r="Z13" s="166" t="n"/>
      <c r="AA13" s="166" t="n"/>
      <c r="AB13" s="167" t="n"/>
      <c r="AC13" s="163" t="n"/>
      <c r="AD13" s="166" t="n"/>
      <c r="AE13" s="166" t="n"/>
      <c r="AF13" s="167" t="n"/>
      <c r="AG13" s="166" t="n"/>
      <c r="AH13" s="166" t="n"/>
      <c r="AI13" s="168" t="n"/>
      <c r="AJ13" s="166" t="n"/>
      <c r="AK13" s="163" t="n"/>
    </row>
    <row r="14" customFormat="1" s="165">
      <c r="A14" s="163" t="n"/>
      <c r="B14" s="164" t="n"/>
      <c r="C14" s="163" t="n"/>
      <c r="D14" s="163" t="n"/>
      <c r="E14" s="163" t="n"/>
      <c r="G14" s="163" t="n"/>
      <c r="H14" s="163" t="n"/>
      <c r="I14" s="163" t="n"/>
      <c r="J14" s="163" t="n"/>
      <c r="K14" s="163" t="n"/>
      <c r="L14" s="166" t="n"/>
      <c r="M14" s="163" t="n"/>
      <c r="N14" s="166" t="n"/>
      <c r="O14" s="163" t="n"/>
      <c r="P14" s="166" t="n"/>
      <c r="Q14" s="166" t="n"/>
      <c r="R14" s="166" t="n"/>
      <c r="S14" s="163" t="n"/>
      <c r="T14" s="166" t="n"/>
      <c r="U14" s="163" t="n"/>
      <c r="V14" s="166" t="n"/>
      <c r="W14" s="163" t="n"/>
      <c r="X14" s="166" t="n"/>
      <c r="Y14" s="163" t="n"/>
      <c r="Z14" s="166" t="n"/>
      <c r="AA14" s="166" t="n"/>
      <c r="AB14" s="167" t="n"/>
      <c r="AC14" s="163" t="n"/>
      <c r="AD14" s="166" t="n"/>
      <c r="AE14" s="166" t="n"/>
      <c r="AF14" s="167" t="n"/>
      <c r="AG14" s="166" t="n"/>
      <c r="AH14" s="166" t="n"/>
      <c r="AI14" s="168" t="n"/>
      <c r="AJ14" s="166" t="n"/>
      <c r="AK14" s="163" t="n"/>
    </row>
    <row r="15" customFormat="1" s="165">
      <c r="A15" s="163" t="n"/>
      <c r="B15" s="164" t="n"/>
      <c r="C15" s="163" t="n"/>
      <c r="D15" s="163" t="n"/>
      <c r="E15" s="163" t="n"/>
      <c r="G15" s="163" t="n"/>
      <c r="H15" s="163" t="n"/>
      <c r="I15" s="163" t="n"/>
      <c r="J15" s="163" t="n"/>
      <c r="K15" s="163" t="n"/>
      <c r="L15" s="166" t="n"/>
      <c r="M15" s="163" t="n"/>
      <c r="N15" s="166" t="n"/>
      <c r="O15" s="163" t="n"/>
      <c r="P15" s="166" t="n"/>
      <c r="Q15" s="166" t="n"/>
      <c r="R15" s="166" t="n"/>
      <c r="S15" s="163" t="n"/>
      <c r="T15" s="166" t="n"/>
      <c r="U15" s="163" t="n"/>
      <c r="V15" s="166" t="n"/>
      <c r="W15" s="163" t="n"/>
      <c r="X15" s="166" t="n"/>
      <c r="Y15" s="163" t="n"/>
      <c r="Z15" s="166" t="n"/>
      <c r="AA15" s="166" t="n"/>
      <c r="AB15" s="167" t="n"/>
      <c r="AC15" s="163" t="n"/>
      <c r="AD15" s="166" t="n"/>
      <c r="AE15" s="166" t="n"/>
      <c r="AF15" s="167" t="n"/>
      <c r="AG15" s="166" t="n"/>
      <c r="AH15" s="166" t="n"/>
      <c r="AI15" s="168" t="n"/>
      <c r="AJ15" s="166" t="n"/>
      <c r="AK15" s="163" t="n"/>
    </row>
    <row r="16" customFormat="1" s="706">
      <c r="A16" s="278" t="n"/>
      <c r="B16" s="279" t="n"/>
      <c r="C16" s="278" t="n"/>
      <c r="D16" s="278" t="n"/>
      <c r="E16" s="278" t="n"/>
      <c r="G16" s="278" t="n"/>
      <c r="H16" s="278" t="n"/>
      <c r="I16" s="278" t="n"/>
      <c r="J16" s="278" t="n"/>
      <c r="K16" s="278" t="n"/>
      <c r="L16" s="280" t="n"/>
      <c r="M16" s="278" t="n"/>
      <c r="N16" s="280" t="n"/>
      <c r="O16" s="278" t="n"/>
      <c r="P16" s="280" t="n"/>
      <c r="Q16" s="280" t="n"/>
      <c r="R16" s="280" t="n"/>
      <c r="S16" s="278" t="n"/>
      <c r="T16" s="280" t="n"/>
      <c r="U16" s="278" t="n"/>
      <c r="V16" s="280" t="n"/>
      <c r="W16" s="278" t="n"/>
      <c r="X16" s="280" t="n"/>
      <c r="Y16" s="278" t="n"/>
      <c r="Z16" s="280" t="n"/>
      <c r="AA16" s="280" t="n"/>
      <c r="AB16" s="281" t="n"/>
      <c r="AC16" s="278" t="n"/>
      <c r="AD16" s="280" t="n"/>
      <c r="AE16" s="280" t="n"/>
      <c r="AF16" s="281" t="n"/>
      <c r="AG16" s="280" t="n"/>
      <c r="AH16" s="280" t="n"/>
      <c r="AI16" s="282" t="n"/>
      <c r="AJ16" s="280" t="n"/>
      <c r="AK16" s="278" t="n"/>
    </row>
    <row r="17" customFormat="1" s="706">
      <c r="A17" s="278" t="n"/>
      <c r="B17" s="279" t="n"/>
      <c r="C17" s="278" t="inlineStr">
        <is>
          <t>C/ Las Cruzadas 3, Local D</t>
        </is>
      </c>
      <c r="D17" s="278" t="inlineStr">
        <is>
          <t>Sevilla 41004</t>
        </is>
      </c>
      <c r="E17" s="278" t="inlineStr">
        <is>
          <t>ESB91938662</t>
        </is>
      </c>
      <c r="F17" s="706" t="inlineStr">
        <is>
          <t>Atn. Mr. Wurster - Amministratore</t>
        </is>
      </c>
      <c r="G17" s="278" t="inlineStr">
        <is>
          <t xml:space="preserve">Progetti FV 6 di Progetti FV 6 SRL &amp; C. SAS </t>
        </is>
      </c>
      <c r="H17" s="278" t="inlineStr">
        <is>
          <t>IT07479180965</t>
        </is>
      </c>
      <c r="I17" s="278" t="inlineStr">
        <is>
          <t>Via Buenos Aires 64a (1st Floor)</t>
        </is>
      </c>
      <c r="J17" s="278" t="inlineStr">
        <is>
          <t>20124 Milano (Italia)</t>
        </is>
      </c>
      <c r="K17" s="278" t="inlineStr">
        <is>
          <t>INSTALLATION AND CONFIGURATION OF URMET MULTILINK</t>
        </is>
      </c>
      <c r="L17" s="280" t="n">
        <v>800</v>
      </c>
      <c r="M17" s="278" t="n"/>
      <c r="N17" s="280" t="n"/>
      <c r="O17" s="278" t="n"/>
      <c r="P17" s="280" t="n"/>
      <c r="Q17" s="280" t="n"/>
      <c r="R17" s="280" t="n"/>
      <c r="S17" s="278" t="n"/>
      <c r="T17" s="280" t="n"/>
      <c r="U17" s="278" t="n"/>
      <c r="V17" s="280" t="n"/>
      <c r="W17" s="278" t="n"/>
      <c r="X17" s="280" t="n"/>
      <c r="Y17" s="278" t="n"/>
      <c r="Z17" s="280" t="n"/>
      <c r="AA17" s="280" t="n"/>
      <c r="AB17" s="281" t="inlineStr">
        <is>
          <t>ES11 0081 7069 2700 0122 7724</t>
        </is>
      </c>
      <c r="AC17" s="278" t="inlineStr">
        <is>
          <t>pendiente</t>
        </is>
      </c>
      <c r="AD17" s="280">
        <f>L17+N17+P17+R17+T17+V17+X17+Z17</f>
        <v/>
      </c>
      <c r="AE17" s="280">
        <f>IF((LEFT(M17,4))="Cont",L17,0)</f>
        <v/>
      </c>
      <c r="AF17" s="281">
        <f>VLOOKUP(G17,CLIENTES!B:E,4,FALSE)</f>
        <v/>
      </c>
      <c r="AG17" s="280">
        <f>AF17*AE17</f>
        <v/>
      </c>
      <c r="AH17" s="280">
        <f>AD17</f>
        <v/>
      </c>
      <c r="AI17" s="282">
        <f>IF(AE17&lt;&gt;0,AG17/AD17,"N/A")</f>
        <v/>
      </c>
      <c r="AJ17" s="280">
        <f>IF(AC17="pendiente",AD17,0)</f>
        <v/>
      </c>
      <c r="AK17" s="278">
        <f>VLOOKUP(G17,CLIENTES!B:D,3,FALSE)</f>
        <v/>
      </c>
    </row>
    <row r="18" customFormat="1" s="706">
      <c r="A18" s="278" t="n"/>
      <c r="B18" s="279" t="n"/>
      <c r="C18" s="278" t="inlineStr">
        <is>
          <t>C/ Las Cruzadas 3, Local D</t>
        </is>
      </c>
      <c r="D18" s="278" t="inlineStr">
        <is>
          <t>Sevilla 41004</t>
        </is>
      </c>
      <c r="E18" s="278" t="inlineStr">
        <is>
          <t>ESB91938662</t>
        </is>
      </c>
      <c r="F18" s="706" t="inlineStr">
        <is>
          <t>Atn. Mr. Wurster - Amministratore</t>
        </is>
      </c>
      <c r="G18" s="278" t="inlineStr">
        <is>
          <t xml:space="preserve">Progetti FV 4 di Progetti FV 4 SRL &amp; C. SAS </t>
        </is>
      </c>
      <c r="H18" s="278" t="inlineStr">
        <is>
          <t>IT07479130960</t>
        </is>
      </c>
      <c r="I18" s="278" t="inlineStr">
        <is>
          <t>Via Buenos Aires 64a (1st Floor)</t>
        </is>
      </c>
      <c r="J18" s="278" t="inlineStr">
        <is>
          <t>20124 Milano (Italia)</t>
        </is>
      </c>
      <c r="K18" s="278" t="inlineStr">
        <is>
          <t>INSTALLATION AND CONFIGURATION OF URMET MULTILINK</t>
        </is>
      </c>
      <c r="L18" s="280" t="n">
        <v>800</v>
      </c>
      <c r="M18" s="278" t="n"/>
      <c r="N18" s="280" t="n"/>
      <c r="O18" s="278" t="n"/>
      <c r="P18" s="280" t="n"/>
      <c r="Q18" s="280" t="n"/>
      <c r="R18" s="280" t="n"/>
      <c r="S18" s="278" t="n"/>
      <c r="T18" s="280" t="n"/>
      <c r="U18" s="278" t="n"/>
      <c r="V18" s="280" t="n"/>
      <c r="W18" s="278" t="n"/>
      <c r="X18" s="280" t="n"/>
      <c r="Y18" s="278" t="n"/>
      <c r="Z18" s="280" t="n"/>
      <c r="AA18" s="280" t="n"/>
      <c r="AB18" s="281" t="inlineStr">
        <is>
          <t>ES11 0081 7069 2700 0122 7724</t>
        </is>
      </c>
      <c r="AC18" s="278" t="inlineStr">
        <is>
          <t>pendiente</t>
        </is>
      </c>
      <c r="AD18" s="280">
        <f>L18+N18+P18+R18+T18+V18+X18+Z18</f>
        <v/>
      </c>
      <c r="AE18" s="280">
        <f>IF((LEFT(M18,4))="Cont",L18,0)</f>
        <v/>
      </c>
      <c r="AF18" s="281">
        <f>VLOOKUP(G18,CLIENTES!B:E,4,FALSE)</f>
        <v/>
      </c>
      <c r="AG18" s="280">
        <f>AF18*AE18</f>
        <v/>
      </c>
      <c r="AH18" s="280">
        <f>AD18</f>
        <v/>
      </c>
      <c r="AI18" s="282">
        <f>IF(AE18&lt;&gt;0,AG18/AD18,"N/A")</f>
        <v/>
      </c>
      <c r="AJ18" s="280">
        <f>IF(AC18="pendiente",AD18,0)</f>
        <v/>
      </c>
      <c r="AK18" s="278">
        <f>VLOOKUP(G18,CLIENTES!B:D,3,FALSE)</f>
        <v/>
      </c>
    </row>
    <row r="19" ht="15" customFormat="1" customHeight="1" s="278">
      <c r="B19" s="279" t="n"/>
      <c r="C19" s="278" t="inlineStr">
        <is>
          <t>C/ Las Cruzadas 3, Local D</t>
        </is>
      </c>
      <c r="D19" s="278" t="inlineStr">
        <is>
          <t>Sevilla 41004</t>
        </is>
      </c>
      <c r="E19" s="278" t="inlineStr">
        <is>
          <t>ESB91938662</t>
        </is>
      </c>
      <c r="F19" s="706" t="inlineStr">
        <is>
          <t>Atn. Mr. Wurster - Amministratore</t>
        </is>
      </c>
      <c r="G19" s="278" t="inlineStr">
        <is>
          <t xml:space="preserve">Progetti FV 5 di Progetti FV 5 SRL &amp; C. SAS </t>
        </is>
      </c>
      <c r="H19" s="278" t="inlineStr">
        <is>
          <t>IT07479160967</t>
        </is>
      </c>
      <c r="I19" s="278" t="inlineStr">
        <is>
          <t>Via Buenos Aires 64a (1st Floor)</t>
        </is>
      </c>
      <c r="J19" s="278" t="inlineStr">
        <is>
          <t>20124 Milano (Italia)</t>
        </is>
      </c>
      <c r="K19" s="278" t="inlineStr">
        <is>
          <t>INSTALLATION AND CONFIGURATION OF URMET MULTILINK</t>
        </is>
      </c>
      <c r="L19" s="280" t="n">
        <v>800</v>
      </c>
      <c r="N19" s="280" t="n"/>
      <c r="P19" s="280" t="n"/>
      <c r="Q19" s="280" t="n"/>
      <c r="R19" s="280" t="n"/>
      <c r="T19" s="280" t="n"/>
      <c r="V19" s="280" t="n"/>
      <c r="X19" s="280" t="n"/>
      <c r="Z19" s="280" t="n"/>
      <c r="AA19" s="280" t="n"/>
      <c r="AB19" s="281" t="inlineStr">
        <is>
          <t>ES11 0081 7069 2700 0122 7724</t>
        </is>
      </c>
      <c r="AC19" s="278" t="inlineStr">
        <is>
          <t>pendiente</t>
        </is>
      </c>
      <c r="AD19" s="280">
        <f>L19+N19+P19+R19+T19+V19+X19+Z19</f>
        <v/>
      </c>
      <c r="AE19" s="280">
        <f>IF((LEFT(M19,4))="Cont",L19,0)</f>
        <v/>
      </c>
      <c r="AF19" s="281">
        <f>VLOOKUP(G19,CLIENTES!B:E,4,FALSE)</f>
        <v/>
      </c>
      <c r="AG19" s="280">
        <f>AF19*AE19</f>
        <v/>
      </c>
      <c r="AH19" s="280">
        <f>AD19</f>
        <v/>
      </c>
      <c r="AI19" s="282">
        <f>IF(AE19&lt;&gt;0,AG19/AD19,"N/A")</f>
        <v/>
      </c>
      <c r="AJ19" s="280">
        <f>IF(AC19="pendiente",AD19,0)</f>
        <v/>
      </c>
      <c r="AK19" s="278">
        <f>VLOOKUP(G19,CLIENTES!B:D,3,FALSE)</f>
        <v/>
      </c>
    </row>
    <row r="20" ht="15" customFormat="1" customHeight="1" s="278">
      <c r="B20" s="279" t="n"/>
      <c r="C20" s="278" t="inlineStr">
        <is>
          <t>C/ Las Cruzadas 3, Local D</t>
        </is>
      </c>
      <c r="D20" s="278" t="inlineStr">
        <is>
          <t>Sevilla 41004</t>
        </is>
      </c>
      <c r="E20" s="278" t="inlineStr">
        <is>
          <t>ESB91938662</t>
        </is>
      </c>
      <c r="F20" s="706" t="inlineStr">
        <is>
          <t>Atn. Mr. Wurster - Amministratore</t>
        </is>
      </c>
      <c r="G20" s="278" t="inlineStr">
        <is>
          <t xml:space="preserve">Progetti FV 8 di Progetti FV 8 SRL &amp; C. SAS </t>
        </is>
      </c>
      <c r="H20" s="278" t="inlineStr">
        <is>
          <t>IT07479260965</t>
        </is>
      </c>
      <c r="I20" s="278" t="inlineStr">
        <is>
          <t>Via Buenos Aires 64a (1st Floor)</t>
        </is>
      </c>
      <c r="J20" s="278" t="inlineStr">
        <is>
          <t>20124 Milano (Italia)</t>
        </is>
      </c>
      <c r="K20" s="278" t="inlineStr">
        <is>
          <t>INSTALLATION AND CONFIGURATION OF URMET MULTILINK</t>
        </is>
      </c>
      <c r="L20" s="280" t="n">
        <v>800</v>
      </c>
      <c r="N20" s="280" t="n"/>
      <c r="P20" s="280" t="n"/>
      <c r="Q20" s="280" t="n"/>
      <c r="R20" s="280" t="n"/>
      <c r="T20" s="280" t="n"/>
      <c r="V20" s="280" t="n"/>
      <c r="X20" s="280" t="n"/>
      <c r="Z20" s="280" t="n"/>
      <c r="AA20" s="280" t="n"/>
      <c r="AB20" s="281" t="inlineStr">
        <is>
          <t>ES11 0081 7069 2700 0122 7724</t>
        </is>
      </c>
      <c r="AC20" s="278" t="inlineStr">
        <is>
          <t>pendiente</t>
        </is>
      </c>
      <c r="AD20" s="280">
        <f>L20+N20+P20+R20+T20+V20+X20+Z20</f>
        <v/>
      </c>
      <c r="AE20" s="280">
        <f>IF((LEFT(M20,4))="Cont",L20,0)</f>
        <v/>
      </c>
      <c r="AF20" s="281">
        <f>VLOOKUP(G20,CLIENTES!B:E,4,FALSE)</f>
        <v/>
      </c>
      <c r="AG20" s="280">
        <f>AF20*AE20</f>
        <v/>
      </c>
      <c r="AH20" s="280">
        <f>AD20</f>
        <v/>
      </c>
      <c r="AI20" s="282">
        <f>IF(AE20&lt;&gt;0,AG20/AD20,"N/A")</f>
        <v/>
      </c>
      <c r="AJ20" s="280">
        <f>IF(AC20="pendiente",AD20,0)</f>
        <v/>
      </c>
      <c r="AK20" s="278">
        <f>VLOOKUP(G20,CLIENTES!B:D,3,FALSE)</f>
        <v/>
      </c>
    </row>
    <row r="21" customFormat="1" s="706">
      <c r="A21" s="278" t="n"/>
      <c r="B21" s="279" t="n"/>
      <c r="C21" s="192" t="inlineStr">
        <is>
          <t>C/ Las Cruzadas 3, Local D</t>
        </is>
      </c>
      <c r="D21" s="192" t="inlineStr">
        <is>
          <t>Sevilla 41004</t>
        </is>
      </c>
      <c r="E21" s="192" t="inlineStr">
        <is>
          <t>ESB91938662</t>
        </is>
      </c>
      <c r="F21" s="426" t="inlineStr">
        <is>
          <t>Atn. Mr. Wurster - Amministratore</t>
        </is>
      </c>
      <c r="G21" s="192" t="inlineStr">
        <is>
          <t>Progetti FV 9 di Progetti FV 9 SRL &amp; C. SAS</t>
        </is>
      </c>
      <c r="H21" s="192" t="inlineStr">
        <is>
          <t>IT07479270964</t>
        </is>
      </c>
      <c r="I21" s="192" t="inlineStr">
        <is>
          <t>Via Buenos Aires 64a (1st Floor)</t>
        </is>
      </c>
      <c r="J21" s="192" t="inlineStr">
        <is>
          <t>20124 Milano (Italia)</t>
        </is>
      </c>
      <c r="K21" s="192" t="inlineStr">
        <is>
          <t>INSTALLATION AND CONFIGURATION OF URMET MULTILINK</t>
        </is>
      </c>
      <c r="L21" s="200" t="n">
        <v>800</v>
      </c>
      <c r="M21" s="192" t="n"/>
      <c r="N21" s="200" t="n"/>
      <c r="O21" s="192" t="n"/>
      <c r="P21" s="200" t="n"/>
      <c r="Q21" s="200" t="n"/>
      <c r="R21" s="200" t="n"/>
      <c r="S21" s="192" t="n"/>
      <c r="T21" s="200" t="n"/>
      <c r="U21" s="192" t="n"/>
      <c r="V21" s="200" t="n"/>
      <c r="W21" s="192" t="n"/>
      <c r="X21" s="200" t="n"/>
      <c r="Y21" s="192" t="n"/>
      <c r="Z21" s="200" t="n"/>
      <c r="AA21" s="200" t="n"/>
      <c r="AB21" s="201" t="inlineStr">
        <is>
          <t>ES11 0081 7069 2700 0122 7724</t>
        </is>
      </c>
      <c r="AC21" s="192" t="inlineStr">
        <is>
          <t>pendiente</t>
        </is>
      </c>
      <c r="AD21" s="200">
        <f>L21+N21+P21+R21+T21+V21+X21+Z21</f>
        <v/>
      </c>
      <c r="AE21" s="200">
        <f>IF((LEFT(M21,4))="Cont",L21,0)</f>
        <v/>
      </c>
      <c r="AF21" s="201">
        <f>VLOOKUP(G21,CLIENTES!B:E,4,FALSE)</f>
        <v/>
      </c>
      <c r="AG21" s="200">
        <f>AF21*AE21</f>
        <v/>
      </c>
      <c r="AH21" s="200">
        <f>AD21</f>
        <v/>
      </c>
      <c r="AI21" s="202">
        <f>IF(AE21&lt;&gt;0,AG21/AD21,"N/A")</f>
        <v/>
      </c>
      <c r="AJ21" s="200">
        <f>IF(AC21="pendiente",AD21,0)</f>
        <v/>
      </c>
      <c r="AK21" s="192">
        <f>VLOOKUP(G21,CLIENTES!B:D,3,FALSE)</f>
        <v/>
      </c>
    </row>
    <row r="22" customFormat="1" s="706"/>
    <row r="23" ht="15" customFormat="1" customHeight="1" s="189">
      <c r="A23" s="189" t="inlineStr">
        <is>
          <t>P230001</t>
        </is>
      </c>
      <c r="B23" s="188" t="n">
        <v>45012</v>
      </c>
      <c r="C23" s="189" t="inlineStr">
        <is>
          <t>c/ Las Cruzadas 3A, local D</t>
        </is>
      </c>
      <c r="D23" s="189" t="inlineStr">
        <is>
          <t>Sevilla 41004</t>
        </is>
      </c>
      <c r="E23" s="189" t="inlineStr">
        <is>
          <t>CIF B91938662</t>
        </is>
      </c>
      <c r="F23" s="189" t="inlineStr">
        <is>
          <t>aBalados@abalados.es</t>
        </is>
      </c>
      <c r="G23" s="189" t="inlineStr">
        <is>
          <t>Generación Fotovoltaica de Bargas, S.L.</t>
        </is>
      </c>
      <c r="H23" s="189">
        <f>VLOOKUP($G23,DATOS!$B:$E,2,FALSE)</f>
        <v/>
      </c>
      <c r="I23" s="189">
        <f>VLOOKUP($G23,DATOS!$B:$E,3,FALSE)</f>
        <v/>
      </c>
      <c r="J23" s="189">
        <f>VLOOKUP($G23,DATOS!$B:$E,4,FALSE)</f>
        <v/>
      </c>
      <c r="K23" s="189" t="inlineStr">
        <is>
          <t>Technical Advisory - Bargas PV</t>
        </is>
      </c>
      <c r="L23" s="190" t="n"/>
      <c r="M23" s="189" t="inlineStr">
        <is>
          <t>Consultancy services for FAC</t>
        </is>
      </c>
      <c r="N23" s="190" t="n"/>
      <c r="P23" s="190" t="n"/>
      <c r="Q23" s="189" t="inlineStr">
        <is>
          <t>Technical Audit</t>
        </is>
      </c>
      <c r="R23" s="190" t="n">
        <v>4500</v>
      </c>
      <c r="S23" s="189" t="inlineStr">
        <is>
          <t>Additional site visit (December 14th)</t>
        </is>
      </c>
      <c r="T23" s="190" t="n">
        <v>850</v>
      </c>
      <c r="U23" s="189" t="inlineStr">
        <is>
          <t>Additional site visit (March 28th)</t>
        </is>
      </c>
      <c r="V23" s="190" t="n">
        <v>950</v>
      </c>
      <c r="W23" s="189" t="inlineStr">
        <is>
          <t>Additional analysis on historical data</t>
        </is>
      </c>
      <c r="X23" s="190" t="n">
        <v>900</v>
      </c>
      <c r="Z23" s="190" t="n"/>
      <c r="AA23" s="190" t="n"/>
      <c r="AB23" s="191" t="inlineStr">
        <is>
          <t>ES11 0081 7069 2700 0122 7724</t>
        </is>
      </c>
      <c r="AC23" s="189" t="inlineStr">
        <is>
          <t>pendiente</t>
        </is>
      </c>
      <c r="AD23" s="190">
        <f>L23+N23+P23+R23+T23+V23+X23+Z23</f>
        <v/>
      </c>
      <c r="AE23" s="190">
        <f>IF((LEFT(K23,6))="Contab",L23,0)</f>
        <v/>
      </c>
      <c r="AF23" s="191">
        <f>VLOOKUP(G23,CLIENTES!B:E,4,FALSE)</f>
        <v/>
      </c>
      <c r="AG23" s="190">
        <f>AF23*AE23</f>
        <v/>
      </c>
      <c r="AH23" s="190">
        <f>AD23*1.21</f>
        <v/>
      </c>
      <c r="AI23" s="289">
        <f>IF(AE23&lt;&gt;0,AG23/AD23,"N/A")</f>
        <v/>
      </c>
      <c r="AJ23" s="190">
        <f>IF(AC23="pendiente",AD23,0)</f>
        <v/>
      </c>
      <c r="AK23" s="189">
        <f>VLOOKUP(G23,CLIENTES!B:D,3,FALSE)</f>
        <v/>
      </c>
    </row>
    <row r="24" ht="15" customFormat="1" customHeight="1" s="189">
      <c r="A24" s="189" t="inlineStr">
        <is>
          <t>P230002</t>
        </is>
      </c>
      <c r="B24" s="188" t="n">
        <v>45013</v>
      </c>
      <c r="C24" s="189" t="inlineStr">
        <is>
          <t>c/ Las Cruzadas 3A, local D</t>
        </is>
      </c>
      <c r="D24" s="189" t="inlineStr">
        <is>
          <t>Sevilla 41004</t>
        </is>
      </c>
      <c r="E24" s="189" t="inlineStr">
        <is>
          <t>CIF B91938662</t>
        </is>
      </c>
      <c r="F24" s="189" t="inlineStr">
        <is>
          <t>aBalados@abalados.es</t>
        </is>
      </c>
      <c r="G24" s="189" t="inlineStr">
        <is>
          <t>Sonnedix España Management S.L.</t>
        </is>
      </c>
      <c r="H24" s="189">
        <f>VLOOKUP($G24,DATOS!$B:$E,2,FALSE)</f>
        <v/>
      </c>
      <c r="I24" s="189">
        <f>VLOOKUP($G24,DATOS!$B:$E,3,FALSE)</f>
        <v/>
      </c>
      <c r="J24" s="189">
        <f>VLOOKUP($G24,DATOS!$B:$E,4,FALSE)</f>
        <v/>
      </c>
      <c r="K24" s="189" t="inlineStr">
        <is>
          <t xml:space="preserve">Operation &amp; Maintenance - PSFV Las Cabezas de San Juan </t>
        </is>
      </c>
      <c r="L24" s="190" t="n"/>
      <c r="M24" s="189" t="inlineStr">
        <is>
          <t>Corrective maintenance - Offer 0802 (February 8th 2023)</t>
        </is>
      </c>
      <c r="N24" s="190" t="n"/>
      <c r="P24" s="190" t="n"/>
      <c r="Q24" s="189" t="inlineStr">
        <is>
          <t xml:space="preserve">   · MILESTONE1: Completion of Method of Statements and preliminary works.</t>
        </is>
      </c>
      <c r="R24" s="190">
        <f>0.2*52000</f>
        <v/>
      </c>
      <c r="S24" s="189" t="inlineStr">
        <is>
          <t xml:space="preserve">   · MILESTONE2: Completion of 50% of repaired strings.</t>
        </is>
      </c>
      <c r="T24" s="190">
        <f>0.4*52000</f>
        <v/>
      </c>
      <c r="V24" s="190" t="n"/>
      <c r="X24" s="190" t="n"/>
      <c r="Z24" s="190" t="n"/>
      <c r="AA24" s="190" t="n"/>
      <c r="AB24" s="191" t="inlineStr">
        <is>
          <t>ES11 0081 7069 2700 0122 7724</t>
        </is>
      </c>
      <c r="AC24" s="189" t="inlineStr">
        <is>
          <t>pendiente</t>
        </is>
      </c>
      <c r="AD24" s="190">
        <f>L24+N24+P24+R24+T24+V24+X24+Z24</f>
        <v/>
      </c>
      <c r="AE24" s="190">
        <f>IF((LEFT(K24,6))="Contab",L24,0)</f>
        <v/>
      </c>
      <c r="AF24" s="191">
        <f>VLOOKUP(G24,CLIENTES!B:E,4,FALSE)</f>
        <v/>
      </c>
      <c r="AG24" s="190">
        <f>AF24*AE24</f>
        <v/>
      </c>
      <c r="AH24" s="190">
        <f>AD24*1.21</f>
        <v/>
      </c>
      <c r="AI24" s="289">
        <f>IF(AE24&lt;&gt;0,AG24/AD24,"N/A")</f>
        <v/>
      </c>
      <c r="AJ24" s="190">
        <f>IF(AC24="pendiente",AD24,0)</f>
        <v/>
      </c>
      <c r="AK24" s="189">
        <f>VLOOKUP(G24,CLIENTES!B:D,3,FALSE)</f>
        <v/>
      </c>
    </row>
    <row r="25" ht="15" customFormat="1" customHeight="1" s="189">
      <c r="A25" s="189" t="inlineStr">
        <is>
          <t>P230003</t>
        </is>
      </c>
      <c r="B25" s="188" t="n">
        <v>45029</v>
      </c>
      <c r="C25" s="189" t="inlineStr">
        <is>
          <t>c/ Las Cruzadas 3A, local D</t>
        </is>
      </c>
      <c r="D25" s="189" t="inlineStr">
        <is>
          <t>Sevilla 41004</t>
        </is>
      </c>
      <c r="E25" s="189" t="inlineStr">
        <is>
          <t>CIF B91938662</t>
        </is>
      </c>
      <c r="F25" s="189" t="inlineStr">
        <is>
          <t>aBalados@abalados.es</t>
        </is>
      </c>
      <c r="G25" s="189" t="inlineStr">
        <is>
          <t>Generación Fotovoltaica de Bargas, S.L.</t>
        </is>
      </c>
      <c r="H25" s="189">
        <f>VLOOKUP($G25,DATOS!$B:$E,2,FALSE)</f>
        <v/>
      </c>
      <c r="I25" s="189">
        <f>VLOOKUP($G25,DATOS!$B:$E,3,FALSE)</f>
        <v/>
      </c>
      <c r="J25" s="189">
        <f>VLOOKUP($G25,DATOS!$B:$E,4,FALSE)</f>
        <v/>
      </c>
      <c r="K25" s="189" t="inlineStr">
        <is>
          <t>Technical Advisory - Bargas PV</t>
        </is>
      </c>
      <c r="L25" s="190" t="n"/>
      <c r="M25" s="189" t="inlineStr">
        <is>
          <t>Consultancy services for FAC</t>
        </is>
      </c>
      <c r="N25" s="190" t="n"/>
      <c r="P25" s="190" t="n"/>
      <c r="Q25" s="189" t="inlineStr">
        <is>
          <t>Technical Audit</t>
        </is>
      </c>
      <c r="R25" s="190" t="n">
        <v>4500</v>
      </c>
      <c r="S25" s="189" t="inlineStr">
        <is>
          <t>Additional site visit (December 14th)</t>
        </is>
      </c>
      <c r="T25" s="190" t="n">
        <v>850</v>
      </c>
      <c r="U25" s="189" t="inlineStr">
        <is>
          <t>Additional site visit (March 28th)</t>
        </is>
      </c>
      <c r="V25" s="190" t="n">
        <v>950</v>
      </c>
      <c r="W25" s="189" t="inlineStr">
        <is>
          <t>Additional analysis on historical data</t>
        </is>
      </c>
      <c r="X25" s="190" t="n">
        <v>1800</v>
      </c>
      <c r="Z25" s="190" t="n"/>
      <c r="AA25" s="190" t="n"/>
      <c r="AB25" s="191" t="inlineStr">
        <is>
          <t>ES11 0081 7069 2700 0122 7724</t>
        </is>
      </c>
      <c r="AC25" s="189" t="inlineStr">
        <is>
          <t>pendiente</t>
        </is>
      </c>
      <c r="AD25" s="190">
        <f>L25+N25+P25+R25+T25+V25+X25+Z25</f>
        <v/>
      </c>
      <c r="AE25" s="190">
        <f>IF((LEFT(K25,6))="Contab",L25,0)</f>
        <v/>
      </c>
      <c r="AF25" s="191">
        <f>VLOOKUP(G25,CLIENTES!B:E,4,FALSE)</f>
        <v/>
      </c>
      <c r="AG25" s="190">
        <f>AF25*AE25</f>
        <v/>
      </c>
      <c r="AH25" s="190">
        <f>AD25*1.21</f>
        <v/>
      </c>
      <c r="AI25" s="289">
        <f>IF(AE25&lt;&gt;0,AG25/AD25,"N/A")</f>
        <v/>
      </c>
      <c r="AJ25" s="190">
        <f>IF(AC25="pendiente",AD25,0)</f>
        <v/>
      </c>
      <c r="AK25" s="189">
        <f>VLOOKUP(G25,CLIENTES!B:D,3,FALSE)</f>
        <v/>
      </c>
    </row>
    <row r="26" ht="15" customFormat="1" customHeight="1" s="189">
      <c r="A26" s="189" t="inlineStr">
        <is>
          <t>P230004</t>
        </is>
      </c>
      <c r="B26" s="188" t="n">
        <v>45029</v>
      </c>
      <c r="C26" s="189" t="inlineStr">
        <is>
          <t>c/ Las Cruzadas 3A, local D</t>
        </is>
      </c>
      <c r="D26" s="189" t="inlineStr">
        <is>
          <t>Sevilla 41004</t>
        </is>
      </c>
      <c r="E26" s="189" t="inlineStr">
        <is>
          <t>CIF B91938662</t>
        </is>
      </c>
      <c r="F26" s="189" t="inlineStr">
        <is>
          <t>aBalados@abalados.es</t>
        </is>
      </c>
      <c r="G26" s="189" t="inlineStr">
        <is>
          <t>Sonnedix España Services, S.L.</t>
        </is>
      </c>
      <c r="H26" s="189">
        <f>VLOOKUP($G26,DATOS!$B:$E,2,FALSE)</f>
        <v/>
      </c>
      <c r="I26" s="189">
        <f>VLOOKUP($G26,DATOS!$B:$E,3,FALSE)</f>
        <v/>
      </c>
      <c r="J26" s="189">
        <f>VLOOKUP($G26,DATOS!$B:$E,4,FALSE)</f>
        <v/>
      </c>
      <c r="K26" s="189" t="inlineStr">
        <is>
          <t xml:space="preserve">Operation &amp; Maintenance - PSFV Las Cabezas de San Juan </t>
        </is>
      </c>
      <c r="L26" s="190" t="n"/>
      <c r="M26" s="189" t="inlineStr">
        <is>
          <t>Corrective maintenance - Offer 0802 (February 8th 2023)</t>
        </is>
      </c>
      <c r="N26" s="190" t="n"/>
      <c r="P26" s="190" t="n"/>
      <c r="Q26" s="189" t="inlineStr">
        <is>
          <t xml:space="preserve">   · MILESTONE1: Completion of Method of Statements and preliminary works.</t>
        </is>
      </c>
      <c r="R26" s="190">
        <f>0.2*52000</f>
        <v/>
      </c>
      <c r="S26" s="189" t="inlineStr">
        <is>
          <t xml:space="preserve">   · MILESTONE2: Completion of 50% of repaired strings.</t>
        </is>
      </c>
      <c r="T26" s="190">
        <f>0.4*52000</f>
        <v/>
      </c>
      <c r="U26" s="189" t="inlineStr">
        <is>
          <t xml:space="preserve">   · MILESTONE3: Completion of 100% of repaired strings.</t>
        </is>
      </c>
      <c r="V26" s="190">
        <f>0.4*52000</f>
        <v/>
      </c>
      <c r="X26" s="190" t="n"/>
      <c r="Z26" s="190" t="n"/>
      <c r="AA26" s="190" t="n"/>
      <c r="AB26" s="191" t="inlineStr">
        <is>
          <t>ES11 0081 7069 2700 0122 7724</t>
        </is>
      </c>
      <c r="AC26" s="189" t="inlineStr">
        <is>
          <t>pendiente</t>
        </is>
      </c>
      <c r="AD26" s="190">
        <f>L26+N26+P26+R26+T26+V26+X26+Z26</f>
        <v/>
      </c>
      <c r="AE26" s="190">
        <f>IF((LEFT(K26,6))="Contab",L26,0)</f>
        <v/>
      </c>
      <c r="AF26" s="191">
        <f>VLOOKUP(G26,CLIENTES!B:E,4,FALSE)</f>
        <v/>
      </c>
      <c r="AG26" s="190">
        <f>AF26*AE26</f>
        <v/>
      </c>
      <c r="AH26" s="190">
        <f>AD26*1.21</f>
        <v/>
      </c>
      <c r="AI26" s="289">
        <f>IF(AE26&lt;&gt;0,AG26/AD26,"N/A")</f>
        <v/>
      </c>
      <c r="AJ26" s="190">
        <f>IF(AC26="pendiente",AD26,0)</f>
        <v/>
      </c>
      <c r="AK26" s="189">
        <f>VLOOKUP(G26,CLIENTES!B:D,3,FALSE)</f>
        <v/>
      </c>
    </row>
    <row r="27" ht="15" customFormat="1" customHeight="1" s="189">
      <c r="A27" s="189" t="inlineStr">
        <is>
          <t>P230005</t>
        </is>
      </c>
      <c r="B27" s="188" t="n">
        <v>45154</v>
      </c>
      <c r="C27" s="189" t="inlineStr">
        <is>
          <t>c/ Las Cruzadas 3A, local D</t>
        </is>
      </c>
      <c r="D27" s="189" t="inlineStr">
        <is>
          <t>Sevilla 41004</t>
        </is>
      </c>
      <c r="E27" s="189" t="inlineStr">
        <is>
          <t>CIF B91938662</t>
        </is>
      </c>
      <c r="F27" s="189" t="inlineStr">
        <is>
          <t>aBalados@abalados.es</t>
        </is>
      </c>
      <c r="G27" s="189" t="inlineStr">
        <is>
          <t>aBalados Recycling, S.L.</t>
        </is>
      </c>
      <c r="H27" s="189">
        <f>VLOOKUP($G27,DATOS!$B:$E,2,FALSE)</f>
        <v/>
      </c>
      <c r="I27" s="189">
        <f>VLOOKUP($G27,DATOS!$B:$E,3,FALSE)</f>
        <v/>
      </c>
      <c r="J27" s="189">
        <f>VLOOKUP($G27,DATOS!$B:$E,4,FALSE)</f>
        <v/>
      </c>
      <c r="K27" s="189" t="inlineStr">
        <is>
          <t>Soporte - Retirada de módulos PR1 (CT2306_01&amp;02)</t>
        </is>
      </c>
      <c r="L27" s="190" t="n"/>
      <c r="N27" s="190" t="n"/>
      <c r="O27" s="189" t="inlineStr">
        <is>
          <t>Gestión documental y seguimiento para acceso</t>
        </is>
      </c>
      <c r="P27" s="720">
        <f>4*45 + 23*(10/60*45)</f>
        <v/>
      </c>
      <c r="Q27" s="189" t="inlineStr">
        <is>
          <t>Soporte para contratación servicios y gestión subcontratas</t>
        </is>
      </c>
      <c r="R27" s="190">
        <f>8*60</f>
        <v/>
      </c>
      <c r="S27" s="189" t="inlineStr">
        <is>
          <t>Visitas a campo</t>
        </is>
      </c>
      <c r="T27" s="720">
        <f>2 * 0.5*95</f>
        <v/>
      </c>
      <c r="U27" s="189" t="inlineStr">
        <is>
          <t>Asistencia para recepción y descarga en almacén</t>
        </is>
      </c>
      <c r="V27" s="190">
        <f>14*6*40</f>
        <v/>
      </c>
      <c r="X27" s="190" t="n"/>
      <c r="Z27" s="190" t="n"/>
      <c r="AA27" s="190" t="n"/>
      <c r="AB27" s="191" t="inlineStr">
        <is>
          <t>ES11 0081 7069 2700 0122 7724</t>
        </is>
      </c>
      <c r="AC27" s="189" t="inlineStr">
        <is>
          <t>pendiente</t>
        </is>
      </c>
      <c r="AD27" s="190">
        <f>L27+N27+P27+R27+T27+V27+X27+Z27</f>
        <v/>
      </c>
      <c r="AE27" s="190">
        <f>IF((LEFT(K27,6))="Contab",L27,0)</f>
        <v/>
      </c>
      <c r="AF27" s="191">
        <f>VLOOKUP(G27,CLIENTES!B:E,4,FALSE)</f>
        <v/>
      </c>
      <c r="AG27" s="190">
        <f>AF27*AE27</f>
        <v/>
      </c>
      <c r="AH27" s="190">
        <f>AD27*1.21</f>
        <v/>
      </c>
      <c r="AI27" s="289">
        <f>IF(AE27&lt;&gt;0,AG27/AD27,"N/A")</f>
        <v/>
      </c>
      <c r="AJ27" s="190">
        <f>IF(AC27="pendiente",AD27,0)</f>
        <v/>
      </c>
      <c r="AK27" s="189">
        <f>VLOOKUP(G27,CLIENTES!B:D,3,FALSE)</f>
        <v/>
      </c>
    </row>
    <row r="28" customFormat="1" s="433">
      <c r="A28" s="189" t="inlineStr">
        <is>
          <t>P230006</t>
        </is>
      </c>
      <c r="B28" s="188" t="n">
        <v>45267</v>
      </c>
      <c r="C28" s="433" t="inlineStr">
        <is>
          <t>c/ Las Cruzadas 3A, local D</t>
        </is>
      </c>
      <c r="D28" s="433" t="inlineStr">
        <is>
          <t>Sevilla 41004</t>
        </is>
      </c>
      <c r="E28" s="433" t="inlineStr">
        <is>
          <t>CIF B91938662</t>
        </is>
      </c>
      <c r="F28" s="433" t="inlineStr">
        <is>
          <t>aBalados@abalados.es</t>
        </is>
      </c>
      <c r="G28" s="433" t="inlineStr">
        <is>
          <t>China Triumph International Engineering Co., LTD EP EN SPAIN</t>
        </is>
      </c>
      <c r="H28" s="433" t="inlineStr">
        <is>
          <t>CIF W7203013C</t>
        </is>
      </c>
      <c r="I28" s="433" t="inlineStr">
        <is>
          <t>c/ Arturo Soria 263, escalera D, Puerta B</t>
        </is>
      </c>
      <c r="J28" s="433" t="inlineStr">
        <is>
          <t>28033 Madrid</t>
        </is>
      </c>
      <c r="K28" s="433" t="inlineStr">
        <is>
          <t>PUK Arbitration witness</t>
        </is>
      </c>
      <c r="M28" s="433" t="inlineStr">
        <is>
          <t>Puerto Real 1 PV - Cádiz | Spain</t>
        </is>
      </c>
      <c r="Q28" s="433" t="inlineStr">
        <is>
          <t>Service assistance (minimum service - 20h)</t>
        </is>
      </c>
      <c r="R28" s="433">
        <f>350*20</f>
        <v/>
      </c>
      <c r="S28" s="433" t="inlineStr">
        <is>
          <t>Travel rate</t>
        </is>
      </c>
      <c r="T28" s="433">
        <f>5.5*200</f>
        <v/>
      </c>
      <c r="U28" s="433" t="inlineStr">
        <is>
          <t>Pocket expenses</t>
        </is>
      </c>
      <c r="V28" s="433">
        <f>(56.35+72.45  +  7.84+5.5+21.3+15.55)</f>
        <v/>
      </c>
      <c r="AB28" s="433" t="inlineStr">
        <is>
          <t>ES11 0081 7069 2700 0122 7724</t>
        </is>
      </c>
      <c r="AC28" s="189" t="inlineStr">
        <is>
          <t>pendiente</t>
        </is>
      </c>
      <c r="AD28" s="190">
        <f>L28+N28+P28+R28+T28+V28+X28+Z28</f>
        <v/>
      </c>
      <c r="AE28" s="190">
        <f>IF((LEFT(K28,6))="Contab",L28,0)</f>
        <v/>
      </c>
      <c r="AF28" s="191">
        <f>VLOOKUP(G28,CLIENTES!B:E,4,FALSE)</f>
        <v/>
      </c>
      <c r="AG28" s="190">
        <f>AF28*AE28</f>
        <v/>
      </c>
      <c r="AH28" s="190">
        <f>AD28*1.21</f>
        <v/>
      </c>
      <c r="AI28" s="289">
        <f>IF(AE28&lt;&gt;0,AG28/AD28,"N/A")</f>
        <v/>
      </c>
      <c r="AJ28" s="190">
        <f>IF(AC28="pendiente",AD28,0)</f>
        <v/>
      </c>
      <c r="AK28" s="189">
        <f>VLOOKUP(G28,CLIENTES!B:D,3,FALSE)</f>
        <v/>
      </c>
    </row>
    <row r="29" customFormat="1" s="433">
      <c r="A29" s="462" t="inlineStr">
        <is>
          <t>RECY23001</t>
        </is>
      </c>
      <c r="B29" s="188" t="n">
        <v>45316</v>
      </c>
      <c r="C29" s="433" t="inlineStr">
        <is>
          <t>c/ Las Cruzadas 3A, local D</t>
        </is>
      </c>
      <c r="D29" s="433" t="inlineStr">
        <is>
          <t>Sevilla 41004</t>
        </is>
      </c>
      <c r="E29" s="433" t="inlineStr">
        <is>
          <t>CIF B91938662</t>
        </is>
      </c>
      <c r="F29" s="433" t="inlineStr">
        <is>
          <t>aBalados@abalados.es</t>
        </is>
      </c>
      <c r="G29" s="433" t="inlineStr">
        <is>
          <t>Solar Photo Corp S.L.U.</t>
        </is>
      </c>
      <c r="H29" s="433" t="inlineStr">
        <is>
          <t>CIF B98174642</t>
        </is>
      </c>
      <c r="I29" s="433" t="inlineStr">
        <is>
          <t>c/ Las Cruzadas 3A, local D</t>
        </is>
      </c>
      <c r="J29" s="433" t="inlineStr">
        <is>
          <t>Sevilla 41004</t>
        </is>
      </c>
      <c r="K29" s="433" t="inlineStr">
        <is>
          <t>Asistencia para la retirada de residuos no peligrosos - Módulos fotovoltaicos</t>
        </is>
      </c>
      <c r="M29" s="433" t="inlineStr">
        <is>
          <t>PSFV La Senia - Contratos de Tratamiento CT2311_0001 &amp; CT2401_0001</t>
        </is>
      </c>
      <c r="Q29" s="433" t="inlineStr">
        <is>
          <t>Soporte administrativo (x2)</t>
        </is>
      </c>
      <c r="R29" s="433" t="n">
        <v>150</v>
      </c>
      <c r="S29" s="433" t="inlineStr">
        <is>
          <t>Reciclado del residuo (1.281 pcs)</t>
        </is>
      </c>
      <c r="T29" s="433">
        <f>1281*0.5</f>
        <v/>
      </c>
      <c r="W29" s="433" t="inlineStr">
        <is>
          <t>Extraordinario - Asistencia en la manipulación del residuo y retirada (1.281 pcs)</t>
        </is>
      </c>
      <c r="X29" s="433">
        <f>(950+150)*3  +  (8*2*55)*3  +  64*10</f>
        <v/>
      </c>
      <c r="AB29" s="463" t="inlineStr">
        <is>
          <t>ES11 0081 7069 2700 0122 7724</t>
        </is>
      </c>
      <c r="AC29" s="189" t="inlineStr">
        <is>
          <t>pendiente</t>
        </is>
      </c>
      <c r="AD29" s="190">
        <f>L29+N29+P29+R29+T29+V29+X29+Z29</f>
        <v/>
      </c>
      <c r="AE29" s="190">
        <f>IF((LEFT(K29,6))="Contab",L29,0)</f>
        <v/>
      </c>
      <c r="AF29" s="191">
        <f>VLOOKUP(G29,CLIENTES!B:E,4,FALSE)</f>
        <v/>
      </c>
      <c r="AG29" s="190">
        <f>AF29*AE29</f>
        <v/>
      </c>
      <c r="AH29" s="190">
        <f>AD29*1.21</f>
        <v/>
      </c>
      <c r="AI29" s="289">
        <f>IF(AE29&lt;&gt;0,AG29/AD29,"N/A")</f>
        <v/>
      </c>
      <c r="AJ29" s="190">
        <f>IF(AC29="pendiente",AD29,0)</f>
        <v/>
      </c>
      <c r="AK29" s="189" t="n"/>
    </row>
    <row r="30" ht="15" customFormat="1" customHeight="1" s="192">
      <c r="A30" s="192" t="inlineStr">
        <is>
          <t>P2408001</t>
        </is>
      </c>
      <c r="B30" s="199" t="n">
        <v>45509</v>
      </c>
      <c r="C30" s="192" t="inlineStr">
        <is>
          <t>c/ Las Cruzadas 3A, local D</t>
        </is>
      </c>
      <c r="D30" s="192" t="inlineStr">
        <is>
          <t>Sevilla 41004</t>
        </is>
      </c>
      <c r="E30" s="192" t="inlineStr">
        <is>
          <t>CIF B91938662</t>
        </is>
      </c>
      <c r="F30" s="192" t="inlineStr">
        <is>
          <t>aBalados@abalados.es</t>
        </is>
      </c>
      <c r="G30" s="192" t="inlineStr">
        <is>
          <t>EKHI ENERGY S.L.U.</t>
        </is>
      </c>
      <c r="H30" s="192">
        <f>VLOOKUP($G30,DATOS!$B:$E,2,FALSE)</f>
        <v/>
      </c>
      <c r="I30" s="192">
        <f>VLOOKUP($G30,DATOS!$B:$E,3,FALSE)</f>
        <v/>
      </c>
      <c r="J30" s="192">
        <f>VLOOKUP($G30,DATOS!$B:$E,4,FALSE)</f>
        <v/>
      </c>
      <c r="K30" s="192" t="inlineStr">
        <is>
          <t>Technical Advisory - PSFV Los Alcores</t>
        </is>
      </c>
      <c r="L30" s="200" t="n"/>
      <c r="N30" s="200" t="n"/>
      <c r="O30" s="192" t="inlineStr">
        <is>
          <t>Assessment of Final Acceptance process</t>
        </is>
      </c>
      <c r="P30" s="200" t="n">
        <v>3500</v>
      </c>
      <c r="Q30" s="192" t="inlineStr">
        <is>
          <t>Additional service: Site visit June 6th 2024</t>
        </is>
      </c>
      <c r="R30" s="200" t="n">
        <v>1125</v>
      </c>
      <c r="T30" s="200" t="n"/>
      <c r="V30" s="200" t="n"/>
      <c r="X30" s="200" t="n"/>
      <c r="Z30" s="200" t="n"/>
      <c r="AA30" s="200" t="n"/>
      <c r="AB30" s="403" t="inlineStr">
        <is>
          <t>ES85 2080 3509 1130 4009 6171</t>
        </is>
      </c>
      <c r="AC30" s="192" t="inlineStr">
        <is>
          <t>pendiente</t>
        </is>
      </c>
      <c r="AD30" s="200">
        <f>L30+N30+P30+R30+T30+V30+X30+Z30</f>
        <v/>
      </c>
      <c r="AE30" s="200">
        <f>IF((LEFT(K30,6))="Contab",L30,0)</f>
        <v/>
      </c>
      <c r="AF30" s="201">
        <f>VLOOKUP(G30,CLIENTES!B:E,4,FALSE)</f>
        <v/>
      </c>
      <c r="AG30" s="200">
        <f>AF30*AE30</f>
        <v/>
      </c>
      <c r="AH30" s="200">
        <f>AD30*1.21</f>
        <v/>
      </c>
      <c r="AI30" s="283">
        <f>IF(AE30&lt;&gt;0,AG30/AD30,"N/A")</f>
        <v/>
      </c>
      <c r="AJ30" s="200">
        <f>IF(AC30="pendiente",AD30,0)</f>
        <v/>
      </c>
      <c r="AK30" s="192">
        <f>VLOOKUP(G30,CLIENTES!B:D,3,FALSE)</f>
        <v/>
      </c>
    </row>
  </sheetData>
  <mergeCells count="3">
    <mergeCell ref="C1:F1"/>
    <mergeCell ref="AE1:AG1"/>
    <mergeCell ref="G1:J1"/>
  </mergeCells>
  <conditionalFormatting sqref="AD5:AE21">
    <cfRule type="cellIs" priority="43" operator="equal" dxfId="1">
      <formula>"pendiente"</formula>
    </cfRule>
  </conditionalFormatting>
  <conditionalFormatting sqref="AC5:AC21">
    <cfRule type="containsText" priority="40" operator="containsText" dxfId="62" text="abonado">
      <formula>NOT(ISERROR(SEARCH("abonado",AC5)))</formula>
    </cfRule>
    <cfRule type="containsText" priority="41" operator="containsText" dxfId="61" text="pagado">
      <formula>NOT(ISERROR(SEARCH("pagado",AC5)))</formula>
    </cfRule>
    <cfRule type="containsText" priority="42" operator="containsText" dxfId="60" text="pendiente">
      <formula>NOT(ISERROR(SEARCH("pendiente",AC5)))</formula>
    </cfRule>
  </conditionalFormatting>
  <conditionalFormatting sqref="AC23:AE27 AD28:AE29 AG23:AG29">
    <cfRule type="containsText" priority="39" operator="containsText" dxfId="1" text="pendiente">
      <formula>NOT(ISERROR(SEARCH("pendiente",AC23)))</formula>
    </cfRule>
  </conditionalFormatting>
  <conditionalFormatting sqref="AC23:AE23">
    <cfRule type="cellIs" priority="37" operator="equal" dxfId="1">
      <formula>"pendiente"</formula>
    </cfRule>
    <cfRule type="containsText" priority="38" operator="containsText" dxfId="0" text="pagado">
      <formula>NOT(ISERROR(SEARCH("pagado",AC23)))</formula>
    </cfRule>
  </conditionalFormatting>
  <conditionalFormatting sqref="AC23:AC29">
    <cfRule type="cellIs" priority="36" operator="equal" dxfId="6">
      <formula>"abonado"</formula>
    </cfRule>
  </conditionalFormatting>
  <conditionalFormatting sqref="AC24:AE24">
    <cfRule type="cellIs" priority="30" operator="equal" dxfId="1">
      <formula>"pendiente"</formula>
    </cfRule>
    <cfRule type="containsText" priority="31" operator="containsText" dxfId="0" text="pagado">
      <formula>NOT(ISERROR(SEARCH("pagado",AC24)))</formula>
    </cfRule>
  </conditionalFormatting>
  <conditionalFormatting sqref="AC25:AE25">
    <cfRule type="cellIs" priority="28" operator="equal" dxfId="1">
      <formula>"pendiente"</formula>
    </cfRule>
    <cfRule type="containsText" priority="29" operator="containsText" dxfId="0" text="pagado">
      <formula>NOT(ISERROR(SEARCH("pagado",AC25)))</formula>
    </cfRule>
  </conditionalFormatting>
  <conditionalFormatting sqref="AC26:AE26">
    <cfRule type="cellIs" priority="26" operator="equal" dxfId="1">
      <formula>"pendiente"</formula>
    </cfRule>
    <cfRule type="containsText" priority="27" operator="containsText" dxfId="0" text="pagado">
      <formula>NOT(ISERROR(SEARCH("pagado",AC26)))</formula>
    </cfRule>
  </conditionalFormatting>
  <conditionalFormatting sqref="AC27:AE27">
    <cfRule type="cellIs" priority="24" operator="equal" dxfId="1">
      <formula>"pendiente"</formula>
    </cfRule>
    <cfRule type="containsText" priority="25" operator="containsText" dxfId="0" text="pagado">
      <formula>NOT(ISERROR(SEARCH("pagado",AC27)))</formula>
    </cfRule>
  </conditionalFormatting>
  <conditionalFormatting sqref="AC28:AC29">
    <cfRule type="containsText" priority="23" operator="containsText" dxfId="1" text="pendiente">
      <formula>NOT(ISERROR(SEARCH("pendiente",AC28)))</formula>
    </cfRule>
    <cfRule type="cellIs" priority="21" operator="equal" dxfId="1">
      <formula>"pendiente"</formula>
    </cfRule>
    <cfRule type="containsText" priority="22" operator="containsText" dxfId="0" text="pagado">
      <formula>NOT(ISERROR(SEARCH("pagado",AC28)))</formula>
    </cfRule>
  </conditionalFormatting>
  <conditionalFormatting sqref="AD28:AE28">
    <cfRule type="cellIs" priority="19" operator="equal" dxfId="1">
      <formula>"pendiente"</formula>
    </cfRule>
    <cfRule type="containsText" priority="20" operator="containsText" dxfId="0" text="pagado">
      <formula>NOT(ISERROR(SEARCH("pagado",AD28)))</formula>
    </cfRule>
  </conditionalFormatting>
  <conditionalFormatting sqref="AD29:AE29">
    <cfRule type="cellIs" priority="17" operator="equal" dxfId="1">
      <formula>"pendiente"</formula>
    </cfRule>
    <cfRule type="containsText" priority="18" operator="containsText" dxfId="0" text="pagado">
      <formula>NOT(ISERROR(SEARCH("pagado",AD29)))</formula>
    </cfRule>
  </conditionalFormatting>
  <conditionalFormatting sqref="AC30">
    <cfRule type="cellIs" priority="14" operator="equal" dxfId="6">
      <formula>"abonado"</formula>
    </cfRule>
    <cfRule type="cellIs" priority="11" operator="equal" dxfId="1">
      <formula>"pendiente"</formula>
    </cfRule>
    <cfRule type="containsText" priority="12" operator="containsText" dxfId="0" text="pagado">
      <formula>NOT(ISERROR(SEARCH("pagado",AC30)))</formula>
    </cfRule>
  </conditionalFormatting>
  <conditionalFormatting sqref="AC30:AE30 AG30">
    <cfRule type="containsText" priority="13" operator="containsText" dxfId="1" text="pendiente">
      <formula>NOT(ISERROR(SEARCH("pendiente",AC30)))</formula>
    </cfRule>
  </conditionalFormatting>
  <conditionalFormatting sqref="AD30:AE30">
    <cfRule type="cellIs" priority="9" operator="equal" dxfId="1">
      <formula>"pendiente"</formula>
    </cfRule>
    <cfRule type="containsText" priority="10" operator="containsText" dxfId="0" text="pagado">
      <formula>NOT(ISERROR(SEARCH("pagado",AD30)))</formula>
    </cfRule>
  </conditionalFormatting>
  <conditionalFormatting sqref="AC2:AE4 AG2:AG4">
    <cfRule type="containsText" priority="8" operator="containsText" dxfId="1" text="pendiente">
      <formula>NOT(ISERROR(SEARCH("pendiente",AC2)))</formula>
    </cfRule>
  </conditionalFormatting>
  <conditionalFormatting sqref="AC2:AE2">
    <cfRule type="cellIs" priority="6" operator="equal" dxfId="1">
      <formula>"pendiente"</formula>
    </cfRule>
    <cfRule type="containsText" priority="7" operator="containsText" dxfId="0" text="pagado">
      <formula>NOT(ISERROR(SEARCH("pagado",AC2)))</formula>
    </cfRule>
  </conditionalFormatting>
  <conditionalFormatting sqref="AC2:AC4">
    <cfRule type="cellIs" priority="5" operator="equal" dxfId="6">
      <formula>"abonado"</formula>
    </cfRule>
  </conditionalFormatting>
  <conditionalFormatting sqref="AC3:AE3">
    <cfRule type="cellIs" priority="3" operator="equal" dxfId="1">
      <formula>"pendiente"</formula>
    </cfRule>
    <cfRule type="containsText" priority="4" operator="containsText" dxfId="0" text="pagado">
      <formula>NOT(ISERROR(SEARCH("pagado",AC3)))</formula>
    </cfRule>
  </conditionalFormatting>
  <conditionalFormatting sqref="AC4:AE4">
    <cfRule type="cellIs" priority="1" operator="equal" dxfId="1">
      <formula>"pendiente"</formula>
    </cfRule>
    <cfRule type="containsText" priority="2" operator="containsText" dxfId="0" text="pagado">
      <formula>NOT(ISERROR(SEARCH("pagado",AC4)))</formula>
    </cfRule>
  </conditionalFormatting>
  <dataValidations count="4">
    <dataValidation sqref="AC5:AC21" showDropDown="0" showInputMessage="1" showErrorMessage="1" allowBlank="1" type="list">
      <formula1>"pagado,pendiente,abonado"</formula1>
    </dataValidation>
    <dataValidation sqref="AC2:AC4 AC23:AC30" showDropDown="0" showInputMessage="1" showErrorMessage="1" allowBlank="1" type="list">
      <formula1>"pendiente,pagado,abonado"</formula1>
    </dataValidation>
    <dataValidation sqref="AL30" showDropDown="0" showInputMessage="1" showErrorMessage="1" allowBlank="1" type="list">
      <formula1>"WOC_Asset,WOC_OM,OM_Otros,nudos,Ingeniería,Asset"</formula1>
    </dataValidation>
    <dataValidation sqref="AM30" showDropDown="0" showInputMessage="1" showErrorMessage="1" allowBlank="1" type="list">
      <formula1>"Refacturación,Promoción,Explotación,Extraordinario,Legal,Administración,Privativas,Dirección"</formula1>
    </dataValidation>
  </dataValidations>
  <hyperlinks>
    <hyperlink xmlns:r="http://schemas.openxmlformats.org/officeDocument/2006/relationships" ref="F30" r:id="rId1"/>
  </hyperlinks>
  <pageMargins left="0.7" right="0.7" top="0.75" bottom="0.75" header="0.3" footer="0.3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Hoja12">
    <outlinePr summaryBelow="1" summaryRight="1"/>
    <pageSetUpPr/>
  </sheetPr>
  <dimension ref="A1:T167"/>
  <sheetViews>
    <sheetView zoomScale="85" zoomScaleNormal="85" workbookViewId="0">
      <selection activeCell="A1" sqref="A1:XFD1048576"/>
    </sheetView>
  </sheetViews>
  <sheetFormatPr baseColWidth="10" defaultColWidth="11.3828125" defaultRowHeight="14.15"/>
  <cols>
    <col width="4.53515625" customWidth="1" style="655" min="1" max="1"/>
    <col width="27.15234375" customWidth="1" style="655" min="2" max="2"/>
    <col width="13.15234375" customWidth="1" style="655" min="3" max="3"/>
    <col hidden="1" width="13.3828125" customWidth="1" style="655" min="4" max="4"/>
    <col hidden="1" width="11" customWidth="1" style="655" min="5" max="5"/>
    <col width="12.53515625" bestFit="1" customWidth="1" style="655" min="6" max="6"/>
    <col hidden="1" width="13.3828125" customWidth="1" style="655" min="7" max="7"/>
    <col hidden="1" width="11" customWidth="1" style="655" min="8" max="8"/>
    <col width="15" customWidth="1" style="655" min="9" max="9"/>
    <col hidden="1" width="9.3828125" customWidth="1" style="655" min="10" max="10"/>
    <col width="13.3828125" bestFit="1" customWidth="1" style="655" min="11" max="11"/>
    <col width="13.3828125" customWidth="1" style="655" min="12" max="13"/>
    <col width="17.3828125" customWidth="1" style="655" min="14" max="14"/>
    <col width="16.3828125" bestFit="1" customWidth="1" style="655" min="15" max="15"/>
    <col width="20.53515625" bestFit="1" customWidth="1" style="655" min="16" max="16"/>
    <col width="19.53515625" bestFit="1" customWidth="1" style="655" min="17" max="17"/>
    <col width="12.15234375" bestFit="1" customWidth="1" style="655" min="18" max="18"/>
    <col width="11.3828125" customWidth="1" style="655" min="19" max="19"/>
    <col width="15.3828125" bestFit="1" customWidth="1" style="655" min="20" max="20"/>
    <col width="11.3828125" customWidth="1" style="655" min="21" max="31"/>
    <col width="11.3828125" customWidth="1" style="655" min="32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  <c r="Q1" s="46" t="n"/>
      <c r="R1" s="46" t="n"/>
      <c r="S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  <c r="Q2" s="46" t="n"/>
      <c r="R2" s="46" t="n"/>
      <c r="S2" s="46" t="n"/>
    </row>
    <row r="3" ht="69" customHeight="1" s="700" thickBot="1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K3" s="87" t="n"/>
      <c r="L3" s="87" t="n"/>
      <c r="M3" s="87" t="n"/>
      <c r="O3" s="46" t="n"/>
      <c r="P3" s="46" t="n"/>
      <c r="Q3" s="46" t="n"/>
      <c r="R3" s="46" t="n"/>
      <c r="S3" s="46" t="n"/>
    </row>
    <row r="4" ht="18" customHeight="1" s="700">
      <c r="A4" s="46" t="n"/>
      <c r="B4" s="119" t="inlineStr">
        <is>
          <t>FONDO I</t>
        </is>
      </c>
      <c r="C4" s="666" t="inlineStr">
        <is>
          <t>SPV</t>
        </is>
      </c>
      <c r="D4" s="667" t="n"/>
      <c r="E4" s="663" t="n"/>
      <c r="F4" s="668" t="inlineStr">
        <is>
          <t>ACC</t>
        </is>
      </c>
      <c r="G4" s="667" t="n"/>
      <c r="H4" s="663" t="n"/>
      <c r="I4" s="662" t="inlineStr">
        <is>
          <t>O&amp;M</t>
        </is>
      </c>
      <c r="J4" s="663" t="n"/>
      <c r="K4" s="662" t="inlineStr">
        <is>
          <t>Consult</t>
        </is>
      </c>
      <c r="L4" s="662" t="inlineStr">
        <is>
          <t>Cuentas</t>
        </is>
      </c>
      <c r="M4" s="121" t="inlineStr">
        <is>
          <t>Secretaría</t>
        </is>
      </c>
      <c r="N4" s="46" t="n"/>
    </row>
    <row r="5" ht="14.9" customHeight="1" s="700">
      <c r="A5" s="654" t="inlineStr">
        <is>
          <t>Renova</t>
        </is>
      </c>
      <c r="B5" s="122" t="inlineStr">
        <is>
          <t>Valverde</t>
        </is>
      </c>
      <c r="C5" s="661">
        <f>3750*0.4*(1+$O$22)</f>
        <v/>
      </c>
      <c r="D5" s="665">
        <f>C5*0.7</f>
        <v/>
      </c>
      <c r="E5" s="665">
        <f>C5*0.3*(1+$O$22)</f>
        <v/>
      </c>
      <c r="F5" s="661">
        <f>3400*0.75*(1+$O$22)</f>
        <v/>
      </c>
      <c r="G5" s="665">
        <f>F5*0.5</f>
        <v/>
      </c>
      <c r="H5" s="665">
        <f>F5*0.3</f>
        <v/>
      </c>
      <c r="I5" s="58">
        <f>820*0.4*(1+$O$22)</f>
        <v/>
      </c>
      <c r="J5" s="59" t="inlineStr">
        <is>
          <t>n/a</t>
        </is>
      </c>
      <c r="K5" s="58">
        <f>2500*2500/(100+300+2500+1600+4000)*(1+$O$22)/25</f>
        <v/>
      </c>
      <c r="L5" s="58" t="n">
        <v>0</v>
      </c>
      <c r="M5" s="123" t="n">
        <v>0</v>
      </c>
      <c r="N5" s="660" t="inlineStr">
        <is>
          <t>Gastos generales: 3,5 % del honorario global</t>
        </is>
      </c>
      <c r="O5" s="664">
        <f>C5*12</f>
        <v/>
      </c>
      <c r="P5" s="664">
        <f>F5*12</f>
        <v/>
      </c>
      <c r="Q5" s="664">
        <f>SUM(I5:I8)*12</f>
        <v/>
      </c>
      <c r="R5" s="664">
        <f>SUM(K5:K8)*12</f>
        <v/>
      </c>
      <c r="S5" s="669">
        <f>SUM(O5:R8)</f>
        <v/>
      </c>
      <c r="T5" s="659" t="inlineStr">
        <is>
          <t>RENOVA</t>
        </is>
      </c>
    </row>
    <row r="6" ht="15" customHeight="1" s="700">
      <c r="B6" s="122" t="inlineStr">
        <is>
          <t>Castuera</t>
        </is>
      </c>
      <c r="C6" s="646" t="n"/>
      <c r="D6" s="646" t="n"/>
      <c r="E6" s="646" t="n"/>
      <c r="F6" s="646" t="n"/>
      <c r="G6" s="646" t="n"/>
      <c r="H6" s="646" t="n"/>
      <c r="I6" s="58">
        <f>820*0.4*(1+$O$22)</f>
        <v/>
      </c>
      <c r="J6" s="59" t="inlineStr">
        <is>
          <t>n/a</t>
        </is>
      </c>
      <c r="K6" s="58">
        <f>2500*2500/(100+300+2500+1600+4000)*(1+$O$22)/25</f>
        <v/>
      </c>
      <c r="L6" s="58" t="n">
        <v>0</v>
      </c>
      <c r="M6" s="123" t="n">
        <v>0</v>
      </c>
      <c r="O6" s="646" t="n"/>
      <c r="P6" s="646" t="n"/>
      <c r="Q6" s="646" t="n"/>
      <c r="R6" s="646" t="n"/>
      <c r="S6" s="646" t="n"/>
      <c r="T6" s="646" t="n"/>
    </row>
    <row r="7" ht="15" customHeight="1" s="700">
      <c r="B7" s="122" t="inlineStr">
        <is>
          <t>Paiporta</t>
        </is>
      </c>
      <c r="C7" s="646" t="n"/>
      <c r="D7" s="646" t="n"/>
      <c r="E7" s="646" t="n"/>
      <c r="F7" s="646" t="n"/>
      <c r="G7" s="646" t="n"/>
      <c r="H7" s="646" t="n"/>
      <c r="I7" s="58">
        <f>820*0.4*(1+$O$22)</f>
        <v/>
      </c>
      <c r="J7" s="59" t="inlineStr">
        <is>
          <t>n/a</t>
        </is>
      </c>
      <c r="K7" s="58">
        <f>2500*2500/(100+300+2500+1600+4000)*(1+$O$22)/25</f>
        <v/>
      </c>
      <c r="L7" s="58" t="n">
        <v>0</v>
      </c>
      <c r="M7" s="123" t="n">
        <v>0</v>
      </c>
      <c r="O7" s="646" t="n"/>
      <c r="P7" s="646" t="n"/>
      <c r="Q7" s="646" t="n"/>
      <c r="R7" s="646" t="n"/>
      <c r="S7" s="646" t="n"/>
      <c r="T7" s="646" t="n"/>
    </row>
    <row r="8" ht="15" customHeight="1" s="700">
      <c r="B8" s="122" t="inlineStr">
        <is>
          <t>Bonaire</t>
        </is>
      </c>
      <c r="C8" s="647" t="n"/>
      <c r="D8" s="647" t="n"/>
      <c r="E8" s="647" t="n"/>
      <c r="F8" s="647" t="n"/>
      <c r="G8" s="647" t="n"/>
      <c r="H8" s="647" t="n"/>
      <c r="I8" s="58">
        <f>820*0.4*(1+$O$22)</f>
        <v/>
      </c>
      <c r="J8" s="59" t="inlineStr">
        <is>
          <t>n/a</t>
        </is>
      </c>
      <c r="K8" s="58">
        <f>2500*2500/(100+300+2500+1600+4000)*(1+$O$22)/25</f>
        <v/>
      </c>
      <c r="L8" s="58" t="n">
        <v>0</v>
      </c>
      <c r="M8" s="123" t="n">
        <v>0</v>
      </c>
      <c r="O8" s="647" t="n"/>
      <c r="P8" s="647" t="n"/>
      <c r="Q8" s="647" t="n"/>
      <c r="R8" s="647" t="n"/>
      <c r="S8" s="647" t="n"/>
      <c r="T8" s="647" t="n"/>
    </row>
    <row r="9" ht="15.75" customHeight="1" s="700" thickBot="1">
      <c r="A9" s="46" t="n"/>
      <c r="B9" s="124" t="inlineStr">
        <is>
          <t>Coreses</t>
        </is>
      </c>
      <c r="C9" s="125">
        <f>980*(1+$O$22)</f>
        <v/>
      </c>
      <c r="D9" s="126">
        <f>C9*0.7</f>
        <v/>
      </c>
      <c r="E9" s="126">
        <f>C9*0.3</f>
        <v/>
      </c>
      <c r="F9" s="125">
        <f>980*(1+$O$22)</f>
        <v/>
      </c>
      <c r="G9" s="126">
        <f>F9*0.5</f>
        <v/>
      </c>
      <c r="H9" s="126">
        <f>G9*0.3</f>
        <v/>
      </c>
      <c r="I9" s="125">
        <f>820*(1+$O$22)</f>
        <v/>
      </c>
      <c r="J9" s="127" t="inlineStr">
        <is>
          <t>n/a</t>
        </is>
      </c>
      <c r="K9" s="125">
        <f>2500*4000/(100+300+2500+1600+4000)*(1+$O$22)</f>
        <v/>
      </c>
      <c r="L9" s="125" t="n">
        <v>0</v>
      </c>
      <c r="M9" s="128" t="n">
        <v>0</v>
      </c>
      <c r="O9" s="103">
        <f>C9*12</f>
        <v/>
      </c>
      <c r="P9" s="103">
        <f>F9*12</f>
        <v/>
      </c>
      <c r="Q9" s="103">
        <f>I9*12</f>
        <v/>
      </c>
      <c r="R9" s="103">
        <f>K9*12</f>
        <v/>
      </c>
      <c r="S9" s="104">
        <f>SUM(O9:R9)</f>
        <v/>
      </c>
      <c r="T9" s="105" t="inlineStr">
        <is>
          <t>CORESES</t>
        </is>
      </c>
    </row>
    <row r="10" ht="15.75" customHeight="1" s="700" thickBot="1">
      <c r="A10" s="46" t="n"/>
      <c r="B10" s="46" t="n"/>
      <c r="C10" s="60" t="n"/>
      <c r="D10" s="60" t="n"/>
      <c r="E10" s="60" t="n"/>
      <c r="F10" s="60" t="n"/>
      <c r="G10" s="60" t="n"/>
      <c r="H10" s="60" t="n"/>
      <c r="I10" s="60" t="n"/>
      <c r="J10" s="46" t="n"/>
      <c r="K10" s="46" t="n"/>
      <c r="L10" s="46" t="n"/>
      <c r="M10" s="46" t="n"/>
      <c r="N10" s="46" t="n"/>
      <c r="O10" s="79" t="n"/>
      <c r="P10" s="79" t="n"/>
      <c r="Q10" s="79" t="n"/>
      <c r="R10" s="79" t="n"/>
      <c r="S10" s="92" t="n"/>
      <c r="T10" s="72" t="n"/>
    </row>
    <row r="11" ht="18.75" customHeight="1" s="700" thickBot="1">
      <c r="A11" s="46" t="n"/>
      <c r="B11" s="119" t="inlineStr">
        <is>
          <t>FONDO II</t>
        </is>
      </c>
      <c r="C11" s="666" t="inlineStr">
        <is>
          <t>SPV</t>
        </is>
      </c>
      <c r="D11" s="667" t="n"/>
      <c r="E11" s="663" t="n"/>
      <c r="F11" s="668" t="inlineStr">
        <is>
          <t>ACC</t>
        </is>
      </c>
      <c r="G11" s="667" t="n"/>
      <c r="H11" s="663" t="n"/>
      <c r="I11" s="662" t="inlineStr">
        <is>
          <t>O&amp;M</t>
        </is>
      </c>
      <c r="J11" s="663" t="n"/>
      <c r="K11" s="662" t="inlineStr">
        <is>
          <t>Consult</t>
        </is>
      </c>
      <c r="L11" s="662" t="n"/>
      <c r="M11" s="121" t="n"/>
      <c r="N11" s="46" t="n"/>
      <c r="O11" s="79" t="n"/>
      <c r="P11" s="79" t="n"/>
      <c r="Q11" s="79" t="n"/>
      <c r="R11" s="79" t="n"/>
      <c r="S11" s="92" t="n"/>
      <c r="T11" s="72" t="n"/>
    </row>
    <row r="12" ht="15" customHeight="1" s="700">
      <c r="A12" s="46" t="n"/>
      <c r="B12" s="122" t="inlineStr">
        <is>
          <t>Villamartín</t>
        </is>
      </c>
      <c r="C12" s="58">
        <f>1200*(1+$O$22)</f>
        <v/>
      </c>
      <c r="D12" s="61">
        <f>C12*0.7</f>
        <v/>
      </c>
      <c r="E12" s="61">
        <f>C12*0.3</f>
        <v/>
      </c>
      <c r="F12" s="58">
        <f>1400*(1+$O$22)</f>
        <v/>
      </c>
      <c r="G12" s="61">
        <f>F12*0.5</f>
        <v/>
      </c>
      <c r="H12" s="61">
        <f>F12*0.3</f>
        <v/>
      </c>
      <c r="I12" s="58">
        <f>820*(1+$O$22)</f>
        <v/>
      </c>
      <c r="J12" s="59" t="inlineStr">
        <is>
          <t>n/a</t>
        </is>
      </c>
      <c r="K12" s="58">
        <f>2500*5450/(1000+5450+3160)*(1+O22)</f>
        <v/>
      </c>
      <c r="L12" s="58" t="n">
        <v>0</v>
      </c>
      <c r="M12" s="123" t="n">
        <v>0</v>
      </c>
      <c r="N12" s="660" t="n"/>
      <c r="O12" s="106">
        <f>C12*12</f>
        <v/>
      </c>
      <c r="P12" s="107">
        <f>F12*12</f>
        <v/>
      </c>
      <c r="Q12" s="107">
        <f>I12*12</f>
        <v/>
      </c>
      <c r="R12" s="107">
        <f>K12*12</f>
        <v/>
      </c>
      <c r="S12" s="108">
        <f>SUM(O12:R12)</f>
        <v/>
      </c>
      <c r="T12" s="109" t="inlineStr">
        <is>
          <t>VILLAMARTÍN</t>
        </is>
      </c>
    </row>
    <row r="13" ht="15" customHeight="1" s="700">
      <c r="A13" s="46" t="n"/>
      <c r="B13" s="122" t="inlineStr">
        <is>
          <t>Sollana (2.1)</t>
        </is>
      </c>
      <c r="C13" s="58">
        <f>950*(1+$O$22)</f>
        <v/>
      </c>
      <c r="D13" s="61">
        <f>C13*0.7</f>
        <v/>
      </c>
      <c r="E13" s="61">
        <f>C13*0.3</f>
        <v/>
      </c>
      <c r="F13" s="58">
        <f>1000*(1+$O$22)</f>
        <v/>
      </c>
      <c r="G13" s="61">
        <f>F13*0.5</f>
        <v/>
      </c>
      <c r="H13" s="61">
        <f>F13*0.3</f>
        <v/>
      </c>
      <c r="I13" s="58">
        <f>820*(1+$O$22)</f>
        <v/>
      </c>
      <c r="J13" s="59" t="inlineStr">
        <is>
          <t>n/a</t>
        </is>
      </c>
      <c r="K13" s="58">
        <f>2500*1000/(1000+5450+3160)*(1+O22)</f>
        <v/>
      </c>
      <c r="L13" s="58" t="n">
        <v>5500</v>
      </c>
      <c r="M13" s="123" t="n">
        <v>5500</v>
      </c>
      <c r="O13" s="110">
        <f>C13*12</f>
        <v/>
      </c>
      <c r="P13" s="103">
        <f>F13*12</f>
        <v/>
      </c>
      <c r="Q13" s="103">
        <f>I13*12</f>
        <v/>
      </c>
      <c r="R13" s="103">
        <f>K13*12</f>
        <v/>
      </c>
      <c r="S13" s="104">
        <f>SUM(O13:R13)</f>
        <v/>
      </c>
      <c r="T13" s="111" t="inlineStr">
        <is>
          <t>SOLLANA</t>
        </is>
      </c>
    </row>
    <row r="14" ht="15" customHeight="1" s="700">
      <c r="A14" s="46" t="n"/>
      <c r="B14" s="122" t="inlineStr">
        <is>
          <t>Artá (2.3)</t>
        </is>
      </c>
      <c r="C14" s="58">
        <f>950*(1+$O$22)</f>
        <v/>
      </c>
      <c r="D14" s="61">
        <f>C14*0.7</f>
        <v/>
      </c>
      <c r="E14" s="61">
        <f>C14*0.3</f>
        <v/>
      </c>
      <c r="F14" s="58">
        <f>1000*(1+$O$22)</f>
        <v/>
      </c>
      <c r="G14" s="61">
        <f>F14*0.5</f>
        <v/>
      </c>
      <c r="H14" s="61">
        <f>F14*0.3</f>
        <v/>
      </c>
      <c r="I14" s="58">
        <f>820*(1+$O$22)</f>
        <v/>
      </c>
      <c r="J14" s="59" t="inlineStr">
        <is>
          <t>n/a</t>
        </is>
      </c>
      <c r="K14" s="58">
        <f>2500*3160/(1000+5450+3160)*(1+O22)</f>
        <v/>
      </c>
      <c r="L14" s="58" t="n">
        <v>0</v>
      </c>
      <c r="M14" s="123" t="n">
        <v>0</v>
      </c>
      <c r="O14" s="110">
        <f>C14*12</f>
        <v/>
      </c>
      <c r="P14" s="103">
        <f>F14*12</f>
        <v/>
      </c>
      <c r="Q14" s="103">
        <f>I14*12</f>
        <v/>
      </c>
      <c r="R14" s="103">
        <f>K14*12</f>
        <v/>
      </c>
      <c r="S14" s="104">
        <f>SUM(O14:R14)</f>
        <v/>
      </c>
      <c r="T14" s="111" t="inlineStr">
        <is>
          <t>ARTÀ</t>
        </is>
      </c>
    </row>
    <row r="15" ht="15" customHeight="1" s="700">
      <c r="A15" s="46" t="n"/>
      <c r="B15" s="122" t="inlineStr">
        <is>
          <t>Casa Roja (2.5) - Lo Illán</t>
        </is>
      </c>
      <c r="C15" s="58">
        <f>950*(1+$O$22)</f>
        <v/>
      </c>
      <c r="D15" s="61" t="n"/>
      <c r="E15" s="61" t="n"/>
      <c r="F15" s="58">
        <f>1000*(1+$O$22)</f>
        <v/>
      </c>
      <c r="G15" s="61" t="n"/>
      <c r="H15" s="61" t="n"/>
      <c r="I15" s="58">
        <f>820*(1+$O$22)</f>
        <v/>
      </c>
      <c r="J15" s="59" t="inlineStr">
        <is>
          <t>n/a</t>
        </is>
      </c>
      <c r="K15" s="58">
        <f>5000*2/7*(1+O22)</f>
        <v/>
      </c>
      <c r="L15" s="58" t="n">
        <v>5500</v>
      </c>
      <c r="M15" s="123" t="n">
        <v>5500</v>
      </c>
      <c r="O15" s="110">
        <f>C15*12</f>
        <v/>
      </c>
      <c r="P15" s="103">
        <f>F15*12</f>
        <v/>
      </c>
      <c r="Q15" s="103">
        <f>I15*12</f>
        <v/>
      </c>
      <c r="R15" s="103">
        <f>K15*12</f>
        <v/>
      </c>
      <c r="S15" s="104">
        <f>SUM(O15:R15)</f>
        <v/>
      </c>
      <c r="T15" s="111" t="inlineStr">
        <is>
          <t>LO ILLÁN</t>
        </is>
      </c>
    </row>
    <row r="16" ht="15" customHeight="1" s="700">
      <c r="A16" s="46" t="n"/>
      <c r="B16" s="122" t="inlineStr">
        <is>
          <t>Casa Roja (2.5) - Contreras</t>
        </is>
      </c>
      <c r="C16" s="58">
        <f>950*(1+$O$22)</f>
        <v/>
      </c>
      <c r="D16" s="61" t="n"/>
      <c r="E16" s="61" t="n"/>
      <c r="F16" s="58">
        <f>1000*(1+$O$22)</f>
        <v/>
      </c>
      <c r="G16" s="61" t="n"/>
      <c r="H16" s="61" t="n"/>
      <c r="I16" s="58">
        <f>820*(1+$O$22)</f>
        <v/>
      </c>
      <c r="J16" s="59" t="inlineStr">
        <is>
          <t>n/a</t>
        </is>
      </c>
      <c r="K16" s="58">
        <f>5000*3/7*(1+O22)</f>
        <v/>
      </c>
      <c r="L16" s="58" t="n">
        <v>5500</v>
      </c>
      <c r="M16" s="123" t="n">
        <v>5500</v>
      </c>
      <c r="O16" s="110">
        <f>C16*12</f>
        <v/>
      </c>
      <c r="P16" s="103">
        <f>F16*12</f>
        <v/>
      </c>
      <c r="Q16" s="103">
        <f>I16*12</f>
        <v/>
      </c>
      <c r="R16" s="103">
        <f>K16*12</f>
        <v/>
      </c>
      <c r="S16" s="104">
        <f>SUM(O16:R16)</f>
        <v/>
      </c>
      <c r="T16" s="111" t="inlineStr">
        <is>
          <t>CONTRERAS</t>
        </is>
      </c>
    </row>
    <row r="17" ht="15" customHeight="1" s="700">
      <c r="A17" s="46" t="n"/>
      <c r="B17" s="122" t="inlineStr">
        <is>
          <t>Casa Roja (2.5) - Turbinto</t>
        </is>
      </c>
      <c r="C17" s="58">
        <f>950*(1+$O$22)</f>
        <v/>
      </c>
      <c r="D17" s="61" t="n"/>
      <c r="E17" s="61" t="n"/>
      <c r="F17" s="58">
        <f>1000*(1+$O$22)</f>
        <v/>
      </c>
      <c r="G17" s="61" t="n"/>
      <c r="H17" s="61" t="n"/>
      <c r="I17" s="58">
        <f>820*(1+$O$22)</f>
        <v/>
      </c>
      <c r="J17" s="59" t="inlineStr">
        <is>
          <t>n/a</t>
        </is>
      </c>
      <c r="K17" s="58">
        <f>5000*2/7*(1+O22)</f>
        <v/>
      </c>
      <c r="L17" s="58" t="n">
        <v>5500</v>
      </c>
      <c r="M17" s="123" t="n">
        <v>5500</v>
      </c>
      <c r="O17" s="110">
        <f>C17*12</f>
        <v/>
      </c>
      <c r="P17" s="103">
        <f>F17*12</f>
        <v/>
      </c>
      <c r="Q17" s="103">
        <f>I17*12</f>
        <v/>
      </c>
      <c r="R17" s="103">
        <f>K17*12</f>
        <v/>
      </c>
      <c r="S17" s="104">
        <f>SUM(O17:R17)</f>
        <v/>
      </c>
      <c r="T17" s="111" t="inlineStr">
        <is>
          <t>TURBINTO</t>
        </is>
      </c>
    </row>
    <row r="18" ht="15.75" customHeight="1" s="700" thickBot="1">
      <c r="A18" s="46" t="n"/>
      <c r="B18" s="124" t="inlineStr">
        <is>
          <t xml:space="preserve">AE3000 (2.7) - Proyecto 1 </t>
        </is>
      </c>
      <c r="C18" s="129">
        <f>18000/12*(1+$O$25)</f>
        <v/>
      </c>
      <c r="D18" s="126">
        <f>C18*0.7</f>
        <v/>
      </c>
      <c r="E18" s="126">
        <f>C18*0.3</f>
        <v/>
      </c>
      <c r="F18" s="129">
        <f>11400/12*(1+$O$25)</f>
        <v/>
      </c>
      <c r="G18" s="126">
        <f>F18*0.5</f>
        <v/>
      </c>
      <c r="H18" s="126">
        <f>F18*0.3</f>
        <v/>
      </c>
      <c r="I18" s="129">
        <f>14760/12*(1+$O$25)</f>
        <v/>
      </c>
      <c r="J18" s="127" t="inlineStr">
        <is>
          <t>n/a</t>
        </is>
      </c>
      <c r="K18" s="127" t="n"/>
      <c r="L18" s="125" t="n">
        <v>0</v>
      </c>
      <c r="M18" s="128" t="n">
        <v>0</v>
      </c>
      <c r="O18" s="112">
        <f>C18*12</f>
        <v/>
      </c>
      <c r="P18" s="113">
        <f>F18*12</f>
        <v/>
      </c>
      <c r="Q18" s="113">
        <f>I18*12</f>
        <v/>
      </c>
      <c r="R18" s="113" t="n">
        <v>0</v>
      </c>
      <c r="S18" s="114">
        <f>SUM(O18:R18)</f>
        <v/>
      </c>
      <c r="T18" s="115" t="inlineStr">
        <is>
          <t>AE3000</t>
        </is>
      </c>
    </row>
    <row r="19" ht="15.75" customHeight="1" s="700" thickBot="1">
      <c r="A19" s="46" t="n"/>
      <c r="B19" s="46" t="n"/>
      <c r="C19" s="46" t="n"/>
      <c r="D19" s="46" t="n"/>
      <c r="E19" s="46" t="n"/>
      <c r="F19" s="46" t="n"/>
      <c r="G19" s="46" t="n"/>
      <c r="H19" s="46" t="n"/>
      <c r="I19" s="46" t="n"/>
      <c r="J19" s="46" t="n"/>
      <c r="K19" s="46" t="n"/>
      <c r="L19" s="46" t="n"/>
      <c r="M19" s="46" t="n"/>
      <c r="N19" s="46" t="n"/>
      <c r="O19" s="116">
        <f>SUM(O5:O18)</f>
        <v/>
      </c>
      <c r="P19" s="117">
        <f>SUM(P5:P18)</f>
        <v/>
      </c>
      <c r="Q19" s="117">
        <f>SUM(Q5:Q18)</f>
        <v/>
      </c>
      <c r="R19" s="117">
        <f>SUM(R5:R18)</f>
        <v/>
      </c>
      <c r="S19" s="117">
        <f>SUM(O19:R19)</f>
        <v/>
      </c>
      <c r="T19" s="118" t="inlineStr">
        <is>
          <t>TOTAL</t>
        </is>
      </c>
    </row>
    <row r="20" ht="15" customHeight="1" s="700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  <c r="K20" s="46" t="n"/>
      <c r="L20" s="46" t="n"/>
      <c r="M20" s="46" t="n"/>
      <c r="N20" s="46" t="n"/>
      <c r="O20" s="46" t="n"/>
      <c r="P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52">
        <f>1*(1+Q21)*(1+Q22)*(1+Q23)*(1+Q25)*(1+Q27)</f>
        <v/>
      </c>
      <c r="P21" s="46" t="inlineStr">
        <is>
          <t>Revisión 2009-2010</t>
        </is>
      </c>
      <c r="Q21" s="53" t="n">
        <v>0.0208</v>
      </c>
      <c r="R21" s="46" t="n"/>
    </row>
    <row r="22">
      <c r="A22" s="46" t="n"/>
      <c r="B22" s="46" t="n"/>
      <c r="C22" s="60">
        <f>C18+C17+C16+C15+C14+C13+C12+C9+C5</f>
        <v/>
      </c>
      <c r="D22" s="83">
        <f>C22/$C$23</f>
        <v/>
      </c>
      <c r="E22" s="46" t="n"/>
      <c r="F22" s="60">
        <f>F18+F17+F16+F15+F14+F13+F12+F9+F5</f>
        <v/>
      </c>
      <c r="G22" s="83">
        <f>F22/$C$23</f>
        <v/>
      </c>
      <c r="H22" s="46" t="n"/>
      <c r="I22" s="46" t="n"/>
      <c r="J22" s="46" t="n"/>
      <c r="K22" s="46" t="n"/>
      <c r="L22" s="46" t="n"/>
      <c r="M22" s="46" t="n"/>
      <c r="N22" s="75" t="inlineStr">
        <is>
          <t>Revisión 2013</t>
        </is>
      </c>
      <c r="O22" s="85">
        <f>O21-1</f>
        <v/>
      </c>
      <c r="P22" s="46" t="inlineStr">
        <is>
          <t>Revisión 2010-2011</t>
        </is>
      </c>
      <c r="Q22" s="53" t="n">
        <v>0.029</v>
      </c>
      <c r="R22" s="46" t="n"/>
    </row>
    <row r="23">
      <c r="A23" s="46" t="n"/>
      <c r="B23" s="82" t="inlineStr">
        <is>
          <t>Soc</t>
        </is>
      </c>
      <c r="C23" s="46">
        <f>7+4+1+1+3+1+48</f>
        <v/>
      </c>
      <c r="D23" s="46" t="n"/>
      <c r="E23" s="46" t="n"/>
      <c r="F23" s="46" t="n"/>
      <c r="G23" s="46" t="n"/>
      <c r="H23" s="46" t="n"/>
      <c r="I23" s="46" t="n"/>
      <c r="J23" s="46" t="n"/>
      <c r="K23" s="46" t="n"/>
      <c r="L23" s="46" t="n"/>
      <c r="M23" s="46" t="n"/>
      <c r="N23" s="46" t="n"/>
      <c r="O23" s="46" t="n"/>
      <c r="P23" s="73" t="inlineStr">
        <is>
          <t>Revisión 2011-2012</t>
        </is>
      </c>
      <c r="Q23" s="74" t="n">
        <v>-0.00028</v>
      </c>
      <c r="R23" s="73" t="inlineStr">
        <is>
          <t>Nuevo Index</t>
        </is>
      </c>
    </row>
    <row r="24">
      <c r="A24" s="46" t="n"/>
      <c r="B24" s="46" t="n"/>
      <c r="D24" s="46" t="n"/>
      <c r="E24" s="46" t="n"/>
      <c r="G24" s="46" t="n"/>
      <c r="H24" s="46" t="n"/>
      <c r="I24" s="46" t="n"/>
      <c r="J24" s="46" t="n"/>
      <c r="K24" s="46" t="n"/>
      <c r="L24" s="46" t="n"/>
      <c r="M24" s="46" t="n"/>
      <c r="N24" s="60" t="n"/>
      <c r="O24" s="77">
        <f>1*(1+Q21)*(1+Q22)*(1+Q24)*(1+Q26)*(1+Q28)</f>
        <v/>
      </c>
      <c r="P24" s="76" t="inlineStr">
        <is>
          <t>AE3000 - 2011/2012</t>
        </is>
      </c>
      <c r="Q24" s="53" t="n">
        <v>0.029</v>
      </c>
      <c r="R24" s="46" t="n"/>
    </row>
    <row r="25">
      <c r="A25" s="46" t="n"/>
      <c r="B25" s="82" t="inlineStr">
        <is>
          <t>Soc Renova</t>
        </is>
      </c>
      <c r="C25" s="46" t="n">
        <v>48</v>
      </c>
      <c r="D25" s="46" t="n"/>
      <c r="E25" s="46" t="n"/>
      <c r="F25" s="46" t="n">
        <v>48</v>
      </c>
      <c r="G25" s="46" t="n"/>
      <c r="H25" s="46" t="n"/>
      <c r="I25" s="46" t="n"/>
      <c r="J25" s="46" t="n"/>
      <c r="K25" s="46" t="n"/>
      <c r="L25" s="46" t="n"/>
      <c r="M25" s="46" t="n"/>
      <c r="N25" s="76" t="inlineStr">
        <is>
          <t>Revisión AE3000</t>
        </is>
      </c>
      <c r="O25" s="85">
        <f>O24-1</f>
        <v/>
      </c>
      <c r="P25" s="84" t="inlineStr">
        <is>
          <t>Revisión 2012-2013</t>
        </is>
      </c>
      <c r="Q25" s="97" t="n">
        <v>-0.00322</v>
      </c>
      <c r="R25" s="73" t="inlineStr">
        <is>
          <t>Nuevo Index</t>
        </is>
      </c>
    </row>
    <row r="26">
      <c r="A26" s="46" t="n"/>
      <c r="B26" s="82" t="inlineStr">
        <is>
          <t>Soc No Renova</t>
        </is>
      </c>
      <c r="C26" s="46">
        <f>C23-C25</f>
        <v/>
      </c>
      <c r="D26" s="46" t="n"/>
      <c r="E26" s="46" t="n"/>
      <c r="F26" s="46">
        <f>C23-F25</f>
        <v/>
      </c>
      <c r="G26" s="46" t="n"/>
      <c r="H26" s="46" t="n"/>
      <c r="I26" s="46" t="n"/>
      <c r="J26" s="46" t="n"/>
      <c r="K26" s="46" t="n"/>
      <c r="L26" s="46" t="n"/>
      <c r="M26" s="46" t="n"/>
      <c r="N26" s="46" t="n"/>
      <c r="O26" s="46" t="n"/>
      <c r="P26" s="84" t="inlineStr">
        <is>
          <t>AE3000 - 2012/2013</t>
        </is>
      </c>
      <c r="Q26" s="97" t="n">
        <v>0.00264</v>
      </c>
      <c r="R26" s="46" t="n"/>
    </row>
    <row r="27">
      <c r="A27" s="46" t="n"/>
      <c r="B27" s="82" t="inlineStr">
        <is>
          <t>Ingresos Renova</t>
        </is>
      </c>
      <c r="C27" s="60">
        <f>C5</f>
        <v/>
      </c>
      <c r="D27" s="83">
        <f>C27/C25</f>
        <v/>
      </c>
      <c r="E27" s="46" t="n"/>
      <c r="F27" s="60">
        <f>F5</f>
        <v/>
      </c>
      <c r="G27" s="83">
        <f>F27/F25</f>
        <v/>
      </c>
      <c r="H27" s="46" t="n"/>
      <c r="I27" s="46" t="n"/>
      <c r="J27" s="46" t="n"/>
      <c r="K27" s="46" t="n"/>
      <c r="L27" s="46" t="n"/>
      <c r="M27" s="46" t="n"/>
      <c r="N27" s="46" t="n"/>
      <c r="O27" s="46" t="n"/>
      <c r="P27" s="96" t="inlineStr">
        <is>
          <t>Revisión 2013-2014</t>
        </is>
      </c>
      <c r="Q27" s="85" t="n">
        <v>0.01</v>
      </c>
      <c r="R27" s="96" t="inlineStr">
        <is>
          <t>Nuevo Index</t>
        </is>
      </c>
    </row>
    <row r="28">
      <c r="A28" s="46" t="n"/>
      <c r="B28" s="82" t="inlineStr">
        <is>
          <t>Ingresos No Renova</t>
        </is>
      </c>
      <c r="C28" s="60">
        <f>C18+C17+C16+C15+C14+C13+C12+C9</f>
        <v/>
      </c>
      <c r="D28" s="83">
        <f>C28/C26</f>
        <v/>
      </c>
      <c r="E28" s="46" t="n"/>
      <c r="F28" s="60">
        <f>F18+F17+F16+F15+F14+F13+F12+F9</f>
        <v/>
      </c>
      <c r="G28" s="83">
        <f>F28/F26</f>
        <v/>
      </c>
      <c r="H28" s="46" t="n"/>
      <c r="I28" s="46" t="n"/>
      <c r="J28" s="46" t="n"/>
      <c r="K28" s="46" t="n"/>
      <c r="L28" s="46" t="n"/>
      <c r="M28" s="46" t="n"/>
      <c r="N28" s="46" t="n"/>
      <c r="O28" s="46" t="n"/>
      <c r="P28" s="96" t="inlineStr">
        <is>
          <t>AE3000 - 2013-2014</t>
        </is>
      </c>
      <c r="Q28" s="85" t="n">
        <v>-0.013</v>
      </c>
      <c r="R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  <c r="K29" s="46" t="n"/>
      <c r="L29" s="46" t="n"/>
      <c r="M29" s="46" t="n"/>
      <c r="N29" s="46" t="n"/>
      <c r="O29" s="46" t="n"/>
      <c r="P29" s="46" t="n"/>
    </row>
    <row r="30">
      <c r="A30" s="46" t="n"/>
      <c r="B30" s="82" t="inlineStr">
        <is>
          <t>9Ren</t>
        </is>
      </c>
      <c r="C30" s="46" t="n"/>
      <c r="D30" s="46" t="n"/>
      <c r="E30" s="46" t="n"/>
      <c r="F30" s="46" t="n"/>
      <c r="G30" s="46" t="n"/>
      <c r="H30" s="46" t="n"/>
      <c r="I30" s="46" t="n"/>
      <c r="J30" s="46" t="n"/>
      <c r="K30" s="46" t="n"/>
      <c r="L30" s="46" t="n"/>
      <c r="M30" s="46" t="n"/>
      <c r="N30" s="692" t="inlineStr">
        <is>
          <t>PENDIENTE DE REVISAR IPC 2015 (JULIO 2015)</t>
        </is>
      </c>
    </row>
    <row r="31">
      <c r="A31" s="46" t="n"/>
      <c r="B31" s="82" t="inlineStr">
        <is>
          <t>Soc</t>
        </is>
      </c>
      <c r="C31" s="46" t="n">
        <v>160</v>
      </c>
      <c r="D31" s="46" t="n"/>
      <c r="E31" s="46" t="n"/>
      <c r="F31" s="46" t="n"/>
      <c r="G31" s="46" t="n"/>
      <c r="H31" s="46" t="n"/>
      <c r="I31" s="46" t="n"/>
      <c r="J31" s="46" t="n"/>
      <c r="K31" s="46" t="n"/>
      <c r="L31" s="46" t="n"/>
      <c r="M31" s="46" t="n"/>
    </row>
    <row r="32">
      <c r="A32" s="46" t="n"/>
      <c r="B32" s="82" t="inlineStr">
        <is>
          <t>Ingresos 9Ren</t>
        </is>
      </c>
      <c r="C32" s="46">
        <f>D32*C31</f>
        <v/>
      </c>
      <c r="D32" s="83" t="n">
        <v>91.66666666666664</v>
      </c>
      <c r="E32" s="46">
        <f>D32*12</f>
        <v/>
      </c>
      <c r="F32" s="46" t="n"/>
      <c r="G32" s="46" t="n"/>
      <c r="H32" s="46" t="n"/>
      <c r="I32" s="46" t="n"/>
      <c r="J32" s="46" t="n"/>
      <c r="K32" s="46" t="n"/>
      <c r="L32" s="46" t="n"/>
      <c r="M32" s="46" t="n"/>
      <c r="N32" s="46" t="n"/>
      <c r="O32" s="46" t="n"/>
      <c r="P32" s="46" t="n"/>
    </row>
    <row r="33">
      <c r="A33" s="46" t="n"/>
      <c r="B33" s="46" t="n"/>
      <c r="C33" s="46">
        <f>C32*12</f>
        <v/>
      </c>
      <c r="D33" s="46" t="n"/>
      <c r="E33" s="46">
        <f>E32*0.025</f>
        <v/>
      </c>
      <c r="F33" s="46" t="n"/>
      <c r="G33" s="46" t="n"/>
      <c r="H33" s="46" t="n"/>
      <c r="I33" s="46" t="n"/>
      <c r="J33" s="46" t="n"/>
      <c r="K33" s="46" t="n"/>
      <c r="L33" s="46" t="n"/>
      <c r="M33" s="46" t="n"/>
      <c r="N33" s="46" t="n"/>
      <c r="O33" s="46" t="n"/>
      <c r="P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  <c r="N34" s="46" t="n"/>
      <c r="O34" s="46" t="n"/>
      <c r="P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  <c r="N35" s="46" t="n"/>
      <c r="O35" s="46" t="n"/>
      <c r="P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  <c r="N36" s="46" t="n"/>
      <c r="O36" s="46" t="n"/>
      <c r="P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  <c r="K37" s="46" t="n"/>
      <c r="L37" s="46" t="n"/>
      <c r="M37" s="46" t="n"/>
      <c r="N37" s="46" t="n"/>
      <c r="O37" s="46" t="n"/>
      <c r="P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  <c r="N38" s="46" t="n"/>
      <c r="O38" s="46" t="n"/>
      <c r="P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  <c r="K39" s="46" t="n"/>
      <c r="L39" s="46" t="n"/>
      <c r="M39" s="46" t="n"/>
      <c r="N39" s="46" t="n"/>
      <c r="O39" s="46" t="n"/>
      <c r="P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  <c r="K40" s="46" t="n"/>
      <c r="L40" s="46" t="n"/>
      <c r="M40" s="46" t="n"/>
      <c r="N40" s="46" t="n"/>
      <c r="O40" s="46" t="n"/>
      <c r="P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  <c r="K41" s="46" t="n"/>
      <c r="L41" s="46" t="n"/>
      <c r="M41" s="46" t="n"/>
      <c r="N41" s="46" t="n"/>
      <c r="O41" s="46" t="n"/>
      <c r="P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  <c r="K42" s="46" t="n"/>
      <c r="L42" s="46" t="n"/>
      <c r="M42" s="46" t="n"/>
      <c r="N42" s="46" t="n"/>
      <c r="O42" s="46" t="n"/>
      <c r="P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  <c r="K43" s="46" t="n"/>
      <c r="L43" s="46" t="n"/>
      <c r="M43" s="46" t="n"/>
      <c r="N43" s="46" t="n"/>
      <c r="O43" s="46" t="n"/>
      <c r="P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  <c r="N44" s="46" t="n"/>
      <c r="O44" s="46" t="n"/>
      <c r="P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  <c r="N45" s="46" t="n"/>
      <c r="O45" s="46" t="n"/>
      <c r="P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  <c r="N46" s="46" t="n"/>
      <c r="O46" s="46" t="n"/>
      <c r="P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  <c r="K47" s="46" t="n"/>
      <c r="L47" s="46" t="n"/>
      <c r="M47" s="46" t="n"/>
      <c r="N47" s="46" t="n"/>
      <c r="O47" s="46" t="n"/>
      <c r="P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  <c r="K48" s="46" t="n"/>
      <c r="L48" s="46" t="n"/>
      <c r="M48" s="46" t="n"/>
      <c r="N48" s="46" t="n"/>
      <c r="O48" s="46" t="n"/>
      <c r="P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  <c r="N49" s="46" t="n"/>
      <c r="O49" s="46" t="n"/>
      <c r="P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  <c r="N50" s="46" t="n"/>
      <c r="O50" s="46" t="n"/>
      <c r="P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  <c r="N51" s="46" t="n"/>
      <c r="O51" s="46" t="n"/>
      <c r="P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  <c r="N52" s="46" t="n"/>
      <c r="O52" s="46" t="n"/>
      <c r="P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  <c r="N53" s="46" t="n"/>
      <c r="O53" s="46" t="n"/>
      <c r="P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  <c r="N54" s="46" t="n"/>
      <c r="O54" s="46" t="n"/>
      <c r="P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  <c r="N55" s="46" t="n"/>
      <c r="O55" s="46" t="n"/>
      <c r="P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  <c r="N56" s="46" t="n"/>
      <c r="O56" s="46" t="n"/>
      <c r="P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  <c r="N57" s="46" t="n"/>
      <c r="O57" s="46" t="n"/>
      <c r="P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  <c r="N58" s="46" t="n"/>
      <c r="O58" s="46" t="n"/>
      <c r="P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  <c r="N59" s="46" t="n"/>
      <c r="O59" s="46" t="n"/>
      <c r="P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  <c r="N60" s="46" t="n"/>
      <c r="O60" s="46" t="n"/>
      <c r="P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  <c r="N61" s="46" t="n"/>
      <c r="O61" s="46" t="n"/>
      <c r="P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  <c r="N62" s="46" t="n"/>
      <c r="O62" s="46" t="n"/>
      <c r="P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  <c r="N63" s="46" t="n"/>
      <c r="O63" s="46" t="n"/>
      <c r="P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  <c r="N64" s="46" t="n"/>
      <c r="O64" s="46" t="n"/>
      <c r="P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  <c r="N65" s="46" t="n"/>
      <c r="O65" s="46" t="n"/>
      <c r="P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  <c r="N66" s="46" t="n"/>
      <c r="O66" s="46" t="n"/>
      <c r="P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  <c r="N67" s="46" t="n"/>
      <c r="O67" s="46" t="n"/>
      <c r="P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  <c r="N68" s="46" t="n"/>
      <c r="O68" s="46" t="n"/>
      <c r="P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  <c r="N69" s="46" t="n"/>
      <c r="O69" s="46" t="n"/>
      <c r="P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  <c r="N70" s="46" t="n"/>
      <c r="O70" s="46" t="n"/>
      <c r="P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  <c r="N71" s="46" t="n"/>
      <c r="O71" s="46" t="n"/>
      <c r="P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  <c r="N72" s="46" t="n"/>
      <c r="O72" s="46" t="n"/>
      <c r="P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  <c r="N73" s="46" t="n"/>
      <c r="O73" s="46" t="n"/>
      <c r="P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  <c r="N74" s="46" t="n"/>
      <c r="O74" s="46" t="n"/>
      <c r="P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  <c r="N75" s="46" t="n"/>
      <c r="O75" s="46" t="n"/>
      <c r="P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  <c r="N76" s="46" t="n"/>
      <c r="O76" s="46" t="n"/>
      <c r="P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  <c r="N77" s="46" t="n"/>
      <c r="O77" s="46" t="n"/>
      <c r="P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  <c r="N78" s="46" t="n"/>
      <c r="O78" s="46" t="n"/>
      <c r="P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  <c r="N79" s="46" t="n"/>
      <c r="O79" s="46" t="n"/>
      <c r="P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  <c r="N80" s="46" t="n"/>
      <c r="O80" s="46" t="n"/>
      <c r="P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  <c r="N81" s="46" t="n"/>
      <c r="O81" s="46" t="n"/>
      <c r="P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  <c r="N82" s="46" t="n"/>
      <c r="O82" s="46" t="n"/>
      <c r="P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  <c r="N83" s="46" t="n"/>
      <c r="O83" s="46" t="n"/>
      <c r="P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  <c r="N84" s="46" t="n"/>
      <c r="O84" s="46" t="n"/>
      <c r="P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  <c r="N85" s="46" t="n"/>
      <c r="O85" s="46" t="n"/>
      <c r="P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  <c r="N86" s="46" t="n"/>
      <c r="O86" s="46" t="n"/>
      <c r="P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  <c r="N87" s="46" t="n"/>
      <c r="O87" s="46" t="n"/>
      <c r="P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  <c r="N88" s="46" t="n"/>
      <c r="O88" s="46" t="n"/>
      <c r="P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  <c r="N89" s="46" t="n"/>
      <c r="O89" s="46" t="n"/>
      <c r="P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  <c r="N90" s="46" t="n"/>
      <c r="O90" s="46" t="n"/>
      <c r="P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  <c r="N91" s="46" t="n"/>
      <c r="O91" s="46" t="n"/>
      <c r="P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  <c r="N92" s="46" t="n"/>
      <c r="O92" s="46" t="n"/>
      <c r="P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  <c r="N93" s="46" t="n"/>
      <c r="O93" s="46" t="n"/>
      <c r="P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  <c r="N94" s="46" t="n"/>
      <c r="O94" s="46" t="n"/>
      <c r="P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  <c r="N95" s="46" t="n"/>
      <c r="O95" s="46" t="n"/>
      <c r="P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  <c r="N96" s="46" t="n"/>
      <c r="O96" s="46" t="n"/>
      <c r="P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  <c r="N97" s="46" t="n"/>
      <c r="O97" s="46" t="n"/>
      <c r="P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  <c r="N98" s="46" t="n"/>
      <c r="O98" s="46" t="n"/>
      <c r="P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  <c r="N99" s="46" t="n"/>
      <c r="O99" s="46" t="n"/>
      <c r="P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  <c r="N100" s="46" t="n"/>
      <c r="O100" s="46" t="n"/>
      <c r="P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  <c r="N101" s="46" t="n"/>
      <c r="O101" s="46" t="n"/>
      <c r="P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  <c r="N102" s="46" t="n"/>
      <c r="O102" s="46" t="n"/>
      <c r="P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  <c r="N103" s="46" t="n"/>
      <c r="O103" s="46" t="n"/>
      <c r="P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  <c r="N104" s="46" t="n"/>
      <c r="O104" s="46" t="n"/>
      <c r="P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  <c r="N105" s="46" t="n"/>
      <c r="O105" s="46" t="n"/>
      <c r="P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  <c r="N106" s="46" t="n"/>
      <c r="O106" s="46" t="n"/>
      <c r="P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  <c r="N107" s="46" t="n"/>
      <c r="O107" s="46" t="n"/>
      <c r="P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  <c r="N108" s="46" t="n"/>
      <c r="O108" s="46" t="n"/>
      <c r="P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  <c r="N109" s="46" t="n"/>
      <c r="O109" s="46" t="n"/>
      <c r="P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  <c r="N110" s="46" t="n"/>
      <c r="O110" s="46" t="n"/>
      <c r="P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  <c r="N111" s="46" t="n"/>
      <c r="O111" s="46" t="n"/>
      <c r="P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  <c r="N112" s="46" t="n"/>
      <c r="O112" s="46" t="n"/>
      <c r="P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  <c r="N113" s="46" t="n"/>
      <c r="O113" s="46" t="n"/>
      <c r="P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  <c r="N114" s="46" t="n"/>
      <c r="O114" s="46" t="n"/>
      <c r="P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  <c r="N115" s="46" t="n"/>
      <c r="O115" s="46" t="n"/>
      <c r="P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  <c r="N116" s="46" t="n"/>
      <c r="O116" s="46" t="n"/>
      <c r="P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  <c r="N117" s="46" t="n"/>
      <c r="O117" s="46" t="n"/>
      <c r="P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  <c r="N118" s="46" t="n"/>
      <c r="O118" s="46" t="n"/>
      <c r="P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  <c r="N119" s="46" t="n"/>
      <c r="O119" s="46" t="n"/>
      <c r="P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  <c r="N120" s="46" t="n"/>
      <c r="O120" s="46" t="n"/>
      <c r="P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  <c r="N121" s="46" t="n"/>
      <c r="O121" s="46" t="n"/>
      <c r="P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  <c r="N122" s="46" t="n"/>
      <c r="O122" s="46" t="n"/>
      <c r="P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  <c r="N123" s="46" t="n"/>
      <c r="O123" s="46" t="n"/>
      <c r="P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  <c r="N124" s="46" t="n"/>
      <c r="O124" s="46" t="n"/>
      <c r="P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  <c r="N125" s="46" t="n"/>
      <c r="O125" s="46" t="n"/>
      <c r="P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  <c r="N126" s="46" t="n"/>
      <c r="O126" s="46" t="n"/>
      <c r="P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  <c r="N127" s="46" t="n"/>
      <c r="O127" s="46" t="n"/>
      <c r="P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  <c r="N128" s="46" t="n"/>
      <c r="O128" s="46" t="n"/>
      <c r="P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  <c r="N129" s="46" t="n"/>
      <c r="O129" s="46" t="n"/>
      <c r="P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  <c r="N130" s="46" t="n"/>
      <c r="O130" s="46" t="n"/>
      <c r="P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  <c r="N131" s="46" t="n"/>
      <c r="O131" s="46" t="n"/>
      <c r="P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  <c r="N132" s="46" t="n"/>
      <c r="O132" s="46" t="n"/>
      <c r="P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  <c r="N133" s="46" t="n"/>
      <c r="O133" s="46" t="n"/>
      <c r="P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  <c r="N134" s="46" t="n"/>
      <c r="O134" s="46" t="n"/>
      <c r="P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  <c r="N135" s="46" t="n"/>
      <c r="O135" s="46" t="n"/>
      <c r="P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  <c r="N136" s="46" t="n"/>
      <c r="O136" s="46" t="n"/>
      <c r="P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  <c r="N137" s="46" t="n"/>
      <c r="O137" s="46" t="n"/>
      <c r="P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  <c r="N138" s="46" t="n"/>
      <c r="O138" s="46" t="n"/>
      <c r="P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  <c r="N139" s="46" t="n"/>
      <c r="O139" s="46" t="n"/>
      <c r="P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  <c r="N140" s="46" t="n"/>
      <c r="O140" s="46" t="n"/>
      <c r="P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  <c r="N141" s="46" t="n"/>
      <c r="O141" s="46" t="n"/>
      <c r="P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  <c r="N142" s="46" t="n"/>
      <c r="O142" s="46" t="n"/>
      <c r="P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  <c r="N143" s="46" t="n"/>
      <c r="O143" s="46" t="n"/>
      <c r="P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  <c r="N144" s="46" t="n"/>
      <c r="O144" s="46" t="n"/>
      <c r="P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  <c r="N145" s="46" t="n"/>
      <c r="O145" s="46" t="n"/>
      <c r="P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  <c r="N146" s="46" t="n"/>
      <c r="O146" s="46" t="n"/>
      <c r="P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  <c r="N147" s="46" t="n"/>
      <c r="O147" s="46" t="n"/>
      <c r="P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  <c r="N148" s="46" t="n"/>
      <c r="O148" s="46" t="n"/>
      <c r="P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  <c r="N149" s="46" t="n"/>
      <c r="O149" s="46" t="n"/>
      <c r="P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  <c r="N150" s="46" t="n"/>
      <c r="O150" s="46" t="n"/>
      <c r="P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  <c r="N151" s="46" t="n"/>
      <c r="O151" s="46" t="n"/>
      <c r="P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  <c r="N152" s="46" t="n"/>
      <c r="O152" s="46" t="n"/>
      <c r="P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  <c r="N153" s="46" t="n"/>
      <c r="O153" s="46" t="n"/>
      <c r="P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  <c r="N154" s="46" t="n"/>
      <c r="O154" s="46" t="n"/>
      <c r="P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  <c r="N155" s="46" t="n"/>
      <c r="O155" s="46" t="n"/>
      <c r="P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  <c r="N156" s="46" t="n"/>
      <c r="O156" s="46" t="n"/>
      <c r="P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  <c r="N157" s="46" t="n"/>
      <c r="O157" s="46" t="n"/>
      <c r="P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  <c r="N158" s="46" t="n"/>
      <c r="O158" s="46" t="n"/>
      <c r="P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  <c r="N159" s="46" t="n"/>
      <c r="O159" s="46" t="n"/>
      <c r="P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  <c r="N160" s="46" t="n"/>
      <c r="O160" s="46" t="n"/>
      <c r="P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  <c r="N161" s="46" t="n"/>
      <c r="O161" s="46" t="n"/>
      <c r="P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  <c r="N162" s="46" t="n"/>
      <c r="O162" s="46" t="n"/>
      <c r="P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  <c r="N163" s="46" t="n"/>
      <c r="O163" s="46" t="n"/>
      <c r="P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  <c r="N164" s="46" t="n"/>
      <c r="O164" s="46" t="n"/>
      <c r="P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  <c r="N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  <c r="N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  <c r="N167" s="46" t="n"/>
    </row>
  </sheetData>
  <mergeCells count="22">
    <mergeCell ref="N5:N9"/>
    <mergeCell ref="C5:C8"/>
    <mergeCell ref="I11:J11"/>
    <mergeCell ref="O5:O8"/>
    <mergeCell ref="E5:E8"/>
    <mergeCell ref="Q5:Q8"/>
    <mergeCell ref="F5:F8"/>
    <mergeCell ref="C11:E11"/>
    <mergeCell ref="R5:R8"/>
    <mergeCell ref="N30:R31"/>
    <mergeCell ref="G5:G8"/>
    <mergeCell ref="F4:H4"/>
    <mergeCell ref="A5:A8"/>
    <mergeCell ref="S5:S8"/>
    <mergeCell ref="F11:H11"/>
    <mergeCell ref="D5:D8"/>
    <mergeCell ref="I4:J4"/>
    <mergeCell ref="C4:E4"/>
    <mergeCell ref="N12:N18"/>
    <mergeCell ref="P5:P8"/>
    <mergeCell ref="H5:H8"/>
    <mergeCell ref="T5:T8"/>
  </mergeCells>
  <pageMargins left="0.7" right="0.7" top="0.75" bottom="0.75" header="0.3" footer="0.3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Hoja16">
    <outlinePr summaryBelow="1" summaryRight="1"/>
    <pageSetUpPr/>
  </sheetPr>
  <dimension ref="A1:AK5"/>
  <sheetViews>
    <sheetView zoomScale="70" zoomScaleNormal="70" workbookViewId="0">
      <selection activeCell="K20" sqref="K20"/>
    </sheetView>
  </sheetViews>
  <sheetFormatPr baseColWidth="10" defaultColWidth="11.3828125" defaultRowHeight="14.6"/>
  <cols>
    <col width="13" bestFit="1" customWidth="1" style="700" min="1" max="1"/>
    <col width="29.3828125" customWidth="1" style="700" min="9" max="9"/>
  </cols>
  <sheetData>
    <row r="1" ht="67.5" customFormat="1" customHeight="1" s="685">
      <c r="A1" s="19" t="inlineStr">
        <is>
          <t>nº Abono</t>
        </is>
      </c>
      <c r="B1" s="19" t="inlineStr">
        <is>
          <t>Fecha Factura</t>
        </is>
      </c>
      <c r="C1" s="684" t="inlineStr">
        <is>
          <t>Emisor</t>
        </is>
      </c>
      <c r="G1" s="684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4" t="inlineStr">
        <is>
          <t>nº cuenta</t>
        </is>
      </c>
      <c r="AC1" s="684" t="inlineStr">
        <is>
          <t>Estado</t>
        </is>
      </c>
      <c r="AD1" s="684" t="inlineStr">
        <is>
          <t>Total</t>
        </is>
      </c>
      <c r="AE1" s="684" t="inlineStr">
        <is>
          <t>AP Asesores</t>
        </is>
      </c>
      <c r="AH1" s="684" t="inlineStr">
        <is>
          <t>Total (+IVA)</t>
        </is>
      </c>
      <c r="AI1" s="684" t="inlineStr">
        <is>
          <t>% Contabilidad</t>
        </is>
      </c>
      <c r="AJ1" s="684" t="inlineStr">
        <is>
          <t>Pendiente</t>
        </is>
      </c>
      <c r="AK1" s="684" t="inlineStr">
        <is>
          <t>cliente</t>
        </is>
      </c>
    </row>
    <row r="2" ht="15" customFormat="1" customHeight="1" s="170">
      <c r="A2" s="169" t="n"/>
      <c r="B2" s="169" t="n"/>
      <c r="C2" s="170" t="inlineStr">
        <is>
          <t>C/ Las Cruzadas 3, Local D</t>
        </is>
      </c>
      <c r="D2" s="170" t="inlineStr">
        <is>
          <t>Sevilla 41004</t>
        </is>
      </c>
      <c r="E2" s="170" t="inlineStr">
        <is>
          <t>ESB91938662</t>
        </is>
      </c>
      <c r="F2" s="141" t="inlineStr">
        <is>
          <t>Atn. Mr. Wurster - Amministratore</t>
        </is>
      </c>
      <c r="G2" s="170" t="inlineStr">
        <is>
          <t xml:space="preserve">Progetti FV 6 di Progetti FV 6 SRL &amp; C. SAS </t>
        </is>
      </c>
      <c r="H2" s="170" t="inlineStr">
        <is>
          <t>IT07479180965</t>
        </is>
      </c>
      <c r="I2" s="170" t="inlineStr">
        <is>
          <t>Via Buenos Aires 64a (1st Floor)</t>
        </is>
      </c>
      <c r="J2" s="170" t="inlineStr">
        <is>
          <t>20124 Milano (Italia)</t>
        </is>
      </c>
      <c r="K2" s="170" t="inlineStr">
        <is>
          <t>PENDING Corrective maintenance. Second half (2018-2019 period)</t>
        </is>
      </c>
      <c r="L2" s="27" t="n">
        <v>-342</v>
      </c>
      <c r="M2" s="170" t="inlineStr">
        <is>
          <t>Dovera</t>
        </is>
      </c>
      <c r="N2" s="27" t="n"/>
      <c r="O2" s="170" t="inlineStr">
        <is>
          <t>According to the provided controlling chart:</t>
        </is>
      </c>
      <c r="P2" s="27" t="n"/>
      <c r="Q2" s="27" t="inlineStr">
        <is>
          <t>"181226 IT Corrective Maintenance 2H5Y - Update"</t>
        </is>
      </c>
      <c r="R2" s="27" t="n"/>
      <c r="T2" s="27" t="n"/>
      <c r="V2" s="27" t="n"/>
      <c r="W2" s="170">
        <f>CONCATENATE("Credit note of the invoice ",'Numeración A_Intracomunitarias'!#REF!)</f>
        <v/>
      </c>
      <c r="X2" s="27" t="n"/>
      <c r="Z2" s="27" t="n"/>
      <c r="AA2" s="27" t="n"/>
      <c r="AB2" s="171" t="inlineStr">
        <is>
          <t>ES11 0081 7069 2700 0122 7724</t>
        </is>
      </c>
      <c r="AC2" s="170" t="inlineStr">
        <is>
          <t>abonado</t>
        </is>
      </c>
      <c r="AD2" s="27">
        <f>L2+N2+P2+R2+T2+V2+X2+Z2</f>
        <v/>
      </c>
      <c r="AE2" s="27">
        <f>IF((LEFT(M2,4))="Cont",L2,0)</f>
        <v/>
      </c>
      <c r="AF2" s="171">
        <f>VLOOKUP(G2,CLIENTES!B:E,4,FALSE)</f>
        <v/>
      </c>
      <c r="AG2" s="27">
        <f>AF2*AE2</f>
        <v/>
      </c>
      <c r="AH2" s="27">
        <f>AD2</f>
        <v/>
      </c>
      <c r="AI2" s="172">
        <f>IF(AE2&lt;&gt;0,AG2/AD2,"N/A")</f>
        <v/>
      </c>
      <c r="AJ2" s="27">
        <f>IF(AC2="pendiente",AD2,0)</f>
        <v/>
      </c>
      <c r="AK2" s="170">
        <f>VLOOKUP(G2,CLIENTES!B:D,3,FALSE)</f>
        <v/>
      </c>
    </row>
    <row r="3" ht="15" customFormat="1" customHeight="1" s="170">
      <c r="A3" s="169" t="n"/>
      <c r="B3" s="169" t="n"/>
      <c r="C3" s="170" t="inlineStr">
        <is>
          <t>C/ Las Cruzadas 3, Local D</t>
        </is>
      </c>
      <c r="D3" s="170" t="inlineStr">
        <is>
          <t>Sevilla 41004</t>
        </is>
      </c>
      <c r="E3" s="170" t="inlineStr">
        <is>
          <t>ESB91938662</t>
        </is>
      </c>
      <c r="F3" s="141" t="inlineStr">
        <is>
          <t>Atn. Mr. Wurster - Amministratore</t>
        </is>
      </c>
      <c r="G3" s="170" t="inlineStr">
        <is>
          <t xml:space="preserve">Progetti FV 6 di Progetti FV 6 SRL &amp; C. SAS </t>
        </is>
      </c>
      <c r="H3" s="170" t="inlineStr">
        <is>
          <t>IT07479180965</t>
        </is>
      </c>
      <c r="I3" s="170" t="inlineStr">
        <is>
          <t>Via Buenos Aires 64a (1st Floor)</t>
        </is>
      </c>
      <c r="J3" s="170" t="inlineStr">
        <is>
          <t>20124 Milano (Italia)</t>
        </is>
      </c>
      <c r="K3" s="170" t="inlineStr">
        <is>
          <t>PENDING Corrective maintenance. Second half (2018-2019 period)</t>
        </is>
      </c>
      <c r="L3" s="27" t="n">
        <v>-766</v>
      </c>
      <c r="M3" s="170" t="inlineStr">
        <is>
          <t>Palazzo Pignano</t>
        </is>
      </c>
      <c r="N3" s="27" t="n"/>
      <c r="O3" s="170" t="inlineStr">
        <is>
          <t>According to the provided controlling chart:</t>
        </is>
      </c>
      <c r="P3" s="27" t="n"/>
      <c r="Q3" s="27" t="inlineStr">
        <is>
          <t>"181226 IT Corrective Maintenance 2H5Y - Update"</t>
        </is>
      </c>
      <c r="R3" s="27" t="n"/>
      <c r="T3" s="27" t="n"/>
      <c r="V3" s="27" t="n"/>
      <c r="W3" s="170">
        <f>CONCATENATE("Credit note of the invoice ",'Numeración A_Intracomunitarias'!#REF!)</f>
        <v/>
      </c>
      <c r="X3" s="27" t="n"/>
      <c r="Z3" s="27" t="n"/>
      <c r="AA3" s="27" t="n"/>
      <c r="AB3" s="171" t="inlineStr">
        <is>
          <t>ES11 0081 7069 2700 0122 7724</t>
        </is>
      </c>
      <c r="AC3" s="170" t="inlineStr">
        <is>
          <t>abonado</t>
        </is>
      </c>
      <c r="AD3" s="27">
        <f>L3+N3+P3+R3+T3+V3+X3+Z3</f>
        <v/>
      </c>
      <c r="AE3" s="27">
        <f>IF((LEFT(M3,4))="Cont",L3,0)</f>
        <v/>
      </c>
      <c r="AF3" s="171">
        <f>VLOOKUP(G3,CLIENTES!B:E,4,FALSE)</f>
        <v/>
      </c>
      <c r="AG3" s="27">
        <f>AF3*AE3</f>
        <v/>
      </c>
      <c r="AH3" s="27">
        <f>AD3</f>
        <v/>
      </c>
      <c r="AI3" s="172">
        <f>IF(AE3&lt;&gt;0,AG3/AD3,"N/A")</f>
        <v/>
      </c>
      <c r="AJ3" s="27">
        <f>IF(AC3="pendiente",AD3,0)</f>
        <v/>
      </c>
      <c r="AK3" s="170">
        <f>VLOOKUP(G3,CLIENTES!B:D,3,FALSE)</f>
        <v/>
      </c>
    </row>
    <row r="4" ht="15" customFormat="1" customHeight="1" s="170">
      <c r="A4" s="169" t="n"/>
      <c r="B4" s="169" t="n"/>
      <c r="C4" s="170" t="inlineStr">
        <is>
          <t>C/ Las Cruzadas 3, Local D</t>
        </is>
      </c>
      <c r="D4" s="170" t="inlineStr">
        <is>
          <t>Sevilla 41004</t>
        </is>
      </c>
      <c r="E4" s="170" t="inlineStr">
        <is>
          <t>ESB91938662</t>
        </is>
      </c>
      <c r="F4" s="141" t="inlineStr">
        <is>
          <t>Atn. Mr. Wurster - Amministratore</t>
        </is>
      </c>
      <c r="G4" s="170" t="inlineStr">
        <is>
          <t xml:space="preserve">Progetti FV 6 di Progetti FV 6 SRL &amp; C. SAS </t>
        </is>
      </c>
      <c r="H4" s="170" t="inlineStr">
        <is>
          <t>IT07479180965</t>
        </is>
      </c>
      <c r="I4" s="170" t="inlineStr">
        <is>
          <t>Via Buenos Aires 64a (1st Floor)</t>
        </is>
      </c>
      <c r="J4" s="170" t="inlineStr">
        <is>
          <t>20124 Milano (Italia)</t>
        </is>
      </c>
      <c r="K4" s="170" t="inlineStr">
        <is>
          <t>PENDING Corrective maintenance. Second half (2018-2019 period)</t>
        </is>
      </c>
      <c r="L4" s="27" t="n">
        <v>-216</v>
      </c>
      <c r="M4" s="170" t="inlineStr">
        <is>
          <t>Polesine II</t>
        </is>
      </c>
      <c r="N4" s="27" t="n"/>
      <c r="O4" s="170" t="inlineStr">
        <is>
          <t>According to the provided controlling chart:</t>
        </is>
      </c>
      <c r="P4" s="27" t="n"/>
      <c r="Q4" s="27" t="inlineStr">
        <is>
          <t>"181226 IT Corrective Maintenance 2H5Y - Update"</t>
        </is>
      </c>
      <c r="R4" s="27" t="n"/>
      <c r="T4" s="27" t="n"/>
      <c r="V4" s="27" t="n"/>
      <c r="W4" s="170">
        <f>CONCATENATE("Credit note of the invoice ",'Numeración A_Intracomunitarias'!#REF!)</f>
        <v/>
      </c>
      <c r="X4" s="27" t="n"/>
      <c r="Z4" s="27" t="n"/>
      <c r="AA4" s="27" t="n"/>
      <c r="AB4" s="171" t="inlineStr">
        <is>
          <t>ES11 0081 7069 2700 0122 7724</t>
        </is>
      </c>
      <c r="AC4" s="170" t="inlineStr">
        <is>
          <t>abonado</t>
        </is>
      </c>
      <c r="AD4" s="27">
        <f>L4+N4+P4+R4+T4+V4+X4+Z4</f>
        <v/>
      </c>
      <c r="AE4" s="27">
        <f>IF((LEFT(M4,4))="Cont",L4,0)</f>
        <v/>
      </c>
      <c r="AF4" s="171">
        <f>VLOOKUP(G4,CLIENTES!B:E,4,FALSE)</f>
        <v/>
      </c>
      <c r="AG4" s="27">
        <f>AF4*AE4</f>
        <v/>
      </c>
      <c r="AH4" s="27">
        <f>AD4</f>
        <v/>
      </c>
      <c r="AI4" s="172">
        <f>IF(AE4&lt;&gt;0,AG4/AD4,"N/A")</f>
        <v/>
      </c>
      <c r="AJ4" s="27">
        <f>IF(AC4="pendiente",AD4,0)</f>
        <v/>
      </c>
      <c r="AK4" s="170">
        <f>VLOOKUP(G4,CLIENTES!B:D,3,FALSE)</f>
        <v/>
      </c>
    </row>
    <row r="5" ht="15" customFormat="1" customHeight="1" s="170">
      <c r="A5" s="169" t="n"/>
      <c r="B5" s="169" t="n"/>
      <c r="C5" s="170" t="inlineStr">
        <is>
          <t>C/ Las Cruzadas 3, Local D</t>
        </is>
      </c>
      <c r="D5" s="170" t="inlineStr">
        <is>
          <t>Sevilla 41004</t>
        </is>
      </c>
      <c r="E5" s="170" t="inlineStr">
        <is>
          <t>ESB91938662</t>
        </is>
      </c>
      <c r="F5" s="141" t="inlineStr">
        <is>
          <t>Atn. Mr. Wurster - Amministratore</t>
        </is>
      </c>
      <c r="G5" s="170" t="inlineStr">
        <is>
          <t xml:space="preserve">Progetti FV 6 di Progetti FV 6 SRL &amp; C. SAS </t>
        </is>
      </c>
      <c r="H5" s="170" t="inlineStr">
        <is>
          <t>IT07479180965</t>
        </is>
      </c>
      <c r="I5" s="170" t="inlineStr">
        <is>
          <t>Via Buenos Aires 64a (1st Floor)</t>
        </is>
      </c>
      <c r="J5" s="170" t="inlineStr">
        <is>
          <t>20124 Milano (Italia)</t>
        </is>
      </c>
      <c r="K5" s="170" t="inlineStr">
        <is>
          <t>PENDING Corrective maintenance. Second half (2018-2019 period)</t>
        </is>
      </c>
      <c r="L5" s="27" t="n">
        <v>-18</v>
      </c>
      <c r="M5" s="170" t="inlineStr">
        <is>
          <t>Polesine III</t>
        </is>
      </c>
      <c r="N5" s="27" t="n"/>
      <c r="O5" s="170" t="inlineStr">
        <is>
          <t>According to the provided controlling chart:</t>
        </is>
      </c>
      <c r="P5" s="27" t="n"/>
      <c r="Q5" s="27" t="inlineStr">
        <is>
          <t>"181226 IT Corrective Maintenance 2H5Y - Update"</t>
        </is>
      </c>
      <c r="R5" s="27" t="n"/>
      <c r="T5" s="27" t="n"/>
      <c r="V5" s="27" t="n"/>
      <c r="W5" s="170">
        <f>CONCATENATE("Credit note of the invoice ",'Numeración A_Intracomunitarias'!#REF!)</f>
        <v/>
      </c>
      <c r="X5" s="27" t="n"/>
      <c r="Z5" s="27" t="n"/>
      <c r="AA5" s="27" t="n"/>
      <c r="AB5" s="171" t="inlineStr">
        <is>
          <t>ES11 0081 7069 2700 0122 7724</t>
        </is>
      </c>
      <c r="AC5" s="170" t="inlineStr">
        <is>
          <t>abonado</t>
        </is>
      </c>
      <c r="AD5" s="27">
        <f>L5+N5+P5+R5+T5+V5+X5+Z5</f>
        <v/>
      </c>
      <c r="AE5" s="27">
        <f>IF((LEFT(M5,4))="Cont",L5,0)</f>
        <v/>
      </c>
      <c r="AF5" s="171">
        <f>VLOOKUP(G5,CLIENTES!B:E,4,FALSE)</f>
        <v/>
      </c>
      <c r="AG5" s="27">
        <f>AF5*AE5</f>
        <v/>
      </c>
      <c r="AH5" s="27">
        <f>AD5</f>
        <v/>
      </c>
      <c r="AI5" s="172">
        <f>IF(AE5&lt;&gt;0,AG5/AD5,"N/A")</f>
        <v/>
      </c>
      <c r="AJ5" s="27">
        <f>IF(AC5="pendiente",AD5,0)</f>
        <v/>
      </c>
      <c r="AK5" s="170">
        <f>VLOOKUP(G5,CLIENTES!B:D,3,FALSE)</f>
        <v/>
      </c>
    </row>
  </sheetData>
  <mergeCells count="3">
    <mergeCell ref="C1:F1"/>
    <mergeCell ref="AE1:AG1"/>
    <mergeCell ref="G1:J1"/>
  </mergeCells>
  <conditionalFormatting sqref="AD2:AE2">
    <cfRule type="cellIs" priority="19" operator="equal" dxfId="1">
      <formula>"pendiente"</formula>
    </cfRule>
  </conditionalFormatting>
  <conditionalFormatting sqref="AC2">
    <cfRule type="containsText" priority="16" operator="containsText" dxfId="62" text="abonado">
      <formula>NOT(ISERROR(SEARCH("abonado",AC2)))</formula>
    </cfRule>
    <cfRule type="containsText" priority="17" operator="containsText" dxfId="61" text="pagado">
      <formula>NOT(ISERROR(SEARCH("pagado",AC2)))</formula>
    </cfRule>
    <cfRule type="containsText" priority="18" operator="containsText" dxfId="60" text="pendiente">
      <formula>NOT(ISERROR(SEARCH("pendiente",AC2)))</formula>
    </cfRule>
  </conditionalFormatting>
  <conditionalFormatting sqref="AD3:AE3">
    <cfRule type="cellIs" priority="15" operator="equal" dxfId="1">
      <formula>"pendiente"</formula>
    </cfRule>
  </conditionalFormatting>
  <conditionalFormatting sqref="AD4:AE4">
    <cfRule type="cellIs" priority="11" operator="equal" dxfId="1">
      <formula>"pendiente"</formula>
    </cfRule>
  </conditionalFormatting>
  <conditionalFormatting sqref="AD5:AE5">
    <cfRule type="cellIs" priority="7" operator="equal" dxfId="1">
      <formula>"pendiente"</formula>
    </cfRule>
  </conditionalFormatting>
  <conditionalFormatting sqref="AC3:AC5">
    <cfRule type="containsText" priority="1" operator="containsText" dxfId="62" text="abonado">
      <formula>NOT(ISERROR(SEARCH("abonado",AC3)))</formula>
    </cfRule>
    <cfRule type="containsText" priority="2" operator="containsText" dxfId="61" text="pagado">
      <formula>NOT(ISERROR(SEARCH("pagado",AC3)))</formula>
    </cfRule>
    <cfRule type="containsText" priority="3" operator="containsText" dxfId="60" text="pendiente">
      <formula>NOT(ISERROR(SEARCH("pendiente",AC3)))</formula>
    </cfRule>
  </conditionalFormatting>
  <dataValidations count="1">
    <dataValidation sqref="AC2:AC5" showDropDown="0" showInputMessage="1" showErrorMessage="1" allowBlank="1" type="list">
      <formula1>"pagado,pendiente,abonado"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Hoja4">
    <outlinePr summaryBelow="1" summaryRight="1"/>
    <pageSetUpPr/>
  </sheetPr>
  <dimension ref="A1:AM31"/>
  <sheetViews>
    <sheetView topLeftCell="B1" zoomScale="85" zoomScaleNormal="85" workbookViewId="0">
      <selection activeCell="Y2" sqref="Y2"/>
    </sheetView>
  </sheetViews>
  <sheetFormatPr baseColWidth="10" defaultColWidth="11.3828125" defaultRowHeight="14.6"/>
  <cols>
    <col width="12.15234375" customWidth="1" style="700" min="1" max="1"/>
    <col width="12.3828125" bestFit="1" customWidth="1" style="700" min="2" max="2"/>
    <col hidden="1" width="34.53515625" customWidth="1" style="700" min="3" max="3"/>
    <col hidden="1" width="11.84375" customWidth="1" style="700" min="4" max="4"/>
    <col hidden="1" width="13.53515625" customWidth="1" style="700" min="5" max="5"/>
    <col hidden="1" width="20.53515625" customWidth="1" style="700" min="6" max="6"/>
    <col width="23.15234375" bestFit="1" customWidth="1" style="700" min="7" max="7"/>
    <col width="14.3828125" bestFit="1" customWidth="1" style="700" min="8" max="8"/>
    <col width="29.3828125" bestFit="1" customWidth="1" style="700" min="9" max="9"/>
    <col width="18.3828125" bestFit="1" customWidth="1" style="700" min="10" max="10"/>
    <col width="34.3828125" bestFit="1" customWidth="1" style="700" min="11" max="11"/>
  </cols>
  <sheetData>
    <row r="1" ht="67.5" customFormat="1" customHeight="1" s="271">
      <c r="A1" s="267" t="inlineStr">
        <is>
          <t>nº Factura</t>
        </is>
      </c>
      <c r="B1" s="267" t="inlineStr">
        <is>
          <t>Fecha Factura</t>
        </is>
      </c>
      <c r="C1" s="693" t="inlineStr">
        <is>
          <t>Emisor</t>
        </is>
      </c>
      <c r="D1" s="651" t="n"/>
      <c r="E1" s="651" t="n"/>
      <c r="F1" s="644" t="n"/>
      <c r="G1" s="693" t="inlineStr">
        <is>
          <t>Receptor</t>
        </is>
      </c>
      <c r="H1" s="651" t="n"/>
      <c r="I1" s="651" t="n"/>
      <c r="J1" s="644" t="n"/>
      <c r="K1" s="267" t="inlineStr">
        <is>
          <t>Línea 1</t>
        </is>
      </c>
      <c r="L1" s="268" t="inlineStr">
        <is>
          <t>Importe 1</t>
        </is>
      </c>
      <c r="M1" s="267" t="inlineStr">
        <is>
          <t>Línea 2</t>
        </is>
      </c>
      <c r="N1" s="268" t="inlineStr">
        <is>
          <t>Importe 2</t>
        </is>
      </c>
      <c r="O1" s="267" t="inlineStr">
        <is>
          <t>Línea 3</t>
        </is>
      </c>
      <c r="P1" s="268" t="inlineStr">
        <is>
          <t>Importe 3</t>
        </is>
      </c>
      <c r="Q1" s="269" t="inlineStr">
        <is>
          <t>Línea 4</t>
        </is>
      </c>
      <c r="R1" s="268" t="inlineStr">
        <is>
          <t>Importe 4</t>
        </is>
      </c>
      <c r="S1" s="267" t="inlineStr">
        <is>
          <t>Línea 5</t>
        </is>
      </c>
      <c r="T1" s="268" t="inlineStr">
        <is>
          <t>Importe 5</t>
        </is>
      </c>
      <c r="U1" s="267" t="inlineStr">
        <is>
          <t>Línea 6</t>
        </is>
      </c>
      <c r="V1" s="268" t="inlineStr">
        <is>
          <t>Importe 6</t>
        </is>
      </c>
      <c r="W1" s="267" t="inlineStr">
        <is>
          <t>Línea 7</t>
        </is>
      </c>
      <c r="X1" s="268" t="inlineStr">
        <is>
          <t>Importe 7</t>
        </is>
      </c>
      <c r="Y1" s="267" t="inlineStr">
        <is>
          <t>Línea 8</t>
        </is>
      </c>
      <c r="Z1" s="268" t="inlineStr">
        <is>
          <t>Importe 8</t>
        </is>
      </c>
      <c r="AA1" s="268" t="inlineStr">
        <is>
          <t>Gastos suplidos</t>
        </is>
      </c>
      <c r="AB1" s="693" t="inlineStr">
        <is>
          <t>nº cuenta</t>
        </is>
      </c>
      <c r="AC1" s="693" t="inlineStr">
        <is>
          <t>Estado</t>
        </is>
      </c>
      <c r="AD1" s="693" t="inlineStr">
        <is>
          <t>Total</t>
        </is>
      </c>
      <c r="AE1" s="693" t="inlineStr">
        <is>
          <t>AP Asesores</t>
        </is>
      </c>
      <c r="AF1" s="651" t="n"/>
      <c r="AG1" s="644" t="n"/>
      <c r="AH1" s="693" t="inlineStr">
        <is>
          <t>Total (+IVA)</t>
        </is>
      </c>
      <c r="AI1" s="693" t="inlineStr">
        <is>
          <t>% Contabilidad</t>
        </is>
      </c>
      <c r="AJ1" s="693" t="inlineStr">
        <is>
          <t>Pendiente</t>
        </is>
      </c>
      <c r="AK1" s="693" t="inlineStr">
        <is>
          <t>cliente</t>
        </is>
      </c>
    </row>
    <row r="2" customFormat="1" s="150">
      <c r="A2" s="150" t="inlineStr">
        <is>
          <t>AB25001</t>
        </is>
      </c>
      <c r="B2" s="153" t="n">
        <v>45875</v>
      </c>
      <c r="C2" s="150" t="inlineStr">
        <is>
          <t>c/ Las Cruzadas 3A, local D</t>
        </is>
      </c>
      <c r="D2" s="150" t="inlineStr">
        <is>
          <t>Sevilla 41004</t>
        </is>
      </c>
      <c r="E2" s="150" t="inlineStr">
        <is>
          <t>CIF B91938662</t>
        </is>
      </c>
      <c r="F2" s="150" t="inlineStr">
        <is>
          <t>aBalados@abalados.es</t>
        </is>
      </c>
      <c r="G2" s="150" t="inlineStr">
        <is>
          <t xml:space="preserve">SSE RENEWABLES SPAIN, S.L. </t>
        </is>
      </c>
      <c r="H2" s="150" t="inlineStr">
        <is>
          <t>CIF B47528310</t>
        </is>
      </c>
      <c r="I2" s="150" t="inlineStr">
        <is>
          <t>C/ BUENOS AIRES N.12</t>
        </is>
      </c>
      <c r="J2" s="150" t="inlineStr">
        <is>
          <t>48001 BILBAO, BIZKAIA</t>
        </is>
      </c>
      <c r="K2" s="150" t="inlineStr">
        <is>
          <t>Servicios extraordinarios - Asistencia jurídica</t>
        </is>
      </c>
      <c r="L2" s="150" t="n">
        <v>5775</v>
      </c>
      <c r="O2" s="150" t="inlineStr">
        <is>
          <t>Elaboración de documentos jurídicos privados y gestión documental</t>
        </is>
      </c>
      <c r="Q2" s="150" t="inlineStr">
        <is>
          <t xml:space="preserve">referente a la constitución de ICE Toreccilla, S.L. (letra a y b de la oferta remitida) </t>
        </is>
      </c>
      <c r="Y2" s="150" t="inlineStr">
        <is>
          <t>Nota de abono por la factura 25325 (04/08/2025)</t>
        </is>
      </c>
      <c r="AB2" s="150" t="inlineStr">
        <is>
          <t>ES85 2080 3509 1130 4009 6171</t>
        </is>
      </c>
      <c r="AC2" s="150" t="inlineStr">
        <is>
          <t>pagado</t>
        </is>
      </c>
      <c r="AD2" s="150" t="n">
        <v>5775</v>
      </c>
      <c r="AE2" s="150" t="n">
        <v>0</v>
      </c>
      <c r="AF2" s="150" t="n">
        <v>0</v>
      </c>
      <c r="AG2" s="150" t="n">
        <v>0</v>
      </c>
      <c r="AH2" s="150" t="n">
        <v>6987.75</v>
      </c>
      <c r="AI2" s="150" t="inlineStr">
        <is>
          <t>N/A</t>
        </is>
      </c>
      <c r="AJ2" s="150" t="n">
        <v>0</v>
      </c>
      <c r="AK2" s="150" t="inlineStr">
        <is>
          <t>2025-008</t>
        </is>
      </c>
      <c r="AL2" s="150" t="inlineStr">
        <is>
          <t>nudos</t>
        </is>
      </c>
      <c r="AM2" s="150" t="inlineStr">
        <is>
          <t>Extraordinario</t>
        </is>
      </c>
    </row>
    <row r="6">
      <c r="A6" s="230" t="n"/>
      <c r="B6" s="277" t="n"/>
      <c r="Q6" s="5" t="n"/>
    </row>
    <row r="7">
      <c r="A7" s="230" t="n"/>
      <c r="B7" s="277" t="n"/>
      <c r="Q7" s="5" t="n"/>
    </row>
    <row r="8">
      <c r="A8" s="230" t="n"/>
      <c r="B8" s="277" t="n"/>
      <c r="Q8" s="5" t="n"/>
    </row>
    <row r="9">
      <c r="A9" s="230" t="n"/>
      <c r="B9" s="277" t="n"/>
      <c r="Q9" s="5" t="n"/>
    </row>
    <row r="10">
      <c r="A10" s="230" t="n"/>
      <c r="B10" s="277" t="n"/>
      <c r="Q10" s="5" t="n"/>
    </row>
    <row r="11">
      <c r="A11" s="706" t="inlineStr">
        <is>
          <t>AB23001</t>
        </is>
      </c>
      <c r="B11" s="310" t="n">
        <v>45033</v>
      </c>
      <c r="C11" s="706" t="inlineStr">
        <is>
          <t>c/ Las Cruzadas 3A, local D</t>
        </is>
      </c>
      <c r="D11" s="706" t="inlineStr">
        <is>
          <t>Sevilla 41004</t>
        </is>
      </c>
      <c r="E11" s="706" t="inlineStr">
        <is>
          <t>CIF B91938662</t>
        </is>
      </c>
      <c r="F11" s="706" t="inlineStr">
        <is>
          <t>aBalados@abalados.es</t>
        </is>
      </c>
      <c r="G11" s="706" t="inlineStr">
        <is>
          <t>Sonnedix España Management S.L.</t>
        </is>
      </c>
      <c r="H11" s="706" t="inlineStr">
        <is>
          <t>CIF B87633822</t>
        </is>
      </c>
      <c r="I11" s="706" t="inlineStr">
        <is>
          <t>c/ Príncipe de Vergara 108, Planta 12</t>
        </is>
      </c>
      <c r="J11" s="706" t="inlineStr">
        <is>
          <t>28002 Madrid</t>
        </is>
      </c>
      <c r="K11" s="706" t="inlineStr">
        <is>
          <t xml:space="preserve">Technical Advisory - PSFV Las Cabezas de San Juan </t>
        </is>
      </c>
      <c r="L11" s="706" t="n"/>
      <c r="M11" s="706" t="inlineStr">
        <is>
          <t>Inspección y análisis de Strings  (Pedido Ref. 4500002080)</t>
        </is>
      </c>
      <c r="N11" s="706" t="n">
        <v>4500</v>
      </c>
      <c r="O11" s="706" t="n"/>
      <c r="P11" s="706" t="n"/>
      <c r="Q11" s="706" t="n"/>
      <c r="R11" s="706" t="n"/>
      <c r="S11" s="706" t="inlineStr">
        <is>
          <t>Nota de abono por la factura 23001 (19/01/2023)</t>
        </is>
      </c>
      <c r="T11" s="706" t="n"/>
      <c r="U11" s="280" t="n"/>
      <c r="V11" s="706" t="n"/>
      <c r="W11" s="706" t="n"/>
      <c r="X11" s="706" t="n"/>
      <c r="Y11" s="706" t="n"/>
      <c r="Z11" s="706" t="n"/>
      <c r="AA11" s="706" t="n"/>
      <c r="AB11" s="706" t="inlineStr">
        <is>
          <t>ES11 0081 7069 2700 0122 7724</t>
        </is>
      </c>
      <c r="AC11" s="706" t="inlineStr">
        <is>
          <t>pendiente</t>
        </is>
      </c>
      <c r="AD11" s="706" t="n">
        <v>4500</v>
      </c>
      <c r="AE11" s="706" t="n">
        <v>0</v>
      </c>
      <c r="AF11" s="706" t="n">
        <v>0</v>
      </c>
      <c r="AG11" s="706" t="n">
        <v>0</v>
      </c>
      <c r="AH11" s="706" t="n">
        <v>5445</v>
      </c>
      <c r="AI11" s="706" t="inlineStr">
        <is>
          <t>N/A</t>
        </is>
      </c>
      <c r="AJ11" s="706" t="n">
        <v>4500</v>
      </c>
      <c r="AK11" s="706" t="inlineStr">
        <is>
          <t>2023-001</t>
        </is>
      </c>
    </row>
    <row r="12">
      <c r="A12" s="706" t="inlineStr">
        <is>
          <t>AB23002</t>
        </is>
      </c>
      <c r="B12" s="310" t="n">
        <v>45033</v>
      </c>
      <c r="C12" s="706" t="inlineStr">
        <is>
          <t>c/ Las Cruzadas 3A, local D</t>
        </is>
      </c>
      <c r="D12" s="706" t="inlineStr">
        <is>
          <t>Sevilla 41004</t>
        </is>
      </c>
      <c r="E12" s="706" t="inlineStr">
        <is>
          <t>CIF B91938662</t>
        </is>
      </c>
      <c r="F12" s="706" t="inlineStr">
        <is>
          <t>aBalados@abalados.es</t>
        </is>
      </c>
      <c r="G12" s="706" t="inlineStr">
        <is>
          <t>Sonnedix España Management S.L.</t>
        </is>
      </c>
      <c r="H12" s="706" t="inlineStr">
        <is>
          <t>CIF B87633822</t>
        </is>
      </c>
      <c r="I12" s="706" t="inlineStr">
        <is>
          <t>c/ Príncipe de Vergara 108, Planta 12</t>
        </is>
      </c>
      <c r="J12" s="706" t="inlineStr">
        <is>
          <t>28002 Madrid</t>
        </is>
      </c>
      <c r="K12" s="706" t="inlineStr">
        <is>
          <t xml:space="preserve">Operation &amp; Maintenance - PSFV Las Cabezas de San Juan </t>
        </is>
      </c>
      <c r="L12" s="706" t="n"/>
      <c r="M12" s="706" t="inlineStr">
        <is>
          <t>Diagnosis y subsanación de defectos en Stringbox MIII-P14-CS2</t>
        </is>
      </c>
      <c r="N12" s="706" t="n">
        <v>2600</v>
      </c>
      <c r="O12" s="706" t="inlineStr">
        <is>
          <t xml:space="preserve">   · 6 horas de ingeniero</t>
        </is>
      </c>
      <c r="P12" s="706" t="n"/>
      <c r="Q12" s="706" t="inlineStr">
        <is>
          <t xml:space="preserve">   · 12 horas de técnico de campo</t>
        </is>
      </c>
      <c r="R12" s="706" t="n"/>
      <c r="S12" s="706" t="n"/>
      <c r="T12" s="706" t="n"/>
      <c r="U12" s="280" t="n"/>
      <c r="V12" s="706" t="n"/>
      <c r="W12" s="706" t="inlineStr">
        <is>
          <t>Nota de abono por la factura 23047 (22/02/2023)</t>
        </is>
      </c>
      <c r="X12" s="706" t="n"/>
      <c r="Y12" s="706" t="n"/>
      <c r="Z12" s="706" t="n"/>
      <c r="AA12" s="706" t="n"/>
      <c r="AB12" s="706" t="inlineStr">
        <is>
          <t>ES11 0081 7069 2700 0122 7724</t>
        </is>
      </c>
      <c r="AC12" s="706" t="inlineStr">
        <is>
          <t>pendiente</t>
        </is>
      </c>
      <c r="AD12" s="706" t="n">
        <v>2600</v>
      </c>
      <c r="AE12" s="706" t="n">
        <v>0</v>
      </c>
      <c r="AF12" s="706" t="n">
        <v>0</v>
      </c>
      <c r="AG12" s="706" t="n">
        <v>0</v>
      </c>
      <c r="AH12" s="706" t="n">
        <v>3146</v>
      </c>
      <c r="AI12" s="706" t="inlineStr">
        <is>
          <t>N/A</t>
        </is>
      </c>
      <c r="AJ12" s="706" t="n">
        <v>2600</v>
      </c>
      <c r="AK12" s="706" t="inlineStr">
        <is>
          <t>2023-001</t>
        </is>
      </c>
    </row>
    <row r="13">
      <c r="A13" s="706" t="inlineStr">
        <is>
          <t>AB23003</t>
        </is>
      </c>
      <c r="B13" s="310" t="n">
        <v>45078</v>
      </c>
      <c r="C13" s="706" t="inlineStr">
        <is>
          <t>c/ Las Cruzadas 3A, local D</t>
        </is>
      </c>
      <c r="D13" s="706" t="inlineStr">
        <is>
          <t>Sevilla 41004</t>
        </is>
      </c>
      <c r="E13" s="706" t="inlineStr">
        <is>
          <t>CIF B91938662</t>
        </is>
      </c>
      <c r="F13" s="706" t="inlineStr">
        <is>
          <t>aBalados@abalados.es</t>
        </is>
      </c>
      <c r="G13" s="706" t="inlineStr">
        <is>
          <t>Arcadia Renovables 1, S.L.</t>
        </is>
      </c>
      <c r="H13" s="706" t="inlineStr">
        <is>
          <t>CIF B90486390</t>
        </is>
      </c>
      <c r="I13" s="706" t="inlineStr">
        <is>
          <t>Avda. Diego Martínez Barrios, 4. Edf. Viapol Center, 4ª Pl. Módulo 7</t>
        </is>
      </c>
      <c r="J13" s="706" t="inlineStr">
        <is>
          <t>41013 Sevilla</t>
        </is>
      </c>
      <c r="K13" s="706" t="inlineStr">
        <is>
          <t>Servicios Legales</t>
        </is>
      </c>
      <c r="L13" s="706" t="n"/>
      <c r="M13" s="706" t="inlineStr">
        <is>
          <t xml:space="preserve">Tres (3) informes del estado legal y contable de AR1, AR2 y AR3 en cada uno de los Nudos: </t>
        </is>
      </c>
      <c r="N13" s="706" t="n">
        <v>2100</v>
      </c>
      <c r="O13" s="706" t="inlineStr">
        <is>
          <t xml:space="preserve">  · “SET CARMONA 400 kV RENOVABLES, S.L.”</t>
        </is>
      </c>
      <c r="P13" s="706" t="n"/>
      <c r="Q13" s="280" t="inlineStr">
        <is>
          <t xml:space="preserve">  · “EVACUACIÓN CARMONA 400-220 kV RENOVABLES, S.L.”</t>
        </is>
      </c>
      <c r="R13" s="706" t="n"/>
      <c r="S13" s="706" t="inlineStr">
        <is>
          <t xml:space="preserve">  · “ENERGÍAS LIMPIAS DE CARMONA, S.L.” </t>
        </is>
      </c>
      <c r="T13" s="706" t="n"/>
      <c r="U13" s="706" t="n"/>
      <c r="V13" s="706" t="n"/>
      <c r="W13" s="706" t="n"/>
      <c r="X13" s="706" t="n"/>
      <c r="Y13" s="706" t="inlineStr">
        <is>
          <t>Nota de abono por la factura 23051 (03/03/2023)</t>
        </is>
      </c>
      <c r="Z13" s="706" t="n"/>
      <c r="AA13" s="706" t="n"/>
      <c r="AB13" s="706" t="inlineStr">
        <is>
          <t>ES11 0081 7069 2700 0122 7724</t>
        </is>
      </c>
      <c r="AC13" s="706" t="inlineStr">
        <is>
          <t>pendiente</t>
        </is>
      </c>
      <c r="AD13" s="706" t="n">
        <v>2100</v>
      </c>
      <c r="AE13" s="706" t="n">
        <v>0</v>
      </c>
      <c r="AF13" s="706" t="n">
        <v>0</v>
      </c>
      <c r="AG13" s="706" t="n">
        <v>0</v>
      </c>
      <c r="AH13" s="706" t="n">
        <v>2541</v>
      </c>
      <c r="AI13" s="706" t="inlineStr">
        <is>
          <t>N/A</t>
        </is>
      </c>
      <c r="AJ13" s="706" t="n">
        <v>2100</v>
      </c>
      <c r="AK13" s="706" t="inlineStr">
        <is>
          <t>2023-005</t>
        </is>
      </c>
    </row>
    <row r="14">
      <c r="A14" s="706" t="inlineStr">
        <is>
          <t>AB23004</t>
        </is>
      </c>
      <c r="B14" s="310" t="n">
        <v>45216</v>
      </c>
      <c r="C14" s="706" t="inlineStr">
        <is>
          <t>c/ Las Cruzadas 3A, local D</t>
        </is>
      </c>
      <c r="D14" s="706" t="inlineStr">
        <is>
          <t>Sevilla 41004</t>
        </is>
      </c>
      <c r="E14" s="706" t="inlineStr">
        <is>
          <t>CIF B91938662</t>
        </is>
      </c>
      <c r="F14" s="706" t="inlineStr">
        <is>
          <t>aBalados@abalados.es</t>
        </is>
      </c>
      <c r="G14" s="706" t="inlineStr">
        <is>
          <t>Arcadia Renovables 1, S.L.</t>
        </is>
      </c>
      <c r="H14" s="706" t="inlineStr">
        <is>
          <t>CIF B90486390</t>
        </is>
      </c>
      <c r="I14" s="706" t="inlineStr">
        <is>
          <t>Avda. Diego Martínez Barrios, 4. Edf. Viapol Center, 4ª Pl. Módulo 7</t>
        </is>
      </c>
      <c r="J14" s="706" t="inlineStr">
        <is>
          <t>41013 Sevilla</t>
        </is>
      </c>
      <c r="K14" s="706" t="inlineStr">
        <is>
          <t>Legal&amp;Accounting Assistance</t>
        </is>
      </c>
      <c r="L14" s="706" t="n"/>
      <c r="M14" s="706" t="n"/>
      <c r="N14" s="706" t="n"/>
      <c r="O14" s="706" t="inlineStr">
        <is>
          <t>Update for the legal and economical analysis of AR1, AR2 and AR3 in each corresponding Grid Node,</t>
        </is>
      </c>
      <c r="P14" s="706" t="n">
        <v>2550</v>
      </c>
      <c r="Q14" s="280" t="inlineStr">
        <is>
          <t>identifying any updated potential obligation and risk that may have been recently suscribed.</t>
        </is>
      </c>
      <c r="R14" s="706" t="n"/>
      <c r="S14" s="706" t="inlineStr">
        <is>
          <t xml:space="preserve">  · Grid Node SET CARMONA 400 kV RENOVABLES, S.L.</t>
        </is>
      </c>
      <c r="T14" s="706" t="n"/>
      <c r="U14" s="706" t="inlineStr">
        <is>
          <t xml:space="preserve">  · Grid Node EVACUACIÓN CARMONA 400-220 kV RENOVABLES, S.L.</t>
        </is>
      </c>
      <c r="V14" s="706" t="n"/>
      <c r="W14" s="706" t="inlineStr">
        <is>
          <t xml:space="preserve">  · Grid Node ENERGÍAS LIMPIAS DE CARMONA, S.L.</t>
        </is>
      </c>
      <c r="X14" s="706" t="n"/>
      <c r="Y14" s="706" t="inlineStr">
        <is>
          <t>Nota de abono por la factura 23280 (29/09/2023)</t>
        </is>
      </c>
      <c r="Z14" s="706" t="n"/>
      <c r="AA14" s="706" t="n"/>
      <c r="AB14" s="706" t="inlineStr">
        <is>
          <t>ES11 0081 7069 2700 0122 7724</t>
        </is>
      </c>
      <c r="AC14" s="706" t="inlineStr">
        <is>
          <t>pendiente</t>
        </is>
      </c>
      <c r="AD14" s="706" t="n">
        <v>2550</v>
      </c>
      <c r="AE14" s="706" t="n">
        <v>0</v>
      </c>
      <c r="AF14" s="706" t="n">
        <v>0</v>
      </c>
      <c r="AG14" s="706" t="n">
        <v>0</v>
      </c>
      <c r="AH14" s="706" t="n">
        <v>3085.5</v>
      </c>
      <c r="AI14" s="706" t="inlineStr">
        <is>
          <t>N/A</t>
        </is>
      </c>
      <c r="AJ14" s="706" t="n">
        <v>2550</v>
      </c>
      <c r="AK14" s="706" t="inlineStr">
        <is>
          <t>2023-005</t>
        </is>
      </c>
    </row>
    <row r="15">
      <c r="A15" s="706" t="n"/>
      <c r="B15" s="310" t="n"/>
      <c r="C15" s="706" t="n"/>
      <c r="D15" s="706" t="n"/>
      <c r="E15" s="706" t="n"/>
      <c r="F15" s="706" t="n"/>
      <c r="G15" s="706" t="n"/>
      <c r="H15" s="706" t="n"/>
      <c r="I15" s="706" t="n"/>
      <c r="J15" s="706" t="n"/>
      <c r="K15" s="706" t="n"/>
      <c r="L15" s="706" t="n"/>
      <c r="M15" s="706" t="n"/>
      <c r="N15" s="706" t="n"/>
      <c r="O15" s="706" t="n"/>
      <c r="P15" s="706" t="n"/>
      <c r="Q15" s="280" t="n"/>
      <c r="R15" s="706" t="n"/>
      <c r="S15" s="706" t="n"/>
      <c r="T15" s="706" t="n"/>
      <c r="U15" s="706" t="n"/>
      <c r="V15" s="706" t="n"/>
      <c r="W15" s="706" t="n"/>
      <c r="X15" s="706" t="n"/>
      <c r="Y15" s="706" t="n"/>
      <c r="Z15" s="706" t="n"/>
      <c r="AA15" s="706" t="n"/>
      <c r="AB15" s="706" t="n"/>
      <c r="AC15" s="706" t="n"/>
      <c r="AD15" s="706" t="n"/>
      <c r="AE15" s="706" t="n"/>
      <c r="AF15" s="706" t="n"/>
      <c r="AG15" s="706" t="n"/>
      <c r="AH15" s="706" t="n"/>
      <c r="AI15" s="706" t="n"/>
      <c r="AJ15" s="706" t="n"/>
      <c r="AK15" s="706" t="n"/>
    </row>
    <row r="16" customFormat="1" s="706">
      <c r="A16" s="706" t="inlineStr">
        <is>
          <t>AB23001</t>
        </is>
      </c>
      <c r="B16" s="310" t="n">
        <v>45021</v>
      </c>
      <c r="C16" s="706" t="inlineStr">
        <is>
          <t>c/ Las Cruzadas 3A, local D</t>
        </is>
      </c>
      <c r="D16" s="706" t="inlineStr">
        <is>
          <t>Sevilla 41004</t>
        </is>
      </c>
      <c r="E16" s="706" t="inlineStr">
        <is>
          <t>CIF B91938662</t>
        </is>
      </c>
      <c r="F16" s="706" t="inlineStr">
        <is>
          <t>aBalados@abalados.es</t>
        </is>
      </c>
      <c r="G16" s="706" t="inlineStr">
        <is>
          <t>FP LUX REIO PV ZARAGOZA SL.</t>
        </is>
      </c>
      <c r="H16" s="706" t="inlineStr">
        <is>
          <t>CIF B99453326</t>
        </is>
      </c>
      <c r="I16" s="706" t="inlineStr">
        <is>
          <t>c/ Las Cruzadas 3A, local D</t>
        </is>
      </c>
      <c r="J16" s="706" t="inlineStr">
        <is>
          <t>41004 Sevilla</t>
        </is>
      </c>
      <c r="K16" s="706" t="inlineStr">
        <is>
          <t>Proyecto El Marqués - Zaragoza</t>
        </is>
      </c>
      <c r="M16" s="706" t="inlineStr">
        <is>
          <t>Honorarios - Contrato O&amp;M 1º Trimestre</t>
        </is>
      </c>
      <c r="N16" s="706" t="n">
        <v>20963.8649556</v>
      </c>
      <c r="Q16" s="280" t="inlineStr">
        <is>
          <t>Credit note for invioce 22058</t>
        </is>
      </c>
      <c r="AB16" s="706" t="inlineStr">
        <is>
          <t>ES11 0081 7069 2700 0122 7724</t>
        </is>
      </c>
      <c r="AC16" s="706" t="inlineStr">
        <is>
          <t>pagado</t>
        </is>
      </c>
      <c r="AD16" s="706" t="n">
        <v>20963.8649556</v>
      </c>
      <c r="AE16" s="706" t="n">
        <v>0</v>
      </c>
      <c r="AF16" s="706" t="n">
        <v>0</v>
      </c>
      <c r="AG16" s="706" t="n">
        <v>0</v>
      </c>
      <c r="AH16" s="706" t="n">
        <v>25366.276596276</v>
      </c>
      <c r="AI16" s="706" t="inlineStr">
        <is>
          <t>N/A</t>
        </is>
      </c>
      <c r="AJ16" s="706" t="n">
        <v>0</v>
      </c>
      <c r="AK16" s="706" t="inlineStr">
        <is>
          <t>2019-005</t>
        </is>
      </c>
    </row>
    <row r="17" customFormat="1" s="706">
      <c r="A17" s="706" t="inlineStr">
        <is>
          <t>AB23002</t>
        </is>
      </c>
      <c r="B17" s="310" t="n">
        <v>45043</v>
      </c>
      <c r="C17" s="706" t="inlineStr">
        <is>
          <t>c/ Las Cruzadas 3A, local D</t>
        </is>
      </c>
      <c r="D17" s="706" t="inlineStr">
        <is>
          <t>Sevilla 41004</t>
        </is>
      </c>
      <c r="E17" s="706" t="inlineStr">
        <is>
          <t>CIF B91938662</t>
        </is>
      </c>
      <c r="F17" s="706" t="inlineStr">
        <is>
          <t>aBalados@abalados.es</t>
        </is>
      </c>
      <c r="G17" s="706" t="inlineStr">
        <is>
          <t>FP LUX REIO PV ZARAGOZA SL.</t>
        </is>
      </c>
      <c r="H17" s="706" t="inlineStr">
        <is>
          <t>CIF B99453326</t>
        </is>
      </c>
      <c r="I17" s="706" t="inlineStr">
        <is>
          <t>c/ Las Cruzadas 3A, local D</t>
        </is>
      </c>
      <c r="J17" s="706" t="inlineStr">
        <is>
          <t>41004 Sevilla</t>
        </is>
      </c>
      <c r="K17" s="280" t="inlineStr">
        <is>
          <t>Credit note for invioce 22105</t>
        </is>
      </c>
      <c r="M17" s="706" t="inlineStr">
        <is>
          <t>Abono factura A22105</t>
        </is>
      </c>
      <c r="N17" s="311">
        <f>ROUND(20963.8649556,2)</f>
        <v/>
      </c>
      <c r="Q17" s="280" t="n"/>
      <c r="U17" s="706" t="inlineStr">
        <is>
          <t>Proyecto El Marqués - Zaragoza</t>
        </is>
      </c>
      <c r="W17" s="706" t="inlineStr">
        <is>
          <t>Honorarios - Contrato O&amp;M 2º Trimestre</t>
        </is>
      </c>
      <c r="AB17" s="706" t="inlineStr">
        <is>
          <t>ES11 0081 7069 2700 0122 7724</t>
        </is>
      </c>
      <c r="AC17" s="706" t="inlineStr">
        <is>
          <t>pagado</t>
        </is>
      </c>
      <c r="AD17" s="706" t="n">
        <v>20963.8649556</v>
      </c>
      <c r="AE17" s="706" t="n">
        <v>0</v>
      </c>
      <c r="AF17" s="706" t="n">
        <v>0</v>
      </c>
      <c r="AG17" s="706" t="n">
        <v>0</v>
      </c>
      <c r="AH17" s="706" t="n">
        <v>25366.276596276</v>
      </c>
      <c r="AI17" s="706" t="inlineStr">
        <is>
          <t>N/A</t>
        </is>
      </c>
      <c r="AJ17" s="706" t="n">
        <v>0</v>
      </c>
      <c r="AK17" s="706" t="inlineStr">
        <is>
          <t>2019-005</t>
        </is>
      </c>
    </row>
    <row r="18" customFormat="1" s="706">
      <c r="A18" s="706" t="inlineStr">
        <is>
          <t>AB23003</t>
        </is>
      </c>
      <c r="B18" s="310" t="n">
        <v>45126</v>
      </c>
      <c r="C18" s="706" t="inlineStr">
        <is>
          <t>c/ Las Cruzadas 3A, local D</t>
        </is>
      </c>
      <c r="D18" s="706" t="inlineStr">
        <is>
          <t>Sevilla 41004</t>
        </is>
      </c>
      <c r="E18" s="706" t="inlineStr">
        <is>
          <t>CIF B91938662</t>
        </is>
      </c>
      <c r="F18" s="706" t="inlineStr">
        <is>
          <t>aBalados@abalados.es</t>
        </is>
      </c>
      <c r="G18" s="278" t="inlineStr">
        <is>
          <t>Grijota Renovables, S.L.</t>
        </is>
      </c>
      <c r="H18" s="278">
        <f>VLOOKUP($G18,DATOS!$B:$E,2,FALSE)</f>
        <v/>
      </c>
      <c r="I18" s="278">
        <f>VLOOKUP($G18,DATOS!$B:$E,3,FALSE)</f>
        <v/>
      </c>
      <c r="J18" s="278">
        <f>VLOOKUP($G18,DATOS!$B:$E,4,FALSE)</f>
        <v/>
      </c>
      <c r="K18" s="278" t="inlineStr">
        <is>
          <t>Contrato de Asset Management - Subestación Grijota</t>
        </is>
      </c>
      <c r="M18" s="706" t="inlineStr">
        <is>
          <t>Abono factura 22122</t>
        </is>
      </c>
      <c r="N18" s="311" t="n">
        <v>53.5</v>
      </c>
      <c r="Q18" s="280" t="n"/>
      <c r="AB18" s="706" t="inlineStr">
        <is>
          <t>ES11 0081 7069 2700 0122 7724</t>
        </is>
      </c>
      <c r="AC18" s="706" t="inlineStr">
        <is>
          <t>pagado</t>
        </is>
      </c>
      <c r="AD18" s="311">
        <f>N18</f>
        <v/>
      </c>
      <c r="AE18" s="706" t="n">
        <v>0</v>
      </c>
      <c r="AF18" s="706" t="n">
        <v>0</v>
      </c>
      <c r="AG18" s="706" t="n">
        <v>0</v>
      </c>
      <c r="AH18" s="706">
        <f>+AD18*1.21</f>
        <v/>
      </c>
      <c r="AI18" s="706" t="inlineStr">
        <is>
          <t>N/A</t>
        </is>
      </c>
      <c r="AJ18" s="706" t="n">
        <v>0</v>
      </c>
      <c r="AK18" s="706" t="inlineStr">
        <is>
          <t>2021-005</t>
        </is>
      </c>
    </row>
    <row r="22" ht="15" customFormat="1" customHeight="1" s="163">
      <c r="B22" s="164" t="n"/>
      <c r="C22" s="163" t="inlineStr">
        <is>
          <t>Plaza Nueva 13, esc. B Planta 2ª</t>
        </is>
      </c>
      <c r="D22" s="163" t="inlineStr">
        <is>
          <t>Sevilla 41001</t>
        </is>
      </c>
      <c r="E22" s="163" t="inlineStr">
        <is>
          <t>ESB91938662</t>
        </is>
      </c>
      <c r="F22" s="165" t="inlineStr">
        <is>
          <t>Atn. Mr. Wurster - Amministratore</t>
        </is>
      </c>
      <c r="G22" s="163" t="inlineStr">
        <is>
          <t xml:space="preserve">Progetti FV 4 di Progetti FV 4 SRL &amp; C. SAS </t>
        </is>
      </c>
      <c r="H22" s="163" t="inlineStr">
        <is>
          <t>IT07479130960</t>
        </is>
      </c>
      <c r="I22" s="163" t="inlineStr">
        <is>
          <t>Via Buenos Aires 64a (1st Floor)</t>
        </is>
      </c>
      <c r="J22" s="163" t="inlineStr">
        <is>
          <t>20124 Milano (Italia)</t>
        </is>
      </c>
      <c r="K22" s="163" t="inlineStr">
        <is>
          <t>Corrective maintenance. First half (2015-2016 period)</t>
        </is>
      </c>
      <c r="L22" s="166" t="n"/>
      <c r="M22" s="163" t="inlineStr">
        <is>
          <t>According to the provided controlling chart "151021 Corrective Maintenance - IT 1H2Y.xlsx"</t>
        </is>
      </c>
      <c r="N22" s="166" t="n">
        <v>-1868</v>
      </c>
      <c r="O22" s="163" t="inlineStr">
        <is>
          <t>Dovera</t>
        </is>
      </c>
      <c r="P22" s="166" t="n"/>
      <c r="Q22" s="166" t="inlineStr">
        <is>
          <t>Credit note for invioce A16/011</t>
        </is>
      </c>
      <c r="R22" s="166" t="n"/>
      <c r="T22" s="166" t="n"/>
      <c r="V22" s="166" t="n"/>
      <c r="X22" s="166" t="n"/>
      <c r="Z22" s="166" t="n"/>
      <c r="AA22" s="166" t="n"/>
      <c r="AB22" s="167" t="inlineStr">
        <is>
          <t>ES65 3187 0816 6930 3038 1523</t>
        </is>
      </c>
      <c r="AC22" s="163" t="inlineStr">
        <is>
          <t>pagado</t>
        </is>
      </c>
      <c r="AD22" s="166">
        <f>L22+N22+P22+R22+T22+V22+X22+Z22</f>
        <v/>
      </c>
      <c r="AE22" s="166">
        <f>IF((LEFT(M22,4))="Cont",L22,0)</f>
        <v/>
      </c>
      <c r="AF22" s="167" t="n">
        <v>0</v>
      </c>
      <c r="AG22" s="166">
        <f>AF22*AE22</f>
        <v/>
      </c>
      <c r="AH22" s="166">
        <f>AD22</f>
        <v/>
      </c>
      <c r="AI22" s="168">
        <f>IF(AE22&lt;&gt;0,AG22/AD22,"N/A")</f>
        <v/>
      </c>
      <c r="AJ22" s="166">
        <f>IF(AC22="pendiente",AD22,0)</f>
        <v/>
      </c>
      <c r="AK22" s="163" t="inlineStr">
        <is>
          <t>2014-004</t>
        </is>
      </c>
    </row>
    <row r="23" ht="15" customFormat="1" customHeight="1" s="163">
      <c r="B23" s="164" t="n"/>
      <c r="C23" s="163" t="inlineStr">
        <is>
          <t>Plaza Nueva 13, esc. B Planta 2ª</t>
        </is>
      </c>
      <c r="D23" s="163" t="inlineStr">
        <is>
          <t>Sevilla 41001</t>
        </is>
      </c>
      <c r="E23" s="163" t="inlineStr">
        <is>
          <t>ESB91938662</t>
        </is>
      </c>
      <c r="F23" s="165" t="inlineStr">
        <is>
          <t>Atn. Mr. Wurster - Amministratore</t>
        </is>
      </c>
      <c r="G23" s="163" t="inlineStr">
        <is>
          <t xml:space="preserve">Progetti FV 5 di Progetti FV 5 SRL &amp; C. SAS </t>
        </is>
      </c>
      <c r="H23" s="163" t="inlineStr">
        <is>
          <t>IT07479160967</t>
        </is>
      </c>
      <c r="I23" s="163" t="inlineStr">
        <is>
          <t>Via Buenos Aires 64a (1st Floor)</t>
        </is>
      </c>
      <c r="J23" s="163" t="inlineStr">
        <is>
          <t>20124 Milano (Italia)</t>
        </is>
      </c>
      <c r="K23" s="163" t="inlineStr">
        <is>
          <t>Corrective maintenance. First half (2015-2016 period)</t>
        </is>
      </c>
      <c r="L23" s="166" t="n"/>
      <c r="M23" s="163" t="inlineStr">
        <is>
          <t>According to the provided controlling chart "151021 Corrective Maintenance - IT 1H2Y.xlsx"</t>
        </is>
      </c>
      <c r="N23" s="166" t="n">
        <v>-12633.43</v>
      </c>
      <c r="O23" s="163" t="inlineStr">
        <is>
          <t>Palazzo Pignano</t>
        </is>
      </c>
      <c r="P23" s="166" t="n"/>
      <c r="Q23" s="166" t="inlineStr">
        <is>
          <t>Credit note for invioce A16/012</t>
        </is>
      </c>
      <c r="R23" s="166" t="n"/>
      <c r="T23" s="166" t="n"/>
      <c r="V23" s="166" t="n"/>
      <c r="X23" s="166" t="n"/>
      <c r="Z23" s="166" t="n"/>
      <c r="AA23" s="166" t="n"/>
      <c r="AB23" s="167" t="inlineStr">
        <is>
          <t>ES65 3187 0816 6930 3038 1523</t>
        </is>
      </c>
      <c r="AC23" s="163" t="inlineStr">
        <is>
          <t>pagado</t>
        </is>
      </c>
      <c r="AD23" s="166">
        <f>L23+N23+P23+R23+T23+V23+X23+Z23</f>
        <v/>
      </c>
      <c r="AE23" s="166">
        <f>IF((LEFT(M23,4))="Cont",L23,0)</f>
        <v/>
      </c>
      <c r="AF23" s="167" t="n">
        <v>0</v>
      </c>
      <c r="AG23" s="166">
        <f>AF23*AE23</f>
        <v/>
      </c>
      <c r="AH23" s="166">
        <f>AD23</f>
        <v/>
      </c>
      <c r="AI23" s="168">
        <f>IF(AE23&lt;&gt;0,AG23/AD23,"N/A")</f>
        <v/>
      </c>
      <c r="AJ23" s="166">
        <f>IF(AC23="pendiente",AD23,0)</f>
        <v/>
      </c>
      <c r="AK23" s="163" t="inlineStr">
        <is>
          <t>2014-005</t>
        </is>
      </c>
    </row>
    <row r="24" ht="15" customFormat="1" customHeight="1" s="163">
      <c r="B24" s="164" t="n"/>
      <c r="C24" s="163" t="inlineStr">
        <is>
          <t>Plaza Nueva 13, esc. B Planta 2ª</t>
        </is>
      </c>
      <c r="D24" s="163" t="inlineStr">
        <is>
          <t>Sevilla 41001</t>
        </is>
      </c>
      <c r="E24" s="163" t="inlineStr">
        <is>
          <t>ESB91938662</t>
        </is>
      </c>
      <c r="F24" s="165" t="inlineStr">
        <is>
          <t>Atn. Mr. Wurster - Amministratore</t>
        </is>
      </c>
      <c r="G24" s="163" t="inlineStr">
        <is>
          <t xml:space="preserve">Progetti FV 8 di Progetti FV 8 SRL &amp; C. SAS </t>
        </is>
      </c>
      <c r="H24" s="163" t="inlineStr">
        <is>
          <t>IT07479260965</t>
        </is>
      </c>
      <c r="I24" s="163" t="inlineStr">
        <is>
          <t>Via Buenos Aires 64a (1st Floor)</t>
        </is>
      </c>
      <c r="J24" s="163" t="inlineStr">
        <is>
          <t>20124 Milano (Italia)</t>
        </is>
      </c>
      <c r="K24" s="163" t="inlineStr">
        <is>
          <t>Corrective maintenance. First half (2015-2016 period)</t>
        </is>
      </c>
      <c r="L24" s="166" t="n"/>
      <c r="M24" s="163" t="inlineStr">
        <is>
          <t>According to the provided controlling chart "151021 Corrective Maintenance - IT 1H2Y.xlsx"</t>
        </is>
      </c>
      <c r="N24" s="166" t="n">
        <v>-2090.5</v>
      </c>
      <c r="O24" s="163" t="inlineStr">
        <is>
          <t>Polesine 2</t>
        </is>
      </c>
      <c r="P24" s="166" t="n"/>
      <c r="Q24" s="166" t="inlineStr">
        <is>
          <t>Credit note for invioce A16/013</t>
        </is>
      </c>
      <c r="R24" s="166" t="n"/>
      <c r="T24" s="166" t="n"/>
      <c r="V24" s="166" t="n"/>
      <c r="X24" s="166" t="n"/>
      <c r="Z24" s="166" t="n"/>
      <c r="AA24" s="166" t="n"/>
      <c r="AB24" s="167" t="inlineStr">
        <is>
          <t>ES65 3187 0816 6930 3038 1523</t>
        </is>
      </c>
      <c r="AC24" s="163" t="inlineStr">
        <is>
          <t>pagado</t>
        </is>
      </c>
      <c r="AD24" s="166">
        <f>L24+N24+P24+R24+T24+V24+X24+Z24</f>
        <v/>
      </c>
      <c r="AE24" s="166">
        <f>IF((LEFT(M24,4))="Cont",L24,0)</f>
        <v/>
      </c>
      <c r="AF24" s="167" t="n">
        <v>0</v>
      </c>
      <c r="AG24" s="166">
        <f>AF24*AE24</f>
        <v/>
      </c>
      <c r="AH24" s="166">
        <f>AD24</f>
        <v/>
      </c>
      <c r="AI24" s="168">
        <f>IF(AE24&lt;&gt;0,AG24/AD24,"N/A")</f>
        <v/>
      </c>
      <c r="AJ24" s="166">
        <f>IF(AC24="pendiente",AD24,0)</f>
        <v/>
      </c>
      <c r="AK24" s="163" t="inlineStr">
        <is>
          <t>2014-006</t>
        </is>
      </c>
    </row>
    <row r="25" ht="15" customFormat="1" customHeight="1" s="163">
      <c r="B25" s="164" t="n"/>
      <c r="C25" s="163" t="inlineStr">
        <is>
          <t>Plaza Nueva 13, esc. B Planta 2ª</t>
        </is>
      </c>
      <c r="D25" s="163" t="inlineStr">
        <is>
          <t>Sevilla 41001</t>
        </is>
      </c>
      <c r="E25" s="163" t="inlineStr">
        <is>
          <t>ESB91938662</t>
        </is>
      </c>
      <c r="F25" s="165" t="inlineStr">
        <is>
          <t>Atn. Mr. Wurster - Amministratore</t>
        </is>
      </c>
      <c r="G25" s="163" t="inlineStr">
        <is>
          <t>Progetti FV 9 di Progetti FV 9 SRL &amp; C. SAS</t>
        </is>
      </c>
      <c r="H25" s="163" t="inlineStr">
        <is>
          <t>IT07479270964</t>
        </is>
      </c>
      <c r="I25" s="163" t="inlineStr">
        <is>
          <t>Via Buenos Aires 64a (1st Floor)</t>
        </is>
      </c>
      <c r="J25" s="163" t="inlineStr">
        <is>
          <t>20124 Milano (Italia)</t>
        </is>
      </c>
      <c r="K25" s="163" t="inlineStr">
        <is>
          <t>Corrective maintenance. First half (2015-2016 period)</t>
        </is>
      </c>
      <c r="L25" s="166" t="n"/>
      <c r="M25" s="163" t="inlineStr">
        <is>
          <t>According to the provided controlling chart "151021 Corrective Maintenance - IT 1H2Y.xlsx"</t>
        </is>
      </c>
      <c r="N25" s="166" t="n">
        <v>-530.75</v>
      </c>
      <c r="O25" s="163" t="inlineStr">
        <is>
          <t>Polesine 3</t>
        </is>
      </c>
      <c r="P25" s="166" t="n"/>
      <c r="Q25" s="166" t="inlineStr">
        <is>
          <t>Credit note for invioce A16/014</t>
        </is>
      </c>
      <c r="R25" s="166" t="n"/>
      <c r="T25" s="166" t="n"/>
      <c r="V25" s="166" t="n"/>
      <c r="X25" s="166" t="n"/>
      <c r="Z25" s="166" t="n"/>
      <c r="AA25" s="166" t="n"/>
      <c r="AB25" s="167" t="inlineStr">
        <is>
          <t>ES65 3187 0816 6930 3038 1523</t>
        </is>
      </c>
      <c r="AC25" s="163" t="inlineStr">
        <is>
          <t>pagado</t>
        </is>
      </c>
      <c r="AD25" s="166">
        <f>L25+N25+P25+R25+T25+V25+X25+Z25</f>
        <v/>
      </c>
      <c r="AE25" s="166">
        <f>IF((LEFT(M25,4))="Cont",L25,0)</f>
        <v/>
      </c>
      <c r="AF25" s="167" t="n">
        <v>0</v>
      </c>
      <c r="AG25" s="166">
        <f>AF25*AE25</f>
        <v/>
      </c>
      <c r="AH25" s="166">
        <f>AD25</f>
        <v/>
      </c>
      <c r="AI25" s="168">
        <f>IF(AE25&lt;&gt;0,AG25/AD25,"N/A")</f>
        <v/>
      </c>
      <c r="AJ25" s="166">
        <f>IF(AC25="pendiente",AD25,0)</f>
        <v/>
      </c>
      <c r="AK25" s="163" t="inlineStr">
        <is>
          <t>2014-007</t>
        </is>
      </c>
    </row>
    <row r="26" ht="12.75" customFormat="1" customHeight="1" s="1">
      <c r="B26" s="26" t="n"/>
      <c r="G26" s="25" t="n"/>
      <c r="H26" s="25" t="n"/>
      <c r="I26" s="3" t="n"/>
      <c r="J26" s="4" t="n"/>
      <c r="L26" s="5" t="n"/>
      <c r="N26" s="5" t="n"/>
      <c r="P26" s="5" t="n"/>
      <c r="R26" s="5" t="n"/>
      <c r="T26" s="5" t="n"/>
      <c r="V26" s="5" t="n"/>
      <c r="X26" s="5" t="n"/>
      <c r="Z26" s="5" t="n"/>
      <c r="AA26" s="5" t="n"/>
      <c r="AB26" s="6" t="n"/>
      <c r="AD26" s="5" t="n"/>
      <c r="AE26" s="5" t="n"/>
      <c r="AF26" s="6" t="n"/>
      <c r="AG26" s="5" t="n"/>
      <c r="AH26" s="5" t="n"/>
      <c r="AI26" s="86" t="n"/>
      <c r="AJ26" s="5" t="n"/>
    </row>
    <row r="27" ht="12.75" customFormat="1" customHeight="1" s="1">
      <c r="B27" s="26" t="n"/>
      <c r="G27" s="25" t="n"/>
      <c r="H27" s="25" t="n"/>
      <c r="I27" s="3" t="n"/>
      <c r="J27" s="4" t="n"/>
      <c r="L27" s="5" t="n"/>
      <c r="N27" s="5" t="n"/>
      <c r="P27" s="5" t="n"/>
      <c r="R27" s="5" t="n"/>
      <c r="T27" s="5" t="n"/>
      <c r="V27" s="5" t="n"/>
      <c r="X27" s="5" t="n"/>
      <c r="Z27" s="5" t="n"/>
      <c r="AA27" s="5" t="n"/>
      <c r="AB27" s="6" t="n"/>
      <c r="AD27" s="5" t="n"/>
      <c r="AE27" s="5" t="n"/>
      <c r="AF27" s="6" t="n"/>
      <c r="AG27" s="5" t="n"/>
      <c r="AH27" s="5" t="n"/>
      <c r="AI27" s="86" t="n"/>
      <c r="AJ27" s="5" t="n"/>
    </row>
    <row r="28" ht="12.75" customFormat="1" customHeight="1" s="1">
      <c r="B28" s="26" t="n"/>
      <c r="G28" s="25" t="n"/>
      <c r="H28" s="25" t="n"/>
      <c r="I28" s="3" t="n"/>
      <c r="J28" s="4" t="n"/>
      <c r="L28" s="5" t="n"/>
      <c r="N28" s="5" t="n"/>
      <c r="P28" s="5" t="n"/>
      <c r="R28" s="5" t="n"/>
      <c r="T28" s="5" t="n"/>
      <c r="V28" s="5" t="n"/>
      <c r="X28" s="5" t="n"/>
      <c r="Z28" s="5" t="n"/>
      <c r="AA28" s="5" t="n"/>
      <c r="AB28" s="6" t="n"/>
      <c r="AD28" s="5" t="n"/>
      <c r="AE28" s="5" t="n"/>
      <c r="AF28" s="6" t="n"/>
      <c r="AG28" s="5" t="n"/>
      <c r="AH28" s="5" t="n"/>
      <c r="AI28" s="86" t="n"/>
      <c r="AJ28" s="5" t="n"/>
    </row>
    <row r="29" ht="12.75" customFormat="1" customHeight="1" s="1">
      <c r="B29" s="26" t="n"/>
      <c r="G29" s="25" t="n"/>
      <c r="H29" s="25" t="n"/>
      <c r="I29" s="3" t="n"/>
      <c r="J29" s="4" t="n"/>
      <c r="L29" s="5" t="n"/>
      <c r="N29" s="5" t="n"/>
      <c r="P29" s="5" t="n"/>
      <c r="R29" s="5" t="n"/>
      <c r="T29" s="5" t="n"/>
      <c r="V29" s="5" t="n"/>
      <c r="X29" s="5" t="n"/>
      <c r="Z29" s="5" t="n"/>
      <c r="AA29" s="5" t="n"/>
      <c r="AB29" s="6" t="n"/>
      <c r="AD29" s="5" t="n"/>
      <c r="AE29" s="5" t="n"/>
      <c r="AF29" s="6" t="n"/>
      <c r="AG29" s="5" t="n"/>
      <c r="AH29" s="5" t="n"/>
      <c r="AI29" s="86" t="n"/>
      <c r="AJ29" s="5" t="n"/>
    </row>
    <row r="30" ht="12.75" customFormat="1" customHeight="1" s="1">
      <c r="B30" s="26" t="n"/>
      <c r="G30" s="25" t="n"/>
      <c r="H30" s="25" t="n"/>
      <c r="I30" s="3" t="n"/>
      <c r="J30" s="4" t="n"/>
      <c r="L30" s="5" t="n"/>
      <c r="N30" s="5" t="n"/>
      <c r="P30" s="5" t="n"/>
      <c r="R30" s="5" t="n"/>
      <c r="T30" s="5" t="n"/>
      <c r="V30" s="5" t="n"/>
      <c r="X30" s="5" t="n"/>
      <c r="Z30" s="5" t="n"/>
      <c r="AA30" s="5" t="n"/>
      <c r="AB30" s="6" t="n"/>
      <c r="AD30" s="5" t="n"/>
      <c r="AE30" s="5" t="n"/>
      <c r="AF30" s="6" t="n"/>
      <c r="AG30" s="5" t="n"/>
      <c r="AH30" s="5" t="n"/>
      <c r="AI30" s="86" t="n"/>
      <c r="AJ30" s="5" t="n"/>
    </row>
    <row r="31" ht="12.75" customFormat="1" customHeight="1" s="1">
      <c r="B31" s="26" t="n"/>
      <c r="G31" s="25" t="n"/>
      <c r="H31" s="25" t="n"/>
      <c r="I31" s="3" t="n"/>
      <c r="J31" s="4" t="n"/>
      <c r="L31" s="5" t="n"/>
      <c r="N31" s="5" t="n"/>
      <c r="P31" s="5" t="n"/>
      <c r="R31" s="5" t="n"/>
      <c r="T31" s="5" t="n"/>
      <c r="V31" s="5" t="n"/>
      <c r="X31" s="5" t="n"/>
      <c r="Z31" s="5" t="n"/>
      <c r="AA31" s="5" t="n"/>
      <c r="AB31" s="6" t="n"/>
      <c r="AD31" s="5" t="n"/>
      <c r="AE31" s="5" t="n"/>
      <c r="AF31" s="6" t="n"/>
      <c r="AG31" s="5" t="n"/>
      <c r="AH31" s="5" t="n"/>
      <c r="AI31" s="86" t="n"/>
      <c r="AJ31" s="5" t="n"/>
    </row>
  </sheetData>
  <mergeCells count="3">
    <mergeCell ref="C1:F1"/>
    <mergeCell ref="AE1:AG1"/>
    <mergeCell ref="G1:J1"/>
  </mergeCells>
  <conditionalFormatting sqref="AC26:AE26">
    <cfRule type="cellIs" priority="20" operator="equal" dxfId="1">
      <formula>"pendiente"</formula>
    </cfRule>
    <cfRule type="containsText" priority="21" operator="containsText" dxfId="0" text="pagado">
      <formula>NOT(ISERROR(SEARCH("pagado",AC26)))</formula>
    </cfRule>
    <cfRule type="cellIs" priority="18" operator="equal" dxfId="1">
      <formula>"pendiente"</formula>
    </cfRule>
    <cfRule type="containsText" priority="19" operator="containsText" dxfId="0" text="pagado">
      <formula>NOT(ISERROR(SEARCH("pagado",AC26)))</formula>
    </cfRule>
  </conditionalFormatting>
  <conditionalFormatting sqref="AC26:AE26 AG26">
    <cfRule type="containsText" priority="22" operator="containsText" dxfId="1" text="pendiente">
      <formula>NOT(ISERROR(SEARCH("pendiente",AC26)))</formula>
    </cfRule>
    <cfRule type="containsText" priority="17" operator="containsText" dxfId="1" text="pendiente">
      <formula>NOT(ISERROR(SEARCH("pendiente",AC26)))</formula>
    </cfRule>
  </conditionalFormatting>
  <conditionalFormatting sqref="AC27:AE31">
    <cfRule type="cellIs" priority="14" operator="equal" dxfId="1">
      <formula>"pendiente"</formula>
    </cfRule>
    <cfRule type="containsText" priority="15" operator="containsText" dxfId="0" text="pagado">
      <formula>NOT(ISERROR(SEARCH("pagado",AC27)))</formula>
    </cfRule>
    <cfRule type="cellIs" priority="12" operator="equal" dxfId="1">
      <formula>"pendiente"</formula>
    </cfRule>
    <cfRule type="containsText" priority="13" operator="containsText" dxfId="0" text="pagado">
      <formula>NOT(ISERROR(SEARCH("pagado",AC27)))</formula>
    </cfRule>
  </conditionalFormatting>
  <conditionalFormatting sqref="AC27:AE31 AG27:AG31">
    <cfRule type="containsText" priority="16" operator="containsText" dxfId="1" text="pendiente">
      <formula>NOT(ISERROR(SEARCH("pendiente",AC27)))</formula>
    </cfRule>
    <cfRule type="containsText" priority="11" operator="containsText" dxfId="1" text="pendiente">
      <formula>NOT(ISERROR(SEARCH("pendiente",AC27)))</formula>
    </cfRule>
  </conditionalFormatting>
  <conditionalFormatting sqref="AD22:AE25">
    <cfRule type="cellIs" priority="4" operator="equal" dxfId="1">
      <formula>"pendiente"</formula>
    </cfRule>
  </conditionalFormatting>
  <conditionalFormatting sqref="AC22:AC25">
    <cfRule type="containsText" priority="1" operator="containsText" dxfId="62" text="abonado">
      <formula>NOT(ISERROR(SEARCH("abonado",AC22)))</formula>
    </cfRule>
    <cfRule type="containsText" priority="2" operator="containsText" dxfId="61" text="pagado">
      <formula>NOT(ISERROR(SEARCH("pagado",AC22)))</formula>
    </cfRule>
    <cfRule type="containsText" priority="3" operator="containsText" dxfId="60" text="pendiente">
      <formula>NOT(ISERROR(SEARCH("pendiente",AC22)))</formula>
    </cfRule>
  </conditionalFormatting>
  <dataValidations disablePrompts="1" count="3">
    <dataValidation sqref="AC26:AC31" showDropDown="0" showInputMessage="1" showErrorMessage="1" allowBlank="1" type="list">
      <formula1>"pagado,pendiente"</formula1>
    </dataValidation>
    <dataValidation sqref="O27:O31 W26:W31" showDropDown="0" showInputMessage="1" showErrorMessage="1" allowBlank="1" type="list">
      <formula1>#REF!</formula1>
    </dataValidation>
    <dataValidation sqref="AC22:AC25" showDropDown="0" showInputMessage="1" showErrorMessage="1" allowBlank="1" type="list">
      <formula1>"pagado,pendiente,abonado"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>
  <sheetPr codeName="Hoja25">
    <outlinePr summaryBelow="1" summaryRight="1"/>
    <pageSetUpPr/>
  </sheetPr>
  <dimension ref="A1:N9"/>
  <sheetViews>
    <sheetView workbookViewId="0">
      <selection activeCell="I15" sqref="I15"/>
    </sheetView>
  </sheetViews>
  <sheetFormatPr baseColWidth="10" defaultRowHeight="14.6"/>
  <cols>
    <col width="21.15234375" customWidth="1" style="700" min="1" max="1"/>
    <col width="11.53515625" bestFit="1" customWidth="1" style="700" min="2" max="2"/>
    <col width="11.15234375" bestFit="1" customWidth="1" style="700" min="3" max="4"/>
    <col width="9.15234375" bestFit="1" customWidth="1" style="700" min="5" max="5"/>
    <col width="12.53515625" bestFit="1" customWidth="1" style="700" min="6" max="6"/>
    <col width="12.3828125" bestFit="1" customWidth="1" style="700" min="7" max="7"/>
    <col width="8.84375" bestFit="1" customWidth="1" style="700" min="8" max="8"/>
    <col width="5.53515625" bestFit="1" customWidth="1" style="700" min="9" max="9"/>
    <col width="13.3828125" bestFit="1" customWidth="1" style="700" min="10" max="10"/>
    <col width="15.53515625" bestFit="1" customWidth="1" style="700" min="13" max="13"/>
  </cols>
  <sheetData>
    <row r="1" ht="15.75" customHeight="1" s="700" thickBot="1">
      <c r="B1" s="326" t="inlineStr">
        <is>
          <t>TOTAL</t>
        </is>
      </c>
      <c r="C1" s="339" t="inlineStr">
        <is>
          <t>Promoción</t>
        </is>
      </c>
      <c r="D1" s="339" t="inlineStr">
        <is>
          <t>Explotación</t>
        </is>
      </c>
      <c r="E1" s="339" t="inlineStr">
        <is>
          <t>Privativas</t>
        </is>
      </c>
      <c r="F1" s="339" t="inlineStr">
        <is>
          <t>Extraordinario</t>
        </is>
      </c>
      <c r="G1" s="339" t="inlineStr">
        <is>
          <t>Refacturación</t>
        </is>
      </c>
      <c r="H1" s="339" t="inlineStr">
        <is>
          <t>Dirección</t>
        </is>
      </c>
      <c r="I1" s="339" t="inlineStr">
        <is>
          <t>Legal</t>
        </is>
      </c>
      <c r="J1" s="339" t="inlineStr">
        <is>
          <t>Administración</t>
        </is>
      </c>
    </row>
    <row r="2">
      <c r="A2" s="340" t="inlineStr">
        <is>
          <t>nudos</t>
        </is>
      </c>
      <c r="B2" s="336">
        <f>SUMIFS(Resumen!$AD:$AD,Resumen!$AL:$AL,$A2)</f>
        <v/>
      </c>
      <c r="C2" s="327">
        <f>SUMIFS(Resumen!$AD:$AD,Resumen!$AL:$AL,$A2,Resumen!$AM:$AM,C$1)</f>
        <v/>
      </c>
      <c r="D2" s="328">
        <f>SUMIFS(Resumen!$AD:$AD,Resumen!$AL:$AL,$A2,Resumen!$AM:$AM,D$1)</f>
        <v/>
      </c>
      <c r="E2" s="328">
        <f>SUMIFS(Resumen!$AD:$AD,Resumen!$AL:$AL,$A2,Resumen!$AM:$AM,E$1)</f>
        <v/>
      </c>
      <c r="F2" s="328">
        <f>SUMIFS(Resumen!$AD:$AD,Resumen!$AL:$AL,$A2,Resumen!$AM:$AM,F$1)</f>
        <v/>
      </c>
      <c r="G2" s="328">
        <f>SUMIFS(Resumen!$AD:$AD,Resumen!$AL:$AL,$A2,Resumen!$AM:$AM,G$1)</f>
        <v/>
      </c>
      <c r="H2" s="328">
        <f>SUMIFS(Resumen!$AD:$AD,Resumen!$AL:$AL,$A2,Resumen!$AM:$AM,H$1)</f>
        <v/>
      </c>
      <c r="I2" s="328">
        <f>SUMIFS(Resumen!$AD:$AD,Resumen!$AL:$AL,$A2,Resumen!$AM:$AM,I$1)</f>
        <v/>
      </c>
      <c r="J2" s="329">
        <f>SUMIFS(Resumen!$AD:$AD,Resumen!$AL:$AL,$A2,Resumen!$AM:$AM,J$1)</f>
        <v/>
      </c>
      <c r="L2" t="inlineStr">
        <is>
          <t>empleados</t>
        </is>
      </c>
      <c r="M2" t="n">
        <v>18</v>
      </c>
    </row>
    <row r="3">
      <c r="A3" s="341" t="inlineStr">
        <is>
          <t>Ingeniería</t>
        </is>
      </c>
      <c r="B3" s="337">
        <f>SUMIFS(Resumen!$AD:$AD,Resumen!$AL:$AL,$A3)</f>
        <v/>
      </c>
      <c r="C3" s="330">
        <f>SUMIFS(Resumen!$AD:$AD,Resumen!$AL:$AL,$A3,Resumen!$AM:$AM,C$1)</f>
        <v/>
      </c>
      <c r="D3" s="331">
        <f>SUMIFS(Resumen!$AD:$AD,Resumen!$AL:$AL,$A3,Resumen!$AM:$AM,D$1)</f>
        <v/>
      </c>
      <c r="E3" s="331">
        <f>SUMIFS(Resumen!$AD:$AD,Resumen!$AL:$AL,$A3,Resumen!$AM:$AM,E$1)</f>
        <v/>
      </c>
      <c r="F3" s="331">
        <f>SUMIFS(Resumen!$AD:$AD,Resumen!$AL:$AL,$A3,Resumen!$AM:$AM,F$1)</f>
        <v/>
      </c>
      <c r="G3" s="331">
        <f>SUMIFS(Resumen!$AD:$AD,Resumen!$AL:$AL,$A3,Resumen!$AM:$AM,G$1)</f>
        <v/>
      </c>
      <c r="H3" s="331">
        <f>SUMIFS(Resumen!$AD:$AD,Resumen!$AL:$AL,$A3,Resumen!$AM:$AM,H$1)</f>
        <v/>
      </c>
      <c r="I3" s="331">
        <f>SUMIFS(Resumen!$AD:$AD,Resumen!$AL:$AL,$A3,Resumen!$AM:$AM,I$1)</f>
        <v/>
      </c>
      <c r="J3" s="332">
        <f>SUMIFS(Resumen!$AD:$AD,Resumen!$AL:$AL,$A3,Resumen!$AM:$AM,J$1)</f>
        <v/>
      </c>
      <c r="L3" t="inlineStr">
        <is>
          <t>coste medio</t>
        </is>
      </c>
      <c r="M3" t="n">
        <v>30000</v>
      </c>
    </row>
    <row r="4">
      <c r="A4" s="341" t="inlineStr">
        <is>
          <t>WOC_OM</t>
        </is>
      </c>
      <c r="B4" s="337">
        <f>SUMIFS(Resumen!$AD:$AD,Resumen!$AL:$AL,$A4)</f>
        <v/>
      </c>
      <c r="C4" s="330">
        <f>SUMIFS(Resumen!$AD:$AD,Resumen!$AL:$AL,$A4,Resumen!$AM:$AM,C$1)</f>
        <v/>
      </c>
      <c r="D4" s="331">
        <f>SUMIFS(Resumen!$AD:$AD,Resumen!$AL:$AL,$A4,Resumen!$AM:$AM,D$1)</f>
        <v/>
      </c>
      <c r="E4" s="331">
        <f>SUMIFS(Resumen!$AD:$AD,Resumen!$AL:$AL,$A4,Resumen!$AM:$AM,E$1)</f>
        <v/>
      </c>
      <c r="F4" s="331">
        <f>SUMIFS(Resumen!$AD:$AD,Resumen!$AL:$AL,$A4,Resumen!$AM:$AM,F$1)</f>
        <v/>
      </c>
      <c r="G4" s="331">
        <f>SUMIFS(Resumen!$AD:$AD,Resumen!$AL:$AL,$A4,Resumen!$AM:$AM,G$1)</f>
        <v/>
      </c>
      <c r="H4" s="331">
        <f>SUMIFS(Resumen!$AD:$AD,Resumen!$AL:$AL,$A4,Resumen!$AM:$AM,H$1)</f>
        <v/>
      </c>
      <c r="I4" s="331">
        <f>SUMIFS(Resumen!$AD:$AD,Resumen!$AL:$AL,$A4,Resumen!$AM:$AM,I$1)</f>
        <v/>
      </c>
      <c r="J4" s="332">
        <f>SUMIFS(Resumen!$AD:$AD,Resumen!$AL:$AL,$A4,Resumen!$AM:$AM,J$1)</f>
        <v/>
      </c>
      <c r="L4" t="inlineStr">
        <is>
          <t>coste laboral</t>
        </is>
      </c>
      <c r="M4">
        <f>M2*M3</f>
        <v/>
      </c>
    </row>
    <row r="5">
      <c r="A5" s="341" t="inlineStr">
        <is>
          <t>OM_Otros</t>
        </is>
      </c>
      <c r="B5" s="337">
        <f>SUMIFS(Resumen!$AD:$AD,Resumen!$AL:$AL,$A5)</f>
        <v/>
      </c>
      <c r="C5" s="330">
        <f>SUMIFS(Resumen!$AD:$AD,Resumen!$AL:$AL,$A5,Resumen!$AM:$AM,C$1)</f>
        <v/>
      </c>
      <c r="D5" s="331">
        <f>SUMIFS(Resumen!$AD:$AD,Resumen!$AL:$AL,$A5,Resumen!$AM:$AM,D$1)</f>
        <v/>
      </c>
      <c r="E5" s="331">
        <f>SUMIFS(Resumen!$AD:$AD,Resumen!$AL:$AL,$A5,Resumen!$AM:$AM,E$1)</f>
        <v/>
      </c>
      <c r="F5" s="331">
        <f>SUMIFS(Resumen!$AD:$AD,Resumen!$AL:$AL,$A5,Resumen!$AM:$AM,F$1)</f>
        <v/>
      </c>
      <c r="G5" s="331">
        <f>SUMIFS(Resumen!$AD:$AD,Resumen!$AL:$AL,$A5,Resumen!$AM:$AM,G$1)</f>
        <v/>
      </c>
      <c r="H5" s="331">
        <f>SUMIFS(Resumen!$AD:$AD,Resumen!$AL:$AL,$A5,Resumen!$AM:$AM,H$1)</f>
        <v/>
      </c>
      <c r="I5" s="331">
        <f>SUMIFS(Resumen!$AD:$AD,Resumen!$AL:$AL,$A5,Resumen!$AM:$AM,I$1)</f>
        <v/>
      </c>
      <c r="J5" s="332">
        <f>SUMIFS(Resumen!$AD:$AD,Resumen!$AL:$AL,$A5,Resumen!$AM:$AM,J$1)</f>
        <v/>
      </c>
      <c r="L5" t="inlineStr">
        <is>
          <t>Coste estructura</t>
        </is>
      </c>
      <c r="M5" s="343" t="n">
        <v>0.15</v>
      </c>
      <c r="N5">
        <f>M5*B2</f>
        <v/>
      </c>
    </row>
    <row r="6">
      <c r="A6" s="341" t="inlineStr">
        <is>
          <t>WOC_Asset</t>
        </is>
      </c>
      <c r="B6" s="337">
        <f>SUMIFS(Resumen!$AD:$AD,Resumen!$AL:$AL,$A6)</f>
        <v/>
      </c>
      <c r="C6" s="330">
        <f>SUMIFS(Resumen!$AD:$AD,Resumen!$AL:$AL,$A6,Resumen!$AM:$AM,C$1)</f>
        <v/>
      </c>
      <c r="D6" s="331">
        <f>SUMIFS(Resumen!$AD:$AD,Resumen!$AL:$AL,$A6,Resumen!$AM:$AM,D$1)</f>
        <v/>
      </c>
      <c r="E6" s="331">
        <f>SUMIFS(Resumen!$AD:$AD,Resumen!$AL:$AL,$A6,Resumen!$AM:$AM,E$1)</f>
        <v/>
      </c>
      <c r="F6" s="331">
        <f>SUMIFS(Resumen!$AD:$AD,Resumen!$AL:$AL,$A6,Resumen!$AM:$AM,F$1)</f>
        <v/>
      </c>
      <c r="G6" s="331">
        <f>SUMIFS(Resumen!$AD:$AD,Resumen!$AL:$AL,$A6,Resumen!$AM:$AM,G$1)</f>
        <v/>
      </c>
      <c r="H6" s="331">
        <f>SUMIFS(Resumen!$AD:$AD,Resumen!$AL:$AL,$A6,Resumen!$AM:$AM,H$1)</f>
        <v/>
      </c>
      <c r="I6" s="331">
        <f>SUMIFS(Resumen!$AD:$AD,Resumen!$AL:$AL,$A6,Resumen!$AM:$AM,I$1)</f>
        <v/>
      </c>
      <c r="J6" s="332">
        <f>SUMIFS(Resumen!$AD:$AD,Resumen!$AL:$AL,$A6,Resumen!$AM:$AM,J$1)</f>
        <v/>
      </c>
    </row>
    <row r="7" ht="15.75" customHeight="1" s="700" thickBot="1">
      <c r="A7" s="342" t="inlineStr">
        <is>
          <t>Asset</t>
        </is>
      </c>
      <c r="B7" s="338">
        <f>SUMIFS(Resumen!$AD:$AD,Resumen!$AL:$AL,$A7)</f>
        <v/>
      </c>
      <c r="C7" s="333">
        <f>SUMIFS(Resumen!$AD:$AD,Resumen!$AL:$AL,$A7,Resumen!$AM:$AM,C$1)</f>
        <v/>
      </c>
      <c r="D7" s="334">
        <f>SUMIFS(Resumen!$AD:$AD,Resumen!$AL:$AL,$A7,Resumen!$AM:$AM,D$1)</f>
        <v/>
      </c>
      <c r="E7" s="334">
        <f>SUMIFS(Resumen!$AD:$AD,Resumen!$AL:$AL,$A7,Resumen!$AM:$AM,E$1)</f>
        <v/>
      </c>
      <c r="F7" s="334">
        <f>SUMIFS(Resumen!$AD:$AD,Resumen!$AL:$AL,$A7,Resumen!$AM:$AM,F$1)</f>
        <v/>
      </c>
      <c r="G7" s="334">
        <f>SUMIFS(Resumen!$AD:$AD,Resumen!$AL:$AL,$A7,Resumen!$AM:$AM,G$1)</f>
        <v/>
      </c>
      <c r="H7" s="334">
        <f>SUMIFS(Resumen!$AD:$AD,Resumen!$AL:$AL,$A7,Resumen!$AM:$AM,H$1)</f>
        <v/>
      </c>
      <c r="I7" s="334">
        <f>SUMIFS(Resumen!$AD:$AD,Resumen!$AL:$AL,$A7,Resumen!$AM:$AM,I$1)</f>
        <v/>
      </c>
      <c r="J7" s="335">
        <f>SUMIFS(Resumen!$AD:$AD,Resumen!$AL:$AL,$A7,Resumen!$AM:$AM,J$1)</f>
        <v/>
      </c>
      <c r="L7" t="inlineStr">
        <is>
          <t>EBITDA</t>
        </is>
      </c>
      <c r="M7" s="331">
        <f>(B2-M4-N5)</f>
        <v/>
      </c>
    </row>
    <row r="8">
      <c r="L8" t="inlineStr">
        <is>
          <t>Beneficio</t>
        </is>
      </c>
      <c r="M8" s="721">
        <f>M7*0.75</f>
        <v/>
      </c>
    </row>
    <row r="9">
      <c r="L9" t="inlineStr">
        <is>
          <t>Socio 10%</t>
        </is>
      </c>
      <c r="M9" s="722">
        <f>M8*0.1</f>
        <v/>
      </c>
    </row>
  </sheetData>
  <dataValidations disablePrompts="1" count="2">
    <dataValidation sqref="A2:A7" showDropDown="0" showInputMessage="1" showErrorMessage="1" allowBlank="1" type="list">
      <formula1>"WOC_Asset,WOC_OM,OM_Otros,nudos,Ingeniería,Asset"</formula1>
    </dataValidation>
    <dataValidation sqref="C1:J1" showDropDown="0" showInputMessage="1" showErrorMessage="1" allowBlank="1" type="list">
      <formula1>"Refacturación,Promoción,Explotación,Extraordinario,Legal,Administración,Privativas,Dirección"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>
  <sheetPr codeName="Hoja8">
    <tabColor theme="9" tint="0.7999816888943144"/>
    <outlinePr summaryBelow="1" summaryRight="1"/>
    <pageSetUpPr/>
  </sheetPr>
  <dimension ref="A1:Z241"/>
  <sheetViews>
    <sheetView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O12" sqref="O12"/>
    </sheetView>
  </sheetViews>
  <sheetFormatPr baseColWidth="10" defaultColWidth="11.3828125" defaultRowHeight="15" customHeight="1"/>
  <cols>
    <col width="8" customWidth="1" style="1" min="1" max="1"/>
    <col width="55.3046875" bestFit="1" customWidth="1" style="1" min="2" max="2"/>
    <col width="15.69140625" customWidth="1" style="1" min="3" max="3"/>
    <col width="8.84375" customWidth="1" style="1" min="4" max="4"/>
    <col width="7.53515625" customWidth="1" style="339" min="5" max="5"/>
    <col width="15.69140625" customWidth="1" style="1" min="6" max="6"/>
    <col width="8.15234375" customWidth="1" style="339" min="7" max="7"/>
    <col width="15.69140625" customWidth="1" style="365" min="8" max="8"/>
    <col width="40.69140625" customWidth="1" style="1" min="9" max="9"/>
    <col width="11.3828125" customWidth="1" style="1" min="10" max="14"/>
    <col width="25.69140625" customWidth="1" style="365" min="15" max="15"/>
    <col width="12.3046875" bestFit="1" customWidth="1" style="365" min="16" max="16"/>
    <col width="5.69140625" customWidth="1" style="1" min="17" max="18"/>
    <col width="11.3828125" customWidth="1" style="1" min="19" max="24"/>
    <col width="4.69140625" customWidth="1" style="1" min="25" max="25"/>
    <col width="11.3828125" customWidth="1" style="623" min="26" max="26"/>
    <col width="11.3828125" customWidth="1" style="1" min="27" max="37"/>
    <col width="11.3828125" customWidth="1" style="1" min="38" max="16384"/>
  </cols>
  <sheetData>
    <row r="1" ht="15" customFormat="1" customHeight="1" s="594">
      <c r="A1" s="593" t="inlineStr">
        <is>
          <t>tipo_persona</t>
        </is>
      </c>
      <c r="B1" s="593" t="inlineStr">
        <is>
          <t>empresa_nombre</t>
        </is>
      </c>
      <c r="C1" s="593" t="inlineStr">
        <is>
          <t>cif_aliases</t>
        </is>
      </c>
      <c r="D1" s="592" t="inlineStr">
        <is>
          <t>ID_Cliente</t>
        </is>
      </c>
      <c r="E1" s="592" t="inlineStr">
        <is>
          <t>Triple_A</t>
        </is>
      </c>
      <c r="F1" s="593" t="inlineStr">
        <is>
          <t>cif</t>
        </is>
      </c>
      <c r="G1" s="593" t="inlineStr">
        <is>
          <t>tipo_documento</t>
        </is>
      </c>
      <c r="H1" s="593" t="inlineStr">
        <is>
          <t>numero_documento</t>
        </is>
      </c>
      <c r="I1" s="593" t="inlineStr">
        <is>
          <t>domicilio</t>
        </is>
      </c>
      <c r="J1" s="593" t="inlineStr">
        <is>
          <t>cp</t>
        </is>
      </c>
      <c r="K1" s="593" t="inlineStr">
        <is>
          <t>provincia</t>
        </is>
      </c>
      <c r="L1" s="593" t="inlineStr">
        <is>
          <t>poblacion</t>
        </is>
      </c>
      <c r="M1" s="593" t="inlineStr">
        <is>
          <t>tipo_residencia</t>
        </is>
      </c>
      <c r="N1" s="593" t="inlineStr">
        <is>
          <t>pais_iso2</t>
        </is>
      </c>
      <c r="O1" s="593" t="inlineStr">
        <is>
          <t>iban_defecto</t>
        </is>
      </c>
      <c r="P1" s="593" t="inlineStr">
        <is>
          <t>bic</t>
        </is>
      </c>
      <c r="Q1" s="593" t="inlineStr">
        <is>
          <t>moneda</t>
        </is>
      </c>
      <c r="R1" s="593" t="inlineStr">
        <is>
          <t>unidad_medida_defecto</t>
        </is>
      </c>
      <c r="S1" s="593" t="inlineStr">
        <is>
          <t>es_autonomo</t>
        </is>
      </c>
      <c r="T1" s="593" t="inlineStr">
        <is>
          <t>series_retencion</t>
        </is>
      </c>
      <c r="U1" s="593" t="inlineStr">
        <is>
          <t>API_URL</t>
        </is>
      </c>
      <c r="V1" s="593" t="inlineStr">
        <is>
          <t>API_TOKEN</t>
        </is>
      </c>
      <c r="W1" s="593" t="inlineStr">
        <is>
          <t>API_EMAIL</t>
        </is>
      </c>
      <c r="X1" s="593" t="inlineStr">
        <is>
          <t>AUID</t>
        </is>
      </c>
      <c r="Z1" s="622" t="inlineStr">
        <is>
          <t>Fecha IBAN</t>
        </is>
      </c>
    </row>
    <row r="2" ht="15" customHeight="1" s="700">
      <c r="A2" s="635" t="inlineStr">
        <is>
          <t>J</t>
        </is>
      </c>
      <c r="B2" s="1" t="inlineStr">
        <is>
          <t>aBalados Services, S.L.</t>
        </is>
      </c>
      <c r="C2" s="1" t="inlineStr">
        <is>
          <t>CIF B91938662</t>
        </is>
      </c>
      <c r="D2" s="482" t="inlineStr">
        <is>
          <t>--</t>
        </is>
      </c>
      <c r="E2" s="339" t="n">
        <v>0</v>
      </c>
      <c r="F2" s="601">
        <f>IF( OR(ISNUMBER(SEARCH("NIF",C2)),ISNUMBER(SEARCH("CIF",C2)),ISNUMBER(SEARCH("NIE",C2))), MID(C2,5,LEN(C2)), C2)</f>
        <v/>
      </c>
      <c r="G2" s="339" t="inlineStr">
        <is>
          <t>nif</t>
        </is>
      </c>
      <c r="H2" s="602">
        <f>F2</f>
        <v/>
      </c>
      <c r="I2" s="603">
        <f>VLOOKUP(B2,DATOS!B:D,3,FALSE)</f>
        <v/>
      </c>
      <c r="J2" s="603">
        <f>MID(VLOOKUP(B2,DATOS!B:E,4,FALSE),1,5)</f>
        <v/>
      </c>
      <c r="K2" s="603">
        <f>MID(VLOOKUP(B2,DATOS!B:E,4,FALSE),7,LEN(VLOOKUP(B2,DATOS!B:E,4,FALSE)))</f>
        <v/>
      </c>
      <c r="L2" s="603">
        <f>K2</f>
        <v/>
      </c>
      <c r="M2" s="606" t="inlineStr">
        <is>
          <t>R</t>
        </is>
      </c>
      <c r="N2" s="606" t="inlineStr">
        <is>
          <t>ESP</t>
        </is>
      </c>
      <c r="O2" s="365" t="inlineStr">
        <is>
          <t>ES8520803509113040096171</t>
        </is>
      </c>
      <c r="P2" s="365" t="inlineStr">
        <is>
          <t>CAGLESMMXXX</t>
        </is>
      </c>
      <c r="Q2" s="606" t="inlineStr">
        <is>
          <t>EUR</t>
        </is>
      </c>
      <c r="R2" s="640" t="inlineStr">
        <is>
          <t>01</t>
        </is>
      </c>
      <c r="S2" s="339" t="inlineStr">
        <is>
          <t>FALSE</t>
        </is>
      </c>
      <c r="T2" s="1" t="inlineStr">
        <is>
          <t xml:space="preserve"> </t>
        </is>
      </c>
      <c r="U2" s="608" t="inlineStr">
        <is>
          <t>https://www.facturantia.com/API/proformas_receptor.php</t>
        </is>
      </c>
      <c r="V2" s="609" t="n">
        <v>6666</v>
      </c>
      <c r="W2" s="610" t="inlineStr">
        <is>
          <t>facturacion@abalados.es</t>
        </is>
      </c>
      <c r="X2" s="609" t="n">
        <v>762687769</v>
      </c>
      <c r="Z2" s="624" t="n">
        <v>45951</v>
      </c>
    </row>
    <row r="3" ht="15" customFormat="1" customHeight="1" s="25">
      <c r="A3" s="339" t="inlineStr">
        <is>
          <t>J</t>
        </is>
      </c>
      <c r="B3" s="1" t="inlineStr">
        <is>
          <t>Agrupación  Solar Valverde S.L.U.</t>
        </is>
      </c>
      <c r="C3" s="1" t="inlineStr">
        <is>
          <t>CIF B98041171</t>
        </is>
      </c>
      <c r="D3" s="25" t="inlineStr">
        <is>
          <t>2008-001</t>
        </is>
      </c>
      <c r="E3" s="598" t="n">
        <v>0.1</v>
      </c>
      <c r="F3" s="601">
        <f>IF( OR(ISNUMBER(SEARCH("NIF",C3)),ISNUMBER(SEARCH("CIF",C3)),ISNUMBER(SEARCH("NIE",C3))), MID(C3,5,LEN(C3)), C3)</f>
        <v/>
      </c>
      <c r="G3" s="339" t="inlineStr">
        <is>
          <t>nif</t>
        </is>
      </c>
      <c r="H3" s="602">
        <f>F3</f>
        <v/>
      </c>
      <c r="I3" s="603">
        <f>VLOOKUP(B3,DATOS!B:D,3,FALSE)</f>
        <v/>
      </c>
      <c r="J3" s="603">
        <f>MID(VLOOKUP(B3,DATOS!B:E,4,FALSE),1,5)</f>
        <v/>
      </c>
      <c r="K3" s="603">
        <f>MID(VLOOKUP(B3,DATOS!B:E,4,FALSE),7,LEN(VLOOKUP(B3,DATOS!B:E,4,FALSE)))</f>
        <v/>
      </c>
      <c r="L3" s="603">
        <f>K3</f>
        <v/>
      </c>
      <c r="M3" s="606" t="inlineStr">
        <is>
          <t>R</t>
        </is>
      </c>
      <c r="N3" s="606" t="inlineStr">
        <is>
          <t>ESP</t>
        </is>
      </c>
      <c r="O3" s="619" t="n"/>
      <c r="P3" s="619" t="n"/>
      <c r="Q3" s="606" t="inlineStr">
        <is>
          <t>EUR</t>
        </is>
      </c>
      <c r="R3" s="640" t="inlineStr">
        <is>
          <t>01</t>
        </is>
      </c>
      <c r="S3" s="339" t="inlineStr">
        <is>
          <t>FALSE</t>
        </is>
      </c>
      <c r="T3" s="1" t="inlineStr">
        <is>
          <t xml:space="preserve"> </t>
        </is>
      </c>
      <c r="U3" s="608" t="inlineStr">
        <is>
          <t>https://www.facturantia.com/API/proformas_receptor.php</t>
        </is>
      </c>
      <c r="V3" s="609" t="n">
        <v>6666</v>
      </c>
      <c r="W3" s="610" t="inlineStr">
        <is>
          <t>facturacion@abalados.es</t>
        </is>
      </c>
      <c r="X3" s="609" t="n">
        <v>762687769</v>
      </c>
      <c r="Z3" s="625" t="n"/>
    </row>
    <row r="4" ht="15" customFormat="1" customHeight="1" s="25">
      <c r="A4" s="339" t="inlineStr">
        <is>
          <t>J</t>
        </is>
      </c>
      <c r="B4" s="1" t="inlineStr">
        <is>
          <t>Badsolar Inversión 2008 S.L.U.</t>
        </is>
      </c>
      <c r="C4" s="1" t="inlineStr">
        <is>
          <t>CIF B98041429</t>
        </is>
      </c>
      <c r="D4" s="25" t="inlineStr">
        <is>
          <t>2008-002</t>
        </is>
      </c>
      <c r="E4" s="598" t="n">
        <v>0.1</v>
      </c>
      <c r="F4" s="601">
        <f>IF( OR(ISNUMBER(SEARCH("NIF",C4)),ISNUMBER(SEARCH("CIF",C4)),ISNUMBER(SEARCH("NIE",C4))), MID(C4,5,LEN(C4)), C4)</f>
        <v/>
      </c>
      <c r="G4" s="339" t="inlineStr">
        <is>
          <t>nif</t>
        </is>
      </c>
      <c r="H4" s="602">
        <f>F4</f>
        <v/>
      </c>
      <c r="I4" s="603">
        <f>VLOOKUP(B4,DATOS!B:D,3,FALSE)</f>
        <v/>
      </c>
      <c r="J4" s="603">
        <f>MID(VLOOKUP(B4,DATOS!B:E,4,FALSE),1,5)</f>
        <v/>
      </c>
      <c r="K4" s="603">
        <f>MID(VLOOKUP(B4,DATOS!B:E,4,FALSE),7,LEN(VLOOKUP(B4,DATOS!B:E,4,FALSE)))</f>
        <v/>
      </c>
      <c r="L4" s="603">
        <f>K4</f>
        <v/>
      </c>
      <c r="M4" s="606" t="inlineStr">
        <is>
          <t>R</t>
        </is>
      </c>
      <c r="N4" s="606" t="inlineStr">
        <is>
          <t>ESP</t>
        </is>
      </c>
      <c r="O4" s="619" t="n"/>
      <c r="P4" s="619" t="n"/>
      <c r="Q4" s="606" t="inlineStr">
        <is>
          <t>EUR</t>
        </is>
      </c>
      <c r="R4" s="640" t="inlineStr">
        <is>
          <t>01</t>
        </is>
      </c>
      <c r="S4" s="339" t="inlineStr">
        <is>
          <t>FALSE</t>
        </is>
      </c>
      <c r="T4" s="1" t="inlineStr">
        <is>
          <t xml:space="preserve"> </t>
        </is>
      </c>
      <c r="U4" s="608" t="inlineStr">
        <is>
          <t>https://www.facturantia.com/API/proformas_receptor.php</t>
        </is>
      </c>
      <c r="V4" s="609" t="n">
        <v>6666</v>
      </c>
      <c r="W4" s="610" t="inlineStr">
        <is>
          <t>facturacion@abalados.es</t>
        </is>
      </c>
      <c r="X4" s="609" t="n">
        <v>762687769</v>
      </c>
      <c r="Z4" s="625" t="n"/>
    </row>
    <row r="5" ht="15" customFormat="1" customHeight="1" s="25">
      <c r="A5" s="339" t="inlineStr">
        <is>
          <t>J</t>
        </is>
      </c>
      <c r="B5" s="1" t="inlineStr">
        <is>
          <t>Benefits de Valverde 2008 S.L.U.</t>
        </is>
      </c>
      <c r="C5" s="1" t="inlineStr">
        <is>
          <t>CIF B98041270</t>
        </is>
      </c>
      <c r="D5" s="25" t="inlineStr">
        <is>
          <t>2008-003</t>
        </is>
      </c>
      <c r="E5" s="598" t="n">
        <v>0.1</v>
      </c>
      <c r="F5" s="601">
        <f>IF( OR(ISNUMBER(SEARCH("NIF",C5)),ISNUMBER(SEARCH("CIF",C5)),ISNUMBER(SEARCH("NIE",C5))), MID(C5,5,LEN(C5)), C5)</f>
        <v/>
      </c>
      <c r="G5" s="339" t="inlineStr">
        <is>
          <t>nif</t>
        </is>
      </c>
      <c r="H5" s="602">
        <f>F5</f>
        <v/>
      </c>
      <c r="I5" s="603">
        <f>VLOOKUP(B5,DATOS!B:D,3,FALSE)</f>
        <v/>
      </c>
      <c r="J5" s="603">
        <f>MID(VLOOKUP(B5,DATOS!B:E,4,FALSE),1,5)</f>
        <v/>
      </c>
      <c r="K5" s="603">
        <f>MID(VLOOKUP(B5,DATOS!B:E,4,FALSE),7,LEN(VLOOKUP(B5,DATOS!B:E,4,FALSE)))</f>
        <v/>
      </c>
      <c r="L5" s="603">
        <f>K5</f>
        <v/>
      </c>
      <c r="M5" s="606" t="inlineStr">
        <is>
          <t>R</t>
        </is>
      </c>
      <c r="N5" s="606" t="inlineStr">
        <is>
          <t>ESP</t>
        </is>
      </c>
      <c r="O5" s="619" t="n"/>
      <c r="P5" s="619" t="n"/>
      <c r="Q5" s="606" t="inlineStr">
        <is>
          <t>EUR</t>
        </is>
      </c>
      <c r="R5" s="640" t="inlineStr">
        <is>
          <t>01</t>
        </is>
      </c>
      <c r="S5" s="339" t="inlineStr">
        <is>
          <t>FALSE</t>
        </is>
      </c>
      <c r="T5" s="1" t="inlineStr">
        <is>
          <t xml:space="preserve"> </t>
        </is>
      </c>
      <c r="U5" s="608" t="inlineStr">
        <is>
          <t>https://www.facturantia.com/API/proformas_receptor.php</t>
        </is>
      </c>
      <c r="V5" s="609" t="n">
        <v>6666</v>
      </c>
      <c r="W5" s="610" t="inlineStr">
        <is>
          <t>facturacion@abalados.es</t>
        </is>
      </c>
      <c r="X5" s="609" t="n">
        <v>762687769</v>
      </c>
      <c r="Z5" s="625" t="n"/>
    </row>
    <row r="6" ht="15" customFormat="1" customHeight="1" s="25">
      <c r="A6" s="339" t="inlineStr">
        <is>
          <t>J</t>
        </is>
      </c>
      <c r="B6" s="1" t="inlineStr">
        <is>
          <t>Deasom Solar de Valverde S.L.U.</t>
        </is>
      </c>
      <c r="C6" s="1" t="inlineStr">
        <is>
          <t>CIF B98041387</t>
        </is>
      </c>
      <c r="D6" s="25" t="inlineStr">
        <is>
          <t>2008-004</t>
        </is>
      </c>
      <c r="E6" s="598" t="n">
        <v>0.1</v>
      </c>
      <c r="F6" s="601">
        <f>IF( OR(ISNUMBER(SEARCH("NIF",C6)),ISNUMBER(SEARCH("CIF",C6)),ISNUMBER(SEARCH("NIE",C6))), MID(C6,5,LEN(C6)), C6)</f>
        <v/>
      </c>
      <c r="G6" s="339" t="inlineStr">
        <is>
          <t>nif</t>
        </is>
      </c>
      <c r="H6" s="602">
        <f>F6</f>
        <v/>
      </c>
      <c r="I6" s="603">
        <f>VLOOKUP(B6,DATOS!B:D,3,FALSE)</f>
        <v/>
      </c>
      <c r="J6" s="603">
        <f>MID(VLOOKUP(B6,DATOS!B:E,4,FALSE),1,5)</f>
        <v/>
      </c>
      <c r="K6" s="603">
        <f>MID(VLOOKUP(B6,DATOS!B:E,4,FALSE),7,LEN(VLOOKUP(B6,DATOS!B:E,4,FALSE)))</f>
        <v/>
      </c>
      <c r="L6" s="603">
        <f>K6</f>
        <v/>
      </c>
      <c r="M6" s="606" t="inlineStr">
        <is>
          <t>R</t>
        </is>
      </c>
      <c r="N6" s="606" t="inlineStr">
        <is>
          <t>ESP</t>
        </is>
      </c>
      <c r="O6" s="619" t="n"/>
      <c r="P6" s="619" t="n"/>
      <c r="Q6" s="606" t="inlineStr">
        <is>
          <t>EUR</t>
        </is>
      </c>
      <c r="R6" s="640" t="inlineStr">
        <is>
          <t>01</t>
        </is>
      </c>
      <c r="S6" s="339" t="inlineStr">
        <is>
          <t>FALSE</t>
        </is>
      </c>
      <c r="T6" s="1" t="inlineStr">
        <is>
          <t xml:space="preserve"> </t>
        </is>
      </c>
      <c r="U6" s="608" t="inlineStr">
        <is>
          <t>https://www.facturantia.com/API/proformas_receptor.php</t>
        </is>
      </c>
      <c r="V6" s="609" t="n">
        <v>6666</v>
      </c>
      <c r="W6" s="610" t="inlineStr">
        <is>
          <t>facturacion@abalados.es</t>
        </is>
      </c>
      <c r="X6" s="609" t="n">
        <v>762687769</v>
      </c>
      <c r="Z6" s="625" t="n"/>
    </row>
    <row r="7" ht="15" customFormat="1" customHeight="1" s="25">
      <c r="A7" s="339" t="inlineStr">
        <is>
          <t>J</t>
        </is>
      </c>
      <c r="B7" s="1" t="inlineStr">
        <is>
          <t>Dehesa Solar 2008 S.L.U.</t>
        </is>
      </c>
      <c r="C7" s="1" t="inlineStr">
        <is>
          <t>CIF B98041262</t>
        </is>
      </c>
      <c r="D7" s="25" t="inlineStr">
        <is>
          <t>2008-005</t>
        </is>
      </c>
      <c r="E7" s="598" t="n">
        <v>0.1</v>
      </c>
      <c r="F7" s="601">
        <f>IF( OR(ISNUMBER(SEARCH("NIF",C7)),ISNUMBER(SEARCH("CIF",C7)),ISNUMBER(SEARCH("NIE",C7))), MID(C7,5,LEN(C7)), C7)</f>
        <v/>
      </c>
      <c r="G7" s="339" t="inlineStr">
        <is>
          <t>nif</t>
        </is>
      </c>
      <c r="H7" s="602">
        <f>F7</f>
        <v/>
      </c>
      <c r="I7" s="603">
        <f>VLOOKUP(B7,DATOS!B:D,3,FALSE)</f>
        <v/>
      </c>
      <c r="J7" s="603">
        <f>MID(VLOOKUP(B7,DATOS!B:E,4,FALSE),1,5)</f>
        <v/>
      </c>
      <c r="K7" s="603">
        <f>MID(VLOOKUP(B7,DATOS!B:E,4,FALSE),7,LEN(VLOOKUP(B7,DATOS!B:E,4,FALSE)))</f>
        <v/>
      </c>
      <c r="L7" s="603">
        <f>K7</f>
        <v/>
      </c>
      <c r="M7" s="606" t="inlineStr">
        <is>
          <t>R</t>
        </is>
      </c>
      <c r="N7" s="606" t="inlineStr">
        <is>
          <t>ESP</t>
        </is>
      </c>
      <c r="O7" s="619" t="n"/>
      <c r="P7" s="619" t="n"/>
      <c r="Q7" s="606" t="inlineStr">
        <is>
          <t>EUR</t>
        </is>
      </c>
      <c r="R7" s="640" t="inlineStr">
        <is>
          <t>01</t>
        </is>
      </c>
      <c r="S7" s="339" t="inlineStr">
        <is>
          <t>FALSE</t>
        </is>
      </c>
      <c r="T7" s="1" t="inlineStr">
        <is>
          <t xml:space="preserve"> </t>
        </is>
      </c>
      <c r="U7" s="608" t="inlineStr">
        <is>
          <t>https://www.facturantia.com/API/proformas_receptor.php</t>
        </is>
      </c>
      <c r="V7" s="609" t="n">
        <v>6666</v>
      </c>
      <c r="W7" s="610" t="inlineStr">
        <is>
          <t>facturacion@abalados.es</t>
        </is>
      </c>
      <c r="X7" s="609" t="n">
        <v>762687769</v>
      </c>
      <c r="Z7" s="625" t="n"/>
    </row>
    <row r="8" ht="15" customFormat="1" customHeight="1" s="25">
      <c r="A8" s="339" t="inlineStr">
        <is>
          <t>J</t>
        </is>
      </c>
      <c r="B8" s="1" t="inlineStr">
        <is>
          <t>Explotación Olivenza 1 S.L.U.</t>
        </is>
      </c>
      <c r="C8" s="1" t="inlineStr">
        <is>
          <t>CIF B98041221</t>
        </is>
      </c>
      <c r="D8" s="25" t="inlineStr">
        <is>
          <t>2008-006</t>
        </is>
      </c>
      <c r="E8" s="598" t="n">
        <v>0.1</v>
      </c>
      <c r="F8" s="601">
        <f>IF( OR(ISNUMBER(SEARCH("NIF",C8)),ISNUMBER(SEARCH("CIF",C8)),ISNUMBER(SEARCH("NIE",C8))), MID(C8,5,LEN(C8)), C8)</f>
        <v/>
      </c>
      <c r="G8" s="339" t="inlineStr">
        <is>
          <t>nif</t>
        </is>
      </c>
      <c r="H8" s="602">
        <f>F8</f>
        <v/>
      </c>
      <c r="I8" s="603">
        <f>VLOOKUP(B8,DATOS!B:D,3,FALSE)</f>
        <v/>
      </c>
      <c r="J8" s="603">
        <f>MID(VLOOKUP(B8,DATOS!B:E,4,FALSE),1,5)</f>
        <v/>
      </c>
      <c r="K8" s="603">
        <f>MID(VLOOKUP(B8,DATOS!B:E,4,FALSE),7,LEN(VLOOKUP(B8,DATOS!B:E,4,FALSE)))</f>
        <v/>
      </c>
      <c r="L8" s="603">
        <f>K8</f>
        <v/>
      </c>
      <c r="M8" s="606" t="inlineStr">
        <is>
          <t>R</t>
        </is>
      </c>
      <c r="N8" s="606" t="inlineStr">
        <is>
          <t>ESP</t>
        </is>
      </c>
      <c r="O8" s="619" t="n"/>
      <c r="P8" s="619" t="n"/>
      <c r="Q8" s="606" t="inlineStr">
        <is>
          <t>EUR</t>
        </is>
      </c>
      <c r="R8" s="640" t="inlineStr">
        <is>
          <t>01</t>
        </is>
      </c>
      <c r="S8" s="339" t="inlineStr">
        <is>
          <t>FALSE</t>
        </is>
      </c>
      <c r="T8" s="1" t="inlineStr">
        <is>
          <t xml:space="preserve"> </t>
        </is>
      </c>
      <c r="U8" s="608" t="inlineStr">
        <is>
          <t>https://www.facturantia.com/API/proformas_receptor.php</t>
        </is>
      </c>
      <c r="V8" s="609" t="n">
        <v>6666</v>
      </c>
      <c r="W8" s="610" t="inlineStr">
        <is>
          <t>facturacion@abalados.es</t>
        </is>
      </c>
      <c r="X8" s="609" t="n">
        <v>762687769</v>
      </c>
      <c r="Z8" s="625" t="n"/>
    </row>
    <row r="9" ht="15" customFormat="1" customHeight="1" s="25">
      <c r="A9" s="339" t="inlineStr">
        <is>
          <t>J</t>
        </is>
      </c>
      <c r="B9" s="1" t="inlineStr">
        <is>
          <t>Explotación Solar Valverde 1S.L.U.</t>
        </is>
      </c>
      <c r="C9" s="1" t="inlineStr">
        <is>
          <t>CIF B98041379</t>
        </is>
      </c>
      <c r="D9" s="25" t="inlineStr">
        <is>
          <t>2008-007</t>
        </is>
      </c>
      <c r="E9" s="598" t="n">
        <v>0.1</v>
      </c>
      <c r="F9" s="601">
        <f>IF( OR(ISNUMBER(SEARCH("NIF",C9)),ISNUMBER(SEARCH("CIF",C9)),ISNUMBER(SEARCH("NIE",C9))), MID(C9,5,LEN(C9)), C9)</f>
        <v/>
      </c>
      <c r="G9" s="339" t="inlineStr">
        <is>
          <t>nif</t>
        </is>
      </c>
      <c r="H9" s="602">
        <f>F9</f>
        <v/>
      </c>
      <c r="I9" s="603">
        <f>VLOOKUP(B9,DATOS!B:D,3,FALSE)</f>
        <v/>
      </c>
      <c r="J9" s="603">
        <f>MID(VLOOKUP(B9,DATOS!B:E,4,FALSE),1,5)</f>
        <v/>
      </c>
      <c r="K9" s="603">
        <f>MID(VLOOKUP(B9,DATOS!B:E,4,FALSE),7,LEN(VLOOKUP(B9,DATOS!B:E,4,FALSE)))</f>
        <v/>
      </c>
      <c r="L9" s="603">
        <f>K9</f>
        <v/>
      </c>
      <c r="M9" s="606" t="inlineStr">
        <is>
          <t>R</t>
        </is>
      </c>
      <c r="N9" s="606" t="inlineStr">
        <is>
          <t>ESP</t>
        </is>
      </c>
      <c r="O9" s="619" t="n"/>
      <c r="P9" s="619" t="n"/>
      <c r="Q9" s="606" t="inlineStr">
        <is>
          <t>EUR</t>
        </is>
      </c>
      <c r="R9" s="640" t="inlineStr">
        <is>
          <t>01</t>
        </is>
      </c>
      <c r="S9" s="339" t="inlineStr">
        <is>
          <t>FALSE</t>
        </is>
      </c>
      <c r="T9" s="1" t="inlineStr">
        <is>
          <t xml:space="preserve"> </t>
        </is>
      </c>
      <c r="U9" s="608" t="inlineStr">
        <is>
          <t>https://www.facturantia.com/API/proformas_receptor.php</t>
        </is>
      </c>
      <c r="V9" s="609" t="n">
        <v>6666</v>
      </c>
      <c r="W9" s="610" t="inlineStr">
        <is>
          <t>facturacion@abalados.es</t>
        </is>
      </c>
      <c r="X9" s="609" t="n">
        <v>762687769</v>
      </c>
      <c r="Z9" s="625" t="n"/>
    </row>
    <row r="10" ht="15" customFormat="1" customHeight="1" s="25">
      <c r="A10" s="339" t="inlineStr">
        <is>
          <t>J</t>
        </is>
      </c>
      <c r="B10" s="1" t="inlineStr">
        <is>
          <t>Inlugesc Inversiones Solares S.L.U.</t>
        </is>
      </c>
      <c r="C10" s="1" t="inlineStr">
        <is>
          <t>CIF B98041346</t>
        </is>
      </c>
      <c r="D10" s="25" t="inlineStr">
        <is>
          <t>2008-008</t>
        </is>
      </c>
      <c r="E10" s="598" t="n">
        <v>0.1</v>
      </c>
      <c r="F10" s="601">
        <f>IF( OR(ISNUMBER(SEARCH("NIF",C10)),ISNUMBER(SEARCH("CIF",C10)),ISNUMBER(SEARCH("NIE",C10))), MID(C10,5,LEN(C10)), C10)</f>
        <v/>
      </c>
      <c r="G10" s="339" t="inlineStr">
        <is>
          <t>nif</t>
        </is>
      </c>
      <c r="H10" s="602">
        <f>F10</f>
        <v/>
      </c>
      <c r="I10" s="603">
        <f>VLOOKUP(B10,DATOS!B:D,3,FALSE)</f>
        <v/>
      </c>
      <c r="J10" s="603">
        <f>MID(VLOOKUP(B10,DATOS!B:E,4,FALSE),1,5)</f>
        <v/>
      </c>
      <c r="K10" s="603">
        <f>MID(VLOOKUP(B10,DATOS!B:E,4,FALSE),7,LEN(VLOOKUP(B10,DATOS!B:E,4,FALSE)))</f>
        <v/>
      </c>
      <c r="L10" s="603">
        <f>K10</f>
        <v/>
      </c>
      <c r="M10" s="606" t="inlineStr">
        <is>
          <t>R</t>
        </is>
      </c>
      <c r="N10" s="606" t="inlineStr">
        <is>
          <t>ESP</t>
        </is>
      </c>
      <c r="O10" s="619" t="n"/>
      <c r="P10" s="619" t="n"/>
      <c r="Q10" s="606" t="inlineStr">
        <is>
          <t>EUR</t>
        </is>
      </c>
      <c r="R10" s="640" t="inlineStr">
        <is>
          <t>01</t>
        </is>
      </c>
      <c r="S10" s="339" t="inlineStr">
        <is>
          <t>FALSE</t>
        </is>
      </c>
      <c r="T10" s="1" t="inlineStr">
        <is>
          <t xml:space="preserve"> </t>
        </is>
      </c>
      <c r="U10" s="608" t="inlineStr">
        <is>
          <t>https://www.facturantia.com/API/proformas_receptor.php</t>
        </is>
      </c>
      <c r="V10" s="609" t="n">
        <v>6666</v>
      </c>
      <c r="W10" s="610" t="inlineStr">
        <is>
          <t>facturacion@abalados.es</t>
        </is>
      </c>
      <c r="X10" s="609" t="n">
        <v>762687769</v>
      </c>
      <c r="Z10" s="625" t="n"/>
    </row>
    <row r="11" ht="15" customFormat="1" customHeight="1" s="25">
      <c r="A11" s="339" t="inlineStr">
        <is>
          <t>J</t>
        </is>
      </c>
      <c r="B11" s="1" t="inlineStr">
        <is>
          <t>Insolia Extremadura S.L.U.</t>
        </is>
      </c>
      <c r="C11" s="1" t="inlineStr">
        <is>
          <t>CIF B98041411</t>
        </is>
      </c>
      <c r="D11" s="25" t="inlineStr">
        <is>
          <t>2008-009</t>
        </is>
      </c>
      <c r="E11" s="598" t="n">
        <v>0.1</v>
      </c>
      <c r="F11" s="601">
        <f>IF( OR(ISNUMBER(SEARCH("NIF",C11)),ISNUMBER(SEARCH("CIF",C11)),ISNUMBER(SEARCH("NIE",C11))), MID(C11,5,LEN(C11)), C11)</f>
        <v/>
      </c>
      <c r="G11" s="339" t="inlineStr">
        <is>
          <t>nif</t>
        </is>
      </c>
      <c r="H11" s="602">
        <f>F11</f>
        <v/>
      </c>
      <c r="I11" s="603">
        <f>VLOOKUP(B11,DATOS!B:D,3,FALSE)</f>
        <v/>
      </c>
      <c r="J11" s="603">
        <f>MID(VLOOKUP(B11,DATOS!B:E,4,FALSE),1,5)</f>
        <v/>
      </c>
      <c r="K11" s="603">
        <f>MID(VLOOKUP(B11,DATOS!B:E,4,FALSE),7,LEN(VLOOKUP(B11,DATOS!B:E,4,FALSE)))</f>
        <v/>
      </c>
      <c r="L11" s="603">
        <f>K11</f>
        <v/>
      </c>
      <c r="M11" s="606" t="inlineStr">
        <is>
          <t>R</t>
        </is>
      </c>
      <c r="N11" s="606" t="inlineStr">
        <is>
          <t>ESP</t>
        </is>
      </c>
      <c r="O11" s="619" t="n"/>
      <c r="P11" s="619" t="n"/>
      <c r="Q11" s="606" t="inlineStr">
        <is>
          <t>EUR</t>
        </is>
      </c>
      <c r="R11" s="640" t="inlineStr">
        <is>
          <t>01</t>
        </is>
      </c>
      <c r="S11" s="339" t="inlineStr">
        <is>
          <t>FALSE</t>
        </is>
      </c>
      <c r="T11" s="1" t="inlineStr">
        <is>
          <t xml:space="preserve"> </t>
        </is>
      </c>
      <c r="U11" s="608" t="inlineStr">
        <is>
          <t>https://www.facturantia.com/API/proformas_receptor.php</t>
        </is>
      </c>
      <c r="V11" s="609" t="n">
        <v>6666</v>
      </c>
      <c r="W11" s="610" t="inlineStr">
        <is>
          <t>facturacion@abalados.es</t>
        </is>
      </c>
      <c r="X11" s="609" t="n">
        <v>762687769</v>
      </c>
      <c r="Z11" s="625" t="n"/>
    </row>
    <row r="12" ht="15" customFormat="1" customHeight="1" s="25">
      <c r="A12" s="339" t="inlineStr">
        <is>
          <t>J</t>
        </is>
      </c>
      <c r="B12" s="1" t="inlineStr">
        <is>
          <t>Invesolar Vale 2008 S.L.U.</t>
        </is>
      </c>
      <c r="C12" s="1" t="inlineStr">
        <is>
          <t>CIF B98041486</t>
        </is>
      </c>
      <c r="D12" s="25" t="inlineStr">
        <is>
          <t>2008-010</t>
        </is>
      </c>
      <c r="E12" s="598" t="n">
        <v>0.1</v>
      </c>
      <c r="F12" s="601">
        <f>IF( OR(ISNUMBER(SEARCH("NIF",C12)),ISNUMBER(SEARCH("CIF",C12)),ISNUMBER(SEARCH("NIE",C12))), MID(C12,5,LEN(C12)), C12)</f>
        <v/>
      </c>
      <c r="G12" s="339" t="inlineStr">
        <is>
          <t>nif</t>
        </is>
      </c>
      <c r="H12" s="602">
        <f>F12</f>
        <v/>
      </c>
      <c r="I12" s="603">
        <f>VLOOKUP(B12,DATOS!B:D,3,FALSE)</f>
        <v/>
      </c>
      <c r="J12" s="603">
        <f>MID(VLOOKUP(B12,DATOS!B:E,4,FALSE),1,5)</f>
        <v/>
      </c>
      <c r="K12" s="603">
        <f>MID(VLOOKUP(B12,DATOS!B:E,4,FALSE),7,LEN(VLOOKUP(B12,DATOS!B:E,4,FALSE)))</f>
        <v/>
      </c>
      <c r="L12" s="603">
        <f>K12</f>
        <v/>
      </c>
      <c r="M12" s="606" t="inlineStr">
        <is>
          <t>R</t>
        </is>
      </c>
      <c r="N12" s="606" t="inlineStr">
        <is>
          <t>ESP</t>
        </is>
      </c>
      <c r="O12" s="619" t="n"/>
      <c r="P12" s="619" t="n"/>
      <c r="Q12" s="606" t="inlineStr">
        <is>
          <t>EUR</t>
        </is>
      </c>
      <c r="R12" s="640" t="inlineStr">
        <is>
          <t>01</t>
        </is>
      </c>
      <c r="S12" s="339" t="inlineStr">
        <is>
          <t>FALSE</t>
        </is>
      </c>
      <c r="T12" s="1" t="inlineStr">
        <is>
          <t xml:space="preserve"> </t>
        </is>
      </c>
      <c r="U12" s="608" t="inlineStr">
        <is>
          <t>https://www.facturantia.com/API/proformas_receptor.php</t>
        </is>
      </c>
      <c r="V12" s="609" t="n">
        <v>6666</v>
      </c>
      <c r="W12" s="610" t="inlineStr">
        <is>
          <t>facturacion@abalados.es</t>
        </is>
      </c>
      <c r="X12" s="609" t="n">
        <v>762687769</v>
      </c>
      <c r="Z12" s="625" t="n"/>
    </row>
    <row r="13" ht="15" customFormat="1" customHeight="1" s="25">
      <c r="A13" s="339" t="inlineStr">
        <is>
          <t>J</t>
        </is>
      </c>
      <c r="B13" s="1" t="inlineStr">
        <is>
          <t>Invren Solar 2008 S.L.U.</t>
        </is>
      </c>
      <c r="C13" s="1" t="inlineStr">
        <is>
          <t xml:space="preserve">CIF B98041460                                 </t>
        </is>
      </c>
      <c r="D13" s="25" t="inlineStr">
        <is>
          <t>2008-011</t>
        </is>
      </c>
      <c r="E13" s="598" t="n">
        <v>0.1</v>
      </c>
      <c r="F13" s="601">
        <f>IF( OR(ISNUMBER(SEARCH("NIF",C13)),ISNUMBER(SEARCH("CIF",C13)),ISNUMBER(SEARCH("NIE",C13))), MID(C13,5,LEN(C13)), C13)</f>
        <v/>
      </c>
      <c r="G13" s="339" t="inlineStr">
        <is>
          <t>nif</t>
        </is>
      </c>
      <c r="H13" s="602">
        <f>F13</f>
        <v/>
      </c>
      <c r="I13" s="603">
        <f>VLOOKUP(B13,DATOS!B:D,3,FALSE)</f>
        <v/>
      </c>
      <c r="J13" s="603">
        <f>MID(VLOOKUP(B13,DATOS!B:E,4,FALSE),1,5)</f>
        <v/>
      </c>
      <c r="K13" s="603">
        <f>MID(VLOOKUP(B13,DATOS!B:E,4,FALSE),7,LEN(VLOOKUP(B13,DATOS!B:E,4,FALSE)))</f>
        <v/>
      </c>
      <c r="L13" s="603">
        <f>K13</f>
        <v/>
      </c>
      <c r="M13" s="606" t="inlineStr">
        <is>
          <t>R</t>
        </is>
      </c>
      <c r="N13" s="606" t="inlineStr">
        <is>
          <t>ESP</t>
        </is>
      </c>
      <c r="O13" s="619" t="n"/>
      <c r="P13" s="619" t="n"/>
      <c r="Q13" s="606" t="inlineStr">
        <is>
          <t>EUR</t>
        </is>
      </c>
      <c r="R13" s="640" t="inlineStr">
        <is>
          <t>01</t>
        </is>
      </c>
      <c r="S13" s="339" t="inlineStr">
        <is>
          <t>FALSE</t>
        </is>
      </c>
      <c r="T13" s="1" t="inlineStr">
        <is>
          <t xml:space="preserve"> </t>
        </is>
      </c>
      <c r="U13" s="608" t="inlineStr">
        <is>
          <t>https://www.facturantia.com/API/proformas_receptor.php</t>
        </is>
      </c>
      <c r="V13" s="609" t="n">
        <v>6666</v>
      </c>
      <c r="W13" s="610" t="inlineStr">
        <is>
          <t>facturacion@abalados.es</t>
        </is>
      </c>
      <c r="X13" s="609" t="n">
        <v>762687769</v>
      </c>
      <c r="Z13" s="625" t="n"/>
    </row>
    <row r="14" ht="15" customFormat="1" customHeight="1" s="25">
      <c r="A14" s="339" t="inlineStr">
        <is>
          <t>J</t>
        </is>
      </c>
      <c r="B14" s="1" t="inlineStr">
        <is>
          <t>Línea Olivenza 25 S.L.U.</t>
        </is>
      </c>
      <c r="C14" s="1" t="inlineStr">
        <is>
          <t>CIF B98041437</t>
        </is>
      </c>
      <c r="D14" s="25" t="inlineStr">
        <is>
          <t>2008-012</t>
        </is>
      </c>
      <c r="E14" s="598" t="n">
        <v>0.1</v>
      </c>
      <c r="F14" s="601">
        <f>IF( OR(ISNUMBER(SEARCH("NIF",C14)),ISNUMBER(SEARCH("CIF",C14)),ISNUMBER(SEARCH("NIE",C14))), MID(C14,5,LEN(C14)), C14)</f>
        <v/>
      </c>
      <c r="G14" s="339" t="inlineStr">
        <is>
          <t>nif</t>
        </is>
      </c>
      <c r="H14" s="602">
        <f>F14</f>
        <v/>
      </c>
      <c r="I14" s="603">
        <f>VLOOKUP(B14,DATOS!B:D,3,FALSE)</f>
        <v/>
      </c>
      <c r="J14" s="603">
        <f>MID(VLOOKUP(B14,DATOS!B:E,4,FALSE),1,5)</f>
        <v/>
      </c>
      <c r="K14" s="603">
        <f>MID(VLOOKUP(B14,DATOS!B:E,4,FALSE),7,LEN(VLOOKUP(B14,DATOS!B:E,4,FALSE)))</f>
        <v/>
      </c>
      <c r="L14" s="603">
        <f>K14</f>
        <v/>
      </c>
      <c r="M14" s="606" t="inlineStr">
        <is>
          <t>R</t>
        </is>
      </c>
      <c r="N14" s="606" t="inlineStr">
        <is>
          <t>ESP</t>
        </is>
      </c>
      <c r="O14" s="619" t="n"/>
      <c r="P14" s="619" t="n"/>
      <c r="Q14" s="606" t="inlineStr">
        <is>
          <t>EUR</t>
        </is>
      </c>
      <c r="R14" s="640" t="inlineStr">
        <is>
          <t>01</t>
        </is>
      </c>
      <c r="S14" s="339" t="inlineStr">
        <is>
          <t>FALSE</t>
        </is>
      </c>
      <c r="T14" s="1" t="inlineStr">
        <is>
          <t xml:space="preserve"> </t>
        </is>
      </c>
      <c r="U14" s="608" t="inlineStr">
        <is>
          <t>https://www.facturantia.com/API/proformas_receptor.php</t>
        </is>
      </c>
      <c r="V14" s="609" t="n">
        <v>6666</v>
      </c>
      <c r="W14" s="610" t="inlineStr">
        <is>
          <t>facturacion@abalados.es</t>
        </is>
      </c>
      <c r="X14" s="609" t="n">
        <v>762687769</v>
      </c>
      <c r="Z14" s="625" t="n"/>
    </row>
    <row r="15" ht="15" customFormat="1" customHeight="1" s="25">
      <c r="A15" s="339" t="inlineStr">
        <is>
          <t>J</t>
        </is>
      </c>
      <c r="B15" s="1" t="inlineStr">
        <is>
          <t>Línea Olivenza Solar S.L.U.</t>
        </is>
      </c>
      <c r="C15" s="1" t="inlineStr">
        <is>
          <t>CIF B98041239</t>
        </is>
      </c>
      <c r="D15" s="25" t="inlineStr">
        <is>
          <t>2008-013</t>
        </is>
      </c>
      <c r="E15" s="598" t="n">
        <v>0.1</v>
      </c>
      <c r="F15" s="601">
        <f>IF( OR(ISNUMBER(SEARCH("NIF",C15)),ISNUMBER(SEARCH("CIF",C15)),ISNUMBER(SEARCH("NIE",C15))), MID(C15,5,LEN(C15)), C15)</f>
        <v/>
      </c>
      <c r="G15" s="339" t="inlineStr">
        <is>
          <t>nif</t>
        </is>
      </c>
      <c r="H15" s="602">
        <f>F15</f>
        <v/>
      </c>
      <c r="I15" s="603">
        <f>VLOOKUP(B15,DATOS!B:D,3,FALSE)</f>
        <v/>
      </c>
      <c r="J15" s="603">
        <f>MID(VLOOKUP(B15,DATOS!B:E,4,FALSE),1,5)</f>
        <v/>
      </c>
      <c r="K15" s="603">
        <f>MID(VLOOKUP(B15,DATOS!B:E,4,FALSE),7,LEN(VLOOKUP(B15,DATOS!B:E,4,FALSE)))</f>
        <v/>
      </c>
      <c r="L15" s="603">
        <f>K15</f>
        <v/>
      </c>
      <c r="M15" s="606" t="inlineStr">
        <is>
          <t>R</t>
        </is>
      </c>
      <c r="N15" s="606" t="inlineStr">
        <is>
          <t>ESP</t>
        </is>
      </c>
      <c r="O15" s="619" t="n"/>
      <c r="P15" s="619" t="n"/>
      <c r="Q15" s="606" t="inlineStr">
        <is>
          <t>EUR</t>
        </is>
      </c>
      <c r="R15" s="640" t="inlineStr">
        <is>
          <t>01</t>
        </is>
      </c>
      <c r="S15" s="339" t="inlineStr">
        <is>
          <t>FALSE</t>
        </is>
      </c>
      <c r="T15" s="1" t="inlineStr">
        <is>
          <t xml:space="preserve"> </t>
        </is>
      </c>
      <c r="U15" s="608" t="inlineStr">
        <is>
          <t>https://www.facturantia.com/API/proformas_receptor.php</t>
        </is>
      </c>
      <c r="V15" s="609" t="n">
        <v>6666</v>
      </c>
      <c r="W15" s="610" t="inlineStr">
        <is>
          <t>facturacion@abalados.es</t>
        </is>
      </c>
      <c r="X15" s="609" t="n">
        <v>762687769</v>
      </c>
      <c r="Z15" s="625" t="n"/>
    </row>
    <row r="16" ht="15" customFormat="1" customHeight="1" s="25">
      <c r="A16" s="339" t="inlineStr">
        <is>
          <t>J</t>
        </is>
      </c>
      <c r="B16" s="1" t="inlineStr">
        <is>
          <t>Olival Solar 2008 S.L.U.</t>
        </is>
      </c>
      <c r="C16" s="1" t="inlineStr">
        <is>
          <t>CIF B98041338</t>
        </is>
      </c>
      <c r="D16" s="25" t="inlineStr">
        <is>
          <t>2008-014</t>
        </is>
      </c>
      <c r="E16" s="598" t="n">
        <v>0.1</v>
      </c>
      <c r="F16" s="601">
        <f>IF( OR(ISNUMBER(SEARCH("NIF",C16)),ISNUMBER(SEARCH("CIF",C16)),ISNUMBER(SEARCH("NIE",C16))), MID(C16,5,LEN(C16)), C16)</f>
        <v/>
      </c>
      <c r="G16" s="339" t="inlineStr">
        <is>
          <t>nif</t>
        </is>
      </c>
      <c r="H16" s="602">
        <f>F16</f>
        <v/>
      </c>
      <c r="I16" s="603">
        <f>VLOOKUP(B16,DATOS!B:D,3,FALSE)</f>
        <v/>
      </c>
      <c r="J16" s="603">
        <f>MID(VLOOKUP(B16,DATOS!B:E,4,FALSE),1,5)</f>
        <v/>
      </c>
      <c r="K16" s="603">
        <f>MID(VLOOKUP(B16,DATOS!B:E,4,FALSE),7,LEN(VLOOKUP(B16,DATOS!B:E,4,FALSE)))</f>
        <v/>
      </c>
      <c r="L16" s="603">
        <f>K16</f>
        <v/>
      </c>
      <c r="M16" s="606" t="inlineStr">
        <is>
          <t>R</t>
        </is>
      </c>
      <c r="N16" s="606" t="inlineStr">
        <is>
          <t>ESP</t>
        </is>
      </c>
      <c r="O16" s="619" t="n"/>
      <c r="P16" s="619" t="n"/>
      <c r="Q16" s="606" t="inlineStr">
        <is>
          <t>EUR</t>
        </is>
      </c>
      <c r="R16" s="640" t="inlineStr">
        <is>
          <t>01</t>
        </is>
      </c>
      <c r="S16" s="339" t="inlineStr">
        <is>
          <t>FALSE</t>
        </is>
      </c>
      <c r="T16" s="1" t="inlineStr">
        <is>
          <t xml:space="preserve"> </t>
        </is>
      </c>
      <c r="U16" s="608" t="inlineStr">
        <is>
          <t>https://www.facturantia.com/API/proformas_receptor.php</t>
        </is>
      </c>
      <c r="V16" s="609" t="n">
        <v>6666</v>
      </c>
      <c r="W16" s="610" t="inlineStr">
        <is>
          <t>facturacion@abalados.es</t>
        </is>
      </c>
      <c r="X16" s="609" t="n">
        <v>762687769</v>
      </c>
      <c r="Z16" s="625" t="n"/>
    </row>
    <row r="17" ht="15" customFormat="1" customHeight="1" s="25">
      <c r="A17" s="339" t="inlineStr">
        <is>
          <t>J</t>
        </is>
      </c>
      <c r="B17" s="1" t="inlineStr">
        <is>
          <t>Polígono 1 Parcela 37 Solar S.L.U.</t>
        </is>
      </c>
      <c r="C17" s="1" t="inlineStr">
        <is>
          <t>CIF B98041395</t>
        </is>
      </c>
      <c r="D17" s="25" t="inlineStr">
        <is>
          <t>2008-015</t>
        </is>
      </c>
      <c r="E17" s="598" t="n">
        <v>0.1</v>
      </c>
      <c r="F17" s="601">
        <f>IF( OR(ISNUMBER(SEARCH("NIF",C17)),ISNUMBER(SEARCH("CIF",C17)),ISNUMBER(SEARCH("NIE",C17))), MID(C17,5,LEN(C17)), C17)</f>
        <v/>
      </c>
      <c r="G17" s="339" t="inlineStr">
        <is>
          <t>nif</t>
        </is>
      </c>
      <c r="H17" s="602">
        <f>F17</f>
        <v/>
      </c>
      <c r="I17" s="603">
        <f>VLOOKUP(B17,DATOS!B:D,3,FALSE)</f>
        <v/>
      </c>
      <c r="J17" s="603">
        <f>MID(VLOOKUP(B17,DATOS!B:E,4,FALSE),1,5)</f>
        <v/>
      </c>
      <c r="K17" s="603">
        <f>MID(VLOOKUP(B17,DATOS!B:E,4,FALSE),7,LEN(VLOOKUP(B17,DATOS!B:E,4,FALSE)))</f>
        <v/>
      </c>
      <c r="L17" s="603">
        <f>K17</f>
        <v/>
      </c>
      <c r="M17" s="606" t="inlineStr">
        <is>
          <t>R</t>
        </is>
      </c>
      <c r="N17" s="606" t="inlineStr">
        <is>
          <t>ESP</t>
        </is>
      </c>
      <c r="O17" s="619" t="n"/>
      <c r="P17" s="619" t="n"/>
      <c r="Q17" s="606" t="inlineStr">
        <is>
          <t>EUR</t>
        </is>
      </c>
      <c r="R17" s="640" t="inlineStr">
        <is>
          <t>01</t>
        </is>
      </c>
      <c r="S17" s="339" t="inlineStr">
        <is>
          <t>FALSE</t>
        </is>
      </c>
      <c r="T17" s="1" t="inlineStr">
        <is>
          <t xml:space="preserve"> </t>
        </is>
      </c>
      <c r="U17" s="608" t="inlineStr">
        <is>
          <t>https://www.facturantia.com/API/proformas_receptor.php</t>
        </is>
      </c>
      <c r="V17" s="609" t="n">
        <v>6666</v>
      </c>
      <c r="W17" s="610" t="inlineStr">
        <is>
          <t>facturacion@abalados.es</t>
        </is>
      </c>
      <c r="X17" s="609" t="n">
        <v>762687769</v>
      </c>
      <c r="Z17" s="625" t="n"/>
    </row>
    <row r="18" ht="15" customFormat="1" customHeight="1" s="25">
      <c r="A18" s="339" t="inlineStr">
        <is>
          <t>J</t>
        </is>
      </c>
      <c r="B18" s="1" t="inlineStr">
        <is>
          <t>Pozomasa Solar 2008 S.L.U.</t>
        </is>
      </c>
      <c r="C18" s="1" t="inlineStr">
        <is>
          <t>CIF B98041452</t>
        </is>
      </c>
      <c r="D18" s="25" t="inlineStr">
        <is>
          <t>2008-016</t>
        </is>
      </c>
      <c r="E18" s="598" t="n">
        <v>0.1</v>
      </c>
      <c r="F18" s="601">
        <f>IF( OR(ISNUMBER(SEARCH("NIF",C18)),ISNUMBER(SEARCH("CIF",C18)),ISNUMBER(SEARCH("NIE",C18))), MID(C18,5,LEN(C18)), C18)</f>
        <v/>
      </c>
      <c r="G18" s="339" t="inlineStr">
        <is>
          <t>nif</t>
        </is>
      </c>
      <c r="H18" s="602">
        <f>F18</f>
        <v/>
      </c>
      <c r="I18" s="603">
        <f>VLOOKUP(B18,DATOS!B:D,3,FALSE)</f>
        <v/>
      </c>
      <c r="J18" s="603">
        <f>MID(VLOOKUP(B18,DATOS!B:E,4,FALSE),1,5)</f>
        <v/>
      </c>
      <c r="K18" s="603">
        <f>MID(VLOOKUP(B18,DATOS!B:E,4,FALSE),7,LEN(VLOOKUP(B18,DATOS!B:E,4,FALSE)))</f>
        <v/>
      </c>
      <c r="L18" s="603">
        <f>K18</f>
        <v/>
      </c>
      <c r="M18" s="606" t="inlineStr">
        <is>
          <t>R</t>
        </is>
      </c>
      <c r="N18" s="606" t="inlineStr">
        <is>
          <t>ESP</t>
        </is>
      </c>
      <c r="O18" s="619" t="n"/>
      <c r="P18" s="619" t="n"/>
      <c r="Q18" s="606" t="inlineStr">
        <is>
          <t>EUR</t>
        </is>
      </c>
      <c r="R18" s="640" t="inlineStr">
        <is>
          <t>01</t>
        </is>
      </c>
      <c r="S18" s="339" t="inlineStr">
        <is>
          <t>FALSE</t>
        </is>
      </c>
      <c r="T18" s="1" t="inlineStr">
        <is>
          <t xml:space="preserve"> </t>
        </is>
      </c>
      <c r="U18" s="608" t="inlineStr">
        <is>
          <t>https://www.facturantia.com/API/proformas_receptor.php</t>
        </is>
      </c>
      <c r="V18" s="609" t="n">
        <v>6666</v>
      </c>
      <c r="W18" s="610" t="inlineStr">
        <is>
          <t>facturacion@abalados.es</t>
        </is>
      </c>
      <c r="X18" s="609" t="n">
        <v>762687769</v>
      </c>
      <c r="Z18" s="625" t="n"/>
    </row>
    <row r="19" ht="15" customFormat="1" customHeight="1" s="25">
      <c r="A19" s="339" t="inlineStr">
        <is>
          <t>J</t>
        </is>
      </c>
      <c r="B19" s="1" t="inlineStr">
        <is>
          <t>Rad Solar 2008 S.L.U.</t>
        </is>
      </c>
      <c r="C19" s="1" t="inlineStr">
        <is>
          <t>CIF B98041254</t>
        </is>
      </c>
      <c r="D19" s="25" t="inlineStr">
        <is>
          <t>2008-017</t>
        </is>
      </c>
      <c r="E19" s="598" t="n">
        <v>0.1</v>
      </c>
      <c r="F19" s="601">
        <f>IF( OR(ISNUMBER(SEARCH("NIF",C19)),ISNUMBER(SEARCH("CIF",C19)),ISNUMBER(SEARCH("NIE",C19))), MID(C19,5,LEN(C19)), C19)</f>
        <v/>
      </c>
      <c r="G19" s="339" t="inlineStr">
        <is>
          <t>nif</t>
        </is>
      </c>
      <c r="H19" s="602">
        <f>F19</f>
        <v/>
      </c>
      <c r="I19" s="603">
        <f>VLOOKUP(B19,DATOS!B:D,3,FALSE)</f>
        <v/>
      </c>
      <c r="J19" s="603">
        <f>MID(VLOOKUP(B19,DATOS!B:E,4,FALSE),1,5)</f>
        <v/>
      </c>
      <c r="K19" s="603">
        <f>MID(VLOOKUP(B19,DATOS!B:E,4,FALSE),7,LEN(VLOOKUP(B19,DATOS!B:E,4,FALSE)))</f>
        <v/>
      </c>
      <c r="L19" s="603">
        <f>K19</f>
        <v/>
      </c>
      <c r="M19" s="606" t="inlineStr">
        <is>
          <t>R</t>
        </is>
      </c>
      <c r="N19" s="606" t="inlineStr">
        <is>
          <t>ESP</t>
        </is>
      </c>
      <c r="O19" s="619" t="n"/>
      <c r="P19" s="619" t="n"/>
      <c r="Q19" s="606" t="inlineStr">
        <is>
          <t>EUR</t>
        </is>
      </c>
      <c r="R19" s="640" t="inlineStr">
        <is>
          <t>01</t>
        </is>
      </c>
      <c r="S19" s="339" t="inlineStr">
        <is>
          <t>FALSE</t>
        </is>
      </c>
      <c r="T19" s="1" t="inlineStr">
        <is>
          <t xml:space="preserve"> </t>
        </is>
      </c>
      <c r="U19" s="608" t="inlineStr">
        <is>
          <t>https://www.facturantia.com/API/proformas_receptor.php</t>
        </is>
      </c>
      <c r="V19" s="609" t="n">
        <v>6666</v>
      </c>
      <c r="W19" s="610" t="inlineStr">
        <is>
          <t>facturacion@abalados.es</t>
        </is>
      </c>
      <c r="X19" s="609" t="n">
        <v>762687769</v>
      </c>
      <c r="Z19" s="625" t="n"/>
    </row>
    <row r="20" ht="15" customFormat="1" customHeight="1" s="25">
      <c r="A20" s="339" t="inlineStr">
        <is>
          <t>J</t>
        </is>
      </c>
      <c r="B20" s="1" t="inlineStr">
        <is>
          <t>Renex de Inversiones S.L.U.</t>
        </is>
      </c>
      <c r="C20" s="1" t="inlineStr">
        <is>
          <t>CIF B98041130</t>
        </is>
      </c>
      <c r="D20" s="25" t="inlineStr">
        <is>
          <t>2008-018</t>
        </is>
      </c>
      <c r="E20" s="598" t="n">
        <v>0.1</v>
      </c>
      <c r="F20" s="601">
        <f>IF( OR(ISNUMBER(SEARCH("NIF",C20)),ISNUMBER(SEARCH("CIF",C20)),ISNUMBER(SEARCH("NIE",C20))), MID(C20,5,LEN(C20)), C20)</f>
        <v/>
      </c>
      <c r="G20" s="339" t="inlineStr">
        <is>
          <t>nif</t>
        </is>
      </c>
      <c r="H20" s="602">
        <f>F20</f>
        <v/>
      </c>
      <c r="I20" s="603">
        <f>VLOOKUP(B20,DATOS!B:D,3,FALSE)</f>
        <v/>
      </c>
      <c r="J20" s="603">
        <f>MID(VLOOKUP(B20,DATOS!B:E,4,FALSE),1,5)</f>
        <v/>
      </c>
      <c r="K20" s="603">
        <f>MID(VLOOKUP(B20,DATOS!B:E,4,FALSE),7,LEN(VLOOKUP(B20,DATOS!B:E,4,FALSE)))</f>
        <v/>
      </c>
      <c r="L20" s="603">
        <f>K20</f>
        <v/>
      </c>
      <c r="M20" s="606" t="inlineStr">
        <is>
          <t>R</t>
        </is>
      </c>
      <c r="N20" s="606" t="inlineStr">
        <is>
          <t>ESP</t>
        </is>
      </c>
      <c r="O20" s="619" t="n"/>
      <c r="P20" s="619" t="n"/>
      <c r="Q20" s="606" t="inlineStr">
        <is>
          <t>EUR</t>
        </is>
      </c>
      <c r="R20" s="640" t="inlineStr">
        <is>
          <t>01</t>
        </is>
      </c>
      <c r="S20" s="339" t="inlineStr">
        <is>
          <t>FALSE</t>
        </is>
      </c>
      <c r="T20" s="1" t="inlineStr">
        <is>
          <t xml:space="preserve"> </t>
        </is>
      </c>
      <c r="U20" s="608" t="inlineStr">
        <is>
          <t>https://www.facturantia.com/API/proformas_receptor.php</t>
        </is>
      </c>
      <c r="V20" s="609" t="n">
        <v>6666</v>
      </c>
      <c r="W20" s="610" t="inlineStr">
        <is>
          <t>facturacion@abalados.es</t>
        </is>
      </c>
      <c r="X20" s="609" t="n">
        <v>762687769</v>
      </c>
      <c r="Z20" s="625" t="n"/>
    </row>
    <row r="21" ht="15" customFormat="1" customHeight="1" s="25">
      <c r="A21" s="339" t="inlineStr">
        <is>
          <t>J</t>
        </is>
      </c>
      <c r="B21" s="1" t="inlineStr">
        <is>
          <t>Renova Valverde Leganés S.L.U.</t>
        </is>
      </c>
      <c r="C21" s="1" t="inlineStr">
        <is>
          <t>CIF B98041445</t>
        </is>
      </c>
      <c r="D21" s="25" t="inlineStr">
        <is>
          <t>2008-019</t>
        </is>
      </c>
      <c r="E21" s="598" t="n">
        <v>0.1</v>
      </c>
      <c r="F21" s="601">
        <f>IF( OR(ISNUMBER(SEARCH("NIF",C21)),ISNUMBER(SEARCH("CIF",C21)),ISNUMBER(SEARCH("NIE",C21))), MID(C21,5,LEN(C21)), C21)</f>
        <v/>
      </c>
      <c r="G21" s="339" t="inlineStr">
        <is>
          <t>nif</t>
        </is>
      </c>
      <c r="H21" s="602">
        <f>F21</f>
        <v/>
      </c>
      <c r="I21" s="603">
        <f>VLOOKUP(B21,DATOS!B:D,3,FALSE)</f>
        <v/>
      </c>
      <c r="J21" s="603">
        <f>MID(VLOOKUP(B21,DATOS!B:E,4,FALSE),1,5)</f>
        <v/>
      </c>
      <c r="K21" s="603">
        <f>MID(VLOOKUP(B21,DATOS!B:E,4,FALSE),7,LEN(VLOOKUP(B21,DATOS!B:E,4,FALSE)))</f>
        <v/>
      </c>
      <c r="L21" s="603">
        <f>K21</f>
        <v/>
      </c>
      <c r="M21" s="606" t="inlineStr">
        <is>
          <t>R</t>
        </is>
      </c>
      <c r="N21" s="606" t="inlineStr">
        <is>
          <t>ESP</t>
        </is>
      </c>
      <c r="O21" s="619" t="n"/>
      <c r="P21" s="619" t="n"/>
      <c r="Q21" s="606" t="inlineStr">
        <is>
          <t>EUR</t>
        </is>
      </c>
      <c r="R21" s="640" t="inlineStr">
        <is>
          <t>01</t>
        </is>
      </c>
      <c r="S21" s="339" t="inlineStr">
        <is>
          <t>FALSE</t>
        </is>
      </c>
      <c r="T21" s="1" t="inlineStr">
        <is>
          <t xml:space="preserve"> </t>
        </is>
      </c>
      <c r="U21" s="608" t="inlineStr">
        <is>
          <t>https://www.facturantia.com/API/proformas_receptor.php</t>
        </is>
      </c>
      <c r="V21" s="609" t="n">
        <v>6666</v>
      </c>
      <c r="W21" s="610" t="inlineStr">
        <is>
          <t>facturacion@abalados.es</t>
        </is>
      </c>
      <c r="X21" s="609" t="n">
        <v>762687769</v>
      </c>
      <c r="Z21" s="625" t="n"/>
    </row>
    <row r="22" ht="15" customFormat="1" customHeight="1" s="25">
      <c r="A22" s="339" t="inlineStr">
        <is>
          <t>J</t>
        </is>
      </c>
      <c r="B22" s="1" t="inlineStr">
        <is>
          <t>San Rafael Solar S.L.U.</t>
        </is>
      </c>
      <c r="C22" s="1" t="inlineStr">
        <is>
          <t>CIF B98041247</t>
        </is>
      </c>
      <c r="D22" s="25" t="inlineStr">
        <is>
          <t>2008-020</t>
        </is>
      </c>
      <c r="E22" s="598" t="n">
        <v>0.1</v>
      </c>
      <c r="F22" s="601">
        <f>IF( OR(ISNUMBER(SEARCH("NIF",C22)),ISNUMBER(SEARCH("CIF",C22)),ISNUMBER(SEARCH("NIE",C22))), MID(C22,5,LEN(C22)), C22)</f>
        <v/>
      </c>
      <c r="G22" s="339" t="inlineStr">
        <is>
          <t>nif</t>
        </is>
      </c>
      <c r="H22" s="602">
        <f>F22</f>
        <v/>
      </c>
      <c r="I22" s="603">
        <f>VLOOKUP(B22,DATOS!B:D,3,FALSE)</f>
        <v/>
      </c>
      <c r="J22" s="603">
        <f>MID(VLOOKUP(B22,DATOS!B:E,4,FALSE),1,5)</f>
        <v/>
      </c>
      <c r="K22" s="603">
        <f>MID(VLOOKUP(B22,DATOS!B:E,4,FALSE),7,LEN(VLOOKUP(B22,DATOS!B:E,4,FALSE)))</f>
        <v/>
      </c>
      <c r="L22" s="603">
        <f>K22</f>
        <v/>
      </c>
      <c r="M22" s="606" t="inlineStr">
        <is>
          <t>R</t>
        </is>
      </c>
      <c r="N22" s="606" t="inlineStr">
        <is>
          <t>ESP</t>
        </is>
      </c>
      <c r="O22" s="619" t="n"/>
      <c r="P22" s="619" t="n"/>
      <c r="Q22" s="606" t="inlineStr">
        <is>
          <t>EUR</t>
        </is>
      </c>
      <c r="R22" s="640" t="inlineStr">
        <is>
          <t>01</t>
        </is>
      </c>
      <c r="S22" s="339" t="inlineStr">
        <is>
          <t>FALSE</t>
        </is>
      </c>
      <c r="T22" s="1" t="inlineStr">
        <is>
          <t xml:space="preserve"> </t>
        </is>
      </c>
      <c r="U22" s="608" t="inlineStr">
        <is>
          <t>https://www.facturantia.com/API/proformas_receptor.php</t>
        </is>
      </c>
      <c r="V22" s="609" t="n">
        <v>6666</v>
      </c>
      <c r="W22" s="610" t="inlineStr">
        <is>
          <t>facturacion@abalados.es</t>
        </is>
      </c>
      <c r="X22" s="609" t="n">
        <v>762687769</v>
      </c>
      <c r="Z22" s="625" t="n"/>
    </row>
    <row r="23" ht="15" customFormat="1" customHeight="1" s="25">
      <c r="A23" s="339" t="inlineStr">
        <is>
          <t>J</t>
        </is>
      </c>
      <c r="B23" s="1" t="inlineStr">
        <is>
          <t>Solar Trading 2008 S.L.U.</t>
        </is>
      </c>
      <c r="C23" s="1" t="inlineStr">
        <is>
          <t>CIF B98041353</t>
        </is>
      </c>
      <c r="D23" s="25" t="inlineStr">
        <is>
          <t>2008-021</t>
        </is>
      </c>
      <c r="E23" s="598" t="n">
        <v>0.1</v>
      </c>
      <c r="F23" s="601">
        <f>IF( OR(ISNUMBER(SEARCH("NIF",C23)),ISNUMBER(SEARCH("CIF",C23)),ISNUMBER(SEARCH("NIE",C23))), MID(C23,5,LEN(C23)), C23)</f>
        <v/>
      </c>
      <c r="G23" s="339" t="inlineStr">
        <is>
          <t>nif</t>
        </is>
      </c>
      <c r="H23" s="602">
        <f>F23</f>
        <v/>
      </c>
      <c r="I23" s="603">
        <f>VLOOKUP(B23,DATOS!B:D,3,FALSE)</f>
        <v/>
      </c>
      <c r="J23" s="603">
        <f>MID(VLOOKUP(B23,DATOS!B:E,4,FALSE),1,5)</f>
        <v/>
      </c>
      <c r="K23" s="603">
        <f>MID(VLOOKUP(B23,DATOS!B:E,4,FALSE),7,LEN(VLOOKUP(B23,DATOS!B:E,4,FALSE)))</f>
        <v/>
      </c>
      <c r="L23" s="603">
        <f>K23</f>
        <v/>
      </c>
      <c r="M23" s="606" t="inlineStr">
        <is>
          <t>R</t>
        </is>
      </c>
      <c r="N23" s="606" t="inlineStr">
        <is>
          <t>ESP</t>
        </is>
      </c>
      <c r="O23" s="619" t="n"/>
      <c r="P23" s="619" t="n"/>
      <c r="Q23" s="606" t="inlineStr">
        <is>
          <t>EUR</t>
        </is>
      </c>
      <c r="R23" s="640" t="inlineStr">
        <is>
          <t>01</t>
        </is>
      </c>
      <c r="S23" s="339" t="inlineStr">
        <is>
          <t>FALSE</t>
        </is>
      </c>
      <c r="T23" s="1" t="inlineStr">
        <is>
          <t xml:space="preserve"> </t>
        </is>
      </c>
      <c r="U23" s="608" t="inlineStr">
        <is>
          <t>https://www.facturantia.com/API/proformas_receptor.php</t>
        </is>
      </c>
      <c r="V23" s="609" t="n">
        <v>6666</v>
      </c>
      <c r="W23" s="610" t="inlineStr">
        <is>
          <t>facturacion@abalados.es</t>
        </is>
      </c>
      <c r="X23" s="609" t="n">
        <v>762687769</v>
      </c>
      <c r="Z23" s="625" t="n"/>
    </row>
    <row r="24" ht="15" customFormat="1" customHeight="1" s="25">
      <c r="A24" s="339" t="inlineStr">
        <is>
          <t>J</t>
        </is>
      </c>
      <c r="B24" s="1" t="inlineStr">
        <is>
          <t>Sun Garden 27 S.L.U.</t>
        </is>
      </c>
      <c r="C24" s="1" t="inlineStr">
        <is>
          <t>CIF B98041197</t>
        </is>
      </c>
      <c r="D24" s="25" t="inlineStr">
        <is>
          <t>2008-022</t>
        </is>
      </c>
      <c r="E24" s="598" t="n">
        <v>0.1</v>
      </c>
      <c r="F24" s="601">
        <f>IF( OR(ISNUMBER(SEARCH("NIF",C24)),ISNUMBER(SEARCH("CIF",C24)),ISNUMBER(SEARCH("NIE",C24))), MID(C24,5,LEN(C24)), C24)</f>
        <v/>
      </c>
      <c r="G24" s="339" t="inlineStr">
        <is>
          <t>nif</t>
        </is>
      </c>
      <c r="H24" s="602">
        <f>F24</f>
        <v/>
      </c>
      <c r="I24" s="603">
        <f>VLOOKUP(B24,DATOS!B:D,3,FALSE)</f>
        <v/>
      </c>
      <c r="J24" s="603">
        <f>MID(VLOOKUP(B24,DATOS!B:E,4,FALSE),1,5)</f>
        <v/>
      </c>
      <c r="K24" s="603">
        <f>MID(VLOOKUP(B24,DATOS!B:E,4,FALSE),7,LEN(VLOOKUP(B24,DATOS!B:E,4,FALSE)))</f>
        <v/>
      </c>
      <c r="L24" s="603">
        <f>K24</f>
        <v/>
      </c>
      <c r="M24" s="606" t="inlineStr">
        <is>
          <t>R</t>
        </is>
      </c>
      <c r="N24" s="606" t="inlineStr">
        <is>
          <t>ESP</t>
        </is>
      </c>
      <c r="O24" s="619" t="n"/>
      <c r="P24" s="619" t="n"/>
      <c r="Q24" s="606" t="inlineStr">
        <is>
          <t>EUR</t>
        </is>
      </c>
      <c r="R24" s="640" t="inlineStr">
        <is>
          <t>01</t>
        </is>
      </c>
      <c r="S24" s="339" t="inlineStr">
        <is>
          <t>FALSE</t>
        </is>
      </c>
      <c r="T24" s="1" t="inlineStr">
        <is>
          <t xml:space="preserve"> </t>
        </is>
      </c>
      <c r="U24" s="608" t="inlineStr">
        <is>
          <t>https://www.facturantia.com/API/proformas_receptor.php</t>
        </is>
      </c>
      <c r="V24" s="609" t="n">
        <v>6666</v>
      </c>
      <c r="W24" s="610" t="inlineStr">
        <is>
          <t>facturacion@abalados.es</t>
        </is>
      </c>
      <c r="X24" s="609" t="n">
        <v>762687769</v>
      </c>
      <c r="Z24" s="625" t="n"/>
    </row>
    <row r="25" ht="15" customFormat="1" customHeight="1" s="25">
      <c r="A25" s="339" t="inlineStr">
        <is>
          <t>J</t>
        </is>
      </c>
      <c r="B25" s="1" t="inlineStr">
        <is>
          <t>Valega de Inversión Solar S.L.U.</t>
        </is>
      </c>
      <c r="C25" s="1" t="inlineStr">
        <is>
          <t>CIF B98041478</t>
        </is>
      </c>
      <c r="D25" s="25" t="inlineStr">
        <is>
          <t>2008-023</t>
        </is>
      </c>
      <c r="E25" s="598" t="n">
        <v>0.1</v>
      </c>
      <c r="F25" s="601">
        <f>IF( OR(ISNUMBER(SEARCH("NIF",C25)),ISNUMBER(SEARCH("CIF",C25)),ISNUMBER(SEARCH("NIE",C25))), MID(C25,5,LEN(C25)), C25)</f>
        <v/>
      </c>
      <c r="G25" s="339" t="inlineStr">
        <is>
          <t>nif</t>
        </is>
      </c>
      <c r="H25" s="602">
        <f>F25</f>
        <v/>
      </c>
      <c r="I25" s="603">
        <f>VLOOKUP(B25,DATOS!B:D,3,FALSE)</f>
        <v/>
      </c>
      <c r="J25" s="603">
        <f>MID(VLOOKUP(B25,DATOS!B:E,4,FALSE),1,5)</f>
        <v/>
      </c>
      <c r="K25" s="603">
        <f>MID(VLOOKUP(B25,DATOS!B:E,4,FALSE),7,LEN(VLOOKUP(B25,DATOS!B:E,4,FALSE)))</f>
        <v/>
      </c>
      <c r="L25" s="603">
        <f>K25</f>
        <v/>
      </c>
      <c r="M25" s="606" t="inlineStr">
        <is>
          <t>R</t>
        </is>
      </c>
      <c r="N25" s="606" t="inlineStr">
        <is>
          <t>ESP</t>
        </is>
      </c>
      <c r="O25" s="619" t="n"/>
      <c r="P25" s="619" t="n"/>
      <c r="Q25" s="606" t="inlineStr">
        <is>
          <t>EUR</t>
        </is>
      </c>
      <c r="R25" s="640" t="inlineStr">
        <is>
          <t>01</t>
        </is>
      </c>
      <c r="S25" s="339" t="inlineStr">
        <is>
          <t>FALSE</t>
        </is>
      </c>
      <c r="T25" s="1" t="inlineStr">
        <is>
          <t xml:space="preserve"> </t>
        </is>
      </c>
      <c r="U25" s="608" t="inlineStr">
        <is>
          <t>https://www.facturantia.com/API/proformas_receptor.php</t>
        </is>
      </c>
      <c r="V25" s="609" t="n">
        <v>6666</v>
      </c>
      <c r="W25" s="610" t="inlineStr">
        <is>
          <t>facturacion@abalados.es</t>
        </is>
      </c>
      <c r="X25" s="609" t="n">
        <v>762687769</v>
      </c>
      <c r="Z25" s="625" t="n"/>
    </row>
    <row r="26" ht="15" customFormat="1" customHeight="1" s="25">
      <c r="A26" s="339" t="inlineStr">
        <is>
          <t>J</t>
        </is>
      </c>
      <c r="B26" s="1" t="inlineStr">
        <is>
          <t>Valex 2033 S.L.U.</t>
        </is>
      </c>
      <c r="C26" s="1" t="inlineStr">
        <is>
          <t>CIF B98041163</t>
        </is>
      </c>
      <c r="D26" s="25" t="inlineStr">
        <is>
          <t>2008-024</t>
        </is>
      </c>
      <c r="E26" s="598" t="n">
        <v>0.1</v>
      </c>
      <c r="F26" s="601">
        <f>IF( OR(ISNUMBER(SEARCH("NIF",C26)),ISNUMBER(SEARCH("CIF",C26)),ISNUMBER(SEARCH("NIE",C26))), MID(C26,5,LEN(C26)), C26)</f>
        <v/>
      </c>
      <c r="G26" s="339" t="inlineStr">
        <is>
          <t>nif</t>
        </is>
      </c>
      <c r="H26" s="602">
        <f>F26</f>
        <v/>
      </c>
      <c r="I26" s="603">
        <f>VLOOKUP(B26,DATOS!B:D,3,FALSE)</f>
        <v/>
      </c>
      <c r="J26" s="603">
        <f>MID(VLOOKUP(B26,DATOS!B:E,4,FALSE),1,5)</f>
        <v/>
      </c>
      <c r="K26" s="603">
        <f>MID(VLOOKUP(B26,DATOS!B:E,4,FALSE),7,LEN(VLOOKUP(B26,DATOS!B:E,4,FALSE)))</f>
        <v/>
      </c>
      <c r="L26" s="603">
        <f>K26</f>
        <v/>
      </c>
      <c r="M26" s="606" t="inlineStr">
        <is>
          <t>R</t>
        </is>
      </c>
      <c r="N26" s="606" t="inlineStr">
        <is>
          <t>ESP</t>
        </is>
      </c>
      <c r="O26" s="619" t="n"/>
      <c r="P26" s="619" t="n"/>
      <c r="Q26" s="606" t="inlineStr">
        <is>
          <t>EUR</t>
        </is>
      </c>
      <c r="R26" s="640" t="inlineStr">
        <is>
          <t>01</t>
        </is>
      </c>
      <c r="S26" s="339" t="inlineStr">
        <is>
          <t>FALSE</t>
        </is>
      </c>
      <c r="T26" s="1" t="inlineStr">
        <is>
          <t xml:space="preserve"> </t>
        </is>
      </c>
      <c r="U26" s="608" t="inlineStr">
        <is>
          <t>https://www.facturantia.com/API/proformas_receptor.php</t>
        </is>
      </c>
      <c r="V26" s="609" t="n">
        <v>6666</v>
      </c>
      <c r="W26" s="610" t="inlineStr">
        <is>
          <t>facturacion@abalados.es</t>
        </is>
      </c>
      <c r="X26" s="609" t="n">
        <v>762687769</v>
      </c>
      <c r="Z26" s="625" t="n"/>
    </row>
    <row r="27" ht="15" customFormat="1" customHeight="1" s="25">
      <c r="A27" s="339" t="inlineStr">
        <is>
          <t>J</t>
        </is>
      </c>
      <c r="B27" s="1" t="inlineStr">
        <is>
          <t>Valverde Bussines 2008 S.L.U.</t>
        </is>
      </c>
      <c r="C27" s="1" t="inlineStr">
        <is>
          <t>CIF B98041098</t>
        </is>
      </c>
      <c r="D27" s="25" t="inlineStr">
        <is>
          <t>2008-025</t>
        </is>
      </c>
      <c r="E27" s="598" t="n">
        <v>0.1</v>
      </c>
      <c r="F27" s="601">
        <f>IF( OR(ISNUMBER(SEARCH("NIF",C27)),ISNUMBER(SEARCH("CIF",C27)),ISNUMBER(SEARCH("NIE",C27))), MID(C27,5,LEN(C27)), C27)</f>
        <v/>
      </c>
      <c r="G27" s="339" t="inlineStr">
        <is>
          <t>nif</t>
        </is>
      </c>
      <c r="H27" s="602">
        <f>F27</f>
        <v/>
      </c>
      <c r="I27" s="603">
        <f>VLOOKUP(B27,DATOS!B:D,3,FALSE)</f>
        <v/>
      </c>
      <c r="J27" s="603">
        <f>MID(VLOOKUP(B27,DATOS!B:E,4,FALSE),1,5)</f>
        <v/>
      </c>
      <c r="K27" s="603">
        <f>MID(VLOOKUP(B27,DATOS!B:E,4,FALSE),7,LEN(VLOOKUP(B27,DATOS!B:E,4,FALSE)))</f>
        <v/>
      </c>
      <c r="L27" s="603">
        <f>K27</f>
        <v/>
      </c>
      <c r="M27" s="606" t="inlineStr">
        <is>
          <t>R</t>
        </is>
      </c>
      <c r="N27" s="606" t="inlineStr">
        <is>
          <t>ESP</t>
        </is>
      </c>
      <c r="O27" s="619" t="n"/>
      <c r="P27" s="619" t="n"/>
      <c r="Q27" s="606" t="inlineStr">
        <is>
          <t>EUR</t>
        </is>
      </c>
      <c r="R27" s="640" t="inlineStr">
        <is>
          <t>01</t>
        </is>
      </c>
      <c r="S27" s="339" t="inlineStr">
        <is>
          <t>FALSE</t>
        </is>
      </c>
      <c r="T27" s="1" t="inlineStr">
        <is>
          <t xml:space="preserve"> </t>
        </is>
      </c>
      <c r="U27" s="608" t="inlineStr">
        <is>
          <t>https://www.facturantia.com/API/proformas_receptor.php</t>
        </is>
      </c>
      <c r="V27" s="609" t="n">
        <v>6666</v>
      </c>
      <c r="W27" s="610" t="inlineStr">
        <is>
          <t>facturacion@abalados.es</t>
        </is>
      </c>
      <c r="X27" s="609" t="n">
        <v>762687769</v>
      </c>
      <c r="Z27" s="625" t="n"/>
    </row>
    <row r="28" ht="15" customFormat="1" customHeight="1" s="25">
      <c r="A28" s="339" t="inlineStr">
        <is>
          <t>J</t>
        </is>
      </c>
      <c r="B28" s="1" t="inlineStr">
        <is>
          <t>Asoma Solar 16 S.L.U.</t>
        </is>
      </c>
      <c r="C28" s="1" t="inlineStr">
        <is>
          <t>CIF B97966436</t>
        </is>
      </c>
      <c r="D28" s="25" t="inlineStr">
        <is>
          <t>2008-026</t>
        </is>
      </c>
      <c r="E28" s="598" t="n">
        <v>0.1</v>
      </c>
      <c r="F28" s="601">
        <f>IF( OR(ISNUMBER(SEARCH("NIF",C28)),ISNUMBER(SEARCH("CIF",C28)),ISNUMBER(SEARCH("NIE",C28))), MID(C28,5,LEN(C28)), C28)</f>
        <v/>
      </c>
      <c r="G28" s="339" t="inlineStr">
        <is>
          <t>nif</t>
        </is>
      </c>
      <c r="H28" s="602">
        <f>F28</f>
        <v/>
      </c>
      <c r="I28" s="603">
        <f>VLOOKUP(B28,DATOS!B:D,3,FALSE)</f>
        <v/>
      </c>
      <c r="J28" s="603">
        <f>MID(VLOOKUP(B28,DATOS!B:E,4,FALSE),1,5)</f>
        <v/>
      </c>
      <c r="K28" s="603">
        <f>MID(VLOOKUP(B28,DATOS!B:E,4,FALSE),7,LEN(VLOOKUP(B28,DATOS!B:E,4,FALSE)))</f>
        <v/>
      </c>
      <c r="L28" s="603">
        <f>K28</f>
        <v/>
      </c>
      <c r="M28" s="606" t="inlineStr">
        <is>
          <t>R</t>
        </is>
      </c>
      <c r="N28" s="606" t="inlineStr">
        <is>
          <t>ESP</t>
        </is>
      </c>
      <c r="O28" s="619" t="n"/>
      <c r="P28" s="619" t="n"/>
      <c r="Q28" s="606" t="inlineStr">
        <is>
          <t>EUR</t>
        </is>
      </c>
      <c r="R28" s="640" t="inlineStr">
        <is>
          <t>01</t>
        </is>
      </c>
      <c r="S28" s="339" t="inlineStr">
        <is>
          <t>FALSE</t>
        </is>
      </c>
      <c r="T28" s="1" t="inlineStr">
        <is>
          <t xml:space="preserve"> </t>
        </is>
      </c>
      <c r="U28" s="608" t="inlineStr">
        <is>
          <t>https://www.facturantia.com/API/proformas_receptor.php</t>
        </is>
      </c>
      <c r="V28" s="609" t="n">
        <v>6666</v>
      </c>
      <c r="W28" s="610" t="inlineStr">
        <is>
          <t>facturacion@abalados.es</t>
        </is>
      </c>
      <c r="X28" s="609" t="n">
        <v>762687769</v>
      </c>
      <c r="Z28" s="625" t="n"/>
    </row>
    <row r="29" ht="15" customFormat="1" customHeight="1" s="25">
      <c r="A29" s="339" t="inlineStr">
        <is>
          <t>J</t>
        </is>
      </c>
      <c r="B29" s="1" t="inlineStr">
        <is>
          <t>Avoner PS Castuera S.L.U.</t>
        </is>
      </c>
      <c r="C29" s="1" t="inlineStr">
        <is>
          <t>CIF B97966428</t>
        </is>
      </c>
      <c r="D29" s="25" t="inlineStr">
        <is>
          <t>2008-027</t>
        </is>
      </c>
      <c r="E29" s="598" t="n">
        <v>0.1</v>
      </c>
      <c r="F29" s="601">
        <f>IF( OR(ISNUMBER(SEARCH("NIF",C29)),ISNUMBER(SEARCH("CIF",C29)),ISNUMBER(SEARCH("NIE",C29))), MID(C29,5,LEN(C29)), C29)</f>
        <v/>
      </c>
      <c r="G29" s="339" t="inlineStr">
        <is>
          <t>nif</t>
        </is>
      </c>
      <c r="H29" s="602">
        <f>F29</f>
        <v/>
      </c>
      <c r="I29" s="603">
        <f>VLOOKUP(B29,DATOS!B:D,3,FALSE)</f>
        <v/>
      </c>
      <c r="J29" s="603">
        <f>MID(VLOOKUP(B29,DATOS!B:E,4,FALSE),1,5)</f>
        <v/>
      </c>
      <c r="K29" s="603">
        <f>MID(VLOOKUP(B29,DATOS!B:E,4,FALSE),7,LEN(VLOOKUP(B29,DATOS!B:E,4,FALSE)))</f>
        <v/>
      </c>
      <c r="L29" s="603">
        <f>K29</f>
        <v/>
      </c>
      <c r="M29" s="606" t="inlineStr">
        <is>
          <t>R</t>
        </is>
      </c>
      <c r="N29" s="606" t="inlineStr">
        <is>
          <t>ESP</t>
        </is>
      </c>
      <c r="O29" s="619" t="n"/>
      <c r="P29" s="619" t="n"/>
      <c r="Q29" s="606" t="inlineStr">
        <is>
          <t>EUR</t>
        </is>
      </c>
      <c r="R29" s="640" t="inlineStr">
        <is>
          <t>01</t>
        </is>
      </c>
      <c r="S29" s="339" t="inlineStr">
        <is>
          <t>FALSE</t>
        </is>
      </c>
      <c r="T29" s="1" t="inlineStr">
        <is>
          <t xml:space="preserve"> </t>
        </is>
      </c>
      <c r="U29" s="608" t="inlineStr">
        <is>
          <t>https://www.facturantia.com/API/proformas_receptor.php</t>
        </is>
      </c>
      <c r="V29" s="609" t="n">
        <v>6666</v>
      </c>
      <c r="W29" s="610" t="inlineStr">
        <is>
          <t>facturacion@abalados.es</t>
        </is>
      </c>
      <c r="X29" s="609" t="n">
        <v>762687769</v>
      </c>
      <c r="Z29" s="625" t="n"/>
    </row>
    <row r="30" ht="15" customFormat="1" customHeight="1" s="25">
      <c r="A30" s="339" t="inlineStr">
        <is>
          <t>J</t>
        </is>
      </c>
      <c r="B30" s="1" t="inlineStr">
        <is>
          <t>BLC Pasol de Energias S.L.U.</t>
        </is>
      </c>
      <c r="C30" s="1" t="inlineStr">
        <is>
          <t>CIF B97966444</t>
        </is>
      </c>
      <c r="D30" s="25" t="inlineStr">
        <is>
          <t>2008-028</t>
        </is>
      </c>
      <c r="E30" s="598" t="n">
        <v>0.1</v>
      </c>
      <c r="F30" s="601">
        <f>IF( OR(ISNUMBER(SEARCH("NIF",C30)),ISNUMBER(SEARCH("CIF",C30)),ISNUMBER(SEARCH("NIE",C30))), MID(C30,5,LEN(C30)), C30)</f>
        <v/>
      </c>
      <c r="G30" s="339" t="inlineStr">
        <is>
          <t>nif</t>
        </is>
      </c>
      <c r="H30" s="602">
        <f>F30</f>
        <v/>
      </c>
      <c r="I30" s="603">
        <f>VLOOKUP(B30,DATOS!B:D,3,FALSE)</f>
        <v/>
      </c>
      <c r="J30" s="603">
        <f>MID(VLOOKUP(B30,DATOS!B:E,4,FALSE),1,5)</f>
        <v/>
      </c>
      <c r="K30" s="603">
        <f>MID(VLOOKUP(B30,DATOS!B:E,4,FALSE),7,LEN(VLOOKUP(B30,DATOS!B:E,4,FALSE)))</f>
        <v/>
      </c>
      <c r="L30" s="603">
        <f>K30</f>
        <v/>
      </c>
      <c r="M30" s="606" t="inlineStr">
        <is>
          <t>R</t>
        </is>
      </c>
      <c r="N30" s="606" t="inlineStr">
        <is>
          <t>ESP</t>
        </is>
      </c>
      <c r="O30" s="619" t="n"/>
      <c r="P30" s="619" t="n"/>
      <c r="Q30" s="606" t="inlineStr">
        <is>
          <t>EUR</t>
        </is>
      </c>
      <c r="R30" s="640" t="inlineStr">
        <is>
          <t>01</t>
        </is>
      </c>
      <c r="S30" s="339" t="inlineStr">
        <is>
          <t>FALSE</t>
        </is>
      </c>
      <c r="T30" s="1" t="inlineStr">
        <is>
          <t xml:space="preserve"> </t>
        </is>
      </c>
      <c r="U30" s="608" t="inlineStr">
        <is>
          <t>https://www.facturantia.com/API/proformas_receptor.php</t>
        </is>
      </c>
      <c r="V30" s="609" t="n">
        <v>6666</v>
      </c>
      <c r="W30" s="610" t="inlineStr">
        <is>
          <t>facturacion@abalados.es</t>
        </is>
      </c>
      <c r="X30" s="609" t="n">
        <v>762687769</v>
      </c>
      <c r="Z30" s="625" t="n"/>
    </row>
    <row r="31" ht="15" customFormat="1" customHeight="1" s="25">
      <c r="A31" s="339" t="inlineStr">
        <is>
          <t>J</t>
        </is>
      </c>
      <c r="B31" s="1" t="inlineStr">
        <is>
          <t>Energias PCRV de la Serna S.L.U.</t>
        </is>
      </c>
      <c r="C31" s="1" t="inlineStr">
        <is>
          <t>CIF B97966451</t>
        </is>
      </c>
      <c r="D31" s="25" t="inlineStr">
        <is>
          <t>2008-029</t>
        </is>
      </c>
      <c r="E31" s="598" t="n">
        <v>0.1</v>
      </c>
      <c r="F31" s="601">
        <f>IF( OR(ISNUMBER(SEARCH("NIF",C31)),ISNUMBER(SEARCH("CIF",C31)),ISNUMBER(SEARCH("NIE",C31))), MID(C31,5,LEN(C31)), C31)</f>
        <v/>
      </c>
      <c r="G31" s="339" t="inlineStr">
        <is>
          <t>nif</t>
        </is>
      </c>
      <c r="H31" s="602">
        <f>F31</f>
        <v/>
      </c>
      <c r="I31" s="603">
        <f>VLOOKUP(B31,DATOS!B:D,3,FALSE)</f>
        <v/>
      </c>
      <c r="J31" s="603">
        <f>MID(VLOOKUP(B31,DATOS!B:E,4,FALSE),1,5)</f>
        <v/>
      </c>
      <c r="K31" s="603">
        <f>MID(VLOOKUP(B31,DATOS!B:E,4,FALSE),7,LEN(VLOOKUP(B31,DATOS!B:E,4,FALSE)))</f>
        <v/>
      </c>
      <c r="L31" s="603">
        <f>K31</f>
        <v/>
      </c>
      <c r="M31" s="606" t="inlineStr">
        <is>
          <t>R</t>
        </is>
      </c>
      <c r="N31" s="606" t="inlineStr">
        <is>
          <t>ESP</t>
        </is>
      </c>
      <c r="O31" s="619" t="n"/>
      <c r="P31" s="619" t="n"/>
      <c r="Q31" s="606" t="inlineStr">
        <is>
          <t>EUR</t>
        </is>
      </c>
      <c r="R31" s="640" t="inlineStr">
        <is>
          <t>01</t>
        </is>
      </c>
      <c r="S31" s="339" t="inlineStr">
        <is>
          <t>FALSE</t>
        </is>
      </c>
      <c r="T31" s="1" t="inlineStr">
        <is>
          <t xml:space="preserve"> </t>
        </is>
      </c>
      <c r="U31" s="608" t="inlineStr">
        <is>
          <t>https://www.facturantia.com/API/proformas_receptor.php</t>
        </is>
      </c>
      <c r="V31" s="609" t="n">
        <v>6666</v>
      </c>
      <c r="W31" s="610" t="inlineStr">
        <is>
          <t>facturacion@abalados.es</t>
        </is>
      </c>
      <c r="X31" s="609" t="n">
        <v>762687769</v>
      </c>
      <c r="Z31" s="625" t="n"/>
    </row>
    <row r="32" ht="15" customFormat="1" customHeight="1" s="25">
      <c r="A32" s="339" t="inlineStr">
        <is>
          <t>J</t>
        </is>
      </c>
      <c r="B32" s="1" t="inlineStr">
        <is>
          <t>Explotación Solar Planta Asomadilla S.L.U.</t>
        </is>
      </c>
      <c r="C32" s="1" t="inlineStr">
        <is>
          <t>CIF B97966311</t>
        </is>
      </c>
      <c r="D32" s="25" t="inlineStr">
        <is>
          <t>2008-030</t>
        </is>
      </c>
      <c r="E32" s="598" t="n">
        <v>0.1</v>
      </c>
      <c r="F32" s="601">
        <f>IF( OR(ISNUMBER(SEARCH("NIF",C32)),ISNUMBER(SEARCH("CIF",C32)),ISNUMBER(SEARCH("NIE",C32))), MID(C32,5,LEN(C32)), C32)</f>
        <v/>
      </c>
      <c r="G32" s="339" t="inlineStr">
        <is>
          <t>nif</t>
        </is>
      </c>
      <c r="H32" s="602">
        <f>F32</f>
        <v/>
      </c>
      <c r="I32" s="603">
        <f>VLOOKUP(B32,DATOS!B:D,3,FALSE)</f>
        <v/>
      </c>
      <c r="J32" s="603">
        <f>MID(VLOOKUP(B32,DATOS!B:E,4,FALSE),1,5)</f>
        <v/>
      </c>
      <c r="K32" s="603">
        <f>MID(VLOOKUP(B32,DATOS!B:E,4,FALSE),7,LEN(VLOOKUP(B32,DATOS!B:E,4,FALSE)))</f>
        <v/>
      </c>
      <c r="L32" s="603">
        <f>K32</f>
        <v/>
      </c>
      <c r="M32" s="606" t="inlineStr">
        <is>
          <t>R</t>
        </is>
      </c>
      <c r="N32" s="606" t="inlineStr">
        <is>
          <t>ESP</t>
        </is>
      </c>
      <c r="O32" s="619" t="n"/>
      <c r="P32" s="619" t="n"/>
      <c r="Q32" s="606" t="inlineStr">
        <is>
          <t>EUR</t>
        </is>
      </c>
      <c r="R32" s="640" t="inlineStr">
        <is>
          <t>01</t>
        </is>
      </c>
      <c r="S32" s="339" t="inlineStr">
        <is>
          <t>FALSE</t>
        </is>
      </c>
      <c r="T32" s="1" t="inlineStr">
        <is>
          <t xml:space="preserve"> </t>
        </is>
      </c>
      <c r="U32" s="608" t="inlineStr">
        <is>
          <t>https://www.facturantia.com/API/proformas_receptor.php</t>
        </is>
      </c>
      <c r="V32" s="609" t="n">
        <v>6666</v>
      </c>
      <c r="W32" s="610" t="inlineStr">
        <is>
          <t>facturacion@abalados.es</t>
        </is>
      </c>
      <c r="X32" s="609" t="n">
        <v>762687769</v>
      </c>
      <c r="Z32" s="625" t="n"/>
    </row>
    <row r="33" ht="15" customFormat="1" customHeight="1" s="25">
      <c r="A33" s="339" t="inlineStr">
        <is>
          <t>J</t>
        </is>
      </c>
      <c r="B33" s="1" t="inlineStr">
        <is>
          <t>Expoinver Castuera 2007 S.L.U.</t>
        </is>
      </c>
      <c r="C33" s="1" t="inlineStr">
        <is>
          <t>CIF B97966303</t>
        </is>
      </c>
      <c r="D33" s="25" t="inlineStr">
        <is>
          <t>2008-031</t>
        </is>
      </c>
      <c r="E33" s="598" t="n">
        <v>0.1</v>
      </c>
      <c r="F33" s="601">
        <f>IF( OR(ISNUMBER(SEARCH("NIF",C33)),ISNUMBER(SEARCH("CIF",C33)),ISNUMBER(SEARCH("NIE",C33))), MID(C33,5,LEN(C33)), C33)</f>
        <v/>
      </c>
      <c r="G33" s="339" t="inlineStr">
        <is>
          <t>nif</t>
        </is>
      </c>
      <c r="H33" s="602">
        <f>F33</f>
        <v/>
      </c>
      <c r="I33" s="603">
        <f>VLOOKUP(B33,DATOS!B:D,3,FALSE)</f>
        <v/>
      </c>
      <c r="J33" s="603">
        <f>MID(VLOOKUP(B33,DATOS!B:E,4,FALSE),1,5)</f>
        <v/>
      </c>
      <c r="K33" s="603">
        <f>MID(VLOOKUP(B33,DATOS!B:E,4,FALSE),7,LEN(VLOOKUP(B33,DATOS!B:E,4,FALSE)))</f>
        <v/>
      </c>
      <c r="L33" s="603">
        <f>K33</f>
        <v/>
      </c>
      <c r="M33" s="606" t="inlineStr">
        <is>
          <t>R</t>
        </is>
      </c>
      <c r="N33" s="606" t="inlineStr">
        <is>
          <t>ESP</t>
        </is>
      </c>
      <c r="O33" s="619" t="n"/>
      <c r="P33" s="619" t="n"/>
      <c r="Q33" s="606" t="inlineStr">
        <is>
          <t>EUR</t>
        </is>
      </c>
      <c r="R33" s="640" t="inlineStr">
        <is>
          <t>01</t>
        </is>
      </c>
      <c r="S33" s="339" t="inlineStr">
        <is>
          <t>FALSE</t>
        </is>
      </c>
      <c r="T33" s="1" t="inlineStr">
        <is>
          <t xml:space="preserve"> </t>
        </is>
      </c>
      <c r="U33" s="608" t="inlineStr">
        <is>
          <t>https://www.facturantia.com/API/proformas_receptor.php</t>
        </is>
      </c>
      <c r="V33" s="609" t="n">
        <v>6666</v>
      </c>
      <c r="W33" s="610" t="inlineStr">
        <is>
          <t>facturacion@abalados.es</t>
        </is>
      </c>
      <c r="X33" s="609" t="n">
        <v>762687769</v>
      </c>
      <c r="Z33" s="625" t="n"/>
    </row>
    <row r="34" ht="15" customFormat="1" customHeight="1" s="25">
      <c r="A34" s="339" t="inlineStr">
        <is>
          <t>J</t>
        </is>
      </c>
      <c r="B34" s="1" t="inlineStr">
        <is>
          <t>Finca Asomadilla 16 S.L.U.</t>
        </is>
      </c>
      <c r="C34" s="1" t="inlineStr">
        <is>
          <t>CIF B97966279</t>
        </is>
      </c>
      <c r="D34" s="25" t="inlineStr">
        <is>
          <t>2008-032</t>
        </is>
      </c>
      <c r="E34" s="598" t="n">
        <v>0.1</v>
      </c>
      <c r="F34" s="601">
        <f>IF( OR(ISNUMBER(SEARCH("NIF",C34)),ISNUMBER(SEARCH("CIF",C34)),ISNUMBER(SEARCH("NIE",C34))), MID(C34,5,LEN(C34)), C34)</f>
        <v/>
      </c>
      <c r="G34" s="339" t="inlineStr">
        <is>
          <t>nif</t>
        </is>
      </c>
      <c r="H34" s="602">
        <f>F34</f>
        <v/>
      </c>
      <c r="I34" s="603">
        <f>VLOOKUP(B34,DATOS!B:D,3,FALSE)</f>
        <v/>
      </c>
      <c r="J34" s="603">
        <f>MID(VLOOKUP(B34,DATOS!B:E,4,FALSE),1,5)</f>
        <v/>
      </c>
      <c r="K34" s="603">
        <f>MID(VLOOKUP(B34,DATOS!B:E,4,FALSE),7,LEN(VLOOKUP(B34,DATOS!B:E,4,FALSE)))</f>
        <v/>
      </c>
      <c r="L34" s="603">
        <f>K34</f>
        <v/>
      </c>
      <c r="M34" s="606" t="inlineStr">
        <is>
          <t>R</t>
        </is>
      </c>
      <c r="N34" s="606" t="inlineStr">
        <is>
          <t>ESP</t>
        </is>
      </c>
      <c r="O34" s="619" t="n"/>
      <c r="P34" s="619" t="n"/>
      <c r="Q34" s="606" t="inlineStr">
        <is>
          <t>EUR</t>
        </is>
      </c>
      <c r="R34" s="640" t="inlineStr">
        <is>
          <t>01</t>
        </is>
      </c>
      <c r="S34" s="339" t="inlineStr">
        <is>
          <t>FALSE</t>
        </is>
      </c>
      <c r="T34" s="1" t="inlineStr">
        <is>
          <t xml:space="preserve"> </t>
        </is>
      </c>
      <c r="U34" s="608" t="inlineStr">
        <is>
          <t>https://www.facturantia.com/API/proformas_receptor.php</t>
        </is>
      </c>
      <c r="V34" s="609" t="n">
        <v>6666</v>
      </c>
      <c r="W34" s="610" t="inlineStr">
        <is>
          <t>facturacion@abalados.es</t>
        </is>
      </c>
      <c r="X34" s="609" t="n">
        <v>762687769</v>
      </c>
      <c r="Z34" s="625" t="n"/>
    </row>
    <row r="35" ht="15" customFormat="1" customHeight="1" s="25">
      <c r="A35" s="339" t="inlineStr">
        <is>
          <t>J</t>
        </is>
      </c>
      <c r="B35" s="1" t="inlineStr">
        <is>
          <t>ILCG Inversiones Solares de Levante S.L.U.</t>
        </is>
      </c>
      <c r="C35" s="1" t="inlineStr">
        <is>
          <t>CIF B97966295</t>
        </is>
      </c>
      <c r="D35" s="25" t="inlineStr">
        <is>
          <t>2008-033</t>
        </is>
      </c>
      <c r="E35" s="598" t="n">
        <v>0.1</v>
      </c>
      <c r="F35" s="601">
        <f>IF( OR(ISNUMBER(SEARCH("NIF",C35)),ISNUMBER(SEARCH("CIF",C35)),ISNUMBER(SEARCH("NIE",C35))), MID(C35,5,LEN(C35)), C35)</f>
        <v/>
      </c>
      <c r="G35" s="339" t="inlineStr">
        <is>
          <t>nif</t>
        </is>
      </c>
      <c r="H35" s="602">
        <f>F35</f>
        <v/>
      </c>
      <c r="I35" s="603">
        <f>VLOOKUP(B35,DATOS!B:D,3,FALSE)</f>
        <v/>
      </c>
      <c r="J35" s="603">
        <f>MID(VLOOKUP(B35,DATOS!B:E,4,FALSE),1,5)</f>
        <v/>
      </c>
      <c r="K35" s="603">
        <f>MID(VLOOKUP(B35,DATOS!B:E,4,FALSE),7,LEN(VLOOKUP(B35,DATOS!B:E,4,FALSE)))</f>
        <v/>
      </c>
      <c r="L35" s="603">
        <f>K35</f>
        <v/>
      </c>
      <c r="M35" s="606" t="inlineStr">
        <is>
          <t>R</t>
        </is>
      </c>
      <c r="N35" s="606" t="inlineStr">
        <is>
          <t>ESP</t>
        </is>
      </c>
      <c r="O35" s="619" t="n"/>
      <c r="P35" s="619" t="n"/>
      <c r="Q35" s="606" t="inlineStr">
        <is>
          <t>EUR</t>
        </is>
      </c>
      <c r="R35" s="640" t="inlineStr">
        <is>
          <t>01</t>
        </is>
      </c>
      <c r="S35" s="339" t="inlineStr">
        <is>
          <t>FALSE</t>
        </is>
      </c>
      <c r="T35" s="1" t="inlineStr">
        <is>
          <t xml:space="preserve"> </t>
        </is>
      </c>
      <c r="U35" s="608" t="inlineStr">
        <is>
          <t>https://www.facturantia.com/API/proformas_receptor.php</t>
        </is>
      </c>
      <c r="V35" s="609" t="n">
        <v>6666</v>
      </c>
      <c r="W35" s="610" t="inlineStr">
        <is>
          <t>facturacion@abalados.es</t>
        </is>
      </c>
      <c r="X35" s="609" t="n">
        <v>762687769</v>
      </c>
      <c r="Z35" s="625" t="n"/>
    </row>
    <row r="36" ht="15" customFormat="1" customHeight="1" s="25">
      <c r="A36" s="339" t="inlineStr">
        <is>
          <t>J</t>
        </is>
      </c>
      <c r="B36" s="1" t="inlineStr">
        <is>
          <t>Invallalb Energia del Mediterraneo S.L.U.</t>
        </is>
      </c>
      <c r="C36" s="1" t="inlineStr">
        <is>
          <t>CIF B97966329</t>
        </is>
      </c>
      <c r="D36" s="25" t="inlineStr">
        <is>
          <t>2008-034</t>
        </is>
      </c>
      <c r="E36" s="598" t="n">
        <v>0.1</v>
      </c>
      <c r="F36" s="601">
        <f>IF( OR(ISNUMBER(SEARCH("NIF",C36)),ISNUMBER(SEARCH("CIF",C36)),ISNUMBER(SEARCH("NIE",C36))), MID(C36,5,LEN(C36)), C36)</f>
        <v/>
      </c>
      <c r="G36" s="339" t="inlineStr">
        <is>
          <t>nif</t>
        </is>
      </c>
      <c r="H36" s="602">
        <f>F36</f>
        <v/>
      </c>
      <c r="I36" s="603">
        <f>VLOOKUP(B36,DATOS!B:D,3,FALSE)</f>
        <v/>
      </c>
      <c r="J36" s="603">
        <f>MID(VLOOKUP(B36,DATOS!B:E,4,FALSE),1,5)</f>
        <v/>
      </c>
      <c r="K36" s="603">
        <f>MID(VLOOKUP(B36,DATOS!B:E,4,FALSE),7,LEN(VLOOKUP(B36,DATOS!B:E,4,FALSE)))</f>
        <v/>
      </c>
      <c r="L36" s="603">
        <f>K36</f>
        <v/>
      </c>
      <c r="M36" s="606" t="inlineStr">
        <is>
          <t>R</t>
        </is>
      </c>
      <c r="N36" s="606" t="inlineStr">
        <is>
          <t>ESP</t>
        </is>
      </c>
      <c r="O36" s="619" t="n"/>
      <c r="P36" s="619" t="n"/>
      <c r="Q36" s="606" t="inlineStr">
        <is>
          <t>EUR</t>
        </is>
      </c>
      <c r="R36" s="640" t="inlineStr">
        <is>
          <t>01</t>
        </is>
      </c>
      <c r="S36" s="339" t="inlineStr">
        <is>
          <t>FALSE</t>
        </is>
      </c>
      <c r="T36" s="1" t="inlineStr">
        <is>
          <t xml:space="preserve"> </t>
        </is>
      </c>
      <c r="U36" s="608" t="inlineStr">
        <is>
          <t>https://www.facturantia.com/API/proformas_receptor.php</t>
        </is>
      </c>
      <c r="V36" s="609" t="n">
        <v>6666</v>
      </c>
      <c r="W36" s="610" t="inlineStr">
        <is>
          <t>facturacion@abalados.es</t>
        </is>
      </c>
      <c r="X36" s="609" t="n">
        <v>762687769</v>
      </c>
      <c r="Z36" s="625" t="n"/>
    </row>
    <row r="37" ht="15" customFormat="1" customHeight="1" s="25">
      <c r="A37" s="339" t="inlineStr">
        <is>
          <t>J</t>
        </is>
      </c>
      <c r="B37" s="1" t="inlineStr">
        <is>
          <t>Inversiones Energeticas RN de Levante S.L.U.</t>
        </is>
      </c>
      <c r="C37" s="1" t="inlineStr">
        <is>
          <t>CIF B97966345</t>
        </is>
      </c>
      <c r="D37" s="25" t="inlineStr">
        <is>
          <t>2008-035</t>
        </is>
      </c>
      <c r="E37" s="598" t="n">
        <v>0.1</v>
      </c>
      <c r="F37" s="601">
        <f>IF( OR(ISNUMBER(SEARCH("NIF",C37)),ISNUMBER(SEARCH("CIF",C37)),ISNUMBER(SEARCH("NIE",C37))), MID(C37,5,LEN(C37)), C37)</f>
        <v/>
      </c>
      <c r="G37" s="339" t="inlineStr">
        <is>
          <t>nif</t>
        </is>
      </c>
      <c r="H37" s="602">
        <f>F37</f>
        <v/>
      </c>
      <c r="I37" s="603">
        <f>VLOOKUP(B37,DATOS!B:D,3,FALSE)</f>
        <v/>
      </c>
      <c r="J37" s="603">
        <f>MID(VLOOKUP(B37,DATOS!B:E,4,FALSE),1,5)</f>
        <v/>
      </c>
      <c r="K37" s="603">
        <f>MID(VLOOKUP(B37,DATOS!B:E,4,FALSE),7,LEN(VLOOKUP(B37,DATOS!B:E,4,FALSE)))</f>
        <v/>
      </c>
      <c r="L37" s="603">
        <f>K37</f>
        <v/>
      </c>
      <c r="M37" s="606" t="inlineStr">
        <is>
          <t>R</t>
        </is>
      </c>
      <c r="N37" s="606" t="inlineStr">
        <is>
          <t>ESP</t>
        </is>
      </c>
      <c r="O37" s="619" t="n"/>
      <c r="P37" s="619" t="n"/>
      <c r="Q37" s="606" t="inlineStr">
        <is>
          <t>EUR</t>
        </is>
      </c>
      <c r="R37" s="640" t="inlineStr">
        <is>
          <t>01</t>
        </is>
      </c>
      <c r="S37" s="339" t="inlineStr">
        <is>
          <t>FALSE</t>
        </is>
      </c>
      <c r="T37" s="1" t="inlineStr">
        <is>
          <t xml:space="preserve"> </t>
        </is>
      </c>
      <c r="U37" s="608" t="inlineStr">
        <is>
          <t>https://www.facturantia.com/API/proformas_receptor.php</t>
        </is>
      </c>
      <c r="V37" s="609" t="n">
        <v>6666</v>
      </c>
      <c r="W37" s="610" t="inlineStr">
        <is>
          <t>facturacion@abalados.es</t>
        </is>
      </c>
      <c r="X37" s="609" t="n">
        <v>762687769</v>
      </c>
      <c r="Z37" s="625" t="n"/>
    </row>
    <row r="38" ht="15" customFormat="1" customHeight="1" s="25">
      <c r="A38" s="339" t="inlineStr">
        <is>
          <t>J</t>
        </is>
      </c>
      <c r="B38" s="1" t="inlineStr">
        <is>
          <t>Inversiones RENVA3 Extremadura S.L.U.</t>
        </is>
      </c>
      <c r="C38" s="1" t="inlineStr">
        <is>
          <t>CIF B97966410</t>
        </is>
      </c>
      <c r="D38" s="25" t="inlineStr">
        <is>
          <t>2008-036</t>
        </is>
      </c>
      <c r="E38" s="598" t="n">
        <v>0.1</v>
      </c>
      <c r="F38" s="601">
        <f>IF( OR(ISNUMBER(SEARCH("NIF",C38)),ISNUMBER(SEARCH("CIF",C38)),ISNUMBER(SEARCH("NIE",C38))), MID(C38,5,LEN(C38)), C38)</f>
        <v/>
      </c>
      <c r="G38" s="339" t="inlineStr">
        <is>
          <t>nif</t>
        </is>
      </c>
      <c r="H38" s="602">
        <f>F38</f>
        <v/>
      </c>
      <c r="I38" s="603">
        <f>VLOOKUP(B38,DATOS!B:D,3,FALSE)</f>
        <v/>
      </c>
      <c r="J38" s="603">
        <f>MID(VLOOKUP(B38,DATOS!B:E,4,FALSE),1,5)</f>
        <v/>
      </c>
      <c r="K38" s="603">
        <f>MID(VLOOKUP(B38,DATOS!B:E,4,FALSE),7,LEN(VLOOKUP(B38,DATOS!B:E,4,FALSE)))</f>
        <v/>
      </c>
      <c r="L38" s="603">
        <f>K38</f>
        <v/>
      </c>
      <c r="M38" s="606" t="inlineStr">
        <is>
          <t>R</t>
        </is>
      </c>
      <c r="N38" s="606" t="inlineStr">
        <is>
          <t>ESP</t>
        </is>
      </c>
      <c r="O38" s="619" t="n"/>
      <c r="P38" s="619" t="n"/>
      <c r="Q38" s="606" t="inlineStr">
        <is>
          <t>EUR</t>
        </is>
      </c>
      <c r="R38" s="640" t="inlineStr">
        <is>
          <t>01</t>
        </is>
      </c>
      <c r="S38" s="339" t="inlineStr">
        <is>
          <t>FALSE</t>
        </is>
      </c>
      <c r="T38" s="1" t="inlineStr">
        <is>
          <t xml:space="preserve"> </t>
        </is>
      </c>
      <c r="U38" s="608" t="inlineStr">
        <is>
          <t>https://www.facturantia.com/API/proformas_receptor.php</t>
        </is>
      </c>
      <c r="V38" s="609" t="n">
        <v>6666</v>
      </c>
      <c r="W38" s="610" t="inlineStr">
        <is>
          <t>facturacion@abalados.es</t>
        </is>
      </c>
      <c r="X38" s="609" t="n">
        <v>762687769</v>
      </c>
      <c r="Z38" s="625" t="n"/>
    </row>
    <row r="39" ht="15" customFormat="1" customHeight="1" s="25">
      <c r="A39" s="339" t="inlineStr">
        <is>
          <t>J</t>
        </is>
      </c>
      <c r="B39" s="1" t="inlineStr">
        <is>
          <t>Inversiones Renovables Valverde S.L.U.</t>
        </is>
      </c>
      <c r="C39" s="1" t="inlineStr">
        <is>
          <t>CIF B97966394</t>
        </is>
      </c>
      <c r="D39" s="25" t="inlineStr">
        <is>
          <t>2008-037</t>
        </is>
      </c>
      <c r="E39" s="598" t="n">
        <v>0.1</v>
      </c>
      <c r="F39" s="601">
        <f>IF( OR(ISNUMBER(SEARCH("NIF",C39)),ISNUMBER(SEARCH("CIF",C39)),ISNUMBER(SEARCH("NIE",C39))), MID(C39,5,LEN(C39)), C39)</f>
        <v/>
      </c>
      <c r="G39" s="339" t="inlineStr">
        <is>
          <t>nif</t>
        </is>
      </c>
      <c r="H39" s="602">
        <f>F39</f>
        <v/>
      </c>
      <c r="I39" s="603">
        <f>VLOOKUP(B39,DATOS!B:D,3,FALSE)</f>
        <v/>
      </c>
      <c r="J39" s="603">
        <f>MID(VLOOKUP(B39,DATOS!B:E,4,FALSE),1,5)</f>
        <v/>
      </c>
      <c r="K39" s="603">
        <f>MID(VLOOKUP(B39,DATOS!B:E,4,FALSE),7,LEN(VLOOKUP(B39,DATOS!B:E,4,FALSE)))</f>
        <v/>
      </c>
      <c r="L39" s="603">
        <f>K39</f>
        <v/>
      </c>
      <c r="M39" s="606" t="inlineStr">
        <is>
          <t>R</t>
        </is>
      </c>
      <c r="N39" s="606" t="inlineStr">
        <is>
          <t>ESP</t>
        </is>
      </c>
      <c r="O39" s="619" t="n"/>
      <c r="P39" s="619" t="n"/>
      <c r="Q39" s="606" t="inlineStr">
        <is>
          <t>EUR</t>
        </is>
      </c>
      <c r="R39" s="640" t="inlineStr">
        <is>
          <t>01</t>
        </is>
      </c>
      <c r="S39" s="339" t="inlineStr">
        <is>
          <t>FALSE</t>
        </is>
      </c>
      <c r="T39" s="1" t="inlineStr">
        <is>
          <t xml:space="preserve"> </t>
        </is>
      </c>
      <c r="U39" s="608" t="inlineStr">
        <is>
          <t>https://www.facturantia.com/API/proformas_receptor.php</t>
        </is>
      </c>
      <c r="V39" s="609" t="n">
        <v>6666</v>
      </c>
      <c r="W39" s="610" t="inlineStr">
        <is>
          <t>facturacion@abalados.es</t>
        </is>
      </c>
      <c r="X39" s="609" t="n">
        <v>762687769</v>
      </c>
      <c r="Z39" s="625" t="n"/>
    </row>
    <row r="40" ht="15" customFormat="1" customHeight="1" s="25">
      <c r="A40" s="339" t="inlineStr">
        <is>
          <t>J</t>
        </is>
      </c>
      <c r="B40" s="1" t="inlineStr">
        <is>
          <t>Planta Dehesa Asomadillas Solar S.L.U.</t>
        </is>
      </c>
      <c r="C40" s="1" t="inlineStr">
        <is>
          <t>CIF B97966360</t>
        </is>
      </c>
      <c r="D40" s="25" t="inlineStr">
        <is>
          <t>2008-038</t>
        </is>
      </c>
      <c r="E40" s="598" t="n">
        <v>0.1</v>
      </c>
      <c r="F40" s="601">
        <f>IF( OR(ISNUMBER(SEARCH("NIF",C40)),ISNUMBER(SEARCH("CIF",C40)),ISNUMBER(SEARCH("NIE",C40))), MID(C40,5,LEN(C40)), C40)</f>
        <v/>
      </c>
      <c r="G40" s="339" t="inlineStr">
        <is>
          <t>nif</t>
        </is>
      </c>
      <c r="H40" s="602">
        <f>F40</f>
        <v/>
      </c>
      <c r="I40" s="603">
        <f>VLOOKUP(B40,DATOS!B:D,3,FALSE)</f>
        <v/>
      </c>
      <c r="J40" s="603">
        <f>MID(VLOOKUP(B40,DATOS!B:E,4,FALSE),1,5)</f>
        <v/>
      </c>
      <c r="K40" s="603">
        <f>MID(VLOOKUP(B40,DATOS!B:E,4,FALSE),7,LEN(VLOOKUP(B40,DATOS!B:E,4,FALSE)))</f>
        <v/>
      </c>
      <c r="L40" s="603">
        <f>K40</f>
        <v/>
      </c>
      <c r="M40" s="606" t="inlineStr">
        <is>
          <t>R</t>
        </is>
      </c>
      <c r="N40" s="606" t="inlineStr">
        <is>
          <t>ESP</t>
        </is>
      </c>
      <c r="O40" s="619" t="n"/>
      <c r="P40" s="619" t="n"/>
      <c r="Q40" s="606" t="inlineStr">
        <is>
          <t>EUR</t>
        </is>
      </c>
      <c r="R40" s="640" t="inlineStr">
        <is>
          <t>01</t>
        </is>
      </c>
      <c r="S40" s="339" t="inlineStr">
        <is>
          <t>FALSE</t>
        </is>
      </c>
      <c r="T40" s="1" t="inlineStr">
        <is>
          <t xml:space="preserve"> </t>
        </is>
      </c>
      <c r="U40" s="608" t="inlineStr">
        <is>
          <t>https://www.facturantia.com/API/proformas_receptor.php</t>
        </is>
      </c>
      <c r="V40" s="609" t="n">
        <v>6666</v>
      </c>
      <c r="W40" s="610" t="inlineStr">
        <is>
          <t>facturacion@abalados.es</t>
        </is>
      </c>
      <c r="X40" s="609" t="n">
        <v>762687769</v>
      </c>
      <c r="Z40" s="625" t="n"/>
    </row>
    <row r="41" ht="15" customFormat="1" customHeight="1" s="25">
      <c r="A41" s="339" t="inlineStr">
        <is>
          <t>J</t>
        </is>
      </c>
      <c r="B41" s="1" t="inlineStr">
        <is>
          <t>Polígono 39 Castuera S.L.U.</t>
        </is>
      </c>
      <c r="C41" s="1" t="inlineStr">
        <is>
          <t>CIF B97966378</t>
        </is>
      </c>
      <c r="D41" s="25" t="inlineStr">
        <is>
          <t>2008-039</t>
        </is>
      </c>
      <c r="E41" s="598" t="n">
        <v>0.1</v>
      </c>
      <c r="F41" s="601">
        <f>IF( OR(ISNUMBER(SEARCH("NIF",C41)),ISNUMBER(SEARCH("CIF",C41)),ISNUMBER(SEARCH("NIE",C41))), MID(C41,5,LEN(C41)), C41)</f>
        <v/>
      </c>
      <c r="G41" s="339" t="inlineStr">
        <is>
          <t>nif</t>
        </is>
      </c>
      <c r="H41" s="602">
        <f>F41</f>
        <v/>
      </c>
      <c r="I41" s="603">
        <f>VLOOKUP(B41,DATOS!B:D,3,FALSE)</f>
        <v/>
      </c>
      <c r="J41" s="603">
        <f>MID(VLOOKUP(B41,DATOS!B:E,4,FALSE),1,5)</f>
        <v/>
      </c>
      <c r="K41" s="603">
        <f>MID(VLOOKUP(B41,DATOS!B:E,4,FALSE),7,LEN(VLOOKUP(B41,DATOS!B:E,4,FALSE)))</f>
        <v/>
      </c>
      <c r="L41" s="603">
        <f>K41</f>
        <v/>
      </c>
      <c r="M41" s="606" t="inlineStr">
        <is>
          <t>R</t>
        </is>
      </c>
      <c r="N41" s="606" t="inlineStr">
        <is>
          <t>ESP</t>
        </is>
      </c>
      <c r="O41" s="619" t="n"/>
      <c r="P41" s="619" t="n"/>
      <c r="Q41" s="606" t="inlineStr">
        <is>
          <t>EUR</t>
        </is>
      </c>
      <c r="R41" s="640" t="inlineStr">
        <is>
          <t>01</t>
        </is>
      </c>
      <c r="S41" s="339" t="inlineStr">
        <is>
          <t>FALSE</t>
        </is>
      </c>
      <c r="T41" s="1" t="inlineStr">
        <is>
          <t xml:space="preserve"> </t>
        </is>
      </c>
      <c r="U41" s="608" t="inlineStr">
        <is>
          <t>https://www.facturantia.com/API/proformas_receptor.php</t>
        </is>
      </c>
      <c r="V41" s="609" t="n">
        <v>6666</v>
      </c>
      <c r="W41" s="610" t="inlineStr">
        <is>
          <t>facturacion@abalados.es</t>
        </is>
      </c>
      <c r="X41" s="609" t="n">
        <v>762687769</v>
      </c>
      <c r="Z41" s="625" t="n"/>
    </row>
    <row r="42" ht="15" customFormat="1" customHeight="1" s="25">
      <c r="A42" s="339" t="inlineStr">
        <is>
          <t>J</t>
        </is>
      </c>
      <c r="B42" s="1" t="inlineStr">
        <is>
          <t>RNSR Invest 2007 de la Serena S.L.U.</t>
        </is>
      </c>
      <c r="C42" s="1" t="inlineStr">
        <is>
          <t>CIF B97966337</t>
        </is>
      </c>
      <c r="D42" s="25" t="inlineStr">
        <is>
          <t>2008-040</t>
        </is>
      </c>
      <c r="E42" s="598" t="n">
        <v>0.1</v>
      </c>
      <c r="F42" s="601">
        <f>IF( OR(ISNUMBER(SEARCH("NIF",C42)),ISNUMBER(SEARCH("CIF",C42)),ISNUMBER(SEARCH("NIE",C42))), MID(C42,5,LEN(C42)), C42)</f>
        <v/>
      </c>
      <c r="G42" s="339" t="inlineStr">
        <is>
          <t>nif</t>
        </is>
      </c>
      <c r="H42" s="602">
        <f>F42</f>
        <v/>
      </c>
      <c r="I42" s="603">
        <f>VLOOKUP(B42,DATOS!B:D,3,FALSE)</f>
        <v/>
      </c>
      <c r="J42" s="603">
        <f>MID(VLOOKUP(B42,DATOS!B:E,4,FALSE),1,5)</f>
        <v/>
      </c>
      <c r="K42" s="603">
        <f>MID(VLOOKUP(B42,DATOS!B:E,4,FALSE),7,LEN(VLOOKUP(B42,DATOS!B:E,4,FALSE)))</f>
        <v/>
      </c>
      <c r="L42" s="603">
        <f>K42</f>
        <v/>
      </c>
      <c r="M42" s="606" t="inlineStr">
        <is>
          <t>R</t>
        </is>
      </c>
      <c r="N42" s="606" t="inlineStr">
        <is>
          <t>ESP</t>
        </is>
      </c>
      <c r="O42" s="619" t="n"/>
      <c r="P42" s="619" t="n"/>
      <c r="Q42" s="606" t="inlineStr">
        <is>
          <t>EUR</t>
        </is>
      </c>
      <c r="R42" s="640" t="inlineStr">
        <is>
          <t>01</t>
        </is>
      </c>
      <c r="S42" s="339" t="inlineStr">
        <is>
          <t>FALSE</t>
        </is>
      </c>
      <c r="T42" s="1" t="inlineStr">
        <is>
          <t xml:space="preserve"> </t>
        </is>
      </c>
      <c r="U42" s="608" t="inlineStr">
        <is>
          <t>https://www.facturantia.com/API/proformas_receptor.php</t>
        </is>
      </c>
      <c r="V42" s="609" t="n">
        <v>6666</v>
      </c>
      <c r="W42" s="610" t="inlineStr">
        <is>
          <t>facturacion@abalados.es</t>
        </is>
      </c>
      <c r="X42" s="609" t="n">
        <v>762687769</v>
      </c>
      <c r="Z42" s="625" t="n"/>
    </row>
    <row r="43" ht="15" customFormat="1" customHeight="1" s="25">
      <c r="A43" s="339" t="inlineStr">
        <is>
          <t>J</t>
        </is>
      </c>
      <c r="B43" s="1" t="inlineStr">
        <is>
          <t>Valcast Solar 2007 S.L.U.</t>
        </is>
      </c>
      <c r="C43" s="1" t="inlineStr">
        <is>
          <t>CIF B97966352</t>
        </is>
      </c>
      <c r="D43" s="25" t="inlineStr">
        <is>
          <t>2008-041</t>
        </is>
      </c>
      <c r="E43" s="598" t="n">
        <v>0.1</v>
      </c>
      <c r="F43" s="601">
        <f>IF( OR(ISNUMBER(SEARCH("NIF",C43)),ISNUMBER(SEARCH("CIF",C43)),ISNUMBER(SEARCH("NIE",C43))), MID(C43,5,LEN(C43)), C43)</f>
        <v/>
      </c>
      <c r="G43" s="339" t="inlineStr">
        <is>
          <t>nif</t>
        </is>
      </c>
      <c r="H43" s="602">
        <f>F43</f>
        <v/>
      </c>
      <c r="I43" s="603">
        <f>VLOOKUP(B43,DATOS!B:D,3,FALSE)</f>
        <v/>
      </c>
      <c r="J43" s="603">
        <f>MID(VLOOKUP(B43,DATOS!B:E,4,FALSE),1,5)</f>
        <v/>
      </c>
      <c r="K43" s="603">
        <f>MID(VLOOKUP(B43,DATOS!B:E,4,FALSE),7,LEN(VLOOKUP(B43,DATOS!B:E,4,FALSE)))</f>
        <v/>
      </c>
      <c r="L43" s="603">
        <f>K43</f>
        <v/>
      </c>
      <c r="M43" s="606" t="inlineStr">
        <is>
          <t>R</t>
        </is>
      </c>
      <c r="N43" s="606" t="inlineStr">
        <is>
          <t>ESP</t>
        </is>
      </c>
      <c r="O43" s="619" t="n"/>
      <c r="P43" s="619" t="n"/>
      <c r="Q43" s="606" t="inlineStr">
        <is>
          <t>EUR</t>
        </is>
      </c>
      <c r="R43" s="640" t="inlineStr">
        <is>
          <t>01</t>
        </is>
      </c>
      <c r="S43" s="339" t="inlineStr">
        <is>
          <t>FALSE</t>
        </is>
      </c>
      <c r="T43" s="1" t="inlineStr">
        <is>
          <t xml:space="preserve"> </t>
        </is>
      </c>
      <c r="U43" s="608" t="inlineStr">
        <is>
          <t>https://www.facturantia.com/API/proformas_receptor.php</t>
        </is>
      </c>
      <c r="V43" s="609" t="n">
        <v>6666</v>
      </c>
      <c r="W43" s="610" t="inlineStr">
        <is>
          <t>facturacion@abalados.es</t>
        </is>
      </c>
      <c r="X43" s="609" t="n">
        <v>762687769</v>
      </c>
      <c r="Z43" s="625" t="n"/>
    </row>
    <row r="44" ht="15" customFormat="1" customHeight="1" s="25">
      <c r="A44" s="636" t="inlineStr">
        <is>
          <t>J</t>
        </is>
      </c>
      <c r="B44" s="1" t="inlineStr">
        <is>
          <t>Inversión Cubiertas Solares S.L.U.</t>
        </is>
      </c>
      <c r="C44" s="1" t="inlineStr">
        <is>
          <t>CIF B97996219</t>
        </is>
      </c>
      <c r="D44" s="25" t="inlineStr">
        <is>
          <t>2008-042</t>
        </is>
      </c>
      <c r="E44" s="598" t="n">
        <v>0.1</v>
      </c>
      <c r="F44" s="601">
        <f>IF( OR(ISNUMBER(SEARCH("NIF",C44)),ISNUMBER(SEARCH("CIF",C44)),ISNUMBER(SEARCH("NIE",C44))), MID(C44,5,LEN(C44)), C44)</f>
        <v/>
      </c>
      <c r="G44" s="339" t="inlineStr">
        <is>
          <t>nif</t>
        </is>
      </c>
      <c r="H44" s="602">
        <f>F44</f>
        <v/>
      </c>
      <c r="I44" s="603">
        <f>VLOOKUP(B44,DATOS!B:D,3,FALSE)</f>
        <v/>
      </c>
      <c r="J44" s="603">
        <f>MID(VLOOKUP(B44,DATOS!B:E,4,FALSE),1,5)</f>
        <v/>
      </c>
      <c r="K44" s="603">
        <f>MID(VLOOKUP(B44,DATOS!B:E,4,FALSE),7,LEN(VLOOKUP(B44,DATOS!B:E,4,FALSE)))</f>
        <v/>
      </c>
      <c r="L44" s="603">
        <f>K44</f>
        <v/>
      </c>
      <c r="M44" s="606" t="inlineStr">
        <is>
          <t>R</t>
        </is>
      </c>
      <c r="N44" s="606" t="inlineStr">
        <is>
          <t>ESP</t>
        </is>
      </c>
      <c r="O44" s="619" t="inlineStr">
        <is>
          <t>ES20 2080 3509 1130 4011 0824</t>
        </is>
      </c>
      <c r="P44" s="619" t="n"/>
      <c r="Q44" s="606" t="inlineStr">
        <is>
          <t>EUR</t>
        </is>
      </c>
      <c r="R44" s="640" t="inlineStr">
        <is>
          <t>01</t>
        </is>
      </c>
      <c r="S44" s="339" t="inlineStr">
        <is>
          <t>FALSE</t>
        </is>
      </c>
      <c r="T44" s="1" t="inlineStr">
        <is>
          <t xml:space="preserve"> </t>
        </is>
      </c>
      <c r="U44" s="608" t="inlineStr">
        <is>
          <t>https://www.facturantia.com/API/proformas_receptor.php</t>
        </is>
      </c>
      <c r="V44" s="609" t="n">
        <v>6666</v>
      </c>
      <c r="W44" s="610" t="inlineStr">
        <is>
          <t>facturacion@abalados.es</t>
        </is>
      </c>
      <c r="X44" s="609" t="n">
        <v>762687769</v>
      </c>
      <c r="Z44" s="624" t="n">
        <v>45951</v>
      </c>
    </row>
    <row r="45" ht="15" customFormat="1" customHeight="1" s="25">
      <c r="A45" s="339" t="inlineStr">
        <is>
          <t>J</t>
        </is>
      </c>
      <c r="B45" s="1" t="inlineStr">
        <is>
          <t>Bonsolar de Levante S.L.U.</t>
        </is>
      </c>
      <c r="C45" s="1" t="inlineStr">
        <is>
          <t>CIF B97959845</t>
        </is>
      </c>
      <c r="D45" s="25" t="inlineStr">
        <is>
          <t>2008-043</t>
        </is>
      </c>
      <c r="E45" s="598" t="n">
        <v>0.1</v>
      </c>
      <c r="F45" s="601">
        <f>IF( OR(ISNUMBER(SEARCH("NIF",C45)),ISNUMBER(SEARCH("CIF",C45)),ISNUMBER(SEARCH("NIE",C45))), MID(C45,5,LEN(C45)), C45)</f>
        <v/>
      </c>
      <c r="G45" s="339" t="inlineStr">
        <is>
          <t>nif</t>
        </is>
      </c>
      <c r="H45" s="602">
        <f>F45</f>
        <v/>
      </c>
      <c r="I45" s="603">
        <f>VLOOKUP(B45,DATOS!B:D,3,FALSE)</f>
        <v/>
      </c>
      <c r="J45" s="603">
        <f>MID(VLOOKUP(B45,DATOS!B:E,4,FALSE),1,5)</f>
        <v/>
      </c>
      <c r="K45" s="603">
        <f>MID(VLOOKUP(B45,DATOS!B:E,4,FALSE),7,LEN(VLOOKUP(B45,DATOS!B:E,4,FALSE)))</f>
        <v/>
      </c>
      <c r="L45" s="603">
        <f>K45</f>
        <v/>
      </c>
      <c r="M45" s="606" t="inlineStr">
        <is>
          <t>R</t>
        </is>
      </c>
      <c r="N45" s="606" t="inlineStr">
        <is>
          <t>ESP</t>
        </is>
      </c>
      <c r="O45" s="619" t="n"/>
      <c r="P45" s="619" t="n"/>
      <c r="Q45" s="606" t="inlineStr">
        <is>
          <t>EUR</t>
        </is>
      </c>
      <c r="R45" s="640" t="inlineStr">
        <is>
          <t>01</t>
        </is>
      </c>
      <c r="S45" s="339" t="inlineStr">
        <is>
          <t>FALSE</t>
        </is>
      </c>
      <c r="T45" s="1" t="inlineStr">
        <is>
          <t xml:space="preserve"> </t>
        </is>
      </c>
      <c r="U45" s="608" t="inlineStr">
        <is>
          <t>https://www.facturantia.com/API/proformas_receptor.php</t>
        </is>
      </c>
      <c r="V45" s="609" t="n">
        <v>6666</v>
      </c>
      <c r="W45" s="610" t="inlineStr">
        <is>
          <t>facturacion@abalados.es</t>
        </is>
      </c>
      <c r="X45" s="609" t="n">
        <v>762687769</v>
      </c>
      <c r="Z45" s="625" t="n"/>
    </row>
    <row r="46" ht="15" customFormat="1" customHeight="1" s="25">
      <c r="A46" s="339" t="inlineStr">
        <is>
          <t>J</t>
        </is>
      </c>
      <c r="B46" s="1" t="inlineStr">
        <is>
          <t>Invercubiertas de Levante S.L.U.</t>
        </is>
      </c>
      <c r="C46" s="1" t="inlineStr">
        <is>
          <t>CIF B97959860</t>
        </is>
      </c>
      <c r="D46" s="25" t="inlineStr">
        <is>
          <t>2008-044</t>
        </is>
      </c>
      <c r="E46" s="598" t="n">
        <v>0.1</v>
      </c>
      <c r="F46" s="601">
        <f>IF( OR(ISNUMBER(SEARCH("NIF",C46)),ISNUMBER(SEARCH("CIF",C46)),ISNUMBER(SEARCH("NIE",C46))), MID(C46,5,LEN(C46)), C46)</f>
        <v/>
      </c>
      <c r="G46" s="339" t="inlineStr">
        <is>
          <t>nif</t>
        </is>
      </c>
      <c r="H46" s="602">
        <f>F46</f>
        <v/>
      </c>
      <c r="I46" s="603">
        <f>VLOOKUP(B46,DATOS!B:D,3,FALSE)</f>
        <v/>
      </c>
      <c r="J46" s="603">
        <f>MID(VLOOKUP(B46,DATOS!B:E,4,FALSE),1,5)</f>
        <v/>
      </c>
      <c r="K46" s="603">
        <f>MID(VLOOKUP(B46,DATOS!B:E,4,FALSE),7,LEN(VLOOKUP(B46,DATOS!B:E,4,FALSE)))</f>
        <v/>
      </c>
      <c r="L46" s="603">
        <f>K46</f>
        <v/>
      </c>
      <c r="M46" s="606" t="inlineStr">
        <is>
          <t>R</t>
        </is>
      </c>
      <c r="N46" s="606" t="inlineStr">
        <is>
          <t>ESP</t>
        </is>
      </c>
      <c r="O46" s="619" t="n"/>
      <c r="P46" s="619" t="n"/>
      <c r="Q46" s="606" t="inlineStr">
        <is>
          <t>EUR</t>
        </is>
      </c>
      <c r="R46" s="640" t="inlineStr">
        <is>
          <t>01</t>
        </is>
      </c>
      <c r="S46" s="339" t="inlineStr">
        <is>
          <t>FALSE</t>
        </is>
      </c>
      <c r="T46" s="1" t="inlineStr">
        <is>
          <t xml:space="preserve"> </t>
        </is>
      </c>
      <c r="U46" s="608" t="inlineStr">
        <is>
          <t>https://www.facturantia.com/API/proformas_receptor.php</t>
        </is>
      </c>
      <c r="V46" s="609" t="n">
        <v>6666</v>
      </c>
      <c r="W46" s="610" t="inlineStr">
        <is>
          <t>facturacion@abalados.es</t>
        </is>
      </c>
      <c r="X46" s="609" t="n">
        <v>762687769</v>
      </c>
      <c r="Z46" s="625" t="n"/>
    </row>
    <row r="47" ht="15" customFormat="1" customHeight="1" s="25">
      <c r="A47" s="339" t="inlineStr">
        <is>
          <t>J</t>
        </is>
      </c>
      <c r="B47" s="1" t="inlineStr">
        <is>
          <t>Watios Pico de Levante S.L.U.</t>
        </is>
      </c>
      <c r="C47" s="1" t="inlineStr">
        <is>
          <t>CIF B97959878</t>
        </is>
      </c>
      <c r="D47" s="25" t="inlineStr">
        <is>
          <t>2008-045</t>
        </is>
      </c>
      <c r="E47" s="598" t="n">
        <v>0.1</v>
      </c>
      <c r="F47" s="601">
        <f>IF( OR(ISNUMBER(SEARCH("NIF",C47)),ISNUMBER(SEARCH("CIF",C47)),ISNUMBER(SEARCH("NIE",C47))), MID(C47,5,LEN(C47)), C47)</f>
        <v/>
      </c>
      <c r="G47" s="339" t="inlineStr">
        <is>
          <t>nif</t>
        </is>
      </c>
      <c r="H47" s="602">
        <f>F47</f>
        <v/>
      </c>
      <c r="I47" s="603">
        <f>VLOOKUP(B47,DATOS!B:D,3,FALSE)</f>
        <v/>
      </c>
      <c r="J47" s="603">
        <f>MID(VLOOKUP(B47,DATOS!B:E,4,FALSE),1,5)</f>
        <v/>
      </c>
      <c r="K47" s="603">
        <f>MID(VLOOKUP(B47,DATOS!B:E,4,FALSE),7,LEN(VLOOKUP(B47,DATOS!B:E,4,FALSE)))</f>
        <v/>
      </c>
      <c r="L47" s="603">
        <f>K47</f>
        <v/>
      </c>
      <c r="M47" s="606" t="inlineStr">
        <is>
          <t>R</t>
        </is>
      </c>
      <c r="N47" s="606" t="inlineStr">
        <is>
          <t>ESP</t>
        </is>
      </c>
      <c r="O47" s="619" t="n"/>
      <c r="P47" s="619" t="n"/>
      <c r="Q47" s="606" t="inlineStr">
        <is>
          <t>EUR</t>
        </is>
      </c>
      <c r="R47" s="640" t="inlineStr">
        <is>
          <t>01</t>
        </is>
      </c>
      <c r="S47" s="339" t="inlineStr">
        <is>
          <t>FALSE</t>
        </is>
      </c>
      <c r="T47" s="1" t="inlineStr">
        <is>
          <t xml:space="preserve"> </t>
        </is>
      </c>
      <c r="U47" s="608" t="inlineStr">
        <is>
          <t>https://www.facturantia.com/API/proformas_receptor.php</t>
        </is>
      </c>
      <c r="V47" s="609" t="n">
        <v>6666</v>
      </c>
      <c r="W47" s="610" t="inlineStr">
        <is>
          <t>facturacion@abalados.es</t>
        </is>
      </c>
      <c r="X47" s="609" t="n">
        <v>762687769</v>
      </c>
      <c r="Z47" s="625" t="n"/>
    </row>
    <row r="48" ht="15" customFormat="1" customHeight="1" s="25">
      <c r="A48" s="636" t="inlineStr">
        <is>
          <t>J</t>
        </is>
      </c>
      <c r="B48" s="4" t="inlineStr">
        <is>
          <t>Asomadilla Solar 2007 S.L.U.</t>
        </is>
      </c>
      <c r="C48" s="4" t="inlineStr">
        <is>
          <t>CIF B97932743</t>
        </is>
      </c>
      <c r="D48" s="25" t="inlineStr">
        <is>
          <t>2008-046</t>
        </is>
      </c>
      <c r="E48" s="598" t="n">
        <v>0.1</v>
      </c>
      <c r="F48" s="601">
        <f>IF( OR(ISNUMBER(SEARCH("NIF",C48)),ISNUMBER(SEARCH("CIF",C48)),ISNUMBER(SEARCH("NIE",C48))), MID(C48,5,LEN(C48)), C48)</f>
        <v/>
      </c>
      <c r="G48" s="339" t="inlineStr">
        <is>
          <t>nif</t>
        </is>
      </c>
      <c r="H48" s="602">
        <f>F48</f>
        <v/>
      </c>
      <c r="I48" s="603">
        <f>VLOOKUP(B48,DATOS!B:D,3,FALSE)</f>
        <v/>
      </c>
      <c r="J48" s="603">
        <f>MID(VLOOKUP(B48,DATOS!B:E,4,FALSE),1,5)</f>
        <v/>
      </c>
      <c r="K48" s="603">
        <f>MID(VLOOKUP(B48,DATOS!B:E,4,FALSE),7,LEN(VLOOKUP(B48,DATOS!B:E,4,FALSE)))</f>
        <v/>
      </c>
      <c r="L48" s="603">
        <f>K48</f>
        <v/>
      </c>
      <c r="M48" s="606" t="inlineStr">
        <is>
          <t>R</t>
        </is>
      </c>
      <c r="N48" s="606" t="inlineStr">
        <is>
          <t>ESP</t>
        </is>
      </c>
      <c r="O48" s="619" t="inlineStr">
        <is>
          <t>ES93 2080 3509 1430 4011 0527</t>
        </is>
      </c>
      <c r="P48" s="619" t="n"/>
      <c r="Q48" s="606" t="inlineStr">
        <is>
          <t>EUR</t>
        </is>
      </c>
      <c r="R48" s="640" t="inlineStr">
        <is>
          <t>01</t>
        </is>
      </c>
      <c r="S48" s="339" t="inlineStr">
        <is>
          <t>FALSE</t>
        </is>
      </c>
      <c r="T48" s="1" t="inlineStr">
        <is>
          <t xml:space="preserve"> </t>
        </is>
      </c>
      <c r="U48" s="608" t="inlineStr">
        <is>
          <t>https://www.facturantia.com/API/proformas_receptor.php</t>
        </is>
      </c>
      <c r="V48" s="609" t="n">
        <v>6666</v>
      </c>
      <c r="W48" s="610" t="inlineStr">
        <is>
          <t>facturacion@abalados.es</t>
        </is>
      </c>
      <c r="X48" s="609" t="n">
        <v>762687769</v>
      </c>
      <c r="Z48" s="624" t="n">
        <v>45951</v>
      </c>
    </row>
    <row r="49" ht="15" customFormat="1" customHeight="1" s="25">
      <c r="A49" s="636" t="inlineStr">
        <is>
          <t>J</t>
        </is>
      </c>
      <c r="B49" s="4" t="inlineStr">
        <is>
          <t>Lugec Inversión Solar S.L.U.</t>
        </is>
      </c>
      <c r="C49" s="4" t="inlineStr">
        <is>
          <t>CIF B97932768</t>
        </is>
      </c>
      <c r="D49" s="25" t="inlineStr">
        <is>
          <t>2008-047</t>
        </is>
      </c>
      <c r="E49" s="598" t="n">
        <v>0.1</v>
      </c>
      <c r="F49" s="601">
        <f>IF( OR(ISNUMBER(SEARCH("NIF",C49)),ISNUMBER(SEARCH("CIF",C49)),ISNUMBER(SEARCH("NIE",C49))), MID(C49,5,LEN(C49)), C49)</f>
        <v/>
      </c>
      <c r="G49" s="339" t="inlineStr">
        <is>
          <t>nif</t>
        </is>
      </c>
      <c r="H49" s="602">
        <f>F49</f>
        <v/>
      </c>
      <c r="I49" s="603">
        <f>VLOOKUP(B49,DATOS!B:D,3,FALSE)</f>
        <v/>
      </c>
      <c r="J49" s="603">
        <f>MID(VLOOKUP(B49,DATOS!B:E,4,FALSE),1,5)</f>
        <v/>
      </c>
      <c r="K49" s="603">
        <f>MID(VLOOKUP(B49,DATOS!B:E,4,FALSE),7,LEN(VLOOKUP(B49,DATOS!B:E,4,FALSE)))</f>
        <v/>
      </c>
      <c r="L49" s="603">
        <f>K49</f>
        <v/>
      </c>
      <c r="M49" s="606" t="inlineStr">
        <is>
          <t>R</t>
        </is>
      </c>
      <c r="N49" s="606" t="inlineStr">
        <is>
          <t>ESP</t>
        </is>
      </c>
      <c r="O49" s="619" t="inlineStr">
        <is>
          <t>ES15 2080 3509 1330 4011 0816</t>
        </is>
      </c>
      <c r="P49" s="619" t="n"/>
      <c r="Q49" s="606" t="inlineStr">
        <is>
          <t>EUR</t>
        </is>
      </c>
      <c r="R49" s="640" t="inlineStr">
        <is>
          <t>01</t>
        </is>
      </c>
      <c r="S49" s="339" t="inlineStr">
        <is>
          <t>FALSE</t>
        </is>
      </c>
      <c r="T49" s="1" t="inlineStr">
        <is>
          <t xml:space="preserve"> </t>
        </is>
      </c>
      <c r="U49" s="608" t="inlineStr">
        <is>
          <t>https://www.facturantia.com/API/proformas_receptor.php</t>
        </is>
      </c>
      <c r="V49" s="609" t="n">
        <v>6666</v>
      </c>
      <c r="W49" s="610" t="inlineStr">
        <is>
          <t>facturacion@abalados.es</t>
        </is>
      </c>
      <c r="X49" s="609" t="n">
        <v>762687769</v>
      </c>
      <c r="Z49" s="624" t="n">
        <v>45951</v>
      </c>
    </row>
    <row r="50" ht="15" customFormat="1" customHeight="1" s="25">
      <c r="A50" s="636" t="inlineStr">
        <is>
          <t>J</t>
        </is>
      </c>
      <c r="B50" s="4" t="inlineStr">
        <is>
          <t>Dehesa Asomadilla Inversiones S.L.U.</t>
        </is>
      </c>
      <c r="C50" s="4" t="inlineStr">
        <is>
          <t>CIF B97996201</t>
        </is>
      </c>
      <c r="D50" s="25" t="inlineStr">
        <is>
          <t>2008-048</t>
        </is>
      </c>
      <c r="E50" s="598" t="n">
        <v>0.1</v>
      </c>
      <c r="F50" s="601">
        <f>IF( OR(ISNUMBER(SEARCH("NIF",C50)),ISNUMBER(SEARCH("CIF",C50)),ISNUMBER(SEARCH("NIE",C50))), MID(C50,5,LEN(C50)), C50)</f>
        <v/>
      </c>
      <c r="G50" s="339" t="inlineStr">
        <is>
          <t>nif</t>
        </is>
      </c>
      <c r="H50" s="602">
        <f>F50</f>
        <v/>
      </c>
      <c r="I50" s="603">
        <f>VLOOKUP(B50,DATOS!B:D,3,FALSE)</f>
        <v/>
      </c>
      <c r="J50" s="603">
        <f>MID(VLOOKUP(B50,DATOS!B:E,4,FALSE),1,5)</f>
        <v/>
      </c>
      <c r="K50" s="603">
        <f>MID(VLOOKUP(B50,DATOS!B:E,4,FALSE),7,LEN(VLOOKUP(B50,DATOS!B:E,4,FALSE)))</f>
        <v/>
      </c>
      <c r="L50" s="603">
        <f>K50</f>
        <v/>
      </c>
      <c r="M50" s="606" t="inlineStr">
        <is>
          <t>R</t>
        </is>
      </c>
      <c r="N50" s="606" t="inlineStr">
        <is>
          <t>ESP</t>
        </is>
      </c>
      <c r="O50" s="619" t="inlineStr">
        <is>
          <t>ES64 2100 8784 2113 0008 4271</t>
        </is>
      </c>
      <c r="P50" s="619" t="inlineStr">
        <is>
          <t>CAIXESBBXXX</t>
        </is>
      </c>
      <c r="Q50" s="606" t="inlineStr">
        <is>
          <t>EUR</t>
        </is>
      </c>
      <c r="R50" s="640" t="inlineStr">
        <is>
          <t>01</t>
        </is>
      </c>
      <c r="S50" s="339" t="inlineStr">
        <is>
          <t>FALSE</t>
        </is>
      </c>
      <c r="T50" s="1" t="inlineStr">
        <is>
          <t xml:space="preserve"> </t>
        </is>
      </c>
      <c r="U50" s="608" t="inlineStr">
        <is>
          <t>https://www.facturantia.com/API/proformas_receptor.php</t>
        </is>
      </c>
      <c r="V50" s="609" t="n">
        <v>6666</v>
      </c>
      <c r="W50" s="610" t="inlineStr">
        <is>
          <t>facturacion@abalados.es</t>
        </is>
      </c>
      <c r="X50" s="609" t="n">
        <v>762687769</v>
      </c>
      <c r="Z50" s="624" t="n">
        <v>45951</v>
      </c>
    </row>
    <row r="51" ht="15" customFormat="1" customHeight="1" s="25">
      <c r="A51" s="637" t="inlineStr">
        <is>
          <t>J</t>
        </is>
      </c>
      <c r="B51" s="4" t="inlineStr">
        <is>
          <t>aBalados S.L.U.</t>
        </is>
      </c>
      <c r="C51" s="4" t="inlineStr">
        <is>
          <t>CIF B91559971</t>
        </is>
      </c>
      <c r="D51" s="25" t="inlineStr">
        <is>
          <t>2008-049</t>
        </is>
      </c>
      <c r="E51" s="598" t="n">
        <v>0</v>
      </c>
      <c r="F51" s="601">
        <f>IF( OR(ISNUMBER(SEARCH("NIF",C51)),ISNUMBER(SEARCH("CIF",C51)),ISNUMBER(SEARCH("NIE",C51))), MID(C51,5,LEN(C51)), C51)</f>
        <v/>
      </c>
      <c r="G51" s="339" t="inlineStr">
        <is>
          <t>nif</t>
        </is>
      </c>
      <c r="H51" s="602">
        <f>F51</f>
        <v/>
      </c>
      <c r="I51" s="603">
        <f>VLOOKUP(B51,DATOS!B:D,3,FALSE)</f>
        <v/>
      </c>
      <c r="J51" s="603">
        <f>MID(VLOOKUP(B51,DATOS!B:E,4,FALSE),1,5)</f>
        <v/>
      </c>
      <c r="K51" s="603">
        <f>MID(VLOOKUP(B51,DATOS!B:E,4,FALSE),7,LEN(VLOOKUP(B51,DATOS!B:E,4,FALSE)))</f>
        <v/>
      </c>
      <c r="L51" s="603">
        <f>K51</f>
        <v/>
      </c>
      <c r="M51" s="606" t="inlineStr">
        <is>
          <t>R</t>
        </is>
      </c>
      <c r="N51" s="606" t="inlineStr">
        <is>
          <t>ESP</t>
        </is>
      </c>
      <c r="O51" s="619" t="inlineStr">
        <is>
          <t>ES80 2080 3509 1330 4009 6163</t>
        </is>
      </c>
      <c r="P51" s="619" t="inlineStr">
        <is>
          <t>CAGLESMMXXX</t>
        </is>
      </c>
      <c r="Q51" s="606" t="inlineStr">
        <is>
          <t>EUR</t>
        </is>
      </c>
      <c r="R51" s="640" t="inlineStr">
        <is>
          <t>01</t>
        </is>
      </c>
      <c r="S51" s="339" t="inlineStr">
        <is>
          <t>FALSE</t>
        </is>
      </c>
      <c r="T51" s="1" t="inlineStr">
        <is>
          <t xml:space="preserve"> </t>
        </is>
      </c>
      <c r="U51" s="608" t="inlineStr">
        <is>
          <t>https://www.facturantia.com/API/proformas_receptor.php</t>
        </is>
      </c>
      <c r="V51" s="609" t="n">
        <v>6666</v>
      </c>
      <c r="W51" s="610" t="inlineStr">
        <is>
          <t>facturacion@abalados.es</t>
        </is>
      </c>
      <c r="X51" s="609" t="n">
        <v>762687769</v>
      </c>
      <c r="Z51" s="624" t="n">
        <v>45951</v>
      </c>
    </row>
    <row r="52" ht="15" customFormat="1" customHeight="1" s="25">
      <c r="A52" s="637" t="inlineStr">
        <is>
          <t>J</t>
        </is>
      </c>
      <c r="B52" s="1" t="inlineStr">
        <is>
          <t>Locaba Solar S.L.U.</t>
        </is>
      </c>
      <c r="C52" s="1" t="inlineStr">
        <is>
          <t>CIF B85045607</t>
        </is>
      </c>
      <c r="D52" s="25" t="inlineStr">
        <is>
          <t>2009-001</t>
        </is>
      </c>
      <c r="E52" s="598" t="n">
        <v>0.5</v>
      </c>
      <c r="F52" s="601">
        <f>IF( OR(ISNUMBER(SEARCH("NIF",C52)),ISNUMBER(SEARCH("CIF",C52)),ISNUMBER(SEARCH("NIE",C52))), MID(C52,5,LEN(C52)), C52)</f>
        <v/>
      </c>
      <c r="G52" s="339" t="inlineStr">
        <is>
          <t>nif</t>
        </is>
      </c>
      <c r="H52" s="602">
        <f>F52</f>
        <v/>
      </c>
      <c r="I52" s="603">
        <f>VLOOKUP(B52,DATOS!B:D,3,FALSE)</f>
        <v/>
      </c>
      <c r="J52" s="603">
        <f>MID(VLOOKUP(B52,DATOS!B:E,4,FALSE),1,5)</f>
        <v/>
      </c>
      <c r="K52" s="603">
        <f>MID(VLOOKUP(B52,DATOS!B:E,4,FALSE),7,LEN(VLOOKUP(B52,DATOS!B:E,4,FALSE)))</f>
        <v/>
      </c>
      <c r="L52" s="603">
        <f>K52</f>
        <v/>
      </c>
      <c r="M52" s="606" t="inlineStr">
        <is>
          <t>R</t>
        </is>
      </c>
      <c r="N52" s="606" t="inlineStr">
        <is>
          <t>ESP</t>
        </is>
      </c>
      <c r="O52" s="619" t="inlineStr">
        <is>
          <t>ES79 2100 1892 1802 0013 9124</t>
        </is>
      </c>
      <c r="P52" s="619" t="inlineStr">
        <is>
          <t>CAIXESBBXXX</t>
        </is>
      </c>
      <c r="Q52" s="606" t="inlineStr">
        <is>
          <t>EUR</t>
        </is>
      </c>
      <c r="R52" s="640" t="inlineStr">
        <is>
          <t>01</t>
        </is>
      </c>
      <c r="S52" s="339" t="inlineStr">
        <is>
          <t>FALSE</t>
        </is>
      </c>
      <c r="T52" s="1" t="inlineStr">
        <is>
          <t xml:space="preserve"> </t>
        </is>
      </c>
      <c r="U52" s="608" t="inlineStr">
        <is>
          <t>https://www.facturantia.com/API/proformas_receptor.php</t>
        </is>
      </c>
      <c r="V52" s="609" t="n">
        <v>6666</v>
      </c>
      <c r="W52" s="610" t="inlineStr">
        <is>
          <t>facturacion@abalados.es</t>
        </is>
      </c>
      <c r="X52" s="609" t="n">
        <v>762687769</v>
      </c>
      <c r="Z52" s="624" t="n">
        <v>45951</v>
      </c>
    </row>
    <row r="53" ht="15" customFormat="1" customHeight="1" s="25">
      <c r="A53" s="339" t="inlineStr">
        <is>
          <t>J</t>
        </is>
      </c>
      <c r="B53" s="1" t="inlineStr">
        <is>
          <t>WOC Fotovoltaica España Proyecto Sollana S.L.U.</t>
        </is>
      </c>
      <c r="C53" s="1" t="inlineStr">
        <is>
          <t>CIF B91849190</t>
        </is>
      </c>
      <c r="D53" s="25" t="inlineStr">
        <is>
          <t>2009-002</t>
        </is>
      </c>
      <c r="E53" s="598" t="n">
        <v>0.5</v>
      </c>
      <c r="F53" s="601">
        <f>IF( OR(ISNUMBER(SEARCH("NIF",C53)),ISNUMBER(SEARCH("CIF",C53)),ISNUMBER(SEARCH("NIE",C53))), MID(C53,5,LEN(C53)), C53)</f>
        <v/>
      </c>
      <c r="G53" s="339" t="inlineStr">
        <is>
          <t>nif</t>
        </is>
      </c>
      <c r="H53" s="602">
        <f>F53</f>
        <v/>
      </c>
      <c r="I53" s="603">
        <f>VLOOKUP(B53,DATOS!B:D,3,FALSE)</f>
        <v/>
      </c>
      <c r="J53" s="603">
        <f>MID(VLOOKUP(B53,DATOS!B:E,4,FALSE),1,5)</f>
        <v/>
      </c>
      <c r="K53" s="603">
        <f>MID(VLOOKUP(B53,DATOS!B:E,4,FALSE),7,LEN(VLOOKUP(B53,DATOS!B:E,4,FALSE)))</f>
        <v/>
      </c>
      <c r="L53" s="603">
        <f>K53</f>
        <v/>
      </c>
      <c r="M53" s="606" t="inlineStr">
        <is>
          <t>R</t>
        </is>
      </c>
      <c r="N53" s="606" t="inlineStr">
        <is>
          <t>ESP</t>
        </is>
      </c>
      <c r="O53" s="619" t="n"/>
      <c r="P53" s="619" t="n"/>
      <c r="Q53" s="606" t="inlineStr">
        <is>
          <t>EUR</t>
        </is>
      </c>
      <c r="R53" s="640" t="inlineStr">
        <is>
          <t>01</t>
        </is>
      </c>
      <c r="S53" s="339" t="inlineStr">
        <is>
          <t>FALSE</t>
        </is>
      </c>
      <c r="T53" s="1" t="inlineStr">
        <is>
          <t xml:space="preserve"> </t>
        </is>
      </c>
      <c r="U53" s="608" t="inlineStr">
        <is>
          <t>https://www.facturantia.com/API/proformas_receptor.php</t>
        </is>
      </c>
      <c r="V53" s="609" t="n">
        <v>6666</v>
      </c>
      <c r="W53" s="610" t="inlineStr">
        <is>
          <t>facturacion@abalados.es</t>
        </is>
      </c>
      <c r="X53" s="609" t="n">
        <v>762687769</v>
      </c>
      <c r="Z53" s="625" t="n"/>
    </row>
    <row r="54" ht="15" customFormat="1" customHeight="1" s="25">
      <c r="A54" s="339" t="inlineStr">
        <is>
          <t>J</t>
        </is>
      </c>
      <c r="B54" s="1" t="inlineStr">
        <is>
          <t>WOC Fotovoltaica España Proyecto Coreses S.L. S. Com.</t>
        </is>
      </c>
      <c r="C54" s="1" t="inlineStr">
        <is>
          <t>CIF D65098626</t>
        </is>
      </c>
      <c r="D54" s="25" t="inlineStr">
        <is>
          <t>2009-003</t>
        </is>
      </c>
      <c r="E54" s="598" t="n">
        <v>0.5</v>
      </c>
      <c r="F54" s="601">
        <f>IF( OR(ISNUMBER(SEARCH("NIF",C54)),ISNUMBER(SEARCH("CIF",C54)),ISNUMBER(SEARCH("NIE",C54))), MID(C54,5,LEN(C54)), C54)</f>
        <v/>
      </c>
      <c r="G54" s="339" t="inlineStr">
        <is>
          <t>nif</t>
        </is>
      </c>
      <c r="H54" s="602">
        <f>F54</f>
        <v/>
      </c>
      <c r="I54" s="603">
        <f>VLOOKUP(B54,DATOS!B:D,3,FALSE)</f>
        <v/>
      </c>
      <c r="J54" s="603">
        <f>MID(VLOOKUP(B54,DATOS!B:E,4,FALSE),1,5)</f>
        <v/>
      </c>
      <c r="K54" s="603">
        <f>MID(VLOOKUP(B54,DATOS!B:E,4,FALSE),7,LEN(VLOOKUP(B54,DATOS!B:E,4,FALSE)))</f>
        <v/>
      </c>
      <c r="L54" s="603">
        <f>K54</f>
        <v/>
      </c>
      <c r="M54" s="606" t="inlineStr">
        <is>
          <t>R</t>
        </is>
      </c>
      <c r="N54" s="606" t="inlineStr">
        <is>
          <t>ESP</t>
        </is>
      </c>
      <c r="O54" s="619" t="n"/>
      <c r="P54" s="619" t="n"/>
      <c r="Q54" s="606" t="inlineStr">
        <is>
          <t>EUR</t>
        </is>
      </c>
      <c r="R54" s="640" t="inlineStr">
        <is>
          <t>01</t>
        </is>
      </c>
      <c r="S54" s="339" t="inlineStr">
        <is>
          <t>FALSE</t>
        </is>
      </c>
      <c r="T54" s="1" t="inlineStr">
        <is>
          <t xml:space="preserve"> </t>
        </is>
      </c>
      <c r="U54" s="608" t="inlineStr">
        <is>
          <t>https://www.facturantia.com/API/proformas_receptor.php</t>
        </is>
      </c>
      <c r="V54" s="609" t="n">
        <v>6666</v>
      </c>
      <c r="W54" s="610" t="inlineStr">
        <is>
          <t>facturacion@abalados.es</t>
        </is>
      </c>
      <c r="X54" s="609" t="n">
        <v>762687769</v>
      </c>
      <c r="Z54" s="625" t="n"/>
    </row>
    <row r="55" ht="15" customFormat="1" customHeight="1" s="25">
      <c r="A55" s="339" t="inlineStr">
        <is>
          <t>J</t>
        </is>
      </c>
      <c r="B55" s="1" t="inlineStr">
        <is>
          <t>WFE 02 S.L., S.COM</t>
        </is>
      </c>
      <c r="C55" s="1" t="inlineStr">
        <is>
          <t>CIF D91845669</t>
        </is>
      </c>
      <c r="D55" s="25" t="inlineStr">
        <is>
          <t>2009-004</t>
        </is>
      </c>
      <c r="E55" s="598" t="n">
        <v>0.5</v>
      </c>
      <c r="F55" s="601">
        <f>IF( OR(ISNUMBER(SEARCH("NIF",C55)),ISNUMBER(SEARCH("CIF",C55)),ISNUMBER(SEARCH("NIE",C55))), MID(C55,5,LEN(C55)), C55)</f>
        <v/>
      </c>
      <c r="G55" s="339" t="inlineStr">
        <is>
          <t>nif</t>
        </is>
      </c>
      <c r="H55" s="602">
        <f>F55</f>
        <v/>
      </c>
      <c r="I55" s="603">
        <f>VLOOKUP(B55,DATOS!B:D,3,FALSE)</f>
        <v/>
      </c>
      <c r="J55" s="603">
        <f>MID(VLOOKUP(B55,DATOS!B:E,4,FALSE),1,5)</f>
        <v/>
      </c>
      <c r="K55" s="603">
        <f>MID(VLOOKUP(B55,DATOS!B:E,4,FALSE),7,LEN(VLOOKUP(B55,DATOS!B:E,4,FALSE)))</f>
        <v/>
      </c>
      <c r="L55" s="603">
        <f>K55</f>
        <v/>
      </c>
      <c r="M55" s="606" t="inlineStr">
        <is>
          <t>R</t>
        </is>
      </c>
      <c r="N55" s="606" t="inlineStr">
        <is>
          <t>ESP</t>
        </is>
      </c>
      <c r="O55" s="619" t="n"/>
      <c r="P55" s="619" t="n"/>
      <c r="Q55" s="606" t="inlineStr">
        <is>
          <t>EUR</t>
        </is>
      </c>
      <c r="R55" s="640" t="inlineStr">
        <is>
          <t>01</t>
        </is>
      </c>
      <c r="S55" s="339" t="inlineStr">
        <is>
          <t>FALSE</t>
        </is>
      </c>
      <c r="T55" s="1" t="inlineStr">
        <is>
          <t xml:space="preserve"> </t>
        </is>
      </c>
      <c r="U55" s="608" t="inlineStr">
        <is>
          <t>https://www.facturantia.com/API/proformas_receptor.php</t>
        </is>
      </c>
      <c r="V55" s="609" t="n">
        <v>6666</v>
      </c>
      <c r="W55" s="610" t="inlineStr">
        <is>
          <t>facturacion@abalados.es</t>
        </is>
      </c>
      <c r="X55" s="609" t="n">
        <v>762687769</v>
      </c>
      <c r="Z55" s="625" t="n"/>
    </row>
    <row r="56" ht="15" customFormat="1" customHeight="1" s="25">
      <c r="A56" s="339" t="inlineStr">
        <is>
          <t>J</t>
        </is>
      </c>
      <c r="B56" s="1" t="inlineStr">
        <is>
          <t>WOC Fotovoltaica España 2.1 S.L.U.</t>
        </is>
      </c>
      <c r="C56" s="1" t="inlineStr">
        <is>
          <t>CIF B91845560</t>
        </is>
      </c>
      <c r="D56" s="25" t="inlineStr">
        <is>
          <t>2009-005</t>
        </is>
      </c>
      <c r="E56" s="598" t="n">
        <v>0.5</v>
      </c>
      <c r="F56" s="601">
        <f>IF( OR(ISNUMBER(SEARCH("NIF",C56)),ISNUMBER(SEARCH("CIF",C56)),ISNUMBER(SEARCH("NIE",C56))), MID(C56,5,LEN(C56)), C56)</f>
        <v/>
      </c>
      <c r="G56" s="339" t="inlineStr">
        <is>
          <t>nif</t>
        </is>
      </c>
      <c r="H56" s="602">
        <f>F56</f>
        <v/>
      </c>
      <c r="I56" s="603">
        <f>VLOOKUP(B56,DATOS!B:D,3,FALSE)</f>
        <v/>
      </c>
      <c r="J56" s="603">
        <f>MID(VLOOKUP(B56,DATOS!B:E,4,FALSE),1,5)</f>
        <v/>
      </c>
      <c r="K56" s="603">
        <f>MID(VLOOKUP(B56,DATOS!B:E,4,FALSE),7,LEN(VLOOKUP(B56,DATOS!B:E,4,FALSE)))</f>
        <v/>
      </c>
      <c r="L56" s="603">
        <f>K56</f>
        <v/>
      </c>
      <c r="M56" s="606" t="inlineStr">
        <is>
          <t>R</t>
        </is>
      </c>
      <c r="N56" s="606" t="inlineStr">
        <is>
          <t>ESP</t>
        </is>
      </c>
      <c r="O56" s="619" t="n"/>
      <c r="P56" s="619" t="n"/>
      <c r="Q56" s="606" t="inlineStr">
        <is>
          <t>EUR</t>
        </is>
      </c>
      <c r="R56" s="640" t="inlineStr">
        <is>
          <t>01</t>
        </is>
      </c>
      <c r="S56" s="339" t="inlineStr">
        <is>
          <t>FALSE</t>
        </is>
      </c>
      <c r="T56" s="1" t="inlineStr">
        <is>
          <t xml:space="preserve"> </t>
        </is>
      </c>
      <c r="U56" s="608" t="inlineStr">
        <is>
          <t>https://www.facturantia.com/API/proformas_receptor.php</t>
        </is>
      </c>
      <c r="V56" s="609" t="n">
        <v>6666</v>
      </c>
      <c r="W56" s="610" t="inlineStr">
        <is>
          <t>facturacion@abalados.es</t>
        </is>
      </c>
      <c r="X56" s="609" t="n">
        <v>762687769</v>
      </c>
      <c r="Z56" s="625" t="n"/>
    </row>
    <row r="57" ht="15" customFormat="1" customHeight="1" s="25">
      <c r="A57" s="339" t="inlineStr">
        <is>
          <t>J</t>
        </is>
      </c>
      <c r="B57" s="1" t="inlineStr">
        <is>
          <t>WOC Fotovoltaica España 2.2 S.L. S. Com.</t>
        </is>
      </c>
      <c r="C57" s="1" t="inlineStr">
        <is>
          <t>CIF D91879916</t>
        </is>
      </c>
      <c r="D57" s="25" t="inlineStr">
        <is>
          <t>2009-006</t>
        </is>
      </c>
      <c r="E57" s="598" t="n">
        <v>0.5</v>
      </c>
      <c r="F57" s="601">
        <f>IF( OR(ISNUMBER(SEARCH("NIF",C57)),ISNUMBER(SEARCH("CIF",C57)),ISNUMBER(SEARCH("NIE",C57))), MID(C57,5,LEN(C57)), C57)</f>
        <v/>
      </c>
      <c r="G57" s="339" t="inlineStr">
        <is>
          <t>nif</t>
        </is>
      </c>
      <c r="H57" s="602">
        <f>F57</f>
        <v/>
      </c>
      <c r="I57" s="603">
        <f>VLOOKUP(B57,DATOS!B:D,3,FALSE)</f>
        <v/>
      </c>
      <c r="J57" s="603">
        <f>MID(VLOOKUP(B57,DATOS!B:E,4,FALSE),1,5)</f>
        <v/>
      </c>
      <c r="K57" s="603">
        <f>MID(VLOOKUP(B57,DATOS!B:E,4,FALSE),7,LEN(VLOOKUP(B57,DATOS!B:E,4,FALSE)))</f>
        <v/>
      </c>
      <c r="L57" s="603">
        <f>K57</f>
        <v/>
      </c>
      <c r="M57" s="606" t="inlineStr">
        <is>
          <t>R</t>
        </is>
      </c>
      <c r="N57" s="606" t="inlineStr">
        <is>
          <t>ESP</t>
        </is>
      </c>
      <c r="O57" s="619" t="n"/>
      <c r="P57" s="619" t="n"/>
      <c r="Q57" s="606" t="inlineStr">
        <is>
          <t>EUR</t>
        </is>
      </c>
      <c r="R57" s="640" t="inlineStr">
        <is>
          <t>01</t>
        </is>
      </c>
      <c r="S57" s="339" t="inlineStr">
        <is>
          <t>FALSE</t>
        </is>
      </c>
      <c r="T57" s="1" t="inlineStr">
        <is>
          <t xml:space="preserve"> </t>
        </is>
      </c>
      <c r="U57" s="608" t="inlineStr">
        <is>
          <t>https://www.facturantia.com/API/proformas_receptor.php</t>
        </is>
      </c>
      <c r="V57" s="609" t="n">
        <v>6666</v>
      </c>
      <c r="W57" s="610" t="inlineStr">
        <is>
          <t>facturacion@abalados.es</t>
        </is>
      </c>
      <c r="X57" s="609" t="n">
        <v>762687769</v>
      </c>
      <c r="Z57" s="625" t="n"/>
    </row>
    <row r="58" ht="15" customFormat="1" customHeight="1" s="25">
      <c r="A58" s="339" t="inlineStr">
        <is>
          <t>J</t>
        </is>
      </c>
      <c r="B58" s="1" t="inlineStr">
        <is>
          <t>WOC Fotovoltaica España 2.2 S.L.U.</t>
        </is>
      </c>
      <c r="C58" s="1" t="inlineStr">
        <is>
          <t>CIF B91878892</t>
        </is>
      </c>
      <c r="D58" s="25" t="inlineStr">
        <is>
          <t>2009-007</t>
        </is>
      </c>
      <c r="E58" s="598" t="n">
        <v>0.5</v>
      </c>
      <c r="F58" s="601">
        <f>IF( OR(ISNUMBER(SEARCH("NIF",C58)),ISNUMBER(SEARCH("CIF",C58)),ISNUMBER(SEARCH("NIE",C58))), MID(C58,5,LEN(C58)), C58)</f>
        <v/>
      </c>
      <c r="G58" s="339" t="inlineStr">
        <is>
          <t>nif</t>
        </is>
      </c>
      <c r="H58" s="602">
        <f>F58</f>
        <v/>
      </c>
      <c r="I58" s="603">
        <f>VLOOKUP(B58,DATOS!B:D,3,FALSE)</f>
        <v/>
      </c>
      <c r="J58" s="603">
        <f>MID(VLOOKUP(B58,DATOS!B:E,4,FALSE),1,5)</f>
        <v/>
      </c>
      <c r="K58" s="603">
        <f>MID(VLOOKUP(B58,DATOS!B:E,4,FALSE),7,LEN(VLOOKUP(B58,DATOS!B:E,4,FALSE)))</f>
        <v/>
      </c>
      <c r="L58" s="603">
        <f>K58</f>
        <v/>
      </c>
      <c r="M58" s="606" t="inlineStr">
        <is>
          <t>R</t>
        </is>
      </c>
      <c r="N58" s="606" t="inlineStr">
        <is>
          <t>ESP</t>
        </is>
      </c>
      <c r="O58" s="619" t="n"/>
      <c r="P58" s="619" t="n"/>
      <c r="Q58" s="606" t="inlineStr">
        <is>
          <t>EUR</t>
        </is>
      </c>
      <c r="R58" s="640" t="inlineStr">
        <is>
          <t>01</t>
        </is>
      </c>
      <c r="S58" s="339" t="inlineStr">
        <is>
          <t>FALSE</t>
        </is>
      </c>
      <c r="T58" s="1" t="inlineStr">
        <is>
          <t xml:space="preserve"> </t>
        </is>
      </c>
      <c r="U58" s="608" t="inlineStr">
        <is>
          <t>https://www.facturantia.com/API/proformas_receptor.php</t>
        </is>
      </c>
      <c r="V58" s="609" t="n">
        <v>6666</v>
      </c>
      <c r="W58" s="610" t="inlineStr">
        <is>
          <t>facturacion@abalados.es</t>
        </is>
      </c>
      <c r="X58" s="609" t="n">
        <v>762687769</v>
      </c>
      <c r="Z58" s="625" t="n"/>
    </row>
    <row r="59" ht="15" customFormat="1" customHeight="1" s="25">
      <c r="A59" s="339" t="inlineStr">
        <is>
          <t>J</t>
        </is>
      </c>
      <c r="B59" s="1" t="inlineStr">
        <is>
          <t>WOC Fotovoltaica España 2.3 S.L. S. Com.</t>
        </is>
      </c>
      <c r="C59" s="1" t="inlineStr">
        <is>
          <t>CIF D91879924</t>
        </is>
      </c>
      <c r="D59" s="25" t="inlineStr">
        <is>
          <t>2009-008</t>
        </is>
      </c>
      <c r="E59" s="598" t="n">
        <v>0.5</v>
      </c>
      <c r="F59" s="601">
        <f>IF( OR(ISNUMBER(SEARCH("NIF",C59)),ISNUMBER(SEARCH("CIF",C59)),ISNUMBER(SEARCH("NIE",C59))), MID(C59,5,LEN(C59)), C59)</f>
        <v/>
      </c>
      <c r="G59" s="339" t="inlineStr">
        <is>
          <t>nif</t>
        </is>
      </c>
      <c r="H59" s="602">
        <f>F59</f>
        <v/>
      </c>
      <c r="I59" s="603">
        <f>VLOOKUP(B59,DATOS!B:D,3,FALSE)</f>
        <v/>
      </c>
      <c r="J59" s="603">
        <f>MID(VLOOKUP(B59,DATOS!B:E,4,FALSE),1,5)</f>
        <v/>
      </c>
      <c r="K59" s="603">
        <f>MID(VLOOKUP(B59,DATOS!B:E,4,FALSE),7,LEN(VLOOKUP(B59,DATOS!B:E,4,FALSE)))</f>
        <v/>
      </c>
      <c r="L59" s="603">
        <f>K59</f>
        <v/>
      </c>
      <c r="M59" s="606" t="inlineStr">
        <is>
          <t>R</t>
        </is>
      </c>
      <c r="N59" s="606" t="inlineStr">
        <is>
          <t>ESP</t>
        </is>
      </c>
      <c r="O59" s="619" t="n"/>
      <c r="P59" s="619" t="n"/>
      <c r="Q59" s="606" t="inlineStr">
        <is>
          <t>EUR</t>
        </is>
      </c>
      <c r="R59" s="640" t="inlineStr">
        <is>
          <t>01</t>
        </is>
      </c>
      <c r="S59" s="339" t="inlineStr">
        <is>
          <t>FALSE</t>
        </is>
      </c>
      <c r="T59" s="1" t="inlineStr">
        <is>
          <t xml:space="preserve"> </t>
        </is>
      </c>
      <c r="U59" s="608" t="inlineStr">
        <is>
          <t>https://www.facturantia.com/API/proformas_receptor.php</t>
        </is>
      </c>
      <c r="V59" s="609" t="n">
        <v>6666</v>
      </c>
      <c r="W59" s="610" t="inlineStr">
        <is>
          <t>facturacion@abalados.es</t>
        </is>
      </c>
      <c r="X59" s="609" t="n">
        <v>762687769</v>
      </c>
      <c r="Z59" s="625" t="n"/>
    </row>
    <row r="60" ht="15" customFormat="1" customHeight="1" s="25">
      <c r="A60" s="339" t="inlineStr">
        <is>
          <t>J</t>
        </is>
      </c>
      <c r="B60" s="1" t="inlineStr">
        <is>
          <t>WOC Fotovoltaica España 2.3 S.L.U.</t>
        </is>
      </c>
      <c r="C60" s="1" t="inlineStr">
        <is>
          <t>CIF B91878900</t>
        </is>
      </c>
      <c r="D60" s="25" t="inlineStr">
        <is>
          <t>2009-009</t>
        </is>
      </c>
      <c r="E60" s="598" t="n">
        <v>0.5</v>
      </c>
      <c r="F60" s="601">
        <f>IF( OR(ISNUMBER(SEARCH("NIF",C60)),ISNUMBER(SEARCH("CIF",C60)),ISNUMBER(SEARCH("NIE",C60))), MID(C60,5,LEN(C60)), C60)</f>
        <v/>
      </c>
      <c r="G60" s="339" t="inlineStr">
        <is>
          <t>nif</t>
        </is>
      </c>
      <c r="H60" s="602">
        <f>F60</f>
        <v/>
      </c>
      <c r="I60" s="603">
        <f>VLOOKUP(B60,DATOS!B:D,3,FALSE)</f>
        <v/>
      </c>
      <c r="J60" s="603">
        <f>MID(VLOOKUP(B60,DATOS!B:E,4,FALSE),1,5)</f>
        <v/>
      </c>
      <c r="K60" s="603">
        <f>MID(VLOOKUP(B60,DATOS!B:E,4,FALSE),7,LEN(VLOOKUP(B60,DATOS!B:E,4,FALSE)))</f>
        <v/>
      </c>
      <c r="L60" s="603">
        <f>K60</f>
        <v/>
      </c>
      <c r="M60" s="606" t="inlineStr">
        <is>
          <t>R</t>
        </is>
      </c>
      <c r="N60" s="606" t="inlineStr">
        <is>
          <t>ESP</t>
        </is>
      </c>
      <c r="O60" s="619" t="n"/>
      <c r="P60" s="619" t="n"/>
      <c r="Q60" s="606" t="inlineStr">
        <is>
          <t>EUR</t>
        </is>
      </c>
      <c r="R60" s="640" t="inlineStr">
        <is>
          <t>01</t>
        </is>
      </c>
      <c r="S60" s="339" t="inlineStr">
        <is>
          <t>FALSE</t>
        </is>
      </c>
      <c r="T60" s="1" t="inlineStr">
        <is>
          <t xml:space="preserve"> </t>
        </is>
      </c>
      <c r="U60" s="608" t="inlineStr">
        <is>
          <t>https://www.facturantia.com/API/proformas_receptor.php</t>
        </is>
      </c>
      <c r="V60" s="609" t="n">
        <v>6666</v>
      </c>
      <c r="W60" s="610" t="inlineStr">
        <is>
          <t>facturacion@abalados.es</t>
        </is>
      </c>
      <c r="X60" s="609" t="n">
        <v>762687769</v>
      </c>
      <c r="Z60" s="625" t="n"/>
    </row>
    <row r="61" ht="15" customFormat="1" customHeight="1" s="25">
      <c r="A61" s="339" t="inlineStr">
        <is>
          <t>J</t>
        </is>
      </c>
      <c r="B61" s="1" t="inlineStr">
        <is>
          <t>WOC Fotovoltaica España 2.4 S.L. S. Com.</t>
        </is>
      </c>
      <c r="C61" s="1" t="inlineStr">
        <is>
          <t>CIF D91882142</t>
        </is>
      </c>
      <c r="D61" s="25" t="inlineStr">
        <is>
          <t>2009-010</t>
        </is>
      </c>
      <c r="E61" s="598" t="n">
        <v>0.5</v>
      </c>
      <c r="F61" s="601">
        <f>IF( OR(ISNUMBER(SEARCH("NIF",C61)),ISNUMBER(SEARCH("CIF",C61)),ISNUMBER(SEARCH("NIE",C61))), MID(C61,5,LEN(C61)), C61)</f>
        <v/>
      </c>
      <c r="G61" s="339" t="inlineStr">
        <is>
          <t>nif</t>
        </is>
      </c>
      <c r="H61" s="602">
        <f>F61</f>
        <v/>
      </c>
      <c r="I61" s="603">
        <f>VLOOKUP(B61,DATOS!B:D,3,FALSE)</f>
        <v/>
      </c>
      <c r="J61" s="603">
        <f>MID(VLOOKUP(B61,DATOS!B:E,4,FALSE),1,5)</f>
        <v/>
      </c>
      <c r="K61" s="603">
        <f>MID(VLOOKUP(B61,DATOS!B:E,4,FALSE),7,LEN(VLOOKUP(B61,DATOS!B:E,4,FALSE)))</f>
        <v/>
      </c>
      <c r="L61" s="603">
        <f>K61</f>
        <v/>
      </c>
      <c r="M61" s="606" t="inlineStr">
        <is>
          <t>R</t>
        </is>
      </c>
      <c r="N61" s="606" t="inlineStr">
        <is>
          <t>ESP</t>
        </is>
      </c>
      <c r="O61" s="619" t="n"/>
      <c r="P61" s="619" t="n"/>
      <c r="Q61" s="606" t="inlineStr">
        <is>
          <t>EUR</t>
        </is>
      </c>
      <c r="R61" s="640" t="inlineStr">
        <is>
          <t>01</t>
        </is>
      </c>
      <c r="S61" s="339" t="inlineStr">
        <is>
          <t>FALSE</t>
        </is>
      </c>
      <c r="T61" s="1" t="inlineStr">
        <is>
          <t xml:space="preserve"> </t>
        </is>
      </c>
      <c r="U61" s="608" t="inlineStr">
        <is>
          <t>https://www.facturantia.com/API/proformas_receptor.php</t>
        </is>
      </c>
      <c r="V61" s="609" t="n">
        <v>6666</v>
      </c>
      <c r="W61" s="610" t="inlineStr">
        <is>
          <t>facturacion@abalados.es</t>
        </is>
      </c>
      <c r="X61" s="609" t="n">
        <v>762687769</v>
      </c>
      <c r="Z61" s="625" t="n"/>
    </row>
    <row r="62" ht="15" customFormat="1" customHeight="1" s="25">
      <c r="A62" s="339" t="inlineStr">
        <is>
          <t>J</t>
        </is>
      </c>
      <c r="B62" s="1" t="inlineStr">
        <is>
          <t>WOC Fotovoltaica España 2.4 S.L.U.</t>
        </is>
      </c>
      <c r="C62" s="1" t="inlineStr">
        <is>
          <t>CIF B91881870</t>
        </is>
      </c>
      <c r="D62" s="25" t="inlineStr">
        <is>
          <t>2009-011</t>
        </is>
      </c>
      <c r="E62" s="598" t="n">
        <v>0.5</v>
      </c>
      <c r="F62" s="601">
        <f>IF( OR(ISNUMBER(SEARCH("NIF",C62)),ISNUMBER(SEARCH("CIF",C62)),ISNUMBER(SEARCH("NIE",C62))), MID(C62,5,LEN(C62)), C62)</f>
        <v/>
      </c>
      <c r="G62" s="339" t="inlineStr">
        <is>
          <t>nif</t>
        </is>
      </c>
      <c r="H62" s="602">
        <f>F62</f>
        <v/>
      </c>
      <c r="I62" s="603">
        <f>VLOOKUP(B62,DATOS!B:D,3,FALSE)</f>
        <v/>
      </c>
      <c r="J62" s="603">
        <f>MID(VLOOKUP(B62,DATOS!B:E,4,FALSE),1,5)</f>
        <v/>
      </c>
      <c r="K62" s="603">
        <f>MID(VLOOKUP(B62,DATOS!B:E,4,FALSE),7,LEN(VLOOKUP(B62,DATOS!B:E,4,FALSE)))</f>
        <v/>
      </c>
      <c r="L62" s="603">
        <f>K62</f>
        <v/>
      </c>
      <c r="M62" s="606" t="inlineStr">
        <is>
          <t>R</t>
        </is>
      </c>
      <c r="N62" s="606" t="inlineStr">
        <is>
          <t>ESP</t>
        </is>
      </c>
      <c r="O62" s="619" t="n"/>
      <c r="P62" s="619" t="n"/>
      <c r="Q62" s="606" t="inlineStr">
        <is>
          <t>EUR</t>
        </is>
      </c>
      <c r="R62" s="640" t="inlineStr">
        <is>
          <t>01</t>
        </is>
      </c>
      <c r="S62" s="339" t="inlineStr">
        <is>
          <t>FALSE</t>
        </is>
      </c>
      <c r="T62" s="1" t="inlineStr">
        <is>
          <t xml:space="preserve"> </t>
        </is>
      </c>
      <c r="U62" s="608" t="inlineStr">
        <is>
          <t>https://www.facturantia.com/API/proformas_receptor.php</t>
        </is>
      </c>
      <c r="V62" s="609" t="n">
        <v>6666</v>
      </c>
      <c r="W62" s="610" t="inlineStr">
        <is>
          <t>facturacion@abalados.es</t>
        </is>
      </c>
      <c r="X62" s="609" t="n">
        <v>762687769</v>
      </c>
      <c r="Z62" s="625" t="n"/>
    </row>
    <row r="63" ht="15" customFormat="1" customHeight="1" s="25">
      <c r="A63" s="339" t="inlineStr">
        <is>
          <t>J</t>
        </is>
      </c>
      <c r="B63" s="1" t="inlineStr">
        <is>
          <t>WOC Fotovoltaica España 2.5 S.L. S. Com.</t>
        </is>
      </c>
      <c r="C63" s="1" t="inlineStr">
        <is>
          <t>CIF D91882167</t>
        </is>
      </c>
      <c r="D63" s="25" t="inlineStr">
        <is>
          <t>2009-012</t>
        </is>
      </c>
      <c r="E63" s="598" t="n">
        <v>0.5</v>
      </c>
      <c r="F63" s="601">
        <f>IF( OR(ISNUMBER(SEARCH("NIF",C63)),ISNUMBER(SEARCH("CIF",C63)),ISNUMBER(SEARCH("NIE",C63))), MID(C63,5,LEN(C63)), C63)</f>
        <v/>
      </c>
      <c r="G63" s="339" t="inlineStr">
        <is>
          <t>nif</t>
        </is>
      </c>
      <c r="H63" s="602">
        <f>F63</f>
        <v/>
      </c>
      <c r="I63" s="603">
        <f>VLOOKUP(B63,DATOS!B:D,3,FALSE)</f>
        <v/>
      </c>
      <c r="J63" s="603">
        <f>MID(VLOOKUP(B63,DATOS!B:E,4,FALSE),1,5)</f>
        <v/>
      </c>
      <c r="K63" s="603">
        <f>MID(VLOOKUP(B63,DATOS!B:E,4,FALSE),7,LEN(VLOOKUP(B63,DATOS!B:E,4,FALSE)))</f>
        <v/>
      </c>
      <c r="L63" s="603">
        <f>K63</f>
        <v/>
      </c>
      <c r="M63" s="606" t="inlineStr">
        <is>
          <t>R</t>
        </is>
      </c>
      <c r="N63" s="606" t="inlineStr">
        <is>
          <t>ESP</t>
        </is>
      </c>
      <c r="O63" s="619" t="n"/>
      <c r="P63" s="619" t="n"/>
      <c r="Q63" s="606" t="inlineStr">
        <is>
          <t>EUR</t>
        </is>
      </c>
      <c r="R63" s="640" t="inlineStr">
        <is>
          <t>01</t>
        </is>
      </c>
      <c r="S63" s="339" t="inlineStr">
        <is>
          <t>FALSE</t>
        </is>
      </c>
      <c r="T63" s="1" t="inlineStr">
        <is>
          <t xml:space="preserve"> </t>
        </is>
      </c>
      <c r="U63" s="608" t="inlineStr">
        <is>
          <t>https://www.facturantia.com/API/proformas_receptor.php</t>
        </is>
      </c>
      <c r="V63" s="609" t="n">
        <v>6666</v>
      </c>
      <c r="W63" s="610" t="inlineStr">
        <is>
          <t>facturacion@abalados.es</t>
        </is>
      </c>
      <c r="X63" s="609" t="n">
        <v>762687769</v>
      </c>
      <c r="Z63" s="625" t="n"/>
    </row>
    <row r="64" ht="15" customFormat="1" customHeight="1" s="25">
      <c r="A64" s="339" t="inlineStr">
        <is>
          <t>J</t>
        </is>
      </c>
      <c r="B64" s="1" t="inlineStr">
        <is>
          <t>WOC Fotovoltaica España 2.5 S.L.U.</t>
        </is>
      </c>
      <c r="C64" s="1" t="inlineStr">
        <is>
          <t>CIF B91881854</t>
        </is>
      </c>
      <c r="D64" s="25" t="inlineStr">
        <is>
          <t>2009-013</t>
        </is>
      </c>
      <c r="E64" s="598" t="n">
        <v>0.5</v>
      </c>
      <c r="F64" s="601">
        <f>IF( OR(ISNUMBER(SEARCH("NIF",C64)),ISNUMBER(SEARCH("CIF",C64)),ISNUMBER(SEARCH("NIE",C64))), MID(C64,5,LEN(C64)), C64)</f>
        <v/>
      </c>
      <c r="G64" s="339" t="inlineStr">
        <is>
          <t>nif</t>
        </is>
      </c>
      <c r="H64" s="602">
        <f>F64</f>
        <v/>
      </c>
      <c r="I64" s="603">
        <f>VLOOKUP(B64,DATOS!B:D,3,FALSE)</f>
        <v/>
      </c>
      <c r="J64" s="603">
        <f>MID(VLOOKUP(B64,DATOS!B:E,4,FALSE),1,5)</f>
        <v/>
      </c>
      <c r="K64" s="603">
        <f>MID(VLOOKUP(B64,DATOS!B:E,4,FALSE),7,LEN(VLOOKUP(B64,DATOS!B:E,4,FALSE)))</f>
        <v/>
      </c>
      <c r="L64" s="603">
        <f>K64</f>
        <v/>
      </c>
      <c r="M64" s="606" t="inlineStr">
        <is>
          <t>R</t>
        </is>
      </c>
      <c r="N64" s="606" t="inlineStr">
        <is>
          <t>ESP</t>
        </is>
      </c>
      <c r="O64" s="619" t="n"/>
      <c r="P64" s="619" t="n"/>
      <c r="Q64" s="606" t="inlineStr">
        <is>
          <t>EUR</t>
        </is>
      </c>
      <c r="R64" s="640" t="inlineStr">
        <is>
          <t>01</t>
        </is>
      </c>
      <c r="S64" s="339" t="inlineStr">
        <is>
          <t>FALSE</t>
        </is>
      </c>
      <c r="T64" s="1" t="inlineStr">
        <is>
          <t xml:space="preserve"> </t>
        </is>
      </c>
      <c r="U64" s="608" t="inlineStr">
        <is>
          <t>https://www.facturantia.com/API/proformas_receptor.php</t>
        </is>
      </c>
      <c r="V64" s="609" t="n">
        <v>6666</v>
      </c>
      <c r="W64" s="610" t="inlineStr">
        <is>
          <t>facturacion@abalados.es</t>
        </is>
      </c>
      <c r="X64" s="609" t="n">
        <v>762687769</v>
      </c>
      <c r="Z64" s="625" t="n"/>
    </row>
    <row r="65" ht="15" customFormat="1" customHeight="1" s="25">
      <c r="A65" s="339" t="inlineStr">
        <is>
          <t>J</t>
        </is>
      </c>
      <c r="B65" s="1" t="inlineStr">
        <is>
          <t>WOC Fotovoltaica España 2.6 S.L. S. Com.</t>
        </is>
      </c>
      <c r="C65" s="1" t="inlineStr">
        <is>
          <t>CIF D91882167</t>
        </is>
      </c>
      <c r="D65" s="25" t="inlineStr">
        <is>
          <t>2009-014</t>
        </is>
      </c>
      <c r="E65" s="598" t="n">
        <v>0.5</v>
      </c>
      <c r="F65" s="601">
        <f>IF( OR(ISNUMBER(SEARCH("NIF",C65)),ISNUMBER(SEARCH("CIF",C65)),ISNUMBER(SEARCH("NIE",C65))), MID(C65,5,LEN(C65)), C65)</f>
        <v/>
      </c>
      <c r="G65" s="339" t="inlineStr">
        <is>
          <t>nif</t>
        </is>
      </c>
      <c r="H65" s="602">
        <f>F65</f>
        <v/>
      </c>
      <c r="I65" s="603">
        <f>VLOOKUP(B65,DATOS!B:D,3,FALSE)</f>
        <v/>
      </c>
      <c r="J65" s="603">
        <f>MID(VLOOKUP(B65,DATOS!B:E,4,FALSE),1,5)</f>
        <v/>
      </c>
      <c r="K65" s="603">
        <f>MID(VLOOKUP(B65,DATOS!B:E,4,FALSE),7,LEN(VLOOKUP(B65,DATOS!B:E,4,FALSE)))</f>
        <v/>
      </c>
      <c r="L65" s="603">
        <f>K65</f>
        <v/>
      </c>
      <c r="M65" s="606" t="inlineStr">
        <is>
          <t>R</t>
        </is>
      </c>
      <c r="N65" s="606" t="inlineStr">
        <is>
          <t>ESP</t>
        </is>
      </c>
      <c r="O65" s="619" t="n"/>
      <c r="P65" s="619" t="n"/>
      <c r="Q65" s="606" t="inlineStr">
        <is>
          <t>EUR</t>
        </is>
      </c>
      <c r="R65" s="640" t="inlineStr">
        <is>
          <t>01</t>
        </is>
      </c>
      <c r="S65" s="339" t="inlineStr">
        <is>
          <t>FALSE</t>
        </is>
      </c>
      <c r="T65" s="1" t="inlineStr">
        <is>
          <t xml:space="preserve"> </t>
        </is>
      </c>
      <c r="U65" s="608" t="inlineStr">
        <is>
          <t>https://www.facturantia.com/API/proformas_receptor.php</t>
        </is>
      </c>
      <c r="V65" s="609" t="n">
        <v>6666</v>
      </c>
      <c r="W65" s="610" t="inlineStr">
        <is>
          <t>facturacion@abalados.es</t>
        </is>
      </c>
      <c r="X65" s="609" t="n">
        <v>762687769</v>
      </c>
      <c r="Z65" s="625" t="n"/>
    </row>
    <row r="66" ht="15" customFormat="1" customHeight="1" s="25">
      <c r="A66" s="339" t="inlineStr">
        <is>
          <t>J</t>
        </is>
      </c>
      <c r="B66" s="1" t="inlineStr">
        <is>
          <t>WOC Fotovoltaica España 2.6 S.L.U.</t>
        </is>
      </c>
      <c r="C66" s="1" t="inlineStr">
        <is>
          <t>CIF B91881854</t>
        </is>
      </c>
      <c r="D66" s="25" t="inlineStr">
        <is>
          <t>2009-015</t>
        </is>
      </c>
      <c r="E66" s="598" t="n">
        <v>0.5</v>
      </c>
      <c r="F66" s="601">
        <f>IF( OR(ISNUMBER(SEARCH("NIF",C66)),ISNUMBER(SEARCH("CIF",C66)),ISNUMBER(SEARCH("NIE",C66))), MID(C66,5,LEN(C66)), C66)</f>
        <v/>
      </c>
      <c r="G66" s="339" t="inlineStr">
        <is>
          <t>nif</t>
        </is>
      </c>
      <c r="H66" s="602">
        <f>F66</f>
        <v/>
      </c>
      <c r="I66" s="603">
        <f>VLOOKUP(B66,DATOS!B:D,3,FALSE)</f>
        <v/>
      </c>
      <c r="J66" s="603">
        <f>MID(VLOOKUP(B66,DATOS!B:E,4,FALSE),1,5)</f>
        <v/>
      </c>
      <c r="K66" s="603">
        <f>MID(VLOOKUP(B66,DATOS!B:E,4,FALSE),7,LEN(VLOOKUP(B66,DATOS!B:E,4,FALSE)))</f>
        <v/>
      </c>
      <c r="L66" s="603">
        <f>K66</f>
        <v/>
      </c>
      <c r="M66" s="606" t="inlineStr">
        <is>
          <t>R</t>
        </is>
      </c>
      <c r="N66" s="606" t="inlineStr">
        <is>
          <t>ESP</t>
        </is>
      </c>
      <c r="O66" s="619" t="n"/>
      <c r="P66" s="619" t="n"/>
      <c r="Q66" s="606" t="inlineStr">
        <is>
          <t>EUR</t>
        </is>
      </c>
      <c r="R66" s="640" t="inlineStr">
        <is>
          <t>01</t>
        </is>
      </c>
      <c r="S66" s="339" t="inlineStr">
        <is>
          <t>FALSE</t>
        </is>
      </c>
      <c r="T66" s="1" t="inlineStr">
        <is>
          <t xml:space="preserve"> </t>
        </is>
      </c>
      <c r="U66" s="608" t="inlineStr">
        <is>
          <t>https://www.facturantia.com/API/proformas_receptor.php</t>
        </is>
      </c>
      <c r="V66" s="609" t="n">
        <v>6666</v>
      </c>
      <c r="W66" s="610" t="inlineStr">
        <is>
          <t>facturacion@abalados.es</t>
        </is>
      </c>
      <c r="X66" s="609" t="n">
        <v>762687769</v>
      </c>
      <c r="Z66" s="625" t="n"/>
    </row>
    <row r="67" ht="15" customFormat="1" customHeight="1" s="25">
      <c r="A67" s="339" t="inlineStr">
        <is>
          <t>J</t>
        </is>
      </c>
      <c r="B67" s="1" t="inlineStr">
        <is>
          <t>WOC Fotovoltaica España, 2.7, S.L.U.</t>
        </is>
      </c>
      <c r="C67" s="1" t="inlineStr">
        <is>
          <t>CIF B91902007</t>
        </is>
      </c>
      <c r="D67" s="25" t="inlineStr">
        <is>
          <t>2009-016</t>
        </is>
      </c>
      <c r="E67" s="598" t="n">
        <v>0.5</v>
      </c>
      <c r="F67" s="601">
        <f>IF( OR(ISNUMBER(SEARCH("NIF",C67)),ISNUMBER(SEARCH("CIF",C67)),ISNUMBER(SEARCH("NIE",C67))), MID(C67,5,LEN(C67)), C67)</f>
        <v/>
      </c>
      <c r="G67" s="339" t="inlineStr">
        <is>
          <t>nif</t>
        </is>
      </c>
      <c r="H67" s="602">
        <f>F67</f>
        <v/>
      </c>
      <c r="I67" s="603">
        <f>VLOOKUP(B67,DATOS!B:D,3,FALSE)</f>
        <v/>
      </c>
      <c r="J67" s="603">
        <f>MID(VLOOKUP(B67,DATOS!B:E,4,FALSE),1,5)</f>
        <v/>
      </c>
      <c r="K67" s="603">
        <f>MID(VLOOKUP(B67,DATOS!B:E,4,FALSE),7,LEN(VLOOKUP(B67,DATOS!B:E,4,FALSE)))</f>
        <v/>
      </c>
      <c r="L67" s="603">
        <f>K67</f>
        <v/>
      </c>
      <c r="M67" s="606" t="inlineStr">
        <is>
          <t>R</t>
        </is>
      </c>
      <c r="N67" s="606" t="inlineStr">
        <is>
          <t>ESP</t>
        </is>
      </c>
      <c r="O67" s="619" t="n"/>
      <c r="P67" s="619" t="n"/>
      <c r="Q67" s="606" t="inlineStr">
        <is>
          <t>EUR</t>
        </is>
      </c>
      <c r="R67" s="640" t="inlineStr">
        <is>
          <t>01</t>
        </is>
      </c>
      <c r="S67" s="339" t="inlineStr">
        <is>
          <t>FALSE</t>
        </is>
      </c>
      <c r="T67" s="1" t="inlineStr">
        <is>
          <t xml:space="preserve"> </t>
        </is>
      </c>
      <c r="U67" s="608" t="inlineStr">
        <is>
          <t>https://www.facturantia.com/API/proformas_receptor.php</t>
        </is>
      </c>
      <c r="V67" s="609" t="n">
        <v>6666</v>
      </c>
      <c r="W67" s="610" t="inlineStr">
        <is>
          <t>facturacion@abalados.es</t>
        </is>
      </c>
      <c r="X67" s="609" t="n">
        <v>762687769</v>
      </c>
      <c r="Z67" s="625" t="n"/>
    </row>
    <row r="68" ht="15" customFormat="1" customHeight="1" s="25">
      <c r="A68" s="339" t="inlineStr">
        <is>
          <t>J</t>
        </is>
      </c>
      <c r="B68" s="1" t="inlineStr">
        <is>
          <t>WOC Fotovoltaica España, 2.7, S.L, S.Com</t>
        </is>
      </c>
      <c r="C68" s="1" t="inlineStr">
        <is>
          <t>CIF D91902031</t>
        </is>
      </c>
      <c r="D68" s="25" t="inlineStr">
        <is>
          <t>2009-017</t>
        </is>
      </c>
      <c r="E68" s="598" t="n">
        <v>0.5</v>
      </c>
      <c r="F68" s="601">
        <f>IF( OR(ISNUMBER(SEARCH("NIF",C68)),ISNUMBER(SEARCH("CIF",C68)),ISNUMBER(SEARCH("NIE",C68))), MID(C68,5,LEN(C68)), C68)</f>
        <v/>
      </c>
      <c r="G68" s="339" t="inlineStr">
        <is>
          <t>nif</t>
        </is>
      </c>
      <c r="H68" s="602">
        <f>F68</f>
        <v/>
      </c>
      <c r="I68" s="603">
        <f>VLOOKUP(B68,DATOS!B:D,3,FALSE)</f>
        <v/>
      </c>
      <c r="J68" s="603">
        <f>MID(VLOOKUP(B68,DATOS!B:E,4,FALSE),1,5)</f>
        <v/>
      </c>
      <c r="K68" s="603">
        <f>MID(VLOOKUP(B68,DATOS!B:E,4,FALSE),7,LEN(VLOOKUP(B68,DATOS!B:E,4,FALSE)))</f>
        <v/>
      </c>
      <c r="L68" s="603">
        <f>K68</f>
        <v/>
      </c>
      <c r="M68" s="606" t="inlineStr">
        <is>
          <t>R</t>
        </is>
      </c>
      <c r="N68" s="606" t="inlineStr">
        <is>
          <t>ESP</t>
        </is>
      </c>
      <c r="O68" s="619" t="n"/>
      <c r="P68" s="619" t="n"/>
      <c r="Q68" s="606" t="inlineStr">
        <is>
          <t>EUR</t>
        </is>
      </c>
      <c r="R68" s="640" t="inlineStr">
        <is>
          <t>01</t>
        </is>
      </c>
      <c r="S68" s="339" t="inlineStr">
        <is>
          <t>FALSE</t>
        </is>
      </c>
      <c r="T68" s="1" t="inlineStr">
        <is>
          <t xml:space="preserve"> </t>
        </is>
      </c>
      <c r="U68" s="608" t="inlineStr">
        <is>
          <t>https://www.facturantia.com/API/proformas_receptor.php</t>
        </is>
      </c>
      <c r="V68" s="609" t="n">
        <v>6666</v>
      </c>
      <c r="W68" s="610" t="inlineStr">
        <is>
          <t>facturacion@abalados.es</t>
        </is>
      </c>
      <c r="X68" s="609" t="n">
        <v>762687769</v>
      </c>
      <c r="Z68" s="625" t="n"/>
    </row>
    <row r="69" ht="15" customFormat="1" customHeight="1" s="25">
      <c r="A69" s="339" t="inlineStr">
        <is>
          <t>J</t>
        </is>
      </c>
      <c r="B69" s="1" t="inlineStr">
        <is>
          <t xml:space="preserve">WOC Fotovoltaica España, 2.8, S.L.U. </t>
        </is>
      </c>
      <c r="C69" s="1" t="inlineStr">
        <is>
          <t>CIF B91902049</t>
        </is>
      </c>
      <c r="D69" s="25" t="inlineStr">
        <is>
          <t>2009-018</t>
        </is>
      </c>
      <c r="E69" s="598" t="n">
        <v>0.5</v>
      </c>
      <c r="F69" s="601">
        <f>IF( OR(ISNUMBER(SEARCH("NIF",C69)),ISNUMBER(SEARCH("CIF",C69)),ISNUMBER(SEARCH("NIE",C69))), MID(C69,5,LEN(C69)), C69)</f>
        <v/>
      </c>
      <c r="G69" s="339" t="inlineStr">
        <is>
          <t>nif</t>
        </is>
      </c>
      <c r="H69" s="602">
        <f>F69</f>
        <v/>
      </c>
      <c r="I69" s="603">
        <f>VLOOKUP(B69,DATOS!B:D,3,FALSE)</f>
        <v/>
      </c>
      <c r="J69" s="603">
        <f>MID(VLOOKUP(B69,DATOS!B:E,4,FALSE),1,5)</f>
        <v/>
      </c>
      <c r="K69" s="603">
        <f>MID(VLOOKUP(B69,DATOS!B:E,4,FALSE),7,LEN(VLOOKUP(B69,DATOS!B:E,4,FALSE)))</f>
        <v/>
      </c>
      <c r="L69" s="603">
        <f>K69</f>
        <v/>
      </c>
      <c r="M69" s="606" t="inlineStr">
        <is>
          <t>R</t>
        </is>
      </c>
      <c r="N69" s="606" t="inlineStr">
        <is>
          <t>ESP</t>
        </is>
      </c>
      <c r="O69" s="619" t="n"/>
      <c r="P69" s="619" t="n"/>
      <c r="Q69" s="606" t="inlineStr">
        <is>
          <t>EUR</t>
        </is>
      </c>
      <c r="R69" s="640" t="inlineStr">
        <is>
          <t>01</t>
        </is>
      </c>
      <c r="S69" s="339" t="inlineStr">
        <is>
          <t>FALSE</t>
        </is>
      </c>
      <c r="T69" s="1" t="inlineStr">
        <is>
          <t xml:space="preserve"> </t>
        </is>
      </c>
      <c r="U69" s="608" t="inlineStr">
        <is>
          <t>https://www.facturantia.com/API/proformas_receptor.php</t>
        </is>
      </c>
      <c r="V69" s="609" t="n">
        <v>6666</v>
      </c>
      <c r="W69" s="610" t="inlineStr">
        <is>
          <t>facturacion@abalados.es</t>
        </is>
      </c>
      <c r="X69" s="609" t="n">
        <v>762687769</v>
      </c>
      <c r="Z69" s="625" t="n"/>
    </row>
    <row r="70" ht="15" customFormat="1" customHeight="1" s="25">
      <c r="A70" s="339" t="inlineStr">
        <is>
          <t>J</t>
        </is>
      </c>
      <c r="B70" s="1" t="inlineStr">
        <is>
          <t>WOC Fotovoltaica España, 2.8, S.L, S.Com</t>
        </is>
      </c>
      <c r="C70" s="1" t="inlineStr">
        <is>
          <t>CIF D91902064</t>
        </is>
      </c>
      <c r="D70" s="25" t="inlineStr">
        <is>
          <t>2009-019</t>
        </is>
      </c>
      <c r="E70" s="598" t="n">
        <v>0.5</v>
      </c>
      <c r="F70" s="601">
        <f>IF( OR(ISNUMBER(SEARCH("NIF",C70)),ISNUMBER(SEARCH("CIF",C70)),ISNUMBER(SEARCH("NIE",C70))), MID(C70,5,LEN(C70)), C70)</f>
        <v/>
      </c>
      <c r="G70" s="339" t="inlineStr">
        <is>
          <t>nif</t>
        </is>
      </c>
      <c r="H70" s="602">
        <f>F70</f>
        <v/>
      </c>
      <c r="I70" s="603">
        <f>VLOOKUP(B70,DATOS!B:D,3,FALSE)</f>
        <v/>
      </c>
      <c r="J70" s="603">
        <f>MID(VLOOKUP(B70,DATOS!B:E,4,FALSE),1,5)</f>
        <v/>
      </c>
      <c r="K70" s="603">
        <f>MID(VLOOKUP(B70,DATOS!B:E,4,FALSE),7,LEN(VLOOKUP(B70,DATOS!B:E,4,FALSE)))</f>
        <v/>
      </c>
      <c r="L70" s="603">
        <f>K70</f>
        <v/>
      </c>
      <c r="M70" s="606" t="inlineStr">
        <is>
          <t>R</t>
        </is>
      </c>
      <c r="N70" s="606" t="inlineStr">
        <is>
          <t>ESP</t>
        </is>
      </c>
      <c r="O70" s="619" t="n"/>
      <c r="P70" s="619" t="n"/>
      <c r="Q70" s="606" t="inlineStr">
        <is>
          <t>EUR</t>
        </is>
      </c>
      <c r="R70" s="640" t="inlineStr">
        <is>
          <t>01</t>
        </is>
      </c>
      <c r="S70" s="339" t="inlineStr">
        <is>
          <t>FALSE</t>
        </is>
      </c>
      <c r="T70" s="1" t="inlineStr">
        <is>
          <t xml:space="preserve"> </t>
        </is>
      </c>
      <c r="U70" s="608" t="inlineStr">
        <is>
          <t>https://www.facturantia.com/API/proformas_receptor.php</t>
        </is>
      </c>
      <c r="V70" s="609" t="n">
        <v>6666</v>
      </c>
      <c r="W70" s="610" t="inlineStr">
        <is>
          <t>facturacion@abalados.es</t>
        </is>
      </c>
      <c r="X70" s="609" t="n">
        <v>762687769</v>
      </c>
      <c r="Z70" s="625" t="n"/>
    </row>
    <row r="71" ht="15" customFormat="1" customHeight="1" s="25">
      <c r="A71" s="339" t="inlineStr">
        <is>
          <t>J</t>
        </is>
      </c>
      <c r="B71" s="1" t="inlineStr">
        <is>
          <t xml:space="preserve">WOC Fotovoltaica España, 2.9, S.L.U. </t>
        </is>
      </c>
      <c r="C71" s="1" t="inlineStr">
        <is>
          <t>CIF B91902072</t>
        </is>
      </c>
      <c r="D71" s="25" t="inlineStr">
        <is>
          <t>2009-020</t>
        </is>
      </c>
      <c r="E71" s="598" t="n">
        <v>0.5</v>
      </c>
      <c r="F71" s="601">
        <f>IF( OR(ISNUMBER(SEARCH("NIF",C71)),ISNUMBER(SEARCH("CIF",C71)),ISNUMBER(SEARCH("NIE",C71))), MID(C71,5,LEN(C71)), C71)</f>
        <v/>
      </c>
      <c r="G71" s="339" t="inlineStr">
        <is>
          <t>nif</t>
        </is>
      </c>
      <c r="H71" s="602">
        <f>F71</f>
        <v/>
      </c>
      <c r="I71" s="603">
        <f>VLOOKUP(B71,DATOS!B:D,3,FALSE)</f>
        <v/>
      </c>
      <c r="J71" s="603">
        <f>MID(VLOOKUP(B71,DATOS!B:E,4,FALSE),1,5)</f>
        <v/>
      </c>
      <c r="K71" s="603">
        <f>MID(VLOOKUP(B71,DATOS!B:E,4,FALSE),7,LEN(VLOOKUP(B71,DATOS!B:E,4,FALSE)))</f>
        <v/>
      </c>
      <c r="L71" s="603">
        <f>K71</f>
        <v/>
      </c>
      <c r="M71" s="606" t="inlineStr">
        <is>
          <t>R</t>
        </is>
      </c>
      <c r="N71" s="606" t="inlineStr">
        <is>
          <t>ESP</t>
        </is>
      </c>
      <c r="O71" s="619" t="n"/>
      <c r="P71" s="619" t="n"/>
      <c r="Q71" s="606" t="inlineStr">
        <is>
          <t>EUR</t>
        </is>
      </c>
      <c r="R71" s="640" t="inlineStr">
        <is>
          <t>01</t>
        </is>
      </c>
      <c r="S71" s="339" t="inlineStr">
        <is>
          <t>FALSE</t>
        </is>
      </c>
      <c r="T71" s="1" t="inlineStr">
        <is>
          <t xml:space="preserve"> </t>
        </is>
      </c>
      <c r="U71" s="608" t="inlineStr">
        <is>
          <t>https://www.facturantia.com/API/proformas_receptor.php</t>
        </is>
      </c>
      <c r="V71" s="609" t="n">
        <v>6666</v>
      </c>
      <c r="W71" s="610" t="inlineStr">
        <is>
          <t>facturacion@abalados.es</t>
        </is>
      </c>
      <c r="X71" s="609" t="n">
        <v>762687769</v>
      </c>
      <c r="Z71" s="625" t="n"/>
    </row>
    <row r="72" ht="15" customFormat="1" customHeight="1" s="25">
      <c r="A72" s="339" t="inlineStr">
        <is>
          <t>J</t>
        </is>
      </c>
      <c r="B72" s="1" t="inlineStr">
        <is>
          <t>WOC Fotovoltaica España 2.9 S.L. S. Com.</t>
        </is>
      </c>
      <c r="C72" s="1" t="inlineStr">
        <is>
          <t>CIF D91902098</t>
        </is>
      </c>
      <c r="D72" s="25" t="inlineStr">
        <is>
          <t>2009-021</t>
        </is>
      </c>
      <c r="E72" s="598" t="n">
        <v>0.5</v>
      </c>
      <c r="F72" s="601">
        <f>IF( OR(ISNUMBER(SEARCH("NIF",C72)),ISNUMBER(SEARCH("CIF",C72)),ISNUMBER(SEARCH("NIE",C72))), MID(C72,5,LEN(C72)), C72)</f>
        <v/>
      </c>
      <c r="G72" s="339" t="inlineStr">
        <is>
          <t>nif</t>
        </is>
      </c>
      <c r="H72" s="602">
        <f>F72</f>
        <v/>
      </c>
      <c r="I72" s="603">
        <f>VLOOKUP(B72,DATOS!B:D,3,FALSE)</f>
        <v/>
      </c>
      <c r="J72" s="603">
        <f>MID(VLOOKUP(B72,DATOS!B:E,4,FALSE),1,5)</f>
        <v/>
      </c>
      <c r="K72" s="603">
        <f>MID(VLOOKUP(B72,DATOS!B:E,4,FALSE),7,LEN(VLOOKUP(B72,DATOS!B:E,4,FALSE)))</f>
        <v/>
      </c>
      <c r="L72" s="603">
        <f>K72</f>
        <v/>
      </c>
      <c r="M72" s="606" t="inlineStr">
        <is>
          <t>R</t>
        </is>
      </c>
      <c r="N72" s="606" t="inlineStr">
        <is>
          <t>ESP</t>
        </is>
      </c>
      <c r="O72" s="619" t="n"/>
      <c r="P72" s="619" t="n"/>
      <c r="Q72" s="606" t="inlineStr">
        <is>
          <t>EUR</t>
        </is>
      </c>
      <c r="R72" s="640" t="inlineStr">
        <is>
          <t>01</t>
        </is>
      </c>
      <c r="S72" s="339" t="inlineStr">
        <is>
          <t>FALSE</t>
        </is>
      </c>
      <c r="T72" s="1" t="inlineStr">
        <is>
          <t xml:space="preserve"> </t>
        </is>
      </c>
      <c r="U72" s="608" t="inlineStr">
        <is>
          <t>https://www.facturantia.com/API/proformas_receptor.php</t>
        </is>
      </c>
      <c r="V72" s="609" t="n">
        <v>6666</v>
      </c>
      <c r="W72" s="610" t="inlineStr">
        <is>
          <t>facturacion@abalados.es</t>
        </is>
      </c>
      <c r="X72" s="609" t="n">
        <v>762687769</v>
      </c>
      <c r="Z72" s="625" t="n"/>
    </row>
    <row r="73" ht="15" customFormat="1" customHeight="1" s="25">
      <c r="A73" s="339" t="inlineStr">
        <is>
          <t>J</t>
        </is>
      </c>
      <c r="B73" s="1" t="inlineStr">
        <is>
          <t xml:space="preserve">WOC Fotovoltaica España, 2.10, S.L.U. </t>
        </is>
      </c>
      <c r="C73" s="1" t="inlineStr">
        <is>
          <t>CIF B91902114</t>
        </is>
      </c>
      <c r="D73" s="25" t="inlineStr">
        <is>
          <t>2009-022</t>
        </is>
      </c>
      <c r="E73" s="598" t="n">
        <v>0.5</v>
      </c>
      <c r="F73" s="601">
        <f>IF( OR(ISNUMBER(SEARCH("NIF",C73)),ISNUMBER(SEARCH("CIF",C73)),ISNUMBER(SEARCH("NIE",C73))), MID(C73,5,LEN(C73)), C73)</f>
        <v/>
      </c>
      <c r="G73" s="339" t="inlineStr">
        <is>
          <t>nif</t>
        </is>
      </c>
      <c r="H73" s="602">
        <f>F73</f>
        <v/>
      </c>
      <c r="I73" s="603">
        <f>VLOOKUP(B73,DATOS!B:D,3,FALSE)</f>
        <v/>
      </c>
      <c r="J73" s="603">
        <f>MID(VLOOKUP(B73,DATOS!B:E,4,FALSE),1,5)</f>
        <v/>
      </c>
      <c r="K73" s="603">
        <f>MID(VLOOKUP(B73,DATOS!B:E,4,FALSE),7,LEN(VLOOKUP(B73,DATOS!B:E,4,FALSE)))</f>
        <v/>
      </c>
      <c r="L73" s="603">
        <f>K73</f>
        <v/>
      </c>
      <c r="M73" s="606" t="inlineStr">
        <is>
          <t>R</t>
        </is>
      </c>
      <c r="N73" s="606" t="inlineStr">
        <is>
          <t>ESP</t>
        </is>
      </c>
      <c r="O73" s="619" t="n"/>
      <c r="P73" s="619" t="n"/>
      <c r="Q73" s="606" t="inlineStr">
        <is>
          <t>EUR</t>
        </is>
      </c>
      <c r="R73" s="640" t="inlineStr">
        <is>
          <t>01</t>
        </is>
      </c>
      <c r="S73" s="339" t="inlineStr">
        <is>
          <t>FALSE</t>
        </is>
      </c>
      <c r="T73" s="1" t="inlineStr">
        <is>
          <t xml:space="preserve"> </t>
        </is>
      </c>
      <c r="U73" s="608" t="inlineStr">
        <is>
          <t>https://www.facturantia.com/API/proformas_receptor.php</t>
        </is>
      </c>
      <c r="V73" s="609" t="n">
        <v>6666</v>
      </c>
      <c r="W73" s="610" t="inlineStr">
        <is>
          <t>facturacion@abalados.es</t>
        </is>
      </c>
      <c r="X73" s="609" t="n">
        <v>762687769</v>
      </c>
      <c r="Z73" s="625" t="n"/>
    </row>
    <row r="74" ht="15" customFormat="1" customHeight="1" s="25">
      <c r="A74" s="339" t="inlineStr">
        <is>
          <t>J</t>
        </is>
      </c>
      <c r="B74" s="1" t="inlineStr">
        <is>
          <t>WOC Fotovoltaica España, 2.10, S.L, S.Com</t>
        </is>
      </c>
      <c r="C74" s="1" t="inlineStr">
        <is>
          <t>CIF D91902130</t>
        </is>
      </c>
      <c r="D74" s="25" t="inlineStr">
        <is>
          <t>2009-023</t>
        </is>
      </c>
      <c r="E74" s="598" t="n">
        <v>0.5</v>
      </c>
      <c r="F74" s="601">
        <f>IF( OR(ISNUMBER(SEARCH("NIF",C74)),ISNUMBER(SEARCH("CIF",C74)),ISNUMBER(SEARCH("NIE",C74))), MID(C74,5,LEN(C74)), C74)</f>
        <v/>
      </c>
      <c r="G74" s="339" t="inlineStr">
        <is>
          <t>nif</t>
        </is>
      </c>
      <c r="H74" s="602">
        <f>F74</f>
        <v/>
      </c>
      <c r="I74" s="603">
        <f>VLOOKUP(B74,DATOS!B:D,3,FALSE)</f>
        <v/>
      </c>
      <c r="J74" s="603">
        <f>MID(VLOOKUP(B74,DATOS!B:E,4,FALSE),1,5)</f>
        <v/>
      </c>
      <c r="K74" s="603">
        <f>MID(VLOOKUP(B74,DATOS!B:E,4,FALSE),7,LEN(VLOOKUP(B74,DATOS!B:E,4,FALSE)))</f>
        <v/>
      </c>
      <c r="L74" s="603">
        <f>K74</f>
        <v/>
      </c>
      <c r="M74" s="606" t="inlineStr">
        <is>
          <t>R</t>
        </is>
      </c>
      <c r="N74" s="606" t="inlineStr">
        <is>
          <t>ESP</t>
        </is>
      </c>
      <c r="O74" s="619" t="n"/>
      <c r="P74" s="619" t="n"/>
      <c r="Q74" s="606" t="inlineStr">
        <is>
          <t>EUR</t>
        </is>
      </c>
      <c r="R74" s="640" t="inlineStr">
        <is>
          <t>01</t>
        </is>
      </c>
      <c r="S74" s="339" t="inlineStr">
        <is>
          <t>FALSE</t>
        </is>
      </c>
      <c r="T74" s="1" t="inlineStr">
        <is>
          <t xml:space="preserve"> </t>
        </is>
      </c>
      <c r="U74" s="608" t="inlineStr">
        <is>
          <t>https://www.facturantia.com/API/proformas_receptor.php</t>
        </is>
      </c>
      <c r="V74" s="609" t="n">
        <v>6666</v>
      </c>
      <c r="W74" s="610" t="inlineStr">
        <is>
          <t>facturacion@abalados.es</t>
        </is>
      </c>
      <c r="X74" s="609" t="n">
        <v>762687769</v>
      </c>
      <c r="Z74" s="625" t="n"/>
    </row>
    <row r="75" ht="15" customFormat="1" customHeight="1" s="25">
      <c r="A75" s="339" t="inlineStr">
        <is>
          <t>J</t>
        </is>
      </c>
      <c r="B75" s="4" t="inlineStr">
        <is>
          <t>Astrom Technical Advisors S.L.</t>
        </is>
      </c>
      <c r="C75" s="4" t="inlineStr">
        <is>
          <t>CIF B84304872</t>
        </is>
      </c>
      <c r="D75" s="25" t="inlineStr">
        <is>
          <t>2009-024</t>
        </is>
      </c>
      <c r="E75" s="598" t="n">
        <v>0</v>
      </c>
      <c r="F75" s="601">
        <f>IF( OR(ISNUMBER(SEARCH("NIF",C75)),ISNUMBER(SEARCH("CIF",C75)),ISNUMBER(SEARCH("NIE",C75))), MID(C75,5,LEN(C75)), C75)</f>
        <v/>
      </c>
      <c r="G75" s="339" t="inlineStr">
        <is>
          <t>nif</t>
        </is>
      </c>
      <c r="H75" s="602">
        <f>F75</f>
        <v/>
      </c>
      <c r="I75" s="603">
        <f>VLOOKUP(B75,DATOS!B:D,3,FALSE)</f>
        <v/>
      </c>
      <c r="J75" s="603">
        <f>MID(VLOOKUP(B75,DATOS!B:E,4,FALSE),1,5)</f>
        <v/>
      </c>
      <c r="K75" s="603">
        <f>MID(VLOOKUP(B75,DATOS!B:E,4,FALSE),7,LEN(VLOOKUP(B75,DATOS!B:E,4,FALSE)))</f>
        <v/>
      </c>
      <c r="L75" s="603">
        <f>K75</f>
        <v/>
      </c>
      <c r="M75" s="606" t="inlineStr">
        <is>
          <t>R</t>
        </is>
      </c>
      <c r="N75" s="606" t="inlineStr">
        <is>
          <t>ESP</t>
        </is>
      </c>
      <c r="O75" s="628" t="inlineStr">
        <is>
          <t>--</t>
        </is>
      </c>
      <c r="P75" s="628" t="inlineStr">
        <is>
          <t>--</t>
        </is>
      </c>
      <c r="Q75" s="606" t="inlineStr">
        <is>
          <t>EUR</t>
        </is>
      </c>
      <c r="R75" s="640" t="inlineStr">
        <is>
          <t>01</t>
        </is>
      </c>
      <c r="S75" s="339" t="inlineStr">
        <is>
          <t>FALSE</t>
        </is>
      </c>
      <c r="T75" s="1" t="inlineStr">
        <is>
          <t xml:space="preserve"> </t>
        </is>
      </c>
      <c r="U75" s="608" t="inlineStr">
        <is>
          <t>https://www.facturantia.com/API/proformas_receptor.php</t>
        </is>
      </c>
      <c r="V75" s="609" t="n">
        <v>6666</v>
      </c>
      <c r="W75" s="610" t="inlineStr">
        <is>
          <t>facturacion@abalados.es</t>
        </is>
      </c>
      <c r="X75" s="609" t="n">
        <v>762687769</v>
      </c>
      <c r="Z75" s="625" t="n"/>
    </row>
    <row r="76" ht="15" customFormat="1" customHeight="1" s="25">
      <c r="A76" s="339" t="inlineStr">
        <is>
          <t>J</t>
        </is>
      </c>
      <c r="B76" s="4" t="inlineStr">
        <is>
          <t>Gehrlicher Solar España S.L.</t>
        </is>
      </c>
      <c r="C76" s="4" t="inlineStr">
        <is>
          <t>CIF B73116634</t>
        </is>
      </c>
      <c r="D76" s="25" t="inlineStr">
        <is>
          <t>2009-025</t>
        </is>
      </c>
      <c r="E76" s="598" t="n">
        <v>0</v>
      </c>
      <c r="F76" s="601">
        <f>IF( OR(ISNUMBER(SEARCH("NIF",C76)),ISNUMBER(SEARCH("CIF",C76)),ISNUMBER(SEARCH("NIE",C76))), MID(C76,5,LEN(C76)), C76)</f>
        <v/>
      </c>
      <c r="G76" s="339" t="inlineStr">
        <is>
          <t>nif</t>
        </is>
      </c>
      <c r="H76" s="602">
        <f>F76</f>
        <v/>
      </c>
      <c r="I76" s="603">
        <f>VLOOKUP(B76,DATOS!B:D,3,FALSE)</f>
        <v/>
      </c>
      <c r="J76" s="603">
        <f>MID(VLOOKUP(B76,DATOS!B:E,4,FALSE),1,5)</f>
        <v/>
      </c>
      <c r="K76" s="604" t="inlineStr">
        <is>
          <t>Murcia</t>
        </is>
      </c>
      <c r="L76" s="604" t="inlineStr">
        <is>
          <t>Bullas</t>
        </is>
      </c>
      <c r="M76" s="606" t="inlineStr">
        <is>
          <t>R</t>
        </is>
      </c>
      <c r="N76" s="606" t="inlineStr">
        <is>
          <t>ESP</t>
        </is>
      </c>
      <c r="O76" s="628" t="inlineStr">
        <is>
          <t>--</t>
        </is>
      </c>
      <c r="P76" s="628" t="inlineStr">
        <is>
          <t>--</t>
        </is>
      </c>
      <c r="Q76" s="606" t="inlineStr">
        <is>
          <t>EUR</t>
        </is>
      </c>
      <c r="R76" s="640" t="inlineStr">
        <is>
          <t>01</t>
        </is>
      </c>
      <c r="S76" s="339" t="inlineStr">
        <is>
          <t>FALSE</t>
        </is>
      </c>
      <c r="T76" s="1" t="inlineStr">
        <is>
          <t xml:space="preserve"> </t>
        </is>
      </c>
      <c r="U76" s="608" t="inlineStr">
        <is>
          <t>https://www.facturantia.com/API/proformas_receptor.php</t>
        </is>
      </c>
      <c r="V76" s="609" t="n">
        <v>6666</v>
      </c>
      <c r="W76" s="610" t="inlineStr">
        <is>
          <t>facturacion@abalados.es</t>
        </is>
      </c>
      <c r="X76" s="609" t="n">
        <v>762687769</v>
      </c>
      <c r="Z76" s="625" t="n"/>
    </row>
    <row r="77" ht="15" customFormat="1" customHeight="1" s="25">
      <c r="A77" s="636" t="inlineStr">
        <is>
          <t>J</t>
        </is>
      </c>
      <c r="B77" s="4" t="inlineStr">
        <is>
          <t>Agrupación Solar el Algarrobo I, S.L.U.</t>
        </is>
      </c>
      <c r="C77" s="1" t="inlineStr">
        <is>
          <t>CIF B91815001</t>
        </is>
      </c>
      <c r="D77" s="25" t="inlineStr">
        <is>
          <t>2010-001</t>
        </is>
      </c>
      <c r="E77" s="598" t="n">
        <v>0.5</v>
      </c>
      <c r="F77" s="601">
        <f>IF( OR(ISNUMBER(SEARCH("NIF",C77)),ISNUMBER(SEARCH("CIF",C77)),ISNUMBER(SEARCH("NIE",C77))), MID(C77,5,LEN(C77)), C77)</f>
        <v/>
      </c>
      <c r="G77" s="339" t="inlineStr">
        <is>
          <t>nif</t>
        </is>
      </c>
      <c r="H77" s="602">
        <f>F77</f>
        <v/>
      </c>
      <c r="I77" s="603">
        <f>VLOOKUP(B77,DATOS!B:D,3,FALSE)</f>
        <v/>
      </c>
      <c r="J77" s="603">
        <f>MID(VLOOKUP(B77,DATOS!B:E,4,FALSE),1,5)</f>
        <v/>
      </c>
      <c r="K77" s="603">
        <f>MID(VLOOKUP(B77,DATOS!B:E,4,FALSE),7,LEN(VLOOKUP(B77,DATOS!B:E,4,FALSE)))</f>
        <v/>
      </c>
      <c r="L77" s="603">
        <f>K77</f>
        <v/>
      </c>
      <c r="M77" s="606" t="inlineStr">
        <is>
          <t>R</t>
        </is>
      </c>
      <c r="N77" s="606" t="inlineStr">
        <is>
          <t>ESP</t>
        </is>
      </c>
      <c r="O77" s="619" t="inlineStr">
        <is>
          <t>ES52 2100 2571 3002 1008 7633</t>
        </is>
      </c>
      <c r="P77" s="619" t="inlineStr">
        <is>
          <t>CAIXESBBXXX</t>
        </is>
      </c>
      <c r="Q77" s="606" t="inlineStr">
        <is>
          <t>EUR</t>
        </is>
      </c>
      <c r="R77" s="640" t="inlineStr">
        <is>
          <t>01</t>
        </is>
      </c>
      <c r="S77" s="339" t="inlineStr">
        <is>
          <t>FALSE</t>
        </is>
      </c>
      <c r="T77" s="1" t="inlineStr">
        <is>
          <t xml:space="preserve"> </t>
        </is>
      </c>
      <c r="U77" s="608" t="inlineStr">
        <is>
          <t>https://www.facturantia.com/API/proformas_receptor.php</t>
        </is>
      </c>
      <c r="V77" s="609" t="n">
        <v>6666</v>
      </c>
      <c r="W77" s="610" t="inlineStr">
        <is>
          <t>facturacion@abalados.es</t>
        </is>
      </c>
      <c r="X77" s="609" t="n">
        <v>762687769</v>
      </c>
      <c r="Z77" s="624" t="n">
        <v>45951</v>
      </c>
    </row>
    <row r="78" ht="15" customFormat="1" customHeight="1" s="25">
      <c r="A78" s="636" t="inlineStr">
        <is>
          <t>J</t>
        </is>
      </c>
      <c r="B78" s="1" t="inlineStr">
        <is>
          <t>Agrupación Solar el Algarrobo II, S.L.U.</t>
        </is>
      </c>
      <c r="C78" s="1" t="inlineStr">
        <is>
          <t>CIF B91815019</t>
        </is>
      </c>
      <c r="D78" s="25" t="inlineStr">
        <is>
          <t>2010-002</t>
        </is>
      </c>
      <c r="E78" s="598" t="n">
        <v>0.5</v>
      </c>
      <c r="F78" s="601">
        <f>IF( OR(ISNUMBER(SEARCH("NIF",C78)),ISNUMBER(SEARCH("CIF",C78)),ISNUMBER(SEARCH("NIE",C78))), MID(C78,5,LEN(C78)), C78)</f>
        <v/>
      </c>
      <c r="G78" s="339" t="inlineStr">
        <is>
          <t>nif</t>
        </is>
      </c>
      <c r="H78" s="602">
        <f>F78</f>
        <v/>
      </c>
      <c r="I78" s="603">
        <f>VLOOKUP(B78,DATOS!B:D,3,FALSE)</f>
        <v/>
      </c>
      <c r="J78" s="603">
        <f>MID(VLOOKUP(B78,DATOS!B:E,4,FALSE),1,5)</f>
        <v/>
      </c>
      <c r="K78" s="603">
        <f>MID(VLOOKUP(B78,DATOS!B:E,4,FALSE),7,LEN(VLOOKUP(B78,DATOS!B:E,4,FALSE)))</f>
        <v/>
      </c>
      <c r="L78" s="603">
        <f>K78</f>
        <v/>
      </c>
      <c r="M78" s="606" t="inlineStr">
        <is>
          <t>R</t>
        </is>
      </c>
      <c r="N78" s="606" t="inlineStr">
        <is>
          <t>ESP</t>
        </is>
      </c>
      <c r="O78" s="619" t="inlineStr">
        <is>
          <t>ES71 2100 2571 3902 1008 8305</t>
        </is>
      </c>
      <c r="P78" s="619" t="inlineStr">
        <is>
          <t>CAIXESBBXXX</t>
        </is>
      </c>
      <c r="Q78" s="606" t="inlineStr">
        <is>
          <t>EUR</t>
        </is>
      </c>
      <c r="R78" s="640" t="inlineStr">
        <is>
          <t>01</t>
        </is>
      </c>
      <c r="S78" s="339" t="inlineStr">
        <is>
          <t>FALSE</t>
        </is>
      </c>
      <c r="T78" s="1" t="inlineStr">
        <is>
          <t xml:space="preserve"> </t>
        </is>
      </c>
      <c r="U78" s="608" t="inlineStr">
        <is>
          <t>https://www.facturantia.com/API/proformas_receptor.php</t>
        </is>
      </c>
      <c r="V78" s="609" t="n">
        <v>6666</v>
      </c>
      <c r="W78" s="610" t="inlineStr">
        <is>
          <t>facturacion@abalados.es</t>
        </is>
      </c>
      <c r="X78" s="609" t="n">
        <v>762687769</v>
      </c>
      <c r="Z78" s="624" t="n">
        <v>45951</v>
      </c>
    </row>
    <row r="79" ht="15" customFormat="1" customHeight="1" s="25">
      <c r="A79" s="636" t="inlineStr">
        <is>
          <t>J</t>
        </is>
      </c>
      <c r="B79" s="1" t="inlineStr">
        <is>
          <t>Agrupación Solar el Algarrobo III, S.L.U.</t>
        </is>
      </c>
      <c r="C79" s="1" t="inlineStr">
        <is>
          <t>CIF B91815027</t>
        </is>
      </c>
      <c r="D79" s="25" t="inlineStr">
        <is>
          <t>2010-003</t>
        </is>
      </c>
      <c r="E79" s="598" t="n">
        <v>0.5</v>
      </c>
      <c r="F79" s="601">
        <f>IF( OR(ISNUMBER(SEARCH("NIF",C79)),ISNUMBER(SEARCH("CIF",C79)),ISNUMBER(SEARCH("NIE",C79))), MID(C79,5,LEN(C79)), C79)</f>
        <v/>
      </c>
      <c r="G79" s="339" t="inlineStr">
        <is>
          <t>nif</t>
        </is>
      </c>
      <c r="H79" s="602">
        <f>F79</f>
        <v/>
      </c>
      <c r="I79" s="603">
        <f>VLOOKUP(B79,DATOS!B:D,3,FALSE)</f>
        <v/>
      </c>
      <c r="J79" s="603">
        <f>MID(VLOOKUP(B79,DATOS!B:E,4,FALSE),1,5)</f>
        <v/>
      </c>
      <c r="K79" s="603">
        <f>MID(VLOOKUP(B79,DATOS!B:E,4,FALSE),7,LEN(VLOOKUP(B79,DATOS!B:E,4,FALSE)))</f>
        <v/>
      </c>
      <c r="L79" s="603">
        <f>K79</f>
        <v/>
      </c>
      <c r="M79" s="606" t="inlineStr">
        <is>
          <t>R</t>
        </is>
      </c>
      <c r="N79" s="606" t="inlineStr">
        <is>
          <t>ESP</t>
        </is>
      </c>
      <c r="O79" s="619" t="inlineStr">
        <is>
          <t>ES11 2100 2571 3302 1008 8418</t>
        </is>
      </c>
      <c r="P79" s="619" t="inlineStr">
        <is>
          <t>CAIXESBBXXX</t>
        </is>
      </c>
      <c r="Q79" s="606" t="inlineStr">
        <is>
          <t>EUR</t>
        </is>
      </c>
      <c r="R79" s="640" t="inlineStr">
        <is>
          <t>01</t>
        </is>
      </c>
      <c r="S79" s="339" t="inlineStr">
        <is>
          <t>FALSE</t>
        </is>
      </c>
      <c r="T79" s="1" t="inlineStr">
        <is>
          <t xml:space="preserve"> </t>
        </is>
      </c>
      <c r="U79" s="608" t="inlineStr">
        <is>
          <t>https://www.facturantia.com/API/proformas_receptor.php</t>
        </is>
      </c>
      <c r="V79" s="609" t="n">
        <v>6666</v>
      </c>
      <c r="W79" s="610" t="inlineStr">
        <is>
          <t>facturacion@abalados.es</t>
        </is>
      </c>
      <c r="X79" s="609" t="n">
        <v>762687769</v>
      </c>
      <c r="Z79" s="624" t="n">
        <v>45951</v>
      </c>
    </row>
    <row r="80" ht="15" customFormat="1" customHeight="1" s="25">
      <c r="A80" s="339" t="inlineStr">
        <is>
          <t>J</t>
        </is>
      </c>
      <c r="B80" s="3" t="inlineStr">
        <is>
          <t>WOC Fotovoltaica España Proyecto Villamartín S.L. S. Com.</t>
        </is>
      </c>
      <c r="C80" s="3" t="inlineStr">
        <is>
          <t>CIF D91858167</t>
        </is>
      </c>
      <c r="D80" s="25" t="inlineStr">
        <is>
          <t>2010-004</t>
        </is>
      </c>
      <c r="E80" s="598" t="n">
        <v>0.5</v>
      </c>
      <c r="F80" s="601">
        <f>IF( OR(ISNUMBER(SEARCH("NIF",C80)),ISNUMBER(SEARCH("CIF",C80)),ISNUMBER(SEARCH("NIE",C80))), MID(C80,5,LEN(C80)), C80)</f>
        <v/>
      </c>
      <c r="G80" s="339" t="inlineStr">
        <is>
          <t>nif</t>
        </is>
      </c>
      <c r="H80" s="602">
        <f>F80</f>
        <v/>
      </c>
      <c r="I80" s="603">
        <f>VLOOKUP(B80,DATOS!B:D,3,FALSE)</f>
        <v/>
      </c>
      <c r="J80" s="603">
        <f>MID(VLOOKUP(B80,DATOS!B:E,4,FALSE),1,5)</f>
        <v/>
      </c>
      <c r="K80" s="603">
        <f>MID(VLOOKUP(B80,DATOS!B:E,4,FALSE),7,LEN(VLOOKUP(B80,DATOS!B:E,4,FALSE)))</f>
        <v/>
      </c>
      <c r="L80" s="603">
        <f>K80</f>
        <v/>
      </c>
      <c r="M80" s="606" t="inlineStr">
        <is>
          <t>R</t>
        </is>
      </c>
      <c r="N80" s="606" t="inlineStr">
        <is>
          <t>ESP</t>
        </is>
      </c>
      <c r="O80" s="619" t="n"/>
      <c r="P80" s="619" t="n"/>
      <c r="Q80" s="606" t="inlineStr">
        <is>
          <t>EUR</t>
        </is>
      </c>
      <c r="R80" s="640" t="inlineStr">
        <is>
          <t>01</t>
        </is>
      </c>
      <c r="S80" s="339" t="inlineStr">
        <is>
          <t>FALSE</t>
        </is>
      </c>
      <c r="T80" s="1" t="inlineStr">
        <is>
          <t xml:space="preserve"> </t>
        </is>
      </c>
      <c r="U80" s="608" t="inlineStr">
        <is>
          <t>https://www.facturantia.com/API/proformas_receptor.php</t>
        </is>
      </c>
      <c r="V80" s="609" t="n">
        <v>6666</v>
      </c>
      <c r="W80" s="610" t="inlineStr">
        <is>
          <t>facturacion@abalados.es</t>
        </is>
      </c>
      <c r="X80" s="609" t="n">
        <v>762687769</v>
      </c>
      <c r="Z80" s="625" t="n"/>
    </row>
    <row r="81" ht="15" customFormat="1" customHeight="1" s="25">
      <c r="A81" s="636" t="inlineStr">
        <is>
          <t>J</t>
        </is>
      </c>
      <c r="B81" s="1" t="inlineStr">
        <is>
          <t>Es Garrovers Energía Solar S.L.U.</t>
        </is>
      </c>
      <c r="C81" s="1" t="inlineStr">
        <is>
          <t>CIF B57463663</t>
        </is>
      </c>
      <c r="D81" s="25" t="inlineStr">
        <is>
          <t>2010-005</t>
        </is>
      </c>
      <c r="E81" s="598" t="n">
        <v>0.5</v>
      </c>
      <c r="F81" s="601">
        <f>IF( OR(ISNUMBER(SEARCH("NIF",C81)),ISNUMBER(SEARCH("CIF",C81)),ISNUMBER(SEARCH("NIE",C81))), MID(C81,5,LEN(C81)), C81)</f>
        <v/>
      </c>
      <c r="G81" s="339" t="inlineStr">
        <is>
          <t>nif</t>
        </is>
      </c>
      <c r="H81" s="602">
        <f>F81</f>
        <v/>
      </c>
      <c r="I81" s="603">
        <f>VLOOKUP(B81,DATOS!B:D,3,FALSE)</f>
        <v/>
      </c>
      <c r="J81" s="603">
        <f>MID(VLOOKUP(B81,DATOS!B:E,4,FALSE),1,5)</f>
        <v/>
      </c>
      <c r="K81" s="603">
        <f>MID(VLOOKUP(B81,DATOS!B:E,4,FALSE),7,LEN(VLOOKUP(B81,DATOS!B:E,4,FALSE)))</f>
        <v/>
      </c>
      <c r="L81" s="603">
        <f>K81</f>
        <v/>
      </c>
      <c r="M81" s="606" t="inlineStr">
        <is>
          <t>R</t>
        </is>
      </c>
      <c r="N81" s="606" t="inlineStr">
        <is>
          <t>ESP</t>
        </is>
      </c>
      <c r="O81" s="619" t="inlineStr">
        <is>
          <t>ES03 0159 0001 3736 6134 5978</t>
        </is>
      </c>
      <c r="P81" s="619" t="n"/>
      <c r="Q81" s="606" t="inlineStr">
        <is>
          <t>EUR</t>
        </is>
      </c>
      <c r="R81" s="640" t="inlineStr">
        <is>
          <t>01</t>
        </is>
      </c>
      <c r="S81" s="339" t="inlineStr">
        <is>
          <t>FALSE</t>
        </is>
      </c>
      <c r="T81" s="1" t="inlineStr">
        <is>
          <t xml:space="preserve"> </t>
        </is>
      </c>
      <c r="U81" s="608" t="inlineStr">
        <is>
          <t>https://www.facturantia.com/API/proformas_receptor.php</t>
        </is>
      </c>
      <c r="V81" s="609" t="n">
        <v>6666</v>
      </c>
      <c r="W81" s="610" t="inlineStr">
        <is>
          <t>facturacion@abalados.es</t>
        </is>
      </c>
      <c r="X81" s="609" t="n">
        <v>762687769</v>
      </c>
      <c r="Z81" s="624" t="n">
        <v>45951</v>
      </c>
    </row>
    <row r="82" ht="15" customFormat="1" customHeight="1" s="25">
      <c r="A82" s="637" t="inlineStr">
        <is>
          <t>J</t>
        </is>
      </c>
      <c r="B82" s="25" t="inlineStr">
        <is>
          <t>Amberg V S.L.U.</t>
        </is>
      </c>
      <c r="C82" s="25" t="inlineStr">
        <is>
          <t>CIF B25703653</t>
        </is>
      </c>
      <c r="D82" s="25" t="inlineStr">
        <is>
          <t>2010-006</t>
        </is>
      </c>
      <c r="E82" s="598" t="n">
        <v>0.5</v>
      </c>
      <c r="F82" s="601">
        <f>IF( OR(ISNUMBER(SEARCH("NIF",C82)),ISNUMBER(SEARCH("CIF",C82)),ISNUMBER(SEARCH("NIE",C82))), MID(C82,5,LEN(C82)), C82)</f>
        <v/>
      </c>
      <c r="G82" s="339" t="inlineStr">
        <is>
          <t>nif</t>
        </is>
      </c>
      <c r="H82" s="602">
        <f>F82</f>
        <v/>
      </c>
      <c r="I82" s="603">
        <f>VLOOKUP(B82,DATOS!B:D,3,FALSE)</f>
        <v/>
      </c>
      <c r="J82" s="603">
        <f>MID(VLOOKUP(B82,DATOS!B:E,4,FALSE),1,5)</f>
        <v/>
      </c>
      <c r="K82" s="603">
        <f>MID(VLOOKUP(B82,DATOS!B:E,4,FALSE),7,LEN(VLOOKUP(B82,DATOS!B:E,4,FALSE)))</f>
        <v/>
      </c>
      <c r="L82" s="603">
        <f>K82</f>
        <v/>
      </c>
      <c r="M82" s="606" t="inlineStr">
        <is>
          <t>R</t>
        </is>
      </c>
      <c r="N82" s="606" t="inlineStr">
        <is>
          <t>ESP</t>
        </is>
      </c>
      <c r="O82" s="619" t="inlineStr">
        <is>
          <t>ES92 0159 0001 3136 0026 9978</t>
        </is>
      </c>
      <c r="P82" s="619" t="n"/>
      <c r="Q82" s="606" t="inlineStr">
        <is>
          <t>EUR</t>
        </is>
      </c>
      <c r="R82" s="640" t="inlineStr">
        <is>
          <t>01</t>
        </is>
      </c>
      <c r="S82" s="339" t="inlineStr">
        <is>
          <t>FALSE</t>
        </is>
      </c>
      <c r="T82" s="1" t="inlineStr">
        <is>
          <t xml:space="preserve"> </t>
        </is>
      </c>
      <c r="U82" s="608" t="inlineStr">
        <is>
          <t>https://www.facturantia.com/API/proformas_receptor.php</t>
        </is>
      </c>
      <c r="V82" s="609" t="n">
        <v>6666</v>
      </c>
      <c r="W82" s="610" t="inlineStr">
        <is>
          <t>facturacion@abalados.es</t>
        </is>
      </c>
      <c r="X82" s="609" t="n">
        <v>762687769</v>
      </c>
      <c r="Z82" s="624" t="n">
        <v>45951</v>
      </c>
    </row>
    <row r="83" ht="15" customFormat="1" customHeight="1" s="25">
      <c r="A83" s="636" t="inlineStr">
        <is>
          <t>J</t>
        </is>
      </c>
      <c r="B83" s="25" t="inlineStr">
        <is>
          <t>Solar Photo Collect S.L.U.</t>
        </is>
      </c>
      <c r="C83" s="25" t="inlineStr">
        <is>
          <t>CIF B98133861</t>
        </is>
      </c>
      <c r="D83" s="25" t="inlineStr">
        <is>
          <t>2010-007</t>
        </is>
      </c>
      <c r="E83" s="598" t="n">
        <v>0.5</v>
      </c>
      <c r="F83" s="601">
        <f>IF( OR(ISNUMBER(SEARCH("NIF",C83)),ISNUMBER(SEARCH("CIF",C83)),ISNUMBER(SEARCH("NIE",C83))), MID(C83,5,LEN(C83)), C83)</f>
        <v/>
      </c>
      <c r="G83" s="339" t="inlineStr">
        <is>
          <t>nif</t>
        </is>
      </c>
      <c r="H83" s="602">
        <f>F83</f>
        <v/>
      </c>
      <c r="I83" s="603">
        <f>VLOOKUP(B83,DATOS!B:D,3,FALSE)</f>
        <v/>
      </c>
      <c r="J83" s="603">
        <f>MID(VLOOKUP(B83,DATOS!B:E,4,FALSE),1,5)</f>
        <v/>
      </c>
      <c r="K83" s="603">
        <f>MID(VLOOKUP(B83,DATOS!B:E,4,FALSE),7,LEN(VLOOKUP(B83,DATOS!B:E,4,FALSE)))</f>
        <v/>
      </c>
      <c r="L83" s="603">
        <f>K83</f>
        <v/>
      </c>
      <c r="M83" s="606" t="inlineStr">
        <is>
          <t>R</t>
        </is>
      </c>
      <c r="N83" s="606" t="inlineStr">
        <is>
          <t>ESP</t>
        </is>
      </c>
      <c r="O83" s="619" t="inlineStr">
        <is>
          <t>ES41 0159 0001 3436 0028 5978</t>
        </is>
      </c>
      <c r="P83" s="619" t="n"/>
      <c r="Q83" s="606" t="inlineStr">
        <is>
          <t>EUR</t>
        </is>
      </c>
      <c r="R83" s="640" t="inlineStr">
        <is>
          <t>01</t>
        </is>
      </c>
      <c r="S83" s="339" t="inlineStr">
        <is>
          <t>FALSE</t>
        </is>
      </c>
      <c r="T83" s="1" t="inlineStr">
        <is>
          <t xml:space="preserve"> </t>
        </is>
      </c>
      <c r="U83" s="608" t="inlineStr">
        <is>
          <t>https://www.facturantia.com/API/proformas_receptor.php</t>
        </is>
      </c>
      <c r="V83" s="609" t="n">
        <v>6666</v>
      </c>
      <c r="W83" s="610" t="inlineStr">
        <is>
          <t>facturacion@abalados.es</t>
        </is>
      </c>
      <c r="X83" s="609" t="n">
        <v>762687769</v>
      </c>
      <c r="Z83" s="624" t="n">
        <v>45951</v>
      </c>
    </row>
    <row r="84" ht="15" customFormat="1" customHeight="1" s="596">
      <c r="A84" s="611" t="inlineStr">
        <is>
          <t>J</t>
        </is>
      </c>
      <c r="B84" s="596" t="inlineStr">
        <is>
          <t>Astrom aBalados S.L.</t>
        </is>
      </c>
      <c r="C84" s="596" t="inlineStr">
        <is>
          <t>CIF B91871483</t>
        </is>
      </c>
      <c r="D84" s="596" t="inlineStr">
        <is>
          <t>2011-001</t>
        </is>
      </c>
      <c r="E84" s="599" t="n">
        <v>0</v>
      </c>
      <c r="F84" s="612">
        <f>IF( OR(ISNUMBER(SEARCH("NIF",C84)),ISNUMBER(SEARCH("CIF",C84)),ISNUMBER(SEARCH("NIE",C84))), MID(C84,5,LEN(C84)), C84)</f>
        <v/>
      </c>
      <c r="G84" s="611" t="inlineStr">
        <is>
          <t>nif</t>
        </is>
      </c>
      <c r="H84" s="613">
        <f>F84</f>
        <v/>
      </c>
      <c r="I84" s="614">
        <f>VLOOKUP(B84,DATOS!B:D,3,FALSE)</f>
        <v/>
      </c>
      <c r="J84" s="614">
        <f>MID(VLOOKUP(B84,DATOS!B:E,4,FALSE),1,5)</f>
        <v/>
      </c>
      <c r="K84" s="614">
        <f>MID(VLOOKUP(B84,DATOS!B:E,4,FALSE),7,LEN(VLOOKUP(B84,DATOS!B:E,4,FALSE)))</f>
        <v/>
      </c>
      <c r="L84" s="614">
        <f>K84</f>
        <v/>
      </c>
      <c r="M84" s="615" t="inlineStr">
        <is>
          <t>R</t>
        </is>
      </c>
      <c r="N84" s="615" t="inlineStr">
        <is>
          <t>ESP</t>
        </is>
      </c>
      <c r="O84" s="629" t="inlineStr">
        <is>
          <t>--</t>
        </is>
      </c>
      <c r="P84" s="629" t="inlineStr">
        <is>
          <t>--</t>
        </is>
      </c>
      <c r="Q84" s="615" t="inlineStr">
        <is>
          <t>EUR</t>
        </is>
      </c>
      <c r="R84" s="640" t="inlineStr">
        <is>
          <t>01</t>
        </is>
      </c>
      <c r="S84" s="611" t="inlineStr">
        <is>
          <t>FALSE</t>
        </is>
      </c>
      <c r="T84" s="595" t="inlineStr">
        <is>
          <t xml:space="preserve"> </t>
        </is>
      </c>
      <c r="U84" s="616" t="inlineStr">
        <is>
          <t>https://www.facturantia.com/API/proformas_receptor.php</t>
        </is>
      </c>
      <c r="V84" s="617" t="n">
        <v>6666</v>
      </c>
      <c r="W84" s="618" t="inlineStr">
        <is>
          <t>facturacion@abalados.es</t>
        </is>
      </c>
      <c r="X84" s="617" t="n">
        <v>762687769</v>
      </c>
      <c r="Z84" s="626" t="n"/>
    </row>
    <row r="85" ht="15" customFormat="1" customHeight="1" s="25">
      <c r="A85" s="636" t="inlineStr">
        <is>
          <t>J</t>
        </is>
      </c>
      <c r="B85" s="1" t="inlineStr">
        <is>
          <t>Lo Illán Parque Solar S.L.U.</t>
        </is>
      </c>
      <c r="C85" s="25" t="inlineStr">
        <is>
          <t>CIF B85978302</t>
        </is>
      </c>
      <c r="D85" s="25" t="inlineStr">
        <is>
          <t>2011-002</t>
        </is>
      </c>
      <c r="E85" s="598" t="n">
        <v>0.5</v>
      </c>
      <c r="F85" s="601">
        <f>IF( OR(ISNUMBER(SEARCH("NIF",C85)),ISNUMBER(SEARCH("CIF",C85)),ISNUMBER(SEARCH("NIE",C85))), MID(C85,5,LEN(C85)), C85)</f>
        <v/>
      </c>
      <c r="G85" s="339" t="inlineStr">
        <is>
          <t>nif</t>
        </is>
      </c>
      <c r="H85" s="602">
        <f>F85</f>
        <v/>
      </c>
      <c r="I85" s="603">
        <f>VLOOKUP(B85,DATOS!B:D,3,FALSE)</f>
        <v/>
      </c>
      <c r="J85" s="603">
        <f>MID(VLOOKUP(B85,DATOS!B:E,4,FALSE),1,5)</f>
        <v/>
      </c>
      <c r="K85" s="603">
        <f>MID(VLOOKUP(B85,DATOS!B:E,4,FALSE),7,LEN(VLOOKUP(B85,DATOS!B:E,4,FALSE)))</f>
        <v/>
      </c>
      <c r="L85" s="603">
        <f>K85</f>
        <v/>
      </c>
      <c r="M85" s="606" t="inlineStr">
        <is>
          <t>R</t>
        </is>
      </c>
      <c r="N85" s="606" t="inlineStr">
        <is>
          <t>ESP</t>
        </is>
      </c>
      <c r="O85" s="619" t="inlineStr">
        <is>
          <t>ES09 0128 9471 8401 0001 2465</t>
        </is>
      </c>
      <c r="P85" s="619" t="n"/>
      <c r="Q85" s="606" t="inlineStr">
        <is>
          <t>EUR</t>
        </is>
      </c>
      <c r="R85" s="640" t="inlineStr">
        <is>
          <t>01</t>
        </is>
      </c>
      <c r="S85" s="339" t="inlineStr">
        <is>
          <t>FALSE</t>
        </is>
      </c>
      <c r="T85" s="1" t="inlineStr">
        <is>
          <t xml:space="preserve"> </t>
        </is>
      </c>
      <c r="U85" s="608" t="inlineStr">
        <is>
          <t>https://www.facturantia.com/API/proformas_receptor.php</t>
        </is>
      </c>
      <c r="V85" s="609" t="n">
        <v>6666</v>
      </c>
      <c r="W85" s="610" t="inlineStr">
        <is>
          <t>facturacion@abalados.es</t>
        </is>
      </c>
      <c r="X85" s="609" t="n">
        <v>762687769</v>
      </c>
      <c r="Z85" s="624" t="n">
        <v>45951</v>
      </c>
    </row>
    <row r="86" ht="15" customFormat="1" customHeight="1" s="25">
      <c r="A86" s="636" t="inlineStr">
        <is>
          <t>J</t>
        </is>
      </c>
      <c r="B86" s="1" t="inlineStr">
        <is>
          <t>Contreras Parque Solar S.L.U.</t>
        </is>
      </c>
      <c r="C86" s="25" t="inlineStr">
        <is>
          <t>CIF B85978294</t>
        </is>
      </c>
      <c r="D86" s="25" t="inlineStr">
        <is>
          <t>2011-003</t>
        </is>
      </c>
      <c r="E86" s="598" t="n">
        <v>0.5</v>
      </c>
      <c r="F86" s="601">
        <f>IF( OR(ISNUMBER(SEARCH("NIF",C86)),ISNUMBER(SEARCH("CIF",C86)),ISNUMBER(SEARCH("NIE",C86))), MID(C86,5,LEN(C86)), C86)</f>
        <v/>
      </c>
      <c r="G86" s="339" t="inlineStr">
        <is>
          <t>nif</t>
        </is>
      </c>
      <c r="H86" s="602">
        <f>F86</f>
        <v/>
      </c>
      <c r="I86" s="603">
        <f>VLOOKUP(B86,DATOS!B:D,3,FALSE)</f>
        <v/>
      </c>
      <c r="J86" s="603">
        <f>MID(VLOOKUP(B86,DATOS!B:E,4,FALSE),1,5)</f>
        <v/>
      </c>
      <c r="K86" s="603">
        <f>MID(VLOOKUP(B86,DATOS!B:E,4,FALSE),7,LEN(VLOOKUP(B86,DATOS!B:E,4,FALSE)))</f>
        <v/>
      </c>
      <c r="L86" s="603">
        <f>K86</f>
        <v/>
      </c>
      <c r="M86" s="606" t="inlineStr">
        <is>
          <t>R</t>
        </is>
      </c>
      <c r="N86" s="606" t="inlineStr">
        <is>
          <t>ESP</t>
        </is>
      </c>
      <c r="O86" s="619" t="inlineStr">
        <is>
          <t>ES29 0128 9471 8501 0001 2444</t>
        </is>
      </c>
      <c r="P86" s="619" t="n"/>
      <c r="Q86" s="606" t="inlineStr">
        <is>
          <t>EUR</t>
        </is>
      </c>
      <c r="R86" s="640" t="inlineStr">
        <is>
          <t>01</t>
        </is>
      </c>
      <c r="S86" s="339" t="inlineStr">
        <is>
          <t>FALSE</t>
        </is>
      </c>
      <c r="T86" s="1" t="inlineStr">
        <is>
          <t xml:space="preserve"> </t>
        </is>
      </c>
      <c r="U86" s="608" t="inlineStr">
        <is>
          <t>https://www.facturantia.com/API/proformas_receptor.php</t>
        </is>
      </c>
      <c r="V86" s="609" t="n">
        <v>6666</v>
      </c>
      <c r="W86" s="610" t="inlineStr">
        <is>
          <t>facturacion@abalados.es</t>
        </is>
      </c>
      <c r="X86" s="609" t="n">
        <v>762687769</v>
      </c>
      <c r="Z86" s="624" t="n">
        <v>45951</v>
      </c>
    </row>
    <row r="87" ht="15" customFormat="1" customHeight="1" s="25">
      <c r="A87" s="636" t="inlineStr">
        <is>
          <t>J</t>
        </is>
      </c>
      <c r="B87" s="1" t="inlineStr">
        <is>
          <t>Turbinto Parque Solar S.L.U.</t>
        </is>
      </c>
      <c r="C87" s="1" t="inlineStr">
        <is>
          <t>CIF B85978393</t>
        </is>
      </c>
      <c r="D87" s="25" t="inlineStr">
        <is>
          <t>2011-004</t>
        </is>
      </c>
      <c r="E87" s="598" t="n">
        <v>0.5</v>
      </c>
      <c r="F87" s="601">
        <f>IF( OR(ISNUMBER(SEARCH("NIF",C87)),ISNUMBER(SEARCH("CIF",C87)),ISNUMBER(SEARCH("NIE",C87))), MID(C87,5,LEN(C87)), C87)</f>
        <v/>
      </c>
      <c r="G87" s="339" t="inlineStr">
        <is>
          <t>nif</t>
        </is>
      </c>
      <c r="H87" s="602">
        <f>F87</f>
        <v/>
      </c>
      <c r="I87" s="603">
        <f>VLOOKUP(B87,DATOS!B:D,3,FALSE)</f>
        <v/>
      </c>
      <c r="J87" s="603">
        <f>MID(VLOOKUP(B87,DATOS!B:E,4,FALSE),1,5)</f>
        <v/>
      </c>
      <c r="K87" s="603">
        <f>MID(VLOOKUP(B87,DATOS!B:E,4,FALSE),7,LEN(VLOOKUP(B87,DATOS!B:E,4,FALSE)))</f>
        <v/>
      </c>
      <c r="L87" s="603">
        <f>K87</f>
        <v/>
      </c>
      <c r="M87" s="606" t="inlineStr">
        <is>
          <t>R</t>
        </is>
      </c>
      <c r="N87" s="606" t="inlineStr">
        <is>
          <t>ESP</t>
        </is>
      </c>
      <c r="O87" s="619" t="inlineStr">
        <is>
          <t>ES57 0128 9471 8801 0001 2472</t>
        </is>
      </c>
      <c r="P87" s="619" t="n"/>
      <c r="Q87" s="606" t="inlineStr">
        <is>
          <t>EUR</t>
        </is>
      </c>
      <c r="R87" s="640" t="inlineStr">
        <is>
          <t>01</t>
        </is>
      </c>
      <c r="S87" s="339" t="inlineStr">
        <is>
          <t>FALSE</t>
        </is>
      </c>
      <c r="T87" s="1" t="inlineStr">
        <is>
          <t xml:space="preserve"> </t>
        </is>
      </c>
      <c r="U87" s="608" t="inlineStr">
        <is>
          <t>https://www.facturantia.com/API/proformas_receptor.php</t>
        </is>
      </c>
      <c r="V87" s="609" t="n">
        <v>6666</v>
      </c>
      <c r="W87" s="610" t="inlineStr">
        <is>
          <t>facturacion@abalados.es</t>
        </is>
      </c>
      <c r="X87" s="609" t="n">
        <v>762687769</v>
      </c>
      <c r="Z87" s="624" t="n">
        <v>45951</v>
      </c>
    </row>
    <row r="88" ht="15" customFormat="1" customHeight="1" s="25">
      <c r="A88" s="637" t="inlineStr">
        <is>
          <t>J</t>
        </is>
      </c>
      <c r="B88" s="25" t="inlineStr">
        <is>
          <t xml:space="preserve">Rasteding PV I, S.L.U. </t>
        </is>
      </c>
      <c r="C88" s="25" t="inlineStr">
        <is>
          <t>CIF B25690827</t>
        </is>
      </c>
      <c r="D88" s="25" t="inlineStr">
        <is>
          <t>2011-005</t>
        </is>
      </c>
      <c r="E88" s="598" t="n">
        <v>0.5</v>
      </c>
      <c r="F88" s="601">
        <f>IF( OR(ISNUMBER(SEARCH("NIF",C88)),ISNUMBER(SEARCH("CIF",C88)),ISNUMBER(SEARCH("NIE",C88))), MID(C88,5,LEN(C88)), C88)</f>
        <v/>
      </c>
      <c r="G88" s="339" t="inlineStr">
        <is>
          <t>nif</t>
        </is>
      </c>
      <c r="H88" s="602">
        <f>F88</f>
        <v/>
      </c>
      <c r="I88" s="603">
        <f>VLOOKUP(B88,DATOS!B:D,3,FALSE)</f>
        <v/>
      </c>
      <c r="J88" s="603">
        <f>MID(VLOOKUP(B88,DATOS!B:E,4,FALSE),1,5)</f>
        <v/>
      </c>
      <c r="K88" s="603">
        <f>MID(VLOOKUP(B88,DATOS!B:E,4,FALSE),7,LEN(VLOOKUP(B88,DATOS!B:E,4,FALSE)))</f>
        <v/>
      </c>
      <c r="L88" s="603">
        <f>K88</f>
        <v/>
      </c>
      <c r="M88" s="606" t="inlineStr">
        <is>
          <t>R</t>
        </is>
      </c>
      <c r="N88" s="606" t="inlineStr">
        <is>
          <t>ESP</t>
        </is>
      </c>
      <c r="O88" s="619" t="inlineStr">
        <is>
          <t>ES50 0159 0001 3236 6243 4978</t>
        </is>
      </c>
      <c r="P88" s="619" t="n"/>
      <c r="Q88" s="606" t="inlineStr">
        <is>
          <t>EUR</t>
        </is>
      </c>
      <c r="R88" s="640" t="inlineStr">
        <is>
          <t>01</t>
        </is>
      </c>
      <c r="S88" s="339" t="inlineStr">
        <is>
          <t>FALSE</t>
        </is>
      </c>
      <c r="T88" s="1" t="inlineStr">
        <is>
          <t xml:space="preserve"> </t>
        </is>
      </c>
      <c r="U88" s="608" t="inlineStr">
        <is>
          <t>https://www.facturantia.com/API/proformas_receptor.php</t>
        </is>
      </c>
      <c r="V88" s="609" t="n">
        <v>6666</v>
      </c>
      <c r="W88" s="610" t="inlineStr">
        <is>
          <t>facturacion@abalados.es</t>
        </is>
      </c>
      <c r="X88" s="609" t="n">
        <v>762687769</v>
      </c>
      <c r="Z88" s="624" t="n">
        <v>45951</v>
      </c>
    </row>
    <row r="89" ht="15" customFormat="1" customHeight="1" s="25">
      <c r="A89" s="637" t="inlineStr">
        <is>
          <t>J</t>
        </is>
      </c>
      <c r="B89" s="25" t="inlineStr">
        <is>
          <t>Amberg II S.L.U.</t>
        </is>
      </c>
      <c r="C89" s="25" t="inlineStr">
        <is>
          <t>CIF B25703596</t>
        </is>
      </c>
      <c r="D89" s="25" t="inlineStr">
        <is>
          <t>2011-006</t>
        </is>
      </c>
      <c r="E89" s="598" t="n">
        <v>0.5</v>
      </c>
      <c r="F89" s="601">
        <f>IF( OR(ISNUMBER(SEARCH("NIF",C89)),ISNUMBER(SEARCH("CIF",C89)),ISNUMBER(SEARCH("NIE",C89))), MID(C89,5,LEN(C89)), C89)</f>
        <v/>
      </c>
      <c r="G89" s="339" t="inlineStr">
        <is>
          <t>nif</t>
        </is>
      </c>
      <c r="H89" s="602">
        <f>F89</f>
        <v/>
      </c>
      <c r="I89" s="603">
        <f>VLOOKUP(B89,DATOS!B:D,3,FALSE)</f>
        <v/>
      </c>
      <c r="J89" s="603">
        <f>MID(VLOOKUP(B89,DATOS!B:E,4,FALSE),1,5)</f>
        <v/>
      </c>
      <c r="K89" s="603">
        <f>MID(VLOOKUP(B89,DATOS!B:E,4,FALSE),7,LEN(VLOOKUP(B89,DATOS!B:E,4,FALSE)))</f>
        <v/>
      </c>
      <c r="L89" s="603">
        <f>K89</f>
        <v/>
      </c>
      <c r="M89" s="606" t="inlineStr">
        <is>
          <t>R</t>
        </is>
      </c>
      <c r="N89" s="606" t="inlineStr">
        <is>
          <t>ESP</t>
        </is>
      </c>
      <c r="O89" s="619" t="inlineStr">
        <is>
          <t>ES31 0159 0001 3236 6281 4978</t>
        </is>
      </c>
      <c r="P89" s="619" t="n"/>
      <c r="Q89" s="606" t="inlineStr">
        <is>
          <t>EUR</t>
        </is>
      </c>
      <c r="R89" s="640" t="inlineStr">
        <is>
          <t>01</t>
        </is>
      </c>
      <c r="S89" s="339" t="inlineStr">
        <is>
          <t>FALSE</t>
        </is>
      </c>
      <c r="T89" s="1" t="inlineStr">
        <is>
          <t xml:space="preserve"> </t>
        </is>
      </c>
      <c r="U89" s="608" t="inlineStr">
        <is>
          <t>https://www.facturantia.com/API/proformas_receptor.php</t>
        </is>
      </c>
      <c r="V89" s="609" t="n">
        <v>6666</v>
      </c>
      <c r="W89" s="610" t="inlineStr">
        <is>
          <t>facturacion@abalados.es</t>
        </is>
      </c>
      <c r="X89" s="609" t="n">
        <v>762687769</v>
      </c>
      <c r="Z89" s="624" t="n">
        <v>45951</v>
      </c>
    </row>
    <row r="90" ht="15" customFormat="1" customHeight="1" s="25">
      <c r="A90" s="637" t="inlineStr">
        <is>
          <t>J</t>
        </is>
      </c>
      <c r="B90" s="25" t="inlineStr">
        <is>
          <t>Tiksi PV II S.L.U.</t>
        </is>
      </c>
      <c r="C90" s="25" t="inlineStr">
        <is>
          <t>CIF B25680067</t>
        </is>
      </c>
      <c r="D90" s="25" t="inlineStr">
        <is>
          <t>2011-007</t>
        </is>
      </c>
      <c r="E90" s="598" t="n">
        <v>0.5</v>
      </c>
      <c r="F90" s="601">
        <f>IF( OR(ISNUMBER(SEARCH("NIF",C90)),ISNUMBER(SEARCH("CIF",C90)),ISNUMBER(SEARCH("NIE",C90))), MID(C90,5,LEN(C90)), C90)</f>
        <v/>
      </c>
      <c r="G90" s="339" t="inlineStr">
        <is>
          <t>nif</t>
        </is>
      </c>
      <c r="H90" s="602">
        <f>F90</f>
        <v/>
      </c>
      <c r="I90" s="603">
        <f>VLOOKUP(B90,DATOS!B:D,3,FALSE)</f>
        <v/>
      </c>
      <c r="J90" s="603">
        <f>MID(VLOOKUP(B90,DATOS!B:E,4,FALSE),1,5)</f>
        <v/>
      </c>
      <c r="K90" s="603">
        <f>MID(VLOOKUP(B90,DATOS!B:E,4,FALSE),7,LEN(VLOOKUP(B90,DATOS!B:E,4,FALSE)))</f>
        <v/>
      </c>
      <c r="L90" s="603">
        <f>K90</f>
        <v/>
      </c>
      <c r="M90" s="606" t="inlineStr">
        <is>
          <t>R</t>
        </is>
      </c>
      <c r="N90" s="606" t="inlineStr">
        <is>
          <t>ESP</t>
        </is>
      </c>
      <c r="O90" s="619" t="inlineStr">
        <is>
          <t>ES50 0159 0001 3736 6283 0978</t>
        </is>
      </c>
      <c r="P90" s="619" t="n"/>
      <c r="Q90" s="606" t="inlineStr">
        <is>
          <t>EUR</t>
        </is>
      </c>
      <c r="R90" s="640" t="inlineStr">
        <is>
          <t>01</t>
        </is>
      </c>
      <c r="S90" s="339" t="inlineStr">
        <is>
          <t>FALSE</t>
        </is>
      </c>
      <c r="T90" s="1" t="inlineStr">
        <is>
          <t xml:space="preserve"> </t>
        </is>
      </c>
      <c r="U90" s="608" t="inlineStr">
        <is>
          <t>https://www.facturantia.com/API/proformas_receptor.php</t>
        </is>
      </c>
      <c r="V90" s="609" t="n">
        <v>6666</v>
      </c>
      <c r="W90" s="610" t="inlineStr">
        <is>
          <t>facturacion@abalados.es</t>
        </is>
      </c>
      <c r="X90" s="609" t="n">
        <v>762687769</v>
      </c>
      <c r="Z90" s="624" t="n">
        <v>45951</v>
      </c>
    </row>
    <row r="91" ht="15" customFormat="1" customHeight="1" s="25">
      <c r="A91" s="637" t="inlineStr">
        <is>
          <t>J</t>
        </is>
      </c>
      <c r="B91" s="25" t="inlineStr">
        <is>
          <t>Solar Photo Corp S.L.U.</t>
        </is>
      </c>
      <c r="C91" s="25" t="inlineStr">
        <is>
          <t>CIF B98174642</t>
        </is>
      </c>
      <c r="D91" s="25" t="inlineStr">
        <is>
          <t>2011-008</t>
        </is>
      </c>
      <c r="E91" s="598" t="n">
        <v>0.5</v>
      </c>
      <c r="F91" s="601">
        <f>IF( OR(ISNUMBER(SEARCH("NIF",C91)),ISNUMBER(SEARCH("CIF",C91)),ISNUMBER(SEARCH("NIE",C91))), MID(C91,5,LEN(C91)), C91)</f>
        <v/>
      </c>
      <c r="G91" s="339" t="inlineStr">
        <is>
          <t>nif</t>
        </is>
      </c>
      <c r="H91" s="602">
        <f>F91</f>
        <v/>
      </c>
      <c r="I91" s="603">
        <f>VLOOKUP(B91,DATOS!B:D,3,FALSE)</f>
        <v/>
      </c>
      <c r="J91" s="603">
        <f>MID(VLOOKUP(B91,DATOS!B:E,4,FALSE),1,5)</f>
        <v/>
      </c>
      <c r="K91" s="603">
        <f>MID(VLOOKUP(B91,DATOS!B:E,4,FALSE),7,LEN(VLOOKUP(B91,DATOS!B:E,4,FALSE)))</f>
        <v/>
      </c>
      <c r="L91" s="603">
        <f>K91</f>
        <v/>
      </c>
      <c r="M91" s="606" t="inlineStr">
        <is>
          <t>R</t>
        </is>
      </c>
      <c r="N91" s="606" t="inlineStr">
        <is>
          <t>ESP</t>
        </is>
      </c>
      <c r="O91" s="619" t="inlineStr">
        <is>
          <t>ES15 0159 0001 3136 6282 2978</t>
        </is>
      </c>
      <c r="P91" s="619" t="n"/>
      <c r="Q91" s="606" t="inlineStr">
        <is>
          <t>EUR</t>
        </is>
      </c>
      <c r="R91" s="640" t="inlineStr">
        <is>
          <t>01</t>
        </is>
      </c>
      <c r="S91" s="339" t="inlineStr">
        <is>
          <t>FALSE</t>
        </is>
      </c>
      <c r="T91" s="1" t="inlineStr">
        <is>
          <t xml:space="preserve"> </t>
        </is>
      </c>
      <c r="U91" s="608" t="inlineStr">
        <is>
          <t>https://www.facturantia.com/API/proformas_receptor.php</t>
        </is>
      </c>
      <c r="V91" s="609" t="n">
        <v>6666</v>
      </c>
      <c r="W91" s="610" t="inlineStr">
        <is>
          <t>facturacion@abalados.es</t>
        </is>
      </c>
      <c r="X91" s="609" t="n">
        <v>762687769</v>
      </c>
      <c r="Z91" s="624" t="n">
        <v>45951</v>
      </c>
    </row>
    <row r="92" ht="15" customFormat="1" customHeight="1" s="25">
      <c r="A92" s="339" t="inlineStr">
        <is>
          <t>J</t>
        </is>
      </c>
      <c r="B92" s="1" t="inlineStr">
        <is>
          <t>Golf de El Puerto, S.A.</t>
        </is>
      </c>
      <c r="C92" s="1" t="inlineStr">
        <is>
          <t>CIF A11454345</t>
        </is>
      </c>
      <c r="D92" s="25" t="inlineStr">
        <is>
          <t>2012-001</t>
        </is>
      </c>
      <c r="E92" s="598" t="n">
        <v>0</v>
      </c>
      <c r="F92" s="601">
        <f>IF( OR(ISNUMBER(SEARCH("NIF",C92)),ISNUMBER(SEARCH("CIF",C92)),ISNUMBER(SEARCH("NIE",C92))), MID(C92,5,LEN(C92)), C92)</f>
        <v/>
      </c>
      <c r="G92" s="339" t="inlineStr">
        <is>
          <t>nif</t>
        </is>
      </c>
      <c r="H92" s="602">
        <f>F92</f>
        <v/>
      </c>
      <c r="I92" s="603">
        <f>VLOOKUP(B92,DATOS!B:D,3,FALSE)</f>
        <v/>
      </c>
      <c r="J92" s="603">
        <f>MID(VLOOKUP(B92,DATOS!B:E,4,FALSE),1,5)</f>
        <v/>
      </c>
      <c r="K92" s="603">
        <f>MID(VLOOKUP(B92,DATOS!B:E,4,FALSE),7,LEN(VLOOKUP(B92,DATOS!B:E,4,FALSE)))</f>
        <v/>
      </c>
      <c r="L92" s="603">
        <f>K92</f>
        <v/>
      </c>
      <c r="M92" s="606" t="inlineStr">
        <is>
          <t>R</t>
        </is>
      </c>
      <c r="N92" s="606" t="inlineStr">
        <is>
          <t>ESP</t>
        </is>
      </c>
      <c r="O92" s="628" t="inlineStr">
        <is>
          <t>--</t>
        </is>
      </c>
      <c r="P92" s="628" t="inlineStr">
        <is>
          <t>--</t>
        </is>
      </c>
      <c r="Q92" s="606" t="inlineStr">
        <is>
          <t>EUR</t>
        </is>
      </c>
      <c r="R92" s="640" t="inlineStr">
        <is>
          <t>01</t>
        </is>
      </c>
      <c r="S92" s="339" t="inlineStr">
        <is>
          <t>FALSE</t>
        </is>
      </c>
      <c r="T92" s="1" t="inlineStr">
        <is>
          <t xml:space="preserve"> </t>
        </is>
      </c>
      <c r="U92" s="608" t="inlineStr">
        <is>
          <t>https://www.facturantia.com/API/proformas_receptor.php</t>
        </is>
      </c>
      <c r="V92" s="609" t="n">
        <v>6666</v>
      </c>
      <c r="W92" s="610" t="inlineStr">
        <is>
          <t>facturacion@abalados.es</t>
        </is>
      </c>
      <c r="X92" s="609" t="n">
        <v>762687769</v>
      </c>
      <c r="Z92" s="625" t="n"/>
    </row>
    <row r="93" ht="15" customFormat="1" customHeight="1" s="25">
      <c r="A93" s="339" t="inlineStr">
        <is>
          <t>J</t>
        </is>
      </c>
      <c r="B93" s="1" t="inlineStr">
        <is>
          <t>Altran Innovación S.L.</t>
        </is>
      </c>
      <c r="C93" s="1" t="inlineStr">
        <is>
          <t>CIF B80428972</t>
        </is>
      </c>
      <c r="D93" s="25" t="inlineStr">
        <is>
          <t>2013-001</t>
        </is>
      </c>
      <c r="E93" s="598" t="n">
        <v>0</v>
      </c>
      <c r="F93" s="601">
        <f>IF( OR(ISNUMBER(SEARCH("NIF",C93)),ISNUMBER(SEARCH("CIF",C93)),ISNUMBER(SEARCH("NIE",C93))), MID(C93,5,LEN(C93)), C93)</f>
        <v/>
      </c>
      <c r="G93" s="339" t="inlineStr">
        <is>
          <t>nif</t>
        </is>
      </c>
      <c r="H93" s="602">
        <f>F93</f>
        <v/>
      </c>
      <c r="I93" s="603">
        <f>VLOOKUP(B93,DATOS!B:D,3,FALSE)</f>
        <v/>
      </c>
      <c r="J93" s="603">
        <f>MID(VLOOKUP(B93,DATOS!B:E,4,FALSE),1,5)</f>
        <v/>
      </c>
      <c r="K93" s="603">
        <f>MID(VLOOKUP(B93,DATOS!B:E,4,FALSE),7,LEN(VLOOKUP(B93,DATOS!B:E,4,FALSE)))</f>
        <v/>
      </c>
      <c r="L93" s="603">
        <f>K93</f>
        <v/>
      </c>
      <c r="M93" s="606" t="inlineStr">
        <is>
          <t>R</t>
        </is>
      </c>
      <c r="N93" s="606" t="inlineStr">
        <is>
          <t>ESP</t>
        </is>
      </c>
      <c r="O93" s="628" t="inlineStr">
        <is>
          <t>--</t>
        </is>
      </c>
      <c r="P93" s="628" t="inlineStr">
        <is>
          <t>--</t>
        </is>
      </c>
      <c r="Q93" s="606" t="inlineStr">
        <is>
          <t>EUR</t>
        </is>
      </c>
      <c r="R93" s="640" t="inlineStr">
        <is>
          <t>01</t>
        </is>
      </c>
      <c r="S93" s="339" t="inlineStr">
        <is>
          <t>FALSE</t>
        </is>
      </c>
      <c r="T93" s="1" t="inlineStr">
        <is>
          <t xml:space="preserve"> </t>
        </is>
      </c>
      <c r="U93" s="608" t="inlineStr">
        <is>
          <t>https://www.facturantia.com/API/proformas_receptor.php</t>
        </is>
      </c>
      <c r="V93" s="609" t="n">
        <v>6666</v>
      </c>
      <c r="W93" s="610" t="inlineStr">
        <is>
          <t>facturacion@abalados.es</t>
        </is>
      </c>
      <c r="X93" s="609" t="n">
        <v>762687769</v>
      </c>
      <c r="Z93" s="625" t="n"/>
    </row>
    <row r="94" ht="15" customFormat="1" customHeight="1" s="25">
      <c r="A94" s="339" t="inlineStr">
        <is>
          <t>J</t>
        </is>
      </c>
      <c r="B94" s="25" t="inlineStr">
        <is>
          <t>Generacio Fotovoltaica SL</t>
        </is>
      </c>
      <c r="C94" s="25" t="inlineStr">
        <is>
          <t>CIF B57240939</t>
        </is>
      </c>
      <c r="D94" s="25" t="inlineStr">
        <is>
          <t>2014-001</t>
        </is>
      </c>
      <c r="E94" s="598" t="n">
        <v>0</v>
      </c>
      <c r="F94" s="601">
        <f>IF( OR(ISNUMBER(SEARCH("NIF",C94)),ISNUMBER(SEARCH("CIF",C94)),ISNUMBER(SEARCH("NIE",C94))), MID(C94,5,LEN(C94)), C94)</f>
        <v/>
      </c>
      <c r="G94" s="339" t="inlineStr">
        <is>
          <t>nif</t>
        </is>
      </c>
      <c r="H94" s="602">
        <f>F94</f>
        <v/>
      </c>
      <c r="I94" s="603">
        <f>VLOOKUP(B94,DATOS!B:D,3,FALSE)</f>
        <v/>
      </c>
      <c r="J94" s="603">
        <f>MID(VLOOKUP(B94,DATOS!B:E,4,FALSE),1,5)</f>
        <v/>
      </c>
      <c r="K94" s="603">
        <f>MID(VLOOKUP(B94,DATOS!B:E,4,FALSE),7,LEN(VLOOKUP(B94,DATOS!B:E,4,FALSE)))</f>
        <v/>
      </c>
      <c r="L94" s="603">
        <f>K94</f>
        <v/>
      </c>
      <c r="M94" s="606" t="inlineStr">
        <is>
          <t>R</t>
        </is>
      </c>
      <c r="N94" s="606" t="inlineStr">
        <is>
          <t>ESP</t>
        </is>
      </c>
      <c r="O94" s="628" t="inlineStr">
        <is>
          <t>--</t>
        </is>
      </c>
      <c r="P94" s="628" t="inlineStr">
        <is>
          <t>--</t>
        </is>
      </c>
      <c r="Q94" s="606" t="inlineStr">
        <is>
          <t>EUR</t>
        </is>
      </c>
      <c r="R94" s="640" t="inlineStr">
        <is>
          <t>01</t>
        </is>
      </c>
      <c r="S94" s="339" t="inlineStr">
        <is>
          <t>FALSE</t>
        </is>
      </c>
      <c r="T94" s="1" t="inlineStr">
        <is>
          <t xml:space="preserve"> </t>
        </is>
      </c>
      <c r="U94" s="608" t="inlineStr">
        <is>
          <t>https://www.facturantia.com/API/proformas_receptor.php</t>
        </is>
      </c>
      <c r="V94" s="609" t="n">
        <v>6666</v>
      </c>
      <c r="W94" s="610" t="inlineStr">
        <is>
          <t>facturacion@abalados.es</t>
        </is>
      </c>
      <c r="X94" s="609" t="n">
        <v>762687769</v>
      </c>
      <c r="Z94" s="625" t="n"/>
    </row>
    <row r="95" ht="15" customFormat="1" customHeight="1" s="25">
      <c r="A95" s="339" t="inlineStr">
        <is>
          <t>J</t>
        </is>
      </c>
      <c r="B95" s="25" t="inlineStr">
        <is>
          <t>Tractebel Engineering S.A. (Dubai Branch)</t>
        </is>
      </c>
      <c r="D95" s="25" t="inlineStr">
        <is>
          <t>2014-002</t>
        </is>
      </c>
      <c r="E95" s="598" t="n">
        <v>0</v>
      </c>
      <c r="F95" s="601">
        <f>IF( OR(ISNUMBER(SEARCH("NIF",C95)),ISNUMBER(SEARCH("CIF",C95)),ISNUMBER(SEARCH("NIE",C95))), MID(C95,5,LEN(C95)), C95)</f>
        <v/>
      </c>
      <c r="G95" s="339" t="inlineStr">
        <is>
          <t>nif</t>
        </is>
      </c>
      <c r="H95" s="602">
        <f>F95</f>
        <v/>
      </c>
      <c r="I95" s="603">
        <f>VLOOKUP(B95,DATOS!B:D,3,FALSE)</f>
        <v/>
      </c>
      <c r="K95" s="604" t="n"/>
      <c r="L95" s="605">
        <f>VLOOKUP(B95,DATOS!B:E,4,FALSE)</f>
        <v/>
      </c>
      <c r="M95" s="606" t="inlineStr">
        <is>
          <t>R</t>
        </is>
      </c>
      <c r="N95" s="339" t="inlineStr">
        <is>
          <t>EAU</t>
        </is>
      </c>
      <c r="O95" s="628" t="inlineStr">
        <is>
          <t>--</t>
        </is>
      </c>
      <c r="P95" s="628" t="inlineStr">
        <is>
          <t>--</t>
        </is>
      </c>
      <c r="Q95" s="606" t="inlineStr">
        <is>
          <t>EUR</t>
        </is>
      </c>
      <c r="R95" s="640" t="inlineStr">
        <is>
          <t>01</t>
        </is>
      </c>
      <c r="S95" s="339" t="inlineStr">
        <is>
          <t>FALSE</t>
        </is>
      </c>
      <c r="T95" s="1" t="inlineStr">
        <is>
          <t xml:space="preserve"> </t>
        </is>
      </c>
      <c r="U95" s="608" t="inlineStr">
        <is>
          <t>https://www.facturantia.com/API/proformas_receptor.php</t>
        </is>
      </c>
      <c r="V95" s="609" t="n">
        <v>6666</v>
      </c>
      <c r="W95" s="610" t="inlineStr">
        <is>
          <t>facturacion@abalados.es</t>
        </is>
      </c>
      <c r="X95" s="609" t="n">
        <v>762687769</v>
      </c>
      <c r="Z95" s="625" t="n"/>
    </row>
    <row r="96" ht="15" customFormat="1" customHeight="1" s="25">
      <c r="A96" s="339" t="inlineStr">
        <is>
          <t>J</t>
        </is>
      </c>
      <c r="B96" s="25" t="inlineStr">
        <is>
          <t xml:space="preserve">Progetti FV 6 di Progetti FV 6 SRL &amp; C. SAS </t>
        </is>
      </c>
      <c r="C96" s="25" t="inlineStr">
        <is>
          <t>07479180965</t>
        </is>
      </c>
      <c r="D96" s="25" t="inlineStr">
        <is>
          <t>2014-003</t>
        </is>
      </c>
      <c r="E96" s="598" t="n">
        <v>0</v>
      </c>
      <c r="F96" s="601">
        <f>IF( OR(ISNUMBER(SEARCH("NIF",C96)),ISNUMBER(SEARCH("CIF",C96)),ISNUMBER(SEARCH("NIE",C96))), MID(C96,5,LEN(C96)), C96)</f>
        <v/>
      </c>
      <c r="G96" s="339" t="inlineStr">
        <is>
          <t>nif</t>
        </is>
      </c>
      <c r="H96" s="602">
        <f>F96</f>
        <v/>
      </c>
      <c r="I96" s="603">
        <f>VLOOKUP(B96,DATOS!B:D,3,FALSE)</f>
        <v/>
      </c>
      <c r="J96" s="603">
        <f>MID(VLOOKUP(B96,DATOS!B:E,4,FALSE),1,5)</f>
        <v/>
      </c>
      <c r="K96" s="604" t="inlineStr">
        <is>
          <t>Lombardia</t>
        </is>
      </c>
      <c r="L96" s="604" t="inlineStr">
        <is>
          <t>Milano</t>
        </is>
      </c>
      <c r="M96" s="606" t="inlineStr">
        <is>
          <t>R</t>
        </is>
      </c>
      <c r="N96" s="339" t="inlineStr">
        <is>
          <t>IT</t>
        </is>
      </c>
      <c r="O96" s="628" t="inlineStr">
        <is>
          <t>--</t>
        </is>
      </c>
      <c r="P96" s="628" t="inlineStr">
        <is>
          <t>--</t>
        </is>
      </c>
      <c r="Q96" s="606" t="inlineStr">
        <is>
          <t>EUR</t>
        </is>
      </c>
      <c r="R96" s="640" t="inlineStr">
        <is>
          <t>01</t>
        </is>
      </c>
      <c r="S96" s="339" t="inlineStr">
        <is>
          <t>FALSE</t>
        </is>
      </c>
      <c r="T96" s="1" t="inlineStr">
        <is>
          <t xml:space="preserve"> </t>
        </is>
      </c>
      <c r="U96" s="608" t="inlineStr">
        <is>
          <t>https://www.facturantia.com/API/proformas_receptor.php</t>
        </is>
      </c>
      <c r="V96" s="609" t="n">
        <v>6666</v>
      </c>
      <c r="W96" s="610" t="inlineStr">
        <is>
          <t>facturacion@abalados.es</t>
        </is>
      </c>
      <c r="X96" s="609" t="n">
        <v>762687769</v>
      </c>
      <c r="Z96" s="625" t="n"/>
    </row>
    <row r="97" ht="15" customFormat="1" customHeight="1" s="25">
      <c r="A97" s="339" t="inlineStr">
        <is>
          <t>J</t>
        </is>
      </c>
      <c r="B97" s="25" t="inlineStr">
        <is>
          <t xml:space="preserve">Progetti FV 4 di Progetti FV 4 SRL &amp; C. SAS </t>
        </is>
      </c>
      <c r="C97" s="25" t="inlineStr">
        <is>
          <t>07479130960</t>
        </is>
      </c>
      <c r="D97" s="25" t="inlineStr">
        <is>
          <t>2014-004</t>
        </is>
      </c>
      <c r="E97" s="598" t="n">
        <v>0</v>
      </c>
      <c r="F97" s="601">
        <f>IF( OR(ISNUMBER(SEARCH("NIF",C97)),ISNUMBER(SEARCH("CIF",C97)),ISNUMBER(SEARCH("NIE",C97))), MID(C97,5,LEN(C97)), C97)</f>
        <v/>
      </c>
      <c r="G97" s="339" t="inlineStr">
        <is>
          <t>nif</t>
        </is>
      </c>
      <c r="H97" s="602">
        <f>F97</f>
        <v/>
      </c>
      <c r="I97" s="603">
        <f>VLOOKUP(B97,DATOS!B:D,3,FALSE)</f>
        <v/>
      </c>
      <c r="J97" s="603">
        <f>MID(VLOOKUP(B97,DATOS!B:E,4,FALSE),1,5)</f>
        <v/>
      </c>
      <c r="K97" s="604" t="inlineStr">
        <is>
          <t>Lombardia</t>
        </is>
      </c>
      <c r="L97" s="604" t="inlineStr">
        <is>
          <t>Milano</t>
        </is>
      </c>
      <c r="M97" s="606" t="inlineStr">
        <is>
          <t>R</t>
        </is>
      </c>
      <c r="N97" s="339" t="inlineStr">
        <is>
          <t>IT</t>
        </is>
      </c>
      <c r="O97" s="628" t="inlineStr">
        <is>
          <t>--</t>
        </is>
      </c>
      <c r="P97" s="628" t="inlineStr">
        <is>
          <t>--</t>
        </is>
      </c>
      <c r="Q97" s="606" t="inlineStr">
        <is>
          <t>EUR</t>
        </is>
      </c>
      <c r="R97" s="640" t="inlineStr">
        <is>
          <t>01</t>
        </is>
      </c>
      <c r="S97" s="339" t="inlineStr">
        <is>
          <t>FALSE</t>
        </is>
      </c>
      <c r="T97" s="1" t="inlineStr">
        <is>
          <t xml:space="preserve"> </t>
        </is>
      </c>
      <c r="U97" s="608" t="inlineStr">
        <is>
          <t>https://www.facturantia.com/API/proformas_receptor.php</t>
        </is>
      </c>
      <c r="V97" s="609" t="n">
        <v>6666</v>
      </c>
      <c r="W97" s="610" t="inlineStr">
        <is>
          <t>facturacion@abalados.es</t>
        </is>
      </c>
      <c r="X97" s="609" t="n">
        <v>762687769</v>
      </c>
      <c r="Z97" s="625" t="n"/>
    </row>
    <row r="98" ht="15" customFormat="1" customHeight="1" s="25">
      <c r="A98" s="339" t="inlineStr">
        <is>
          <t>J</t>
        </is>
      </c>
      <c r="B98" s="25" t="inlineStr">
        <is>
          <t xml:space="preserve">Progetti FV 5 di Progetti FV 5 SRL &amp; C. SAS </t>
        </is>
      </c>
      <c r="C98" s="25" t="inlineStr">
        <is>
          <t>07479160967</t>
        </is>
      </c>
      <c r="D98" s="25" t="inlineStr">
        <is>
          <t>2014-005</t>
        </is>
      </c>
      <c r="E98" s="598" t="n">
        <v>0</v>
      </c>
      <c r="F98" s="601">
        <f>IF( OR(ISNUMBER(SEARCH("NIF",C98)),ISNUMBER(SEARCH("CIF",C98)),ISNUMBER(SEARCH("NIE",C98))), MID(C98,5,LEN(C98)), C98)</f>
        <v/>
      </c>
      <c r="G98" s="339" t="inlineStr">
        <is>
          <t>nif</t>
        </is>
      </c>
      <c r="H98" s="602">
        <f>F98</f>
        <v/>
      </c>
      <c r="I98" s="603">
        <f>VLOOKUP(B98,DATOS!B:D,3,FALSE)</f>
        <v/>
      </c>
      <c r="J98" s="603">
        <f>MID(VLOOKUP(B98,DATOS!B:E,4,FALSE),1,5)</f>
        <v/>
      </c>
      <c r="K98" s="604" t="inlineStr">
        <is>
          <t>Lombardia</t>
        </is>
      </c>
      <c r="L98" s="604" t="inlineStr">
        <is>
          <t>Milano</t>
        </is>
      </c>
      <c r="M98" s="606" t="inlineStr">
        <is>
          <t>R</t>
        </is>
      </c>
      <c r="N98" s="339" t="inlineStr">
        <is>
          <t>IT</t>
        </is>
      </c>
      <c r="O98" s="628" t="inlineStr">
        <is>
          <t>--</t>
        </is>
      </c>
      <c r="P98" s="628" t="inlineStr">
        <is>
          <t>--</t>
        </is>
      </c>
      <c r="Q98" s="606" t="inlineStr">
        <is>
          <t>EUR</t>
        </is>
      </c>
      <c r="R98" s="640" t="inlineStr">
        <is>
          <t>01</t>
        </is>
      </c>
      <c r="S98" s="339" t="inlineStr">
        <is>
          <t>FALSE</t>
        </is>
      </c>
      <c r="T98" s="1" t="inlineStr">
        <is>
          <t xml:space="preserve"> </t>
        </is>
      </c>
      <c r="U98" s="608" t="inlineStr">
        <is>
          <t>https://www.facturantia.com/API/proformas_receptor.php</t>
        </is>
      </c>
      <c r="V98" s="609" t="n">
        <v>6666</v>
      </c>
      <c r="W98" s="610" t="inlineStr">
        <is>
          <t>facturacion@abalados.es</t>
        </is>
      </c>
      <c r="X98" s="609" t="n">
        <v>762687769</v>
      </c>
      <c r="Z98" s="625" t="n"/>
    </row>
    <row r="99" ht="15" customFormat="1" customHeight="1" s="25">
      <c r="A99" s="339" t="inlineStr">
        <is>
          <t>J</t>
        </is>
      </c>
      <c r="B99" s="25" t="inlineStr">
        <is>
          <t xml:space="preserve">Progetti FV 8 di Progetti FV 8 SRL &amp; C. SAS </t>
        </is>
      </c>
      <c r="C99" s="25" t="inlineStr">
        <is>
          <t>07479260965</t>
        </is>
      </c>
      <c r="D99" s="25" t="inlineStr">
        <is>
          <t>2014-006</t>
        </is>
      </c>
      <c r="E99" s="598" t="n">
        <v>0</v>
      </c>
      <c r="F99" s="601">
        <f>IF( OR(ISNUMBER(SEARCH("NIF",C99)),ISNUMBER(SEARCH("CIF",C99)),ISNUMBER(SEARCH("NIE",C99))), MID(C99,5,LEN(C99)), C99)</f>
        <v/>
      </c>
      <c r="G99" s="339" t="inlineStr">
        <is>
          <t>nif</t>
        </is>
      </c>
      <c r="H99" s="602">
        <f>F99</f>
        <v/>
      </c>
      <c r="I99" s="603">
        <f>VLOOKUP(B99,DATOS!B:D,3,FALSE)</f>
        <v/>
      </c>
      <c r="J99" s="603">
        <f>MID(VLOOKUP(B99,DATOS!B:E,4,FALSE),1,5)</f>
        <v/>
      </c>
      <c r="K99" s="604" t="inlineStr">
        <is>
          <t>Lombardia</t>
        </is>
      </c>
      <c r="L99" s="604" t="inlineStr">
        <is>
          <t>Milano</t>
        </is>
      </c>
      <c r="M99" s="606" t="inlineStr">
        <is>
          <t>R</t>
        </is>
      </c>
      <c r="N99" s="339" t="inlineStr">
        <is>
          <t>IT</t>
        </is>
      </c>
      <c r="O99" s="628" t="inlineStr">
        <is>
          <t>--</t>
        </is>
      </c>
      <c r="P99" s="628" t="inlineStr">
        <is>
          <t>--</t>
        </is>
      </c>
      <c r="Q99" s="606" t="inlineStr">
        <is>
          <t>EUR</t>
        </is>
      </c>
      <c r="R99" s="640" t="inlineStr">
        <is>
          <t>01</t>
        </is>
      </c>
      <c r="S99" s="339" t="inlineStr">
        <is>
          <t>FALSE</t>
        </is>
      </c>
      <c r="T99" s="1" t="inlineStr">
        <is>
          <t xml:space="preserve"> </t>
        </is>
      </c>
      <c r="U99" s="608" t="inlineStr">
        <is>
          <t>https://www.facturantia.com/API/proformas_receptor.php</t>
        </is>
      </c>
      <c r="V99" s="609" t="n">
        <v>6666</v>
      </c>
      <c r="W99" s="610" t="inlineStr">
        <is>
          <t>facturacion@abalados.es</t>
        </is>
      </c>
      <c r="X99" s="609" t="n">
        <v>762687769</v>
      </c>
      <c r="Z99" s="625" t="n"/>
    </row>
    <row r="100" ht="15" customFormat="1" customHeight="1" s="25">
      <c r="A100" s="339" t="inlineStr">
        <is>
          <t>J</t>
        </is>
      </c>
      <c r="B100" s="25" t="inlineStr">
        <is>
          <t>Progetti FV 9 di Progetti FV 9 SRL &amp; C. SAS</t>
        </is>
      </c>
      <c r="C100" s="25" t="inlineStr">
        <is>
          <t>07479270964</t>
        </is>
      </c>
      <c r="D100" s="25" t="inlineStr">
        <is>
          <t>2014-007</t>
        </is>
      </c>
      <c r="E100" s="598" t="n">
        <v>0</v>
      </c>
      <c r="F100" s="601">
        <f>IF( OR(ISNUMBER(SEARCH("NIF",C100)),ISNUMBER(SEARCH("CIF",C100)),ISNUMBER(SEARCH("NIE",C100))), MID(C100,5,LEN(C100)), C100)</f>
        <v/>
      </c>
      <c r="G100" s="339" t="inlineStr">
        <is>
          <t>nif</t>
        </is>
      </c>
      <c r="H100" s="602">
        <f>F100</f>
        <v/>
      </c>
      <c r="I100" s="603">
        <f>VLOOKUP(B100,DATOS!B:D,3,FALSE)</f>
        <v/>
      </c>
      <c r="J100" s="603">
        <f>MID(VLOOKUP(B100,DATOS!B:E,4,FALSE),1,5)</f>
        <v/>
      </c>
      <c r="K100" s="604" t="inlineStr">
        <is>
          <t>Lombardia</t>
        </is>
      </c>
      <c r="L100" s="604" t="inlineStr">
        <is>
          <t>Milano</t>
        </is>
      </c>
      <c r="M100" s="606" t="inlineStr">
        <is>
          <t>R</t>
        </is>
      </c>
      <c r="N100" s="339" t="inlineStr">
        <is>
          <t>IT</t>
        </is>
      </c>
      <c r="O100" s="628" t="inlineStr">
        <is>
          <t>--</t>
        </is>
      </c>
      <c r="P100" s="628" t="inlineStr">
        <is>
          <t>--</t>
        </is>
      </c>
      <c r="Q100" s="606" t="inlineStr">
        <is>
          <t>EUR</t>
        </is>
      </c>
      <c r="R100" s="640" t="inlineStr">
        <is>
          <t>01</t>
        </is>
      </c>
      <c r="S100" s="339" t="inlineStr">
        <is>
          <t>FALSE</t>
        </is>
      </c>
      <c r="T100" s="1" t="inlineStr">
        <is>
          <t xml:space="preserve"> </t>
        </is>
      </c>
      <c r="U100" s="608" t="inlineStr">
        <is>
          <t>https://www.facturantia.com/API/proformas_receptor.php</t>
        </is>
      </c>
      <c r="V100" s="609" t="n">
        <v>6666</v>
      </c>
      <c r="W100" s="610" t="inlineStr">
        <is>
          <t>facturacion@abalados.es</t>
        </is>
      </c>
      <c r="X100" s="609" t="n">
        <v>762687769</v>
      </c>
      <c r="Z100" s="625" t="n"/>
    </row>
    <row r="101" ht="15" customFormat="1" customHeight="1" s="25">
      <c r="A101" s="339" t="inlineStr">
        <is>
          <t>J</t>
        </is>
      </c>
      <c r="B101" s="25" t="inlineStr">
        <is>
          <t>WOC Asset Management GmbH</t>
        </is>
      </c>
      <c r="C101" s="25" t="inlineStr">
        <is>
          <t>DE270589072</t>
        </is>
      </c>
      <c r="D101" s="25" t="inlineStr">
        <is>
          <t>2014-008</t>
        </is>
      </c>
      <c r="E101" s="598" t="n">
        <v>0</v>
      </c>
      <c r="F101" s="601">
        <f>IF( OR(ISNUMBER(SEARCH("NIF",C101)),ISNUMBER(SEARCH("CIF",C101)),ISNUMBER(SEARCH("NIE",C101))), MID(C101,5,LEN(C101)), C101)</f>
        <v/>
      </c>
      <c r="G101" s="339" t="inlineStr">
        <is>
          <t>nif</t>
        </is>
      </c>
      <c r="H101" s="602">
        <f>F101</f>
        <v/>
      </c>
      <c r="I101" s="603">
        <f>VLOOKUP(B101,DATOS!B:D,3,FALSE)</f>
        <v/>
      </c>
      <c r="J101" s="603">
        <f>MID(VLOOKUP(B101,DATOS!B:E,4,FALSE),1,5)</f>
        <v/>
      </c>
      <c r="K101" s="603">
        <f>MID(VLOOKUP(B101,DATOS!B:E,4,FALSE),7,LEN(VLOOKUP(B101,DATOS!B:E,4,FALSE)))</f>
        <v/>
      </c>
      <c r="L101" s="603">
        <f>K101</f>
        <v/>
      </c>
      <c r="M101" s="606" t="inlineStr">
        <is>
          <t>R</t>
        </is>
      </c>
      <c r="N101" s="339" t="inlineStr">
        <is>
          <t>DE</t>
        </is>
      </c>
      <c r="O101" s="628" t="inlineStr">
        <is>
          <t>--</t>
        </is>
      </c>
      <c r="P101" s="628" t="inlineStr">
        <is>
          <t>--</t>
        </is>
      </c>
      <c r="Q101" s="606" t="inlineStr">
        <is>
          <t>EUR</t>
        </is>
      </c>
      <c r="R101" s="640" t="inlineStr">
        <is>
          <t>01</t>
        </is>
      </c>
      <c r="S101" s="339" t="inlineStr">
        <is>
          <t>FALSE</t>
        </is>
      </c>
      <c r="T101" s="1" t="inlineStr">
        <is>
          <t xml:space="preserve"> </t>
        </is>
      </c>
      <c r="U101" s="608" t="inlineStr">
        <is>
          <t>https://www.facturantia.com/API/proformas_receptor.php</t>
        </is>
      </c>
      <c r="V101" s="609" t="n">
        <v>6666</v>
      </c>
      <c r="W101" s="610" t="inlineStr">
        <is>
          <t>facturacion@abalados.es</t>
        </is>
      </c>
      <c r="X101" s="609" t="n">
        <v>762687769</v>
      </c>
      <c r="Z101" s="625" t="n"/>
    </row>
    <row r="102" ht="15" customFormat="1" customHeight="1" s="25">
      <c r="A102" s="339" t="inlineStr">
        <is>
          <t>J</t>
        </is>
      </c>
      <c r="B102" s="685" t="inlineStr">
        <is>
          <t>Boralex Solaire Lauragais SAS</t>
        </is>
      </c>
      <c r="C102" s="25" t="inlineStr">
        <is>
          <t>FR62520618158</t>
        </is>
      </c>
      <c r="D102" s="25" t="inlineStr">
        <is>
          <t>2014-009</t>
        </is>
      </c>
      <c r="E102" s="598" t="n">
        <v>0</v>
      </c>
      <c r="F102" s="601">
        <f>IF( OR(ISNUMBER(SEARCH("NIF",C102)),ISNUMBER(SEARCH("CIF",C102)),ISNUMBER(SEARCH("NIE",C102))), MID(C102,5,LEN(C102)), C102)</f>
        <v/>
      </c>
      <c r="G102" s="339" t="inlineStr">
        <is>
          <t>nif</t>
        </is>
      </c>
      <c r="H102" s="602">
        <f>F102</f>
        <v/>
      </c>
      <c r="I102" s="603">
        <f>VLOOKUP(B102,DATOS!B:D,3,FALSE)</f>
        <v/>
      </c>
      <c r="J102" s="603">
        <f>MID(VLOOKUP(B102,DATOS!B:E,4,FALSE),1,5)</f>
        <v/>
      </c>
      <c r="K102" s="604" t="inlineStr">
        <is>
          <t>Pas-de-Calais</t>
        </is>
      </c>
      <c r="L102" s="604" t="inlineStr">
        <is>
          <t>Blendecques</t>
        </is>
      </c>
      <c r="M102" s="606" t="inlineStr">
        <is>
          <t>R</t>
        </is>
      </c>
      <c r="N102" s="339" t="inlineStr">
        <is>
          <t>FR</t>
        </is>
      </c>
      <c r="O102" s="628" t="inlineStr">
        <is>
          <t>--</t>
        </is>
      </c>
      <c r="P102" s="628" t="inlineStr">
        <is>
          <t>--</t>
        </is>
      </c>
      <c r="Q102" s="606" t="inlineStr">
        <is>
          <t>EUR</t>
        </is>
      </c>
      <c r="R102" s="640" t="inlineStr">
        <is>
          <t>01</t>
        </is>
      </c>
      <c r="S102" s="339" t="inlineStr">
        <is>
          <t>FALSE</t>
        </is>
      </c>
      <c r="T102" s="1" t="inlineStr">
        <is>
          <t xml:space="preserve"> </t>
        </is>
      </c>
      <c r="U102" s="608" t="inlineStr">
        <is>
          <t>https://www.facturantia.com/API/proformas_receptor.php</t>
        </is>
      </c>
      <c r="V102" s="609" t="n">
        <v>6666</v>
      </c>
      <c r="W102" s="610" t="inlineStr">
        <is>
          <t>facturacion@abalados.es</t>
        </is>
      </c>
      <c r="X102" s="609" t="n">
        <v>762687769</v>
      </c>
      <c r="Z102" s="625" t="n"/>
    </row>
    <row r="103" ht="15" customFormat="1" customHeight="1" s="25">
      <c r="A103" s="339" t="inlineStr">
        <is>
          <t>F</t>
        </is>
      </c>
      <c r="B103" s="25" t="inlineStr">
        <is>
          <t>Javier Valladares Ruiz</t>
        </is>
      </c>
      <c r="C103" s="25" t="inlineStr">
        <is>
          <t>NIF 45658133M</t>
        </is>
      </c>
      <c r="D103" s="25" t="inlineStr">
        <is>
          <t>2015-001</t>
        </is>
      </c>
      <c r="E103" s="598" t="n">
        <v>0</v>
      </c>
      <c r="F103" s="601">
        <f>IF( OR(ISNUMBER(SEARCH("NIF",C103)),ISNUMBER(SEARCH("CIF",C103)),ISNUMBER(SEARCH("NIE",C103))), MID(C103,5,LEN(C103)), C103)</f>
        <v/>
      </c>
      <c r="G103" s="339" t="inlineStr">
        <is>
          <t>nif</t>
        </is>
      </c>
      <c r="H103" s="602">
        <f>F103</f>
        <v/>
      </c>
      <c r="I103" s="603">
        <f>VLOOKUP(B103,DATOS!B:D,3,FALSE)</f>
        <v/>
      </c>
      <c r="J103" s="603">
        <f>MID(VLOOKUP(B103,DATOS!B:E,4,FALSE),1,5)</f>
        <v/>
      </c>
      <c r="K103" s="603">
        <f>MID(VLOOKUP(B103,DATOS!B:E,4,FALSE),7,LEN(VLOOKUP(B103,DATOS!B:E,4,FALSE)))</f>
        <v/>
      </c>
      <c r="L103" s="603">
        <f>K103</f>
        <v/>
      </c>
      <c r="M103" s="606" t="inlineStr">
        <is>
          <t>R</t>
        </is>
      </c>
      <c r="N103" s="606" t="inlineStr">
        <is>
          <t>ESP</t>
        </is>
      </c>
      <c r="O103" s="619" t="n"/>
      <c r="P103" s="619" t="n"/>
      <c r="Q103" s="606" t="inlineStr">
        <is>
          <t>EUR</t>
        </is>
      </c>
      <c r="R103" s="640" t="inlineStr">
        <is>
          <t>01</t>
        </is>
      </c>
      <c r="S103" s="607" t="inlineStr">
        <is>
          <t>TRUE</t>
        </is>
      </c>
      <c r="T103" t="inlineStr">
        <is>
          <t>25/AL</t>
        </is>
      </c>
      <c r="U103" s="608" t="inlineStr">
        <is>
          <t>https://www.facturantia.com/API/proformas_receptor.php</t>
        </is>
      </c>
      <c r="V103" s="609" t="n">
        <v>6666</v>
      </c>
      <c r="W103" s="610" t="inlineStr">
        <is>
          <t>facturacion@abalados.es</t>
        </is>
      </c>
      <c r="X103" s="609" t="n">
        <v>762687769</v>
      </c>
      <c r="Z103" s="625" t="n"/>
    </row>
    <row r="104" ht="15" customFormat="1" customHeight="1" s="25">
      <c r="A104" s="339" t="inlineStr">
        <is>
          <t>J</t>
        </is>
      </c>
      <c r="B104" s="25" t="inlineStr">
        <is>
          <t>The World Bank</t>
        </is>
      </c>
      <c r="D104" s="25" t="inlineStr">
        <is>
          <t>2015-002</t>
        </is>
      </c>
      <c r="E104" s="598" t="n">
        <v>0</v>
      </c>
      <c r="F104" s="601">
        <f>IF( OR(ISNUMBER(SEARCH("NIF",C104)),ISNUMBER(SEARCH("CIF",C104)),ISNUMBER(SEARCH("NIE",C104))), MID(C104,5,LEN(C104)), C104)</f>
        <v/>
      </c>
      <c r="G104" s="339" t="inlineStr">
        <is>
          <t>nif</t>
        </is>
      </c>
      <c r="H104" s="602">
        <f>F104</f>
        <v/>
      </c>
      <c r="I104" s="603">
        <f>VLOOKUP(B104,DATOS!B:D,3,FALSE)</f>
        <v/>
      </c>
      <c r="J104" s="603">
        <f>MID(VLOOKUP(B104,DATOS!B:E,4,FALSE),1,5)</f>
        <v/>
      </c>
      <c r="K104" s="603">
        <f>MID(VLOOKUP(B104,DATOS!B:E,4,FALSE),7,LEN(VLOOKUP(B104,DATOS!B:E,4,FALSE)))</f>
        <v/>
      </c>
      <c r="L104" s="603">
        <f>K104</f>
        <v/>
      </c>
      <c r="M104" s="606" t="inlineStr">
        <is>
          <t>R</t>
        </is>
      </c>
      <c r="N104" s="339" t="inlineStr">
        <is>
          <t>US</t>
        </is>
      </c>
      <c r="O104" s="628" t="inlineStr">
        <is>
          <t>--</t>
        </is>
      </c>
      <c r="P104" s="628" t="inlineStr">
        <is>
          <t>--</t>
        </is>
      </c>
      <c r="Q104" s="606" t="inlineStr">
        <is>
          <t>EUR</t>
        </is>
      </c>
      <c r="R104" s="640" t="inlineStr">
        <is>
          <t>01</t>
        </is>
      </c>
      <c r="S104" s="339" t="inlineStr">
        <is>
          <t>FALSE</t>
        </is>
      </c>
      <c r="T104" s="1" t="inlineStr">
        <is>
          <t xml:space="preserve"> </t>
        </is>
      </c>
      <c r="U104" s="608" t="inlineStr">
        <is>
          <t>https://www.facturantia.com/API/proformas_receptor.php</t>
        </is>
      </c>
      <c r="V104" s="609" t="n">
        <v>6666</v>
      </c>
      <c r="W104" s="610" t="inlineStr">
        <is>
          <t>facturacion@abalados.es</t>
        </is>
      </c>
      <c r="X104" s="609" t="n">
        <v>762687769</v>
      </c>
      <c r="Z104" s="625" t="n"/>
    </row>
    <row r="105" ht="15" customFormat="1" customHeight="1" s="25">
      <c r="A105" s="339" t="inlineStr">
        <is>
          <t>J</t>
        </is>
      </c>
      <c r="B105" s="25" t="inlineStr">
        <is>
          <t>Universidad Politécnica de Madrid. Instituto de Energía Solar</t>
        </is>
      </c>
      <c r="C105" t="inlineStr">
        <is>
          <t>Q2818015F</t>
        </is>
      </c>
      <c r="D105" s="25" t="inlineStr">
        <is>
          <t>2015-003</t>
        </is>
      </c>
      <c r="E105" s="598" t="n">
        <v>0</v>
      </c>
      <c r="F105" s="601">
        <f>IF( OR(ISNUMBER(SEARCH("NIF",C105)),ISNUMBER(SEARCH("CIF",C105)),ISNUMBER(SEARCH("NIE",C105))), MID(C105,5,LEN(C105)), C105)</f>
        <v/>
      </c>
      <c r="G105" s="339" t="inlineStr">
        <is>
          <t>nif</t>
        </is>
      </c>
      <c r="H105" s="602">
        <f>F105</f>
        <v/>
      </c>
      <c r="I105" s="603">
        <f>VLOOKUP(B105,DATOS!B:D,3,FALSE)</f>
        <v/>
      </c>
      <c r="J105" s="603">
        <f>MID(VLOOKUP(B105,DATOS!B:E,4,FALSE),1,5)</f>
        <v/>
      </c>
      <c r="K105" s="603">
        <f>MID(VLOOKUP(B105,DATOS!B:E,4,FALSE),7,LEN(VLOOKUP(B105,DATOS!B:E,4,FALSE)))</f>
        <v/>
      </c>
      <c r="L105" s="603">
        <f>K105</f>
        <v/>
      </c>
      <c r="M105" s="606" t="inlineStr">
        <is>
          <t>R</t>
        </is>
      </c>
      <c r="N105" s="606" t="inlineStr">
        <is>
          <t>ESP</t>
        </is>
      </c>
      <c r="O105" s="628" t="inlineStr">
        <is>
          <t>--</t>
        </is>
      </c>
      <c r="P105" s="628" t="inlineStr">
        <is>
          <t>--</t>
        </is>
      </c>
      <c r="Q105" s="606" t="inlineStr">
        <is>
          <t>EUR</t>
        </is>
      </c>
      <c r="R105" s="640" t="inlineStr">
        <is>
          <t>01</t>
        </is>
      </c>
      <c r="S105" s="339" t="inlineStr">
        <is>
          <t>FALSE</t>
        </is>
      </c>
      <c r="T105" s="1" t="inlineStr">
        <is>
          <t xml:space="preserve"> </t>
        </is>
      </c>
      <c r="U105" s="608" t="inlineStr">
        <is>
          <t>https://www.facturantia.com/API/proformas_receptor.php</t>
        </is>
      </c>
      <c r="V105" s="609" t="n">
        <v>6666</v>
      </c>
      <c r="W105" s="610" t="inlineStr">
        <is>
          <t>facturacion@abalados.es</t>
        </is>
      </c>
      <c r="X105" s="609" t="n">
        <v>762687769</v>
      </c>
      <c r="Z105" s="625" t="n"/>
    </row>
    <row r="106" ht="15" customFormat="1" customHeight="1" s="25">
      <c r="A106" s="339" t="inlineStr">
        <is>
          <t>J</t>
        </is>
      </c>
      <c r="B106" s="25" t="inlineStr">
        <is>
          <t>KRK Energy Service S.r.l.</t>
        </is>
      </c>
      <c r="C106" t="inlineStr">
        <is>
          <t>IT03872700160</t>
        </is>
      </c>
      <c r="D106" s="25" t="inlineStr">
        <is>
          <t>2015-004</t>
        </is>
      </c>
      <c r="E106" s="598" t="n">
        <v>0</v>
      </c>
      <c r="F106" s="601">
        <f>IF( OR(ISNUMBER(SEARCH("NIF",C106)),ISNUMBER(SEARCH("CIF",C106)),ISNUMBER(SEARCH("NIE",C106))), MID(C106,5,LEN(C106)), C106)</f>
        <v/>
      </c>
      <c r="G106" s="339" t="inlineStr">
        <is>
          <t>nif</t>
        </is>
      </c>
      <c r="H106" s="602">
        <f>F106</f>
        <v/>
      </c>
      <c r="I106" s="603">
        <f>VLOOKUP(B106,DATOS!B:D,3,FALSE)</f>
        <v/>
      </c>
      <c r="J106" s="603">
        <f>MID(VLOOKUP(B106,DATOS!B:E,4,FALSE),1,5)</f>
        <v/>
      </c>
      <c r="K106" s="604" t="inlineStr">
        <is>
          <t>Bergamo</t>
        </is>
      </c>
      <c r="L106" s="604" t="inlineStr">
        <is>
          <t>Martinengo</t>
        </is>
      </c>
      <c r="M106" s="606" t="inlineStr">
        <is>
          <t>R</t>
        </is>
      </c>
      <c r="N106" s="339" t="inlineStr">
        <is>
          <t>IT</t>
        </is>
      </c>
      <c r="O106" s="628" t="inlineStr">
        <is>
          <t>--</t>
        </is>
      </c>
      <c r="P106" s="628" t="inlineStr">
        <is>
          <t>--</t>
        </is>
      </c>
      <c r="Q106" s="606" t="inlineStr">
        <is>
          <t>EUR</t>
        </is>
      </c>
      <c r="R106" s="640" t="inlineStr">
        <is>
          <t>01</t>
        </is>
      </c>
      <c r="S106" s="339" t="inlineStr">
        <is>
          <t>FALSE</t>
        </is>
      </c>
      <c r="T106" s="1" t="inlineStr">
        <is>
          <t xml:space="preserve"> </t>
        </is>
      </c>
      <c r="U106" s="608" t="inlineStr">
        <is>
          <t>https://www.facturantia.com/API/proformas_receptor.php</t>
        </is>
      </c>
      <c r="V106" s="609" t="n">
        <v>6666</v>
      </c>
      <c r="W106" s="610" t="inlineStr">
        <is>
          <t>facturacion@abalados.es</t>
        </is>
      </c>
      <c r="X106" s="609" t="n">
        <v>762687769</v>
      </c>
      <c r="Z106" s="625" t="n"/>
    </row>
    <row r="107" ht="15" customFormat="1" customHeight="1" s="25">
      <c r="A107" s="339" t="inlineStr">
        <is>
          <t>F</t>
        </is>
      </c>
      <c r="B107" s="25" t="inlineStr">
        <is>
          <t>Álvaro Pérez San Segundo</t>
        </is>
      </c>
      <c r="C107" t="inlineStr">
        <is>
          <t>28.910.474-A</t>
        </is>
      </c>
      <c r="D107" s="25" t="inlineStr">
        <is>
          <t>2015-005</t>
        </is>
      </c>
      <c r="E107" s="598" t="n">
        <v>0</v>
      </c>
      <c r="F107" s="601">
        <f>IF( OR(ISNUMBER(SEARCH("NIF",C107)),ISNUMBER(SEARCH("CIF",C107)),ISNUMBER(SEARCH("NIE",C107))), MID(C107,5,LEN(C107)), C107)</f>
        <v/>
      </c>
      <c r="G107" s="339" t="inlineStr">
        <is>
          <t>nif</t>
        </is>
      </c>
      <c r="H107" s="602">
        <f>F107</f>
        <v/>
      </c>
      <c r="I107" s="603">
        <f>VLOOKUP(B107,DATOS!B:D,3,FALSE)</f>
        <v/>
      </c>
      <c r="J107" s="603">
        <f>MID(VLOOKUP(B107,DATOS!B:E,4,FALSE),1,5)</f>
        <v/>
      </c>
      <c r="K107" s="603">
        <f>MID(VLOOKUP(B107,DATOS!B:E,4,FALSE),7,LEN(VLOOKUP(B107,DATOS!B:E,4,FALSE)))</f>
        <v/>
      </c>
      <c r="L107" s="603">
        <f>K107</f>
        <v/>
      </c>
      <c r="M107" s="606" t="inlineStr">
        <is>
          <t>R</t>
        </is>
      </c>
      <c r="N107" s="606" t="inlineStr">
        <is>
          <t>ESP</t>
        </is>
      </c>
      <c r="O107" s="628" t="inlineStr">
        <is>
          <t>--</t>
        </is>
      </c>
      <c r="P107" s="628" t="inlineStr">
        <is>
          <t>--</t>
        </is>
      </c>
      <c r="Q107" s="606" t="inlineStr">
        <is>
          <t>EUR</t>
        </is>
      </c>
      <c r="R107" s="640" t="inlineStr">
        <is>
          <t>01</t>
        </is>
      </c>
      <c r="S107" s="607" t="inlineStr">
        <is>
          <t>TRUE</t>
        </is>
      </c>
      <c r="T107" s="1" t="inlineStr">
        <is>
          <t xml:space="preserve"> </t>
        </is>
      </c>
      <c r="U107" s="608" t="inlineStr">
        <is>
          <t>https://www.facturantia.com/API/proformas_receptor.php</t>
        </is>
      </c>
      <c r="V107" s="609" t="n">
        <v>6666</v>
      </c>
      <c r="W107" s="610" t="inlineStr">
        <is>
          <t>facturacion@abalados.es</t>
        </is>
      </c>
      <c r="X107" s="609" t="n">
        <v>762687769</v>
      </c>
      <c r="Z107" s="625" t="n"/>
    </row>
    <row r="108" ht="15" customFormat="1" customHeight="1" s="25">
      <c r="A108" s="339" t="inlineStr">
        <is>
          <t>F</t>
        </is>
      </c>
      <c r="B108" s="25" t="inlineStr">
        <is>
          <t>Cintia Martínez Prieto</t>
        </is>
      </c>
      <c r="C108" t="inlineStr">
        <is>
          <t>28.622.802-S</t>
        </is>
      </c>
      <c r="D108" s="25" t="inlineStr">
        <is>
          <t>2015-006</t>
        </is>
      </c>
      <c r="E108" s="598" t="n">
        <v>0</v>
      </c>
      <c r="F108" s="601">
        <f>IF( OR(ISNUMBER(SEARCH("NIF",C108)),ISNUMBER(SEARCH("CIF",C108)),ISNUMBER(SEARCH("NIE",C108))), MID(C108,5,LEN(C108)), C108)</f>
        <v/>
      </c>
      <c r="G108" s="339" t="inlineStr">
        <is>
          <t>nif</t>
        </is>
      </c>
      <c r="H108" s="602">
        <f>F108</f>
        <v/>
      </c>
      <c r="I108" s="603">
        <f>VLOOKUP(B108,DATOS!B:D,3,FALSE)</f>
        <v/>
      </c>
      <c r="J108" s="603">
        <f>MID(VLOOKUP(B108,DATOS!B:E,4,FALSE),1,5)</f>
        <v/>
      </c>
      <c r="K108" s="603">
        <f>MID(VLOOKUP(B108,DATOS!B:E,4,FALSE),7,LEN(VLOOKUP(B108,DATOS!B:E,4,FALSE)))</f>
        <v/>
      </c>
      <c r="L108" s="603">
        <f>K108</f>
        <v/>
      </c>
      <c r="M108" s="606" t="inlineStr">
        <is>
          <t>R</t>
        </is>
      </c>
      <c r="N108" s="606" t="inlineStr">
        <is>
          <t>ESP</t>
        </is>
      </c>
      <c r="O108" s="628" t="inlineStr">
        <is>
          <t>--</t>
        </is>
      </c>
      <c r="P108" s="628" t="inlineStr">
        <is>
          <t>--</t>
        </is>
      </c>
      <c r="Q108" s="606" t="inlineStr">
        <is>
          <t>EUR</t>
        </is>
      </c>
      <c r="R108" s="640" t="inlineStr">
        <is>
          <t>01</t>
        </is>
      </c>
      <c r="S108" s="607" t="inlineStr">
        <is>
          <t>TRUE</t>
        </is>
      </c>
      <c r="T108" s="1" t="inlineStr">
        <is>
          <t xml:space="preserve"> </t>
        </is>
      </c>
      <c r="U108" s="608" t="inlineStr">
        <is>
          <t>https://www.facturantia.com/API/proformas_receptor.php</t>
        </is>
      </c>
      <c r="V108" s="609" t="n">
        <v>6666</v>
      </c>
      <c r="W108" s="610" t="inlineStr">
        <is>
          <t>facturacion@abalados.es</t>
        </is>
      </c>
      <c r="X108" s="609" t="n">
        <v>762687769</v>
      </c>
      <c r="Z108" s="625" t="n"/>
    </row>
    <row r="109" ht="15" customFormat="1" customHeight="1" s="25">
      <c r="A109" s="339" t="inlineStr">
        <is>
          <t>F</t>
        </is>
      </c>
      <c r="B109" s="25" t="inlineStr">
        <is>
          <t>Pedro Mañas Escorza</t>
        </is>
      </c>
      <c r="C109" s="3" t="inlineStr">
        <is>
          <t>28.640.173-K</t>
        </is>
      </c>
      <c r="D109" s="25" t="inlineStr">
        <is>
          <t>2015-007</t>
        </is>
      </c>
      <c r="E109" s="598" t="n">
        <v>0</v>
      </c>
      <c r="F109" s="601">
        <f>IF( OR(ISNUMBER(SEARCH("NIF",C109)),ISNUMBER(SEARCH("CIF",C109)),ISNUMBER(SEARCH("NIE",C109))), MID(C109,5,LEN(C109)), C109)</f>
        <v/>
      </c>
      <c r="G109" s="339" t="inlineStr">
        <is>
          <t>nif</t>
        </is>
      </c>
      <c r="H109" s="602">
        <f>F109</f>
        <v/>
      </c>
      <c r="I109" s="603">
        <f>VLOOKUP(B109,DATOS!B:D,3,FALSE)</f>
        <v/>
      </c>
      <c r="J109" s="603">
        <f>MID(VLOOKUP(B109,DATOS!B:E,4,FALSE),1,5)</f>
        <v/>
      </c>
      <c r="K109" s="603">
        <f>MID(VLOOKUP(B109,DATOS!B:E,4,FALSE),7,LEN(VLOOKUP(B109,DATOS!B:E,4,FALSE)))</f>
        <v/>
      </c>
      <c r="L109" s="603">
        <f>K109</f>
        <v/>
      </c>
      <c r="M109" s="606" t="inlineStr">
        <is>
          <t>R</t>
        </is>
      </c>
      <c r="N109" s="606" t="inlineStr">
        <is>
          <t>ESP</t>
        </is>
      </c>
      <c r="O109" s="628" t="inlineStr">
        <is>
          <t>--</t>
        </is>
      </c>
      <c r="P109" s="628" t="inlineStr">
        <is>
          <t>--</t>
        </is>
      </c>
      <c r="Q109" s="606" t="inlineStr">
        <is>
          <t>EUR</t>
        </is>
      </c>
      <c r="R109" s="640" t="inlineStr">
        <is>
          <t>01</t>
        </is>
      </c>
      <c r="S109" s="607" t="inlineStr">
        <is>
          <t>TRUE</t>
        </is>
      </c>
      <c r="T109" s="1" t="inlineStr">
        <is>
          <t xml:space="preserve"> </t>
        </is>
      </c>
      <c r="U109" s="608" t="inlineStr">
        <is>
          <t>https://www.facturantia.com/API/proformas_receptor.php</t>
        </is>
      </c>
      <c r="V109" s="609" t="n">
        <v>6666</v>
      </c>
      <c r="W109" s="610" t="inlineStr">
        <is>
          <t>facturacion@abalados.es</t>
        </is>
      </c>
      <c r="X109" s="609" t="n">
        <v>762687769</v>
      </c>
      <c r="Z109" s="625" t="n"/>
    </row>
    <row r="110" ht="15" customFormat="1" customHeight="1" s="25">
      <c r="A110" s="339" t="inlineStr">
        <is>
          <t>J</t>
        </is>
      </c>
      <c r="B110" s="25" t="inlineStr">
        <is>
          <t>Reciclajes Hernández Manacor, S.L.</t>
        </is>
      </c>
      <c r="C110" s="3" t="inlineStr">
        <is>
          <t>CIF B57851768</t>
        </is>
      </c>
      <c r="D110" s="25" t="inlineStr">
        <is>
          <t>2017-001</t>
        </is>
      </c>
      <c r="E110" s="598" t="n">
        <v>0</v>
      </c>
      <c r="F110" s="601">
        <f>IF( OR(ISNUMBER(SEARCH("NIF",C110)),ISNUMBER(SEARCH("CIF",C110)),ISNUMBER(SEARCH("NIE",C110))), MID(C110,5,LEN(C110)), C110)</f>
        <v/>
      </c>
      <c r="G110" s="339" t="inlineStr">
        <is>
          <t>nif</t>
        </is>
      </c>
      <c r="H110" s="602">
        <f>F110</f>
        <v/>
      </c>
      <c r="I110" s="603">
        <f>VLOOKUP(B110,DATOS!B:D,3,FALSE)</f>
        <v/>
      </c>
      <c r="J110" s="603">
        <f>MID(VLOOKUP(B110,DATOS!B:E,4,FALSE),1,5)</f>
        <v/>
      </c>
      <c r="K110" s="603">
        <f>MID(VLOOKUP(B110,DATOS!B:E,4,FALSE),7,LEN(VLOOKUP(B110,DATOS!B:E,4,FALSE)))</f>
        <v/>
      </c>
      <c r="L110" s="603">
        <f>K110</f>
        <v/>
      </c>
      <c r="M110" s="606" t="inlineStr">
        <is>
          <t>R</t>
        </is>
      </c>
      <c r="N110" s="606" t="inlineStr">
        <is>
          <t>ESP</t>
        </is>
      </c>
      <c r="O110" s="628" t="inlineStr">
        <is>
          <t>--</t>
        </is>
      </c>
      <c r="P110" s="628" t="inlineStr">
        <is>
          <t>--</t>
        </is>
      </c>
      <c r="Q110" s="606" t="inlineStr">
        <is>
          <t>EUR</t>
        </is>
      </c>
      <c r="R110" s="640" t="inlineStr">
        <is>
          <t>01</t>
        </is>
      </c>
      <c r="S110" s="339" t="inlineStr">
        <is>
          <t>FALSE</t>
        </is>
      </c>
      <c r="T110" s="1" t="inlineStr">
        <is>
          <t xml:space="preserve"> </t>
        </is>
      </c>
      <c r="U110" s="608" t="inlineStr">
        <is>
          <t>https://www.facturantia.com/API/proformas_receptor.php</t>
        </is>
      </c>
      <c r="V110" s="609" t="n">
        <v>6666</v>
      </c>
      <c r="W110" s="610" t="inlineStr">
        <is>
          <t>facturacion@abalados.es</t>
        </is>
      </c>
      <c r="X110" s="609" t="n">
        <v>762687769</v>
      </c>
      <c r="Z110" s="625" t="n"/>
    </row>
    <row r="111" ht="15" customFormat="1" customHeight="1" s="25">
      <c r="A111" s="339" t="inlineStr">
        <is>
          <t>J</t>
        </is>
      </c>
      <c r="B111" s="4" t="inlineStr">
        <is>
          <t>WOC Fotovoltaica España, S.L S.Com.</t>
        </is>
      </c>
      <c r="C111" s="4" t="inlineStr">
        <is>
          <t>CIF D65068439</t>
        </is>
      </c>
      <c r="D111" s="25" t="inlineStr">
        <is>
          <t>2016-001</t>
        </is>
      </c>
      <c r="E111" s="598" t="n">
        <v>0.1</v>
      </c>
      <c r="F111" s="601">
        <f>IF( OR(ISNUMBER(SEARCH("NIF",C111)),ISNUMBER(SEARCH("CIF",C111)),ISNUMBER(SEARCH("NIE",C111))), MID(C111,5,LEN(C111)), C111)</f>
        <v/>
      </c>
      <c r="G111" s="339" t="inlineStr">
        <is>
          <t>nif</t>
        </is>
      </c>
      <c r="H111" s="602">
        <f>F111</f>
        <v/>
      </c>
      <c r="I111" s="603">
        <f>VLOOKUP(B111,DATOS!B:D,3,FALSE)</f>
        <v/>
      </c>
      <c r="J111" s="603">
        <f>MID(VLOOKUP(B111,DATOS!B:E,4,FALSE),1,5)</f>
        <v/>
      </c>
      <c r="K111" s="603">
        <f>MID(VLOOKUP(B111,DATOS!B:E,4,FALSE),7,LEN(VLOOKUP(B111,DATOS!B:E,4,FALSE)))</f>
        <v/>
      </c>
      <c r="L111" s="603">
        <f>K111</f>
        <v/>
      </c>
      <c r="M111" s="606" t="inlineStr">
        <is>
          <t>R</t>
        </is>
      </c>
      <c r="N111" s="606" t="inlineStr">
        <is>
          <t>ESP</t>
        </is>
      </c>
      <c r="O111" s="619" t="n"/>
      <c r="P111" s="619" t="n"/>
      <c r="Q111" s="606" t="inlineStr">
        <is>
          <t>EUR</t>
        </is>
      </c>
      <c r="R111" s="640" t="inlineStr">
        <is>
          <t>01</t>
        </is>
      </c>
      <c r="S111" s="339" t="inlineStr">
        <is>
          <t>FALSE</t>
        </is>
      </c>
      <c r="T111" s="1" t="inlineStr">
        <is>
          <t xml:space="preserve"> </t>
        </is>
      </c>
      <c r="U111" s="608" t="inlineStr">
        <is>
          <t>https://www.facturantia.com/API/proformas_receptor.php</t>
        </is>
      </c>
      <c r="V111" s="609" t="n">
        <v>6666</v>
      </c>
      <c r="W111" s="610" t="inlineStr">
        <is>
          <t>facturacion@abalados.es</t>
        </is>
      </c>
      <c r="X111" s="609" t="n">
        <v>762687769</v>
      </c>
      <c r="Z111" s="625" t="n"/>
    </row>
    <row r="112" ht="15" customFormat="1" customHeight="1" s="25">
      <c r="A112" s="339" t="inlineStr">
        <is>
          <t>J</t>
        </is>
      </c>
      <c r="B112" s="25" t="inlineStr">
        <is>
          <t>Schletter GmbH</t>
        </is>
      </c>
      <c r="C112" s="25" t="inlineStr">
        <is>
          <t>DE 129257294</t>
        </is>
      </c>
      <c r="D112" s="25" t="inlineStr">
        <is>
          <t>2018-001</t>
        </is>
      </c>
      <c r="E112" s="598" t="n">
        <v>0</v>
      </c>
      <c r="F112" s="601">
        <f>IF( OR(ISNUMBER(SEARCH("NIF",C112)),ISNUMBER(SEARCH("CIF",C112)),ISNUMBER(SEARCH("NIE",C112))), MID(C112,5,LEN(C112)), C112)</f>
        <v/>
      </c>
      <c r="G112" s="339" t="inlineStr">
        <is>
          <t>nif</t>
        </is>
      </c>
      <c r="H112" s="602">
        <f>F112</f>
        <v/>
      </c>
      <c r="I112" s="603">
        <f>VLOOKUP(B112,DATOS!B:D,3,FALSE)</f>
        <v/>
      </c>
      <c r="J112" s="603">
        <f>MID(VLOOKUP(B112,DATOS!B:E,4,FALSE),1,5)</f>
        <v/>
      </c>
      <c r="K112" s="604" t="inlineStr">
        <is>
          <t>Berna-Mittelland</t>
        </is>
      </c>
      <c r="L112" s="604" t="inlineStr">
        <is>
          <t>Kirchdorf</t>
        </is>
      </c>
      <c r="M112" s="606" t="inlineStr">
        <is>
          <t>R</t>
        </is>
      </c>
      <c r="N112" s="339" t="inlineStr">
        <is>
          <t>DE</t>
        </is>
      </c>
      <c r="O112" s="628" t="inlineStr">
        <is>
          <t>--</t>
        </is>
      </c>
      <c r="P112" s="628" t="inlineStr">
        <is>
          <t>--</t>
        </is>
      </c>
      <c r="Q112" s="606" t="inlineStr">
        <is>
          <t>EUR</t>
        </is>
      </c>
      <c r="R112" s="640" t="inlineStr">
        <is>
          <t>01</t>
        </is>
      </c>
      <c r="S112" s="339" t="inlineStr">
        <is>
          <t>FALSE</t>
        </is>
      </c>
      <c r="T112" s="1" t="inlineStr">
        <is>
          <t xml:space="preserve"> </t>
        </is>
      </c>
      <c r="U112" s="608" t="inlineStr">
        <is>
          <t>https://www.facturantia.com/API/proformas_receptor.php</t>
        </is>
      </c>
      <c r="V112" s="609" t="n">
        <v>6666</v>
      </c>
      <c r="W112" s="610" t="inlineStr">
        <is>
          <t>facturacion@abalados.es</t>
        </is>
      </c>
      <c r="X112" s="609" t="n">
        <v>762687769</v>
      </c>
      <c r="Z112" s="625" t="n"/>
    </row>
    <row r="113" ht="15" customFormat="1" customHeight="1" s="25">
      <c r="A113" s="339" t="inlineStr">
        <is>
          <t>J</t>
        </is>
      </c>
      <c r="B113" s="25" t="inlineStr">
        <is>
          <t>C.P. PUENTE Y PELLON 14</t>
        </is>
      </c>
      <c r="C113" s="25" t="inlineStr">
        <is>
          <t>CIF H90017989</t>
        </is>
      </c>
      <c r="D113" s="25" t="inlineStr">
        <is>
          <t>2018-002</t>
        </is>
      </c>
      <c r="E113" s="598" t="n">
        <v>0</v>
      </c>
      <c r="F113" s="601">
        <f>IF( OR(ISNUMBER(SEARCH("NIF",C113)),ISNUMBER(SEARCH("CIF",C113)),ISNUMBER(SEARCH("NIE",C113))), MID(C113,5,LEN(C113)), C113)</f>
        <v/>
      </c>
      <c r="G113" s="339" t="inlineStr">
        <is>
          <t>nif</t>
        </is>
      </c>
      <c r="H113" s="602">
        <f>F113</f>
        <v/>
      </c>
      <c r="I113" s="603">
        <f>VLOOKUP(B113,DATOS!B:D,3,FALSE)</f>
        <v/>
      </c>
      <c r="J113" s="603">
        <f>MID(VLOOKUP(B113,DATOS!B:E,4,FALSE),1,5)</f>
        <v/>
      </c>
      <c r="K113" s="603">
        <f>MID(VLOOKUP(B113,DATOS!B:E,4,FALSE),7,LEN(VLOOKUP(B113,DATOS!B:E,4,FALSE)))</f>
        <v/>
      </c>
      <c r="L113" s="603">
        <f>K113</f>
        <v/>
      </c>
      <c r="M113" s="606" t="inlineStr">
        <is>
          <t>R</t>
        </is>
      </c>
      <c r="N113" s="606" t="inlineStr">
        <is>
          <t>ESP</t>
        </is>
      </c>
      <c r="O113" s="628" t="inlineStr">
        <is>
          <t>--</t>
        </is>
      </c>
      <c r="P113" s="628" t="inlineStr">
        <is>
          <t>--</t>
        </is>
      </c>
      <c r="Q113" s="606" t="inlineStr">
        <is>
          <t>EUR</t>
        </is>
      </c>
      <c r="R113" s="640" t="inlineStr">
        <is>
          <t>01</t>
        </is>
      </c>
      <c r="S113" s="339" t="inlineStr">
        <is>
          <t>FALSE</t>
        </is>
      </c>
      <c r="T113" s="1" t="inlineStr">
        <is>
          <t xml:space="preserve"> </t>
        </is>
      </c>
      <c r="U113" s="608" t="inlineStr">
        <is>
          <t>https://www.facturantia.com/API/proformas_receptor.php</t>
        </is>
      </c>
      <c r="V113" s="609" t="n">
        <v>6666</v>
      </c>
      <c r="W113" s="610" t="inlineStr">
        <is>
          <t>facturacion@abalados.es</t>
        </is>
      </c>
      <c r="X113" s="609" t="n">
        <v>762687769</v>
      </c>
      <c r="Z113" s="625" t="n"/>
    </row>
    <row r="114" ht="15" customFormat="1" customHeight="1" s="25">
      <c r="A114" s="339" t="inlineStr">
        <is>
          <t>J</t>
        </is>
      </c>
      <c r="B114" s="1" t="inlineStr">
        <is>
          <t>Santander Consumer Renting, S.L.</t>
        </is>
      </c>
      <c r="C114" s="1" t="inlineStr">
        <is>
          <t>CIF B84677244</t>
        </is>
      </c>
      <c r="D114" s="25" t="inlineStr">
        <is>
          <t>2018-003</t>
        </is>
      </c>
      <c r="E114" s="598" t="n">
        <v>0</v>
      </c>
      <c r="F114" s="601">
        <f>IF( OR(ISNUMBER(SEARCH("NIF",C114)),ISNUMBER(SEARCH("CIF",C114)),ISNUMBER(SEARCH("NIE",C114))), MID(C114,5,LEN(C114)), C114)</f>
        <v/>
      </c>
      <c r="G114" s="339" t="inlineStr">
        <is>
          <t>nif</t>
        </is>
      </c>
      <c r="H114" s="602">
        <f>F114</f>
        <v/>
      </c>
      <c r="I114" s="603">
        <f>VLOOKUP(B114,DATOS!B:D,3,FALSE)</f>
        <v/>
      </c>
      <c r="J114" s="603">
        <f>MID(VLOOKUP(B114,DATOS!B:E,4,FALSE),1,5)</f>
        <v/>
      </c>
      <c r="K114" s="603">
        <f>MID(VLOOKUP(B114,DATOS!B:E,4,FALSE),7,LEN(VLOOKUP(B114,DATOS!B:E,4,FALSE)))</f>
        <v/>
      </c>
      <c r="L114" s="603">
        <f>K114</f>
        <v/>
      </c>
      <c r="M114" s="606" t="inlineStr">
        <is>
          <t>R</t>
        </is>
      </c>
      <c r="N114" s="606" t="inlineStr">
        <is>
          <t>ESP</t>
        </is>
      </c>
      <c r="O114" s="628" t="inlineStr">
        <is>
          <t>--</t>
        </is>
      </c>
      <c r="P114" s="628" t="inlineStr">
        <is>
          <t>--</t>
        </is>
      </c>
      <c r="Q114" s="606" t="inlineStr">
        <is>
          <t>EUR</t>
        </is>
      </c>
      <c r="R114" s="640" t="inlineStr">
        <is>
          <t>01</t>
        </is>
      </c>
      <c r="S114" s="339" t="inlineStr">
        <is>
          <t>FALSE</t>
        </is>
      </c>
      <c r="T114" s="1" t="inlineStr">
        <is>
          <t xml:space="preserve"> </t>
        </is>
      </c>
      <c r="U114" s="608" t="inlineStr">
        <is>
          <t>https://www.facturantia.com/API/proformas_receptor.php</t>
        </is>
      </c>
      <c r="V114" s="609" t="n">
        <v>6666</v>
      </c>
      <c r="W114" s="610" t="inlineStr">
        <is>
          <t>facturacion@abalados.es</t>
        </is>
      </c>
      <c r="X114" s="609" t="n">
        <v>762687769</v>
      </c>
      <c r="Z114" s="625" t="n"/>
    </row>
    <row r="115" ht="15" customFormat="1" customHeight="1" s="25">
      <c r="A115" s="339" t="inlineStr">
        <is>
          <t>J</t>
        </is>
      </c>
      <c r="B115" s="1" t="inlineStr">
        <is>
          <t>KGAL ESPF 4 Holding SARL</t>
        </is>
      </c>
      <c r="C115" s="1" t="inlineStr">
        <is>
          <t>LU30260606</t>
        </is>
      </c>
      <c r="D115" s="1" t="inlineStr">
        <is>
          <t>2018-004</t>
        </is>
      </c>
      <c r="E115" s="339" t="n">
        <v>0</v>
      </c>
      <c r="F115" s="601">
        <f>IF( OR(ISNUMBER(SEARCH("NIF",C115)),ISNUMBER(SEARCH("CIF",C115)),ISNUMBER(SEARCH("NIE",C115))), MID(C115,5,LEN(C115)), C115)</f>
        <v/>
      </c>
      <c r="G115" s="339" t="inlineStr">
        <is>
          <t>nif</t>
        </is>
      </c>
      <c r="H115" s="602">
        <f>F115</f>
        <v/>
      </c>
      <c r="I115" s="603">
        <f>VLOOKUP(B115,DATOS!B:D,3,FALSE)</f>
        <v/>
      </c>
      <c r="J115" s="603">
        <f>MID(VLOOKUP(B115,DATOS!B:E,4,FALSE),1,5)</f>
        <v/>
      </c>
      <c r="K115" s="604" t="inlineStr">
        <is>
          <t>Schuttrange</t>
        </is>
      </c>
      <c r="L115" s="604" t="inlineStr">
        <is>
          <t>Munsbach</t>
        </is>
      </c>
      <c r="M115" s="606" t="inlineStr">
        <is>
          <t>R</t>
        </is>
      </c>
      <c r="N115" s="339" t="inlineStr">
        <is>
          <t>LU</t>
        </is>
      </c>
      <c r="O115" s="628" t="inlineStr">
        <is>
          <t>--</t>
        </is>
      </c>
      <c r="P115" s="628" t="inlineStr">
        <is>
          <t>--</t>
        </is>
      </c>
      <c r="Q115" s="606" t="inlineStr">
        <is>
          <t>EUR</t>
        </is>
      </c>
      <c r="R115" s="640" t="inlineStr">
        <is>
          <t>01</t>
        </is>
      </c>
      <c r="S115" s="339" t="inlineStr">
        <is>
          <t>FALSE</t>
        </is>
      </c>
      <c r="T115" s="1" t="inlineStr">
        <is>
          <t xml:space="preserve"> </t>
        </is>
      </c>
      <c r="U115" s="608" t="inlineStr">
        <is>
          <t>https://www.facturantia.com/API/proformas_receptor.php</t>
        </is>
      </c>
      <c r="V115" s="609" t="n">
        <v>6666</v>
      </c>
      <c r="W115" s="610" t="inlineStr">
        <is>
          <t>facturacion@abalados.es</t>
        </is>
      </c>
      <c r="X115" s="609" t="n">
        <v>762687769</v>
      </c>
      <c r="Z115" s="625" t="n"/>
    </row>
    <row r="116" ht="15" customFormat="1" customHeight="1" s="25">
      <c r="A116" s="339" t="inlineStr">
        <is>
          <t>J</t>
        </is>
      </c>
      <c r="B116" s="25" t="inlineStr">
        <is>
          <t>aBalados Management S.L.</t>
        </is>
      </c>
      <c r="C116" s="4" t="inlineStr">
        <is>
          <t>CIF B90029729</t>
        </is>
      </c>
      <c r="D116" s="3" t="inlineStr">
        <is>
          <t>2018-005</t>
        </is>
      </c>
      <c r="E116" s="600" t="n">
        <v>0</v>
      </c>
      <c r="F116" s="601">
        <f>IF( OR(ISNUMBER(SEARCH("NIF",C116)),ISNUMBER(SEARCH("CIF",C116)),ISNUMBER(SEARCH("NIE",C116))), MID(C116,5,LEN(C116)), C116)</f>
        <v/>
      </c>
      <c r="G116" s="339" t="inlineStr">
        <is>
          <t>nif</t>
        </is>
      </c>
      <c r="H116" s="602">
        <f>F116</f>
        <v/>
      </c>
      <c r="I116" s="603">
        <f>VLOOKUP(B116,DATOS!B:D,3,FALSE)</f>
        <v/>
      </c>
      <c r="J116" s="603">
        <f>MID(VLOOKUP(B116,DATOS!B:E,4,FALSE),1,5)</f>
        <v/>
      </c>
      <c r="K116" s="603">
        <f>MID(VLOOKUP(B116,DATOS!B:E,4,FALSE),7,LEN(VLOOKUP(B116,DATOS!B:E,4,FALSE)))</f>
        <v/>
      </c>
      <c r="L116" s="603">
        <f>K116</f>
        <v/>
      </c>
      <c r="M116" s="606" t="inlineStr">
        <is>
          <t>R</t>
        </is>
      </c>
      <c r="N116" s="606" t="inlineStr">
        <is>
          <t>ESP</t>
        </is>
      </c>
      <c r="O116" s="619" t="n"/>
      <c r="P116" s="619" t="n"/>
      <c r="Q116" s="606" t="inlineStr">
        <is>
          <t>EUR</t>
        </is>
      </c>
      <c r="R116" s="640" t="inlineStr">
        <is>
          <t>01</t>
        </is>
      </c>
      <c r="S116" s="339" t="inlineStr">
        <is>
          <t>FALSE</t>
        </is>
      </c>
      <c r="T116" s="1" t="inlineStr">
        <is>
          <t xml:space="preserve"> </t>
        </is>
      </c>
      <c r="U116" s="608" t="inlineStr">
        <is>
          <t>https://www.facturantia.com/API/proformas_receptor.php</t>
        </is>
      </c>
      <c r="V116" s="609" t="n">
        <v>6666</v>
      </c>
      <c r="W116" s="610" t="inlineStr">
        <is>
          <t>facturacion@abalados.es</t>
        </is>
      </c>
      <c r="X116" s="609" t="n">
        <v>762687769</v>
      </c>
      <c r="Z116" s="625" t="n"/>
    </row>
    <row r="117" ht="15" customFormat="1" customHeight="1" s="25">
      <c r="A117" s="339" t="inlineStr">
        <is>
          <t>J</t>
        </is>
      </c>
      <c r="B117" s="597" t="inlineStr">
        <is>
          <t>Transportes Apiche S.L.</t>
        </is>
      </c>
      <c r="C117" s="150" t="inlineStr">
        <is>
          <t>CIF B73149965</t>
        </is>
      </c>
      <c r="D117" s="25" t="inlineStr">
        <is>
          <t>2018-006</t>
        </is>
      </c>
      <c r="E117" s="598" t="n">
        <v>0</v>
      </c>
      <c r="F117" s="601">
        <f>IF( OR(ISNUMBER(SEARCH("NIF",C117)),ISNUMBER(SEARCH("CIF",C117)),ISNUMBER(SEARCH("NIE",C117))), MID(C117,5,LEN(C117)), C117)</f>
        <v/>
      </c>
      <c r="G117" s="339" t="inlineStr">
        <is>
          <t>nif</t>
        </is>
      </c>
      <c r="H117" s="602">
        <f>F117</f>
        <v/>
      </c>
      <c r="I117" s="603">
        <f>VLOOKUP(B117,DATOS!B:D,3,FALSE)</f>
        <v/>
      </c>
      <c r="J117" s="603">
        <f>MID(VLOOKUP(B117,DATOS!B:E,4,FALSE),1,5)</f>
        <v/>
      </c>
      <c r="K117" s="604" t="inlineStr">
        <is>
          <t>Murcia</t>
        </is>
      </c>
      <c r="L117" s="604" t="inlineStr">
        <is>
          <t>Lorca</t>
        </is>
      </c>
      <c r="M117" s="606" t="inlineStr">
        <is>
          <t>R</t>
        </is>
      </c>
      <c r="N117" s="606" t="inlineStr">
        <is>
          <t>ESP</t>
        </is>
      </c>
      <c r="O117" s="628" t="inlineStr">
        <is>
          <t>--</t>
        </is>
      </c>
      <c r="P117" s="628" t="inlineStr">
        <is>
          <t>--</t>
        </is>
      </c>
      <c r="Q117" s="606" t="inlineStr">
        <is>
          <t>EUR</t>
        </is>
      </c>
      <c r="R117" s="640" t="inlineStr">
        <is>
          <t>01</t>
        </is>
      </c>
      <c r="S117" s="339" t="inlineStr">
        <is>
          <t>FALSE</t>
        </is>
      </c>
      <c r="T117" s="1" t="inlineStr">
        <is>
          <t xml:space="preserve"> </t>
        </is>
      </c>
      <c r="U117" s="608" t="inlineStr">
        <is>
          <t>https://www.facturantia.com/API/proformas_receptor.php</t>
        </is>
      </c>
      <c r="V117" s="609" t="n">
        <v>6666</v>
      </c>
      <c r="W117" s="610" t="inlineStr">
        <is>
          <t>facturacion@abalados.es</t>
        </is>
      </c>
      <c r="X117" s="609" t="n">
        <v>762687769</v>
      </c>
      <c r="Z117" s="625" t="n"/>
    </row>
    <row r="118" ht="15" customFormat="1" customHeight="1" s="25">
      <c r="A118" s="339" t="inlineStr">
        <is>
          <t>J</t>
        </is>
      </c>
      <c r="B118" s="597" t="inlineStr">
        <is>
          <t>Reciclados Llorca S.L.</t>
        </is>
      </c>
      <c r="C118" s="150" t="inlineStr">
        <is>
          <t>CIF B91610709</t>
        </is>
      </c>
      <c r="D118" s="25" t="inlineStr">
        <is>
          <t>2018-007</t>
        </is>
      </c>
      <c r="E118" s="598" t="n">
        <v>0</v>
      </c>
      <c r="F118" s="601">
        <f>IF( OR(ISNUMBER(SEARCH("NIF",C118)),ISNUMBER(SEARCH("CIF",C118)),ISNUMBER(SEARCH("NIE",C118))), MID(C118,5,LEN(C118)), C118)</f>
        <v/>
      </c>
      <c r="G118" s="339" t="inlineStr">
        <is>
          <t>nif</t>
        </is>
      </c>
      <c r="H118" s="602">
        <f>F118</f>
        <v/>
      </c>
      <c r="I118" s="603">
        <f>VLOOKUP(B118,DATOS!B:D,3,FALSE)</f>
        <v/>
      </c>
      <c r="J118" s="603">
        <f>MID(VLOOKUP(B118,DATOS!B:E,4,FALSE),1,5)</f>
        <v/>
      </c>
      <c r="K118" s="604" t="inlineStr">
        <is>
          <t>Sevilla</t>
        </is>
      </c>
      <c r="L118" s="604" t="inlineStr">
        <is>
          <t>San José de la Rinconada</t>
        </is>
      </c>
      <c r="M118" s="606" t="inlineStr">
        <is>
          <t>R</t>
        </is>
      </c>
      <c r="N118" s="606" t="inlineStr">
        <is>
          <t>ESP</t>
        </is>
      </c>
      <c r="O118" s="628" t="inlineStr">
        <is>
          <t>--</t>
        </is>
      </c>
      <c r="P118" s="628" t="inlineStr">
        <is>
          <t>--</t>
        </is>
      </c>
      <c r="Q118" s="606" t="inlineStr">
        <is>
          <t>EUR</t>
        </is>
      </c>
      <c r="R118" s="640" t="inlineStr">
        <is>
          <t>01</t>
        </is>
      </c>
      <c r="S118" s="339" t="inlineStr">
        <is>
          <t>FALSE</t>
        </is>
      </c>
      <c r="T118" s="1" t="inlineStr">
        <is>
          <t xml:space="preserve"> </t>
        </is>
      </c>
      <c r="U118" s="608" t="inlineStr">
        <is>
          <t>https://www.facturantia.com/API/proformas_receptor.php</t>
        </is>
      </c>
      <c r="V118" s="609" t="n">
        <v>6666</v>
      </c>
      <c r="W118" s="610" t="inlineStr">
        <is>
          <t>facturacion@abalados.es</t>
        </is>
      </c>
      <c r="X118" s="609" t="n">
        <v>762687769</v>
      </c>
      <c r="Z118" s="625" t="n"/>
    </row>
    <row r="119" ht="15" customFormat="1" customHeight="1" s="25">
      <c r="A119" s="339" t="inlineStr">
        <is>
          <t>J</t>
        </is>
      </c>
      <c r="B119" s="1" t="inlineStr">
        <is>
          <t>Elecnor S.A.</t>
        </is>
      </c>
      <c r="C119" s="150" t="inlineStr">
        <is>
          <t>CIF A48027056</t>
        </is>
      </c>
      <c r="D119" s="25" t="inlineStr">
        <is>
          <t>2018-008</t>
        </is>
      </c>
      <c r="E119" s="598" t="n">
        <v>0</v>
      </c>
      <c r="F119" s="601">
        <f>IF( OR(ISNUMBER(SEARCH("NIF",C119)),ISNUMBER(SEARCH("CIF",C119)),ISNUMBER(SEARCH("NIE",C119))), MID(C119,5,LEN(C119)), C119)</f>
        <v/>
      </c>
      <c r="G119" s="339" t="inlineStr">
        <is>
          <t>nif</t>
        </is>
      </c>
      <c r="H119" s="602">
        <f>F119</f>
        <v/>
      </c>
      <c r="I119" s="603">
        <f>VLOOKUP(B119,DATOS!B:D,3,FALSE)</f>
        <v/>
      </c>
      <c r="J119" s="603">
        <f>MID(VLOOKUP(B119,DATOS!B:E,4,FALSE),1,5)</f>
        <v/>
      </c>
      <c r="K119" s="603">
        <f>MID(VLOOKUP(B119,DATOS!B:E,4,FALSE),7,LEN(VLOOKUP(B119,DATOS!B:E,4,FALSE)))</f>
        <v/>
      </c>
      <c r="L119" s="603">
        <f>K119</f>
        <v/>
      </c>
      <c r="M119" s="606" t="inlineStr">
        <is>
          <t>R</t>
        </is>
      </c>
      <c r="N119" s="606" t="inlineStr">
        <is>
          <t>ESP</t>
        </is>
      </c>
      <c r="O119" s="628" t="inlineStr">
        <is>
          <t>--</t>
        </is>
      </c>
      <c r="P119" s="628" t="inlineStr">
        <is>
          <t>--</t>
        </is>
      </c>
      <c r="Q119" s="606" t="inlineStr">
        <is>
          <t>EUR</t>
        </is>
      </c>
      <c r="R119" s="640" t="inlineStr">
        <is>
          <t>01</t>
        </is>
      </c>
      <c r="S119" s="339" t="inlineStr">
        <is>
          <t>FALSE</t>
        </is>
      </c>
      <c r="T119" s="1" t="inlineStr">
        <is>
          <t xml:space="preserve"> </t>
        </is>
      </c>
      <c r="U119" s="608" t="inlineStr">
        <is>
          <t>https://www.facturantia.com/API/proformas_receptor.php</t>
        </is>
      </c>
      <c r="V119" s="609" t="n">
        <v>6666</v>
      </c>
      <c r="W119" s="610" t="inlineStr">
        <is>
          <t>facturacion@abalados.es</t>
        </is>
      </c>
      <c r="X119" s="609" t="n">
        <v>762687769</v>
      </c>
      <c r="Z119" s="625" t="n"/>
    </row>
    <row r="120" ht="15" customFormat="1" customHeight="1" s="25">
      <c r="A120" s="339" t="inlineStr">
        <is>
          <t>J</t>
        </is>
      </c>
      <c r="B120" s="1" t="inlineStr">
        <is>
          <t>TCO SOLAR SAS</t>
        </is>
      </c>
      <c r="C120" s="1" t="inlineStr">
        <is>
          <t>FR25 533 970 034</t>
        </is>
      </c>
      <c r="D120" s="1" t="inlineStr">
        <is>
          <t>2019-001</t>
        </is>
      </c>
      <c r="E120" s="339" t="n">
        <v>0</v>
      </c>
      <c r="F120" s="601">
        <f>IF( OR(ISNUMBER(SEARCH("NIF",C120)),ISNUMBER(SEARCH("CIF",C120)),ISNUMBER(SEARCH("NIE",C120))), MID(C120,5,LEN(C120)), C120)</f>
        <v/>
      </c>
      <c r="G120" s="339" t="inlineStr">
        <is>
          <t>nif</t>
        </is>
      </c>
      <c r="H120" s="602">
        <f>F120</f>
        <v/>
      </c>
      <c r="I120" s="603">
        <f>VLOOKUP(B120,DATOS!B:D,3,FALSE)</f>
        <v/>
      </c>
      <c r="J120" s="603">
        <f>MID(VLOOKUP(B120,DATOS!B:E,4,FALSE),1,5)</f>
        <v/>
      </c>
      <c r="K120" s="604" t="inlineStr">
        <is>
          <t>Provenza-Alpes-Costa Azul</t>
        </is>
      </c>
      <c r="L120" s="604" t="inlineStr">
        <is>
          <t>Marseille</t>
        </is>
      </c>
      <c r="M120" s="606" t="inlineStr">
        <is>
          <t>R</t>
        </is>
      </c>
      <c r="N120" s="339" t="inlineStr">
        <is>
          <t>FR</t>
        </is>
      </c>
      <c r="O120" s="628" t="inlineStr">
        <is>
          <t>--</t>
        </is>
      </c>
      <c r="P120" s="628" t="inlineStr">
        <is>
          <t>--</t>
        </is>
      </c>
      <c r="Q120" s="606" t="inlineStr">
        <is>
          <t>EUR</t>
        </is>
      </c>
      <c r="R120" s="640" t="inlineStr">
        <is>
          <t>01</t>
        </is>
      </c>
      <c r="S120" s="339" t="inlineStr">
        <is>
          <t>FALSE</t>
        </is>
      </c>
      <c r="T120" s="1" t="inlineStr">
        <is>
          <t xml:space="preserve"> </t>
        </is>
      </c>
      <c r="U120" s="608" t="inlineStr">
        <is>
          <t>https://www.facturantia.com/API/proformas_receptor.php</t>
        </is>
      </c>
      <c r="V120" s="609" t="n">
        <v>6666</v>
      </c>
      <c r="W120" s="610" t="inlineStr">
        <is>
          <t>facturacion@abalados.es</t>
        </is>
      </c>
      <c r="X120" s="609" t="n">
        <v>762687769</v>
      </c>
      <c r="Z120" s="625" t="n"/>
    </row>
    <row r="121" ht="15" customFormat="1" customHeight="1" s="25">
      <c r="A121" s="339" t="inlineStr">
        <is>
          <t>J</t>
        </is>
      </c>
      <c r="B121" s="25" t="inlineStr">
        <is>
          <t>Aneltia Trading S.L.U</t>
        </is>
      </c>
      <c r="C121" s="1" t="inlineStr">
        <is>
          <t>CIF B99413403</t>
        </is>
      </c>
      <c r="D121" s="1" t="inlineStr">
        <is>
          <t>2019-002</t>
        </is>
      </c>
      <c r="E121" s="339" t="n">
        <v>0</v>
      </c>
      <c r="F121" s="601">
        <f>IF( OR(ISNUMBER(SEARCH("NIF",C121)),ISNUMBER(SEARCH("CIF",C121)),ISNUMBER(SEARCH("NIE",C121))), MID(C121,5,LEN(C121)), C121)</f>
        <v/>
      </c>
      <c r="G121" s="339" t="inlineStr">
        <is>
          <t>nif</t>
        </is>
      </c>
      <c r="H121" s="602">
        <f>F121</f>
        <v/>
      </c>
      <c r="I121" s="603">
        <f>VLOOKUP(B121,DATOS!B:D,3,FALSE)</f>
        <v/>
      </c>
      <c r="J121" s="603">
        <f>MID(VLOOKUP(B121,DATOS!B:E,4,FALSE),1,5)</f>
        <v/>
      </c>
      <c r="K121" s="603">
        <f>MID(VLOOKUP(B121,DATOS!B:E,4,FALSE),7,LEN(VLOOKUP(B121,DATOS!B:E,4,FALSE)))</f>
        <v/>
      </c>
      <c r="L121" s="603">
        <f>K121</f>
        <v/>
      </c>
      <c r="M121" s="606" t="inlineStr">
        <is>
          <t>R</t>
        </is>
      </c>
      <c r="N121" s="606" t="inlineStr">
        <is>
          <t>ESP</t>
        </is>
      </c>
      <c r="O121" s="628" t="inlineStr">
        <is>
          <t>--</t>
        </is>
      </c>
      <c r="P121" s="628" t="inlineStr">
        <is>
          <t>--</t>
        </is>
      </c>
      <c r="Q121" s="606" t="inlineStr">
        <is>
          <t>EUR</t>
        </is>
      </c>
      <c r="R121" s="640" t="inlineStr">
        <is>
          <t>01</t>
        </is>
      </c>
      <c r="S121" s="339" t="inlineStr">
        <is>
          <t>FALSE</t>
        </is>
      </c>
      <c r="T121" s="1" t="inlineStr">
        <is>
          <t xml:space="preserve"> </t>
        </is>
      </c>
      <c r="U121" s="608" t="inlineStr">
        <is>
          <t>https://www.facturantia.com/API/proformas_receptor.php</t>
        </is>
      </c>
      <c r="V121" s="609" t="n">
        <v>6666</v>
      </c>
      <c r="W121" s="610" t="inlineStr">
        <is>
          <t>facturacion@abalados.es</t>
        </is>
      </c>
      <c r="X121" s="609" t="n">
        <v>762687769</v>
      </c>
      <c r="Z121" s="625" t="n"/>
    </row>
    <row r="122" ht="15" customFormat="1" customHeight="1" s="25">
      <c r="A122" s="339" t="inlineStr">
        <is>
          <t>J</t>
        </is>
      </c>
      <c r="B122" s="25" t="inlineStr">
        <is>
          <t>FLP Renewables Promotion S.L.U.</t>
        </is>
      </c>
      <c r="C122" s="25" t="inlineStr">
        <is>
          <t>CIF B85726297</t>
        </is>
      </c>
      <c r="D122" s="25" t="inlineStr">
        <is>
          <t>2019-003</t>
        </is>
      </c>
      <c r="E122" s="598" t="n">
        <v>0</v>
      </c>
      <c r="F122" s="601">
        <f>IF( OR(ISNUMBER(SEARCH("NIF",C122)),ISNUMBER(SEARCH("CIF",C122)),ISNUMBER(SEARCH("NIE",C122))), MID(C122,5,LEN(C122)), C122)</f>
        <v/>
      </c>
      <c r="G122" s="339" t="inlineStr">
        <is>
          <t>nif</t>
        </is>
      </c>
      <c r="H122" s="602">
        <f>F122</f>
        <v/>
      </c>
      <c r="I122" s="603">
        <f>VLOOKUP(B122,DATOS!B:D,3,FALSE)</f>
        <v/>
      </c>
      <c r="J122" s="603">
        <f>MID(VLOOKUP(B122,DATOS!B:E,4,FALSE),1,5)</f>
        <v/>
      </c>
      <c r="K122" s="603">
        <f>MID(VLOOKUP(B122,DATOS!B:E,4,FALSE),7,LEN(VLOOKUP(B122,DATOS!B:E,4,FALSE)))</f>
        <v/>
      </c>
      <c r="L122" s="603">
        <f>K122</f>
        <v/>
      </c>
      <c r="M122" s="606" t="inlineStr">
        <is>
          <t>R</t>
        </is>
      </c>
      <c r="N122" s="606" t="inlineStr">
        <is>
          <t>ESP</t>
        </is>
      </c>
      <c r="O122" s="628" t="inlineStr">
        <is>
          <t>--</t>
        </is>
      </c>
      <c r="P122" s="628" t="inlineStr">
        <is>
          <t>--</t>
        </is>
      </c>
      <c r="Q122" s="606" t="inlineStr">
        <is>
          <t>EUR</t>
        </is>
      </c>
      <c r="R122" s="640" t="inlineStr">
        <is>
          <t>01</t>
        </is>
      </c>
      <c r="S122" s="339" t="inlineStr">
        <is>
          <t>FALSE</t>
        </is>
      </c>
      <c r="T122" s="1" t="inlineStr">
        <is>
          <t xml:space="preserve"> </t>
        </is>
      </c>
      <c r="U122" s="608" t="inlineStr">
        <is>
          <t>https://www.facturantia.com/API/proformas_receptor.php</t>
        </is>
      </c>
      <c r="V122" s="609" t="n">
        <v>6666</v>
      </c>
      <c r="W122" s="610" t="inlineStr">
        <is>
          <t>facturacion@abalados.es</t>
        </is>
      </c>
      <c r="X122" s="609" t="n">
        <v>762687769</v>
      </c>
      <c r="Z122" s="625" t="n"/>
    </row>
    <row r="123" ht="15" customFormat="1" customHeight="1" s="25">
      <c r="A123" s="339" t="inlineStr">
        <is>
          <t>J</t>
        </is>
      </c>
      <c r="B123" s="1" t="inlineStr">
        <is>
          <t>GCE Invest Renewable GmbH</t>
        </is>
      </c>
      <c r="C123" s="1" t="inlineStr">
        <is>
          <t>DE313956702</t>
        </is>
      </c>
      <c r="D123" s="1" t="inlineStr">
        <is>
          <t>2019-004</t>
        </is>
      </c>
      <c r="E123" s="339" t="n">
        <v>0</v>
      </c>
      <c r="F123" s="601">
        <f>IF( OR(ISNUMBER(SEARCH("NIF",C123)),ISNUMBER(SEARCH("CIF",C123)),ISNUMBER(SEARCH("NIE",C123))), MID(C123,5,LEN(C123)), C123)</f>
        <v/>
      </c>
      <c r="G123" s="339" t="inlineStr">
        <is>
          <t>nif</t>
        </is>
      </c>
      <c r="H123" s="602">
        <f>F123</f>
        <v/>
      </c>
      <c r="I123" s="603">
        <f>VLOOKUP(B123,DATOS!B:D,3,FALSE)</f>
        <v/>
      </c>
      <c r="J123" s="603">
        <f>MID(VLOOKUP(B123,DATOS!B:E,4,FALSE),1,5)</f>
        <v/>
      </c>
      <c r="K123" s="604" t="inlineStr">
        <is>
          <t>Baviera</t>
        </is>
      </c>
      <c r="L123" s="604" t="inlineStr">
        <is>
          <t>München</t>
        </is>
      </c>
      <c r="M123" s="606" t="inlineStr">
        <is>
          <t>R</t>
        </is>
      </c>
      <c r="N123" s="339" t="inlineStr">
        <is>
          <t>DE</t>
        </is>
      </c>
      <c r="O123" s="628" t="inlineStr">
        <is>
          <t>--</t>
        </is>
      </c>
      <c r="P123" s="628" t="inlineStr">
        <is>
          <t>--</t>
        </is>
      </c>
      <c r="Q123" s="606" t="inlineStr">
        <is>
          <t>EUR</t>
        </is>
      </c>
      <c r="R123" s="640" t="inlineStr">
        <is>
          <t>01</t>
        </is>
      </c>
      <c r="S123" s="339" t="inlineStr">
        <is>
          <t>FALSE</t>
        </is>
      </c>
      <c r="T123" s="1" t="inlineStr">
        <is>
          <t xml:space="preserve"> </t>
        </is>
      </c>
      <c r="U123" s="608" t="inlineStr">
        <is>
          <t>https://www.facturantia.com/API/proformas_receptor.php</t>
        </is>
      </c>
      <c r="V123" s="609" t="n">
        <v>6666</v>
      </c>
      <c r="W123" s="610" t="inlineStr">
        <is>
          <t>facturacion@abalados.es</t>
        </is>
      </c>
      <c r="X123" s="609" t="n">
        <v>762687769</v>
      </c>
      <c r="Z123" s="625" t="n"/>
    </row>
    <row r="124" ht="15" customFormat="1" customHeight="1" s="596">
      <c r="A124" s="611" t="inlineStr">
        <is>
          <t>J</t>
        </is>
      </c>
      <c r="B124" s="596" t="inlineStr">
        <is>
          <t>Alectoris Energía Sostenible 5, S.L.</t>
        </is>
      </c>
      <c r="C124" s="596" t="inlineStr">
        <is>
          <t>CIF B99453326</t>
        </is>
      </c>
      <c r="D124" s="596" t="inlineStr">
        <is>
          <t>2019-005</t>
        </is>
      </c>
      <c r="E124" s="599" t="n">
        <v>0</v>
      </c>
      <c r="F124" s="612">
        <f>IF( OR(ISNUMBER(SEARCH("NIF",C124)),ISNUMBER(SEARCH("CIF",C124)),ISNUMBER(SEARCH("NIE",C124))), MID(C124,5,LEN(C124)), C124)</f>
        <v/>
      </c>
      <c r="G124" s="611" t="inlineStr">
        <is>
          <t>nif</t>
        </is>
      </c>
      <c r="H124" s="613">
        <f>F124</f>
        <v/>
      </c>
      <c r="I124" s="614">
        <f>VLOOKUP(B124,DATOS!B:D,3,FALSE)</f>
        <v/>
      </c>
      <c r="J124" s="614">
        <f>MID(VLOOKUP(B124,DATOS!B:E,4,FALSE),1,5)</f>
        <v/>
      </c>
      <c r="K124" s="614">
        <f>MID(VLOOKUP(B124,DATOS!B:E,4,FALSE),7,LEN(VLOOKUP(B124,DATOS!B:E,4,FALSE)))</f>
        <v/>
      </c>
      <c r="L124" s="614">
        <f>K124</f>
        <v/>
      </c>
      <c r="M124" s="615" t="inlineStr">
        <is>
          <t>R</t>
        </is>
      </c>
      <c r="N124" s="615" t="inlineStr">
        <is>
          <t>ESP</t>
        </is>
      </c>
      <c r="O124" s="620" t="inlineStr">
        <is>
          <t>--</t>
        </is>
      </c>
      <c r="P124" s="620" t="inlineStr">
        <is>
          <t>--</t>
        </is>
      </c>
      <c r="Q124" s="615" t="inlineStr">
        <is>
          <t>EUR</t>
        </is>
      </c>
      <c r="R124" s="640" t="inlineStr">
        <is>
          <t>01</t>
        </is>
      </c>
      <c r="S124" s="611" t="inlineStr">
        <is>
          <t>FALSE</t>
        </is>
      </c>
      <c r="T124" s="1" t="inlineStr">
        <is>
          <t xml:space="preserve"> </t>
        </is>
      </c>
      <c r="U124" s="616" t="inlineStr">
        <is>
          <t>https://www.facturantia.com/API/proformas_receptor.php</t>
        </is>
      </c>
      <c r="V124" s="617" t="n">
        <v>6666</v>
      </c>
      <c r="W124" s="618" t="inlineStr">
        <is>
          <t>facturacion@abalados.es</t>
        </is>
      </c>
      <c r="X124" s="617" t="n">
        <v>762687769</v>
      </c>
      <c r="Z124" s="626" t="n"/>
    </row>
    <row r="125" ht="15" customFormat="1" customHeight="1" s="25">
      <c r="A125" s="339" t="inlineStr">
        <is>
          <t>F</t>
        </is>
      </c>
      <c r="B125" s="25" t="inlineStr">
        <is>
          <t>Kurt Beer</t>
        </is>
      </c>
      <c r="C125" s="25" t="inlineStr">
        <is>
          <t>NIE X1516030P</t>
        </is>
      </c>
      <c r="D125" s="25" t="inlineStr">
        <is>
          <t>2019-006</t>
        </is>
      </c>
      <c r="E125" s="598" t="n">
        <v>0</v>
      </c>
      <c r="F125" s="601">
        <f>IF( OR(ISNUMBER(SEARCH("NIF",C125)),ISNUMBER(SEARCH("CIF",C125)),ISNUMBER(SEARCH("NIE",C125))), MID(C125,5,LEN(C125)), C125)</f>
        <v/>
      </c>
      <c r="G125" s="339" t="inlineStr">
        <is>
          <t>nif</t>
        </is>
      </c>
      <c r="H125" s="602">
        <f>F125</f>
        <v/>
      </c>
      <c r="I125" s="603">
        <f>VLOOKUP(B125,DATOS!B:D,3,FALSE)</f>
        <v/>
      </c>
      <c r="J125" s="603">
        <f>MID(VLOOKUP(B125,DATOS!B:E,4,FALSE),1,5)</f>
        <v/>
      </c>
      <c r="K125" s="604" t="inlineStr">
        <is>
          <t>Málaga</t>
        </is>
      </c>
      <c r="L125" s="604" t="inlineStr">
        <is>
          <t>Estepona</t>
        </is>
      </c>
      <c r="M125" s="606" t="inlineStr">
        <is>
          <t>R</t>
        </is>
      </c>
      <c r="N125" s="606" t="inlineStr">
        <is>
          <t>ESP</t>
        </is>
      </c>
      <c r="O125" s="628" t="inlineStr">
        <is>
          <t>--</t>
        </is>
      </c>
      <c r="P125" s="628" t="inlineStr">
        <is>
          <t>--</t>
        </is>
      </c>
      <c r="Q125" s="606" t="inlineStr">
        <is>
          <t>EUR</t>
        </is>
      </c>
      <c r="R125" s="640" t="inlineStr">
        <is>
          <t>01</t>
        </is>
      </c>
      <c r="S125" s="607" t="inlineStr">
        <is>
          <t>TRUE</t>
        </is>
      </c>
      <c r="T125" s="1" t="inlineStr">
        <is>
          <t xml:space="preserve"> </t>
        </is>
      </c>
      <c r="U125" s="608" t="inlineStr">
        <is>
          <t>https://www.facturantia.com/API/proformas_receptor.php</t>
        </is>
      </c>
      <c r="V125" s="609" t="n">
        <v>6666</v>
      </c>
      <c r="W125" s="610" t="inlineStr">
        <is>
          <t>facturacion@abalados.es</t>
        </is>
      </c>
      <c r="X125" s="609" t="n">
        <v>762687769</v>
      </c>
      <c r="Z125" s="625" t="n"/>
    </row>
    <row r="126" ht="15" customFormat="1" customHeight="1" s="25">
      <c r="A126" s="339" t="inlineStr">
        <is>
          <t>F</t>
        </is>
      </c>
      <c r="B126" s="25" t="inlineStr">
        <is>
          <t>José Antonio Salazar Murillo</t>
        </is>
      </c>
      <c r="C126" s="25" t="inlineStr">
        <is>
          <t>NIF 28250865B</t>
        </is>
      </c>
      <c r="D126" s="25" t="inlineStr">
        <is>
          <t>2019-007</t>
        </is>
      </c>
      <c r="E126" s="598" t="n">
        <v>0</v>
      </c>
      <c r="F126" s="601">
        <f>IF( OR(ISNUMBER(SEARCH("NIF",C126)),ISNUMBER(SEARCH("CIF",C126)),ISNUMBER(SEARCH("NIE",C126))), MID(C126,5,LEN(C126)), C126)</f>
        <v/>
      </c>
      <c r="G126" s="339" t="inlineStr">
        <is>
          <t>nif</t>
        </is>
      </c>
      <c r="H126" s="602">
        <f>F126</f>
        <v/>
      </c>
      <c r="I126" s="603">
        <f>VLOOKUP(B126,DATOS!B:D,3,FALSE)</f>
        <v/>
      </c>
      <c r="J126" s="603">
        <f>MID(VLOOKUP(B126,DATOS!B:E,4,FALSE),1,5)</f>
        <v/>
      </c>
      <c r="K126" s="603">
        <f>MID(VLOOKUP(B126,DATOS!B:E,4,FALSE),7,LEN(VLOOKUP(B126,DATOS!B:E,4,FALSE)))</f>
        <v/>
      </c>
      <c r="L126" s="603">
        <f>K126</f>
        <v/>
      </c>
      <c r="M126" s="606" t="inlineStr">
        <is>
          <t>R</t>
        </is>
      </c>
      <c r="N126" s="606" t="inlineStr">
        <is>
          <t>ESP</t>
        </is>
      </c>
      <c r="O126" s="628" t="inlineStr">
        <is>
          <t>--</t>
        </is>
      </c>
      <c r="P126" s="628" t="inlineStr">
        <is>
          <t>--</t>
        </is>
      </c>
      <c r="Q126" s="606" t="inlineStr">
        <is>
          <t>EUR</t>
        </is>
      </c>
      <c r="R126" s="640" t="inlineStr">
        <is>
          <t>01</t>
        </is>
      </c>
      <c r="S126" s="607" t="inlineStr">
        <is>
          <t>TRUE</t>
        </is>
      </c>
      <c r="T126" s="1" t="inlineStr">
        <is>
          <t xml:space="preserve"> </t>
        </is>
      </c>
      <c r="U126" s="608" t="inlineStr">
        <is>
          <t>https://www.facturantia.com/API/proformas_receptor.php</t>
        </is>
      </c>
      <c r="V126" s="609" t="n">
        <v>6666</v>
      </c>
      <c r="W126" s="610" t="inlineStr">
        <is>
          <t>facturacion@abalados.es</t>
        </is>
      </c>
      <c r="X126" s="609" t="n">
        <v>762687769</v>
      </c>
      <c r="Z126" s="625" t="n"/>
    </row>
    <row r="127" ht="15" customFormat="1" customHeight="1" s="25">
      <c r="A127" s="339" t="inlineStr">
        <is>
          <t>J</t>
        </is>
      </c>
      <c r="B127" s="25" t="inlineStr">
        <is>
          <t>Evergy Engineering GmbH</t>
        </is>
      </c>
      <c r="C127" s="25" t="inlineStr">
        <is>
          <t>DE813934801</t>
        </is>
      </c>
      <c r="D127" s="25" t="inlineStr">
        <is>
          <t>2019-008</t>
        </is>
      </c>
      <c r="E127" s="598" t="n">
        <v>0</v>
      </c>
      <c r="F127" s="601">
        <f>IF( OR(ISNUMBER(SEARCH("NIF",C127)),ISNUMBER(SEARCH("CIF",C127)),ISNUMBER(SEARCH("NIE",C127))), MID(C127,5,LEN(C127)), C127)</f>
        <v/>
      </c>
      <c r="G127" s="339" t="inlineStr">
        <is>
          <t>nif</t>
        </is>
      </c>
      <c r="H127" s="602">
        <f>F127</f>
        <v/>
      </c>
      <c r="I127" s="603">
        <f>VLOOKUP(B127,DATOS!B:D,3,FALSE)</f>
        <v/>
      </c>
      <c r="J127" s="603">
        <f>MID(VLOOKUP(B127,DATOS!B:E,4,FALSE),1,5)</f>
        <v/>
      </c>
      <c r="K127" s="604" t="inlineStr">
        <is>
          <t>Baviera</t>
        </is>
      </c>
      <c r="L127" s="604" t="inlineStr">
        <is>
          <t>München</t>
        </is>
      </c>
      <c r="M127" s="606" t="inlineStr">
        <is>
          <t>R</t>
        </is>
      </c>
      <c r="N127" s="339" t="inlineStr">
        <is>
          <t>DE</t>
        </is>
      </c>
      <c r="O127" s="628" t="inlineStr">
        <is>
          <t>--</t>
        </is>
      </c>
      <c r="P127" s="628" t="inlineStr">
        <is>
          <t>--</t>
        </is>
      </c>
      <c r="Q127" s="606" t="inlineStr">
        <is>
          <t>EUR</t>
        </is>
      </c>
      <c r="R127" s="640" t="inlineStr">
        <is>
          <t>01</t>
        </is>
      </c>
      <c r="S127" s="339" t="inlineStr">
        <is>
          <t>FALSE</t>
        </is>
      </c>
      <c r="T127" s="1" t="inlineStr">
        <is>
          <t xml:space="preserve"> </t>
        </is>
      </c>
      <c r="U127" s="608" t="inlineStr">
        <is>
          <t>https://www.facturantia.com/API/proformas_receptor.php</t>
        </is>
      </c>
      <c r="V127" s="609" t="n">
        <v>6666</v>
      </c>
      <c r="W127" s="610" t="inlineStr">
        <is>
          <t>facturacion@abalados.es</t>
        </is>
      </c>
      <c r="X127" s="609" t="n">
        <v>762687769</v>
      </c>
      <c r="Z127" s="625" t="n"/>
    </row>
    <row r="128" ht="15" customFormat="1" customHeight="1" s="25">
      <c r="A128" s="339" t="inlineStr">
        <is>
          <t>J</t>
        </is>
      </c>
      <c r="B128" s="25" t="inlineStr">
        <is>
          <t>PLANTA SOLAR EL CALAVERÓN A.I.E.</t>
        </is>
      </c>
      <c r="C128" s="25" t="inlineStr">
        <is>
          <t>CIF V13471149</t>
        </is>
      </c>
      <c r="D128" s="25" t="inlineStr">
        <is>
          <t>2020-001</t>
        </is>
      </c>
      <c r="E128" s="598" t="n">
        <v>0</v>
      </c>
      <c r="F128" s="601">
        <f>IF( OR(ISNUMBER(SEARCH("NIF",C128)),ISNUMBER(SEARCH("CIF",C128)),ISNUMBER(SEARCH("NIE",C128))), MID(C128,5,LEN(C128)), C128)</f>
        <v/>
      </c>
      <c r="G128" s="339" t="inlineStr">
        <is>
          <t>nif</t>
        </is>
      </c>
      <c r="H128" s="602">
        <f>F128</f>
        <v/>
      </c>
      <c r="I128" s="603">
        <f>VLOOKUP(B128,DATOS!B:D,3,FALSE)</f>
        <v/>
      </c>
      <c r="J128" s="603">
        <f>MID(VLOOKUP(B128,DATOS!B:E,4,FALSE),1,5)</f>
        <v/>
      </c>
      <c r="K128" s="603">
        <f>MID(VLOOKUP(B128,DATOS!B:E,4,FALSE),7,LEN(VLOOKUP(B128,DATOS!B:E,4,FALSE)))</f>
        <v/>
      </c>
      <c r="L128" s="603">
        <f>K128</f>
        <v/>
      </c>
      <c r="M128" s="606" t="inlineStr">
        <is>
          <t>R</t>
        </is>
      </c>
      <c r="N128" s="606" t="inlineStr">
        <is>
          <t>ESP</t>
        </is>
      </c>
      <c r="O128" s="628" t="inlineStr">
        <is>
          <t>--</t>
        </is>
      </c>
      <c r="P128" s="628" t="inlineStr">
        <is>
          <t>--</t>
        </is>
      </c>
      <c r="Q128" s="606" t="inlineStr">
        <is>
          <t>EUR</t>
        </is>
      </c>
      <c r="R128" s="640" t="inlineStr">
        <is>
          <t>01</t>
        </is>
      </c>
      <c r="S128" s="339" t="inlineStr">
        <is>
          <t>FALSE</t>
        </is>
      </c>
      <c r="T128" s="1" t="inlineStr">
        <is>
          <t xml:space="preserve"> </t>
        </is>
      </c>
      <c r="U128" s="608" t="inlineStr">
        <is>
          <t>https://www.facturantia.com/API/proformas_receptor.php</t>
        </is>
      </c>
      <c r="V128" s="609" t="n">
        <v>6666</v>
      </c>
      <c r="W128" s="610" t="inlineStr">
        <is>
          <t>facturacion@abalados.es</t>
        </is>
      </c>
      <c r="X128" s="609" t="n">
        <v>762687769</v>
      </c>
      <c r="Z128" s="625" t="n"/>
    </row>
    <row r="129" ht="15" customFormat="1" customHeight="1" s="25">
      <c r="A129" s="339" t="inlineStr">
        <is>
          <t>J</t>
        </is>
      </c>
      <c r="B129" s="25" t="inlineStr">
        <is>
          <t>White Summit Capital Asesores, S.L.</t>
        </is>
      </c>
      <c r="C129" s="25" t="inlineStr">
        <is>
          <t>CIF B87779468</t>
        </is>
      </c>
      <c r="D129" s="25" t="inlineStr">
        <is>
          <t>2020-002</t>
        </is>
      </c>
      <c r="E129" s="598" t="n">
        <v>0.1</v>
      </c>
      <c r="F129" s="601">
        <f>IF( OR(ISNUMBER(SEARCH("NIF",C129)),ISNUMBER(SEARCH("CIF",C129)),ISNUMBER(SEARCH("NIE",C129))), MID(C129,5,LEN(C129)), C129)</f>
        <v/>
      </c>
      <c r="G129" s="339" t="inlineStr">
        <is>
          <t>nif</t>
        </is>
      </c>
      <c r="H129" s="602">
        <f>F129</f>
        <v/>
      </c>
      <c r="I129" s="603">
        <f>VLOOKUP(B129,DATOS!B:D,3,FALSE)</f>
        <v/>
      </c>
      <c r="J129" s="603">
        <f>MID(VLOOKUP(B129,DATOS!B:E,4,FALSE),1,5)</f>
        <v/>
      </c>
      <c r="K129" s="603">
        <f>MID(VLOOKUP(B129,DATOS!B:E,4,FALSE),7,LEN(VLOOKUP(B129,DATOS!B:E,4,FALSE)))</f>
        <v/>
      </c>
      <c r="L129" s="603">
        <f>K129</f>
        <v/>
      </c>
      <c r="M129" s="606" t="inlineStr">
        <is>
          <t>R</t>
        </is>
      </c>
      <c r="N129" s="606" t="inlineStr">
        <is>
          <t>ESP</t>
        </is>
      </c>
      <c r="O129" s="628" t="inlineStr">
        <is>
          <t>--</t>
        </is>
      </c>
      <c r="P129" s="628" t="inlineStr">
        <is>
          <t>--</t>
        </is>
      </c>
      <c r="Q129" s="606" t="inlineStr">
        <is>
          <t>EUR</t>
        </is>
      </c>
      <c r="R129" s="640" t="inlineStr">
        <is>
          <t>01</t>
        </is>
      </c>
      <c r="S129" s="339" t="inlineStr">
        <is>
          <t>FALSE</t>
        </is>
      </c>
      <c r="T129" s="1" t="inlineStr">
        <is>
          <t xml:space="preserve"> </t>
        </is>
      </c>
      <c r="U129" s="608" t="inlineStr">
        <is>
          <t>https://www.facturantia.com/API/proformas_receptor.php</t>
        </is>
      </c>
      <c r="V129" s="609" t="n">
        <v>6666</v>
      </c>
      <c r="W129" s="610" t="inlineStr">
        <is>
          <t>facturacion@abalados.es</t>
        </is>
      </c>
      <c r="X129" s="609" t="n">
        <v>762687769</v>
      </c>
      <c r="Z129" s="625" t="n"/>
    </row>
    <row r="130" ht="15" customFormat="1" customHeight="1" s="25">
      <c r="A130" s="339" t="inlineStr">
        <is>
          <t>J</t>
        </is>
      </c>
      <c r="B130" s="25" t="inlineStr">
        <is>
          <t>Gestora del kiosko SL</t>
        </is>
      </c>
      <c r="C130" s="25" t="inlineStr">
        <is>
          <t>CIF B90316266</t>
        </is>
      </c>
      <c r="D130" s="25" t="inlineStr">
        <is>
          <t>2020-003</t>
        </is>
      </c>
      <c r="E130" s="598" t="n">
        <v>0</v>
      </c>
      <c r="F130" s="601">
        <f>IF( OR(ISNUMBER(SEARCH("NIF",C130)),ISNUMBER(SEARCH("CIF",C130)),ISNUMBER(SEARCH("NIE",C130))), MID(C130,5,LEN(C130)), C130)</f>
        <v/>
      </c>
      <c r="G130" s="339" t="inlineStr">
        <is>
          <t>nif</t>
        </is>
      </c>
      <c r="H130" s="602">
        <f>F130</f>
        <v/>
      </c>
      <c r="I130" s="603">
        <f>VLOOKUP(B130,DATOS!B:D,3,FALSE)</f>
        <v/>
      </c>
      <c r="J130" s="603">
        <f>MID(VLOOKUP(B130,DATOS!B:E,4,FALSE),1,5)</f>
        <v/>
      </c>
      <c r="K130" s="603">
        <f>MID(VLOOKUP(B130,DATOS!B:E,4,FALSE),7,LEN(VLOOKUP(B130,DATOS!B:E,4,FALSE)))</f>
        <v/>
      </c>
      <c r="L130" s="603">
        <f>K130</f>
        <v/>
      </c>
      <c r="M130" s="606" t="inlineStr">
        <is>
          <t>R</t>
        </is>
      </c>
      <c r="N130" s="606" t="inlineStr">
        <is>
          <t>ESP</t>
        </is>
      </c>
      <c r="O130" s="628" t="inlineStr">
        <is>
          <t>--</t>
        </is>
      </c>
      <c r="P130" s="628" t="inlineStr">
        <is>
          <t>--</t>
        </is>
      </c>
      <c r="Q130" s="606" t="inlineStr">
        <is>
          <t>EUR</t>
        </is>
      </c>
      <c r="R130" s="640" t="inlineStr">
        <is>
          <t>01</t>
        </is>
      </c>
      <c r="S130" s="339" t="inlineStr">
        <is>
          <t>FALSE</t>
        </is>
      </c>
      <c r="T130" s="1" t="inlineStr">
        <is>
          <t xml:space="preserve"> </t>
        </is>
      </c>
      <c r="U130" s="608" t="inlineStr">
        <is>
          <t>https://www.facturantia.com/API/proformas_receptor.php</t>
        </is>
      </c>
      <c r="V130" s="609" t="n">
        <v>6666</v>
      </c>
      <c r="W130" s="610" t="inlineStr">
        <is>
          <t>facturacion@abalados.es</t>
        </is>
      </c>
      <c r="X130" s="609" t="n">
        <v>762687769</v>
      </c>
      <c r="Z130" s="625" t="n"/>
    </row>
    <row r="131" ht="15" customFormat="1" customHeight="1" s="25">
      <c r="A131" s="339" t="inlineStr">
        <is>
          <t>J</t>
        </is>
      </c>
      <c r="B131" s="25" t="inlineStr">
        <is>
          <t>Watio Capital</t>
        </is>
      </c>
      <c r="C131" s="25" t="inlineStr">
        <is>
          <t>CIF B87036521</t>
        </is>
      </c>
      <c r="D131" s="25" t="inlineStr">
        <is>
          <t>2020-004</t>
        </is>
      </c>
      <c r="E131" s="598" t="n">
        <v>0</v>
      </c>
      <c r="F131" s="601">
        <f>IF( OR(ISNUMBER(SEARCH("NIF",C131)),ISNUMBER(SEARCH("CIF",C131)),ISNUMBER(SEARCH("NIE",C131))), MID(C131,5,LEN(C131)), C131)</f>
        <v/>
      </c>
      <c r="G131" s="339" t="inlineStr">
        <is>
          <t>nif</t>
        </is>
      </c>
      <c r="H131" s="602">
        <f>F131</f>
        <v/>
      </c>
      <c r="I131" s="603">
        <f>VLOOKUP(B131,DATOS!B:D,3,FALSE)</f>
        <v/>
      </c>
      <c r="J131" s="603">
        <f>MID(VLOOKUP(B131,DATOS!B:E,4,FALSE),1,5)</f>
        <v/>
      </c>
      <c r="K131" s="603">
        <f>MID(VLOOKUP(B131,DATOS!B:E,4,FALSE),7,LEN(VLOOKUP(B131,DATOS!B:E,4,FALSE)))</f>
        <v/>
      </c>
      <c r="L131" s="603">
        <f>K131</f>
        <v/>
      </c>
      <c r="M131" s="606" t="inlineStr">
        <is>
          <t>R</t>
        </is>
      </c>
      <c r="N131" s="606" t="inlineStr">
        <is>
          <t>ESP</t>
        </is>
      </c>
      <c r="O131" s="628" t="inlineStr">
        <is>
          <t>--</t>
        </is>
      </c>
      <c r="P131" s="628" t="inlineStr">
        <is>
          <t>--</t>
        </is>
      </c>
      <c r="Q131" s="606" t="inlineStr">
        <is>
          <t>EUR</t>
        </is>
      </c>
      <c r="R131" s="640" t="inlineStr">
        <is>
          <t>01</t>
        </is>
      </c>
      <c r="S131" s="339" t="inlineStr">
        <is>
          <t>FALSE</t>
        </is>
      </c>
      <c r="T131" s="1" t="inlineStr">
        <is>
          <t xml:space="preserve"> </t>
        </is>
      </c>
      <c r="U131" s="608" t="inlineStr">
        <is>
          <t>https://www.facturantia.com/API/proformas_receptor.php</t>
        </is>
      </c>
      <c r="V131" s="609" t="n">
        <v>6666</v>
      </c>
      <c r="W131" s="610" t="inlineStr">
        <is>
          <t>facturacion@abalados.es</t>
        </is>
      </c>
      <c r="X131" s="609" t="n">
        <v>762687769</v>
      </c>
      <c r="Z131" s="625" t="n"/>
    </row>
    <row r="132" ht="15" customFormat="1" customHeight="1" s="25">
      <c r="A132" s="339" t="inlineStr">
        <is>
          <t>J</t>
        </is>
      </c>
      <c r="B132" s="25" t="inlineStr">
        <is>
          <t>Soluciones Aeconova S.L.</t>
        </is>
      </c>
      <c r="C132" s="25" t="inlineStr">
        <is>
          <t>CIF B90418427</t>
        </is>
      </c>
      <c r="D132" s="25" t="inlineStr">
        <is>
          <t>2020-005</t>
        </is>
      </c>
      <c r="E132" s="598" t="n">
        <v>0</v>
      </c>
      <c r="F132" s="601">
        <f>IF( OR(ISNUMBER(SEARCH("NIF",C132)),ISNUMBER(SEARCH("CIF",C132)),ISNUMBER(SEARCH("NIE",C132))), MID(C132,5,LEN(C132)), C132)</f>
        <v/>
      </c>
      <c r="G132" s="339" t="inlineStr">
        <is>
          <t>nif</t>
        </is>
      </c>
      <c r="H132" s="602">
        <f>F132</f>
        <v/>
      </c>
      <c r="I132" s="603">
        <f>VLOOKUP(B132,DATOS!B:D,3,FALSE)</f>
        <v/>
      </c>
      <c r="J132" s="603">
        <f>MID(VLOOKUP(B132,DATOS!B:E,4,FALSE),1,5)</f>
        <v/>
      </c>
      <c r="K132" s="603">
        <f>MID(VLOOKUP(B132,DATOS!B:E,4,FALSE),7,LEN(VLOOKUP(B132,DATOS!B:E,4,FALSE)))</f>
        <v/>
      </c>
      <c r="L132" s="603">
        <f>K132</f>
        <v/>
      </c>
      <c r="M132" s="606" t="inlineStr">
        <is>
          <t>R</t>
        </is>
      </c>
      <c r="N132" s="606" t="inlineStr">
        <is>
          <t>ESP</t>
        </is>
      </c>
      <c r="O132" s="628" t="inlineStr">
        <is>
          <t>--</t>
        </is>
      </c>
      <c r="P132" s="628" t="inlineStr">
        <is>
          <t>--</t>
        </is>
      </c>
      <c r="Q132" s="606" t="inlineStr">
        <is>
          <t>EUR</t>
        </is>
      </c>
      <c r="R132" s="640" t="inlineStr">
        <is>
          <t>01</t>
        </is>
      </c>
      <c r="S132" s="339" t="inlineStr">
        <is>
          <t>FALSE</t>
        </is>
      </c>
      <c r="T132" s="1" t="inlineStr">
        <is>
          <t xml:space="preserve"> </t>
        </is>
      </c>
      <c r="U132" s="608" t="inlineStr">
        <is>
          <t>https://www.facturantia.com/API/proformas_receptor.php</t>
        </is>
      </c>
      <c r="V132" s="609" t="n">
        <v>6666</v>
      </c>
      <c r="W132" s="610" t="inlineStr">
        <is>
          <t>facturacion@abalados.es</t>
        </is>
      </c>
      <c r="X132" s="609" t="n">
        <v>762687769</v>
      </c>
      <c r="Z132" s="625" t="n"/>
    </row>
    <row r="133" ht="15" customFormat="1" customHeight="1" s="25">
      <c r="A133" s="339" t="inlineStr">
        <is>
          <t>J</t>
        </is>
      </c>
      <c r="B133" s="25" t="inlineStr">
        <is>
          <t>FP LUX REIO PV VALLADOLID, S.L.U.</t>
        </is>
      </c>
      <c r="C133" s="25" t="inlineStr">
        <is>
          <t>CIF B71334833</t>
        </is>
      </c>
      <c r="D133" s="25" t="inlineStr">
        <is>
          <t>2020-006</t>
        </is>
      </c>
      <c r="E133" s="598" t="n">
        <v>0.1</v>
      </c>
      <c r="F133" s="601">
        <f>IF( OR(ISNUMBER(SEARCH("NIF",C133)),ISNUMBER(SEARCH("CIF",C133)),ISNUMBER(SEARCH("NIE",C133))), MID(C133,5,LEN(C133)), C133)</f>
        <v/>
      </c>
      <c r="G133" s="339" t="inlineStr">
        <is>
          <t>nif</t>
        </is>
      </c>
      <c r="H133" s="602">
        <f>F133</f>
        <v/>
      </c>
      <c r="I133" s="603">
        <f>VLOOKUP(B133,DATOS!B:D,3,FALSE)</f>
        <v/>
      </c>
      <c r="J133" s="603">
        <f>MID(VLOOKUP(B133,DATOS!B:E,4,FALSE),1,5)</f>
        <v/>
      </c>
      <c r="K133" s="603">
        <f>MID(VLOOKUP(B133,DATOS!B:E,4,FALSE),7,LEN(VLOOKUP(B133,DATOS!B:E,4,FALSE)))</f>
        <v/>
      </c>
      <c r="L133" s="603">
        <f>K133</f>
        <v/>
      </c>
      <c r="M133" s="606" t="inlineStr">
        <is>
          <t>R</t>
        </is>
      </c>
      <c r="N133" s="606" t="inlineStr">
        <is>
          <t>ESP</t>
        </is>
      </c>
      <c r="O133" s="619" t="n"/>
      <c r="P133" s="619" t="n"/>
      <c r="Q133" s="606" t="inlineStr">
        <is>
          <t>EUR</t>
        </is>
      </c>
      <c r="R133" s="640" t="inlineStr">
        <is>
          <t>01</t>
        </is>
      </c>
      <c r="S133" s="339" t="inlineStr">
        <is>
          <t>FALSE</t>
        </is>
      </c>
      <c r="T133" s="1" t="inlineStr">
        <is>
          <t xml:space="preserve"> </t>
        </is>
      </c>
      <c r="U133" s="608" t="inlineStr">
        <is>
          <t>https://www.facturantia.com/API/proformas_receptor.php</t>
        </is>
      </c>
      <c r="V133" s="609" t="n">
        <v>6666</v>
      </c>
      <c r="W133" s="610" t="inlineStr">
        <is>
          <t>facturacion@abalados.es</t>
        </is>
      </c>
      <c r="X133" s="609" t="n">
        <v>762687769</v>
      </c>
      <c r="Z133" s="625" t="n"/>
    </row>
    <row r="134" ht="15" customFormat="1" customHeight="1" s="25">
      <c r="A134" s="339" t="inlineStr">
        <is>
          <t>J</t>
        </is>
      </c>
      <c r="B134" s="25" t="inlineStr">
        <is>
          <t>NOVASOL INVEST LA ISLA S.L.</t>
        </is>
      </c>
      <c r="C134" s="25" t="inlineStr">
        <is>
          <t>NIF B91822882</t>
        </is>
      </c>
      <c r="D134" s="25" t="inlineStr">
        <is>
          <t>2020-007</t>
        </is>
      </c>
      <c r="E134" s="598" t="n">
        <v>0</v>
      </c>
      <c r="F134" s="601">
        <f>IF( OR(ISNUMBER(SEARCH("NIF",C134)),ISNUMBER(SEARCH("CIF",C134)),ISNUMBER(SEARCH("NIE",C134))), MID(C134,5,LEN(C134)), C134)</f>
        <v/>
      </c>
      <c r="G134" s="339" t="inlineStr">
        <is>
          <t>nif</t>
        </is>
      </c>
      <c r="H134" s="602">
        <f>F134</f>
        <v/>
      </c>
      <c r="I134" s="603">
        <f>VLOOKUP(B134,DATOS!B:D,3,FALSE)</f>
        <v/>
      </c>
      <c r="J134" s="603">
        <f>MID(VLOOKUP(B134,DATOS!B:E,4,FALSE),1,5)</f>
        <v/>
      </c>
      <c r="K134" s="603">
        <f>MID(VLOOKUP(B134,DATOS!B:E,4,FALSE),7,LEN(VLOOKUP(B134,DATOS!B:E,4,FALSE)))</f>
        <v/>
      </c>
      <c r="L134" s="603">
        <f>K134</f>
        <v/>
      </c>
      <c r="M134" s="606" t="inlineStr">
        <is>
          <t>R</t>
        </is>
      </c>
      <c r="N134" s="606" t="inlineStr">
        <is>
          <t>ESP</t>
        </is>
      </c>
      <c r="O134" s="628" t="inlineStr">
        <is>
          <t>--</t>
        </is>
      </c>
      <c r="P134" s="628" t="inlineStr">
        <is>
          <t>--</t>
        </is>
      </c>
      <c r="Q134" s="606" t="inlineStr">
        <is>
          <t>EUR</t>
        </is>
      </c>
      <c r="R134" s="640" t="inlineStr">
        <is>
          <t>01</t>
        </is>
      </c>
      <c r="S134" s="339" t="inlineStr">
        <is>
          <t>FALSE</t>
        </is>
      </c>
      <c r="T134" s="1" t="inlineStr">
        <is>
          <t xml:space="preserve"> </t>
        </is>
      </c>
      <c r="U134" s="608" t="inlineStr">
        <is>
          <t>https://www.facturantia.com/API/proformas_receptor.php</t>
        </is>
      </c>
      <c r="V134" s="609" t="n">
        <v>6666</v>
      </c>
      <c r="W134" s="610" t="inlineStr">
        <is>
          <t>facturacion@abalados.es</t>
        </is>
      </c>
      <c r="X134" s="609" t="n">
        <v>762687769</v>
      </c>
      <c r="Z134" s="625" t="n"/>
    </row>
    <row r="135" ht="15" customFormat="1" customHeight="1" s="25">
      <c r="A135" s="339" t="inlineStr">
        <is>
          <t>J</t>
        </is>
      </c>
      <c r="B135" s="25" t="inlineStr">
        <is>
          <t>China Triumph International Engineering Co.,Ltd.</t>
        </is>
      </c>
      <c r="C135" s="187" t="inlineStr">
        <is>
          <t>91310000102016281D</t>
        </is>
      </c>
      <c r="D135" s="25" t="inlineStr">
        <is>
          <t>2020-008</t>
        </is>
      </c>
      <c r="E135" s="598" t="n">
        <v>0</v>
      </c>
      <c r="F135" s="601">
        <f>IF( OR(ISNUMBER(SEARCH("NIF",C135)),ISNUMBER(SEARCH("CIF",C135)),ISNUMBER(SEARCH("NIE",C135))), MID(C135,5,LEN(C135)), C135)</f>
        <v/>
      </c>
      <c r="G135" s="339" t="inlineStr">
        <is>
          <t>nif</t>
        </is>
      </c>
      <c r="H135" s="602">
        <f>F135</f>
        <v/>
      </c>
      <c r="I135" s="603">
        <f>VLOOKUP(B135,DATOS!B:D,3,FALSE)</f>
        <v/>
      </c>
      <c r="J135" s="603">
        <f>MID(VLOOKUP(B135,DATOS!B:E,4,FALSE),1,6)</f>
        <v/>
      </c>
      <c r="K135" s="604" t="inlineStr">
        <is>
          <t>Shanghai</t>
        </is>
      </c>
      <c r="L135" s="604">
        <f>K135</f>
        <v/>
      </c>
      <c r="M135" s="606" t="inlineStr">
        <is>
          <t>R</t>
        </is>
      </c>
      <c r="N135" s="339" t="inlineStr">
        <is>
          <t>CN</t>
        </is>
      </c>
      <c r="O135" s="628" t="inlineStr">
        <is>
          <t>--</t>
        </is>
      </c>
      <c r="P135" s="628" t="inlineStr">
        <is>
          <t>--</t>
        </is>
      </c>
      <c r="Q135" s="606" t="inlineStr">
        <is>
          <t>EUR</t>
        </is>
      </c>
      <c r="R135" s="640" t="inlineStr">
        <is>
          <t>01</t>
        </is>
      </c>
      <c r="S135" s="339" t="inlineStr">
        <is>
          <t>FALSE</t>
        </is>
      </c>
      <c r="T135" s="1" t="inlineStr">
        <is>
          <t xml:space="preserve"> </t>
        </is>
      </c>
      <c r="U135" s="608" t="inlineStr">
        <is>
          <t>https://www.facturantia.com/API/proformas_receptor.php</t>
        </is>
      </c>
      <c r="V135" s="609" t="n">
        <v>6666</v>
      </c>
      <c r="W135" s="610" t="inlineStr">
        <is>
          <t>facturacion@abalados.es</t>
        </is>
      </c>
      <c r="X135" s="609" t="n">
        <v>762687769</v>
      </c>
      <c r="Z135" s="625" t="n"/>
    </row>
    <row r="136" ht="15" customFormat="1" customHeight="1" s="25">
      <c r="A136" s="339" t="inlineStr">
        <is>
          <t>J</t>
        </is>
      </c>
      <c r="B136" s="25" t="inlineStr">
        <is>
          <t>ALMIRANS, S.L.U.</t>
        </is>
      </c>
      <c r="C136" s="25" t="inlineStr">
        <is>
          <t>CIF B21390463</t>
        </is>
      </c>
      <c r="D136" s="25" t="inlineStr">
        <is>
          <t>2021-001</t>
        </is>
      </c>
      <c r="E136" s="598" t="n">
        <v>0</v>
      </c>
      <c r="F136" s="601">
        <f>IF( OR(ISNUMBER(SEARCH("NIF",C136)),ISNUMBER(SEARCH("CIF",C136)),ISNUMBER(SEARCH("NIE",C136))), MID(C136,5,LEN(C136)), C136)</f>
        <v/>
      </c>
      <c r="G136" s="339" t="inlineStr">
        <is>
          <t>nif</t>
        </is>
      </c>
      <c r="H136" s="602">
        <f>F136</f>
        <v/>
      </c>
      <c r="I136" s="603">
        <f>VLOOKUP(B136,DATOS!B:D,3,FALSE)</f>
        <v/>
      </c>
      <c r="J136" s="603">
        <f>MID(VLOOKUP(B136,DATOS!B:E,4,FALSE),1,5)</f>
        <v/>
      </c>
      <c r="K136" s="604" t="inlineStr">
        <is>
          <t>Moguer</t>
        </is>
      </c>
      <c r="L136" s="604" t="inlineStr">
        <is>
          <t>Huelva</t>
        </is>
      </c>
      <c r="M136" s="606" t="inlineStr">
        <is>
          <t>R</t>
        </is>
      </c>
      <c r="N136" s="606" t="inlineStr">
        <is>
          <t>ESP</t>
        </is>
      </c>
      <c r="O136" s="628" t="inlineStr">
        <is>
          <t>--</t>
        </is>
      </c>
      <c r="P136" s="628" t="inlineStr">
        <is>
          <t>--</t>
        </is>
      </c>
      <c r="Q136" s="606" t="inlineStr">
        <is>
          <t>EUR</t>
        </is>
      </c>
      <c r="R136" s="640" t="inlineStr">
        <is>
          <t>01</t>
        </is>
      </c>
      <c r="S136" s="339" t="inlineStr">
        <is>
          <t>FALSE</t>
        </is>
      </c>
      <c r="T136" s="1" t="inlineStr">
        <is>
          <t xml:space="preserve"> </t>
        </is>
      </c>
      <c r="U136" s="608" t="inlineStr">
        <is>
          <t>https://www.facturantia.com/API/proformas_receptor.php</t>
        </is>
      </c>
      <c r="V136" s="609" t="n">
        <v>6666</v>
      </c>
      <c r="W136" s="610" t="inlineStr">
        <is>
          <t>facturacion@abalados.es</t>
        </is>
      </c>
      <c r="X136" s="609" t="n">
        <v>762687769</v>
      </c>
      <c r="Z136" s="625" t="n"/>
    </row>
    <row r="137" ht="15" customFormat="1" customHeight="1" s="25">
      <c r="A137" s="339" t="inlineStr">
        <is>
          <t>J</t>
        </is>
      </c>
      <c r="B137" s="25" t="inlineStr">
        <is>
          <t>BayWa r.e. España S.L.U.</t>
        </is>
      </c>
      <c r="C137" s="25" t="inlineStr">
        <is>
          <t>CIF B65415762</t>
        </is>
      </c>
      <c r="D137" s="25" t="inlineStr">
        <is>
          <t>2021-002</t>
        </is>
      </c>
      <c r="E137" s="598" t="n">
        <v>0</v>
      </c>
      <c r="F137" s="601">
        <f>IF( OR(ISNUMBER(SEARCH("NIF",C137)),ISNUMBER(SEARCH("CIF",C137)),ISNUMBER(SEARCH("NIE",C137))), MID(C137,5,LEN(C137)), C137)</f>
        <v/>
      </c>
      <c r="G137" s="339" t="inlineStr">
        <is>
          <t>nif</t>
        </is>
      </c>
      <c r="H137" s="602">
        <f>F137</f>
        <v/>
      </c>
      <c r="I137" s="603">
        <f>VLOOKUP(B137,DATOS!B:D,3,FALSE)</f>
        <v/>
      </c>
      <c r="J137" s="603">
        <f>MID(VLOOKUP(B137,DATOS!B:E,4,FALSE),1,5)</f>
        <v/>
      </c>
      <c r="K137" s="603">
        <f>MID(VLOOKUP(B137,DATOS!B:E,4,FALSE),7,LEN(VLOOKUP(B137,DATOS!B:E,4,FALSE)))</f>
        <v/>
      </c>
      <c r="L137" s="603">
        <f>K137</f>
        <v/>
      </c>
      <c r="M137" s="606" t="inlineStr">
        <is>
          <t>R</t>
        </is>
      </c>
      <c r="N137" s="606" t="inlineStr">
        <is>
          <t>ESP</t>
        </is>
      </c>
      <c r="O137" s="628" t="inlineStr">
        <is>
          <t>--</t>
        </is>
      </c>
      <c r="P137" s="628" t="inlineStr">
        <is>
          <t>--</t>
        </is>
      </c>
      <c r="Q137" s="606" t="inlineStr">
        <is>
          <t>EUR</t>
        </is>
      </c>
      <c r="R137" s="640" t="inlineStr">
        <is>
          <t>01</t>
        </is>
      </c>
      <c r="S137" s="339" t="inlineStr">
        <is>
          <t>FALSE</t>
        </is>
      </c>
      <c r="T137" s="1" t="inlineStr">
        <is>
          <t xml:space="preserve"> </t>
        </is>
      </c>
      <c r="U137" s="608" t="inlineStr">
        <is>
          <t>https://www.facturantia.com/API/proformas_receptor.php</t>
        </is>
      </c>
      <c r="V137" s="609" t="n">
        <v>6666</v>
      </c>
      <c r="W137" s="610" t="inlineStr">
        <is>
          <t>facturacion@abalados.es</t>
        </is>
      </c>
      <c r="X137" s="609" t="n">
        <v>762687769</v>
      </c>
      <c r="Z137" s="625" t="n"/>
    </row>
    <row r="138" ht="15" customFormat="1" customHeight="1" s="25">
      <c r="A138" s="635" t="inlineStr">
        <is>
          <t>J</t>
        </is>
      </c>
      <c r="B138" s="25" t="inlineStr">
        <is>
          <t>Valcabado Renovables 220 kV, S.L.</t>
        </is>
      </c>
      <c r="C138" s="25" t="inlineStr">
        <is>
          <t>CIF B42768697</t>
        </is>
      </c>
      <c r="D138" s="25" t="inlineStr">
        <is>
          <t>2021-003</t>
        </is>
      </c>
      <c r="E138" s="598" t="n">
        <v>0.08</v>
      </c>
      <c r="F138" s="601">
        <f>IF( OR(ISNUMBER(SEARCH("NIF",C138)),ISNUMBER(SEARCH("CIF",C138)),ISNUMBER(SEARCH("NIE",C138))), MID(C138,5,LEN(C138)), C138)</f>
        <v/>
      </c>
      <c r="G138" s="339" t="inlineStr">
        <is>
          <t>nif</t>
        </is>
      </c>
      <c r="H138" s="602">
        <f>F138</f>
        <v/>
      </c>
      <c r="I138" s="603">
        <f>VLOOKUP(B138,DATOS!B:D,3,FALSE)</f>
        <v/>
      </c>
      <c r="J138" s="603">
        <f>MID(VLOOKUP(B138,DATOS!B:E,4,FALSE),1,5)</f>
        <v/>
      </c>
      <c r="K138" s="603">
        <f>MID(VLOOKUP(B138,DATOS!B:E,4,FALSE),7,LEN(VLOOKUP(B138,DATOS!B:E,4,FALSE)))</f>
        <v/>
      </c>
      <c r="L138" s="603">
        <f>K138</f>
        <v/>
      </c>
      <c r="M138" s="606" t="inlineStr">
        <is>
          <t>R</t>
        </is>
      </c>
      <c r="N138" s="606" t="inlineStr">
        <is>
          <t>ESP</t>
        </is>
      </c>
      <c r="O138" s="619" t="inlineStr">
        <is>
          <t>ES1301289444160100012613</t>
        </is>
      </c>
      <c r="P138" s="619" t="inlineStr">
        <is>
          <t>BKBKESMMXXX</t>
        </is>
      </c>
      <c r="Q138" s="606" t="inlineStr">
        <is>
          <t>EUR</t>
        </is>
      </c>
      <c r="R138" s="640" t="inlineStr">
        <is>
          <t>01</t>
        </is>
      </c>
      <c r="S138" s="339" t="inlineStr">
        <is>
          <t>FALSE</t>
        </is>
      </c>
      <c r="T138" s="1" t="inlineStr">
        <is>
          <t xml:space="preserve"> </t>
        </is>
      </c>
      <c r="U138" s="608" t="inlineStr">
        <is>
          <t>https://www.facturantia.com/API/proformas_receptor.php</t>
        </is>
      </c>
      <c r="V138" s="609" t="n">
        <v>6666</v>
      </c>
      <c r="W138" s="610" t="inlineStr">
        <is>
          <t>facturacion@abalados.es</t>
        </is>
      </c>
      <c r="X138" s="609" t="n">
        <v>762687769</v>
      </c>
      <c r="Z138" s="624" t="n">
        <v>45951</v>
      </c>
    </row>
    <row r="139" ht="15" customFormat="1" customHeight="1" s="25">
      <c r="A139" s="339" t="inlineStr">
        <is>
          <t>J</t>
        </is>
      </c>
      <c r="B139" s="25" t="inlineStr">
        <is>
          <t>Langsyne Spain S.L.U.</t>
        </is>
      </c>
      <c r="C139" s="25" t="inlineStr">
        <is>
          <t>CIF B85277762</t>
        </is>
      </c>
      <c r="D139" s="25" t="inlineStr">
        <is>
          <t>2021-004</t>
        </is>
      </c>
      <c r="E139" s="598" t="n">
        <v>0</v>
      </c>
      <c r="F139" s="601">
        <f>IF( OR(ISNUMBER(SEARCH("NIF",C139)),ISNUMBER(SEARCH("CIF",C139)),ISNUMBER(SEARCH("NIE",C139))), MID(C139,5,LEN(C139)), C139)</f>
        <v/>
      </c>
      <c r="G139" s="339" t="inlineStr">
        <is>
          <t>nif</t>
        </is>
      </c>
      <c r="H139" s="602">
        <f>F139</f>
        <v/>
      </c>
      <c r="I139" s="603">
        <f>VLOOKUP(B139,DATOS!B:D,3,FALSE)</f>
        <v/>
      </c>
      <c r="J139" s="603">
        <f>MID(VLOOKUP(B139,DATOS!B:E,4,FALSE),1,5)</f>
        <v/>
      </c>
      <c r="K139" s="603">
        <f>MID(VLOOKUP(B139,DATOS!B:E,4,FALSE),7,LEN(VLOOKUP(B139,DATOS!B:E,4,FALSE)))</f>
        <v/>
      </c>
      <c r="L139" s="603">
        <f>K139</f>
        <v/>
      </c>
      <c r="M139" s="606" t="inlineStr">
        <is>
          <t>R</t>
        </is>
      </c>
      <c r="N139" s="606" t="inlineStr">
        <is>
          <t>ESP</t>
        </is>
      </c>
      <c r="O139" s="628" t="inlineStr">
        <is>
          <t>--</t>
        </is>
      </c>
      <c r="P139" s="628" t="inlineStr">
        <is>
          <t>--</t>
        </is>
      </c>
      <c r="Q139" s="606" t="inlineStr">
        <is>
          <t>EUR</t>
        </is>
      </c>
      <c r="R139" s="640" t="inlineStr">
        <is>
          <t>01</t>
        </is>
      </c>
      <c r="S139" s="339" t="inlineStr">
        <is>
          <t>FALSE</t>
        </is>
      </c>
      <c r="T139" s="1" t="inlineStr">
        <is>
          <t xml:space="preserve"> </t>
        </is>
      </c>
      <c r="U139" s="608" t="inlineStr">
        <is>
          <t>https://www.facturantia.com/API/proformas_receptor.php</t>
        </is>
      </c>
      <c r="V139" s="609" t="n">
        <v>6666</v>
      </c>
      <c r="W139" s="610" t="inlineStr">
        <is>
          <t>facturacion@abalados.es</t>
        </is>
      </c>
      <c r="X139" s="609" t="n">
        <v>762687769</v>
      </c>
      <c r="Z139" s="625" t="n"/>
    </row>
    <row r="140" ht="15" customFormat="1" customHeight="1" s="25">
      <c r="A140" s="339" t="inlineStr">
        <is>
          <t>J</t>
        </is>
      </c>
      <c r="B140" s="25" t="inlineStr">
        <is>
          <t>FP LUX REIO PV ZARAGOZA SL.</t>
        </is>
      </c>
      <c r="C140" s="25" t="inlineStr">
        <is>
          <t>CIF B99453326</t>
        </is>
      </c>
      <c r="D140" s="25" t="inlineStr">
        <is>
          <t>2019-005</t>
        </is>
      </c>
      <c r="E140" s="598" t="n">
        <v>0</v>
      </c>
      <c r="F140" s="601">
        <f>IF( OR(ISNUMBER(SEARCH("NIF",C140)),ISNUMBER(SEARCH("CIF",C140)),ISNUMBER(SEARCH("NIE",C140))), MID(C140,5,LEN(C140)), C140)</f>
        <v/>
      </c>
      <c r="G140" s="339" t="inlineStr">
        <is>
          <t>nif</t>
        </is>
      </c>
      <c r="H140" s="602">
        <f>F140</f>
        <v/>
      </c>
      <c r="I140" s="603">
        <f>VLOOKUP(B140,DATOS!B:D,3,FALSE)</f>
        <v/>
      </c>
      <c r="J140" s="603">
        <f>MID(VLOOKUP(B140,DATOS!B:E,4,FALSE),1,5)</f>
        <v/>
      </c>
      <c r="K140" s="603">
        <f>MID(VLOOKUP(B140,DATOS!B:E,4,FALSE),7,LEN(VLOOKUP(B140,DATOS!B:E,4,FALSE)))</f>
        <v/>
      </c>
      <c r="L140" s="603">
        <f>K140</f>
        <v/>
      </c>
      <c r="M140" s="606" t="inlineStr">
        <is>
          <t>R</t>
        </is>
      </c>
      <c r="N140" s="606" t="inlineStr">
        <is>
          <t>ESP</t>
        </is>
      </c>
      <c r="O140" s="619" t="n"/>
      <c r="P140" s="619" t="n"/>
      <c r="Q140" s="606" t="inlineStr">
        <is>
          <t>EUR</t>
        </is>
      </c>
      <c r="R140" s="640" t="inlineStr">
        <is>
          <t>01</t>
        </is>
      </c>
      <c r="S140" s="339" t="inlineStr">
        <is>
          <t>FALSE</t>
        </is>
      </c>
      <c r="T140" s="1" t="inlineStr">
        <is>
          <t xml:space="preserve"> </t>
        </is>
      </c>
      <c r="U140" s="608" t="inlineStr">
        <is>
          <t>https://www.facturantia.com/API/proformas_receptor.php</t>
        </is>
      </c>
      <c r="V140" s="609" t="n">
        <v>6666</v>
      </c>
      <c r="W140" s="610" t="inlineStr">
        <is>
          <t>facturacion@abalados.es</t>
        </is>
      </c>
      <c r="X140" s="609" t="n">
        <v>762687769</v>
      </c>
      <c r="Z140" s="625" t="n"/>
    </row>
    <row r="141" ht="15" customFormat="1" customHeight="1" s="25">
      <c r="A141" s="635" t="inlineStr">
        <is>
          <t>J</t>
        </is>
      </c>
      <c r="B141" s="25" t="inlineStr">
        <is>
          <t>Grijota Renovables, S.L.</t>
        </is>
      </c>
      <c r="C141" s="25" t="inlineStr">
        <is>
          <t>CIF B02963767</t>
        </is>
      </c>
      <c r="D141" s="25" t="inlineStr">
        <is>
          <t>2021-005</t>
        </is>
      </c>
      <c r="E141" s="598" t="n">
        <v>0.08</v>
      </c>
      <c r="F141" s="601">
        <f>IF( OR(ISNUMBER(SEARCH("NIF",C141)),ISNUMBER(SEARCH("CIF",C141)),ISNUMBER(SEARCH("NIE",C141))), MID(C141,5,LEN(C141)), C141)</f>
        <v/>
      </c>
      <c r="G141" s="339" t="inlineStr">
        <is>
          <t>nif</t>
        </is>
      </c>
      <c r="H141" s="602">
        <f>F141</f>
        <v/>
      </c>
      <c r="I141" s="603">
        <f>VLOOKUP(B141,DATOS!B:D,3,FALSE)</f>
        <v/>
      </c>
      <c r="J141" s="603">
        <f>MID(VLOOKUP(B141,DATOS!B:E,4,FALSE),1,5)</f>
        <v/>
      </c>
      <c r="K141" s="603">
        <f>MID(VLOOKUP(B141,DATOS!B:E,4,FALSE),7,LEN(VLOOKUP(B141,DATOS!B:E,4,FALSE)))</f>
        <v/>
      </c>
      <c r="L141" s="603">
        <f>K141</f>
        <v/>
      </c>
      <c r="M141" s="606" t="inlineStr">
        <is>
          <t>R</t>
        </is>
      </c>
      <c r="N141" s="606" t="inlineStr">
        <is>
          <t>ESP</t>
        </is>
      </c>
      <c r="O141" s="619" t="inlineStr">
        <is>
          <t>ES6500495147442116596310</t>
        </is>
      </c>
      <c r="P141" s="619" t="inlineStr">
        <is>
          <t>BSCHESMMXXX</t>
        </is>
      </c>
      <c r="Q141" s="606" t="inlineStr">
        <is>
          <t>EUR</t>
        </is>
      </c>
      <c r="R141" s="640" t="inlineStr">
        <is>
          <t>01</t>
        </is>
      </c>
      <c r="S141" s="339" t="inlineStr">
        <is>
          <t>FALSE</t>
        </is>
      </c>
      <c r="T141" s="1" t="inlineStr">
        <is>
          <t xml:space="preserve"> </t>
        </is>
      </c>
      <c r="U141" s="608" t="inlineStr">
        <is>
          <t>https://www.facturantia.com/API/proformas_receptor.php</t>
        </is>
      </c>
      <c r="V141" s="609" t="n">
        <v>6666</v>
      </c>
      <c r="W141" s="610" t="inlineStr">
        <is>
          <t>facturacion@abalados.es</t>
        </is>
      </c>
      <c r="X141" s="609" t="n">
        <v>762687769</v>
      </c>
      <c r="Z141" s="624" t="n">
        <v>45951</v>
      </c>
    </row>
    <row r="142" ht="15" customHeight="1" s="700">
      <c r="A142" s="635" t="inlineStr">
        <is>
          <t>J</t>
        </is>
      </c>
      <c r="B142" s="1" t="inlineStr">
        <is>
          <t>Cubillos Renovables, S.L.</t>
        </is>
      </c>
      <c r="C142" s="1" t="inlineStr">
        <is>
          <t>CIF B05457049</t>
        </is>
      </c>
      <c r="D142" s="25" t="inlineStr">
        <is>
          <t>2021-006</t>
        </is>
      </c>
      <c r="E142" s="598" t="n">
        <v>0.08</v>
      </c>
      <c r="F142" s="601">
        <f>IF( OR(ISNUMBER(SEARCH("NIF",C142)),ISNUMBER(SEARCH("CIF",C142)),ISNUMBER(SEARCH("NIE",C142))), MID(C142,5,LEN(C142)), C142)</f>
        <v/>
      </c>
      <c r="G142" s="339" t="inlineStr">
        <is>
          <t>nif</t>
        </is>
      </c>
      <c r="H142" s="602">
        <f>F142</f>
        <v/>
      </c>
      <c r="I142" s="603">
        <f>VLOOKUP(B142,DATOS!B:D,3,FALSE)</f>
        <v/>
      </c>
      <c r="J142" s="603">
        <f>MID(VLOOKUP(B142,DATOS!B:E,4,FALSE),1,5)</f>
        <v/>
      </c>
      <c r="K142" s="603">
        <f>MID(VLOOKUP(B142,DATOS!B:E,4,FALSE),7,LEN(VLOOKUP(B142,DATOS!B:E,4,FALSE)))</f>
        <v/>
      </c>
      <c r="L142" s="603">
        <f>K142</f>
        <v/>
      </c>
      <c r="M142" s="606" t="inlineStr">
        <is>
          <t>R</t>
        </is>
      </c>
      <c r="N142" s="606" t="inlineStr">
        <is>
          <t>ESP</t>
        </is>
      </c>
      <c r="O142" s="365" t="inlineStr">
        <is>
          <t>ES9701822329970201584466</t>
        </is>
      </c>
      <c r="P142" s="365" t="inlineStr">
        <is>
          <t>BBVAESMMXXX</t>
        </is>
      </c>
      <c r="Q142" s="606" t="inlineStr">
        <is>
          <t>EUR</t>
        </is>
      </c>
      <c r="R142" s="640" t="inlineStr">
        <is>
          <t>01</t>
        </is>
      </c>
      <c r="S142" s="339" t="inlineStr">
        <is>
          <t>FALSE</t>
        </is>
      </c>
      <c r="T142" s="1" t="inlineStr">
        <is>
          <t xml:space="preserve"> </t>
        </is>
      </c>
      <c r="U142" s="608" t="inlineStr">
        <is>
          <t>https://www.facturantia.com/API/proformas_receptor.php</t>
        </is>
      </c>
      <c r="V142" s="609" t="n">
        <v>6666</v>
      </c>
      <c r="W142" s="610" t="inlineStr">
        <is>
          <t>facturacion@abalados.es</t>
        </is>
      </c>
      <c r="X142" s="609" t="n">
        <v>762687769</v>
      </c>
      <c r="Z142" s="624" t="n">
        <v>45951</v>
      </c>
    </row>
    <row r="143" ht="15" customHeight="1" s="700">
      <c r="A143" s="339" t="inlineStr">
        <is>
          <t>J</t>
        </is>
      </c>
      <c r="B143" s="1" t="inlineStr">
        <is>
          <t>Sun Tol I, S.L.U.</t>
        </is>
      </c>
      <c r="C143" s="1" t="inlineStr">
        <is>
          <t>CIF B88187612</t>
        </is>
      </c>
      <c r="D143" s="25" t="inlineStr">
        <is>
          <t>2021-007</t>
        </is>
      </c>
      <c r="E143" s="339" t="n">
        <v>0</v>
      </c>
      <c r="F143" s="601">
        <f>IF( OR(ISNUMBER(SEARCH("NIF",C143)),ISNUMBER(SEARCH("CIF",C143)),ISNUMBER(SEARCH("NIE",C143))), MID(C143,5,LEN(C143)), C143)</f>
        <v/>
      </c>
      <c r="G143" s="339" t="inlineStr">
        <is>
          <t>nif</t>
        </is>
      </c>
      <c r="H143" s="602">
        <f>F143</f>
        <v/>
      </c>
      <c r="I143" s="603">
        <f>VLOOKUP(B143,DATOS!B:D,3,FALSE)</f>
        <v/>
      </c>
      <c r="J143" s="603">
        <f>MID(VLOOKUP(B143,DATOS!B:E,4,FALSE),1,5)</f>
        <v/>
      </c>
      <c r="K143" s="603">
        <f>MID(VLOOKUP(B143,DATOS!B:E,4,FALSE),7,LEN(VLOOKUP(B143,DATOS!B:E,4,FALSE)))</f>
        <v/>
      </c>
      <c r="L143" s="603">
        <f>K143</f>
        <v/>
      </c>
      <c r="M143" s="606" t="inlineStr">
        <is>
          <t>R</t>
        </is>
      </c>
      <c r="N143" s="606" t="inlineStr">
        <is>
          <t>ESP</t>
        </is>
      </c>
      <c r="O143" s="628" t="inlineStr">
        <is>
          <t>--</t>
        </is>
      </c>
      <c r="P143" s="628" t="inlineStr">
        <is>
          <t>--</t>
        </is>
      </c>
      <c r="Q143" s="606" t="inlineStr">
        <is>
          <t>EUR</t>
        </is>
      </c>
      <c r="R143" s="640" t="inlineStr">
        <is>
          <t>01</t>
        </is>
      </c>
      <c r="S143" s="339" t="inlineStr">
        <is>
          <t>FALSE</t>
        </is>
      </c>
      <c r="T143" s="1" t="inlineStr">
        <is>
          <t xml:space="preserve"> </t>
        </is>
      </c>
      <c r="U143" s="608" t="inlineStr">
        <is>
          <t>https://www.facturantia.com/API/proformas_receptor.php</t>
        </is>
      </c>
      <c r="V143" s="609" t="n">
        <v>6666</v>
      </c>
      <c r="W143" s="610" t="inlineStr">
        <is>
          <t>facturacion@abalados.es</t>
        </is>
      </c>
      <c r="X143" s="609" t="n">
        <v>762687769</v>
      </c>
      <c r="Z143" s="624" t="n"/>
    </row>
    <row r="144" ht="15" customHeight="1" s="700">
      <c r="A144" s="339" t="inlineStr">
        <is>
          <t>J</t>
        </is>
      </c>
      <c r="B144" s="1" t="inlineStr">
        <is>
          <t>SAECO de la dirección de infraestructura del E.T.</t>
        </is>
      </c>
      <c r="C144" s="1" t="inlineStr">
        <is>
          <t>NIF S2830108C</t>
        </is>
      </c>
      <c r="D144" s="25" t="inlineStr">
        <is>
          <t>2021-008</t>
        </is>
      </c>
      <c r="E144" s="339" t="n">
        <v>0</v>
      </c>
      <c r="F144" s="601">
        <f>IF( OR(ISNUMBER(SEARCH("NIF",C144)),ISNUMBER(SEARCH("CIF",C144)),ISNUMBER(SEARCH("NIE",C144))), MID(C144,5,LEN(C144)), C144)</f>
        <v/>
      </c>
      <c r="G144" s="339" t="inlineStr">
        <is>
          <t>nif</t>
        </is>
      </c>
      <c r="H144" s="602">
        <f>F144</f>
        <v/>
      </c>
      <c r="I144" s="603">
        <f>VLOOKUP(B144,DATOS!B:D,3,FALSE)</f>
        <v/>
      </c>
      <c r="J144" s="603">
        <f>MID(VLOOKUP(B144,DATOS!B:E,4,FALSE),1,5)</f>
        <v/>
      </c>
      <c r="K144" s="603">
        <f>MID(VLOOKUP(B144,DATOS!B:E,4,FALSE),7,LEN(VLOOKUP(B144,DATOS!B:E,4,FALSE)))</f>
        <v/>
      </c>
      <c r="L144" s="603">
        <f>K144</f>
        <v/>
      </c>
      <c r="M144" s="606" t="inlineStr">
        <is>
          <t>R</t>
        </is>
      </c>
      <c r="N144" s="606" t="inlineStr">
        <is>
          <t>ESP</t>
        </is>
      </c>
      <c r="O144" s="628" t="inlineStr">
        <is>
          <t>--</t>
        </is>
      </c>
      <c r="P144" s="628" t="inlineStr">
        <is>
          <t>--</t>
        </is>
      </c>
      <c r="Q144" s="606" t="inlineStr">
        <is>
          <t>EUR</t>
        </is>
      </c>
      <c r="R144" s="640" t="inlineStr">
        <is>
          <t>01</t>
        </is>
      </c>
      <c r="S144" s="339" t="inlineStr">
        <is>
          <t>FALSE</t>
        </is>
      </c>
      <c r="T144" s="1" t="inlineStr">
        <is>
          <t xml:space="preserve"> </t>
        </is>
      </c>
      <c r="U144" s="608" t="inlineStr">
        <is>
          <t>https://www.facturantia.com/API/proformas_receptor.php</t>
        </is>
      </c>
      <c r="V144" s="609" t="n">
        <v>6666</v>
      </c>
      <c r="W144" s="610" t="inlineStr">
        <is>
          <t>facturacion@abalados.es</t>
        </is>
      </c>
      <c r="X144" s="609" t="n">
        <v>762687769</v>
      </c>
      <c r="Z144" s="624" t="n"/>
    </row>
    <row r="145" ht="15" customHeight="1" s="700">
      <c r="A145" s="339" t="inlineStr">
        <is>
          <t>J</t>
        </is>
      </c>
      <c r="B145" s="215" t="inlineStr">
        <is>
          <t>China Triumph International Engineering Co., LTD EP EN SPAIN</t>
        </is>
      </c>
      <c r="C145" s="1" t="inlineStr">
        <is>
          <t>CIF W7203013C</t>
        </is>
      </c>
      <c r="D145" s="25" t="inlineStr">
        <is>
          <t>2021-009</t>
        </is>
      </c>
      <c r="E145" s="339" t="n">
        <v>0</v>
      </c>
      <c r="F145" s="601">
        <f>IF( OR(ISNUMBER(SEARCH("NIF",C145)),ISNUMBER(SEARCH("CIF",C145)),ISNUMBER(SEARCH("NIE",C145))), MID(C145,5,LEN(C145)), C145)</f>
        <v/>
      </c>
      <c r="G145" s="339" t="inlineStr">
        <is>
          <t>nif</t>
        </is>
      </c>
      <c r="H145" s="602">
        <f>F145</f>
        <v/>
      </c>
      <c r="I145" s="603">
        <f>VLOOKUP(B145,DATOS!B:D,3,FALSE)</f>
        <v/>
      </c>
      <c r="J145" s="603">
        <f>MID(VLOOKUP(B145,DATOS!B:E,4,FALSE),1,5)</f>
        <v/>
      </c>
      <c r="K145" s="603">
        <f>MID(VLOOKUP(B145,DATOS!B:E,4,FALSE),7,LEN(VLOOKUP(B145,DATOS!B:E,4,FALSE)))</f>
        <v/>
      </c>
      <c r="L145" s="603">
        <f>K145</f>
        <v/>
      </c>
      <c r="M145" s="606" t="inlineStr">
        <is>
          <t>R</t>
        </is>
      </c>
      <c r="N145" s="606" t="inlineStr">
        <is>
          <t>ESP</t>
        </is>
      </c>
      <c r="O145" s="628" t="inlineStr">
        <is>
          <t>--</t>
        </is>
      </c>
      <c r="P145" s="628" t="inlineStr">
        <is>
          <t>--</t>
        </is>
      </c>
      <c r="Q145" s="606" t="inlineStr">
        <is>
          <t>EUR</t>
        </is>
      </c>
      <c r="R145" s="640" t="inlineStr">
        <is>
          <t>01</t>
        </is>
      </c>
      <c r="S145" s="339" t="inlineStr">
        <is>
          <t>FALSE</t>
        </is>
      </c>
      <c r="T145" s="1" t="inlineStr">
        <is>
          <t xml:space="preserve"> </t>
        </is>
      </c>
      <c r="U145" s="608" t="inlineStr">
        <is>
          <t>https://www.facturantia.com/API/proformas_receptor.php</t>
        </is>
      </c>
      <c r="V145" s="609" t="n">
        <v>6666</v>
      </c>
      <c r="W145" s="610" t="inlineStr">
        <is>
          <t>facturacion@abalados.es</t>
        </is>
      </c>
      <c r="X145" s="609" t="n">
        <v>762687769</v>
      </c>
      <c r="Z145" s="624" t="n"/>
    </row>
    <row r="146" ht="15" customHeight="1" s="700">
      <c r="A146" s="339" t="inlineStr">
        <is>
          <t>J</t>
        </is>
      </c>
      <c r="B146" s="1" t="inlineStr">
        <is>
          <t>SMP Power GmbH</t>
        </is>
      </c>
      <c r="C146" s="1" t="inlineStr">
        <is>
          <t>DE345388995</t>
        </is>
      </c>
      <c r="D146" s="25" t="inlineStr">
        <is>
          <t>2021-010</t>
        </is>
      </c>
      <c r="E146" s="339" t="n">
        <v>0</v>
      </c>
      <c r="F146" s="601">
        <f>IF( OR(ISNUMBER(SEARCH("NIF",C146)),ISNUMBER(SEARCH("CIF",C146)),ISNUMBER(SEARCH("NIE",C146))), MID(C146,5,LEN(C146)), C146)</f>
        <v/>
      </c>
      <c r="G146" s="339" t="inlineStr">
        <is>
          <t>nif</t>
        </is>
      </c>
      <c r="H146" s="602">
        <f>F146</f>
        <v/>
      </c>
      <c r="I146" s="603">
        <f>VLOOKUP(B146,DATOS!B:D,3,FALSE)</f>
        <v/>
      </c>
      <c r="J146" s="603">
        <f>MID(VLOOKUP(B146,DATOS!B:E,4,FALSE),1,5)</f>
        <v/>
      </c>
      <c r="K146" s="604" t="inlineStr">
        <is>
          <t>Hamburg</t>
        </is>
      </c>
      <c r="L146" s="604" t="inlineStr">
        <is>
          <t>Hamburg</t>
        </is>
      </c>
      <c r="M146" s="606" t="inlineStr">
        <is>
          <t>R</t>
        </is>
      </c>
      <c r="N146" s="339" t="inlineStr">
        <is>
          <t>DE</t>
        </is>
      </c>
      <c r="O146" s="628" t="inlineStr">
        <is>
          <t>--</t>
        </is>
      </c>
      <c r="P146" s="628" t="inlineStr">
        <is>
          <t>--</t>
        </is>
      </c>
      <c r="Q146" s="606" t="inlineStr">
        <is>
          <t>EUR</t>
        </is>
      </c>
      <c r="R146" s="640" t="inlineStr">
        <is>
          <t>01</t>
        </is>
      </c>
      <c r="S146" s="339" t="inlineStr">
        <is>
          <t>FALSE</t>
        </is>
      </c>
      <c r="T146" s="1" t="inlineStr">
        <is>
          <t xml:space="preserve"> </t>
        </is>
      </c>
      <c r="U146" s="608" t="inlineStr">
        <is>
          <t>https://www.facturantia.com/API/proformas_receptor.php</t>
        </is>
      </c>
      <c r="V146" s="609" t="n">
        <v>6666</v>
      </c>
      <c r="W146" s="610" t="inlineStr">
        <is>
          <t>facturacion@abalados.es</t>
        </is>
      </c>
      <c r="X146" s="609" t="n">
        <v>762687769</v>
      </c>
      <c r="Z146" s="624" t="n"/>
    </row>
    <row r="147" ht="15" customHeight="1" s="700">
      <c r="A147" s="635" t="inlineStr">
        <is>
          <t>J</t>
        </is>
      </c>
      <c r="B147" s="1" t="inlineStr">
        <is>
          <t>Tordesillas Renovables, S.L.</t>
        </is>
      </c>
      <c r="C147" s="1" t="inlineStr">
        <is>
          <t>CIF B02750818</t>
        </is>
      </c>
      <c r="D147" s="1" t="inlineStr">
        <is>
          <t>2021-011</t>
        </is>
      </c>
      <c r="E147" s="598" t="n">
        <v>0.08</v>
      </c>
      <c r="F147" s="601">
        <f>IF( OR(ISNUMBER(SEARCH("NIF",C147)),ISNUMBER(SEARCH("CIF",C147)),ISNUMBER(SEARCH("NIE",C147))), MID(C147,5,LEN(C147)), C147)</f>
        <v/>
      </c>
      <c r="G147" s="339" t="inlineStr">
        <is>
          <t>nif</t>
        </is>
      </c>
      <c r="H147" s="602">
        <f>F147</f>
        <v/>
      </c>
      <c r="I147" s="603">
        <f>VLOOKUP(B147,DATOS!B:D,3,FALSE)</f>
        <v/>
      </c>
      <c r="J147" s="603">
        <f>MID(VLOOKUP(B147,DATOS!B:E,4,FALSE),1,5)</f>
        <v/>
      </c>
      <c r="K147" s="603">
        <f>MID(VLOOKUP(B147,DATOS!B:E,4,FALSE),7,LEN(VLOOKUP(B147,DATOS!B:E,4,FALSE)))</f>
        <v/>
      </c>
      <c r="L147" s="603">
        <f>K147</f>
        <v/>
      </c>
      <c r="M147" s="606" t="inlineStr">
        <is>
          <t>R</t>
        </is>
      </c>
      <c r="N147" s="606" t="inlineStr">
        <is>
          <t>ESP</t>
        </is>
      </c>
      <c r="O147" s="619" t="inlineStr">
        <is>
          <t>ES2701289471840100013984</t>
        </is>
      </c>
      <c r="P147" s="619" t="inlineStr">
        <is>
          <t>BKBKESMMXXX</t>
        </is>
      </c>
      <c r="Q147" s="606" t="inlineStr">
        <is>
          <t>EUR</t>
        </is>
      </c>
      <c r="R147" s="640" t="inlineStr">
        <is>
          <t>01</t>
        </is>
      </c>
      <c r="S147" s="339" t="inlineStr">
        <is>
          <t>FALSE</t>
        </is>
      </c>
      <c r="T147" s="1" t="inlineStr">
        <is>
          <t xml:space="preserve"> </t>
        </is>
      </c>
      <c r="U147" s="608" t="inlineStr">
        <is>
          <t>https://www.facturantia.com/API/proformas_receptor.php</t>
        </is>
      </c>
      <c r="V147" s="609" t="n">
        <v>6666</v>
      </c>
      <c r="W147" s="610" t="inlineStr">
        <is>
          <t>facturacion@abalados.es</t>
        </is>
      </c>
      <c r="X147" s="609" t="n">
        <v>762687769</v>
      </c>
      <c r="Z147" s="624" t="n">
        <v>45951</v>
      </c>
    </row>
    <row r="148" ht="15" customHeight="1" s="700">
      <c r="A148" s="635" t="inlineStr">
        <is>
          <t>J</t>
        </is>
      </c>
      <c r="B148" s="1" t="inlineStr">
        <is>
          <t>Monte Reina Renovables, S.L.</t>
        </is>
      </c>
      <c r="C148" s="1" t="inlineStr">
        <is>
          <t>CIF B06879290</t>
        </is>
      </c>
      <c r="D148" s="1" t="inlineStr">
        <is>
          <t>2021-012</t>
        </is>
      </c>
      <c r="E148" s="598" t="n">
        <v>0.08</v>
      </c>
      <c r="F148" s="601">
        <f>IF( OR(ISNUMBER(SEARCH("NIF",C148)),ISNUMBER(SEARCH("CIF",C148)),ISNUMBER(SEARCH("NIE",C148))), MID(C148,5,LEN(C148)), C148)</f>
        <v/>
      </c>
      <c r="G148" s="339" t="inlineStr">
        <is>
          <t>nif</t>
        </is>
      </c>
      <c r="H148" s="602">
        <f>F148</f>
        <v/>
      </c>
      <c r="I148" s="603">
        <f>VLOOKUP(B148,DATOS!B:D,3,FALSE)</f>
        <v/>
      </c>
      <c r="J148" s="603">
        <f>MID(VLOOKUP(B148,DATOS!B:E,4,FALSE),1,5)</f>
        <v/>
      </c>
      <c r="K148" s="603">
        <f>MID(VLOOKUP(B148,DATOS!B:E,4,FALSE),7,LEN(VLOOKUP(B148,DATOS!B:E,4,FALSE)))</f>
        <v/>
      </c>
      <c r="L148" s="603">
        <f>K148</f>
        <v/>
      </c>
      <c r="M148" s="606" t="inlineStr">
        <is>
          <t>R</t>
        </is>
      </c>
      <c r="N148" s="606" t="inlineStr">
        <is>
          <t>ESP</t>
        </is>
      </c>
      <c r="O148" s="619" t="inlineStr">
        <is>
          <t>ES1921002931970200764547</t>
        </is>
      </c>
      <c r="P148" s="365" t="inlineStr">
        <is>
          <t>CAIXESBBXXX</t>
        </is>
      </c>
      <c r="Q148" s="606" t="inlineStr">
        <is>
          <t>EUR</t>
        </is>
      </c>
      <c r="R148" s="640" t="inlineStr">
        <is>
          <t>01</t>
        </is>
      </c>
      <c r="S148" s="339" t="inlineStr">
        <is>
          <t>FALSE</t>
        </is>
      </c>
      <c r="T148" s="1" t="inlineStr">
        <is>
          <t xml:space="preserve"> </t>
        </is>
      </c>
      <c r="U148" s="608" t="inlineStr">
        <is>
          <t>https://www.facturantia.com/API/proformas_receptor.php</t>
        </is>
      </c>
      <c r="V148" s="609" t="n">
        <v>6666</v>
      </c>
      <c r="W148" s="610" t="inlineStr">
        <is>
          <t>facturacion@abalados.es</t>
        </is>
      </c>
      <c r="X148" s="609" t="n">
        <v>762687769</v>
      </c>
      <c r="Z148" s="624" t="n">
        <v>45951</v>
      </c>
    </row>
    <row r="149" ht="15" customHeight="1" s="700">
      <c r="A149" s="635" t="inlineStr">
        <is>
          <t>J</t>
        </is>
      </c>
      <c r="B149" s="1" t="inlineStr">
        <is>
          <t>Gazules Renovables, S.L.</t>
        </is>
      </c>
      <c r="C149" s="1" t="inlineStr">
        <is>
          <t>CIF B67864884</t>
        </is>
      </c>
      <c r="D149" s="1" t="inlineStr">
        <is>
          <t>2021-013</t>
        </is>
      </c>
      <c r="E149" s="598" t="n">
        <v>0.08</v>
      </c>
      <c r="F149" s="601">
        <f>IF( OR(ISNUMBER(SEARCH("NIF",C149)),ISNUMBER(SEARCH("CIF",C149)),ISNUMBER(SEARCH("NIE",C149))), MID(C149,5,LEN(C149)), C149)</f>
        <v/>
      </c>
      <c r="G149" s="339" t="inlineStr">
        <is>
          <t>nif</t>
        </is>
      </c>
      <c r="H149" s="602">
        <f>F149</f>
        <v/>
      </c>
      <c r="I149" s="603">
        <f>VLOOKUP(B149,DATOS!B:D,3,FALSE)</f>
        <v/>
      </c>
      <c r="J149" s="603">
        <f>MID(VLOOKUP(B149,DATOS!B:E,4,FALSE),1,5)</f>
        <v/>
      </c>
      <c r="K149" s="603">
        <f>MID(VLOOKUP(B149,DATOS!B:E,4,FALSE),7,LEN(VLOOKUP(B149,DATOS!B:E,4,FALSE)))</f>
        <v/>
      </c>
      <c r="L149" s="603">
        <f>K149</f>
        <v/>
      </c>
      <c r="M149" s="606" t="inlineStr">
        <is>
          <t>R</t>
        </is>
      </c>
      <c r="N149" s="606" t="inlineStr">
        <is>
          <t>ESP</t>
        </is>
      </c>
      <c r="O149" s="619" t="inlineStr">
        <is>
          <t>ES7500817069260001322942</t>
        </is>
      </c>
      <c r="P149" s="365" t="inlineStr">
        <is>
          <t>BSABESBBXXX</t>
        </is>
      </c>
      <c r="Q149" s="606" t="inlineStr">
        <is>
          <t>EUR</t>
        </is>
      </c>
      <c r="R149" s="640" t="inlineStr">
        <is>
          <t>01</t>
        </is>
      </c>
      <c r="S149" s="339" t="inlineStr">
        <is>
          <t>FALSE</t>
        </is>
      </c>
      <c r="T149" s="1" t="inlineStr">
        <is>
          <t xml:space="preserve"> </t>
        </is>
      </c>
      <c r="U149" s="608" t="inlineStr">
        <is>
          <t>https://www.facturantia.com/API/proformas_receptor.php</t>
        </is>
      </c>
      <c r="V149" s="609" t="n">
        <v>6666</v>
      </c>
      <c r="W149" s="610" t="inlineStr">
        <is>
          <t>facturacion@abalados.es</t>
        </is>
      </c>
      <c r="X149" s="609" t="n">
        <v>762687769</v>
      </c>
      <c r="Z149" s="624" t="n">
        <v>45951</v>
      </c>
    </row>
    <row r="150" ht="15" customFormat="1" customHeight="1" s="595">
      <c r="A150" s="611" t="inlineStr">
        <is>
          <t>J</t>
        </is>
      </c>
      <c r="B150" s="595" t="inlineStr">
        <is>
          <t>LAAT 132 kV Doble Circuito-Tordesillas 400 kV, S.L.</t>
        </is>
      </c>
      <c r="C150" s="595" t="inlineStr">
        <is>
          <t>CIF B06808273</t>
        </is>
      </c>
      <c r="D150" s="595" t="inlineStr">
        <is>
          <t>2022-001</t>
        </is>
      </c>
      <c r="E150" s="599" t="n">
        <v>0.08</v>
      </c>
      <c r="F150" s="612">
        <f>IF( OR(ISNUMBER(SEARCH("NIF",C150)),ISNUMBER(SEARCH("CIF",C150)),ISNUMBER(SEARCH("NIE",C150))), MID(C150,5,LEN(C150)), C150)</f>
        <v/>
      </c>
      <c r="G150" s="611" t="inlineStr">
        <is>
          <t>nif</t>
        </is>
      </c>
      <c r="H150" s="613">
        <f>F150</f>
        <v/>
      </c>
      <c r="I150" s="614">
        <f>VLOOKUP(B150,DATOS!B:D,3,FALSE)</f>
        <v/>
      </c>
      <c r="J150" s="614">
        <f>MID(VLOOKUP(B150,DATOS!B:E,4,FALSE),1,5)</f>
        <v/>
      </c>
      <c r="K150" s="614">
        <f>MID(VLOOKUP(B150,DATOS!B:E,4,FALSE),7,LEN(VLOOKUP(B150,DATOS!B:E,4,FALSE)))</f>
        <v/>
      </c>
      <c r="L150" s="614">
        <f>K150</f>
        <v/>
      </c>
      <c r="M150" s="615" t="inlineStr">
        <is>
          <t>R</t>
        </is>
      </c>
      <c r="N150" s="615" t="inlineStr">
        <is>
          <t>ESP</t>
        </is>
      </c>
      <c r="O150" s="621" t="inlineStr">
        <is>
          <t>--</t>
        </is>
      </c>
      <c r="P150" s="621" t="inlineStr">
        <is>
          <t>--</t>
        </is>
      </c>
      <c r="Q150" s="615" t="inlineStr">
        <is>
          <t>EUR</t>
        </is>
      </c>
      <c r="R150" s="640" t="inlineStr">
        <is>
          <t>01</t>
        </is>
      </c>
      <c r="S150" s="611" t="inlineStr">
        <is>
          <t>FALSE</t>
        </is>
      </c>
      <c r="T150" s="1" t="inlineStr">
        <is>
          <t xml:space="preserve"> </t>
        </is>
      </c>
      <c r="U150" s="616" t="inlineStr">
        <is>
          <t>https://www.facturantia.com/API/proformas_receptor.php</t>
        </is>
      </c>
      <c r="V150" s="617" t="n">
        <v>6666</v>
      </c>
      <c r="W150" s="618" t="inlineStr">
        <is>
          <t>facturacion@abalados.es</t>
        </is>
      </c>
      <c r="X150" s="617" t="n">
        <v>762687769</v>
      </c>
      <c r="Z150" s="627" t="n"/>
    </row>
    <row r="151" ht="15" customHeight="1" s="700">
      <c r="A151" s="635" t="inlineStr">
        <is>
          <t>J</t>
        </is>
      </c>
      <c r="B151" s="1" t="inlineStr">
        <is>
          <t>Herrera Renovables 400, A.I.E.</t>
        </is>
      </c>
      <c r="C151" s="1" t="inlineStr">
        <is>
          <t>CIF V06775555</t>
        </is>
      </c>
      <c r="D151" s="1" t="inlineStr">
        <is>
          <t>2021-014</t>
        </is>
      </c>
      <c r="E151" s="598" t="n">
        <v>0.08</v>
      </c>
      <c r="F151" s="601">
        <f>IF( OR(ISNUMBER(SEARCH("NIF",C151)),ISNUMBER(SEARCH("CIF",C151)),ISNUMBER(SEARCH("NIE",C151))), MID(C151,5,LEN(C151)), C151)</f>
        <v/>
      </c>
      <c r="G151" s="339" t="inlineStr">
        <is>
          <t>nif</t>
        </is>
      </c>
      <c r="H151" s="602">
        <f>F151</f>
        <v/>
      </c>
      <c r="I151" s="603">
        <f>VLOOKUP(B151,DATOS!B:D,3,FALSE)</f>
        <v/>
      </c>
      <c r="J151" s="603">
        <f>MID(VLOOKUP(B151,DATOS!B:E,4,FALSE),1,5)</f>
        <v/>
      </c>
      <c r="K151" s="604" t="inlineStr">
        <is>
          <t>Madrid</t>
        </is>
      </c>
      <c r="L151" s="604" t="inlineStr">
        <is>
          <t>Pozuelo de Alarcón</t>
        </is>
      </c>
      <c r="M151" s="606" t="inlineStr">
        <is>
          <t>R</t>
        </is>
      </c>
      <c r="N151" s="606" t="inlineStr">
        <is>
          <t>ESP</t>
        </is>
      </c>
      <c r="O151" s="619" t="inlineStr">
        <is>
          <t>ES8100815161630001370346</t>
        </is>
      </c>
      <c r="P151" s="365" t="inlineStr">
        <is>
          <t>BSABESBBXXX</t>
        </is>
      </c>
      <c r="Q151" s="606" t="inlineStr">
        <is>
          <t>EUR</t>
        </is>
      </c>
      <c r="R151" s="640" t="inlineStr">
        <is>
          <t>01</t>
        </is>
      </c>
      <c r="S151" s="339" t="inlineStr">
        <is>
          <t>FALSE</t>
        </is>
      </c>
      <c r="T151" s="1" t="inlineStr">
        <is>
          <t xml:space="preserve"> </t>
        </is>
      </c>
      <c r="U151" s="608" t="inlineStr">
        <is>
          <t>https://www.facturantia.com/API/proformas_receptor.php</t>
        </is>
      </c>
      <c r="V151" s="609" t="n">
        <v>6666</v>
      </c>
      <c r="W151" s="610" t="inlineStr">
        <is>
          <t>facturacion@abalados.es</t>
        </is>
      </c>
      <c r="X151" s="609" t="n">
        <v>762687769</v>
      </c>
      <c r="Z151" s="624" t="n">
        <v>45951</v>
      </c>
    </row>
    <row r="152" ht="15" customHeight="1" s="700">
      <c r="A152" s="635" t="inlineStr">
        <is>
          <t>J</t>
        </is>
      </c>
      <c r="B152" s="1" t="inlineStr">
        <is>
          <t>Energías Limpias de Carmona, S.L.</t>
        </is>
      </c>
      <c r="C152" s="1" t="inlineStr">
        <is>
          <t>CIF B09828153</t>
        </is>
      </c>
      <c r="D152" s="1" t="inlineStr">
        <is>
          <t>2022-002</t>
        </is>
      </c>
      <c r="E152" s="598" t="n">
        <v>0.08</v>
      </c>
      <c r="F152" s="601">
        <f>IF( OR(ISNUMBER(SEARCH("NIF",C152)),ISNUMBER(SEARCH("CIF",C152)),ISNUMBER(SEARCH("NIE",C152))), MID(C152,5,LEN(C152)), C152)</f>
        <v/>
      </c>
      <c r="G152" s="339" t="inlineStr">
        <is>
          <t>nif</t>
        </is>
      </c>
      <c r="H152" s="602">
        <f>F152</f>
        <v/>
      </c>
      <c r="I152" s="603">
        <f>VLOOKUP(B152,DATOS!B:D,3,FALSE)</f>
        <v/>
      </c>
      <c r="J152" s="603">
        <f>MID(VLOOKUP(B152,DATOS!B:E,4,FALSE),1,5)</f>
        <v/>
      </c>
      <c r="K152" s="603">
        <f>MID(VLOOKUP(B152,DATOS!B:E,4,FALSE),7,LEN(VLOOKUP(B152,DATOS!B:E,4,FALSE)))</f>
        <v/>
      </c>
      <c r="L152" s="603">
        <f>K152</f>
        <v/>
      </c>
      <c r="M152" s="606" t="inlineStr">
        <is>
          <t>R</t>
        </is>
      </c>
      <c r="N152" s="606" t="inlineStr">
        <is>
          <t>ESP</t>
        </is>
      </c>
      <c r="O152" s="619" t="inlineStr">
        <is>
          <t>ES7300810225160003141620</t>
        </is>
      </c>
      <c r="P152" s="365" t="inlineStr">
        <is>
          <t>BSABESBBXXX</t>
        </is>
      </c>
      <c r="Q152" s="606" t="inlineStr">
        <is>
          <t>EUR</t>
        </is>
      </c>
      <c r="R152" s="640" t="inlineStr">
        <is>
          <t>01</t>
        </is>
      </c>
      <c r="S152" s="339" t="inlineStr">
        <is>
          <t>FALSE</t>
        </is>
      </c>
      <c r="T152" s="1" t="inlineStr">
        <is>
          <t xml:space="preserve"> </t>
        </is>
      </c>
      <c r="U152" s="608" t="inlineStr">
        <is>
          <t>https://www.facturantia.com/API/proformas_receptor.php</t>
        </is>
      </c>
      <c r="V152" s="609" t="n">
        <v>6666</v>
      </c>
      <c r="W152" s="610" t="inlineStr">
        <is>
          <t>facturacion@abalados.es</t>
        </is>
      </c>
      <c r="X152" s="609" t="n">
        <v>762687769</v>
      </c>
      <c r="Z152" s="624" t="n">
        <v>45951</v>
      </c>
    </row>
    <row r="153" ht="15" customHeight="1" s="700">
      <c r="A153" s="637" t="inlineStr">
        <is>
          <t>J</t>
        </is>
      </c>
      <c r="B153" s="1" t="inlineStr">
        <is>
          <t>Evacuación Tordesillas 400 kV, S.L.</t>
        </is>
      </c>
      <c r="C153" s="1" t="inlineStr">
        <is>
          <t>CIF B16747685</t>
        </is>
      </c>
      <c r="D153" s="1" t="inlineStr">
        <is>
          <t>2022-003</t>
        </is>
      </c>
      <c r="E153" s="598" t="n">
        <v>0.08</v>
      </c>
      <c r="F153" s="601">
        <f>IF( OR(ISNUMBER(SEARCH("NIF",C153)),ISNUMBER(SEARCH("CIF",C153)),ISNUMBER(SEARCH("NIE",C153))), MID(C153,5,LEN(C153)), C153)</f>
        <v/>
      </c>
      <c r="G153" s="339" t="inlineStr">
        <is>
          <t>nif</t>
        </is>
      </c>
      <c r="H153" s="602">
        <f>F153</f>
        <v/>
      </c>
      <c r="I153" s="603">
        <f>VLOOKUP(B153,DATOS!B:D,3,FALSE)</f>
        <v/>
      </c>
      <c r="J153" s="603">
        <f>MID(VLOOKUP(B153,DATOS!B:E,4,FALSE),1,5)</f>
        <v/>
      </c>
      <c r="K153" s="603">
        <f>MID(VLOOKUP(B153,DATOS!B:E,4,FALSE),7,LEN(VLOOKUP(B153,DATOS!B:E,4,FALSE)))</f>
        <v/>
      </c>
      <c r="L153" s="603">
        <f>K153</f>
        <v/>
      </c>
      <c r="M153" s="606" t="inlineStr">
        <is>
          <t>R</t>
        </is>
      </c>
      <c r="N153" s="606" t="inlineStr">
        <is>
          <t>ESP</t>
        </is>
      </c>
      <c r="O153" s="619" t="inlineStr">
        <is>
          <t>ES5301289409350100009414</t>
        </is>
      </c>
      <c r="P153" s="619" t="inlineStr">
        <is>
          <t>BKBKESMMXXX</t>
        </is>
      </c>
      <c r="Q153" s="606" t="inlineStr">
        <is>
          <t>EUR</t>
        </is>
      </c>
      <c r="R153" s="640" t="inlineStr">
        <is>
          <t>01</t>
        </is>
      </c>
      <c r="S153" s="339" t="inlineStr">
        <is>
          <t>FALSE</t>
        </is>
      </c>
      <c r="T153" s="1" t="inlineStr">
        <is>
          <t xml:space="preserve"> </t>
        </is>
      </c>
      <c r="U153" s="608" t="inlineStr">
        <is>
          <t>https://www.facturantia.com/API/proformas_receptor.php</t>
        </is>
      </c>
      <c r="V153" s="609" t="n">
        <v>6666</v>
      </c>
      <c r="W153" s="610" t="inlineStr">
        <is>
          <t>facturacion@abalados.es</t>
        </is>
      </c>
      <c r="X153" s="609" t="n">
        <v>762687769</v>
      </c>
      <c r="Z153" s="624" t="n">
        <v>45951</v>
      </c>
    </row>
    <row r="154" ht="15" customHeight="1" s="700">
      <c r="A154" s="339" t="inlineStr">
        <is>
          <t>J</t>
        </is>
      </c>
      <c r="B154" s="1" t="inlineStr">
        <is>
          <t>Jerez Motor S.A.</t>
        </is>
      </c>
      <c r="C154" s="1" t="inlineStr">
        <is>
          <t>CIF A11621448</t>
        </is>
      </c>
      <c r="D154" s="1" t="inlineStr">
        <is>
          <t>2022-004</t>
        </is>
      </c>
      <c r="E154" s="339" t="n">
        <v>0</v>
      </c>
      <c r="F154" s="601">
        <f>IF( OR(ISNUMBER(SEARCH("NIF",C154)),ISNUMBER(SEARCH("CIF",C154)),ISNUMBER(SEARCH("NIE",C154))), MID(C154,5,LEN(C154)), C154)</f>
        <v/>
      </c>
      <c r="G154" s="339" t="inlineStr">
        <is>
          <t>nif</t>
        </is>
      </c>
      <c r="H154" s="602">
        <f>F154</f>
        <v/>
      </c>
      <c r="I154" s="603">
        <f>VLOOKUP(B154,DATOS!B:D,3,FALSE)</f>
        <v/>
      </c>
      <c r="J154" s="603">
        <f>MID(VLOOKUP(B154,DATOS!B:E,4,FALSE),1,5)</f>
        <v/>
      </c>
      <c r="K154" s="604" t="inlineStr">
        <is>
          <t>Cádiz</t>
        </is>
      </c>
      <c r="L154" s="604" t="inlineStr">
        <is>
          <t>Jerez</t>
        </is>
      </c>
      <c r="M154" s="606" t="inlineStr">
        <is>
          <t>R</t>
        </is>
      </c>
      <c r="N154" s="606" t="inlineStr">
        <is>
          <t>ESP</t>
        </is>
      </c>
      <c r="O154" s="633" t="inlineStr">
        <is>
          <t>--</t>
        </is>
      </c>
      <c r="P154" s="633" t="inlineStr">
        <is>
          <t>--</t>
        </is>
      </c>
      <c r="Q154" s="606" t="inlineStr">
        <is>
          <t>EUR</t>
        </is>
      </c>
      <c r="R154" s="640" t="inlineStr">
        <is>
          <t>01</t>
        </is>
      </c>
      <c r="S154" s="339" t="inlineStr">
        <is>
          <t>FALSE</t>
        </is>
      </c>
      <c r="T154" s="1" t="inlineStr">
        <is>
          <t xml:space="preserve"> </t>
        </is>
      </c>
      <c r="U154" s="608" t="inlineStr">
        <is>
          <t>https://www.facturantia.com/API/proformas_receptor.php</t>
        </is>
      </c>
      <c r="V154" s="609" t="n">
        <v>6666</v>
      </c>
      <c r="W154" s="610" t="inlineStr">
        <is>
          <t>facturacion@abalados.es</t>
        </is>
      </c>
      <c r="X154" s="609" t="n">
        <v>762687769</v>
      </c>
      <c r="Z154" s="624" t="n"/>
    </row>
    <row r="155" ht="15" customHeight="1" s="700">
      <c r="A155" s="339" t="inlineStr">
        <is>
          <t>J</t>
        </is>
      </c>
      <c r="B155" s="685" t="inlineStr">
        <is>
          <t>Planta Solar Niebla I, S.L.</t>
        </is>
      </c>
      <c r="C155" s="1" t="inlineStr">
        <is>
          <t>CIF B44506038</t>
        </is>
      </c>
      <c r="D155" s="1" t="inlineStr">
        <is>
          <t>2022-005</t>
        </is>
      </c>
      <c r="E155" s="339" t="n">
        <v>0</v>
      </c>
      <c r="F155" s="601">
        <f>IF( OR(ISNUMBER(SEARCH("NIF",C155)),ISNUMBER(SEARCH("CIF",C155)),ISNUMBER(SEARCH("NIE",C155))), MID(C155,5,LEN(C155)), C155)</f>
        <v/>
      </c>
      <c r="G155" s="339" t="inlineStr">
        <is>
          <t>nif</t>
        </is>
      </c>
      <c r="H155" s="602">
        <f>F155</f>
        <v/>
      </c>
      <c r="I155" s="603">
        <f>VLOOKUP(B155,DATOS!B:D,3,FALSE)</f>
        <v/>
      </c>
      <c r="J155" s="603">
        <f>MID(VLOOKUP(B155,DATOS!B:E,4,FALSE),1,5)</f>
        <v/>
      </c>
      <c r="K155" s="603">
        <f>MID(VLOOKUP(B155,DATOS!B:E,4,FALSE),7,LEN(VLOOKUP(B155,DATOS!B:E,4,FALSE)))</f>
        <v/>
      </c>
      <c r="L155" s="603">
        <f>K155</f>
        <v/>
      </c>
      <c r="M155" s="606" t="inlineStr">
        <is>
          <t>R</t>
        </is>
      </c>
      <c r="N155" s="606" t="inlineStr">
        <is>
          <t>ESP</t>
        </is>
      </c>
      <c r="O155" s="633" t="inlineStr">
        <is>
          <t>--</t>
        </is>
      </c>
      <c r="P155" s="633" t="inlineStr">
        <is>
          <t>--</t>
        </is>
      </c>
      <c r="Q155" s="606" t="inlineStr">
        <is>
          <t>EUR</t>
        </is>
      </c>
      <c r="R155" s="640" t="inlineStr">
        <is>
          <t>01</t>
        </is>
      </c>
      <c r="S155" s="339" t="inlineStr">
        <is>
          <t>FALSE</t>
        </is>
      </c>
      <c r="T155" s="1" t="inlineStr">
        <is>
          <t xml:space="preserve"> </t>
        </is>
      </c>
      <c r="U155" s="608" t="inlineStr">
        <is>
          <t>https://www.facturantia.com/API/proformas_receptor.php</t>
        </is>
      </c>
      <c r="V155" s="609" t="n">
        <v>6666</v>
      </c>
      <c r="W155" s="610" t="inlineStr">
        <is>
          <t>facturacion@abalados.es</t>
        </is>
      </c>
      <c r="X155" s="609" t="n">
        <v>762687769</v>
      </c>
      <c r="Z155" s="624" t="n"/>
    </row>
    <row r="156" ht="15" customHeight="1" s="700">
      <c r="A156" s="635" t="inlineStr">
        <is>
          <t>J</t>
        </is>
      </c>
      <c r="B156" s="1" t="inlineStr">
        <is>
          <t>SET Carmona 400 kV Renovables, S.L.</t>
        </is>
      </c>
      <c r="C156" s="1" t="inlineStr">
        <is>
          <t>CIF B09862491</t>
        </is>
      </c>
      <c r="D156" s="1" t="inlineStr">
        <is>
          <t>2022-006</t>
        </is>
      </c>
      <c r="E156" s="598" t="n">
        <v>0.08</v>
      </c>
      <c r="F156" s="601">
        <f>IF( OR(ISNUMBER(SEARCH("NIF",C156)),ISNUMBER(SEARCH("CIF",C156)),ISNUMBER(SEARCH("NIE",C156))), MID(C156,5,LEN(C156)), C156)</f>
        <v/>
      </c>
      <c r="G156" s="339" t="inlineStr">
        <is>
          <t>nif</t>
        </is>
      </c>
      <c r="H156" s="602">
        <f>F156</f>
        <v/>
      </c>
      <c r="I156" s="603">
        <f>VLOOKUP(B156,DATOS!B:D,3,FALSE)</f>
        <v/>
      </c>
      <c r="J156" s="603">
        <f>MID(VLOOKUP(B156,DATOS!B:E,4,FALSE),1,5)</f>
        <v/>
      </c>
      <c r="K156" s="603">
        <f>MID(VLOOKUP(B156,DATOS!B:E,4,FALSE),7,LEN(VLOOKUP(B156,DATOS!B:E,4,FALSE)))</f>
        <v/>
      </c>
      <c r="L156" s="603">
        <f>K156</f>
        <v/>
      </c>
      <c r="M156" s="606" t="inlineStr">
        <is>
          <t>R</t>
        </is>
      </c>
      <c r="N156" s="606" t="inlineStr">
        <is>
          <t>ESP</t>
        </is>
      </c>
      <c r="O156" s="619" t="inlineStr">
        <is>
          <t>ES5901289471850100013165</t>
        </is>
      </c>
      <c r="P156" s="619" t="inlineStr">
        <is>
          <t>BKBKESMMXXX</t>
        </is>
      </c>
      <c r="Q156" s="606" t="inlineStr">
        <is>
          <t>EUR</t>
        </is>
      </c>
      <c r="R156" s="640" t="inlineStr">
        <is>
          <t>01</t>
        </is>
      </c>
      <c r="S156" s="339" t="inlineStr">
        <is>
          <t>FALSE</t>
        </is>
      </c>
      <c r="T156" s="1" t="inlineStr">
        <is>
          <t xml:space="preserve"> </t>
        </is>
      </c>
      <c r="U156" s="608" t="inlineStr">
        <is>
          <t>https://www.facturantia.com/API/proformas_receptor.php</t>
        </is>
      </c>
      <c r="V156" s="609" t="n">
        <v>6666</v>
      </c>
      <c r="W156" s="610" t="inlineStr">
        <is>
          <t>facturacion@abalados.es</t>
        </is>
      </c>
      <c r="X156" s="609" t="n">
        <v>762687769</v>
      </c>
      <c r="Z156" s="624" t="n">
        <v>45951</v>
      </c>
    </row>
    <row r="157" ht="15" customHeight="1" s="700">
      <c r="A157" s="635" t="inlineStr">
        <is>
          <t>J</t>
        </is>
      </c>
      <c r="B157" s="1" t="inlineStr">
        <is>
          <t>Evacuación Carmona 400-220 kV Renovables, S.L.</t>
        </is>
      </c>
      <c r="C157" s="1" t="inlineStr">
        <is>
          <t>CIF B09744517</t>
        </is>
      </c>
      <c r="D157" s="1" t="inlineStr">
        <is>
          <t>2022-007</t>
        </is>
      </c>
      <c r="E157" s="598" t="n">
        <v>0.08</v>
      </c>
      <c r="F157" s="601">
        <f>IF( OR(ISNUMBER(SEARCH("NIF",C157)),ISNUMBER(SEARCH("CIF",C157)),ISNUMBER(SEARCH("NIE",C157))), MID(C157,5,LEN(C157)), C157)</f>
        <v/>
      </c>
      <c r="G157" s="339" t="inlineStr">
        <is>
          <t>nif</t>
        </is>
      </c>
      <c r="H157" s="602">
        <f>F157</f>
        <v/>
      </c>
      <c r="I157" s="603">
        <f>VLOOKUP(B157,DATOS!B:D,3,FALSE)</f>
        <v/>
      </c>
      <c r="J157" s="603">
        <f>MID(VLOOKUP(B157,DATOS!B:E,4,FALSE),1,5)</f>
        <v/>
      </c>
      <c r="K157" s="603">
        <f>MID(VLOOKUP(B157,DATOS!B:E,4,FALSE),7,LEN(VLOOKUP(B157,DATOS!B:E,4,FALSE)))</f>
        <v/>
      </c>
      <c r="L157" s="603">
        <f>K157</f>
        <v/>
      </c>
      <c r="M157" s="606" t="inlineStr">
        <is>
          <t>R</t>
        </is>
      </c>
      <c r="N157" s="606" t="inlineStr">
        <is>
          <t>ESP</t>
        </is>
      </c>
      <c r="O157" s="619" t="inlineStr">
        <is>
          <t>ES0601289471810100013151</t>
        </is>
      </c>
      <c r="P157" s="619" t="inlineStr">
        <is>
          <t>BKBKESMMXXX</t>
        </is>
      </c>
      <c r="Q157" s="606" t="inlineStr">
        <is>
          <t>EUR</t>
        </is>
      </c>
      <c r="R157" s="640" t="inlineStr">
        <is>
          <t>01</t>
        </is>
      </c>
      <c r="S157" s="339" t="inlineStr">
        <is>
          <t>FALSE</t>
        </is>
      </c>
      <c r="T157" s="1" t="inlineStr">
        <is>
          <t xml:space="preserve"> </t>
        </is>
      </c>
      <c r="U157" s="608" t="inlineStr">
        <is>
          <t>https://www.facturantia.com/API/proformas_receptor.php</t>
        </is>
      </c>
      <c r="V157" s="609" t="n">
        <v>6666</v>
      </c>
      <c r="W157" s="610" t="inlineStr">
        <is>
          <t>facturacion@abalados.es</t>
        </is>
      </c>
      <c r="X157" s="609" t="n">
        <v>762687769</v>
      </c>
      <c r="Z157" s="624" t="n">
        <v>45951</v>
      </c>
    </row>
    <row r="158" ht="15" customHeight="1" s="700">
      <c r="A158" s="635" t="inlineStr">
        <is>
          <t>J</t>
        </is>
      </c>
      <c r="B158" s="1" t="inlineStr">
        <is>
          <t>Línea Covatillas, A.I.E.</t>
        </is>
      </c>
      <c r="C158" s="1" t="inlineStr">
        <is>
          <t>CIF V09962655</t>
        </is>
      </c>
      <c r="D158" s="1" t="inlineStr">
        <is>
          <t>2022-008</t>
        </is>
      </c>
      <c r="E158" s="598" t="n">
        <v>0.08</v>
      </c>
      <c r="F158" s="601">
        <f>IF( OR(ISNUMBER(SEARCH("NIF",C158)),ISNUMBER(SEARCH("CIF",C158)),ISNUMBER(SEARCH("NIE",C158))), MID(C158,5,LEN(C158)), C158)</f>
        <v/>
      </c>
      <c r="G158" s="339" t="inlineStr">
        <is>
          <t>nif</t>
        </is>
      </c>
      <c r="H158" s="602">
        <f>F158</f>
        <v/>
      </c>
      <c r="I158" s="603">
        <f>VLOOKUP(B158,DATOS!B:D,3,FALSE)</f>
        <v/>
      </c>
      <c r="J158" s="603">
        <f>MID(VLOOKUP(B158,DATOS!B:E,4,FALSE),1,5)</f>
        <v/>
      </c>
      <c r="K158" s="603">
        <f>MID(VLOOKUP(B158,DATOS!B:E,4,FALSE),7,LEN(VLOOKUP(B158,DATOS!B:E,4,FALSE)))</f>
        <v/>
      </c>
      <c r="L158" s="603">
        <f>K158</f>
        <v/>
      </c>
      <c r="M158" s="606" t="inlineStr">
        <is>
          <t>R</t>
        </is>
      </c>
      <c r="N158" s="606" t="inlineStr">
        <is>
          <t>ESP</t>
        </is>
      </c>
      <c r="O158" s="619" t="inlineStr">
        <is>
          <t>ES8500495147492916605921</t>
        </is>
      </c>
      <c r="P158" s="365" t="inlineStr">
        <is>
          <t>BSCHESMMXXX</t>
        </is>
      </c>
      <c r="Q158" s="606" t="inlineStr">
        <is>
          <t>EUR</t>
        </is>
      </c>
      <c r="R158" s="640" t="inlineStr">
        <is>
          <t>01</t>
        </is>
      </c>
      <c r="S158" s="339" t="inlineStr">
        <is>
          <t>FALSE</t>
        </is>
      </c>
      <c r="T158" s="1" t="inlineStr">
        <is>
          <t xml:space="preserve"> </t>
        </is>
      </c>
      <c r="U158" s="608" t="inlineStr">
        <is>
          <t>https://www.facturantia.com/API/proformas_receptor.php</t>
        </is>
      </c>
      <c r="V158" s="609" t="n">
        <v>6666</v>
      </c>
      <c r="W158" s="610" t="inlineStr">
        <is>
          <t>facturacion@abalados.es</t>
        </is>
      </c>
      <c r="X158" s="609" t="n">
        <v>762687769</v>
      </c>
      <c r="Z158" s="624" t="n">
        <v>45951</v>
      </c>
    </row>
    <row r="159" ht="15" customHeight="1" s="700">
      <c r="A159" s="339" t="inlineStr">
        <is>
          <t>J</t>
        </is>
      </c>
      <c r="B159" s="1" t="inlineStr">
        <is>
          <t>Novasol Invest La Isla, S.L.U</t>
        </is>
      </c>
      <c r="C159" s="1" t="inlineStr">
        <is>
          <t>CIF B91822882</t>
        </is>
      </c>
      <c r="D159" s="1" t="inlineStr">
        <is>
          <t>2022-009</t>
        </is>
      </c>
      <c r="E159" s="339" t="n">
        <v>0</v>
      </c>
      <c r="F159" s="601">
        <f>IF( OR(ISNUMBER(SEARCH("NIF",C159)),ISNUMBER(SEARCH("CIF",C159)),ISNUMBER(SEARCH("NIE",C159))), MID(C159,5,LEN(C159)), C159)</f>
        <v/>
      </c>
      <c r="G159" s="339" t="inlineStr">
        <is>
          <t>nif</t>
        </is>
      </c>
      <c r="H159" s="602">
        <f>F159</f>
        <v/>
      </c>
      <c r="I159" s="603">
        <f>VLOOKUP(B159,DATOS!B:D,3,FALSE)</f>
        <v/>
      </c>
      <c r="J159" s="603">
        <f>MID(VLOOKUP(B159,DATOS!B:E,4,FALSE),1,5)</f>
        <v/>
      </c>
      <c r="K159" s="603">
        <f>MID(VLOOKUP(B159,DATOS!B:E,4,FALSE),7,LEN(VLOOKUP(B159,DATOS!B:E,4,FALSE)))</f>
        <v/>
      </c>
      <c r="L159" s="603">
        <f>K159</f>
        <v/>
      </c>
      <c r="M159" s="606" t="inlineStr">
        <is>
          <t>R</t>
        </is>
      </c>
      <c r="N159" s="606" t="inlineStr">
        <is>
          <t>ESP</t>
        </is>
      </c>
      <c r="O159" s="633" t="inlineStr">
        <is>
          <t>--</t>
        </is>
      </c>
      <c r="P159" s="633" t="inlineStr">
        <is>
          <t>--</t>
        </is>
      </c>
      <c r="Q159" s="606" t="inlineStr">
        <is>
          <t>EUR</t>
        </is>
      </c>
      <c r="R159" s="640" t="inlineStr">
        <is>
          <t>01</t>
        </is>
      </c>
      <c r="S159" s="339" t="inlineStr">
        <is>
          <t>FALSE</t>
        </is>
      </c>
      <c r="T159" s="1" t="inlineStr">
        <is>
          <t xml:space="preserve"> </t>
        </is>
      </c>
      <c r="U159" s="608" t="inlineStr">
        <is>
          <t>https://www.facturantia.com/API/proformas_receptor.php</t>
        </is>
      </c>
      <c r="V159" s="609" t="n">
        <v>6666</v>
      </c>
      <c r="W159" s="610" t="inlineStr">
        <is>
          <t>facturacion@abalados.es</t>
        </is>
      </c>
      <c r="X159" s="609" t="n">
        <v>762687769</v>
      </c>
      <c r="Z159" s="624" t="n"/>
    </row>
    <row r="160" ht="15" customHeight="1" s="700">
      <c r="A160" s="635" t="inlineStr">
        <is>
          <t>J</t>
        </is>
      </c>
      <c r="B160" s="1" t="inlineStr">
        <is>
          <t>La Serranilla Renovables 132 kV, A.I.E.</t>
        </is>
      </c>
      <c r="C160" s="1" t="inlineStr">
        <is>
          <t>CIF V01683150</t>
        </is>
      </c>
      <c r="D160" s="1" t="inlineStr">
        <is>
          <t>2022-010</t>
        </is>
      </c>
      <c r="E160" s="598" t="n">
        <v>0.08</v>
      </c>
      <c r="F160" s="601">
        <f>IF( OR(ISNUMBER(SEARCH("NIF",C160)),ISNUMBER(SEARCH("CIF",C160)),ISNUMBER(SEARCH("NIE",C160))), MID(C160,5,LEN(C160)), C160)</f>
        <v/>
      </c>
      <c r="G160" s="339" t="inlineStr">
        <is>
          <t>nif</t>
        </is>
      </c>
      <c r="H160" s="602">
        <f>F160</f>
        <v/>
      </c>
      <c r="I160" s="603">
        <f>VLOOKUP(B160,DATOS!B:D,3,FALSE)</f>
        <v/>
      </c>
      <c r="J160" s="603">
        <f>MID(VLOOKUP(B160,DATOS!B:E,4,FALSE),1,5)</f>
        <v/>
      </c>
      <c r="K160" s="603">
        <f>MID(VLOOKUP(B160,DATOS!B:E,4,FALSE),7,LEN(VLOOKUP(B160,DATOS!B:E,4,FALSE)))</f>
        <v/>
      </c>
      <c r="L160" s="603">
        <f>K160</f>
        <v/>
      </c>
      <c r="M160" s="606" t="inlineStr">
        <is>
          <t>R</t>
        </is>
      </c>
      <c r="N160" s="606" t="inlineStr">
        <is>
          <t>ESP</t>
        </is>
      </c>
      <c r="O160" s="619" t="inlineStr">
        <is>
          <t>ES5700810225150003181921</t>
        </is>
      </c>
      <c r="P160" s="365" t="inlineStr">
        <is>
          <t>BSABESBBXXX</t>
        </is>
      </c>
      <c r="Q160" s="606" t="inlineStr">
        <is>
          <t>EUR</t>
        </is>
      </c>
      <c r="R160" s="640" t="inlineStr">
        <is>
          <t>01</t>
        </is>
      </c>
      <c r="S160" s="339" t="inlineStr">
        <is>
          <t>FALSE</t>
        </is>
      </c>
      <c r="T160" s="1" t="inlineStr">
        <is>
          <t xml:space="preserve"> </t>
        </is>
      </c>
      <c r="U160" s="608" t="inlineStr">
        <is>
          <t>https://www.facturantia.com/API/proformas_receptor.php</t>
        </is>
      </c>
      <c r="V160" s="609" t="n">
        <v>6666</v>
      </c>
      <c r="W160" s="610" t="inlineStr">
        <is>
          <t>facturacion@abalados.es</t>
        </is>
      </c>
      <c r="X160" s="609" t="n">
        <v>762687769</v>
      </c>
      <c r="Z160" s="624" t="n">
        <v>45951</v>
      </c>
    </row>
    <row r="161" ht="15" customHeight="1" s="700">
      <c r="A161" s="635" t="inlineStr">
        <is>
          <t>J</t>
        </is>
      </c>
      <c r="B161" s="1" t="inlineStr">
        <is>
          <t>Herrera Sotillo Renovables, A.I.E.</t>
        </is>
      </c>
      <c r="C161" s="1" t="inlineStr">
        <is>
          <t>CIF V72553548</t>
        </is>
      </c>
      <c r="D161" s="1" t="inlineStr">
        <is>
          <t>2022-011</t>
        </is>
      </c>
      <c r="E161" s="598" t="n">
        <v>0.08</v>
      </c>
      <c r="F161" s="601">
        <f>IF( OR(ISNUMBER(SEARCH("NIF",C161)),ISNUMBER(SEARCH("CIF",C161)),ISNUMBER(SEARCH("NIE",C161))), MID(C161,5,LEN(C161)), C161)</f>
        <v/>
      </c>
      <c r="G161" s="339" t="inlineStr">
        <is>
          <t>nif</t>
        </is>
      </c>
      <c r="H161" s="602">
        <f>F161</f>
        <v/>
      </c>
      <c r="I161" s="603">
        <f>VLOOKUP(B161,DATOS!B:D,3,FALSE)</f>
        <v/>
      </c>
      <c r="J161" s="603">
        <f>MID(VLOOKUP(B161,DATOS!B:E,4,FALSE),1,5)</f>
        <v/>
      </c>
      <c r="K161" s="603">
        <f>MID(VLOOKUP(B161,DATOS!B:E,4,FALSE),7,LEN(VLOOKUP(B161,DATOS!B:E,4,FALSE)))</f>
        <v/>
      </c>
      <c r="L161" s="603">
        <f>K161</f>
        <v/>
      </c>
      <c r="M161" s="606" t="inlineStr">
        <is>
          <t>R</t>
        </is>
      </c>
      <c r="N161" s="606" t="inlineStr">
        <is>
          <t>ESP</t>
        </is>
      </c>
      <c r="O161" s="619" t="inlineStr">
        <is>
          <t>ES1100495147452216608792</t>
        </is>
      </c>
      <c r="P161" s="365" t="inlineStr">
        <is>
          <t>BSCHESMMXXX</t>
        </is>
      </c>
      <c r="Q161" s="606" t="inlineStr">
        <is>
          <t>EUR</t>
        </is>
      </c>
      <c r="R161" s="640" t="inlineStr">
        <is>
          <t>01</t>
        </is>
      </c>
      <c r="S161" s="339" t="inlineStr">
        <is>
          <t>FALSE</t>
        </is>
      </c>
      <c r="T161" s="1" t="inlineStr">
        <is>
          <t xml:space="preserve"> </t>
        </is>
      </c>
      <c r="U161" s="608" t="inlineStr">
        <is>
          <t>https://www.facturantia.com/API/proformas_receptor.php</t>
        </is>
      </c>
      <c r="V161" s="609" t="n">
        <v>6666</v>
      </c>
      <c r="W161" s="610" t="inlineStr">
        <is>
          <t>facturacion@abalados.es</t>
        </is>
      </c>
      <c r="X161" s="609" t="n">
        <v>762687769</v>
      </c>
      <c r="Z161" s="624" t="n">
        <v>45951</v>
      </c>
    </row>
    <row r="162" ht="15" customHeight="1" s="700">
      <c r="A162" s="339" t="inlineStr">
        <is>
          <t>J</t>
        </is>
      </c>
      <c r="B162" s="1" t="inlineStr">
        <is>
          <t>Automares, S.L.</t>
        </is>
      </c>
      <c r="C162" s="1" t="inlineStr">
        <is>
          <t>CIF B41261330</t>
        </is>
      </c>
      <c r="D162" s="1" t="inlineStr">
        <is>
          <t>2022-012</t>
        </is>
      </c>
      <c r="E162" s="339" t="n">
        <v>0</v>
      </c>
      <c r="F162" s="601">
        <f>IF( OR(ISNUMBER(SEARCH("NIF",C162)),ISNUMBER(SEARCH("CIF",C162)),ISNUMBER(SEARCH("NIE",C162))), MID(C162,5,LEN(C162)), C162)</f>
        <v/>
      </c>
      <c r="G162" s="339" t="inlineStr">
        <is>
          <t>nif</t>
        </is>
      </c>
      <c r="H162" s="602">
        <f>F162</f>
        <v/>
      </c>
      <c r="I162" s="603">
        <f>VLOOKUP(B162,DATOS!B:D,3,FALSE)</f>
        <v/>
      </c>
      <c r="J162" s="603">
        <f>MID(VLOOKUP(B162,DATOS!B:E,4,FALSE),1,5)</f>
        <v/>
      </c>
      <c r="K162" s="603">
        <f>MID(VLOOKUP(B162,DATOS!B:E,4,FALSE),7,LEN(VLOOKUP(B162,DATOS!B:E,4,FALSE)))</f>
        <v/>
      </c>
      <c r="L162" s="603">
        <f>K162</f>
        <v/>
      </c>
      <c r="M162" s="606" t="inlineStr">
        <is>
          <t>R</t>
        </is>
      </c>
      <c r="N162" s="606" t="inlineStr">
        <is>
          <t>ESP</t>
        </is>
      </c>
      <c r="O162" s="633" t="inlineStr">
        <is>
          <t>--</t>
        </is>
      </c>
      <c r="P162" s="633" t="inlineStr">
        <is>
          <t>--</t>
        </is>
      </c>
      <c r="Q162" s="606" t="inlineStr">
        <is>
          <t>EUR</t>
        </is>
      </c>
      <c r="R162" s="640" t="inlineStr">
        <is>
          <t>01</t>
        </is>
      </c>
      <c r="S162" s="339" t="inlineStr">
        <is>
          <t>FALSE</t>
        </is>
      </c>
      <c r="T162" s="1" t="inlineStr">
        <is>
          <t xml:space="preserve"> </t>
        </is>
      </c>
      <c r="U162" s="608" t="inlineStr">
        <is>
          <t>https://www.facturantia.com/API/proformas_receptor.php</t>
        </is>
      </c>
      <c r="V162" s="609" t="n">
        <v>6666</v>
      </c>
      <c r="W162" s="610" t="inlineStr">
        <is>
          <t>facturacion@abalados.es</t>
        </is>
      </c>
      <c r="X162" s="609" t="n">
        <v>762687769</v>
      </c>
      <c r="Z162" s="624" t="n"/>
    </row>
    <row r="163" ht="15" customHeight="1" s="700">
      <c r="A163" s="339" t="inlineStr">
        <is>
          <t>J</t>
        </is>
      </c>
      <c r="B163" s="1" t="inlineStr">
        <is>
          <t>OTRAS PRODUCCIONES DE ENERGÍA FOTOVOLTAICA, S.A.</t>
        </is>
      </c>
      <c r="C163" s="1" t="inlineStr">
        <is>
          <t>CIF B71004378</t>
        </is>
      </c>
      <c r="D163" s="1" t="inlineStr">
        <is>
          <t>2022-013</t>
        </is>
      </c>
      <c r="E163" s="339" t="n">
        <v>0</v>
      </c>
      <c r="F163" s="601">
        <f>IF( OR(ISNUMBER(SEARCH("NIF",C163)),ISNUMBER(SEARCH("CIF",C163)),ISNUMBER(SEARCH("NIE",C163))), MID(C163,5,LEN(C163)), C163)</f>
        <v/>
      </c>
      <c r="G163" s="339" t="inlineStr">
        <is>
          <t>nif</t>
        </is>
      </c>
      <c r="H163" s="602">
        <f>F163</f>
        <v/>
      </c>
      <c r="I163" s="603">
        <f>VLOOKUP(B163,DATOS!B:D,3,FALSE)</f>
        <v/>
      </c>
      <c r="J163" s="603">
        <f>MID(VLOOKUP(B163,DATOS!B:E,4,FALSE),1,5)</f>
        <v/>
      </c>
      <c r="K163" s="603">
        <f>MID(VLOOKUP(B163,DATOS!B:E,4,FALSE),7,LEN(VLOOKUP(B163,DATOS!B:E,4,FALSE)))</f>
        <v/>
      </c>
      <c r="L163" s="603">
        <f>K163</f>
        <v/>
      </c>
      <c r="M163" s="606" t="inlineStr">
        <is>
          <t>R</t>
        </is>
      </c>
      <c r="N163" s="606" t="inlineStr">
        <is>
          <t>ESP</t>
        </is>
      </c>
      <c r="O163" s="628" t="inlineStr">
        <is>
          <t>--</t>
        </is>
      </c>
      <c r="P163" s="628" t="inlineStr">
        <is>
          <t>--</t>
        </is>
      </c>
      <c r="Q163" s="606" t="inlineStr">
        <is>
          <t>EUR</t>
        </is>
      </c>
      <c r="R163" s="640" t="inlineStr">
        <is>
          <t>01</t>
        </is>
      </c>
      <c r="S163" s="339" t="inlineStr">
        <is>
          <t>FALSE</t>
        </is>
      </c>
      <c r="T163" s="1" t="inlineStr">
        <is>
          <t xml:space="preserve"> </t>
        </is>
      </c>
      <c r="U163" s="608" t="inlineStr">
        <is>
          <t>https://www.facturantia.com/API/proformas_receptor.php</t>
        </is>
      </c>
      <c r="V163" s="609" t="n">
        <v>6666</v>
      </c>
      <c r="W163" s="610" t="inlineStr">
        <is>
          <t>facturacion@abalados.es</t>
        </is>
      </c>
      <c r="X163" s="609" t="n">
        <v>762687769</v>
      </c>
      <c r="Z163" s="624" t="n"/>
    </row>
    <row r="164" ht="15" customHeight="1" s="700">
      <c r="A164" s="339" t="inlineStr">
        <is>
          <t>J</t>
        </is>
      </c>
      <c r="B164" s="1" t="inlineStr">
        <is>
          <t>ENEL GREEN POWER ESPAÑA, S.L.</t>
        </is>
      </c>
      <c r="C164" s="1" t="inlineStr">
        <is>
          <t>CIF B61234613</t>
        </is>
      </c>
      <c r="D164" s="1" t="inlineStr">
        <is>
          <t>2022-014</t>
        </is>
      </c>
      <c r="E164" s="339" t="n">
        <v>0</v>
      </c>
      <c r="F164" s="601">
        <f>IF( OR(ISNUMBER(SEARCH("NIF",C164)),ISNUMBER(SEARCH("CIF",C164)),ISNUMBER(SEARCH("NIE",C164))), MID(C164,5,LEN(C164)), C164)</f>
        <v/>
      </c>
      <c r="G164" s="339" t="inlineStr">
        <is>
          <t>nif</t>
        </is>
      </c>
      <c r="H164" s="602">
        <f>F164</f>
        <v/>
      </c>
      <c r="I164" s="603">
        <f>VLOOKUP(B164,DATOS!B:D,3,FALSE)</f>
        <v/>
      </c>
      <c r="J164" s="603">
        <f>MID(VLOOKUP(B164,DATOS!B:E,4,FALSE),1,5)</f>
        <v/>
      </c>
      <c r="K164" s="603">
        <f>MID(VLOOKUP(B164,DATOS!B:E,4,FALSE),7,LEN(VLOOKUP(B164,DATOS!B:E,4,FALSE)))</f>
        <v/>
      </c>
      <c r="L164" s="603">
        <f>K164</f>
        <v/>
      </c>
      <c r="M164" s="606" t="inlineStr">
        <is>
          <t>R</t>
        </is>
      </c>
      <c r="N164" s="606" t="inlineStr">
        <is>
          <t>ESP</t>
        </is>
      </c>
      <c r="O164" s="628" t="inlineStr">
        <is>
          <t>--</t>
        </is>
      </c>
      <c r="P164" s="628" t="inlineStr">
        <is>
          <t>--</t>
        </is>
      </c>
      <c r="Q164" s="606" t="inlineStr">
        <is>
          <t>EUR</t>
        </is>
      </c>
      <c r="R164" s="640" t="inlineStr">
        <is>
          <t>01</t>
        </is>
      </c>
      <c r="S164" s="339" t="inlineStr">
        <is>
          <t>FALSE</t>
        </is>
      </c>
      <c r="T164" s="1" t="inlineStr">
        <is>
          <t xml:space="preserve"> </t>
        </is>
      </c>
      <c r="U164" s="608" t="inlineStr">
        <is>
          <t>https://www.facturantia.com/API/proformas_receptor.php</t>
        </is>
      </c>
      <c r="V164" s="609" t="n">
        <v>6666</v>
      </c>
      <c r="W164" s="610" t="inlineStr">
        <is>
          <t>facturacion@abalados.es</t>
        </is>
      </c>
      <c r="X164" s="609" t="n">
        <v>762687769</v>
      </c>
      <c r="Z164" s="624" t="n"/>
    </row>
    <row r="165" ht="15" customHeight="1" s="700">
      <c r="A165" s="339" t="inlineStr">
        <is>
          <t>J</t>
        </is>
      </c>
      <c r="B165" s="1" t="inlineStr">
        <is>
          <t>Sonnedix España Management S.L.</t>
        </is>
      </c>
      <c r="C165" s="1" t="inlineStr">
        <is>
          <t>CIF B87633822</t>
        </is>
      </c>
      <c r="D165" s="1" t="inlineStr">
        <is>
          <t>2023-001</t>
        </is>
      </c>
      <c r="E165" s="339" t="n">
        <v>0</v>
      </c>
      <c r="F165" s="601">
        <f>IF( OR(ISNUMBER(SEARCH("NIF",C165)),ISNUMBER(SEARCH("CIF",C165)),ISNUMBER(SEARCH("NIE",C165))), MID(C165,5,LEN(C165)), C165)</f>
        <v/>
      </c>
      <c r="G165" s="339" t="inlineStr">
        <is>
          <t>nif</t>
        </is>
      </c>
      <c r="H165" s="602">
        <f>F165</f>
        <v/>
      </c>
      <c r="I165" s="603">
        <f>VLOOKUP(B165,DATOS!B:D,3,FALSE)</f>
        <v/>
      </c>
      <c r="J165" s="603">
        <f>MID(VLOOKUP(B165,DATOS!B:E,4,FALSE),1,5)</f>
        <v/>
      </c>
      <c r="K165" s="603">
        <f>MID(VLOOKUP(B165,DATOS!B:E,4,FALSE),7,LEN(VLOOKUP(B165,DATOS!B:E,4,FALSE)))</f>
        <v/>
      </c>
      <c r="L165" s="603">
        <f>K165</f>
        <v/>
      </c>
      <c r="M165" s="606" t="inlineStr">
        <is>
          <t>R</t>
        </is>
      </c>
      <c r="N165" s="606" t="inlineStr">
        <is>
          <t>ESP</t>
        </is>
      </c>
      <c r="O165" s="633" t="inlineStr">
        <is>
          <t>--</t>
        </is>
      </c>
      <c r="P165" s="633" t="inlineStr">
        <is>
          <t>--</t>
        </is>
      </c>
      <c r="Q165" s="606" t="inlineStr">
        <is>
          <t>EUR</t>
        </is>
      </c>
      <c r="R165" s="640" t="inlineStr">
        <is>
          <t>01</t>
        </is>
      </c>
      <c r="S165" s="339" t="inlineStr">
        <is>
          <t>FALSE</t>
        </is>
      </c>
      <c r="T165" s="1" t="inlineStr">
        <is>
          <t xml:space="preserve"> </t>
        </is>
      </c>
      <c r="U165" s="608" t="inlineStr">
        <is>
          <t>https://www.facturantia.com/API/proformas_receptor.php</t>
        </is>
      </c>
      <c r="V165" s="609" t="n">
        <v>6666</v>
      </c>
      <c r="W165" s="610" t="inlineStr">
        <is>
          <t>facturacion@abalados.es</t>
        </is>
      </c>
      <c r="X165" s="609" t="n">
        <v>762687769</v>
      </c>
      <c r="Z165" s="624" t="n"/>
    </row>
    <row r="166" ht="15" customHeight="1" s="700">
      <c r="A166" s="635" t="inlineStr">
        <is>
          <t>J</t>
        </is>
      </c>
      <c r="B166" s="1" t="inlineStr">
        <is>
          <t>Cuádruple Belinchón, S.L.</t>
        </is>
      </c>
      <c r="C166" s="1" t="inlineStr">
        <is>
          <t>CIF B09737602</t>
        </is>
      </c>
      <c r="D166" s="1" t="inlineStr">
        <is>
          <t>2023-002</t>
        </is>
      </c>
      <c r="E166" s="598" t="n">
        <v>0.08</v>
      </c>
      <c r="F166" s="601">
        <f>IF( OR(ISNUMBER(SEARCH("NIF",C166)),ISNUMBER(SEARCH("CIF",C166)),ISNUMBER(SEARCH("NIE",C166))), MID(C166,5,LEN(C166)), C166)</f>
        <v/>
      </c>
      <c r="G166" s="339" t="inlineStr">
        <is>
          <t>nif</t>
        </is>
      </c>
      <c r="H166" s="602">
        <f>F166</f>
        <v/>
      </c>
      <c r="I166" s="603">
        <f>VLOOKUP(B166,DATOS!B:D,3,FALSE)</f>
        <v/>
      </c>
      <c r="J166" s="603">
        <f>MID(VLOOKUP(B166,DATOS!B:E,4,FALSE),1,5)</f>
        <v/>
      </c>
      <c r="K166" s="603">
        <f>MID(VLOOKUP(B166,DATOS!B:E,4,FALSE),7,LEN(VLOOKUP(B166,DATOS!B:E,4,FALSE)))</f>
        <v/>
      </c>
      <c r="L166" s="603">
        <f>K166</f>
        <v/>
      </c>
      <c r="M166" s="606" t="inlineStr">
        <is>
          <t>R</t>
        </is>
      </c>
      <c r="N166" s="606" t="inlineStr">
        <is>
          <t>ESP</t>
        </is>
      </c>
      <c r="O166" s="365" t="inlineStr">
        <is>
          <t>ES6900815161660001379339</t>
        </is>
      </c>
      <c r="P166" s="365" t="inlineStr">
        <is>
          <t>BSABESBBXXX</t>
        </is>
      </c>
      <c r="Q166" s="606" t="inlineStr">
        <is>
          <t>EUR</t>
        </is>
      </c>
      <c r="R166" s="640" t="inlineStr">
        <is>
          <t>01</t>
        </is>
      </c>
      <c r="S166" s="339" t="inlineStr">
        <is>
          <t>FALSE</t>
        </is>
      </c>
      <c r="T166" s="1" t="inlineStr">
        <is>
          <t xml:space="preserve"> </t>
        </is>
      </c>
      <c r="U166" s="608" t="inlineStr">
        <is>
          <t>https://www.facturantia.com/API/proformas_receptor.php</t>
        </is>
      </c>
      <c r="V166" s="609" t="n">
        <v>6666</v>
      </c>
      <c r="W166" s="610" t="inlineStr">
        <is>
          <t>facturacion@abalados.es</t>
        </is>
      </c>
      <c r="X166" s="609" t="n">
        <v>762687769</v>
      </c>
      <c r="Z166" s="624" t="n">
        <v>45951</v>
      </c>
    </row>
    <row r="167" ht="15" customHeight="1" s="700">
      <c r="A167" s="635" t="inlineStr">
        <is>
          <t>J</t>
        </is>
      </c>
      <c r="B167" s="1" t="inlineStr">
        <is>
          <t>Renovables Brovales 400 kV, S.L.</t>
        </is>
      </c>
      <c r="C167" s="1" t="inlineStr">
        <is>
          <t>CIF B09737263</t>
        </is>
      </c>
      <c r="D167" s="1" t="inlineStr">
        <is>
          <t>2023-003</t>
        </is>
      </c>
      <c r="E167" s="598" t="n">
        <v>0.08</v>
      </c>
      <c r="F167" s="601">
        <f>IF( OR(ISNUMBER(SEARCH("NIF",C167)),ISNUMBER(SEARCH("CIF",C167)),ISNUMBER(SEARCH("NIE",C167))), MID(C167,5,LEN(C167)), C167)</f>
        <v/>
      </c>
      <c r="G167" s="339" t="inlineStr">
        <is>
          <t>nif</t>
        </is>
      </c>
      <c r="H167" s="602">
        <f>F167</f>
        <v/>
      </c>
      <c r="I167" s="603">
        <f>VLOOKUP(B167,DATOS!B:D,3,FALSE)</f>
        <v/>
      </c>
      <c r="J167" s="603">
        <f>MID(VLOOKUP(B167,DATOS!B:E,4,FALSE),1,5)</f>
        <v/>
      </c>
      <c r="K167" s="603">
        <f>MID(VLOOKUP(B167,DATOS!B:E,4,FALSE),7,LEN(VLOOKUP(B167,DATOS!B:E,4,FALSE)))</f>
        <v/>
      </c>
      <c r="L167" s="603">
        <f>K167</f>
        <v/>
      </c>
      <c r="M167" s="606" t="inlineStr">
        <is>
          <t>R</t>
        </is>
      </c>
      <c r="N167" s="606" t="inlineStr">
        <is>
          <t>ESP</t>
        </is>
      </c>
      <c r="O167" s="619" t="inlineStr">
        <is>
          <t>ES4700810300670002085814</t>
        </is>
      </c>
      <c r="P167" s="365" t="inlineStr">
        <is>
          <t>BSABESBBXXX</t>
        </is>
      </c>
      <c r="Q167" s="606" t="inlineStr">
        <is>
          <t>EUR</t>
        </is>
      </c>
      <c r="R167" s="640" t="inlineStr">
        <is>
          <t>01</t>
        </is>
      </c>
      <c r="S167" s="339" t="inlineStr">
        <is>
          <t>FALSE</t>
        </is>
      </c>
      <c r="T167" s="1" t="inlineStr">
        <is>
          <t xml:space="preserve"> </t>
        </is>
      </c>
      <c r="U167" s="608" t="inlineStr">
        <is>
          <t>https://www.facturantia.com/API/proformas_receptor.php</t>
        </is>
      </c>
      <c r="V167" s="609" t="n">
        <v>6666</v>
      </c>
      <c r="W167" s="610" t="inlineStr">
        <is>
          <t>facturacion@abalados.es</t>
        </is>
      </c>
      <c r="X167" s="609" t="n">
        <v>762687769</v>
      </c>
      <c r="Z167" s="624" t="n">
        <v>45951</v>
      </c>
    </row>
    <row r="168" ht="15" customHeight="1" s="700">
      <c r="A168" s="635" t="inlineStr">
        <is>
          <t>J</t>
        </is>
      </c>
      <c r="B168" s="1" t="inlineStr">
        <is>
          <t>Huerta Sevilla Renovables, S.L.</t>
        </is>
      </c>
      <c r="C168" s="1" t="inlineStr">
        <is>
          <t>CIF B72559875</t>
        </is>
      </c>
      <c r="D168" s="1" t="inlineStr">
        <is>
          <t>2023-004</t>
        </is>
      </c>
      <c r="E168" s="598" t="n">
        <v>0.08</v>
      </c>
      <c r="F168" s="601">
        <f>IF( OR(ISNUMBER(SEARCH("NIF",C168)),ISNUMBER(SEARCH("CIF",C168)),ISNUMBER(SEARCH("NIE",C168))), MID(C168,5,LEN(C168)), C168)</f>
        <v/>
      </c>
      <c r="G168" s="339" t="inlineStr">
        <is>
          <t>nif</t>
        </is>
      </c>
      <c r="H168" s="602">
        <f>F168</f>
        <v/>
      </c>
      <c r="I168" s="603">
        <f>VLOOKUP(B168,DATOS!B:D,3,FALSE)</f>
        <v/>
      </c>
      <c r="J168" s="603">
        <f>MID(VLOOKUP(B168,DATOS!B:E,4,FALSE),1,5)</f>
        <v/>
      </c>
      <c r="K168" s="603">
        <f>MID(VLOOKUP(B168,DATOS!B:E,4,FALSE),7,LEN(VLOOKUP(B168,DATOS!B:E,4,FALSE)))</f>
        <v/>
      </c>
      <c r="L168" s="603">
        <f>K168</f>
        <v/>
      </c>
      <c r="M168" s="606" t="inlineStr">
        <is>
          <t>R</t>
        </is>
      </c>
      <c r="N168" s="606" t="inlineStr">
        <is>
          <t>ESP</t>
        </is>
      </c>
      <c r="O168" s="619" t="inlineStr">
        <is>
          <t>ES6401289471850100013851</t>
        </is>
      </c>
      <c r="P168" s="619" t="inlineStr">
        <is>
          <t>BKBKESMMXXX</t>
        </is>
      </c>
      <c r="Q168" s="606" t="inlineStr">
        <is>
          <t>EUR</t>
        </is>
      </c>
      <c r="R168" s="640" t="inlineStr">
        <is>
          <t>01</t>
        </is>
      </c>
      <c r="S168" s="339" t="inlineStr">
        <is>
          <t>FALSE</t>
        </is>
      </c>
      <c r="T168" s="1" t="inlineStr">
        <is>
          <t xml:space="preserve"> </t>
        </is>
      </c>
      <c r="U168" s="608" t="inlineStr">
        <is>
          <t>https://www.facturantia.com/API/proformas_receptor.php</t>
        </is>
      </c>
      <c r="V168" s="609" t="n">
        <v>6666</v>
      </c>
      <c r="W168" s="610" t="inlineStr">
        <is>
          <t>facturacion@abalados.es</t>
        </is>
      </c>
      <c r="X168" s="609" t="n">
        <v>762687769</v>
      </c>
      <c r="Z168" s="624" t="n">
        <v>45951</v>
      </c>
    </row>
    <row r="169" ht="15" customHeight="1" s="700">
      <c r="A169" s="339" t="inlineStr">
        <is>
          <t>J</t>
        </is>
      </c>
      <c r="B169" s="1" t="inlineStr">
        <is>
          <t>Arcadia Renovables 1, S.L.U.</t>
        </is>
      </c>
      <c r="C169" s="1" t="inlineStr">
        <is>
          <t>CIF B90486390</t>
        </is>
      </c>
      <c r="D169" s="1" t="inlineStr">
        <is>
          <t>2023-005</t>
        </is>
      </c>
      <c r="E169" s="339" t="n">
        <v>0</v>
      </c>
      <c r="F169" s="601">
        <f>IF( OR(ISNUMBER(SEARCH("NIF",C169)),ISNUMBER(SEARCH("CIF",C169)),ISNUMBER(SEARCH("NIE",C169))), MID(C169,5,LEN(C169)), C169)</f>
        <v/>
      </c>
      <c r="G169" s="339" t="inlineStr">
        <is>
          <t>nif</t>
        </is>
      </c>
      <c r="H169" s="602">
        <f>F169</f>
        <v/>
      </c>
      <c r="I169" s="603">
        <f>VLOOKUP(B169,DATOS!B:D,3,FALSE)</f>
        <v/>
      </c>
      <c r="J169" s="603">
        <f>MID(VLOOKUP(B169,DATOS!B:E,4,FALSE),1,5)</f>
        <v/>
      </c>
      <c r="K169" s="603">
        <f>MID(VLOOKUP(B169,DATOS!B:E,4,FALSE),7,LEN(VLOOKUP(B169,DATOS!B:E,4,FALSE)))</f>
        <v/>
      </c>
      <c r="L169" s="603">
        <f>K169</f>
        <v/>
      </c>
      <c r="M169" s="606" t="inlineStr">
        <is>
          <t>R</t>
        </is>
      </c>
      <c r="N169" s="606" t="inlineStr">
        <is>
          <t>ESP</t>
        </is>
      </c>
      <c r="O169" s="633" t="inlineStr">
        <is>
          <t>--</t>
        </is>
      </c>
      <c r="P169" s="633" t="inlineStr">
        <is>
          <t>--</t>
        </is>
      </c>
      <c r="Q169" s="606" t="inlineStr">
        <is>
          <t>EUR</t>
        </is>
      </c>
      <c r="R169" s="640" t="inlineStr">
        <is>
          <t>01</t>
        </is>
      </c>
      <c r="S169" s="339" t="inlineStr">
        <is>
          <t>FALSE</t>
        </is>
      </c>
      <c r="T169" s="1" t="inlineStr">
        <is>
          <t xml:space="preserve"> </t>
        </is>
      </c>
      <c r="U169" s="608" t="inlineStr">
        <is>
          <t>https://www.facturantia.com/API/proformas_receptor.php</t>
        </is>
      </c>
      <c r="V169" s="609" t="n">
        <v>6666</v>
      </c>
      <c r="W169" s="610" t="inlineStr">
        <is>
          <t>facturacion@abalados.es</t>
        </is>
      </c>
      <c r="X169" s="609" t="n">
        <v>762687769</v>
      </c>
      <c r="Z169" s="624" t="n"/>
    </row>
    <row r="170" ht="15" customHeight="1" s="700">
      <c r="A170" s="635" t="inlineStr">
        <is>
          <t>J</t>
        </is>
      </c>
      <c r="B170" s="1" t="inlineStr">
        <is>
          <t>Belisol 132 kV, S.L.</t>
        </is>
      </c>
      <c r="C170" s="1" t="inlineStr">
        <is>
          <t>CIF B72917263</t>
        </is>
      </c>
      <c r="D170" s="1" t="inlineStr">
        <is>
          <t>2023-006</t>
        </is>
      </c>
      <c r="E170" s="598" t="n">
        <v>0.08</v>
      </c>
      <c r="F170" s="601">
        <f>IF( OR(ISNUMBER(SEARCH("NIF",C170)),ISNUMBER(SEARCH("CIF",C170)),ISNUMBER(SEARCH("NIE",C170))), MID(C170,5,LEN(C170)), C170)</f>
        <v/>
      </c>
      <c r="G170" s="339" t="inlineStr">
        <is>
          <t>nif</t>
        </is>
      </c>
      <c r="H170" s="602">
        <f>F170</f>
        <v/>
      </c>
      <c r="I170" s="603">
        <f>VLOOKUP(B170,DATOS!B:D,3,FALSE)</f>
        <v/>
      </c>
      <c r="J170" s="603">
        <f>MID(VLOOKUP(B170,DATOS!B:E,4,FALSE),1,5)</f>
        <v/>
      </c>
      <c r="K170" s="603">
        <f>MID(VLOOKUP(B170,DATOS!B:E,4,FALSE),7,LEN(VLOOKUP(B170,DATOS!B:E,4,FALSE)))</f>
        <v/>
      </c>
      <c r="L170" s="603">
        <f>K170</f>
        <v/>
      </c>
      <c r="M170" s="606" t="inlineStr">
        <is>
          <t>R</t>
        </is>
      </c>
      <c r="N170" s="606" t="inlineStr">
        <is>
          <t>ESP</t>
        </is>
      </c>
      <c r="O170" s="619" t="inlineStr">
        <is>
          <t>ES9421008663100200137480</t>
        </is>
      </c>
      <c r="P170" s="365" t="inlineStr">
        <is>
          <t>CAIXESBBXXX</t>
        </is>
      </c>
      <c r="Q170" s="606" t="inlineStr">
        <is>
          <t>EUR</t>
        </is>
      </c>
      <c r="R170" s="640" t="inlineStr">
        <is>
          <t>01</t>
        </is>
      </c>
      <c r="S170" s="339" t="inlineStr">
        <is>
          <t>FALSE</t>
        </is>
      </c>
      <c r="T170" s="1" t="inlineStr">
        <is>
          <t xml:space="preserve"> </t>
        </is>
      </c>
      <c r="U170" s="608" t="inlineStr">
        <is>
          <t>https://www.facturantia.com/API/proformas_receptor.php</t>
        </is>
      </c>
      <c r="V170" s="609" t="n">
        <v>6666</v>
      </c>
      <c r="W170" s="610" t="inlineStr">
        <is>
          <t>facturacion@abalados.es</t>
        </is>
      </c>
      <c r="X170" s="609" t="n">
        <v>762687769</v>
      </c>
      <c r="Z170" s="624" t="n">
        <v>45951</v>
      </c>
    </row>
    <row r="171" ht="15" customHeight="1" s="700">
      <c r="A171" s="339" t="inlineStr">
        <is>
          <t>J</t>
        </is>
      </c>
      <c r="B171" s="1" t="inlineStr">
        <is>
          <t>Generación Fotovoltaica de Bargas, S.L.</t>
        </is>
      </c>
      <c r="C171" s="1" t="inlineStr">
        <is>
          <t>CIF B73939902</t>
        </is>
      </c>
      <c r="D171" s="1" t="inlineStr">
        <is>
          <t>2023-007</t>
        </is>
      </c>
      <c r="E171" s="339" t="n">
        <v>0</v>
      </c>
      <c r="F171" s="601">
        <f>IF( OR(ISNUMBER(SEARCH("NIF",C171)),ISNUMBER(SEARCH("CIF",C171)),ISNUMBER(SEARCH("NIE",C171))), MID(C171,5,LEN(C171)), C171)</f>
        <v/>
      </c>
      <c r="G171" s="339" t="inlineStr">
        <is>
          <t>nif</t>
        </is>
      </c>
      <c r="H171" s="602">
        <f>F171</f>
        <v/>
      </c>
      <c r="I171" s="603">
        <f>VLOOKUP(B171,DATOS!B:D,3,FALSE)</f>
        <v/>
      </c>
      <c r="J171" s="603">
        <f>MID(VLOOKUP(B171,DATOS!B:E,4,FALSE),1,5)</f>
        <v/>
      </c>
      <c r="K171" s="604" t="inlineStr">
        <is>
          <t>Madrid</t>
        </is>
      </c>
      <c r="L171" s="604" t="inlineStr">
        <is>
          <t>San Sebastian de los Reyes</t>
        </is>
      </c>
      <c r="M171" s="606" t="inlineStr">
        <is>
          <t>R</t>
        </is>
      </c>
      <c r="N171" s="606" t="inlineStr">
        <is>
          <t>ESP</t>
        </is>
      </c>
      <c r="O171" s="633" t="inlineStr">
        <is>
          <t>--</t>
        </is>
      </c>
      <c r="P171" s="633" t="inlineStr">
        <is>
          <t>--</t>
        </is>
      </c>
      <c r="Q171" s="606" t="inlineStr">
        <is>
          <t>EUR</t>
        </is>
      </c>
      <c r="R171" s="640" t="inlineStr">
        <is>
          <t>01</t>
        </is>
      </c>
      <c r="S171" s="339" t="inlineStr">
        <is>
          <t>FALSE</t>
        </is>
      </c>
      <c r="T171" s="1" t="inlineStr">
        <is>
          <t xml:space="preserve"> </t>
        </is>
      </c>
      <c r="U171" s="608" t="inlineStr">
        <is>
          <t>https://www.facturantia.com/API/proformas_receptor.php</t>
        </is>
      </c>
      <c r="V171" s="609" t="n">
        <v>6666</v>
      </c>
      <c r="W171" s="610" t="inlineStr">
        <is>
          <t>facturacion@abalados.es</t>
        </is>
      </c>
      <c r="X171" s="609" t="n">
        <v>762687769</v>
      </c>
      <c r="Z171" s="624" t="n"/>
    </row>
    <row r="172" ht="15" customHeight="1" s="700">
      <c r="A172" s="635" t="inlineStr">
        <is>
          <t>J</t>
        </is>
      </c>
      <c r="B172" s="1" t="inlineStr">
        <is>
          <t>Evacuación Liquesun, S.L.</t>
        </is>
      </c>
      <c r="C172" s="1" t="inlineStr">
        <is>
          <t>CIF B44721868</t>
        </is>
      </c>
      <c r="D172" s="1" t="inlineStr">
        <is>
          <t>2023-008</t>
        </is>
      </c>
      <c r="E172" s="339" t="n">
        <v>0.1</v>
      </c>
      <c r="F172" s="601">
        <f>IF( OR(ISNUMBER(SEARCH("NIF",C172)),ISNUMBER(SEARCH("CIF",C172)),ISNUMBER(SEARCH("NIE",C172))), MID(C172,5,LEN(C172)), C172)</f>
        <v/>
      </c>
      <c r="G172" s="339" t="inlineStr">
        <is>
          <t>nif</t>
        </is>
      </c>
      <c r="H172" s="602">
        <f>F172</f>
        <v/>
      </c>
      <c r="I172" s="603">
        <f>VLOOKUP(B172,DATOS!B:D,3,FALSE)</f>
        <v/>
      </c>
      <c r="J172" s="603">
        <f>MID(VLOOKUP(B172,DATOS!B:E,4,FALSE),1,5)</f>
        <v/>
      </c>
      <c r="K172" s="603">
        <f>MID(VLOOKUP(B172,DATOS!B:E,4,FALSE),7,LEN(VLOOKUP(B172,DATOS!B:E,4,FALSE)))</f>
        <v/>
      </c>
      <c r="L172" s="603">
        <f>K172</f>
        <v/>
      </c>
      <c r="M172" s="606" t="inlineStr">
        <is>
          <t>R</t>
        </is>
      </c>
      <c r="N172" s="606" t="inlineStr">
        <is>
          <t>ESP</t>
        </is>
      </c>
      <c r="O172" s="619" t="inlineStr">
        <is>
          <t>ES5400491500082119369940</t>
        </is>
      </c>
      <c r="P172" s="365" t="inlineStr">
        <is>
          <t>BSCHESMMXXX</t>
        </is>
      </c>
      <c r="Q172" s="606" t="inlineStr">
        <is>
          <t>EUR</t>
        </is>
      </c>
      <c r="R172" s="640" t="inlineStr">
        <is>
          <t>01</t>
        </is>
      </c>
      <c r="S172" s="339" t="inlineStr">
        <is>
          <t>FALSE</t>
        </is>
      </c>
      <c r="T172" s="1" t="inlineStr">
        <is>
          <t xml:space="preserve"> </t>
        </is>
      </c>
      <c r="U172" s="608" t="inlineStr">
        <is>
          <t>https://www.facturantia.com/API/proformas_receptor.php</t>
        </is>
      </c>
      <c r="V172" s="609" t="n">
        <v>6666</v>
      </c>
      <c r="W172" s="610" t="inlineStr">
        <is>
          <t>facturacion@abalados.es</t>
        </is>
      </c>
      <c r="X172" s="609" t="n">
        <v>762687769</v>
      </c>
      <c r="Z172" s="624" t="n">
        <v>45951</v>
      </c>
    </row>
    <row r="173" ht="15" customHeight="1" s="700">
      <c r="A173" s="339" t="inlineStr">
        <is>
          <t>J</t>
        </is>
      </c>
      <c r="B173" s="1" t="inlineStr">
        <is>
          <t>Sonnedix España Services, S.L.</t>
        </is>
      </c>
      <c r="C173" s="1" t="inlineStr">
        <is>
          <t>CIF B87126413</t>
        </is>
      </c>
      <c r="D173" s="1" t="inlineStr">
        <is>
          <t>2023-009</t>
        </is>
      </c>
      <c r="E173" s="339" t="n">
        <v>0</v>
      </c>
      <c r="F173" s="601">
        <f>IF( OR(ISNUMBER(SEARCH("NIF",C173)),ISNUMBER(SEARCH("CIF",C173)),ISNUMBER(SEARCH("NIE",C173))), MID(C173,5,LEN(C173)), C173)</f>
        <v/>
      </c>
      <c r="G173" s="339" t="inlineStr">
        <is>
          <t>nif</t>
        </is>
      </c>
      <c r="H173" s="602">
        <f>F173</f>
        <v/>
      </c>
      <c r="I173" s="603">
        <f>VLOOKUP(B173,DATOS!B:D,3,FALSE)</f>
        <v/>
      </c>
      <c r="J173" s="603">
        <f>MID(VLOOKUP(B173,DATOS!B:E,4,FALSE),1,5)</f>
        <v/>
      </c>
      <c r="K173" s="603">
        <f>MID(VLOOKUP(B173,DATOS!B:E,4,FALSE),7,LEN(VLOOKUP(B173,DATOS!B:E,4,FALSE)))</f>
        <v/>
      </c>
      <c r="L173" s="603">
        <f>K173</f>
        <v/>
      </c>
      <c r="M173" s="606" t="inlineStr">
        <is>
          <t>R</t>
        </is>
      </c>
      <c r="N173" s="606" t="inlineStr">
        <is>
          <t>ESP</t>
        </is>
      </c>
      <c r="O173" s="633" t="inlineStr">
        <is>
          <t>--</t>
        </is>
      </c>
      <c r="P173" s="633" t="inlineStr">
        <is>
          <t>--</t>
        </is>
      </c>
      <c r="Q173" s="606" t="inlineStr">
        <is>
          <t>EUR</t>
        </is>
      </c>
      <c r="R173" s="640" t="inlineStr">
        <is>
          <t>01</t>
        </is>
      </c>
      <c r="S173" s="339" t="inlineStr">
        <is>
          <t>FALSE</t>
        </is>
      </c>
      <c r="T173" s="1" t="inlineStr">
        <is>
          <t xml:space="preserve"> </t>
        </is>
      </c>
      <c r="U173" s="608" t="inlineStr">
        <is>
          <t>https://www.facturantia.com/API/proformas_receptor.php</t>
        </is>
      </c>
      <c r="V173" s="609" t="n">
        <v>6666</v>
      </c>
      <c r="W173" s="610" t="inlineStr">
        <is>
          <t>facturacion@abalados.es</t>
        </is>
      </c>
      <c r="X173" s="609" t="n">
        <v>762687769</v>
      </c>
      <c r="Z173" s="624" t="n"/>
    </row>
    <row r="174" ht="15" customHeight="1" s="700">
      <c r="A174" s="635" t="inlineStr">
        <is>
          <t>J</t>
        </is>
      </c>
      <c r="B174" s="1" t="inlineStr">
        <is>
          <t>Brazatortas 220 Renovables, S.L.</t>
        </is>
      </c>
      <c r="C174" s="1" t="inlineStr">
        <is>
          <t>CIF B72669237</t>
        </is>
      </c>
      <c r="D174" s="1" t="inlineStr">
        <is>
          <t>2023-010</t>
        </is>
      </c>
      <c r="E174" s="598" t="n">
        <v>0.08</v>
      </c>
      <c r="F174" s="601">
        <f>IF( OR(ISNUMBER(SEARCH("NIF",C174)),ISNUMBER(SEARCH("CIF",C174)),ISNUMBER(SEARCH("NIE",C174))), MID(C174,5,LEN(C174)), C174)</f>
        <v/>
      </c>
      <c r="G174" s="339" t="inlineStr">
        <is>
          <t>nif</t>
        </is>
      </c>
      <c r="H174" s="602">
        <f>F174</f>
        <v/>
      </c>
      <c r="I174" s="603">
        <f>VLOOKUP(B174,DATOS!B:D,3,FALSE)</f>
        <v/>
      </c>
      <c r="J174" s="603">
        <f>MID(VLOOKUP(B174,DATOS!B:E,4,FALSE),1,5)</f>
        <v/>
      </c>
      <c r="K174" s="603">
        <f>MID(VLOOKUP(B174,DATOS!B:E,4,FALSE),7,LEN(VLOOKUP(B174,DATOS!B:E,4,FALSE)))</f>
        <v/>
      </c>
      <c r="L174" s="603">
        <f>K174</f>
        <v/>
      </c>
      <c r="M174" s="606" t="inlineStr">
        <is>
          <t>R</t>
        </is>
      </c>
      <c r="N174" s="606" t="inlineStr">
        <is>
          <t>ESP</t>
        </is>
      </c>
      <c r="O174" s="619" t="inlineStr">
        <is>
          <t>ES4501287702960100009275</t>
        </is>
      </c>
      <c r="P174" s="619" t="inlineStr">
        <is>
          <t>BKBKESMMXXX</t>
        </is>
      </c>
      <c r="Q174" s="606" t="inlineStr">
        <is>
          <t>EUR</t>
        </is>
      </c>
      <c r="R174" s="640" t="inlineStr">
        <is>
          <t>01</t>
        </is>
      </c>
      <c r="S174" s="339" t="inlineStr">
        <is>
          <t>FALSE</t>
        </is>
      </c>
      <c r="T174" s="1" t="inlineStr">
        <is>
          <t xml:space="preserve"> </t>
        </is>
      </c>
      <c r="U174" s="608" t="inlineStr">
        <is>
          <t>https://www.facturantia.com/API/proformas_receptor.php</t>
        </is>
      </c>
      <c r="V174" s="609" t="n">
        <v>6666</v>
      </c>
      <c r="W174" s="610" t="inlineStr">
        <is>
          <t>facturacion@abalados.es</t>
        </is>
      </c>
      <c r="X174" s="609" t="n">
        <v>762687769</v>
      </c>
      <c r="Z174" s="624" t="n">
        <v>45951</v>
      </c>
    </row>
    <row r="175" ht="15" customHeight="1" s="700">
      <c r="A175" s="635" t="inlineStr">
        <is>
          <t>J</t>
        </is>
      </c>
      <c r="B175" s="1" t="inlineStr">
        <is>
          <t>Colectora Carmona, S.L.</t>
        </is>
      </c>
      <c r="C175" s="1" t="inlineStr">
        <is>
          <t>CIF B72861768</t>
        </is>
      </c>
      <c r="D175" s="1" t="inlineStr">
        <is>
          <t>2023-011</t>
        </is>
      </c>
      <c r="E175" s="598" t="n">
        <v>0.08</v>
      </c>
      <c r="F175" s="601">
        <f>IF( OR(ISNUMBER(SEARCH("NIF",C175)),ISNUMBER(SEARCH("CIF",C175)),ISNUMBER(SEARCH("NIE",C175))), MID(C175,5,LEN(C175)), C175)</f>
        <v/>
      </c>
      <c r="G175" s="339" t="inlineStr">
        <is>
          <t>nif</t>
        </is>
      </c>
      <c r="H175" s="602">
        <f>F175</f>
        <v/>
      </c>
      <c r="I175" s="603">
        <f>VLOOKUP(B175,DATOS!B:D,3,FALSE)</f>
        <v/>
      </c>
      <c r="J175" s="603">
        <f>MID(VLOOKUP(B175,DATOS!B:E,4,FALSE),1,5)</f>
        <v/>
      </c>
      <c r="K175" s="603">
        <f>MID(VLOOKUP(B175,DATOS!B:E,4,FALSE),7,LEN(VLOOKUP(B175,DATOS!B:E,4,FALSE)))</f>
        <v/>
      </c>
      <c r="L175" s="603">
        <f>K175</f>
        <v/>
      </c>
      <c r="M175" s="606" t="inlineStr">
        <is>
          <t>R</t>
        </is>
      </c>
      <c r="N175" s="606" t="inlineStr">
        <is>
          <t>ESP</t>
        </is>
      </c>
      <c r="O175" s="619" t="inlineStr">
        <is>
          <t>ES1600494298782714005977</t>
        </is>
      </c>
      <c r="P175" s="365" t="inlineStr">
        <is>
          <t>BSCHESMMXXX</t>
        </is>
      </c>
      <c r="Q175" s="606" t="inlineStr">
        <is>
          <t>EUR</t>
        </is>
      </c>
      <c r="R175" s="640" t="inlineStr">
        <is>
          <t>01</t>
        </is>
      </c>
      <c r="S175" s="339" t="inlineStr">
        <is>
          <t>FALSE</t>
        </is>
      </c>
      <c r="T175" s="1" t="inlineStr">
        <is>
          <t xml:space="preserve"> </t>
        </is>
      </c>
      <c r="U175" s="608" t="inlineStr">
        <is>
          <t>https://www.facturantia.com/API/proformas_receptor.php</t>
        </is>
      </c>
      <c r="V175" s="609" t="n">
        <v>6666</v>
      </c>
      <c r="W175" s="610" t="inlineStr">
        <is>
          <t>facturacion@abalados.es</t>
        </is>
      </c>
      <c r="X175" s="609" t="n">
        <v>762687769</v>
      </c>
      <c r="Z175" s="624" t="n">
        <v>45951</v>
      </c>
    </row>
    <row r="176" ht="15" customHeight="1" s="700">
      <c r="A176" s="339" t="inlineStr">
        <is>
          <t>J</t>
        </is>
      </c>
      <c r="B176" s="1" t="inlineStr">
        <is>
          <t>CAROSAN CAPITAL INVEST, S.L.</t>
        </is>
      </c>
      <c r="C176" s="1" t="inlineStr">
        <is>
          <t>CIF B19251214</t>
        </is>
      </c>
      <c r="D176" s="1" t="inlineStr">
        <is>
          <t>2023-012</t>
        </is>
      </c>
      <c r="E176" s="339" t="n">
        <v>0</v>
      </c>
      <c r="F176" s="601">
        <f>IF( OR(ISNUMBER(SEARCH("NIF",C176)),ISNUMBER(SEARCH("CIF",C176)),ISNUMBER(SEARCH("NIE",C176))), MID(C176,5,LEN(C176)), C176)</f>
        <v/>
      </c>
      <c r="G176" s="339" t="inlineStr">
        <is>
          <t>nif</t>
        </is>
      </c>
      <c r="H176" s="602">
        <f>F176</f>
        <v/>
      </c>
      <c r="I176" s="603">
        <f>VLOOKUP(B176,DATOS!B:D,3,FALSE)</f>
        <v/>
      </c>
      <c r="J176" s="603">
        <f>MID(VLOOKUP(B176,DATOS!B:E,4,FALSE),1,5)</f>
        <v/>
      </c>
      <c r="K176" s="604" t="inlineStr">
        <is>
          <t>Madrid</t>
        </is>
      </c>
      <c r="L176" s="604" t="inlineStr">
        <is>
          <t>Meco</t>
        </is>
      </c>
      <c r="M176" s="606" t="inlineStr">
        <is>
          <t>R</t>
        </is>
      </c>
      <c r="N176" s="606" t="inlineStr">
        <is>
          <t>ESP</t>
        </is>
      </c>
      <c r="O176" s="633" t="inlineStr">
        <is>
          <t>--</t>
        </is>
      </c>
      <c r="P176" s="633" t="inlineStr">
        <is>
          <t>--</t>
        </is>
      </c>
      <c r="Q176" s="606" t="inlineStr">
        <is>
          <t>EUR</t>
        </is>
      </c>
      <c r="R176" s="640" t="inlineStr">
        <is>
          <t>01</t>
        </is>
      </c>
      <c r="S176" s="339" t="inlineStr">
        <is>
          <t>FALSE</t>
        </is>
      </c>
      <c r="T176" s="1" t="inlineStr">
        <is>
          <t xml:space="preserve"> </t>
        </is>
      </c>
      <c r="U176" s="608" t="inlineStr">
        <is>
          <t>https://www.facturantia.com/API/proformas_receptor.php</t>
        </is>
      </c>
      <c r="V176" s="609" t="n">
        <v>6666</v>
      </c>
      <c r="W176" s="610" t="inlineStr">
        <is>
          <t>facturacion@abalados.es</t>
        </is>
      </c>
      <c r="X176" s="609" t="n">
        <v>762687769</v>
      </c>
      <c r="Z176" s="624" t="n"/>
    </row>
    <row r="177" ht="15" customHeight="1" s="700">
      <c r="A177" s="339" t="inlineStr">
        <is>
          <t>J</t>
        </is>
      </c>
      <c r="B177" s="1" t="inlineStr">
        <is>
          <t>ALDARIS WORLD, S.L.</t>
        </is>
      </c>
      <c r="C177" s="1" t="inlineStr">
        <is>
          <t>CIF B91838243</t>
        </is>
      </c>
      <c r="D177" s="1" t="inlineStr">
        <is>
          <t>2023-013</t>
        </is>
      </c>
      <c r="E177" s="339" t="n">
        <v>0</v>
      </c>
      <c r="F177" s="601">
        <f>IF( OR(ISNUMBER(SEARCH("NIF",C177)),ISNUMBER(SEARCH("CIF",C177)),ISNUMBER(SEARCH("NIE",C177))), MID(C177,5,LEN(C177)), C177)</f>
        <v/>
      </c>
      <c r="G177" s="339" t="inlineStr">
        <is>
          <t>nif</t>
        </is>
      </c>
      <c r="H177" s="602">
        <f>F177</f>
        <v/>
      </c>
      <c r="I177" s="603">
        <f>VLOOKUP(B177,DATOS!B:D,3,FALSE)</f>
        <v/>
      </c>
      <c r="J177" s="603">
        <f>MID(VLOOKUP(B177,DATOS!B:E,4,FALSE),1,5)</f>
        <v/>
      </c>
      <c r="K177" s="603">
        <f>MID(VLOOKUP(B177,DATOS!B:E,4,FALSE),7,LEN(VLOOKUP(B177,DATOS!B:E,4,FALSE)))</f>
        <v/>
      </c>
      <c r="L177" s="603">
        <f>K177</f>
        <v/>
      </c>
      <c r="M177" s="606" t="inlineStr">
        <is>
          <t>R</t>
        </is>
      </c>
      <c r="N177" s="606" t="inlineStr">
        <is>
          <t>ESP</t>
        </is>
      </c>
      <c r="O177" s="633" t="inlineStr">
        <is>
          <t>--</t>
        </is>
      </c>
      <c r="P177" s="633" t="inlineStr">
        <is>
          <t>--</t>
        </is>
      </c>
      <c r="Q177" s="606" t="inlineStr">
        <is>
          <t>EUR</t>
        </is>
      </c>
      <c r="R177" s="640" t="inlineStr">
        <is>
          <t>01</t>
        </is>
      </c>
      <c r="S177" s="339" t="inlineStr">
        <is>
          <t>FALSE</t>
        </is>
      </c>
      <c r="T177" s="1" t="inlineStr">
        <is>
          <t xml:space="preserve"> </t>
        </is>
      </c>
      <c r="U177" s="608" t="inlineStr">
        <is>
          <t>https://www.facturantia.com/API/proformas_receptor.php</t>
        </is>
      </c>
      <c r="V177" s="609" t="n">
        <v>6666</v>
      </c>
      <c r="W177" s="610" t="inlineStr">
        <is>
          <t>facturacion@abalados.es</t>
        </is>
      </c>
      <c r="X177" s="609" t="n">
        <v>762687769</v>
      </c>
      <c r="Z177" s="624" t="n"/>
    </row>
    <row r="178" ht="15" customHeight="1" s="700">
      <c r="A178" s="339" t="inlineStr">
        <is>
          <t>J</t>
        </is>
      </c>
      <c r="B178" s="1" t="inlineStr">
        <is>
          <t>LESMONT KAPITAL, S.L.</t>
        </is>
      </c>
      <c r="C178" s="1" t="inlineStr">
        <is>
          <t>CIF B90034125</t>
        </is>
      </c>
      <c r="D178" s="1" t="inlineStr">
        <is>
          <t>2023-014</t>
        </is>
      </c>
      <c r="E178" s="339" t="n">
        <v>0</v>
      </c>
      <c r="F178" s="601">
        <f>IF( OR(ISNUMBER(SEARCH("NIF",C178)),ISNUMBER(SEARCH("CIF",C178)),ISNUMBER(SEARCH("NIE",C178))), MID(C178,5,LEN(C178)), C178)</f>
        <v/>
      </c>
      <c r="G178" s="339" t="inlineStr">
        <is>
          <t>nif</t>
        </is>
      </c>
      <c r="H178" s="602">
        <f>F178</f>
        <v/>
      </c>
      <c r="I178" s="603">
        <f>VLOOKUP(B178,DATOS!B:D,3,FALSE)</f>
        <v/>
      </c>
      <c r="J178" s="603">
        <f>MID(VLOOKUP(B178,DATOS!B:E,4,FALSE),1,5)</f>
        <v/>
      </c>
      <c r="K178" s="604" t="inlineStr">
        <is>
          <t>Sevilla</t>
        </is>
      </c>
      <c r="L178" s="604" t="inlineStr">
        <is>
          <t>Bollullos de la Mitación</t>
        </is>
      </c>
      <c r="M178" s="606" t="inlineStr">
        <is>
          <t>R</t>
        </is>
      </c>
      <c r="N178" s="606" t="inlineStr">
        <is>
          <t>ESP</t>
        </is>
      </c>
      <c r="O178" s="633" t="inlineStr">
        <is>
          <t>--</t>
        </is>
      </c>
      <c r="P178" s="633" t="inlineStr">
        <is>
          <t>--</t>
        </is>
      </c>
      <c r="Q178" s="606" t="inlineStr">
        <is>
          <t>EUR</t>
        </is>
      </c>
      <c r="R178" s="640" t="inlineStr">
        <is>
          <t>01</t>
        </is>
      </c>
      <c r="S178" s="339" t="inlineStr">
        <is>
          <t>FALSE</t>
        </is>
      </c>
      <c r="T178" s="1" t="inlineStr">
        <is>
          <t xml:space="preserve"> </t>
        </is>
      </c>
      <c r="U178" s="608" t="inlineStr">
        <is>
          <t>https://www.facturantia.com/API/proformas_receptor.php</t>
        </is>
      </c>
      <c r="V178" s="609" t="n">
        <v>6666</v>
      </c>
      <c r="W178" s="610" t="inlineStr">
        <is>
          <t>facturacion@abalados.es</t>
        </is>
      </c>
      <c r="X178" s="609" t="n">
        <v>762687769</v>
      </c>
      <c r="Z178" s="624" t="n"/>
    </row>
    <row r="179" ht="15" customHeight="1" s="700">
      <c r="A179" s="339" t="inlineStr">
        <is>
          <t>J</t>
        </is>
      </c>
      <c r="B179" s="1" t="inlineStr">
        <is>
          <t>ALMENAVE INVERSIONES, S.L.</t>
        </is>
      </c>
      <c r="C179" s="1" t="inlineStr">
        <is>
          <t>CIF B90008517</t>
        </is>
      </c>
      <c r="D179" s="1" t="inlineStr">
        <is>
          <t>2023-015</t>
        </is>
      </c>
      <c r="E179" s="339" t="n">
        <v>0</v>
      </c>
      <c r="F179" s="601">
        <f>IF( OR(ISNUMBER(SEARCH("NIF",C179)),ISNUMBER(SEARCH("CIF",C179)),ISNUMBER(SEARCH("NIE",C179))), MID(C179,5,LEN(C179)), C179)</f>
        <v/>
      </c>
      <c r="G179" s="339" t="inlineStr">
        <is>
          <t>nif</t>
        </is>
      </c>
      <c r="H179" s="602">
        <f>F179</f>
        <v/>
      </c>
      <c r="I179" s="603">
        <f>VLOOKUP(B179,DATOS!B:D,3,FALSE)</f>
        <v/>
      </c>
      <c r="J179" s="603">
        <f>MID(VLOOKUP(B179,DATOS!B:E,4,FALSE),1,5)</f>
        <v/>
      </c>
      <c r="K179" s="603">
        <f>MID(VLOOKUP(B179,DATOS!B:E,4,FALSE),7,LEN(VLOOKUP(B179,DATOS!B:E,4,FALSE)))</f>
        <v/>
      </c>
      <c r="L179" s="603">
        <f>K179</f>
        <v/>
      </c>
      <c r="M179" s="606" t="inlineStr">
        <is>
          <t>R</t>
        </is>
      </c>
      <c r="N179" s="606" t="inlineStr">
        <is>
          <t>ESP</t>
        </is>
      </c>
      <c r="O179" s="633" t="inlineStr">
        <is>
          <t>--</t>
        </is>
      </c>
      <c r="P179" s="633" t="inlineStr">
        <is>
          <t>--</t>
        </is>
      </c>
      <c r="Q179" s="606" t="inlineStr">
        <is>
          <t>EUR</t>
        </is>
      </c>
      <c r="R179" s="640" t="inlineStr">
        <is>
          <t>01</t>
        </is>
      </c>
      <c r="S179" s="339" t="inlineStr">
        <is>
          <t>FALSE</t>
        </is>
      </c>
      <c r="T179" s="1" t="inlineStr">
        <is>
          <t xml:space="preserve"> </t>
        </is>
      </c>
      <c r="U179" s="608" t="inlineStr">
        <is>
          <t>https://www.facturantia.com/API/proformas_receptor.php</t>
        </is>
      </c>
      <c r="V179" s="609" t="n">
        <v>6666</v>
      </c>
      <c r="W179" s="610" t="inlineStr">
        <is>
          <t>facturacion@abalados.es</t>
        </is>
      </c>
      <c r="X179" s="609" t="n">
        <v>762687769</v>
      </c>
      <c r="Z179" s="624" t="n"/>
    </row>
    <row r="180" ht="15" customHeight="1" s="700">
      <c r="A180" s="635" t="inlineStr">
        <is>
          <t>J</t>
        </is>
      </c>
      <c r="B180" s="1" t="inlineStr">
        <is>
          <t>Toro Renovables, S.L.</t>
        </is>
      </c>
      <c r="C180" s="1" t="inlineStr">
        <is>
          <t>CIF B16723512</t>
        </is>
      </c>
      <c r="D180" s="1" t="inlineStr">
        <is>
          <t>2023-016</t>
        </is>
      </c>
      <c r="E180" s="598" t="n">
        <v>0.08</v>
      </c>
      <c r="F180" s="601">
        <f>IF( OR(ISNUMBER(SEARCH("NIF",C180)),ISNUMBER(SEARCH("CIF",C180)),ISNUMBER(SEARCH("NIE",C180))), MID(C180,5,LEN(C180)), C180)</f>
        <v/>
      </c>
      <c r="G180" s="339" t="inlineStr">
        <is>
          <t>nif</t>
        </is>
      </c>
      <c r="H180" s="602">
        <f>F180</f>
        <v/>
      </c>
      <c r="I180" s="603">
        <f>VLOOKUP(B180,DATOS!B:D,3,FALSE)</f>
        <v/>
      </c>
      <c r="J180" s="603">
        <f>MID(VLOOKUP(B180,DATOS!B:E,4,FALSE),1,5)</f>
        <v/>
      </c>
      <c r="K180" s="603">
        <f>MID(VLOOKUP(B180,DATOS!B:E,4,FALSE),7,LEN(VLOOKUP(B180,DATOS!B:E,4,FALSE)))</f>
        <v/>
      </c>
      <c r="L180" s="603">
        <f>K180</f>
        <v/>
      </c>
      <c r="M180" s="606" t="inlineStr">
        <is>
          <t>R</t>
        </is>
      </c>
      <c r="N180" s="606" t="inlineStr">
        <is>
          <t>ESP</t>
        </is>
      </c>
      <c r="O180" s="619" t="inlineStr">
        <is>
          <t>ES8621002931990200781867</t>
        </is>
      </c>
      <c r="P180" s="365" t="inlineStr">
        <is>
          <t>CAIXESBBXXX</t>
        </is>
      </c>
      <c r="Q180" s="606" t="inlineStr">
        <is>
          <t>EUR</t>
        </is>
      </c>
      <c r="R180" s="640" t="inlineStr">
        <is>
          <t>01</t>
        </is>
      </c>
      <c r="S180" s="339" t="inlineStr">
        <is>
          <t>FALSE</t>
        </is>
      </c>
      <c r="T180" s="1" t="inlineStr">
        <is>
          <t xml:space="preserve"> </t>
        </is>
      </c>
      <c r="U180" s="608" t="inlineStr">
        <is>
          <t>https://www.facturantia.com/API/proformas_receptor.php</t>
        </is>
      </c>
      <c r="V180" s="609" t="n">
        <v>6666</v>
      </c>
      <c r="W180" s="610" t="inlineStr">
        <is>
          <t>facturacion@abalados.es</t>
        </is>
      </c>
      <c r="X180" s="609" t="n">
        <v>762687769</v>
      </c>
      <c r="Z180" s="624" t="n">
        <v>45951</v>
      </c>
    </row>
    <row r="181" ht="15" customHeight="1" s="700">
      <c r="A181" s="635" t="inlineStr">
        <is>
          <t>J</t>
        </is>
      </c>
      <c r="B181" s="1" t="inlineStr">
        <is>
          <t>Renovables Brovales Segura de León 400 kV, S.L.</t>
        </is>
      </c>
      <c r="C181" s="1" t="inlineStr">
        <is>
          <t>CIF B44670412</t>
        </is>
      </c>
      <c r="D181" s="1" t="inlineStr">
        <is>
          <t>2023-017</t>
        </is>
      </c>
      <c r="E181" s="598" t="n">
        <v>0.08</v>
      </c>
      <c r="F181" s="601">
        <f>IF( OR(ISNUMBER(SEARCH("NIF",C181)),ISNUMBER(SEARCH("CIF",C181)),ISNUMBER(SEARCH("NIE",C181))), MID(C181,5,LEN(C181)), C181)</f>
        <v/>
      </c>
      <c r="G181" s="339" t="inlineStr">
        <is>
          <t>nif</t>
        </is>
      </c>
      <c r="H181" s="602">
        <f>F181</f>
        <v/>
      </c>
      <c r="I181" s="603">
        <f>VLOOKUP(B181,DATOS!B:D,3,FALSE)</f>
        <v/>
      </c>
      <c r="J181" s="603">
        <f>MID(VLOOKUP(B181,DATOS!B:E,4,FALSE),1,5)</f>
        <v/>
      </c>
      <c r="K181" s="603">
        <f>MID(VLOOKUP(B181,DATOS!B:E,4,FALSE),7,LEN(VLOOKUP(B181,DATOS!B:E,4,FALSE)))</f>
        <v/>
      </c>
      <c r="L181" s="603">
        <f>K181</f>
        <v/>
      </c>
      <c r="M181" s="606" t="inlineStr">
        <is>
          <t>R</t>
        </is>
      </c>
      <c r="N181" s="606" t="inlineStr">
        <is>
          <t>ESP</t>
        </is>
      </c>
      <c r="O181" s="619" t="inlineStr">
        <is>
          <t>ES2100810225180003233735</t>
        </is>
      </c>
      <c r="P181" s="365" t="inlineStr">
        <is>
          <t>BSABESBBXXX</t>
        </is>
      </c>
      <c r="Q181" s="606" t="inlineStr">
        <is>
          <t>EUR</t>
        </is>
      </c>
      <c r="R181" s="640" t="inlineStr">
        <is>
          <t>01</t>
        </is>
      </c>
      <c r="S181" s="339" t="inlineStr">
        <is>
          <t>FALSE</t>
        </is>
      </c>
      <c r="T181" s="1" t="inlineStr">
        <is>
          <t xml:space="preserve"> </t>
        </is>
      </c>
      <c r="U181" s="608" t="inlineStr">
        <is>
          <t>https://www.facturantia.com/API/proformas_receptor.php</t>
        </is>
      </c>
      <c r="V181" s="609" t="n">
        <v>6666</v>
      </c>
      <c r="W181" s="610" t="inlineStr">
        <is>
          <t>facturacion@abalados.es</t>
        </is>
      </c>
      <c r="X181" s="609" t="n">
        <v>762687769</v>
      </c>
      <c r="Z181" s="624" t="n">
        <v>45951</v>
      </c>
    </row>
    <row r="182" ht="15" customHeight="1" s="700">
      <c r="A182" s="635" t="inlineStr">
        <is>
          <t>J</t>
        </is>
      </c>
      <c r="B182" s="1" t="inlineStr">
        <is>
          <t>Promotores Benejama Generación, S.L.</t>
        </is>
      </c>
      <c r="C182" s="1" t="inlineStr">
        <is>
          <t>CIF B44912285</t>
        </is>
      </c>
      <c r="D182" s="1" t="inlineStr">
        <is>
          <t>2023-018</t>
        </is>
      </c>
      <c r="E182" s="598" t="n">
        <v>0.08</v>
      </c>
      <c r="F182" s="601">
        <f>IF( OR(ISNUMBER(SEARCH("NIF",C182)),ISNUMBER(SEARCH("CIF",C182)),ISNUMBER(SEARCH("NIE",C182))), MID(C182,5,LEN(C182)), C182)</f>
        <v/>
      </c>
      <c r="G182" s="339" t="inlineStr">
        <is>
          <t>nif</t>
        </is>
      </c>
      <c r="H182" s="602">
        <f>F182</f>
        <v/>
      </c>
      <c r="I182" s="603">
        <f>VLOOKUP(B182,DATOS!B:D,3,FALSE)</f>
        <v/>
      </c>
      <c r="J182" s="603">
        <f>MID(VLOOKUP(B182,DATOS!B:E,4,FALSE),1,5)</f>
        <v/>
      </c>
      <c r="K182" s="603">
        <f>MID(VLOOKUP(B182,DATOS!B:E,4,FALSE),7,LEN(VLOOKUP(B182,DATOS!B:E,4,FALSE)))</f>
        <v/>
      </c>
      <c r="L182" s="603">
        <f>K182</f>
        <v/>
      </c>
      <c r="M182" s="606" t="inlineStr">
        <is>
          <t>R</t>
        </is>
      </c>
      <c r="N182" s="606" t="inlineStr">
        <is>
          <t>ESP</t>
        </is>
      </c>
      <c r="O182" s="619" t="inlineStr">
        <is>
          <t>ES1721002931990200917357</t>
        </is>
      </c>
      <c r="P182" s="365" t="inlineStr">
        <is>
          <t>CAIXESBBXXX</t>
        </is>
      </c>
      <c r="Q182" s="606" t="inlineStr">
        <is>
          <t>EUR</t>
        </is>
      </c>
      <c r="R182" s="640" t="inlineStr">
        <is>
          <t>01</t>
        </is>
      </c>
      <c r="S182" s="339" t="inlineStr">
        <is>
          <t>FALSE</t>
        </is>
      </c>
      <c r="T182" s="1" t="inlineStr">
        <is>
          <t xml:space="preserve"> </t>
        </is>
      </c>
      <c r="U182" s="608" t="inlineStr">
        <is>
          <t>https://www.facturantia.com/API/proformas_receptor.php</t>
        </is>
      </c>
      <c r="V182" s="609" t="n">
        <v>6666</v>
      </c>
      <c r="W182" s="610" t="inlineStr">
        <is>
          <t>facturacion@abalados.es</t>
        </is>
      </c>
      <c r="X182" s="609" t="n">
        <v>762687769</v>
      </c>
      <c r="Z182" s="624" t="n">
        <v>45951</v>
      </c>
    </row>
    <row r="183" ht="15" customHeight="1" s="700">
      <c r="A183" s="635" t="inlineStr">
        <is>
          <t>J</t>
        </is>
      </c>
      <c r="B183" s="1" t="inlineStr">
        <is>
          <t>ICE Santa Engracia, S.L.</t>
        </is>
      </c>
      <c r="C183" s="1" t="inlineStr">
        <is>
          <t>CIF B44854842</t>
        </is>
      </c>
      <c r="D183" s="1" t="inlineStr">
        <is>
          <t>2023-019</t>
        </is>
      </c>
      <c r="E183" s="598" t="n">
        <v>0.08</v>
      </c>
      <c r="F183" s="601">
        <f>IF( OR(ISNUMBER(SEARCH("NIF",C183)),ISNUMBER(SEARCH("CIF",C183)),ISNUMBER(SEARCH("NIE",C183))), MID(C183,5,LEN(C183)), C183)</f>
        <v/>
      </c>
      <c r="G183" s="339" t="inlineStr">
        <is>
          <t>nif</t>
        </is>
      </c>
      <c r="H183" s="602">
        <f>F183</f>
        <v/>
      </c>
      <c r="I183" s="603">
        <f>VLOOKUP(B183,DATOS!B:D,3,FALSE)</f>
        <v/>
      </c>
      <c r="J183" s="603">
        <f>MID(VLOOKUP(B183,DATOS!B:E,4,FALSE),1,5)</f>
        <v/>
      </c>
      <c r="K183" s="604" t="inlineStr">
        <is>
          <t>La Rioja</t>
        </is>
      </c>
      <c r="L183" s="604" t="inlineStr">
        <is>
          <t>Logroño</t>
        </is>
      </c>
      <c r="M183" s="606" t="inlineStr">
        <is>
          <t>R</t>
        </is>
      </c>
      <c r="N183" s="606" t="inlineStr">
        <is>
          <t>ESP</t>
        </is>
      </c>
      <c r="O183" s="619" t="inlineStr">
        <is>
          <t>ES4100495147442116615560</t>
        </is>
      </c>
      <c r="P183" s="365" t="inlineStr">
        <is>
          <t>BSCHESMMXXX</t>
        </is>
      </c>
      <c r="Q183" s="606" t="inlineStr">
        <is>
          <t>EUR</t>
        </is>
      </c>
      <c r="R183" s="640" t="inlineStr">
        <is>
          <t>01</t>
        </is>
      </c>
      <c r="S183" s="339" t="inlineStr">
        <is>
          <t>FALSE</t>
        </is>
      </c>
      <c r="T183" s="1" t="inlineStr">
        <is>
          <t xml:space="preserve"> </t>
        </is>
      </c>
      <c r="U183" s="608" t="inlineStr">
        <is>
          <t>https://www.facturantia.com/API/proformas_receptor.php</t>
        </is>
      </c>
      <c r="V183" s="609" t="n">
        <v>6666</v>
      </c>
      <c r="W183" s="610" t="inlineStr">
        <is>
          <t>facturacion@abalados.es</t>
        </is>
      </c>
      <c r="X183" s="609" t="n">
        <v>762687769</v>
      </c>
      <c r="Z183" s="624" t="n">
        <v>45951</v>
      </c>
    </row>
    <row r="184" ht="15" customHeight="1" s="700">
      <c r="A184" s="635" t="inlineStr">
        <is>
          <t>J</t>
        </is>
      </c>
      <c r="B184" s="1" t="inlineStr">
        <is>
          <t>aBalados Recycling, S.L.</t>
        </is>
      </c>
      <c r="C184" s="1" t="inlineStr">
        <is>
          <t>CIF B16867533</t>
        </is>
      </c>
      <c r="D184" s="1" t="inlineStr">
        <is>
          <t>2023-020</t>
        </is>
      </c>
      <c r="E184" s="339" t="n">
        <v>0</v>
      </c>
      <c r="F184" s="601">
        <f>IF( OR(ISNUMBER(SEARCH("NIF",C184)),ISNUMBER(SEARCH("CIF",C184)),ISNUMBER(SEARCH("NIE",C184))), MID(C184,5,LEN(C184)), C184)</f>
        <v/>
      </c>
      <c r="G184" s="339" t="inlineStr">
        <is>
          <t>nif</t>
        </is>
      </c>
      <c r="H184" s="602">
        <f>F184</f>
        <v/>
      </c>
      <c r="I184" s="603">
        <f>VLOOKUP(B184,DATOS!B:D,3,FALSE)</f>
        <v/>
      </c>
      <c r="J184" s="603">
        <f>MID(VLOOKUP(B184,DATOS!B:E,4,FALSE),1,5)</f>
        <v/>
      </c>
      <c r="K184" s="603">
        <f>MID(VLOOKUP(B184,DATOS!B:E,4,FALSE),7,LEN(VLOOKUP(B184,DATOS!B:E,4,FALSE)))</f>
        <v/>
      </c>
      <c r="L184" s="603">
        <f>K184</f>
        <v/>
      </c>
      <c r="M184" s="606" t="inlineStr">
        <is>
          <t>R</t>
        </is>
      </c>
      <c r="N184" s="606" t="inlineStr">
        <is>
          <t>ESP</t>
        </is>
      </c>
      <c r="O184" s="365" t="inlineStr">
        <is>
          <t>ES5120803509113040096395</t>
        </is>
      </c>
      <c r="P184" s="365" t="inlineStr">
        <is>
          <t>CAGLESMMXXX</t>
        </is>
      </c>
      <c r="Q184" s="606" t="inlineStr">
        <is>
          <t>EUR</t>
        </is>
      </c>
      <c r="R184" s="640" t="inlineStr">
        <is>
          <t>01</t>
        </is>
      </c>
      <c r="S184" s="339" t="inlineStr">
        <is>
          <t>FALSE</t>
        </is>
      </c>
      <c r="T184" s="1" t="inlineStr">
        <is>
          <t xml:space="preserve"> </t>
        </is>
      </c>
      <c r="U184" s="608" t="inlineStr">
        <is>
          <t>https://www.facturantia.com/API/proformas_receptor.php</t>
        </is>
      </c>
      <c r="V184" s="609" t="n">
        <v>6666</v>
      </c>
      <c r="W184" s="610" t="inlineStr">
        <is>
          <t>facturacion@abalados.es</t>
        </is>
      </c>
      <c r="X184" s="609" t="n">
        <v>762687769</v>
      </c>
      <c r="Z184" s="624" t="n">
        <v>45951</v>
      </c>
    </row>
    <row r="185" ht="15" customHeight="1" s="700">
      <c r="A185" s="339" t="inlineStr">
        <is>
          <t>J</t>
        </is>
      </c>
      <c r="B185" s="1" t="inlineStr">
        <is>
          <t>EKHI ENERGY S.L.U.</t>
        </is>
      </c>
      <c r="C185" s="1" t="inlineStr">
        <is>
          <t>CIF B88278098</t>
        </is>
      </c>
      <c r="D185" s="1" t="inlineStr">
        <is>
          <t>2023-021</t>
        </is>
      </c>
      <c r="E185" s="339" t="n">
        <v>0</v>
      </c>
      <c r="F185" s="601">
        <f>IF( OR(ISNUMBER(SEARCH("NIF",C185)),ISNUMBER(SEARCH("CIF",C185)),ISNUMBER(SEARCH("NIE",C185))), MID(C185,5,LEN(C185)), C185)</f>
        <v/>
      </c>
      <c r="G185" s="339" t="inlineStr">
        <is>
          <t>nif</t>
        </is>
      </c>
      <c r="H185" s="602">
        <f>F185</f>
        <v/>
      </c>
      <c r="I185" s="603">
        <f>VLOOKUP(B185,DATOS!B:D,3,FALSE)</f>
        <v/>
      </c>
      <c r="J185" s="603">
        <f>MID(VLOOKUP(B185,DATOS!B:E,4,FALSE),1,5)</f>
        <v/>
      </c>
      <c r="K185" s="603">
        <f>MID(VLOOKUP(B185,DATOS!B:E,4,FALSE),7,LEN(VLOOKUP(B185,DATOS!B:E,4,FALSE)))</f>
        <v/>
      </c>
      <c r="L185" s="603">
        <f>K185</f>
        <v/>
      </c>
      <c r="M185" s="606" t="inlineStr">
        <is>
          <t>R</t>
        </is>
      </c>
      <c r="N185" s="606" t="inlineStr">
        <is>
          <t>ESP</t>
        </is>
      </c>
      <c r="O185" s="633" t="inlineStr">
        <is>
          <t>--</t>
        </is>
      </c>
      <c r="P185" s="633" t="inlineStr">
        <is>
          <t>--</t>
        </is>
      </c>
      <c r="Q185" s="606" t="inlineStr">
        <is>
          <t>EUR</t>
        </is>
      </c>
      <c r="R185" s="640" t="inlineStr">
        <is>
          <t>01</t>
        </is>
      </c>
      <c r="S185" s="339" t="inlineStr">
        <is>
          <t>FALSE</t>
        </is>
      </c>
      <c r="T185" s="1" t="inlineStr">
        <is>
          <t xml:space="preserve"> </t>
        </is>
      </c>
      <c r="U185" s="608" t="inlineStr">
        <is>
          <t>https://www.facturantia.com/API/proformas_receptor.php</t>
        </is>
      </c>
      <c r="V185" s="609" t="n">
        <v>6666</v>
      </c>
      <c r="W185" s="610" t="inlineStr">
        <is>
          <t>facturacion@abalados.es</t>
        </is>
      </c>
      <c r="X185" s="609" t="n">
        <v>762687769</v>
      </c>
      <c r="Z185" s="624" t="n"/>
    </row>
    <row r="186" ht="15" customHeight="1" s="700">
      <c r="A186" s="635" t="inlineStr">
        <is>
          <t>J</t>
        </is>
      </c>
      <c r="B186" s="1" t="inlineStr">
        <is>
          <t>Maria Renovables, S.L.</t>
        </is>
      </c>
      <c r="C186" s="1" t="inlineStr">
        <is>
          <t>CIF B44834927</t>
        </is>
      </c>
      <c r="D186" s="1" t="inlineStr">
        <is>
          <t>2023-022</t>
        </is>
      </c>
      <c r="E186" s="598" t="n">
        <v>0.08</v>
      </c>
      <c r="F186" s="601">
        <f>IF( OR(ISNUMBER(SEARCH("NIF",C186)),ISNUMBER(SEARCH("CIF",C186)),ISNUMBER(SEARCH("NIE",C186))), MID(C186,5,LEN(C186)), C186)</f>
        <v/>
      </c>
      <c r="G186" s="339" t="inlineStr">
        <is>
          <t>nif</t>
        </is>
      </c>
      <c r="H186" s="602">
        <f>F186</f>
        <v/>
      </c>
      <c r="I186" s="603">
        <f>VLOOKUP(B186,DATOS!B:D,3,FALSE)</f>
        <v/>
      </c>
      <c r="J186" s="603">
        <f>MID(VLOOKUP(B186,DATOS!B:E,4,FALSE),1,5)</f>
        <v/>
      </c>
      <c r="K186" s="603">
        <f>MID(VLOOKUP(B186,DATOS!B:E,4,FALSE),7,LEN(VLOOKUP(B186,DATOS!B:E,4,FALSE)))</f>
        <v/>
      </c>
      <c r="L186" s="603">
        <f>K186</f>
        <v/>
      </c>
      <c r="M186" s="606" t="inlineStr">
        <is>
          <t>R</t>
        </is>
      </c>
      <c r="N186" s="606" t="inlineStr">
        <is>
          <t>ESP</t>
        </is>
      </c>
      <c r="O186" s="619" t="inlineStr">
        <is>
          <t>ES7800810225150003252838</t>
        </is>
      </c>
      <c r="P186" s="365" t="inlineStr">
        <is>
          <t>BSABESBBXXX</t>
        </is>
      </c>
      <c r="Q186" s="606" t="inlineStr">
        <is>
          <t>EUR</t>
        </is>
      </c>
      <c r="R186" s="640" t="inlineStr">
        <is>
          <t>01</t>
        </is>
      </c>
      <c r="S186" s="339" t="inlineStr">
        <is>
          <t>FALSE</t>
        </is>
      </c>
      <c r="T186" s="1" t="inlineStr">
        <is>
          <t xml:space="preserve"> </t>
        </is>
      </c>
      <c r="U186" s="608" t="inlineStr">
        <is>
          <t>https://www.facturantia.com/API/proformas_receptor.php</t>
        </is>
      </c>
      <c r="V186" s="609" t="n">
        <v>6666</v>
      </c>
      <c r="W186" s="610" t="inlineStr">
        <is>
          <t>facturacion@abalados.es</t>
        </is>
      </c>
      <c r="X186" s="609" t="n">
        <v>762687769</v>
      </c>
      <c r="Z186" s="624" t="n">
        <v>45951</v>
      </c>
    </row>
    <row r="187" ht="15" customHeight="1" s="700">
      <c r="A187" s="635" t="inlineStr">
        <is>
          <t>J</t>
        </is>
      </c>
      <c r="B187" s="1" t="inlineStr">
        <is>
          <t>Nudo SE Zaratan 220 kV, S.L.</t>
        </is>
      </c>
      <c r="C187" s="1" t="inlineStr">
        <is>
          <t>CIF B44796217</t>
        </is>
      </c>
      <c r="D187" s="1" t="inlineStr">
        <is>
          <t>2023-023</t>
        </is>
      </c>
      <c r="E187" s="598" t="n">
        <v>0.08</v>
      </c>
      <c r="F187" s="601">
        <f>IF( OR(ISNUMBER(SEARCH("NIF",C187)),ISNUMBER(SEARCH("CIF",C187)),ISNUMBER(SEARCH("NIE",C187))), MID(C187,5,LEN(C187)), C187)</f>
        <v/>
      </c>
      <c r="G187" s="339" t="inlineStr">
        <is>
          <t>nif</t>
        </is>
      </c>
      <c r="H187" s="602">
        <f>F187</f>
        <v/>
      </c>
      <c r="I187" s="603">
        <f>VLOOKUP(B187,DATOS!B:D,3,FALSE)</f>
        <v/>
      </c>
      <c r="J187" s="603">
        <f>MID(VLOOKUP(B187,DATOS!B:E,4,FALSE),1,5)</f>
        <v/>
      </c>
      <c r="K187" s="603">
        <f>MID(VLOOKUP(B187,DATOS!B:E,4,FALSE),7,LEN(VLOOKUP(B187,DATOS!B:E,4,FALSE)))</f>
        <v/>
      </c>
      <c r="L187" s="603">
        <f>K187</f>
        <v/>
      </c>
      <c r="M187" s="606" t="inlineStr">
        <is>
          <t>R</t>
        </is>
      </c>
      <c r="N187" s="606" t="inlineStr">
        <is>
          <t>ESP</t>
        </is>
      </c>
      <c r="O187" s="619" t="inlineStr">
        <is>
          <t>ES2601289471800100014586</t>
        </is>
      </c>
      <c r="P187" s="619" t="inlineStr">
        <is>
          <t>BKBKESMMXXX</t>
        </is>
      </c>
      <c r="Q187" s="606" t="inlineStr">
        <is>
          <t>EUR</t>
        </is>
      </c>
      <c r="R187" s="640" t="inlineStr">
        <is>
          <t>01</t>
        </is>
      </c>
      <c r="S187" s="339" t="inlineStr">
        <is>
          <t>FALSE</t>
        </is>
      </c>
      <c r="T187" s="1" t="inlineStr">
        <is>
          <t xml:space="preserve"> </t>
        </is>
      </c>
      <c r="U187" s="608" t="inlineStr">
        <is>
          <t>https://www.facturantia.com/API/proformas_receptor.php</t>
        </is>
      </c>
      <c r="V187" s="609" t="n">
        <v>6666</v>
      </c>
      <c r="W187" s="610" t="inlineStr">
        <is>
          <t>facturacion@abalados.es</t>
        </is>
      </c>
      <c r="X187" s="609" t="n">
        <v>762687769</v>
      </c>
      <c r="Z187" s="624" t="n">
        <v>45951</v>
      </c>
    </row>
    <row r="188" ht="15" customHeight="1" s="700">
      <c r="A188" s="635" t="inlineStr">
        <is>
          <t>J</t>
        </is>
      </c>
      <c r="B188" s="1" t="inlineStr">
        <is>
          <t>Promotores Benejama Colectora, S.L.</t>
        </is>
      </c>
      <c r="C188" s="1" t="inlineStr">
        <is>
          <t>CIF B44912293</t>
        </is>
      </c>
      <c r="D188" s="1" t="inlineStr">
        <is>
          <t>2023-024</t>
        </is>
      </c>
      <c r="E188" s="598" t="n">
        <v>0.08</v>
      </c>
      <c r="F188" s="601">
        <f>IF( OR(ISNUMBER(SEARCH("NIF",C188)),ISNUMBER(SEARCH("CIF",C188)),ISNUMBER(SEARCH("NIE",C188))), MID(C188,5,LEN(C188)), C188)</f>
        <v/>
      </c>
      <c r="G188" s="339" t="inlineStr">
        <is>
          <t>nif</t>
        </is>
      </c>
      <c r="H188" s="602">
        <f>F188</f>
        <v/>
      </c>
      <c r="I188" s="603">
        <f>VLOOKUP(B188,DATOS!B:D,3,FALSE)</f>
        <v/>
      </c>
      <c r="J188" s="603">
        <f>MID(VLOOKUP(B188,DATOS!B:E,4,FALSE),1,5)</f>
        <v/>
      </c>
      <c r="K188" s="603">
        <f>MID(VLOOKUP(B188,DATOS!B:E,4,FALSE),7,LEN(VLOOKUP(B188,DATOS!B:E,4,FALSE)))</f>
        <v/>
      </c>
      <c r="L188" s="603">
        <f>K188</f>
        <v/>
      </c>
      <c r="M188" s="606" t="inlineStr">
        <is>
          <t>R</t>
        </is>
      </c>
      <c r="N188" s="606" t="inlineStr">
        <is>
          <t>ESP</t>
        </is>
      </c>
      <c r="O188" s="619" t="inlineStr">
        <is>
          <t>ES2721002931950200917470</t>
        </is>
      </c>
      <c r="P188" s="365" t="inlineStr">
        <is>
          <t>CAIXESBBXXX</t>
        </is>
      </c>
      <c r="Q188" s="606" t="inlineStr">
        <is>
          <t>EUR</t>
        </is>
      </c>
      <c r="R188" s="640" t="inlineStr">
        <is>
          <t>01</t>
        </is>
      </c>
      <c r="S188" s="339" t="inlineStr">
        <is>
          <t>FALSE</t>
        </is>
      </c>
      <c r="T188" s="1" t="inlineStr">
        <is>
          <t xml:space="preserve"> </t>
        </is>
      </c>
      <c r="U188" s="608" t="inlineStr">
        <is>
          <t>https://www.facturantia.com/API/proformas_receptor.php</t>
        </is>
      </c>
      <c r="V188" s="609" t="n">
        <v>6666</v>
      </c>
      <c r="W188" s="610" t="inlineStr">
        <is>
          <t>facturacion@abalados.es</t>
        </is>
      </c>
      <c r="X188" s="609" t="n">
        <v>762687769</v>
      </c>
      <c r="Z188" s="624" t="n">
        <v>45951</v>
      </c>
    </row>
    <row r="189" ht="15" customHeight="1" s="700">
      <c r="A189" s="635" t="inlineStr">
        <is>
          <t>J</t>
        </is>
      </c>
      <c r="B189" s="1" t="inlineStr">
        <is>
          <t>Becerril Renovables, S.L.</t>
        </is>
      </c>
      <c r="C189" s="1" t="inlineStr">
        <is>
          <t>CIF B06989537</t>
        </is>
      </c>
      <c r="D189" s="1" t="inlineStr">
        <is>
          <t>2023-025</t>
        </is>
      </c>
      <c r="E189" s="598" t="n">
        <v>0.08</v>
      </c>
      <c r="F189" s="601">
        <f>IF( OR(ISNUMBER(SEARCH("NIF",C189)),ISNUMBER(SEARCH("CIF",C189)),ISNUMBER(SEARCH("NIE",C189))), MID(C189,5,LEN(C189)), C189)</f>
        <v/>
      </c>
      <c r="G189" s="339" t="inlineStr">
        <is>
          <t>nif</t>
        </is>
      </c>
      <c r="H189" s="602">
        <f>F189</f>
        <v/>
      </c>
      <c r="I189" s="603">
        <f>VLOOKUP(B189,DATOS!B:D,3,FALSE)</f>
        <v/>
      </c>
      <c r="J189" s="603">
        <f>MID(VLOOKUP(B189,DATOS!B:E,4,FALSE),1,5)</f>
        <v/>
      </c>
      <c r="K189" s="603">
        <f>MID(VLOOKUP(B189,DATOS!B:E,4,FALSE),7,LEN(VLOOKUP(B189,DATOS!B:E,4,FALSE)))</f>
        <v/>
      </c>
      <c r="L189" s="603">
        <f>K189</f>
        <v/>
      </c>
      <c r="M189" s="606" t="inlineStr">
        <is>
          <t>R</t>
        </is>
      </c>
      <c r="N189" s="606" t="inlineStr">
        <is>
          <t>ESP</t>
        </is>
      </c>
      <c r="O189" s="619" t="inlineStr">
        <is>
          <t>ES3221002864081300503898</t>
        </is>
      </c>
      <c r="P189" s="365" t="inlineStr">
        <is>
          <t>CAIXESBBXXX</t>
        </is>
      </c>
      <c r="Q189" s="606" t="inlineStr">
        <is>
          <t>EUR</t>
        </is>
      </c>
      <c r="R189" s="640" t="inlineStr">
        <is>
          <t>01</t>
        </is>
      </c>
      <c r="S189" s="339" t="inlineStr">
        <is>
          <t>FALSE</t>
        </is>
      </c>
      <c r="T189" s="1" t="inlineStr">
        <is>
          <t xml:space="preserve"> </t>
        </is>
      </c>
      <c r="U189" s="608" t="inlineStr">
        <is>
          <t>https://www.facturantia.com/API/proformas_receptor.php</t>
        </is>
      </c>
      <c r="V189" s="609" t="n">
        <v>6666</v>
      </c>
      <c r="W189" s="610" t="inlineStr">
        <is>
          <t>facturacion@abalados.es</t>
        </is>
      </c>
      <c r="X189" s="609" t="n">
        <v>762687769</v>
      </c>
      <c r="Z189" s="624" t="n">
        <v>45951</v>
      </c>
    </row>
    <row r="190" ht="15" customHeight="1" s="700">
      <c r="A190" s="339" t="inlineStr">
        <is>
          <t>J</t>
        </is>
      </c>
      <c r="B190" s="1" t="inlineStr">
        <is>
          <t>Transformadora Almodóvar Renovables, S.L.</t>
        </is>
      </c>
      <c r="C190" s="1" t="inlineStr">
        <is>
          <t>CIF B72779663</t>
        </is>
      </c>
      <c r="D190" s="1" t="inlineStr">
        <is>
          <t>2023-026</t>
        </is>
      </c>
      <c r="E190" s="598" t="n">
        <v>0.08</v>
      </c>
      <c r="F190" s="601">
        <f>IF( OR(ISNUMBER(SEARCH("NIF",C190)),ISNUMBER(SEARCH("CIF",C190)),ISNUMBER(SEARCH("NIE",C190))), MID(C190,5,LEN(C190)), C190)</f>
        <v/>
      </c>
      <c r="G190" s="339" t="inlineStr">
        <is>
          <t>nif</t>
        </is>
      </c>
      <c r="H190" s="602">
        <f>F190</f>
        <v/>
      </c>
      <c r="I190" s="603">
        <f>VLOOKUP(B190,DATOS!B:D,3,FALSE)</f>
        <v/>
      </c>
      <c r="J190" s="603">
        <f>MID(VLOOKUP(B190,DATOS!B:E,4,FALSE),1,5)</f>
        <v/>
      </c>
      <c r="K190" s="603">
        <f>MID(VLOOKUP(B190,DATOS!B:E,4,FALSE),7,LEN(VLOOKUP(B190,DATOS!B:E,4,FALSE)))</f>
        <v/>
      </c>
      <c r="L190" s="603">
        <f>K190</f>
        <v/>
      </c>
      <c r="M190" s="606" t="inlineStr">
        <is>
          <t>R</t>
        </is>
      </c>
      <c r="N190" s="606" t="inlineStr">
        <is>
          <t>ESP</t>
        </is>
      </c>
      <c r="O190" s="619" t="inlineStr">
        <is>
          <t>ES7200494298772814005519</t>
        </is>
      </c>
      <c r="P190" s="365" t="inlineStr">
        <is>
          <t>BSCHESMMXXX</t>
        </is>
      </c>
      <c r="Q190" s="606" t="inlineStr">
        <is>
          <t>EUR</t>
        </is>
      </c>
      <c r="R190" s="640" t="inlineStr">
        <is>
          <t>01</t>
        </is>
      </c>
      <c r="S190" s="339" t="inlineStr">
        <is>
          <t>FALSE</t>
        </is>
      </c>
      <c r="T190" s="1" t="inlineStr">
        <is>
          <t xml:space="preserve"> </t>
        </is>
      </c>
      <c r="U190" s="608" t="inlineStr">
        <is>
          <t>https://www.facturantia.com/API/proformas_receptor.php</t>
        </is>
      </c>
      <c r="V190" s="609" t="n">
        <v>6666</v>
      </c>
      <c r="W190" s="610" t="inlineStr">
        <is>
          <t>facturacion@abalados.es</t>
        </is>
      </c>
      <c r="X190" s="609" t="n">
        <v>762687769</v>
      </c>
      <c r="Z190" s="624" t="n">
        <v>45951</v>
      </c>
    </row>
    <row r="191" ht="15" customHeight="1" s="700">
      <c r="A191" s="339" t="inlineStr">
        <is>
          <t>J</t>
        </is>
      </c>
      <c r="B191" s="1" t="inlineStr">
        <is>
          <t>Teodomiro Renovables, S.L.</t>
        </is>
      </c>
      <c r="C191" s="1" t="inlineStr">
        <is>
          <t>CIF B44834430</t>
        </is>
      </c>
      <c r="D191" s="1" t="inlineStr">
        <is>
          <t>2023-027</t>
        </is>
      </c>
      <c r="E191" s="598" t="n">
        <v>0.08</v>
      </c>
      <c r="F191" s="601">
        <f>IF( OR(ISNUMBER(SEARCH("NIF",C191)),ISNUMBER(SEARCH("CIF",C191)),ISNUMBER(SEARCH("NIE",C191))), MID(C191,5,LEN(C191)), C191)</f>
        <v/>
      </c>
      <c r="G191" s="339" t="inlineStr">
        <is>
          <t>nif</t>
        </is>
      </c>
      <c r="H191" s="602">
        <f>F191</f>
        <v/>
      </c>
      <c r="I191" s="603">
        <f>VLOOKUP(B191,DATOS!B:D,3,FALSE)</f>
        <v/>
      </c>
      <c r="J191" s="603">
        <f>MID(VLOOKUP(B191,DATOS!B:E,4,FALSE),1,5)</f>
        <v/>
      </c>
      <c r="K191" s="603">
        <f>MID(VLOOKUP(B191,DATOS!B:E,4,FALSE),7,LEN(VLOOKUP(B191,DATOS!B:E,4,FALSE)))</f>
        <v/>
      </c>
      <c r="L191" s="603">
        <f>K191</f>
        <v/>
      </c>
      <c r="M191" s="606" t="inlineStr">
        <is>
          <t>R</t>
        </is>
      </c>
      <c r="N191" s="606" t="inlineStr">
        <is>
          <t>ESP</t>
        </is>
      </c>
      <c r="O191" s="619" t="inlineStr">
        <is>
          <t>ES61004942987112514005381</t>
        </is>
      </c>
      <c r="P191" s="365" t="inlineStr">
        <is>
          <t>BSCHESMMXXX</t>
        </is>
      </c>
      <c r="Q191" s="606" t="inlineStr">
        <is>
          <t>EUR</t>
        </is>
      </c>
      <c r="R191" s="640" t="inlineStr">
        <is>
          <t>01</t>
        </is>
      </c>
      <c r="S191" s="339" t="inlineStr">
        <is>
          <t>FALSE</t>
        </is>
      </c>
      <c r="T191" s="1" t="inlineStr">
        <is>
          <t xml:space="preserve"> </t>
        </is>
      </c>
      <c r="U191" s="608" t="inlineStr">
        <is>
          <t>https://www.facturantia.com/API/proformas_receptor.php</t>
        </is>
      </c>
      <c r="V191" s="609" t="n">
        <v>6666</v>
      </c>
      <c r="W191" s="610" t="inlineStr">
        <is>
          <t>facturacion@abalados.es</t>
        </is>
      </c>
      <c r="X191" s="609" t="n">
        <v>762687769</v>
      </c>
      <c r="Z191" s="624" t="n">
        <v>45951</v>
      </c>
    </row>
    <row r="192" ht="15" customHeight="1" s="700">
      <c r="A192" s="339" t="inlineStr">
        <is>
          <t>J</t>
        </is>
      </c>
      <c r="B192" s="1" t="inlineStr">
        <is>
          <t>Arcadia Renovables, S.L.</t>
        </is>
      </c>
      <c r="C192" s="1" t="inlineStr">
        <is>
          <t>CIF B90008533</t>
        </is>
      </c>
      <c r="D192" s="1" t="inlineStr">
        <is>
          <t>2023-028</t>
        </is>
      </c>
      <c r="E192" s="339" t="n">
        <v>0</v>
      </c>
      <c r="F192" s="601">
        <f>IF( OR(ISNUMBER(SEARCH("NIF",C192)),ISNUMBER(SEARCH("CIF",C192)),ISNUMBER(SEARCH("NIE",C192))), MID(C192,5,LEN(C192)), C192)</f>
        <v/>
      </c>
      <c r="G192" s="339" t="inlineStr">
        <is>
          <t>nif</t>
        </is>
      </c>
      <c r="H192" s="602">
        <f>F192</f>
        <v/>
      </c>
      <c r="I192" s="603">
        <f>VLOOKUP(B192,DATOS!B:D,3,FALSE)</f>
        <v/>
      </c>
      <c r="J192" s="603">
        <f>MID(VLOOKUP(B192,DATOS!B:E,4,FALSE),1,5)</f>
        <v/>
      </c>
      <c r="K192" s="603">
        <f>MID(VLOOKUP(B192,DATOS!B:E,4,FALSE),7,LEN(VLOOKUP(B192,DATOS!B:E,4,FALSE)))</f>
        <v/>
      </c>
      <c r="L192" s="603">
        <f>K192</f>
        <v/>
      </c>
      <c r="M192" s="606" t="inlineStr">
        <is>
          <t>R</t>
        </is>
      </c>
      <c r="N192" s="606" t="inlineStr">
        <is>
          <t>ESP</t>
        </is>
      </c>
      <c r="O192" s="633" t="inlineStr">
        <is>
          <t>--</t>
        </is>
      </c>
      <c r="P192" s="633" t="inlineStr">
        <is>
          <t>--</t>
        </is>
      </c>
      <c r="Q192" s="606" t="inlineStr">
        <is>
          <t>EUR</t>
        </is>
      </c>
      <c r="R192" s="640" t="inlineStr">
        <is>
          <t>01</t>
        </is>
      </c>
      <c r="S192" s="339" t="inlineStr">
        <is>
          <t>FALSE</t>
        </is>
      </c>
      <c r="T192" s="1" t="inlineStr">
        <is>
          <t xml:space="preserve"> </t>
        </is>
      </c>
      <c r="U192" s="608" t="inlineStr">
        <is>
          <t>https://www.facturantia.com/API/proformas_receptor.php</t>
        </is>
      </c>
      <c r="V192" s="609" t="n">
        <v>6666</v>
      </c>
      <c r="W192" s="610" t="inlineStr">
        <is>
          <t>facturacion@abalados.es</t>
        </is>
      </c>
      <c r="X192" s="609" t="n">
        <v>762687769</v>
      </c>
      <c r="Z192" s="624" t="n"/>
    </row>
    <row r="193" ht="15" customHeight="1" s="700">
      <c r="A193" s="339" t="inlineStr">
        <is>
          <t>J</t>
        </is>
      </c>
      <c r="B193" s="1" t="inlineStr">
        <is>
          <t>Martinez Montes Tordesillas, S.L.</t>
        </is>
      </c>
      <c r="C193" s="1" t="inlineStr">
        <is>
          <t>CIF B06808273</t>
        </is>
      </c>
      <c r="D193" s="1" t="inlineStr">
        <is>
          <t>2022-001</t>
        </is>
      </c>
      <c r="E193" s="598" t="n">
        <v>0.08</v>
      </c>
      <c r="F193" s="601">
        <f>IF( OR(ISNUMBER(SEARCH("NIF",C193)),ISNUMBER(SEARCH("CIF",C193)),ISNUMBER(SEARCH("NIE",C193))), MID(C193,5,LEN(C193)), C193)</f>
        <v/>
      </c>
      <c r="G193" s="339" t="inlineStr">
        <is>
          <t>nif</t>
        </is>
      </c>
      <c r="H193" s="602">
        <f>F193</f>
        <v/>
      </c>
      <c r="I193" s="603">
        <f>VLOOKUP(B193,DATOS!B:D,3,FALSE)</f>
        <v/>
      </c>
      <c r="J193" s="603">
        <f>MID(VLOOKUP(B193,DATOS!B:E,4,FALSE),1,5)</f>
        <v/>
      </c>
      <c r="K193" s="603">
        <f>MID(VLOOKUP(B193,DATOS!B:E,4,FALSE),7,LEN(VLOOKUP(B193,DATOS!B:E,4,FALSE)))</f>
        <v/>
      </c>
      <c r="L193" s="603">
        <f>K193</f>
        <v/>
      </c>
      <c r="M193" s="606" t="inlineStr">
        <is>
          <t>R</t>
        </is>
      </c>
      <c r="N193" s="606" t="inlineStr">
        <is>
          <t>ESP</t>
        </is>
      </c>
      <c r="O193" s="639" t="inlineStr">
        <is>
          <t xml:space="preserve">
ES6830080003094296028428</t>
        </is>
      </c>
      <c r="Q193" s="606" t="inlineStr">
        <is>
          <t>EUR</t>
        </is>
      </c>
      <c r="R193" s="640" t="inlineStr">
        <is>
          <t>01</t>
        </is>
      </c>
      <c r="S193" s="339" t="inlineStr">
        <is>
          <t>FALSE</t>
        </is>
      </c>
      <c r="T193" s="1" t="inlineStr">
        <is>
          <t xml:space="preserve"> </t>
        </is>
      </c>
      <c r="U193" s="608" t="inlineStr">
        <is>
          <t>https://www.facturantia.com/API/proformas_receptor.php</t>
        </is>
      </c>
      <c r="V193" s="609" t="n">
        <v>6666</v>
      </c>
      <c r="W193" s="610" t="inlineStr">
        <is>
          <t>facturacion@abalados.es</t>
        </is>
      </c>
      <c r="X193" s="609" t="n">
        <v>762687769</v>
      </c>
      <c r="Z193" s="624" t="n">
        <v>45951</v>
      </c>
    </row>
    <row r="194" ht="15" customHeight="1" s="700">
      <c r="A194" s="339" t="inlineStr">
        <is>
          <t>J</t>
        </is>
      </c>
      <c r="B194" s="1" t="inlineStr">
        <is>
          <t>Las Monas Gallego, A.I.E.</t>
        </is>
      </c>
      <c r="C194" s="1" t="inlineStr">
        <is>
          <t>CIF V13916036</t>
        </is>
      </c>
      <c r="D194" s="1" t="inlineStr">
        <is>
          <t>2023-029</t>
        </is>
      </c>
      <c r="E194" s="598" t="n">
        <v>0.08</v>
      </c>
      <c r="F194" s="601">
        <f>IF( OR(ISNUMBER(SEARCH("NIF",C194)),ISNUMBER(SEARCH("CIF",C194)),ISNUMBER(SEARCH("NIE",C194))), MID(C194,5,LEN(C194)), C194)</f>
        <v/>
      </c>
      <c r="G194" s="339" t="inlineStr">
        <is>
          <t>nif</t>
        </is>
      </c>
      <c r="H194" s="602">
        <f>F194</f>
        <v/>
      </c>
      <c r="I194" s="603">
        <f>VLOOKUP(B194,DATOS!B:D,3,FALSE)</f>
        <v/>
      </c>
      <c r="J194" s="603">
        <f>MID(VLOOKUP(B194,DATOS!B:E,4,FALSE),1,5)</f>
        <v/>
      </c>
      <c r="K194" s="603" t="inlineStr">
        <is>
          <t>Madrid</t>
        </is>
      </c>
      <c r="L194" s="603" t="inlineStr">
        <is>
          <t>Alcobendas</t>
        </is>
      </c>
      <c r="M194" s="606" t="inlineStr">
        <is>
          <t>R</t>
        </is>
      </c>
      <c r="N194" s="606" t="inlineStr">
        <is>
          <t>ESP</t>
        </is>
      </c>
      <c r="O194" s="619" t="inlineStr">
        <is>
          <t>ES8901289471840100014614</t>
        </is>
      </c>
      <c r="P194" s="619" t="inlineStr">
        <is>
          <t>BKBKESMMXXX</t>
        </is>
      </c>
      <c r="Q194" s="606" t="inlineStr">
        <is>
          <t>EUR</t>
        </is>
      </c>
      <c r="R194" s="640" t="inlineStr">
        <is>
          <t>01</t>
        </is>
      </c>
      <c r="S194" s="339" t="inlineStr">
        <is>
          <t>FALSE</t>
        </is>
      </c>
      <c r="T194" s="1" t="inlineStr">
        <is>
          <t xml:space="preserve"> </t>
        </is>
      </c>
      <c r="U194" s="608" t="inlineStr">
        <is>
          <t>https://www.facturantia.com/API/proformas_receptor.php</t>
        </is>
      </c>
      <c r="V194" s="609" t="n">
        <v>6666</v>
      </c>
      <c r="W194" s="610" t="inlineStr">
        <is>
          <t>facturacion@abalados.es</t>
        </is>
      </c>
      <c r="X194" s="609" t="n">
        <v>762687769</v>
      </c>
      <c r="Z194" s="624" t="n">
        <v>45951</v>
      </c>
    </row>
    <row r="195" ht="15" customHeight="1" s="700">
      <c r="A195" s="339" t="inlineStr">
        <is>
          <t>J</t>
        </is>
      </c>
      <c r="B195" s="1" t="inlineStr">
        <is>
          <t>Escatrón Promotores 400 y 220, S.L.</t>
        </is>
      </c>
      <c r="C195" s="1" t="inlineStr">
        <is>
          <t>CIF B56214679</t>
        </is>
      </c>
      <c r="D195" s="1" t="inlineStr">
        <is>
          <t>2023-030</t>
        </is>
      </c>
      <c r="E195" s="598" t="n">
        <v>0.08</v>
      </c>
      <c r="F195" s="601">
        <f>IF( OR(ISNUMBER(SEARCH("NIF",C195)),ISNUMBER(SEARCH("CIF",C195)),ISNUMBER(SEARCH("NIE",C195))), MID(C195,5,LEN(C195)), C195)</f>
        <v/>
      </c>
      <c r="G195" s="339" t="inlineStr">
        <is>
          <t>nif</t>
        </is>
      </c>
      <c r="H195" s="602">
        <f>F195</f>
        <v/>
      </c>
      <c r="I195" s="603">
        <f>VLOOKUP(B195,DATOS!B:D,3,FALSE)</f>
        <v/>
      </c>
      <c r="J195" s="603">
        <f>MID(VLOOKUP(B195,DATOS!B:E,4,FALSE),1,5)</f>
        <v/>
      </c>
      <c r="K195" s="603">
        <f>MID(VLOOKUP(B195,DATOS!B:E,4,FALSE),7,LEN(VLOOKUP(B195,DATOS!B:E,4,FALSE)))</f>
        <v/>
      </c>
      <c r="L195" s="603">
        <f>K195</f>
        <v/>
      </c>
      <c r="M195" s="606" t="inlineStr">
        <is>
          <t>R</t>
        </is>
      </c>
      <c r="N195" s="606" t="inlineStr">
        <is>
          <t>ESP</t>
        </is>
      </c>
      <c r="O195" s="619" t="inlineStr">
        <is>
          <t>ES7501289471880100013991</t>
        </is>
      </c>
      <c r="P195" s="619" t="inlineStr">
        <is>
          <t>BKBKESMMXXX</t>
        </is>
      </c>
      <c r="Q195" s="606" t="inlineStr">
        <is>
          <t>EUR</t>
        </is>
      </c>
      <c r="R195" s="640" t="inlineStr">
        <is>
          <t>01</t>
        </is>
      </c>
      <c r="S195" s="339" t="inlineStr">
        <is>
          <t>FALSE</t>
        </is>
      </c>
      <c r="T195" s="1" t="inlineStr">
        <is>
          <t xml:space="preserve"> </t>
        </is>
      </c>
      <c r="U195" s="608" t="inlineStr">
        <is>
          <t>https://www.facturantia.com/API/proformas_receptor.php</t>
        </is>
      </c>
      <c r="V195" s="609" t="n">
        <v>6666</v>
      </c>
      <c r="W195" s="610" t="inlineStr">
        <is>
          <t>facturacion@abalados.es</t>
        </is>
      </c>
      <c r="X195" s="609" t="n">
        <v>762687769</v>
      </c>
      <c r="Z195" s="624" t="n">
        <v>45951</v>
      </c>
    </row>
    <row r="196" ht="15" customHeight="1" s="700">
      <c r="A196" s="339" t="inlineStr">
        <is>
          <t>J</t>
        </is>
      </c>
      <c r="B196" s="1" t="inlineStr">
        <is>
          <t>Comunidad de Bienes Grupotec Rotonda</t>
        </is>
      </c>
      <c r="C196" s="1" t="inlineStr">
        <is>
          <t>CIF E40559320</t>
        </is>
      </c>
      <c r="D196" s="1" t="inlineStr">
        <is>
          <t>2023-031</t>
        </is>
      </c>
      <c r="E196" s="598" t="n">
        <v>0.08</v>
      </c>
      <c r="F196" s="601">
        <f>IF( OR(ISNUMBER(SEARCH("NIF",C196)),ISNUMBER(SEARCH("CIF",C196)),ISNUMBER(SEARCH("NIE",C196))), MID(C196,5,LEN(C196)), C196)</f>
        <v/>
      </c>
      <c r="G196" s="339" t="inlineStr">
        <is>
          <t>nif</t>
        </is>
      </c>
      <c r="H196" s="602">
        <f>F196</f>
        <v/>
      </c>
      <c r="I196" s="603">
        <f>VLOOKUP(B196,DATOS!B:D,3,FALSE)</f>
        <v/>
      </c>
      <c r="J196" s="603">
        <f>MID(VLOOKUP(B196,DATOS!B:E,4,FALSE),1,5)</f>
        <v/>
      </c>
      <c r="K196" s="603">
        <f>MID(VLOOKUP(B196,DATOS!B:E,4,FALSE),7,LEN(VLOOKUP(B196,DATOS!B:E,4,FALSE)))</f>
        <v/>
      </c>
      <c r="L196" s="603">
        <f>K196</f>
        <v/>
      </c>
      <c r="M196" s="606" t="inlineStr">
        <is>
          <t>R</t>
        </is>
      </c>
      <c r="N196" s="606" t="inlineStr">
        <is>
          <t>ESP</t>
        </is>
      </c>
      <c r="O196" s="619" t="inlineStr">
        <is>
          <t>ES8021007729131300128880</t>
        </is>
      </c>
      <c r="P196" s="365" t="inlineStr">
        <is>
          <t>CAIXESBBXXX</t>
        </is>
      </c>
      <c r="Q196" s="606" t="inlineStr">
        <is>
          <t>EUR</t>
        </is>
      </c>
      <c r="R196" s="640" t="inlineStr">
        <is>
          <t>01</t>
        </is>
      </c>
      <c r="S196" s="339" t="inlineStr">
        <is>
          <t>FALSE</t>
        </is>
      </c>
      <c r="T196" s="1" t="inlineStr">
        <is>
          <t xml:space="preserve"> </t>
        </is>
      </c>
      <c r="U196" s="608" t="inlineStr">
        <is>
          <t>https://www.facturantia.com/API/proformas_receptor.php</t>
        </is>
      </c>
      <c r="V196" s="609" t="n">
        <v>6666</v>
      </c>
      <c r="W196" s="610" t="inlineStr">
        <is>
          <t>facturacion@abalados.es</t>
        </is>
      </c>
      <c r="X196" s="609" t="n">
        <v>762687769</v>
      </c>
      <c r="Z196" s="624" t="n">
        <v>45951</v>
      </c>
    </row>
    <row r="197" ht="15" customHeight="1" s="700">
      <c r="A197" s="339" t="inlineStr">
        <is>
          <t>J</t>
        </is>
      </c>
      <c r="B197" s="1" t="inlineStr">
        <is>
          <t>ICE Sequero, S.L.</t>
        </is>
      </c>
      <c r="C197" s="1" t="inlineStr">
        <is>
          <t>CIF B13873898</t>
        </is>
      </c>
      <c r="D197" s="1" t="inlineStr">
        <is>
          <t>2023-032</t>
        </is>
      </c>
      <c r="E197" s="598" t="n">
        <v>0.08</v>
      </c>
      <c r="F197" s="601">
        <f>IF( OR(ISNUMBER(SEARCH("NIF",C197)),ISNUMBER(SEARCH("CIF",C197)),ISNUMBER(SEARCH("NIE",C197))), MID(C197,5,LEN(C197)), C197)</f>
        <v/>
      </c>
      <c r="G197" s="339" t="inlineStr">
        <is>
          <t>nif</t>
        </is>
      </c>
      <c r="H197" s="602">
        <f>F197</f>
        <v/>
      </c>
      <c r="I197" s="603">
        <f>VLOOKUP(B197,DATOS!B:D,3,FALSE)</f>
        <v/>
      </c>
      <c r="J197" s="603">
        <f>MID(VLOOKUP(B197,DATOS!B:E,4,FALSE),1,5)</f>
        <v/>
      </c>
      <c r="K197" s="603">
        <f>MID(VLOOKUP(B197,DATOS!B:E,4,FALSE),7,LEN(VLOOKUP(B197,DATOS!B:E,4,FALSE)))</f>
        <v/>
      </c>
      <c r="L197" s="603">
        <f>K197</f>
        <v/>
      </c>
      <c r="M197" s="606" t="inlineStr">
        <is>
          <t>R</t>
        </is>
      </c>
      <c r="N197" s="606" t="inlineStr">
        <is>
          <t>ESP</t>
        </is>
      </c>
      <c r="O197" s="619" t="inlineStr">
        <is>
          <t>ES7901289471890100015034</t>
        </is>
      </c>
      <c r="P197" s="619" t="inlineStr">
        <is>
          <t>BKBKESMMXXX</t>
        </is>
      </c>
      <c r="Q197" s="606" t="inlineStr">
        <is>
          <t>EUR</t>
        </is>
      </c>
      <c r="R197" s="640" t="inlineStr">
        <is>
          <t>01</t>
        </is>
      </c>
      <c r="S197" s="339" t="inlineStr">
        <is>
          <t>FALSE</t>
        </is>
      </c>
      <c r="T197" s="1" t="inlineStr">
        <is>
          <t xml:space="preserve"> </t>
        </is>
      </c>
      <c r="U197" s="608" t="inlineStr">
        <is>
          <t>https://www.facturantia.com/API/proformas_receptor.php</t>
        </is>
      </c>
      <c r="V197" s="609" t="n">
        <v>6666</v>
      </c>
      <c r="W197" s="610" t="inlineStr">
        <is>
          <t>facturacion@abalados.es</t>
        </is>
      </c>
      <c r="X197" s="609" t="n">
        <v>762687769</v>
      </c>
      <c r="Z197" s="624" t="n">
        <v>45951</v>
      </c>
    </row>
    <row r="198" ht="15" customHeight="1" s="700">
      <c r="A198" s="339" t="inlineStr">
        <is>
          <t>J</t>
        </is>
      </c>
      <c r="B198" s="1" t="inlineStr">
        <is>
          <t>Asociación Molinos de Guadaíra</t>
        </is>
      </c>
      <c r="C198" s="1" t="inlineStr">
        <is>
          <t>CIF G91938464</t>
        </is>
      </c>
      <c r="D198" s="1" t="inlineStr">
        <is>
          <t>2023-033</t>
        </is>
      </c>
      <c r="E198" s="339" t="n">
        <v>0</v>
      </c>
      <c r="F198" s="601">
        <f>IF( OR(ISNUMBER(SEARCH("NIF",C198)),ISNUMBER(SEARCH("CIF",C198)),ISNUMBER(SEARCH("NIE",C198))), MID(C198,5,LEN(C198)), C198)</f>
        <v/>
      </c>
      <c r="G198" s="339" t="inlineStr">
        <is>
          <t>nif</t>
        </is>
      </c>
      <c r="H198" s="602">
        <f>F198</f>
        <v/>
      </c>
      <c r="I198" s="603">
        <f>VLOOKUP(B198,DATOS!B:D,3,FALSE)</f>
        <v/>
      </c>
      <c r="J198" s="603">
        <f>MID(VLOOKUP(B198,DATOS!B:E,4,FALSE),1,5)</f>
        <v/>
      </c>
      <c r="K198" s="604" t="inlineStr">
        <is>
          <t>Sevilla</t>
        </is>
      </c>
      <c r="L198" s="604" t="inlineStr">
        <is>
          <t>Alcalá de Guadaíra</t>
        </is>
      </c>
      <c r="M198" s="606" t="inlineStr">
        <is>
          <t>R</t>
        </is>
      </c>
      <c r="N198" s="606" t="inlineStr">
        <is>
          <t>ESP</t>
        </is>
      </c>
      <c r="O198" s="628" t="inlineStr">
        <is>
          <t>--</t>
        </is>
      </c>
      <c r="P198" s="628" t="inlineStr">
        <is>
          <t>--</t>
        </is>
      </c>
      <c r="Q198" s="606" t="inlineStr">
        <is>
          <t>EUR</t>
        </is>
      </c>
      <c r="R198" s="640" t="inlineStr">
        <is>
          <t>01</t>
        </is>
      </c>
      <c r="S198" s="339" t="inlineStr">
        <is>
          <t>FALSE</t>
        </is>
      </c>
      <c r="T198" s="1" t="inlineStr">
        <is>
          <t xml:space="preserve"> </t>
        </is>
      </c>
      <c r="U198" s="608" t="inlineStr">
        <is>
          <t>https://www.facturantia.com/API/proformas_receptor.php</t>
        </is>
      </c>
      <c r="V198" s="609" t="n">
        <v>6666</v>
      </c>
      <c r="W198" s="610" t="inlineStr">
        <is>
          <t>facturacion@abalados.es</t>
        </is>
      </c>
      <c r="X198" s="609" t="n">
        <v>762687769</v>
      </c>
      <c r="Z198" s="624" t="n"/>
    </row>
    <row r="199" ht="15" customHeight="1" s="700">
      <c r="A199" s="339" t="inlineStr">
        <is>
          <t>J</t>
        </is>
      </c>
      <c r="B199" s="1" t="inlineStr">
        <is>
          <t>Aventron España, S.L.</t>
        </is>
      </c>
      <c r="C199" s="1" t="inlineStr">
        <is>
          <t>CIF B88233317</t>
        </is>
      </c>
      <c r="D199" s="1" t="inlineStr">
        <is>
          <t>2024-001</t>
        </is>
      </c>
      <c r="E199" s="339" t="n">
        <v>0</v>
      </c>
      <c r="F199" s="601">
        <f>IF( OR(ISNUMBER(SEARCH("NIF",C199)),ISNUMBER(SEARCH("CIF",C199)),ISNUMBER(SEARCH("NIE",C199))), MID(C199,5,LEN(C199)), C199)</f>
        <v/>
      </c>
      <c r="G199" s="339" t="inlineStr">
        <is>
          <t>nif</t>
        </is>
      </c>
      <c r="H199" s="602">
        <f>F199</f>
        <v/>
      </c>
      <c r="I199" s="603">
        <f>VLOOKUP(B199,DATOS!B:D,3,FALSE)</f>
        <v/>
      </c>
      <c r="J199" s="603">
        <f>MID(VLOOKUP(B199,DATOS!B:E,4,FALSE),1,5)</f>
        <v/>
      </c>
      <c r="K199" s="604" t="inlineStr">
        <is>
          <t>Madrid</t>
        </is>
      </c>
      <c r="L199" s="604" t="inlineStr">
        <is>
          <t>San Sebastian de los Reyes</t>
        </is>
      </c>
      <c r="M199" s="606" t="inlineStr">
        <is>
          <t>R</t>
        </is>
      </c>
      <c r="N199" s="606" t="inlineStr">
        <is>
          <t>ESP</t>
        </is>
      </c>
      <c r="O199" s="628" t="inlineStr">
        <is>
          <t>--</t>
        </is>
      </c>
      <c r="P199" s="628" t="inlineStr">
        <is>
          <t>--</t>
        </is>
      </c>
      <c r="Q199" s="606" t="inlineStr">
        <is>
          <t>EUR</t>
        </is>
      </c>
      <c r="R199" s="640" t="inlineStr">
        <is>
          <t>01</t>
        </is>
      </c>
      <c r="S199" s="339" t="inlineStr">
        <is>
          <t>FALSE</t>
        </is>
      </c>
      <c r="T199" s="1" t="inlineStr">
        <is>
          <t xml:space="preserve"> </t>
        </is>
      </c>
      <c r="U199" s="608" t="inlineStr">
        <is>
          <t>https://www.facturantia.com/API/proformas_receptor.php</t>
        </is>
      </c>
      <c r="V199" s="609" t="n">
        <v>6666</v>
      </c>
      <c r="W199" s="610" t="inlineStr">
        <is>
          <t>facturacion@abalados.es</t>
        </is>
      </c>
      <c r="X199" s="609" t="n">
        <v>762687769</v>
      </c>
      <c r="Z199" s="624" t="n"/>
    </row>
    <row r="200" ht="15" customFormat="1" customHeight="1" s="595">
      <c r="A200" s="611" t="inlineStr">
        <is>
          <t>J</t>
        </is>
      </c>
      <c r="B200" s="595" t="inlineStr">
        <is>
          <t>Gubier Investments, S.L.</t>
        </is>
      </c>
      <c r="C200" s="595" t="inlineStr">
        <is>
          <t>CIF B06980866</t>
        </is>
      </c>
      <c r="D200" s="595" t="inlineStr">
        <is>
          <t>2024-002</t>
        </is>
      </c>
      <c r="E200" s="611" t="n">
        <v>0</v>
      </c>
      <c r="F200" s="612">
        <f>IF( OR(ISNUMBER(SEARCH("NIF",C200)),ISNUMBER(SEARCH("CIF",C200)),ISNUMBER(SEARCH("NIE",C200))), MID(C200,5,LEN(C200)), C200)</f>
        <v/>
      </c>
      <c r="G200" s="611" t="inlineStr">
        <is>
          <t>nif</t>
        </is>
      </c>
      <c r="H200" s="613">
        <f>F200</f>
        <v/>
      </c>
      <c r="I200" s="614">
        <f>VLOOKUP(B200,DATOS!B:D,3,FALSE)</f>
        <v/>
      </c>
      <c r="J200" s="614">
        <f>MID(VLOOKUP(B200,DATOS!B:E,4,FALSE),1,5)</f>
        <v/>
      </c>
      <c r="K200" s="614">
        <f>MID(VLOOKUP(B200,DATOS!B:E,4,FALSE),7,LEN(VLOOKUP(B200,DATOS!B:E,4,FALSE)))</f>
        <v/>
      </c>
      <c r="L200" s="614">
        <f>K200</f>
        <v/>
      </c>
      <c r="M200" s="615" t="inlineStr">
        <is>
          <t>R</t>
        </is>
      </c>
      <c r="N200" s="615" t="inlineStr">
        <is>
          <t>ESP</t>
        </is>
      </c>
      <c r="O200" s="634" t="inlineStr">
        <is>
          <t>--</t>
        </is>
      </c>
      <c r="P200" s="634" t="inlineStr">
        <is>
          <t>--</t>
        </is>
      </c>
      <c r="Q200" s="615" t="inlineStr">
        <is>
          <t>EUR</t>
        </is>
      </c>
      <c r="R200" s="640" t="inlineStr">
        <is>
          <t>01</t>
        </is>
      </c>
      <c r="S200" s="611" t="inlineStr">
        <is>
          <t>FALSE</t>
        </is>
      </c>
      <c r="T200" s="595" t="inlineStr">
        <is>
          <t xml:space="preserve"> </t>
        </is>
      </c>
      <c r="U200" s="616" t="inlineStr">
        <is>
          <t>https://www.facturantia.com/API/proformas_receptor.php</t>
        </is>
      </c>
      <c r="V200" s="617" t="n">
        <v>6666</v>
      </c>
      <c r="W200" s="618" t="inlineStr">
        <is>
          <t>facturacion@abalados.es</t>
        </is>
      </c>
      <c r="X200" s="617" t="n">
        <v>762687769</v>
      </c>
      <c r="Z200" s="627" t="n"/>
    </row>
    <row r="201" ht="15" customHeight="1" s="700">
      <c r="A201" s="339" t="inlineStr">
        <is>
          <t>J</t>
        </is>
      </c>
      <c r="B201" s="1" t="inlineStr">
        <is>
          <t>Arcadia Renovables 2, S.L.U.</t>
        </is>
      </c>
      <c r="C201" s="1" t="inlineStr">
        <is>
          <t>CIF B90486416</t>
        </is>
      </c>
      <c r="D201" s="1" t="inlineStr">
        <is>
          <t>2024-003</t>
        </is>
      </c>
      <c r="E201" s="339" t="n">
        <v>0</v>
      </c>
      <c r="F201" s="601">
        <f>IF( OR(ISNUMBER(SEARCH("NIF",C201)),ISNUMBER(SEARCH("CIF",C201)),ISNUMBER(SEARCH("NIE",C201))), MID(C201,5,LEN(C201)), C201)</f>
        <v/>
      </c>
      <c r="G201" s="339" t="inlineStr">
        <is>
          <t>nif</t>
        </is>
      </c>
      <c r="H201" s="602">
        <f>F201</f>
        <v/>
      </c>
      <c r="I201" s="603">
        <f>VLOOKUP(B201,DATOS!B:D,3,FALSE)</f>
        <v/>
      </c>
      <c r="J201" s="603">
        <f>MID(VLOOKUP(B201,DATOS!B:E,4,FALSE),1,5)</f>
        <v/>
      </c>
      <c r="K201" s="603">
        <f>MID(VLOOKUP(B201,DATOS!B:E,4,FALSE),7,LEN(VLOOKUP(B201,DATOS!B:E,4,FALSE)))</f>
        <v/>
      </c>
      <c r="L201" s="603">
        <f>K201</f>
        <v/>
      </c>
      <c r="M201" s="606" t="inlineStr">
        <is>
          <t>R</t>
        </is>
      </c>
      <c r="N201" s="606" t="inlineStr">
        <is>
          <t>ESP</t>
        </is>
      </c>
      <c r="O201" s="633" t="inlineStr">
        <is>
          <t>--</t>
        </is>
      </c>
      <c r="P201" s="633" t="inlineStr">
        <is>
          <t>--</t>
        </is>
      </c>
      <c r="Q201" s="606" t="inlineStr">
        <is>
          <t>EUR</t>
        </is>
      </c>
      <c r="R201" s="640" t="inlineStr">
        <is>
          <t>01</t>
        </is>
      </c>
      <c r="S201" s="339" t="inlineStr">
        <is>
          <t>FALSE</t>
        </is>
      </c>
      <c r="T201" s="1" t="inlineStr">
        <is>
          <t xml:space="preserve"> </t>
        </is>
      </c>
      <c r="U201" s="608" t="inlineStr">
        <is>
          <t>https://www.facturantia.com/API/proformas_receptor.php</t>
        </is>
      </c>
      <c r="V201" s="609" t="n">
        <v>6666</v>
      </c>
      <c r="W201" s="610" t="inlineStr">
        <is>
          <t>facturacion@abalados.es</t>
        </is>
      </c>
      <c r="X201" s="609" t="n">
        <v>762687769</v>
      </c>
      <c r="Z201" s="624" t="n"/>
    </row>
    <row r="202" ht="15" customHeight="1" s="700">
      <c r="A202" s="339" t="inlineStr">
        <is>
          <t>J</t>
        </is>
      </c>
      <c r="B202" s="1" t="inlineStr">
        <is>
          <t>Arcadia Renovables 3, S.L.U.</t>
        </is>
      </c>
      <c r="C202" s="1" t="inlineStr">
        <is>
          <t>CIF B90486408</t>
        </is>
      </c>
      <c r="D202" s="1" t="inlineStr">
        <is>
          <t>2024-004</t>
        </is>
      </c>
      <c r="E202" s="339" t="n">
        <v>0</v>
      </c>
      <c r="F202" s="601">
        <f>IF( OR(ISNUMBER(SEARCH("NIF",C202)),ISNUMBER(SEARCH("CIF",C202)),ISNUMBER(SEARCH("NIE",C202))), MID(C202,5,LEN(C202)), C202)</f>
        <v/>
      </c>
      <c r="G202" s="339" t="inlineStr">
        <is>
          <t>nif</t>
        </is>
      </c>
      <c r="H202" s="602">
        <f>F202</f>
        <v/>
      </c>
      <c r="I202" s="603">
        <f>VLOOKUP(B202,DATOS!B:D,3,FALSE)</f>
        <v/>
      </c>
      <c r="J202" s="603">
        <f>MID(VLOOKUP(B202,DATOS!B:E,4,FALSE),1,5)</f>
        <v/>
      </c>
      <c r="K202" s="603">
        <f>MID(VLOOKUP(B202,DATOS!B:E,4,FALSE),7,LEN(VLOOKUP(B202,DATOS!B:E,4,FALSE)))</f>
        <v/>
      </c>
      <c r="L202" s="603">
        <f>K202</f>
        <v/>
      </c>
      <c r="M202" s="606" t="inlineStr">
        <is>
          <t>R</t>
        </is>
      </c>
      <c r="N202" s="606" t="inlineStr">
        <is>
          <t>ESP</t>
        </is>
      </c>
      <c r="O202" s="633" t="inlineStr">
        <is>
          <t>--</t>
        </is>
      </c>
      <c r="P202" s="633" t="inlineStr">
        <is>
          <t>--</t>
        </is>
      </c>
      <c r="Q202" s="606" t="inlineStr">
        <is>
          <t>EUR</t>
        </is>
      </c>
      <c r="R202" s="640" t="inlineStr">
        <is>
          <t>01</t>
        </is>
      </c>
      <c r="S202" s="339" t="inlineStr">
        <is>
          <t>FALSE</t>
        </is>
      </c>
      <c r="T202" s="1" t="inlineStr">
        <is>
          <t xml:space="preserve"> </t>
        </is>
      </c>
      <c r="U202" s="608" t="inlineStr">
        <is>
          <t>https://www.facturantia.com/API/proformas_receptor.php</t>
        </is>
      </c>
      <c r="V202" s="609" t="n">
        <v>6666</v>
      </c>
      <c r="W202" s="610" t="inlineStr">
        <is>
          <t>facturacion@abalados.es</t>
        </is>
      </c>
      <c r="X202" s="609" t="n">
        <v>762687769</v>
      </c>
      <c r="Z202" s="624" t="n"/>
    </row>
    <row r="203" ht="15" customHeight="1" s="700">
      <c r="A203" s="339" t="inlineStr">
        <is>
          <t>J</t>
        </is>
      </c>
      <c r="B203" s="1" t="inlineStr">
        <is>
          <t>Renedo Renovables, S.L.</t>
        </is>
      </c>
      <c r="C203" s="1" t="inlineStr">
        <is>
          <t>CIF B05405584</t>
        </is>
      </c>
      <c r="D203" s="1" t="inlineStr">
        <is>
          <t>2024-005</t>
        </is>
      </c>
      <c r="E203" s="598" t="n">
        <v>0.08</v>
      </c>
      <c r="F203" s="601">
        <f>IF( OR(ISNUMBER(SEARCH("NIF",C203)),ISNUMBER(SEARCH("CIF",C203)),ISNUMBER(SEARCH("NIE",C203))), MID(C203,5,LEN(C203)), C203)</f>
        <v/>
      </c>
      <c r="G203" s="339" t="inlineStr">
        <is>
          <t>nif</t>
        </is>
      </c>
      <c r="H203" s="602">
        <f>F203</f>
        <v/>
      </c>
      <c r="I203" s="603">
        <f>VLOOKUP(B203,DATOS!B:D,3,FALSE)</f>
        <v/>
      </c>
      <c r="J203" s="603">
        <f>MID(VLOOKUP(B203,DATOS!B:E,4,FALSE),1,5)</f>
        <v/>
      </c>
      <c r="K203" s="603">
        <f>MID(VLOOKUP(B203,DATOS!B:E,4,FALSE),7,LEN(VLOOKUP(B203,DATOS!B:E,4,FALSE)))</f>
        <v/>
      </c>
      <c r="L203" s="603">
        <f>K203</f>
        <v/>
      </c>
      <c r="M203" s="606" t="inlineStr">
        <is>
          <t>R</t>
        </is>
      </c>
      <c r="N203" s="606" t="inlineStr">
        <is>
          <t>ESP</t>
        </is>
      </c>
      <c r="O203" s="619" t="inlineStr">
        <is>
          <t>ES70 2100 2864 0213 0035 6941</t>
        </is>
      </c>
      <c r="Q203" s="606" t="inlineStr">
        <is>
          <t>EUR</t>
        </is>
      </c>
      <c r="R203" s="640" t="inlineStr">
        <is>
          <t>01</t>
        </is>
      </c>
      <c r="S203" s="339" t="inlineStr">
        <is>
          <t>FALSE</t>
        </is>
      </c>
      <c r="T203" s="1" t="inlineStr">
        <is>
          <t xml:space="preserve"> </t>
        </is>
      </c>
      <c r="U203" s="608" t="inlineStr">
        <is>
          <t>https://www.facturantia.com/API/proformas_receptor.php</t>
        </is>
      </c>
      <c r="V203" s="609" t="n">
        <v>6666</v>
      </c>
      <c r="W203" s="610" t="inlineStr">
        <is>
          <t>facturacion@abalados.es</t>
        </is>
      </c>
      <c r="X203" s="609" t="n">
        <v>762687769</v>
      </c>
      <c r="Z203" s="624" t="n">
        <v>45951</v>
      </c>
    </row>
    <row r="204" ht="15" customHeight="1" s="700">
      <c r="A204" s="339" t="inlineStr">
        <is>
          <t>J</t>
        </is>
      </c>
      <c r="B204" s="1" t="inlineStr">
        <is>
          <t>Irina Generación 220, A.I.E.</t>
        </is>
      </c>
      <c r="C204" s="1" t="inlineStr">
        <is>
          <t>CIF V10824928</t>
        </is>
      </c>
      <c r="D204" s="1" t="inlineStr">
        <is>
          <t>2024-006</t>
        </is>
      </c>
      <c r="E204" s="598" t="n">
        <v>0.08</v>
      </c>
      <c r="F204" s="601">
        <f>IF( OR(ISNUMBER(SEARCH("NIF",C204)),ISNUMBER(SEARCH("CIF",C204)),ISNUMBER(SEARCH("NIE",C204))), MID(C204,5,LEN(C204)), C204)</f>
        <v/>
      </c>
      <c r="G204" s="339" t="inlineStr">
        <is>
          <t>nif</t>
        </is>
      </c>
      <c r="H204" s="602">
        <f>F204</f>
        <v/>
      </c>
      <c r="I204" s="603">
        <f>VLOOKUP(B204,DATOS!B:D,3,FALSE)</f>
        <v/>
      </c>
      <c r="J204" s="603">
        <f>MID(VLOOKUP(B204,DATOS!B:E,4,FALSE),1,5)</f>
        <v/>
      </c>
      <c r="K204" s="603">
        <f>MID(VLOOKUP(B204,DATOS!B:E,4,FALSE),7,LEN(VLOOKUP(B204,DATOS!B:E,4,FALSE)))</f>
        <v/>
      </c>
      <c r="L204" s="603">
        <f>K204</f>
        <v/>
      </c>
      <c r="M204" s="606" t="inlineStr">
        <is>
          <t>R</t>
        </is>
      </c>
      <c r="N204" s="606" t="inlineStr">
        <is>
          <t>ESP</t>
        </is>
      </c>
      <c r="O204" s="619" t="inlineStr">
        <is>
          <t>ES4901289471800100014075</t>
        </is>
      </c>
      <c r="Q204" s="606" t="inlineStr">
        <is>
          <t>EUR</t>
        </is>
      </c>
      <c r="R204" s="640" t="inlineStr">
        <is>
          <t>01</t>
        </is>
      </c>
      <c r="S204" s="339" t="inlineStr">
        <is>
          <t>FALSE</t>
        </is>
      </c>
      <c r="T204" s="1" t="inlineStr">
        <is>
          <t xml:space="preserve"> </t>
        </is>
      </c>
      <c r="U204" s="608" t="inlineStr">
        <is>
          <t>https://www.facturantia.com/API/proformas_receptor.php</t>
        </is>
      </c>
      <c r="V204" s="609" t="n">
        <v>6666</v>
      </c>
      <c r="W204" s="610" t="inlineStr">
        <is>
          <t>facturacion@abalados.es</t>
        </is>
      </c>
      <c r="X204" s="609" t="n">
        <v>762687769</v>
      </c>
      <c r="Z204" s="624" t="n">
        <v>45951</v>
      </c>
    </row>
    <row r="205" ht="15" customHeight="1" s="700">
      <c r="A205" s="339" t="inlineStr">
        <is>
          <t>J</t>
        </is>
      </c>
      <c r="B205" s="1" t="inlineStr">
        <is>
          <t>Manzasol 132 kV, S.L.</t>
        </is>
      </c>
      <c r="C205" s="1" t="inlineStr">
        <is>
          <t>CIF B10875516</t>
        </is>
      </c>
      <c r="D205" s="1" t="inlineStr">
        <is>
          <t>2024-007</t>
        </is>
      </c>
      <c r="E205" s="598" t="n">
        <v>0.08</v>
      </c>
      <c r="F205" s="601">
        <f>IF( OR(ISNUMBER(SEARCH("NIF",C205)),ISNUMBER(SEARCH("CIF",C205)),ISNUMBER(SEARCH("NIE",C205))), MID(C205,5,LEN(C205)), C205)</f>
        <v/>
      </c>
      <c r="G205" s="339" t="inlineStr">
        <is>
          <t>nif</t>
        </is>
      </c>
      <c r="H205" s="602">
        <f>F205</f>
        <v/>
      </c>
      <c r="I205" s="603">
        <f>VLOOKUP(B205,DATOS!B:D,3,FALSE)</f>
        <v/>
      </c>
      <c r="J205" s="603">
        <f>MID(VLOOKUP(B205,DATOS!B:E,4,FALSE),1,5)</f>
        <v/>
      </c>
      <c r="K205" s="603">
        <f>MID(VLOOKUP(B205,DATOS!B:E,4,FALSE),7,LEN(VLOOKUP(B205,DATOS!B:E,4,FALSE)))</f>
        <v/>
      </c>
      <c r="L205" s="603">
        <f>K205</f>
        <v/>
      </c>
      <c r="M205" s="606" t="inlineStr">
        <is>
          <t>R</t>
        </is>
      </c>
      <c r="N205" s="606" t="inlineStr">
        <is>
          <t>ESP</t>
        </is>
      </c>
      <c r="O205" s="619" t="inlineStr">
        <is>
          <t>ES94 2100 8663 1702 0013 1414</t>
        </is>
      </c>
      <c r="Q205" s="606" t="inlineStr">
        <is>
          <t>EUR</t>
        </is>
      </c>
      <c r="R205" s="640" t="inlineStr">
        <is>
          <t>01</t>
        </is>
      </c>
      <c r="S205" s="339" t="inlineStr">
        <is>
          <t>FALSE</t>
        </is>
      </c>
      <c r="T205" s="1" t="inlineStr">
        <is>
          <t xml:space="preserve"> </t>
        </is>
      </c>
      <c r="U205" s="608" t="inlineStr">
        <is>
          <t>https://www.facturantia.com/API/proformas_receptor.php</t>
        </is>
      </c>
      <c r="V205" s="609" t="n">
        <v>6666</v>
      </c>
      <c r="W205" s="610" t="inlineStr">
        <is>
          <t>facturacion@abalados.es</t>
        </is>
      </c>
      <c r="X205" s="609" t="n">
        <v>762687769</v>
      </c>
      <c r="Z205" s="624" t="n">
        <v>45951</v>
      </c>
    </row>
    <row r="206" ht="15" customHeight="1" s="700">
      <c r="A206" s="339" t="inlineStr">
        <is>
          <t>J</t>
        </is>
      </c>
      <c r="B206" s="1" t="inlineStr">
        <is>
          <t>SE Colectora Ayora Renovables, A.I.E.</t>
        </is>
      </c>
      <c r="C206" s="1" t="inlineStr">
        <is>
          <t>CIF V13734439</t>
        </is>
      </c>
      <c r="D206" s="1" t="inlineStr">
        <is>
          <t>2024-008</t>
        </is>
      </c>
      <c r="E206" s="598" t="n">
        <v>0.08</v>
      </c>
      <c r="F206" s="601">
        <f>IF( OR(ISNUMBER(SEARCH("NIF",C206)),ISNUMBER(SEARCH("CIF",C206)),ISNUMBER(SEARCH("NIE",C206))), MID(C206,5,LEN(C206)), C206)</f>
        <v/>
      </c>
      <c r="G206" s="339" t="inlineStr">
        <is>
          <t>nif</t>
        </is>
      </c>
      <c r="H206" s="602">
        <f>F206</f>
        <v/>
      </c>
      <c r="I206" s="603">
        <f>VLOOKUP(B206,DATOS!B:D,3,FALSE)</f>
        <v/>
      </c>
      <c r="J206" s="603">
        <f>MID(VLOOKUP(B206,DATOS!B:E,4,FALSE),1,5)</f>
        <v/>
      </c>
      <c r="K206" s="603">
        <f>MID(VLOOKUP(B206,DATOS!B:E,4,FALSE),7,LEN(VLOOKUP(B206,DATOS!B:E,4,FALSE)))</f>
        <v/>
      </c>
      <c r="L206" s="603">
        <f>K206</f>
        <v/>
      </c>
      <c r="M206" s="606" t="inlineStr">
        <is>
          <t>R</t>
        </is>
      </c>
      <c r="N206" s="606" t="inlineStr">
        <is>
          <t>ESP</t>
        </is>
      </c>
      <c r="O206" s="619" t="inlineStr">
        <is>
          <t>ES3501287702970100008533</t>
        </is>
      </c>
      <c r="Q206" s="606" t="inlineStr">
        <is>
          <t>EUR</t>
        </is>
      </c>
      <c r="R206" s="640" t="inlineStr">
        <is>
          <t>01</t>
        </is>
      </c>
      <c r="S206" s="339" t="inlineStr">
        <is>
          <t>FALSE</t>
        </is>
      </c>
      <c r="T206" s="1" t="inlineStr">
        <is>
          <t xml:space="preserve"> </t>
        </is>
      </c>
      <c r="U206" s="608" t="inlineStr">
        <is>
          <t>https://www.facturantia.com/API/proformas_receptor.php</t>
        </is>
      </c>
      <c r="V206" s="609" t="n">
        <v>6666</v>
      </c>
      <c r="W206" s="610" t="inlineStr">
        <is>
          <t>facturacion@abalados.es</t>
        </is>
      </c>
      <c r="X206" s="609" t="n">
        <v>762687769</v>
      </c>
      <c r="Z206" s="624" t="n">
        <v>45951</v>
      </c>
    </row>
    <row r="207" ht="15" customHeight="1" s="700">
      <c r="A207" s="339" t="inlineStr">
        <is>
          <t>J</t>
        </is>
      </c>
      <c r="B207" s="1" t="inlineStr">
        <is>
          <t>Renovables Valle Solar Fotovoltaica, A.I.E.</t>
        </is>
      </c>
      <c r="C207" s="1" t="inlineStr">
        <is>
          <t>CIF V13734348</t>
        </is>
      </c>
      <c r="D207" s="1" t="inlineStr">
        <is>
          <t>2024-009</t>
        </is>
      </c>
      <c r="E207" s="598" t="n">
        <v>0.08</v>
      </c>
      <c r="F207" s="601">
        <f>IF( OR(ISNUMBER(SEARCH("NIF",C207)),ISNUMBER(SEARCH("CIF",C207)),ISNUMBER(SEARCH("NIE",C207))), MID(C207,5,LEN(C207)), C207)</f>
        <v/>
      </c>
      <c r="G207" s="339" t="inlineStr">
        <is>
          <t>nif</t>
        </is>
      </c>
      <c r="H207" s="602">
        <f>F207</f>
        <v/>
      </c>
      <c r="I207" s="603">
        <f>VLOOKUP(B207,DATOS!B:D,3,FALSE)</f>
        <v/>
      </c>
      <c r="J207" s="603">
        <f>MID(VLOOKUP(B207,DATOS!B:E,4,FALSE),1,5)</f>
        <v/>
      </c>
      <c r="K207" s="603">
        <f>MID(VLOOKUP(B207,DATOS!B:E,4,FALSE),7,LEN(VLOOKUP(B207,DATOS!B:E,4,FALSE)))</f>
        <v/>
      </c>
      <c r="L207" s="603">
        <f>K207</f>
        <v/>
      </c>
      <c r="M207" s="606" t="inlineStr">
        <is>
          <t>R</t>
        </is>
      </c>
      <c r="N207" s="606" t="inlineStr">
        <is>
          <t>ESP</t>
        </is>
      </c>
      <c r="O207" s="619" t="inlineStr">
        <is>
          <t>ES6901287702900100008652</t>
        </is>
      </c>
      <c r="Q207" s="606" t="inlineStr">
        <is>
          <t>EUR</t>
        </is>
      </c>
      <c r="R207" s="640" t="inlineStr">
        <is>
          <t>01</t>
        </is>
      </c>
      <c r="S207" s="339" t="inlineStr">
        <is>
          <t>FALSE</t>
        </is>
      </c>
      <c r="T207" s="1" t="inlineStr">
        <is>
          <t xml:space="preserve"> </t>
        </is>
      </c>
      <c r="U207" s="608" t="inlineStr">
        <is>
          <t>https://www.facturantia.com/API/proformas_receptor.php</t>
        </is>
      </c>
      <c r="V207" s="609" t="n">
        <v>6666</v>
      </c>
      <c r="W207" s="610" t="inlineStr">
        <is>
          <t>facturacion@abalados.es</t>
        </is>
      </c>
      <c r="X207" s="609" t="n">
        <v>762687769</v>
      </c>
      <c r="Z207" s="624" t="n">
        <v>45951</v>
      </c>
    </row>
    <row r="208" ht="15" customHeight="1" s="700">
      <c r="A208" s="339" t="inlineStr">
        <is>
          <t>J</t>
        </is>
      </c>
      <c r="B208" s="1" t="inlineStr">
        <is>
          <t>China Building Material International Technology Investment Co., Limited</t>
        </is>
      </c>
      <c r="C208" s="365" t="inlineStr">
        <is>
          <t>59946348-000-06-18-1</t>
        </is>
      </c>
      <c r="D208" s="1" t="inlineStr">
        <is>
          <t>2024-010</t>
        </is>
      </c>
      <c r="E208" s="339" t="n">
        <v>0</v>
      </c>
      <c r="F208" s="601">
        <f>IF( OR(ISNUMBER(SEARCH("NIF",C208)),ISNUMBER(SEARCH("CIF",C208)),ISNUMBER(SEARCH("NIE",C208))), MID(C208,5,LEN(C208)), C208)</f>
        <v/>
      </c>
      <c r="G208" s="339" t="inlineStr">
        <is>
          <t>nif</t>
        </is>
      </c>
      <c r="H208" s="602">
        <f>F208</f>
        <v/>
      </c>
      <c r="I208" s="603">
        <f>VLOOKUP(B208,DATOS!B:D,3,FALSE)</f>
        <v/>
      </c>
      <c r="J208" s="604" t="n">
        <v>999077</v>
      </c>
      <c r="K208" s="604" t="inlineStr">
        <is>
          <t>Hong Kong</t>
        </is>
      </c>
      <c r="L208" s="604" t="inlineStr">
        <is>
          <t>Wan Chai</t>
        </is>
      </c>
      <c r="M208" s="606" t="inlineStr">
        <is>
          <t>R</t>
        </is>
      </c>
      <c r="N208" s="339" t="inlineStr">
        <is>
          <t>HK</t>
        </is>
      </c>
      <c r="O208" s="628" t="inlineStr">
        <is>
          <t>--</t>
        </is>
      </c>
      <c r="P208" s="628" t="inlineStr">
        <is>
          <t>--</t>
        </is>
      </c>
      <c r="Q208" s="606" t="inlineStr">
        <is>
          <t>EUR</t>
        </is>
      </c>
      <c r="R208" s="640" t="inlineStr">
        <is>
          <t>01</t>
        </is>
      </c>
      <c r="S208" s="339" t="inlineStr">
        <is>
          <t>FALSE</t>
        </is>
      </c>
      <c r="T208" s="1" t="inlineStr">
        <is>
          <t xml:space="preserve"> </t>
        </is>
      </c>
      <c r="U208" s="608" t="inlineStr">
        <is>
          <t>https://www.facturantia.com/API/proformas_receptor.php</t>
        </is>
      </c>
      <c r="V208" s="609" t="n">
        <v>6666</v>
      </c>
      <c r="W208" s="610" t="inlineStr">
        <is>
          <t>facturacion@abalados.es</t>
        </is>
      </c>
      <c r="X208" s="609" t="n">
        <v>762687769</v>
      </c>
      <c r="Z208" s="624" t="n"/>
    </row>
    <row r="209" ht="15" customHeight="1" s="700">
      <c r="A209" s="339" t="inlineStr">
        <is>
          <t>J</t>
        </is>
      </c>
      <c r="B209" s="1" t="inlineStr">
        <is>
          <t>Piquito Olé S.L.</t>
        </is>
      </c>
      <c r="C209" t="inlineStr">
        <is>
          <t>CIF B90482050</t>
        </is>
      </c>
      <c r="D209" s="1" t="inlineStr">
        <is>
          <t>2024-011</t>
        </is>
      </c>
      <c r="E209" s="339" t="n">
        <v>0</v>
      </c>
      <c r="F209" s="601">
        <f>IF( OR(ISNUMBER(SEARCH("NIF",C209)),ISNUMBER(SEARCH("CIF",C209)),ISNUMBER(SEARCH("NIE",C209))), MID(C209,5,LEN(C209)), C209)</f>
        <v/>
      </c>
      <c r="G209" s="339" t="inlineStr">
        <is>
          <t>nif</t>
        </is>
      </c>
      <c r="H209" s="602">
        <f>F209</f>
        <v/>
      </c>
      <c r="I209" s="603">
        <f>VLOOKUP(B209,DATOS!B:D,3,FALSE)</f>
        <v/>
      </c>
      <c r="J209" s="603">
        <f>MID(VLOOKUP(B209,DATOS!B:E,4,FALSE),1,5)</f>
        <v/>
      </c>
      <c r="K209" s="603">
        <f>MID(VLOOKUP(B209,DATOS!B:E,4,FALSE),7,LEN(VLOOKUP(B209,DATOS!B:E,4,FALSE)))</f>
        <v/>
      </c>
      <c r="L209" s="603">
        <f>K209</f>
        <v/>
      </c>
      <c r="M209" s="606" t="inlineStr">
        <is>
          <t>R</t>
        </is>
      </c>
      <c r="N209" s="606" t="inlineStr">
        <is>
          <t>ESP</t>
        </is>
      </c>
      <c r="O209" s="365" t="inlineStr">
        <is>
          <t>ES86 2080 3509 1530 4009 6345</t>
        </is>
      </c>
      <c r="P209" s="365" t="inlineStr">
        <is>
          <t>CAGLESMMXXX</t>
        </is>
      </c>
      <c r="Q209" s="606" t="inlineStr">
        <is>
          <t>EUR</t>
        </is>
      </c>
      <c r="R209" s="640" t="inlineStr">
        <is>
          <t>01</t>
        </is>
      </c>
      <c r="S209" s="339" t="inlineStr">
        <is>
          <t>FALSE</t>
        </is>
      </c>
      <c r="T209" s="1" t="inlineStr">
        <is>
          <t xml:space="preserve"> </t>
        </is>
      </c>
      <c r="U209" s="608" t="inlineStr">
        <is>
          <t>https://www.facturantia.com/API/proformas_receptor.php</t>
        </is>
      </c>
      <c r="V209" s="609" t="n">
        <v>6666</v>
      </c>
      <c r="W209" s="610" t="inlineStr">
        <is>
          <t>facturacion@abalados.es</t>
        </is>
      </c>
      <c r="X209" s="609" t="n">
        <v>762687769</v>
      </c>
      <c r="Z209" s="624" t="n">
        <v>45951</v>
      </c>
    </row>
    <row r="210" ht="15" customHeight="1" s="700">
      <c r="A210" s="339" t="inlineStr">
        <is>
          <t>J</t>
        </is>
      </c>
      <c r="B210" s="1" t="inlineStr">
        <is>
          <t>ABO WIND S.A.U.</t>
        </is>
      </c>
      <c r="C210" s="1" t="inlineStr">
        <is>
          <t>CIF A97066914</t>
        </is>
      </c>
      <c r="D210" s="1" t="inlineStr">
        <is>
          <t>2024-012</t>
        </is>
      </c>
      <c r="E210" s="339" t="n">
        <v>0</v>
      </c>
      <c r="F210" s="601">
        <f>IF( OR(ISNUMBER(SEARCH("NIF",C210)),ISNUMBER(SEARCH("CIF",C210)),ISNUMBER(SEARCH("NIE",C210))), MID(C210,5,LEN(C210)), C210)</f>
        <v/>
      </c>
      <c r="G210" s="339" t="inlineStr">
        <is>
          <t>nif</t>
        </is>
      </c>
      <c r="H210" s="602">
        <f>F210</f>
        <v/>
      </c>
      <c r="I210" s="603">
        <f>VLOOKUP(B210,DATOS!B:D,3,FALSE)</f>
        <v/>
      </c>
      <c r="J210" s="603">
        <f>MID(VLOOKUP(B210,DATOS!B:E,4,FALSE),1,5)</f>
        <v/>
      </c>
      <c r="K210" s="603">
        <f>MID(VLOOKUP(B210,DATOS!B:E,4,FALSE),7,LEN(VLOOKUP(B210,DATOS!B:E,4,FALSE)))</f>
        <v/>
      </c>
      <c r="L210" s="603">
        <f>K210</f>
        <v/>
      </c>
      <c r="M210" s="606" t="inlineStr">
        <is>
          <t>R</t>
        </is>
      </c>
      <c r="N210" s="606" t="inlineStr">
        <is>
          <t>ESP</t>
        </is>
      </c>
      <c r="O210" s="633" t="inlineStr">
        <is>
          <t>--</t>
        </is>
      </c>
      <c r="P210" s="633" t="inlineStr">
        <is>
          <t>--</t>
        </is>
      </c>
      <c r="Q210" s="606" t="inlineStr">
        <is>
          <t>EUR</t>
        </is>
      </c>
      <c r="R210" s="640" t="inlineStr">
        <is>
          <t>01</t>
        </is>
      </c>
      <c r="S210" s="339" t="inlineStr">
        <is>
          <t>FALSE</t>
        </is>
      </c>
      <c r="T210" s="1" t="inlineStr">
        <is>
          <t xml:space="preserve"> </t>
        </is>
      </c>
      <c r="U210" s="608" t="inlineStr">
        <is>
          <t>https://www.facturantia.com/API/proformas_receptor.php</t>
        </is>
      </c>
      <c r="V210" s="609" t="n">
        <v>6666</v>
      </c>
      <c r="W210" s="610" t="inlineStr">
        <is>
          <t>facturacion@abalados.es</t>
        </is>
      </c>
      <c r="X210" s="609" t="n">
        <v>762687769</v>
      </c>
      <c r="Z210" s="624" t="n"/>
    </row>
    <row r="211" ht="15" customHeight="1" s="700">
      <c r="A211" s="339" t="inlineStr">
        <is>
          <t>J</t>
        </is>
      </c>
      <c r="B211" s="1" t="inlineStr">
        <is>
          <t>Encavis Asset Management AG</t>
        </is>
      </c>
      <c r="C211" s="1" t="inlineStr">
        <is>
          <t>DE 197110652</t>
        </is>
      </c>
      <c r="D211" s="1" t="inlineStr">
        <is>
          <t>2024-013</t>
        </is>
      </c>
      <c r="E211" s="339" t="n">
        <v>0</v>
      </c>
      <c r="F211" s="601">
        <f>IF( OR(ISNUMBER(SEARCH("NIF",C211)),ISNUMBER(SEARCH("CIF",C211)),ISNUMBER(SEARCH("NIE",C211))), MID(C211,5,LEN(C211)), C211)</f>
        <v/>
      </c>
      <c r="G211" s="339" t="inlineStr">
        <is>
          <t>nif</t>
        </is>
      </c>
      <c r="H211" s="602">
        <f>F211</f>
        <v/>
      </c>
      <c r="I211" s="603">
        <f>VLOOKUP(B211,DATOS!B:D,3,FALSE)</f>
        <v/>
      </c>
      <c r="J211" s="603">
        <f>MID(VLOOKUP(B211,DATOS!B:E,4,FALSE),1,5)</f>
        <v/>
      </c>
      <c r="K211" s="604" t="inlineStr">
        <is>
          <t>Baviera</t>
        </is>
      </c>
      <c r="L211" s="604" t="inlineStr">
        <is>
          <t>Neubiberg</t>
        </is>
      </c>
      <c r="M211" s="606" t="inlineStr">
        <is>
          <t>R</t>
        </is>
      </c>
      <c r="N211" s="339" t="inlineStr">
        <is>
          <t>DE</t>
        </is>
      </c>
      <c r="O211" s="633" t="inlineStr">
        <is>
          <t>--</t>
        </is>
      </c>
      <c r="P211" s="633" t="inlineStr">
        <is>
          <t>--</t>
        </is>
      </c>
      <c r="Q211" s="606" t="inlineStr">
        <is>
          <t>EUR</t>
        </is>
      </c>
      <c r="R211" s="640" t="inlineStr">
        <is>
          <t>01</t>
        </is>
      </c>
      <c r="S211" s="339" t="inlineStr">
        <is>
          <t>FALSE</t>
        </is>
      </c>
      <c r="T211" s="1" t="inlineStr">
        <is>
          <t xml:space="preserve"> </t>
        </is>
      </c>
      <c r="U211" s="608" t="inlineStr">
        <is>
          <t>https://www.facturantia.com/API/proformas_receptor.php</t>
        </is>
      </c>
      <c r="V211" s="609" t="n">
        <v>6666</v>
      </c>
      <c r="W211" s="610" t="inlineStr">
        <is>
          <t>facturacion@abalados.es</t>
        </is>
      </c>
      <c r="X211" s="609" t="n">
        <v>762687769</v>
      </c>
      <c r="Z211" s="624" t="n"/>
    </row>
    <row r="212" ht="15" customHeight="1" s="700">
      <c r="A212" s="339" t="inlineStr">
        <is>
          <t>J</t>
        </is>
      </c>
      <c r="B212" s="1" t="inlineStr">
        <is>
          <t>Delafruit S.L.U.</t>
        </is>
      </c>
      <c r="C212" s="1" t="inlineStr">
        <is>
          <t>CIF B61690848</t>
        </is>
      </c>
      <c r="D212" s="1" t="inlineStr">
        <is>
          <t>2024-014</t>
        </is>
      </c>
      <c r="E212" s="339" t="n">
        <v>0</v>
      </c>
      <c r="F212" s="601">
        <f>IF( OR(ISNUMBER(SEARCH("NIF",C212)),ISNUMBER(SEARCH("CIF",C212)),ISNUMBER(SEARCH("NIE",C212))), MID(C212,5,LEN(C212)), C212)</f>
        <v/>
      </c>
      <c r="G212" s="339" t="inlineStr">
        <is>
          <t>nif</t>
        </is>
      </c>
      <c r="H212" s="602">
        <f>F212</f>
        <v/>
      </c>
      <c r="I212" s="603">
        <f>VLOOKUP(B212,DATOS!B:D,3,FALSE)</f>
        <v/>
      </c>
      <c r="J212" s="603">
        <f>MID(VLOOKUP(B212,DATOS!B:E,4,FALSE),1,5)</f>
        <v/>
      </c>
      <c r="K212" s="604" t="inlineStr">
        <is>
          <t>Tarragona</t>
        </is>
      </c>
      <c r="L212" s="604" t="inlineStr">
        <is>
          <t>La Selva del Camp</t>
        </is>
      </c>
      <c r="M212" s="606" t="inlineStr">
        <is>
          <t>R</t>
        </is>
      </c>
      <c r="N212" s="606" t="inlineStr">
        <is>
          <t>ESP</t>
        </is>
      </c>
      <c r="O212" s="628" t="inlineStr">
        <is>
          <t>--</t>
        </is>
      </c>
      <c r="P212" s="628" t="inlineStr">
        <is>
          <t>--</t>
        </is>
      </c>
      <c r="Q212" s="606" t="inlineStr">
        <is>
          <t>EUR</t>
        </is>
      </c>
      <c r="R212" s="640" t="inlineStr">
        <is>
          <t>01</t>
        </is>
      </c>
      <c r="S212" s="339" t="inlineStr">
        <is>
          <t>FALSE</t>
        </is>
      </c>
      <c r="T212" s="1" t="inlineStr">
        <is>
          <t xml:space="preserve"> </t>
        </is>
      </c>
      <c r="U212" s="608" t="inlineStr">
        <is>
          <t>https://www.facturantia.com/API/proformas_receptor.php</t>
        </is>
      </c>
      <c r="V212" s="609" t="n">
        <v>6666</v>
      </c>
      <c r="W212" s="610" t="inlineStr">
        <is>
          <t>facturacion@abalados.es</t>
        </is>
      </c>
      <c r="X212" s="609" t="n">
        <v>762687769</v>
      </c>
      <c r="Z212" s="624" t="n"/>
    </row>
    <row r="213" ht="15" customHeight="1" s="700">
      <c r="A213" s="339" t="inlineStr">
        <is>
          <t>J</t>
        </is>
      </c>
      <c r="B213" s="1" t="inlineStr">
        <is>
          <t>San Pedro Pinatar Renovables, S.L.</t>
        </is>
      </c>
      <c r="C213" s="1" t="inlineStr">
        <is>
          <t>CIF B56880321</t>
        </is>
      </c>
      <c r="D213" s="1" t="inlineStr">
        <is>
          <t>2024-015</t>
        </is>
      </c>
      <c r="E213" s="598" t="n">
        <v>0.08</v>
      </c>
      <c r="F213" s="601">
        <f>IF( OR(ISNUMBER(SEARCH("NIF",C213)),ISNUMBER(SEARCH("CIF",C213)),ISNUMBER(SEARCH("NIE",C213))), MID(C213,5,LEN(C213)), C213)</f>
        <v/>
      </c>
      <c r="G213" s="339" t="inlineStr">
        <is>
          <t>nif</t>
        </is>
      </c>
      <c r="H213" s="602">
        <f>F213</f>
        <v/>
      </c>
      <c r="I213" s="603">
        <f>VLOOKUP(B213,DATOS!B:D,3,FALSE)</f>
        <v/>
      </c>
      <c r="J213" s="603">
        <f>MID(VLOOKUP(B213,DATOS!B:E,4,FALSE),1,5)</f>
        <v/>
      </c>
      <c r="K213" s="603">
        <f>MID(VLOOKUP(B213,DATOS!B:E,4,FALSE),7,LEN(VLOOKUP(B213,DATOS!B:E,4,FALSE)))</f>
        <v/>
      </c>
      <c r="L213" s="603">
        <f>K213</f>
        <v/>
      </c>
      <c r="M213" s="606" t="inlineStr">
        <is>
          <t>R</t>
        </is>
      </c>
      <c r="N213" s="606" t="inlineStr">
        <is>
          <t>ESP</t>
        </is>
      </c>
      <c r="O213" s="619" t="inlineStr">
        <is>
          <t>ES5301289471810100015797</t>
        </is>
      </c>
      <c r="Q213" s="606" t="inlineStr">
        <is>
          <t>EUR</t>
        </is>
      </c>
      <c r="R213" s="640" t="inlineStr">
        <is>
          <t>01</t>
        </is>
      </c>
      <c r="S213" s="339" t="inlineStr">
        <is>
          <t>FALSE</t>
        </is>
      </c>
      <c r="T213" s="1" t="inlineStr">
        <is>
          <t xml:space="preserve"> </t>
        </is>
      </c>
      <c r="U213" s="608" t="inlineStr">
        <is>
          <t>https://www.facturantia.com/API/proformas_receptor.php</t>
        </is>
      </c>
      <c r="V213" s="609" t="n">
        <v>6666</v>
      </c>
      <c r="W213" s="610" t="inlineStr">
        <is>
          <t>facturacion@abalados.es</t>
        </is>
      </c>
      <c r="X213" s="609" t="n">
        <v>762687769</v>
      </c>
      <c r="Z213" s="624" t="n">
        <v>45951</v>
      </c>
    </row>
    <row r="214" ht="15" customHeight="1" s="700">
      <c r="A214" s="339" t="inlineStr">
        <is>
          <t>J</t>
        </is>
      </c>
      <c r="B214" s="1" t="inlineStr">
        <is>
          <t>Evacuación Salteras, S.L.</t>
        </is>
      </c>
      <c r="C214" s="1" t="inlineStr">
        <is>
          <t>CIF B56363484</t>
        </is>
      </c>
      <c r="D214" s="1" t="inlineStr">
        <is>
          <t>2024-016</t>
        </is>
      </c>
      <c r="E214" s="598" t="n">
        <v>0.08</v>
      </c>
      <c r="F214" s="601">
        <f>IF( OR(ISNUMBER(SEARCH("NIF",C214)),ISNUMBER(SEARCH("CIF",C214)),ISNUMBER(SEARCH("NIE",C214))), MID(C214,5,LEN(C214)), C214)</f>
        <v/>
      </c>
      <c r="G214" s="339" t="inlineStr">
        <is>
          <t>nif</t>
        </is>
      </c>
      <c r="H214" s="602">
        <f>F214</f>
        <v/>
      </c>
      <c r="I214" s="603">
        <f>VLOOKUP(B214,DATOS!B:D,3,FALSE)</f>
        <v/>
      </c>
      <c r="J214" s="603">
        <f>MID(VLOOKUP(B214,DATOS!B:E,4,FALSE),1,5)</f>
        <v/>
      </c>
      <c r="K214" s="603">
        <f>MID(VLOOKUP(B214,DATOS!B:E,4,FALSE),7,LEN(VLOOKUP(B214,DATOS!B:E,4,FALSE)))</f>
        <v/>
      </c>
      <c r="L214" s="603">
        <f>K214</f>
        <v/>
      </c>
      <c r="M214" s="606" t="inlineStr">
        <is>
          <t>R</t>
        </is>
      </c>
      <c r="N214" s="606" t="inlineStr">
        <is>
          <t>ESP</t>
        </is>
      </c>
      <c r="O214" s="619" t="inlineStr">
        <is>
          <t>ES80 0128 9471 8101 0001 4341</t>
        </is>
      </c>
      <c r="Q214" s="606" t="inlineStr">
        <is>
          <t>EUR</t>
        </is>
      </c>
      <c r="R214" s="640" t="inlineStr">
        <is>
          <t>01</t>
        </is>
      </c>
      <c r="S214" s="339" t="inlineStr">
        <is>
          <t>FALSE</t>
        </is>
      </c>
      <c r="T214" s="1" t="inlineStr">
        <is>
          <t xml:space="preserve"> </t>
        </is>
      </c>
      <c r="U214" s="608" t="inlineStr">
        <is>
          <t>https://www.facturantia.com/API/proformas_receptor.php</t>
        </is>
      </c>
      <c r="V214" s="609" t="n">
        <v>6666</v>
      </c>
      <c r="W214" s="610" t="inlineStr">
        <is>
          <t>facturacion@abalados.es</t>
        </is>
      </c>
      <c r="X214" s="609" t="n">
        <v>762687769</v>
      </c>
      <c r="Z214" s="624" t="n">
        <v>45951</v>
      </c>
    </row>
    <row r="215" ht="15" customHeight="1" s="700">
      <c r="A215" s="339" t="inlineStr">
        <is>
          <t>J</t>
        </is>
      </c>
      <c r="B215" s="1" t="inlineStr">
        <is>
          <t>Tordesillas T2Prima 132kV, S.L.</t>
        </is>
      </c>
      <c r="C215" s="1" t="inlineStr">
        <is>
          <t>CIF B56999758</t>
        </is>
      </c>
      <c r="D215" s="1" t="inlineStr">
        <is>
          <t>2024-017</t>
        </is>
      </c>
      <c r="E215" s="598" t="n">
        <v>0.08</v>
      </c>
      <c r="F215" s="601">
        <f>IF( OR(ISNUMBER(SEARCH("NIF",C215)),ISNUMBER(SEARCH("CIF",C215)),ISNUMBER(SEARCH("NIE",C215))), MID(C215,5,LEN(C215)), C215)</f>
        <v/>
      </c>
      <c r="G215" s="339" t="inlineStr">
        <is>
          <t>nif</t>
        </is>
      </c>
      <c r="H215" s="602">
        <f>F215</f>
        <v/>
      </c>
      <c r="I215" s="603">
        <f>VLOOKUP(B215,DATOS!B:D,3,FALSE)</f>
        <v/>
      </c>
      <c r="J215" s="603">
        <f>MID(VLOOKUP(B215,DATOS!B:E,4,FALSE),1,5)</f>
        <v/>
      </c>
      <c r="K215" s="603">
        <f>MID(VLOOKUP(B215,DATOS!B:E,4,FALSE),7,LEN(VLOOKUP(B215,DATOS!B:E,4,FALSE)))</f>
        <v/>
      </c>
      <c r="L215" s="603">
        <f>K215</f>
        <v/>
      </c>
      <c r="M215" s="606" t="inlineStr">
        <is>
          <t>R</t>
        </is>
      </c>
      <c r="N215" s="606" t="inlineStr">
        <is>
          <t>ESP</t>
        </is>
      </c>
      <c r="O215" s="619" t="inlineStr">
        <is>
          <t>ES4401289400230100036222</t>
        </is>
      </c>
      <c r="Q215" s="606" t="inlineStr">
        <is>
          <t>EUR</t>
        </is>
      </c>
      <c r="R215" s="640" t="inlineStr">
        <is>
          <t>01</t>
        </is>
      </c>
      <c r="S215" s="339" t="inlineStr">
        <is>
          <t>FALSE</t>
        </is>
      </c>
      <c r="T215" s="1" t="inlineStr">
        <is>
          <t xml:space="preserve"> </t>
        </is>
      </c>
      <c r="U215" s="608" t="inlineStr">
        <is>
          <t>https://www.facturantia.com/API/proformas_receptor.php</t>
        </is>
      </c>
      <c r="V215" s="609" t="n">
        <v>6666</v>
      </c>
      <c r="W215" s="610" t="inlineStr">
        <is>
          <t>facturacion@abalados.es</t>
        </is>
      </c>
      <c r="X215" s="609" t="n">
        <v>762687769</v>
      </c>
      <c r="Z215" s="624" t="n">
        <v>45951</v>
      </c>
    </row>
    <row r="216" ht="15" customHeight="1" s="700">
      <c r="A216" s="339" t="inlineStr">
        <is>
          <t>J</t>
        </is>
      </c>
      <c r="B216" s="1" t="inlineStr">
        <is>
          <t>Ferimet, S.L.</t>
        </is>
      </c>
      <c r="C216" s="1" t="inlineStr">
        <is>
          <t>CIF B17327610</t>
        </is>
      </c>
      <c r="D216" s="1" t="inlineStr">
        <is>
          <t>2024-018</t>
        </is>
      </c>
      <c r="E216" s="339" t="n">
        <v>0</v>
      </c>
      <c r="F216" s="601">
        <f>IF( OR(ISNUMBER(SEARCH("NIF",C216)),ISNUMBER(SEARCH("CIF",C216)),ISNUMBER(SEARCH("NIE",C216))), MID(C216,5,LEN(C216)), C216)</f>
        <v/>
      </c>
      <c r="G216" s="339" t="inlineStr">
        <is>
          <t>nif</t>
        </is>
      </c>
      <c r="H216" s="602">
        <f>F216</f>
        <v/>
      </c>
      <c r="I216" s="603">
        <f>VLOOKUP(B216,DATOS!B:D,3,FALSE)</f>
        <v/>
      </c>
      <c r="J216" s="603">
        <f>MID(VLOOKUP(B216,DATOS!B:E,4,FALSE),1,5)</f>
        <v/>
      </c>
      <c r="K216" s="604" t="inlineStr">
        <is>
          <t>Barcelona</t>
        </is>
      </c>
      <c r="L216" s="604" t="inlineStr">
        <is>
          <t>Castellbisbal</t>
        </is>
      </c>
      <c r="M216" s="606" t="inlineStr">
        <is>
          <t>R</t>
        </is>
      </c>
      <c r="N216" s="606" t="inlineStr">
        <is>
          <t>ESP</t>
        </is>
      </c>
      <c r="O216" s="633" t="inlineStr">
        <is>
          <t>--</t>
        </is>
      </c>
      <c r="P216" s="633" t="inlineStr">
        <is>
          <t>--</t>
        </is>
      </c>
      <c r="Q216" s="606" t="inlineStr">
        <is>
          <t>EUR</t>
        </is>
      </c>
      <c r="R216" s="640" t="inlineStr">
        <is>
          <t>01</t>
        </is>
      </c>
      <c r="S216" s="339" t="inlineStr">
        <is>
          <t>FALSE</t>
        </is>
      </c>
      <c r="T216" s="1" t="inlineStr">
        <is>
          <t xml:space="preserve"> </t>
        </is>
      </c>
      <c r="U216" s="608" t="inlineStr">
        <is>
          <t>https://www.facturantia.com/API/proformas_receptor.php</t>
        </is>
      </c>
      <c r="V216" s="609" t="n">
        <v>6666</v>
      </c>
      <c r="W216" s="610" t="inlineStr">
        <is>
          <t>facturacion@abalados.es</t>
        </is>
      </c>
      <c r="X216" s="609" t="n">
        <v>762687769</v>
      </c>
      <c r="Z216" s="624" t="n"/>
    </row>
    <row r="217" ht="15" customHeight="1" s="700">
      <c r="A217" s="339" t="inlineStr">
        <is>
          <t>J</t>
        </is>
      </c>
      <c r="B217" s="1" t="inlineStr">
        <is>
          <t>Crisol Alcores, S.L.</t>
        </is>
      </c>
      <c r="C217" s="1" t="inlineStr">
        <is>
          <t>CIF B90387291</t>
        </is>
      </c>
      <c r="D217" s="1" t="inlineStr">
        <is>
          <t>2024-019</t>
        </is>
      </c>
      <c r="E217" s="339" t="n">
        <v>0</v>
      </c>
      <c r="F217" s="601">
        <f>IF( OR(ISNUMBER(SEARCH("NIF",C217)),ISNUMBER(SEARCH("CIF",C217)),ISNUMBER(SEARCH("NIE",C217))), MID(C217,5,LEN(C217)), C217)</f>
        <v/>
      </c>
      <c r="G217" s="339" t="inlineStr">
        <is>
          <t>nif</t>
        </is>
      </c>
      <c r="H217" s="602">
        <f>F217</f>
        <v/>
      </c>
      <c r="I217" s="603">
        <f>VLOOKUP(B217,DATOS!B:D,3,FALSE)</f>
        <v/>
      </c>
      <c r="J217" s="603">
        <f>MID(VLOOKUP(B217,DATOS!B:E,4,FALSE),1,5)</f>
        <v/>
      </c>
      <c r="K217" s="603">
        <f>MID(VLOOKUP(B217,DATOS!B:E,4,FALSE),7,LEN(VLOOKUP(B217,DATOS!B:E,4,FALSE)))</f>
        <v/>
      </c>
      <c r="L217" s="603">
        <f>K217</f>
        <v/>
      </c>
      <c r="M217" s="606" t="inlineStr">
        <is>
          <t>R</t>
        </is>
      </c>
      <c r="N217" s="606" t="inlineStr">
        <is>
          <t>ESP</t>
        </is>
      </c>
      <c r="O217" s="633" t="inlineStr">
        <is>
          <t>--</t>
        </is>
      </c>
      <c r="P217" s="633" t="inlineStr">
        <is>
          <t>--</t>
        </is>
      </c>
      <c r="Q217" s="606" t="inlineStr">
        <is>
          <t>EUR</t>
        </is>
      </c>
      <c r="R217" s="640" t="inlineStr">
        <is>
          <t>01</t>
        </is>
      </c>
      <c r="S217" s="339" t="inlineStr">
        <is>
          <t>FALSE</t>
        </is>
      </c>
      <c r="T217" s="1" t="inlineStr">
        <is>
          <t xml:space="preserve"> </t>
        </is>
      </c>
      <c r="U217" s="608" t="inlineStr">
        <is>
          <t>https://www.facturantia.com/API/proformas_receptor.php</t>
        </is>
      </c>
      <c r="V217" s="609" t="n">
        <v>6666</v>
      </c>
      <c r="W217" s="610" t="inlineStr">
        <is>
          <t>facturacion@abalados.es</t>
        </is>
      </c>
      <c r="X217" s="609" t="n">
        <v>762687769</v>
      </c>
      <c r="Z217" s="624" t="n"/>
    </row>
    <row r="218" ht="15" customHeight="1" s="700">
      <c r="A218" s="339" t="inlineStr">
        <is>
          <t>F</t>
        </is>
      </c>
      <c r="B218" s="1" t="inlineStr">
        <is>
          <t>Jaime García de Viguera Enrile</t>
        </is>
      </c>
      <c r="C218" s="1" t="inlineStr">
        <is>
          <t>NIF 31030385G</t>
        </is>
      </c>
      <c r="D218" s="1" t="inlineStr">
        <is>
          <t>2024-020</t>
        </is>
      </c>
      <c r="E218" s="339" t="n">
        <v>0</v>
      </c>
      <c r="F218" s="601">
        <f>IF( OR(ISNUMBER(SEARCH("NIF",C218)),ISNUMBER(SEARCH("CIF",C218)),ISNUMBER(SEARCH("NIE",C218))), MID(C218,5,LEN(C218)), C218)</f>
        <v/>
      </c>
      <c r="G218" s="339" t="inlineStr">
        <is>
          <t>nif</t>
        </is>
      </c>
      <c r="H218" s="602">
        <f>F218</f>
        <v/>
      </c>
      <c r="I218" s="603">
        <f>VLOOKUP(B218,DATOS!B:D,3,FALSE)</f>
        <v/>
      </c>
      <c r="J218" s="603">
        <f>MID(VLOOKUP(B218,DATOS!B:E,4,FALSE),1,5)</f>
        <v/>
      </c>
      <c r="K218" s="603" t="inlineStr">
        <is>
          <t>Córdoba</t>
        </is>
      </c>
      <c r="L218" s="603" t="inlineStr">
        <is>
          <t>Córdoba</t>
        </is>
      </c>
      <c r="M218" s="606" t="inlineStr">
        <is>
          <t>R</t>
        </is>
      </c>
      <c r="N218" s="606" t="inlineStr">
        <is>
          <t>ESP</t>
        </is>
      </c>
      <c r="O218" s="633" t="inlineStr">
        <is>
          <t>--</t>
        </is>
      </c>
      <c r="P218" s="633" t="inlineStr">
        <is>
          <t>--</t>
        </is>
      </c>
      <c r="Q218" s="606" t="inlineStr">
        <is>
          <t>EUR</t>
        </is>
      </c>
      <c r="R218" s="640" t="inlineStr">
        <is>
          <t>01</t>
        </is>
      </c>
      <c r="S218" s="607" t="inlineStr">
        <is>
          <t>TRUE</t>
        </is>
      </c>
      <c r="T218" s="1" t="inlineStr">
        <is>
          <t xml:space="preserve"> </t>
        </is>
      </c>
      <c r="U218" s="608" t="inlineStr">
        <is>
          <t>https://www.facturantia.com/API/proformas_receptor.php</t>
        </is>
      </c>
      <c r="V218" s="609" t="n">
        <v>6666</v>
      </c>
      <c r="W218" s="610" t="inlineStr">
        <is>
          <t>facturacion@abalados.es</t>
        </is>
      </c>
      <c r="X218" s="609" t="n">
        <v>762687769</v>
      </c>
      <c r="Z218" s="624" t="n"/>
    </row>
    <row r="219" ht="15" customHeight="1" s="700">
      <c r="A219" s="339" t="inlineStr">
        <is>
          <t>J</t>
        </is>
      </c>
      <c r="B219" s="1" t="inlineStr">
        <is>
          <t>Saja Renovables, S.L.</t>
        </is>
      </c>
      <c r="C219" s="1" t="inlineStr">
        <is>
          <t>CIF B39711734</t>
        </is>
      </c>
      <c r="D219" s="1" t="inlineStr">
        <is>
          <t>2024-021</t>
        </is>
      </c>
      <c r="E219" s="339" t="n">
        <v>0</v>
      </c>
      <c r="F219" s="601">
        <f>IF( OR(ISNUMBER(SEARCH("NIF",C219)),ISNUMBER(SEARCH("CIF",C219)),ISNUMBER(SEARCH("NIE",C219))), MID(C219,5,LEN(C219)), C219)</f>
        <v/>
      </c>
      <c r="G219" s="339" t="inlineStr">
        <is>
          <t>nif</t>
        </is>
      </c>
      <c r="H219" s="602">
        <f>F219</f>
        <v/>
      </c>
      <c r="I219" s="603">
        <f>VLOOKUP(B219,DATOS!B:D,3,FALSE)</f>
        <v/>
      </c>
      <c r="J219" s="603">
        <f>MID(VLOOKUP(B219,DATOS!B:E,4,FALSE),1,5)</f>
        <v/>
      </c>
      <c r="K219" s="604" t="inlineStr">
        <is>
          <t>Madrid</t>
        </is>
      </c>
      <c r="L219" s="604" t="inlineStr">
        <is>
          <t>San Sebastian de los Reyes</t>
        </is>
      </c>
      <c r="M219" s="606" t="inlineStr">
        <is>
          <t>R</t>
        </is>
      </c>
      <c r="N219" s="606" t="inlineStr">
        <is>
          <t>ESP</t>
        </is>
      </c>
      <c r="O219" s="628" t="inlineStr">
        <is>
          <t>--</t>
        </is>
      </c>
      <c r="P219" s="628" t="inlineStr">
        <is>
          <t>--</t>
        </is>
      </c>
      <c r="Q219" s="606" t="inlineStr">
        <is>
          <t>EUR</t>
        </is>
      </c>
      <c r="R219" s="640" t="inlineStr">
        <is>
          <t>01</t>
        </is>
      </c>
      <c r="S219" s="339" t="inlineStr">
        <is>
          <t>FALSE</t>
        </is>
      </c>
      <c r="T219" s="1" t="inlineStr">
        <is>
          <t xml:space="preserve"> </t>
        </is>
      </c>
      <c r="U219" s="608" t="inlineStr">
        <is>
          <t>https://www.facturantia.com/API/proformas_receptor.php</t>
        </is>
      </c>
      <c r="V219" s="609" t="n">
        <v>6666</v>
      </c>
      <c r="W219" s="610" t="inlineStr">
        <is>
          <t>facturacion@abalados.es</t>
        </is>
      </c>
      <c r="X219" s="609" t="n">
        <v>762687769</v>
      </c>
      <c r="Z219" s="624" t="n"/>
    </row>
    <row r="220" ht="15" customHeight="1" s="700">
      <c r="A220" s="339" t="inlineStr">
        <is>
          <t>J</t>
        </is>
      </c>
      <c r="B220" s="1" t="inlineStr">
        <is>
          <t>C2C Inver Park, S.L.</t>
        </is>
      </c>
      <c r="C220" s="1" t="inlineStr">
        <is>
          <t>CIF B65166779</t>
        </is>
      </c>
      <c r="D220" s="1" t="inlineStr">
        <is>
          <t>2024-022</t>
        </is>
      </c>
      <c r="E220" s="339" t="n">
        <v>0</v>
      </c>
      <c r="F220" s="601">
        <f>IF( OR(ISNUMBER(SEARCH("NIF",C220)),ISNUMBER(SEARCH("CIF",C220)),ISNUMBER(SEARCH("NIE",C220))), MID(C220,5,LEN(C220)), C220)</f>
        <v/>
      </c>
      <c r="G220" s="339" t="inlineStr">
        <is>
          <t>nif</t>
        </is>
      </c>
      <c r="H220" s="602">
        <f>F220</f>
        <v/>
      </c>
      <c r="I220" s="603">
        <f>VLOOKUP(B220,DATOS!B:D,3,FALSE)</f>
        <v/>
      </c>
      <c r="J220" s="603">
        <f>MID(VLOOKUP(B220,DATOS!B:E,4,FALSE),1,5)</f>
        <v/>
      </c>
      <c r="K220" s="604" t="inlineStr">
        <is>
          <t>Madrid</t>
        </is>
      </c>
      <c r="L220" s="604" t="inlineStr">
        <is>
          <t>San Sebastian de los Reyes</t>
        </is>
      </c>
      <c r="M220" s="606" t="inlineStr">
        <is>
          <t>R</t>
        </is>
      </c>
      <c r="N220" s="606" t="inlineStr">
        <is>
          <t>ESP</t>
        </is>
      </c>
      <c r="O220" s="628" t="inlineStr">
        <is>
          <t>--</t>
        </is>
      </c>
      <c r="P220" s="628" t="inlineStr">
        <is>
          <t>--</t>
        </is>
      </c>
      <c r="Q220" s="606" t="inlineStr">
        <is>
          <t>EUR</t>
        </is>
      </c>
      <c r="R220" s="640" t="inlineStr">
        <is>
          <t>01</t>
        </is>
      </c>
      <c r="S220" s="339" t="inlineStr">
        <is>
          <t>FALSE</t>
        </is>
      </c>
      <c r="T220" s="1" t="inlineStr">
        <is>
          <t xml:space="preserve"> </t>
        </is>
      </c>
      <c r="U220" s="608" t="inlineStr">
        <is>
          <t>https://www.facturantia.com/API/proformas_receptor.php</t>
        </is>
      </c>
      <c r="V220" s="609" t="n">
        <v>6666</v>
      </c>
      <c r="W220" s="610" t="inlineStr">
        <is>
          <t>facturacion@abalados.es</t>
        </is>
      </c>
      <c r="X220" s="609" t="n">
        <v>762687769</v>
      </c>
      <c r="Z220" s="624" t="n"/>
    </row>
    <row r="221" ht="15" customHeight="1" s="700">
      <c r="A221" s="339" t="inlineStr">
        <is>
          <t>J</t>
        </is>
      </c>
      <c r="B221" s="1" t="inlineStr">
        <is>
          <t>Desarrollos Fotovoltaicos Mas del Bou, S.L.</t>
        </is>
      </c>
      <c r="C221" s="1" t="inlineStr">
        <is>
          <t>CIF B12817508</t>
        </is>
      </c>
      <c r="D221" s="1" t="inlineStr">
        <is>
          <t>2024-023</t>
        </is>
      </c>
      <c r="E221" s="339" t="n">
        <v>0</v>
      </c>
      <c r="F221" s="601">
        <f>IF( OR(ISNUMBER(SEARCH("NIF",C221)),ISNUMBER(SEARCH("CIF",C221)),ISNUMBER(SEARCH("NIE",C221))), MID(C221,5,LEN(C221)), C221)</f>
        <v/>
      </c>
      <c r="G221" s="339" t="inlineStr">
        <is>
          <t>nif</t>
        </is>
      </c>
      <c r="H221" s="602">
        <f>F221</f>
        <v/>
      </c>
      <c r="I221" s="603">
        <f>VLOOKUP(B221,DATOS!B:D,3,FALSE)</f>
        <v/>
      </c>
      <c r="J221" s="603">
        <f>MID(VLOOKUP(B221,DATOS!B:E,4,FALSE),1,5)</f>
        <v/>
      </c>
      <c r="K221" s="604" t="inlineStr">
        <is>
          <t>Madrid</t>
        </is>
      </c>
      <c r="L221" s="604" t="inlineStr">
        <is>
          <t>San Sebastian de los Reyes</t>
        </is>
      </c>
      <c r="M221" s="606" t="inlineStr">
        <is>
          <t>R</t>
        </is>
      </c>
      <c r="N221" s="606" t="inlineStr">
        <is>
          <t>ESP</t>
        </is>
      </c>
      <c r="O221" s="628" t="inlineStr">
        <is>
          <t>--</t>
        </is>
      </c>
      <c r="P221" s="628" t="inlineStr">
        <is>
          <t>--</t>
        </is>
      </c>
      <c r="Q221" s="606" t="inlineStr">
        <is>
          <t>EUR</t>
        </is>
      </c>
      <c r="R221" s="640" t="inlineStr">
        <is>
          <t>01</t>
        </is>
      </c>
      <c r="S221" s="339" t="inlineStr">
        <is>
          <t>FALSE</t>
        </is>
      </c>
      <c r="T221" s="1" t="inlineStr">
        <is>
          <t xml:space="preserve"> </t>
        </is>
      </c>
      <c r="U221" s="608" t="inlineStr">
        <is>
          <t>https://www.facturantia.com/API/proformas_receptor.php</t>
        </is>
      </c>
      <c r="V221" s="609" t="n">
        <v>6666</v>
      </c>
      <c r="W221" s="610" t="inlineStr">
        <is>
          <t>facturacion@abalados.es</t>
        </is>
      </c>
      <c r="X221" s="609" t="n">
        <v>762687769</v>
      </c>
      <c r="Z221" s="624" t="n"/>
    </row>
    <row r="222" ht="15" customHeight="1" s="700">
      <c r="A222" s="339" t="inlineStr">
        <is>
          <t>J</t>
        </is>
      </c>
      <c r="B222" s="1" t="inlineStr">
        <is>
          <t>Energías Renovables El Canto, S.L.</t>
        </is>
      </c>
      <c r="C222" s="1" t="inlineStr">
        <is>
          <t>CIF B19908854</t>
        </is>
      </c>
      <c r="D222" s="1" t="inlineStr">
        <is>
          <t>2024-024</t>
        </is>
      </c>
      <c r="E222" s="598" t="n">
        <v>0.08</v>
      </c>
      <c r="F222" s="601">
        <f>IF( OR(ISNUMBER(SEARCH("NIF",C222)),ISNUMBER(SEARCH("CIF",C222)),ISNUMBER(SEARCH("NIE",C222))), MID(C222,5,LEN(C222)), C222)</f>
        <v/>
      </c>
      <c r="G222" s="339" t="inlineStr">
        <is>
          <t>nif</t>
        </is>
      </c>
      <c r="H222" s="602">
        <f>F222</f>
        <v/>
      </c>
      <c r="I222" s="603">
        <f>VLOOKUP(B222,DATOS!B:D,3,FALSE)</f>
        <v/>
      </c>
      <c r="J222" s="603">
        <f>MID(VLOOKUP(B222,DATOS!B:E,4,FALSE),1,5)</f>
        <v/>
      </c>
      <c r="K222" s="603">
        <f>MID(VLOOKUP(B222,DATOS!B:E,4,FALSE),7,LEN(VLOOKUP(B222,DATOS!B:E,4,FALSE)))</f>
        <v/>
      </c>
      <c r="L222" s="603">
        <f>K222</f>
        <v/>
      </c>
      <c r="M222" s="606" t="inlineStr">
        <is>
          <t>R</t>
        </is>
      </c>
      <c r="N222" s="606" t="inlineStr">
        <is>
          <t>ESP</t>
        </is>
      </c>
      <c r="O222" s="619" t="inlineStr">
        <is>
          <t>ES49 0128 9471 8901 0001 4313</t>
        </is>
      </c>
      <c r="Q222" s="606" t="inlineStr">
        <is>
          <t>EUR</t>
        </is>
      </c>
      <c r="R222" s="640" t="inlineStr">
        <is>
          <t>01</t>
        </is>
      </c>
      <c r="S222" s="339" t="inlineStr">
        <is>
          <t>FALSE</t>
        </is>
      </c>
      <c r="T222" s="1" t="inlineStr">
        <is>
          <t xml:space="preserve"> </t>
        </is>
      </c>
      <c r="U222" s="608" t="inlineStr">
        <is>
          <t>https://www.facturantia.com/API/proformas_receptor.php</t>
        </is>
      </c>
      <c r="V222" s="609" t="n">
        <v>6666</v>
      </c>
      <c r="W222" s="610" t="inlineStr">
        <is>
          <t>facturacion@abalados.es</t>
        </is>
      </c>
      <c r="X222" s="609" t="n">
        <v>762687769</v>
      </c>
      <c r="Z222" s="624" t="n">
        <v>45951</v>
      </c>
    </row>
    <row r="223" ht="15" customHeight="1" s="700">
      <c r="A223" s="339" t="inlineStr">
        <is>
          <t>J</t>
        </is>
      </c>
      <c r="B223" s="1" t="inlineStr">
        <is>
          <t>Técnicas y Servicios de Automoción, S.A.</t>
        </is>
      </c>
      <c r="C223" s="1" t="inlineStr">
        <is>
          <t>CIF A41121336</t>
        </is>
      </c>
      <c r="D223" s="1" t="inlineStr">
        <is>
          <t>2024-025</t>
        </is>
      </c>
      <c r="E223" s="339" t="n">
        <v>0</v>
      </c>
      <c r="F223" s="601">
        <f>IF( OR(ISNUMBER(SEARCH("NIF",C223)),ISNUMBER(SEARCH("CIF",C223)),ISNUMBER(SEARCH("NIE",C223))), MID(C223,5,LEN(C223)), C223)</f>
        <v/>
      </c>
      <c r="G223" s="339" t="inlineStr">
        <is>
          <t>nif</t>
        </is>
      </c>
      <c r="H223" s="602">
        <f>F223</f>
        <v/>
      </c>
      <c r="I223" s="603">
        <f>VLOOKUP(B223,DATOS!B:D,3,FALSE)</f>
        <v/>
      </c>
      <c r="J223" s="603">
        <f>MID(VLOOKUP(B223,DATOS!B:E,4,FALSE),1,5)</f>
        <v/>
      </c>
      <c r="K223" s="603">
        <f>MID(VLOOKUP(B223,DATOS!B:E,4,FALSE),7,LEN(VLOOKUP(B223,DATOS!B:E,4,FALSE)))</f>
        <v/>
      </c>
      <c r="L223" s="603">
        <f>K223</f>
        <v/>
      </c>
      <c r="M223" s="606" t="inlineStr">
        <is>
          <t>R</t>
        </is>
      </c>
      <c r="N223" s="606" t="inlineStr">
        <is>
          <t>ESP</t>
        </is>
      </c>
      <c r="O223" s="633" t="inlineStr">
        <is>
          <t>--</t>
        </is>
      </c>
      <c r="P223" s="633" t="inlineStr">
        <is>
          <t>--</t>
        </is>
      </c>
      <c r="Q223" s="606" t="inlineStr">
        <is>
          <t>EUR</t>
        </is>
      </c>
      <c r="R223" s="640" t="inlineStr">
        <is>
          <t>01</t>
        </is>
      </c>
      <c r="S223" s="339" t="inlineStr">
        <is>
          <t>FALSE</t>
        </is>
      </c>
      <c r="T223" s="1" t="inlineStr">
        <is>
          <t xml:space="preserve"> </t>
        </is>
      </c>
      <c r="U223" s="608" t="inlineStr">
        <is>
          <t>https://www.facturantia.com/API/proformas_receptor.php</t>
        </is>
      </c>
      <c r="V223" s="609" t="n">
        <v>6666</v>
      </c>
      <c r="W223" s="610" t="inlineStr">
        <is>
          <t>facturacion@abalados.es</t>
        </is>
      </c>
      <c r="X223" s="609" t="n">
        <v>762687769</v>
      </c>
      <c r="Z223" s="624" t="n"/>
    </row>
    <row r="224" ht="15" customHeight="1" s="700">
      <c r="A224" s="339" t="inlineStr">
        <is>
          <t>J</t>
        </is>
      </c>
      <c r="B224" s="1" t="inlineStr">
        <is>
          <t>Jerte Renovables, S.L.</t>
        </is>
      </c>
      <c r="C224" s="1" t="inlineStr">
        <is>
          <t>CIF B42825224</t>
        </is>
      </c>
      <c r="D224" s="1" t="inlineStr">
        <is>
          <t>2024-026</t>
        </is>
      </c>
      <c r="E224" s="339" t="n">
        <v>0</v>
      </c>
      <c r="F224" s="601">
        <f>IF( OR(ISNUMBER(SEARCH("NIF",C224)),ISNUMBER(SEARCH("CIF",C224)),ISNUMBER(SEARCH("NIE",C224))), MID(C224,5,LEN(C224)), C224)</f>
        <v/>
      </c>
      <c r="G224" s="339" t="inlineStr">
        <is>
          <t>nif</t>
        </is>
      </c>
      <c r="H224" s="602">
        <f>F224</f>
        <v/>
      </c>
      <c r="I224" s="603">
        <f>VLOOKUP(B224,DATOS!B:D,3,FALSE)</f>
        <v/>
      </c>
      <c r="J224" s="603">
        <f>MID(VLOOKUP(B224,DATOS!B:E,4,FALSE),1,5)</f>
        <v/>
      </c>
      <c r="K224" s="603">
        <f>MID(VLOOKUP(B224,DATOS!B:E,4,FALSE),7,LEN(VLOOKUP(B224,DATOS!B:E,4,FALSE)))</f>
        <v/>
      </c>
      <c r="L224" s="603">
        <f>K224</f>
        <v/>
      </c>
      <c r="M224" s="606" t="inlineStr">
        <is>
          <t>R</t>
        </is>
      </c>
      <c r="N224" s="606" t="inlineStr">
        <is>
          <t>ESP</t>
        </is>
      </c>
      <c r="O224" s="633" t="inlineStr">
        <is>
          <t>--</t>
        </is>
      </c>
      <c r="P224" s="633" t="inlineStr">
        <is>
          <t>--</t>
        </is>
      </c>
      <c r="Q224" s="606" t="inlineStr">
        <is>
          <t>EUR</t>
        </is>
      </c>
      <c r="R224" s="640" t="inlineStr">
        <is>
          <t>01</t>
        </is>
      </c>
      <c r="S224" s="339" t="inlineStr">
        <is>
          <t>FALSE</t>
        </is>
      </c>
      <c r="T224" s="1" t="inlineStr">
        <is>
          <t xml:space="preserve"> </t>
        </is>
      </c>
      <c r="U224" s="608" t="inlineStr">
        <is>
          <t>https://www.facturantia.com/API/proformas_receptor.php</t>
        </is>
      </c>
      <c r="V224" s="609" t="n">
        <v>6666</v>
      </c>
      <c r="W224" s="610" t="inlineStr">
        <is>
          <t>facturacion@abalados.es</t>
        </is>
      </c>
      <c r="X224" s="609" t="n">
        <v>762687769</v>
      </c>
      <c r="Z224" s="624" t="n"/>
    </row>
    <row r="225" ht="15" customHeight="1" s="700">
      <c r="A225" s="339" t="inlineStr">
        <is>
          <t>J</t>
        </is>
      </c>
      <c r="B225" s="1" t="inlineStr">
        <is>
          <t>ICE Andújar, S.L.</t>
        </is>
      </c>
      <c r="C225" s="1" t="inlineStr">
        <is>
          <t>CIF B44755106</t>
        </is>
      </c>
      <c r="D225" s="1" t="inlineStr">
        <is>
          <t>2024-027</t>
        </is>
      </c>
      <c r="E225" s="598" t="n">
        <v>0.08</v>
      </c>
      <c r="F225" s="601">
        <f>IF( OR(ISNUMBER(SEARCH("NIF",C225)),ISNUMBER(SEARCH("CIF",C225)),ISNUMBER(SEARCH("NIE",C225))), MID(C225,5,LEN(C225)), C225)</f>
        <v/>
      </c>
      <c r="G225" s="339" t="inlineStr">
        <is>
          <t>nif</t>
        </is>
      </c>
      <c r="H225" s="602">
        <f>F225</f>
        <v/>
      </c>
      <c r="I225" s="603">
        <f>VLOOKUP(B225,DATOS!B:D,3,FALSE)</f>
        <v/>
      </c>
      <c r="J225" s="603">
        <f>MID(VLOOKUP(B225,DATOS!B:E,4,FALSE),1,5)</f>
        <v/>
      </c>
      <c r="K225" s="603">
        <f>MID(VLOOKUP(B225,DATOS!B:E,4,FALSE),7,LEN(VLOOKUP(B225,DATOS!B:E,4,FALSE)))</f>
        <v/>
      </c>
      <c r="L225" s="603">
        <f>K225</f>
        <v/>
      </c>
      <c r="M225" s="606" t="inlineStr">
        <is>
          <t>R</t>
        </is>
      </c>
      <c r="N225" s="606" t="inlineStr">
        <is>
          <t>ESP</t>
        </is>
      </c>
      <c r="O225" s="619" t="inlineStr">
        <is>
          <t>ES0601287702900100012502</t>
        </is>
      </c>
      <c r="Q225" s="606" t="inlineStr">
        <is>
          <t>EUR</t>
        </is>
      </c>
      <c r="R225" s="640" t="inlineStr">
        <is>
          <t>01</t>
        </is>
      </c>
      <c r="S225" s="339" t="inlineStr">
        <is>
          <t>FALSE</t>
        </is>
      </c>
      <c r="T225" s="1" t="inlineStr">
        <is>
          <t xml:space="preserve"> </t>
        </is>
      </c>
      <c r="U225" s="608" t="inlineStr">
        <is>
          <t>https://www.facturantia.com/API/proformas_receptor.php</t>
        </is>
      </c>
      <c r="V225" s="609" t="n">
        <v>6666</v>
      </c>
      <c r="W225" s="610" t="inlineStr">
        <is>
          <t>facturacion@abalados.es</t>
        </is>
      </c>
      <c r="X225" s="609" t="n">
        <v>762687769</v>
      </c>
      <c r="Z225" s="624" t="n">
        <v>45951</v>
      </c>
    </row>
    <row r="226" ht="15" customHeight="1" s="700">
      <c r="A226" s="339" t="inlineStr">
        <is>
          <t>J</t>
        </is>
      </c>
      <c r="B226" s="1" t="inlineStr">
        <is>
          <t>Manuel Castro Crespo</t>
        </is>
      </c>
      <c r="C226" s="1" t="inlineStr">
        <is>
          <t>NIF 28506223T</t>
        </is>
      </c>
      <c r="D226" s="1" t="inlineStr">
        <is>
          <t>2024-028</t>
        </is>
      </c>
      <c r="E226" s="339" t="n">
        <v>0</v>
      </c>
      <c r="F226" s="601">
        <f>IF( OR(ISNUMBER(SEARCH("NIF",C226)),ISNUMBER(SEARCH("CIF",C226)),ISNUMBER(SEARCH("NIE",C226))), MID(C226,5,LEN(C226)), C226)</f>
        <v/>
      </c>
      <c r="G226" s="339" t="inlineStr">
        <is>
          <t>nif</t>
        </is>
      </c>
      <c r="H226" s="602">
        <f>F226</f>
        <v/>
      </c>
      <c r="I226" s="603">
        <f>VLOOKUP(B226,DATOS!B:D,3,FALSE)</f>
        <v/>
      </c>
      <c r="J226" s="603">
        <f>MID(VLOOKUP(B226,DATOS!B:E,4,FALSE),1,5)</f>
        <v/>
      </c>
      <c r="K226" s="603">
        <f>MID(VLOOKUP(B226,DATOS!B:E,4,FALSE),7,LEN(VLOOKUP(B226,DATOS!B:E,4,FALSE)))</f>
        <v/>
      </c>
      <c r="L226" s="603">
        <f>K226</f>
        <v/>
      </c>
      <c r="M226" s="606" t="inlineStr">
        <is>
          <t>R</t>
        </is>
      </c>
      <c r="N226" s="606" t="inlineStr">
        <is>
          <t>ESP</t>
        </is>
      </c>
      <c r="O226" s="633" t="inlineStr">
        <is>
          <t>--</t>
        </is>
      </c>
      <c r="P226" s="633" t="inlineStr">
        <is>
          <t>--</t>
        </is>
      </c>
      <c r="Q226" s="606" t="inlineStr">
        <is>
          <t>EUR</t>
        </is>
      </c>
      <c r="R226" s="640" t="inlineStr">
        <is>
          <t>01</t>
        </is>
      </c>
      <c r="S226" s="339" t="inlineStr">
        <is>
          <t>FALSE</t>
        </is>
      </c>
      <c r="T226" s="1" t="inlineStr">
        <is>
          <t xml:space="preserve"> </t>
        </is>
      </c>
      <c r="U226" s="608" t="inlineStr">
        <is>
          <t>https://www.facturantia.com/API/proformas_receptor.php</t>
        </is>
      </c>
      <c r="V226" s="609" t="n">
        <v>6666</v>
      </c>
      <c r="W226" s="610" t="inlineStr">
        <is>
          <t>facturacion@abalados.es</t>
        </is>
      </c>
      <c r="X226" s="609" t="n">
        <v>762687769</v>
      </c>
      <c r="Z226" s="624" t="n"/>
    </row>
    <row r="227" ht="15" customHeight="1" s="700">
      <c r="A227" s="339" t="inlineStr">
        <is>
          <t>J</t>
        </is>
      </c>
      <c r="B227" s="1" t="inlineStr">
        <is>
          <t>Promotores Albatarrec 220 kV, S.L.</t>
        </is>
      </c>
      <c r="C227" s="1" t="inlineStr">
        <is>
          <t>CIF B19399831</t>
        </is>
      </c>
      <c r="D227" s="1" t="inlineStr">
        <is>
          <t>2024-029</t>
        </is>
      </c>
      <c r="E227" s="598" t="n">
        <v>0.08</v>
      </c>
      <c r="F227" s="601">
        <f>IF( OR(ISNUMBER(SEARCH("NIF",C227)),ISNUMBER(SEARCH("CIF",C227)),ISNUMBER(SEARCH("NIE",C227))), MID(C227,5,LEN(C227)), C227)</f>
        <v/>
      </c>
      <c r="G227" s="339" t="inlineStr">
        <is>
          <t>nif</t>
        </is>
      </c>
      <c r="H227" s="602">
        <f>F227</f>
        <v/>
      </c>
      <c r="I227" s="603">
        <f>VLOOKUP(B227,DATOS!B:D,3,FALSE)</f>
        <v/>
      </c>
      <c r="J227" s="603">
        <f>MID(VLOOKUP(B227,DATOS!B:E,4,FALSE),1,5)</f>
        <v/>
      </c>
      <c r="K227" s="603">
        <f>MID(VLOOKUP(B227,DATOS!B:E,4,FALSE),7,LEN(VLOOKUP(B227,DATOS!B:E,4,FALSE)))</f>
        <v/>
      </c>
      <c r="L227" s="603">
        <f>K227</f>
        <v/>
      </c>
      <c r="M227" s="606" t="inlineStr">
        <is>
          <t>R</t>
        </is>
      </c>
      <c r="N227" s="606" t="inlineStr">
        <is>
          <t>ESP</t>
        </is>
      </c>
      <c r="O227" s="619" t="inlineStr">
        <is>
          <t>ES1100496099882610034056</t>
        </is>
      </c>
      <c r="Q227" s="606" t="inlineStr">
        <is>
          <t>EUR</t>
        </is>
      </c>
      <c r="R227" s="640" t="inlineStr">
        <is>
          <t>01</t>
        </is>
      </c>
      <c r="S227" s="339" t="inlineStr">
        <is>
          <t>FALSE</t>
        </is>
      </c>
      <c r="T227" s="1" t="inlineStr">
        <is>
          <t xml:space="preserve"> </t>
        </is>
      </c>
      <c r="U227" s="608" t="inlineStr">
        <is>
          <t>https://www.facturantia.com/API/proformas_receptor.php</t>
        </is>
      </c>
      <c r="V227" s="609" t="n">
        <v>6666</v>
      </c>
      <c r="W227" s="610" t="inlineStr">
        <is>
          <t>facturacion@abalados.es</t>
        </is>
      </c>
      <c r="X227" s="609" t="n">
        <v>762687769</v>
      </c>
      <c r="Z227" s="624" t="n">
        <v>45951</v>
      </c>
    </row>
    <row r="228" ht="15" customHeight="1" s="700">
      <c r="A228" s="339" t="inlineStr">
        <is>
          <t>J</t>
        </is>
      </c>
      <c r="B228" s="1" t="inlineStr">
        <is>
          <t>VALCASADO SOLAR, S.L.U.</t>
        </is>
      </c>
      <c r="C228" s="1" t="inlineStr">
        <is>
          <t>CIF B90348301</t>
        </is>
      </c>
      <c r="D228" s="1" t="inlineStr">
        <is>
          <t>2024-030</t>
        </is>
      </c>
      <c r="E228" s="339" t="n">
        <v>0.1</v>
      </c>
      <c r="F228" s="601">
        <f>IF( OR(ISNUMBER(SEARCH("NIF",C228)),ISNUMBER(SEARCH("CIF",C228)),ISNUMBER(SEARCH("NIE",C228))), MID(C228,5,LEN(C228)), C228)</f>
        <v/>
      </c>
      <c r="G228" s="339" t="inlineStr">
        <is>
          <t>nif</t>
        </is>
      </c>
      <c r="H228" s="602">
        <f>F228</f>
        <v/>
      </c>
      <c r="I228" s="603">
        <f>VLOOKUP(B228,DATOS!B:D,3,FALSE)</f>
        <v/>
      </c>
      <c r="J228" s="603">
        <f>MID(VLOOKUP(B228,DATOS!B:E,4,FALSE),1,5)</f>
        <v/>
      </c>
      <c r="K228" s="603">
        <f>MID(VLOOKUP(B228,DATOS!B:E,4,FALSE),7,LEN(VLOOKUP(B228,DATOS!B:E,4,FALSE)))</f>
        <v/>
      </c>
      <c r="L228" s="603">
        <f>K228</f>
        <v/>
      </c>
      <c r="M228" s="606" t="inlineStr">
        <is>
          <t>R</t>
        </is>
      </c>
      <c r="N228" s="606" t="inlineStr">
        <is>
          <t>ESP</t>
        </is>
      </c>
      <c r="O228" s="628" t="inlineStr">
        <is>
          <t>--</t>
        </is>
      </c>
      <c r="P228" s="628" t="inlineStr">
        <is>
          <t>--</t>
        </is>
      </c>
      <c r="Q228" s="606" t="inlineStr">
        <is>
          <t>EUR</t>
        </is>
      </c>
      <c r="R228" s="640" t="inlineStr">
        <is>
          <t>01</t>
        </is>
      </c>
      <c r="S228" s="339" t="inlineStr">
        <is>
          <t>FALSE</t>
        </is>
      </c>
      <c r="T228" s="1" t="inlineStr">
        <is>
          <t xml:space="preserve"> </t>
        </is>
      </c>
      <c r="U228" s="608" t="inlineStr">
        <is>
          <t>https://www.facturantia.com/API/proformas_receptor.php</t>
        </is>
      </c>
      <c r="V228" s="609" t="n">
        <v>6666</v>
      </c>
      <c r="W228" s="610" t="inlineStr">
        <is>
          <t>facturacion@abalados.es</t>
        </is>
      </c>
      <c r="X228" s="609" t="n">
        <v>762687769</v>
      </c>
      <c r="Z228" s="624" t="n"/>
    </row>
    <row r="229" ht="15" customHeight="1" s="700">
      <c r="A229" s="339" t="inlineStr">
        <is>
          <t>J</t>
        </is>
      </c>
      <c r="B229" s="1" t="inlineStr">
        <is>
          <t>Corresol Innovación Agrícola SL</t>
        </is>
      </c>
      <c r="C229" s="1" t="inlineStr">
        <is>
          <t>CIF B02809861</t>
        </is>
      </c>
      <c r="D229" s="1" t="inlineStr">
        <is>
          <t>2025-001</t>
        </is>
      </c>
      <c r="E229" s="339" t="n">
        <v>0</v>
      </c>
      <c r="F229" s="601">
        <f>IF( OR(ISNUMBER(SEARCH("NIF",C229)),ISNUMBER(SEARCH("CIF",C229)),ISNUMBER(SEARCH("NIE",C229))), MID(C229,5,LEN(C229)), C229)</f>
        <v/>
      </c>
      <c r="G229" s="339" t="inlineStr">
        <is>
          <t>nif</t>
        </is>
      </c>
      <c r="H229" s="602">
        <f>F229</f>
        <v/>
      </c>
      <c r="I229" s="603">
        <f>VLOOKUP(B229,DATOS!B:D,3,FALSE)</f>
        <v/>
      </c>
      <c r="J229" s="603">
        <f>MID(VLOOKUP(B229,DATOS!B:E,4,FALSE),1,5)</f>
        <v/>
      </c>
      <c r="K229" s="603">
        <f>MID(VLOOKUP(B229,DATOS!B:E,4,FALSE),7,LEN(VLOOKUP(B229,DATOS!B:E,4,FALSE)))</f>
        <v/>
      </c>
      <c r="L229" s="603">
        <f>K229</f>
        <v/>
      </c>
      <c r="M229" s="606" t="inlineStr">
        <is>
          <t>R</t>
        </is>
      </c>
      <c r="N229" s="606" t="inlineStr">
        <is>
          <t>ESP</t>
        </is>
      </c>
      <c r="O229" s="633" t="inlineStr">
        <is>
          <t>--</t>
        </is>
      </c>
      <c r="P229" s="633" t="inlineStr">
        <is>
          <t>--</t>
        </is>
      </c>
      <c r="Q229" s="606" t="inlineStr">
        <is>
          <t>EUR</t>
        </is>
      </c>
      <c r="R229" s="640" t="inlineStr">
        <is>
          <t>01</t>
        </is>
      </c>
      <c r="S229" s="339" t="inlineStr">
        <is>
          <t>FALSE</t>
        </is>
      </c>
      <c r="T229" s="1" t="inlineStr">
        <is>
          <t xml:space="preserve"> </t>
        </is>
      </c>
      <c r="U229" s="608" t="inlineStr">
        <is>
          <t>https://www.facturantia.com/API/proformas_receptor.php</t>
        </is>
      </c>
      <c r="V229" s="609" t="n">
        <v>6666</v>
      </c>
      <c r="W229" s="610" t="inlineStr">
        <is>
          <t>facturacion@abalados.es</t>
        </is>
      </c>
      <c r="X229" s="609" t="n">
        <v>762687769</v>
      </c>
      <c r="Z229" s="624" t="n"/>
    </row>
    <row r="230" ht="15" customHeight="1" s="700">
      <c r="A230" s="339" t="inlineStr">
        <is>
          <t>J</t>
        </is>
      </c>
      <c r="B230" s="1" t="inlineStr">
        <is>
          <t>Bustper, S.A.</t>
        </is>
      </c>
      <c r="C230" s="1" t="inlineStr">
        <is>
          <t>CIF A43035971</t>
        </is>
      </c>
      <c r="D230" s="1" t="inlineStr">
        <is>
          <t>2025-002</t>
        </is>
      </c>
      <c r="E230" s="339" t="n">
        <v>0</v>
      </c>
      <c r="F230" s="601">
        <f>IF( OR(ISNUMBER(SEARCH("NIF",C230)),ISNUMBER(SEARCH("CIF",C230)),ISNUMBER(SEARCH("NIE",C230))), MID(C230,5,LEN(C230)), C230)</f>
        <v/>
      </c>
      <c r="G230" s="339" t="inlineStr">
        <is>
          <t>nif</t>
        </is>
      </c>
      <c r="H230" s="602">
        <f>F230</f>
        <v/>
      </c>
      <c r="I230" s="603">
        <f>VLOOKUP(B230,DATOS!B:D,3,FALSE)</f>
        <v/>
      </c>
      <c r="J230" s="603">
        <f>MID(VLOOKUP(B230,DATOS!B:E,4,FALSE),1,5)</f>
        <v/>
      </c>
      <c r="K230" s="604" t="inlineStr">
        <is>
          <t>Tarragona</t>
        </is>
      </c>
      <c r="L230" s="604" t="inlineStr">
        <is>
          <t>La Senia</t>
        </is>
      </c>
      <c r="M230" s="606" t="inlineStr">
        <is>
          <t>R</t>
        </is>
      </c>
      <c r="N230" s="606" t="inlineStr">
        <is>
          <t>ESP</t>
        </is>
      </c>
      <c r="O230" s="628" t="inlineStr">
        <is>
          <t>--</t>
        </is>
      </c>
      <c r="P230" s="628" t="inlineStr">
        <is>
          <t>--</t>
        </is>
      </c>
      <c r="Q230" s="606" t="inlineStr">
        <is>
          <t>EUR</t>
        </is>
      </c>
      <c r="R230" s="640" t="inlineStr">
        <is>
          <t>01</t>
        </is>
      </c>
      <c r="S230" s="339" t="inlineStr">
        <is>
          <t>FALSE</t>
        </is>
      </c>
      <c r="T230" s="1" t="inlineStr">
        <is>
          <t xml:space="preserve"> </t>
        </is>
      </c>
      <c r="U230" s="608" t="inlineStr">
        <is>
          <t>https://www.facturantia.com/API/proformas_receptor.php</t>
        </is>
      </c>
      <c r="V230" s="609" t="n">
        <v>6666</v>
      </c>
      <c r="W230" s="610" t="inlineStr">
        <is>
          <t>facturacion@abalados.es</t>
        </is>
      </c>
      <c r="X230" s="609" t="n">
        <v>762687769</v>
      </c>
      <c r="Z230" s="624" t="n"/>
    </row>
    <row r="231" ht="15" customHeight="1" s="700">
      <c r="A231" s="339" t="inlineStr">
        <is>
          <t>J</t>
        </is>
      </c>
      <c r="B231" t="inlineStr">
        <is>
          <t>Lara C.B.</t>
        </is>
      </c>
      <c r="C231" s="1" t="inlineStr">
        <is>
          <t>CIF E43125384</t>
        </is>
      </c>
      <c r="D231" s="1" t="inlineStr">
        <is>
          <t>2025-003</t>
        </is>
      </c>
      <c r="E231" s="339" t="n">
        <v>0</v>
      </c>
      <c r="F231" s="601">
        <f>IF( OR(ISNUMBER(SEARCH("NIF",C231)),ISNUMBER(SEARCH("CIF",C231)),ISNUMBER(SEARCH("NIE",C231))), MID(C231,5,LEN(C231)), C231)</f>
        <v/>
      </c>
      <c r="G231" s="339" t="inlineStr">
        <is>
          <t>nif</t>
        </is>
      </c>
      <c r="H231" s="602">
        <f>F231</f>
        <v/>
      </c>
      <c r="I231" s="603">
        <f>VLOOKUP(B231,DATOS!B:D,3,FALSE)</f>
        <v/>
      </c>
      <c r="J231" s="603">
        <f>MID(VLOOKUP(B231,DATOS!B:E,4,FALSE),1,5)</f>
        <v/>
      </c>
      <c r="K231" s="604" t="inlineStr">
        <is>
          <t>Tarragona</t>
        </is>
      </c>
      <c r="L231" s="604" t="inlineStr">
        <is>
          <t>La Senia</t>
        </is>
      </c>
      <c r="M231" s="606" t="inlineStr">
        <is>
          <t>R</t>
        </is>
      </c>
      <c r="N231" s="606" t="inlineStr">
        <is>
          <t>ESP</t>
        </is>
      </c>
      <c r="O231" s="628" t="inlineStr">
        <is>
          <t>--</t>
        </is>
      </c>
      <c r="P231" s="628" t="inlineStr">
        <is>
          <t>--</t>
        </is>
      </c>
      <c r="Q231" s="606" t="inlineStr">
        <is>
          <t>EUR</t>
        </is>
      </c>
      <c r="R231" s="640" t="inlineStr">
        <is>
          <t>01</t>
        </is>
      </c>
      <c r="S231" s="339" t="inlineStr">
        <is>
          <t>FALSE</t>
        </is>
      </c>
      <c r="T231" s="1" t="inlineStr">
        <is>
          <t xml:space="preserve"> </t>
        </is>
      </c>
      <c r="U231" s="608" t="inlineStr">
        <is>
          <t>https://www.facturantia.com/API/proformas_receptor.php</t>
        </is>
      </c>
      <c r="V231" s="609" t="n">
        <v>6666</v>
      </c>
      <c r="W231" s="610" t="inlineStr">
        <is>
          <t>facturacion@abalados.es</t>
        </is>
      </c>
      <c r="X231" s="609" t="n">
        <v>762687769</v>
      </c>
      <c r="Z231" s="624" t="n"/>
    </row>
    <row r="232" ht="15" customHeight="1" s="700">
      <c r="A232" s="339" t="inlineStr">
        <is>
          <t>J</t>
        </is>
      </c>
      <c r="B232" s="1" t="inlineStr">
        <is>
          <t>Pujalt Infras Privativas Ignis Forestalia, S.L.</t>
        </is>
      </c>
      <c r="C232" s="1" t="inlineStr">
        <is>
          <t>CIF B75640383</t>
        </is>
      </c>
      <c r="D232" s="1" t="inlineStr">
        <is>
          <t>2025-004</t>
        </is>
      </c>
      <c r="E232" s="598" t="n">
        <v>0.08</v>
      </c>
      <c r="F232" s="601">
        <f>IF( OR(ISNUMBER(SEARCH("NIF",C232)),ISNUMBER(SEARCH("CIF",C232)),ISNUMBER(SEARCH("NIE",C232))), MID(C232,5,LEN(C232)), C232)</f>
        <v/>
      </c>
      <c r="G232" s="339" t="inlineStr">
        <is>
          <t>nif</t>
        </is>
      </c>
      <c r="H232" s="602">
        <f>F232</f>
        <v/>
      </c>
      <c r="I232" s="603">
        <f>VLOOKUP(B232,DATOS!B:D,3,FALSE)</f>
        <v/>
      </c>
      <c r="J232" s="603">
        <f>MID(VLOOKUP(B232,DATOS!B:E,4,FALSE),1,5)</f>
        <v/>
      </c>
      <c r="K232" s="603">
        <f>MID(VLOOKUP(B232,DATOS!B:E,4,FALSE),7,LEN(VLOOKUP(B232,DATOS!B:E,4,FALSE)))</f>
        <v/>
      </c>
      <c r="L232" s="603">
        <f>K232</f>
        <v/>
      </c>
      <c r="M232" s="606" t="inlineStr">
        <is>
          <t>R</t>
        </is>
      </c>
      <c r="N232" s="606" t="inlineStr">
        <is>
          <t>ESP</t>
        </is>
      </c>
      <c r="O232" s="619" t="inlineStr">
        <is>
          <t>ES2001289471810100016294</t>
        </is>
      </c>
      <c r="Q232" s="606" t="inlineStr">
        <is>
          <t>EUR</t>
        </is>
      </c>
      <c r="R232" s="640" t="inlineStr">
        <is>
          <t>01</t>
        </is>
      </c>
      <c r="S232" s="339" t="inlineStr">
        <is>
          <t>FALSE</t>
        </is>
      </c>
      <c r="T232" s="1" t="inlineStr">
        <is>
          <t xml:space="preserve"> </t>
        </is>
      </c>
      <c r="U232" s="608" t="inlineStr">
        <is>
          <t>https://www.facturantia.com/API/proformas_receptor.php</t>
        </is>
      </c>
      <c r="V232" s="609" t="n">
        <v>6666</v>
      </c>
      <c r="W232" s="610" t="inlineStr">
        <is>
          <t>facturacion@abalados.es</t>
        </is>
      </c>
      <c r="X232" s="609" t="n">
        <v>762687769</v>
      </c>
      <c r="Z232" s="624" t="n">
        <v>45951</v>
      </c>
    </row>
    <row r="233" ht="15" customHeight="1" s="700">
      <c r="A233" s="339" t="inlineStr">
        <is>
          <t>J</t>
        </is>
      </c>
      <c r="B233" s="1" t="inlineStr">
        <is>
          <t>ASINPE S.L.</t>
        </is>
      </c>
      <c r="C233" s="1" t="inlineStr">
        <is>
          <t>CIF B91337030</t>
        </is>
      </c>
      <c r="D233" s="1" t="inlineStr">
        <is>
          <t>2025-005</t>
        </is>
      </c>
      <c r="E233" s="339" t="n">
        <v>0</v>
      </c>
      <c r="F233" s="601">
        <f>IF( OR(ISNUMBER(SEARCH("NIF",C233)),ISNUMBER(SEARCH("CIF",C233)),ISNUMBER(SEARCH("NIE",C233))), MID(C233,5,LEN(C233)), C233)</f>
        <v/>
      </c>
      <c r="G233" s="339" t="inlineStr">
        <is>
          <t>nif</t>
        </is>
      </c>
      <c r="H233" s="602">
        <f>F233</f>
        <v/>
      </c>
      <c r="I233" s="603">
        <f>VLOOKUP(B233,DATOS!B:D,3,FALSE)</f>
        <v/>
      </c>
      <c r="J233" s="603">
        <f>MID(VLOOKUP(B233,DATOS!B:E,4,FALSE),1,5)</f>
        <v/>
      </c>
      <c r="K233" s="603">
        <f>MID(VLOOKUP(B233,DATOS!B:E,4,FALSE),7,LEN(VLOOKUP(B233,DATOS!B:E,4,FALSE)))</f>
        <v/>
      </c>
      <c r="L233" s="603">
        <f>K233</f>
        <v/>
      </c>
      <c r="M233" s="606" t="inlineStr">
        <is>
          <t>R</t>
        </is>
      </c>
      <c r="N233" s="606" t="inlineStr">
        <is>
          <t>ESP</t>
        </is>
      </c>
      <c r="O233" s="633" t="inlineStr">
        <is>
          <t>--</t>
        </is>
      </c>
      <c r="P233" s="633" t="inlineStr">
        <is>
          <t>--</t>
        </is>
      </c>
      <c r="Q233" s="606" t="inlineStr">
        <is>
          <t>EUR</t>
        </is>
      </c>
      <c r="R233" s="640" t="inlineStr">
        <is>
          <t>01</t>
        </is>
      </c>
      <c r="S233" s="339" t="inlineStr">
        <is>
          <t>FALSE</t>
        </is>
      </c>
      <c r="T233" s="1" t="inlineStr">
        <is>
          <t xml:space="preserve"> </t>
        </is>
      </c>
      <c r="U233" s="608" t="inlineStr">
        <is>
          <t>https://www.facturantia.com/API/proformas_receptor.php</t>
        </is>
      </c>
      <c r="V233" s="609" t="n">
        <v>6666</v>
      </c>
      <c r="W233" s="610" t="inlineStr">
        <is>
          <t>facturacion@abalados.es</t>
        </is>
      </c>
      <c r="X233" s="609" t="n">
        <v>762687769</v>
      </c>
      <c r="Z233" s="624" t="n"/>
    </row>
    <row r="234" ht="15" customHeight="1" s="700">
      <c r="A234" s="339" t="inlineStr">
        <is>
          <t>J</t>
        </is>
      </c>
      <c r="B234" s="1" t="inlineStr">
        <is>
          <t>Tábara 400kV Renovables, SL</t>
        </is>
      </c>
      <c r="C234" s="1" t="inlineStr">
        <is>
          <t>CIF B72939283</t>
        </is>
      </c>
      <c r="D234" s="1" t="inlineStr">
        <is>
          <t>2025-006</t>
        </is>
      </c>
      <c r="E234" s="598" t="n">
        <v>0.08</v>
      </c>
      <c r="F234" s="601">
        <f>IF( OR(ISNUMBER(SEARCH("NIF",C234)),ISNUMBER(SEARCH("CIF",C234)),ISNUMBER(SEARCH("NIE",C234))), MID(C234,5,LEN(C234)), C234)</f>
        <v/>
      </c>
      <c r="G234" s="339" t="inlineStr">
        <is>
          <t>nif</t>
        </is>
      </c>
      <c r="H234" s="602">
        <f>F234</f>
        <v/>
      </c>
      <c r="I234" s="603">
        <f>VLOOKUP(B234,DATOS!B:D,3,FALSE)</f>
        <v/>
      </c>
      <c r="J234" s="603">
        <f>MID(VLOOKUP(B234,DATOS!B:E,4,FALSE),1,5)</f>
        <v/>
      </c>
      <c r="K234" s="603">
        <f>MID(VLOOKUP(B234,DATOS!B:E,4,FALSE),7,LEN(VLOOKUP(B234,DATOS!B:E,4,FALSE)))</f>
        <v/>
      </c>
      <c r="L234" s="603">
        <f>K234</f>
        <v/>
      </c>
      <c r="M234" s="606" t="inlineStr">
        <is>
          <t>R</t>
        </is>
      </c>
      <c r="N234" s="606" t="inlineStr">
        <is>
          <t>ESP</t>
        </is>
      </c>
      <c r="Q234" s="606" t="inlineStr">
        <is>
          <t>EUR</t>
        </is>
      </c>
      <c r="R234" s="640" t="inlineStr">
        <is>
          <t>01</t>
        </is>
      </c>
      <c r="S234" s="339" t="inlineStr">
        <is>
          <t>FALSE</t>
        </is>
      </c>
      <c r="T234" s="1" t="inlineStr">
        <is>
          <t xml:space="preserve"> </t>
        </is>
      </c>
      <c r="U234" s="608" t="inlineStr">
        <is>
          <t>https://www.facturantia.com/API/proformas_receptor.php</t>
        </is>
      </c>
      <c r="V234" s="609" t="n">
        <v>6666</v>
      </c>
      <c r="W234" s="610" t="inlineStr">
        <is>
          <t>facturacion@abalados.es</t>
        </is>
      </c>
      <c r="X234" s="609" t="n">
        <v>762687769</v>
      </c>
      <c r="Z234" s="624" t="n"/>
    </row>
    <row r="235" ht="15" customHeight="1" s="700">
      <c r="A235" s="339" t="inlineStr">
        <is>
          <t>J</t>
        </is>
      </c>
      <c r="B235" s="1" t="inlineStr">
        <is>
          <t>Garnacha Solar, S.L</t>
        </is>
      </c>
      <c r="C235" s="1" t="inlineStr">
        <is>
          <t>CIF B88184700</t>
        </is>
      </c>
      <c r="D235" s="1" t="inlineStr">
        <is>
          <t>2025-007</t>
        </is>
      </c>
      <c r="E235" s="339" t="n">
        <v>0</v>
      </c>
      <c r="F235" s="601">
        <f>IF( OR(ISNUMBER(SEARCH("NIF",C235)),ISNUMBER(SEARCH("CIF",C235)),ISNUMBER(SEARCH("NIE",C235))), MID(C235,5,LEN(C235)), C235)</f>
        <v/>
      </c>
      <c r="G235" s="339" t="inlineStr">
        <is>
          <t>nif</t>
        </is>
      </c>
      <c r="H235" s="602">
        <f>F235</f>
        <v/>
      </c>
      <c r="I235" s="603">
        <f>VLOOKUP(B235,DATOS!B:D,3,FALSE)</f>
        <v/>
      </c>
      <c r="J235" s="603">
        <f>MID(VLOOKUP(B235,DATOS!B:E,4,FALSE),1,5)</f>
        <v/>
      </c>
      <c r="K235" s="603">
        <f>MID(VLOOKUP(B235,DATOS!B:E,4,FALSE),7,LEN(VLOOKUP(B235,DATOS!B:E,4,FALSE)))</f>
        <v/>
      </c>
      <c r="L235" s="603">
        <f>K235</f>
        <v/>
      </c>
      <c r="M235" s="606" t="inlineStr">
        <is>
          <t>R</t>
        </is>
      </c>
      <c r="N235" s="606" t="inlineStr">
        <is>
          <t>ESP</t>
        </is>
      </c>
      <c r="O235" s="633" t="inlineStr">
        <is>
          <t>--</t>
        </is>
      </c>
      <c r="P235" s="633" t="inlineStr">
        <is>
          <t>--</t>
        </is>
      </c>
      <c r="Q235" s="606" t="inlineStr">
        <is>
          <t>EUR</t>
        </is>
      </c>
      <c r="R235" s="640" t="inlineStr">
        <is>
          <t>01</t>
        </is>
      </c>
      <c r="S235" s="339" t="inlineStr">
        <is>
          <t>FALSE</t>
        </is>
      </c>
      <c r="T235" s="1" t="inlineStr">
        <is>
          <t xml:space="preserve"> </t>
        </is>
      </c>
      <c r="U235" s="608" t="inlineStr">
        <is>
          <t>https://www.facturantia.com/API/proformas_receptor.php</t>
        </is>
      </c>
      <c r="V235" s="609" t="n">
        <v>6666</v>
      </c>
      <c r="W235" s="610" t="inlineStr">
        <is>
          <t>facturacion@abalados.es</t>
        </is>
      </c>
      <c r="X235" s="609" t="n">
        <v>762687769</v>
      </c>
      <c r="Z235" s="624" t="n"/>
    </row>
    <row r="236" ht="15" customHeight="1" s="700">
      <c r="A236" s="339" t="inlineStr">
        <is>
          <t>J</t>
        </is>
      </c>
      <c r="B236" s="1" t="inlineStr">
        <is>
          <t xml:space="preserve">SSE RENEWABLES SPAIN, S.L. </t>
        </is>
      </c>
      <c r="C236" s="1" t="inlineStr">
        <is>
          <t>CIF B47528310</t>
        </is>
      </c>
      <c r="D236" s="1" t="inlineStr">
        <is>
          <t>2025-008</t>
        </is>
      </c>
      <c r="E236" s="339" t="n">
        <v>0</v>
      </c>
      <c r="F236" s="601">
        <f>IF( OR(ISNUMBER(SEARCH("NIF",C236)),ISNUMBER(SEARCH("CIF",C236)),ISNUMBER(SEARCH("NIE",C236))), MID(C236,5,LEN(C236)), C236)</f>
        <v/>
      </c>
      <c r="G236" s="339" t="inlineStr">
        <is>
          <t>nif</t>
        </is>
      </c>
      <c r="H236" s="602">
        <f>F236</f>
        <v/>
      </c>
      <c r="I236" s="603">
        <f>VLOOKUP(B236,DATOS!B:D,3,FALSE)</f>
        <v/>
      </c>
      <c r="J236" s="603">
        <f>MID(VLOOKUP(B236,DATOS!B:E,4,FALSE),1,5)</f>
        <v/>
      </c>
      <c r="K236" s="604" t="inlineStr">
        <is>
          <t>Bizkaia</t>
        </is>
      </c>
      <c r="L236" s="604" t="inlineStr">
        <is>
          <t>Bilbao</t>
        </is>
      </c>
      <c r="M236" s="606" t="inlineStr">
        <is>
          <t>R</t>
        </is>
      </c>
      <c r="N236" s="606" t="inlineStr">
        <is>
          <t>ESP</t>
        </is>
      </c>
      <c r="O236" s="633" t="inlineStr">
        <is>
          <t>--</t>
        </is>
      </c>
      <c r="P236" s="633" t="inlineStr">
        <is>
          <t>--</t>
        </is>
      </c>
      <c r="Q236" s="606" t="inlineStr">
        <is>
          <t>EUR</t>
        </is>
      </c>
      <c r="R236" s="640" t="inlineStr">
        <is>
          <t>01</t>
        </is>
      </c>
      <c r="S236" s="339" t="inlineStr">
        <is>
          <t>FALSE</t>
        </is>
      </c>
      <c r="T236" s="1" t="inlineStr">
        <is>
          <t xml:space="preserve"> </t>
        </is>
      </c>
      <c r="U236" s="608" t="inlineStr">
        <is>
          <t>https://www.facturantia.com/API/proformas_receptor.php</t>
        </is>
      </c>
      <c r="V236" s="609" t="n">
        <v>6666</v>
      </c>
      <c r="W236" s="610" t="inlineStr">
        <is>
          <t>facturacion@abalados.es</t>
        </is>
      </c>
      <c r="X236" s="609" t="n">
        <v>762687769</v>
      </c>
      <c r="Z236" s="624" t="n"/>
    </row>
    <row r="237" ht="15" customHeight="1" s="700">
      <c r="A237" s="339" t="inlineStr">
        <is>
          <t>J</t>
        </is>
      </c>
      <c r="B237" s="1" t="inlineStr">
        <is>
          <t>Sistemas Energeticos Terral, S.L.</t>
        </is>
      </c>
      <c r="C237" s="1" t="inlineStr">
        <is>
          <t>CIF B01917194</t>
        </is>
      </c>
      <c r="D237" s="1" t="inlineStr">
        <is>
          <t>2025-009</t>
        </is>
      </c>
      <c r="E237" s="339" t="n">
        <v>0</v>
      </c>
      <c r="F237" s="601">
        <f>IF( OR(ISNUMBER(SEARCH("NIF",C237)),ISNUMBER(SEARCH("CIF",C237)),ISNUMBER(SEARCH("NIE",C237))), MID(C237,5,LEN(C237)), C237)</f>
        <v/>
      </c>
      <c r="G237" s="339" t="inlineStr">
        <is>
          <t>nif</t>
        </is>
      </c>
      <c r="H237" s="602">
        <f>F237</f>
        <v/>
      </c>
      <c r="I237" s="603">
        <f>VLOOKUP(B237,DATOS!B:D,3,FALSE)</f>
        <v/>
      </c>
      <c r="J237" s="603">
        <f>MID(VLOOKUP(B237,DATOS!B:E,4,FALSE),1,5)</f>
        <v/>
      </c>
      <c r="K237" s="604" t="inlineStr">
        <is>
          <t>Bizkaia</t>
        </is>
      </c>
      <c r="L237" s="604" t="inlineStr">
        <is>
          <t>Bilbao</t>
        </is>
      </c>
      <c r="M237" s="606" t="inlineStr">
        <is>
          <t>R</t>
        </is>
      </c>
      <c r="N237" s="606" t="inlineStr">
        <is>
          <t>ESP</t>
        </is>
      </c>
      <c r="O237" s="633" t="inlineStr">
        <is>
          <t>--</t>
        </is>
      </c>
      <c r="P237" s="633" t="inlineStr">
        <is>
          <t>--</t>
        </is>
      </c>
      <c r="Q237" s="606" t="inlineStr">
        <is>
          <t>EUR</t>
        </is>
      </c>
      <c r="R237" s="640" t="inlineStr">
        <is>
          <t>01</t>
        </is>
      </c>
      <c r="S237" s="339" t="inlineStr">
        <is>
          <t>FALSE</t>
        </is>
      </c>
      <c r="T237" s="1" t="inlineStr">
        <is>
          <t xml:space="preserve"> </t>
        </is>
      </c>
      <c r="U237" s="608" t="inlineStr">
        <is>
          <t>https://www.facturantia.com/API/proformas_receptor.php</t>
        </is>
      </c>
      <c r="V237" s="609" t="n">
        <v>6666</v>
      </c>
      <c r="W237" s="610" t="inlineStr">
        <is>
          <t>facturacion@abalados.es</t>
        </is>
      </c>
      <c r="X237" s="609" t="n">
        <v>762687769</v>
      </c>
      <c r="Z237" s="624" t="n"/>
    </row>
    <row r="238" ht="15" customHeight="1" s="700">
      <c r="A238" s="339" t="inlineStr">
        <is>
          <t>J</t>
        </is>
      </c>
      <c r="B238" s="1" t="inlineStr">
        <is>
          <t>ICE TORRECILLA RENOVABLES, S.L.</t>
        </is>
      </c>
      <c r="C238" s="1" t="inlineStr">
        <is>
          <t>CIF B22809321</t>
        </is>
      </c>
      <c r="D238" s="1" t="inlineStr">
        <is>
          <t>2025-010</t>
        </is>
      </c>
      <c r="E238" s="598" t="n">
        <v>0.08</v>
      </c>
      <c r="F238" s="601">
        <f>IF( OR(ISNUMBER(SEARCH("NIF",C238)),ISNUMBER(SEARCH("CIF",C238)),ISNUMBER(SEARCH("NIE",C238))), MID(C238,5,LEN(C238)), C238)</f>
        <v/>
      </c>
      <c r="G238" s="339" t="inlineStr">
        <is>
          <t>nif</t>
        </is>
      </c>
      <c r="H238" s="602">
        <f>F238</f>
        <v/>
      </c>
      <c r="I238" s="603">
        <f>VLOOKUP(B238,DATOS!B:D,3,FALSE)</f>
        <v/>
      </c>
      <c r="J238" s="603">
        <f>MID(VLOOKUP(B238,DATOS!B:E,4,FALSE),1,5)</f>
        <v/>
      </c>
      <c r="K238" s="603">
        <f>MID(VLOOKUP(B238,DATOS!B:E,4,FALSE),7,LEN(VLOOKUP(B238,DATOS!B:E,4,FALSE)))</f>
        <v/>
      </c>
      <c r="L238" s="603">
        <f>K238</f>
        <v/>
      </c>
      <c r="M238" s="606" t="inlineStr">
        <is>
          <t>R</t>
        </is>
      </c>
      <c r="N238" s="606" t="inlineStr">
        <is>
          <t>ESP</t>
        </is>
      </c>
      <c r="O238" s="619" t="inlineStr">
        <is>
          <t>ES1501289471800100016336</t>
        </is>
      </c>
      <c r="Q238" s="606" t="inlineStr">
        <is>
          <t>EUR</t>
        </is>
      </c>
      <c r="R238" s="640" t="inlineStr">
        <is>
          <t>01</t>
        </is>
      </c>
      <c r="S238" s="339" t="inlineStr">
        <is>
          <t>FALSE</t>
        </is>
      </c>
      <c r="T238" s="1" t="inlineStr">
        <is>
          <t xml:space="preserve"> </t>
        </is>
      </c>
      <c r="U238" s="608" t="inlineStr">
        <is>
          <t>https://www.facturantia.com/API/proformas_receptor.php</t>
        </is>
      </c>
      <c r="V238" s="609" t="n">
        <v>6666</v>
      </c>
      <c r="W238" s="610" t="inlineStr">
        <is>
          <t>facturacion@abalados.es</t>
        </is>
      </c>
      <c r="X238" s="609" t="n">
        <v>762687769</v>
      </c>
      <c r="Z238" s="624" t="n">
        <v>45951</v>
      </c>
    </row>
    <row r="239" ht="15" customHeight="1" s="700">
      <c r="A239" s="339" t="inlineStr">
        <is>
          <t>J</t>
        </is>
      </c>
      <c r="B239" s="1" t="inlineStr">
        <is>
          <t>Recuperados Solares aBalados Sevilla, S.L.</t>
        </is>
      </c>
      <c r="C239" s="1" t="inlineStr">
        <is>
          <t>CIF B21799317</t>
        </is>
      </c>
      <c r="D239" s="1" t="inlineStr">
        <is>
          <t>2025-011</t>
        </is>
      </c>
      <c r="E239" s="598" t="n">
        <v>0</v>
      </c>
      <c r="F239" s="601">
        <f>IF( OR(ISNUMBER(SEARCH("NIF",C239)),ISNUMBER(SEARCH("CIF",C239)),ISNUMBER(SEARCH("NIE",C239))), MID(C239,5,LEN(C239)), C239)</f>
        <v/>
      </c>
      <c r="G239" s="339" t="inlineStr">
        <is>
          <t>nif</t>
        </is>
      </c>
      <c r="H239" s="602">
        <f>F239</f>
        <v/>
      </c>
      <c r="I239" s="603">
        <f>VLOOKUP(B239,DATOS!B:D,3,FALSE)</f>
        <v/>
      </c>
      <c r="J239" s="603">
        <f>MID(VLOOKUP(B239,DATOS!B:E,4,FALSE),1,5)</f>
        <v/>
      </c>
      <c r="K239" s="603">
        <f>MID(VLOOKUP(B239,DATOS!B:E,4,FALSE),7,LEN(VLOOKUP(B239,DATOS!B:E,4,FALSE)))</f>
        <v/>
      </c>
      <c r="L239" s="603">
        <f>K239</f>
        <v/>
      </c>
      <c r="M239" s="606" t="inlineStr">
        <is>
          <t>R</t>
        </is>
      </c>
      <c r="N239" s="606" t="inlineStr">
        <is>
          <t>ESP</t>
        </is>
      </c>
      <c r="O239" s="365" t="inlineStr">
        <is>
          <t>ES56 2080 3509 1230 4011 5947</t>
        </is>
      </c>
      <c r="P239" s="365" t="inlineStr">
        <is>
          <t>CAGLESMMXXX</t>
        </is>
      </c>
      <c r="Q239" s="606" t="inlineStr">
        <is>
          <t>EUR</t>
        </is>
      </c>
      <c r="R239" s="640" t="inlineStr">
        <is>
          <t>01</t>
        </is>
      </c>
      <c r="S239" s="339" t="inlineStr">
        <is>
          <t>FALSE</t>
        </is>
      </c>
      <c r="T239" s="1" t="inlineStr">
        <is>
          <t xml:space="preserve"> </t>
        </is>
      </c>
      <c r="U239" s="608" t="inlineStr">
        <is>
          <t>https://www.facturantia.com/API/proformas_receptor.php</t>
        </is>
      </c>
      <c r="V239" s="609" t="n">
        <v>6666</v>
      </c>
      <c r="W239" s="610" t="inlineStr">
        <is>
          <t>facturacion@abalados.es</t>
        </is>
      </c>
      <c r="X239" s="609" t="n">
        <v>762687769</v>
      </c>
      <c r="Z239" s="624" t="n">
        <v>45951</v>
      </c>
    </row>
    <row r="240" ht="15" customHeight="1" s="700">
      <c r="A240" s="339" t="inlineStr">
        <is>
          <t>J</t>
        </is>
      </c>
      <c r="B240" s="1" t="inlineStr">
        <is>
          <t>The GafaPasta Company, S.L.</t>
        </is>
      </c>
      <c r="C240" s="1" t="inlineStr">
        <is>
          <t>CIF B90303207</t>
        </is>
      </c>
      <c r="D240" s="1" t="inlineStr">
        <is>
          <t>2025-012</t>
        </is>
      </c>
      <c r="E240" s="598" t="n">
        <v>0</v>
      </c>
      <c r="F240" s="601">
        <f>IF( OR(ISNUMBER(SEARCH("NIF",C240)),ISNUMBER(SEARCH("CIF",C240)),ISNUMBER(SEARCH("NIE",C240))), MID(C240,5,LEN(C240)), C240)</f>
        <v/>
      </c>
      <c r="G240" s="339" t="inlineStr">
        <is>
          <t>nif</t>
        </is>
      </c>
      <c r="H240" s="602">
        <f>F240</f>
        <v/>
      </c>
      <c r="I240" s="603">
        <f>VLOOKUP(B240,DATOS!B:D,3,FALSE)</f>
        <v/>
      </c>
      <c r="J240" s="603">
        <f>MID(VLOOKUP(B240,DATOS!B:E,4,FALSE),1,5)</f>
        <v/>
      </c>
      <c r="K240" s="603">
        <f>MID(VLOOKUP(B240,DATOS!B:E,4,FALSE),7,LEN(VLOOKUP(B240,DATOS!B:E,4,FALSE)))</f>
        <v/>
      </c>
      <c r="L240" s="603">
        <f>K240</f>
        <v/>
      </c>
      <c r="M240" s="606" t="inlineStr">
        <is>
          <t>R</t>
        </is>
      </c>
      <c r="N240" s="606" t="inlineStr">
        <is>
          <t>ESP</t>
        </is>
      </c>
      <c r="O240" s="365" t="inlineStr">
        <is>
          <t>ES38 2080 3509 1430 4009 6288</t>
        </is>
      </c>
      <c r="P240" s="365" t="inlineStr">
        <is>
          <t>CAGLESMMXXX</t>
        </is>
      </c>
      <c r="Q240" s="606" t="inlineStr">
        <is>
          <t>EUR</t>
        </is>
      </c>
      <c r="R240" s="640" t="inlineStr">
        <is>
          <t>01</t>
        </is>
      </c>
      <c r="S240" s="339" t="inlineStr">
        <is>
          <t>FALSE</t>
        </is>
      </c>
      <c r="T240" s="1" t="inlineStr">
        <is>
          <t xml:space="preserve"> </t>
        </is>
      </c>
      <c r="U240" s="608" t="inlineStr">
        <is>
          <t>https://www.facturantia.com/API/proformas_receptor.php</t>
        </is>
      </c>
      <c r="V240" s="609" t="n">
        <v>6666</v>
      </c>
      <c r="W240" s="610" t="inlineStr">
        <is>
          <t>facturacion@abalados.es</t>
        </is>
      </c>
      <c r="X240" s="609" t="n">
        <v>762687769</v>
      </c>
      <c r="Z240" s="624" t="n">
        <v>45951</v>
      </c>
    </row>
    <row r="241" ht="15" customHeight="1" s="700">
      <c r="A241" s="339" t="inlineStr">
        <is>
          <t>J</t>
        </is>
      </c>
      <c r="B241" s="1" t="inlineStr">
        <is>
          <t>aBalados Consulting, S.L.</t>
        </is>
      </c>
      <c r="C241" s="1" t="inlineStr">
        <is>
          <t>CIF B23830805</t>
        </is>
      </c>
      <c r="D241" s="1" t="inlineStr">
        <is>
          <t>2025-013</t>
        </is>
      </c>
      <c r="E241" s="598" t="n">
        <v>0</v>
      </c>
      <c r="F241" s="601">
        <f>IF( OR(ISNUMBER(SEARCH("NIF",C241)),ISNUMBER(SEARCH("CIF",C241)),ISNUMBER(SEARCH("NIE",C241))), MID(C241,5,LEN(C241)), C241)</f>
        <v/>
      </c>
      <c r="G241" s="339" t="inlineStr">
        <is>
          <t>nif</t>
        </is>
      </c>
      <c r="H241" s="602">
        <f>F241</f>
        <v/>
      </c>
      <c r="I241" s="603">
        <f>VLOOKUP(B241,DATOS!B:D,3,FALSE)</f>
        <v/>
      </c>
      <c r="J241" s="603">
        <f>MID(VLOOKUP(B241,DATOS!B:E,4,FALSE),1,5)</f>
        <v/>
      </c>
      <c r="K241" s="603">
        <f>MID(VLOOKUP(B241,DATOS!B:E,4,FALSE),7,LEN(VLOOKUP(B241,DATOS!B:E,4,FALSE)))</f>
        <v/>
      </c>
      <c r="L241" s="603">
        <f>K241</f>
        <v/>
      </c>
      <c r="M241" s="606" t="inlineStr">
        <is>
          <t>R</t>
        </is>
      </c>
      <c r="N241" s="606" t="inlineStr">
        <is>
          <t>ESP</t>
        </is>
      </c>
      <c r="O241" s="365" t="inlineStr">
        <is>
          <t>ES07 2080 3509 1330 4012 5607</t>
        </is>
      </c>
      <c r="P241" s="365" t="inlineStr">
        <is>
          <t>CAGLESMMXXX</t>
        </is>
      </c>
      <c r="Q241" s="606" t="inlineStr">
        <is>
          <t>EUR</t>
        </is>
      </c>
      <c r="R241" s="640" t="inlineStr">
        <is>
          <t>01</t>
        </is>
      </c>
      <c r="S241" s="339" t="inlineStr">
        <is>
          <t>FALSE</t>
        </is>
      </c>
      <c r="T241" s="1" t="inlineStr">
        <is>
          <t xml:space="preserve"> </t>
        </is>
      </c>
      <c r="U241" s="608" t="inlineStr">
        <is>
          <t>https://www.facturantia.com/API/proformas_receptor.php</t>
        </is>
      </c>
      <c r="V241" s="609" t="n">
        <v>6666</v>
      </c>
      <c r="W241" s="610" t="inlineStr">
        <is>
          <t>facturacion@abalados.es</t>
        </is>
      </c>
      <c r="X241" s="609" t="n">
        <v>762687769</v>
      </c>
      <c r="Z241" s="624" t="n">
        <v>45951</v>
      </c>
    </row>
  </sheetData>
  <conditionalFormatting sqref="D1:D1048576">
    <cfRule type="duplicateValues" priority="4" dxfId="10"/>
  </conditionalFormatting>
  <conditionalFormatting sqref="C235">
    <cfRule type="duplicateValues" priority="2" dxfId="10"/>
  </conditionalFormatting>
  <conditionalFormatting sqref="C1:C1048576">
    <cfRule type="duplicateValues" priority="1" dxfId="10"/>
  </conditionalFormatting>
  <conditionalFormatting sqref="C3:C208 C210:C234 C236:C237 C242:C1048576">
    <cfRule type="duplicateValues" priority="6405" dxfId="10"/>
  </conditionalFormatting>
  <hyperlinks>
    <hyperlink xmlns:r="http://schemas.openxmlformats.org/officeDocument/2006/relationships" ref="W2" r:id="rId1"/>
    <hyperlink xmlns:r="http://schemas.openxmlformats.org/officeDocument/2006/relationships" ref="W3" r:id="rId2"/>
    <hyperlink xmlns:r="http://schemas.openxmlformats.org/officeDocument/2006/relationships" ref="W4" r:id="rId3"/>
    <hyperlink xmlns:r="http://schemas.openxmlformats.org/officeDocument/2006/relationships" ref="W5" r:id="rId4"/>
    <hyperlink xmlns:r="http://schemas.openxmlformats.org/officeDocument/2006/relationships" ref="W6" r:id="rId5"/>
    <hyperlink xmlns:r="http://schemas.openxmlformats.org/officeDocument/2006/relationships" ref="W7" r:id="rId6"/>
    <hyperlink xmlns:r="http://schemas.openxmlformats.org/officeDocument/2006/relationships" ref="W8" r:id="rId7"/>
    <hyperlink xmlns:r="http://schemas.openxmlformats.org/officeDocument/2006/relationships" ref="W9" r:id="rId8"/>
    <hyperlink xmlns:r="http://schemas.openxmlformats.org/officeDocument/2006/relationships" ref="W10" r:id="rId9"/>
    <hyperlink xmlns:r="http://schemas.openxmlformats.org/officeDocument/2006/relationships" ref="W11" r:id="rId10"/>
    <hyperlink xmlns:r="http://schemas.openxmlformats.org/officeDocument/2006/relationships" ref="W12" r:id="rId11"/>
    <hyperlink xmlns:r="http://schemas.openxmlformats.org/officeDocument/2006/relationships" ref="W13" r:id="rId12"/>
    <hyperlink xmlns:r="http://schemas.openxmlformats.org/officeDocument/2006/relationships" ref="W14" r:id="rId13"/>
    <hyperlink xmlns:r="http://schemas.openxmlformats.org/officeDocument/2006/relationships" ref="W15" r:id="rId14"/>
    <hyperlink xmlns:r="http://schemas.openxmlformats.org/officeDocument/2006/relationships" ref="W16" r:id="rId15"/>
    <hyperlink xmlns:r="http://schemas.openxmlformats.org/officeDocument/2006/relationships" ref="W17" r:id="rId16"/>
    <hyperlink xmlns:r="http://schemas.openxmlformats.org/officeDocument/2006/relationships" ref="W18" r:id="rId17"/>
    <hyperlink xmlns:r="http://schemas.openxmlformats.org/officeDocument/2006/relationships" ref="W19" r:id="rId18"/>
    <hyperlink xmlns:r="http://schemas.openxmlformats.org/officeDocument/2006/relationships" ref="W20" r:id="rId19"/>
    <hyperlink xmlns:r="http://schemas.openxmlformats.org/officeDocument/2006/relationships" ref="W21" r:id="rId20"/>
    <hyperlink xmlns:r="http://schemas.openxmlformats.org/officeDocument/2006/relationships" ref="W22" r:id="rId21"/>
    <hyperlink xmlns:r="http://schemas.openxmlformats.org/officeDocument/2006/relationships" ref="W23" r:id="rId22"/>
    <hyperlink xmlns:r="http://schemas.openxmlformats.org/officeDocument/2006/relationships" ref="W24" r:id="rId23"/>
    <hyperlink xmlns:r="http://schemas.openxmlformats.org/officeDocument/2006/relationships" ref="W25" r:id="rId24"/>
    <hyperlink xmlns:r="http://schemas.openxmlformats.org/officeDocument/2006/relationships" ref="W26" r:id="rId25"/>
    <hyperlink xmlns:r="http://schemas.openxmlformats.org/officeDocument/2006/relationships" ref="W27" r:id="rId26"/>
    <hyperlink xmlns:r="http://schemas.openxmlformats.org/officeDocument/2006/relationships" ref="W28" r:id="rId27"/>
    <hyperlink xmlns:r="http://schemas.openxmlformats.org/officeDocument/2006/relationships" ref="W29" r:id="rId28"/>
    <hyperlink xmlns:r="http://schemas.openxmlformats.org/officeDocument/2006/relationships" ref="W30" r:id="rId29"/>
    <hyperlink xmlns:r="http://schemas.openxmlformats.org/officeDocument/2006/relationships" ref="W31" r:id="rId30"/>
    <hyperlink xmlns:r="http://schemas.openxmlformats.org/officeDocument/2006/relationships" ref="W32" r:id="rId31"/>
    <hyperlink xmlns:r="http://schemas.openxmlformats.org/officeDocument/2006/relationships" ref="W33" r:id="rId32"/>
    <hyperlink xmlns:r="http://schemas.openxmlformats.org/officeDocument/2006/relationships" ref="W34" r:id="rId33"/>
    <hyperlink xmlns:r="http://schemas.openxmlformats.org/officeDocument/2006/relationships" ref="W35" r:id="rId34"/>
    <hyperlink xmlns:r="http://schemas.openxmlformats.org/officeDocument/2006/relationships" ref="W36" r:id="rId35"/>
    <hyperlink xmlns:r="http://schemas.openxmlformats.org/officeDocument/2006/relationships" ref="W37" r:id="rId36"/>
    <hyperlink xmlns:r="http://schemas.openxmlformats.org/officeDocument/2006/relationships" ref="W38" r:id="rId37"/>
    <hyperlink xmlns:r="http://schemas.openxmlformats.org/officeDocument/2006/relationships" ref="W39" r:id="rId38"/>
    <hyperlink xmlns:r="http://schemas.openxmlformats.org/officeDocument/2006/relationships" ref="W40" r:id="rId39"/>
    <hyperlink xmlns:r="http://schemas.openxmlformats.org/officeDocument/2006/relationships" ref="W41" r:id="rId40"/>
    <hyperlink xmlns:r="http://schemas.openxmlformats.org/officeDocument/2006/relationships" ref="W42" r:id="rId41"/>
    <hyperlink xmlns:r="http://schemas.openxmlformats.org/officeDocument/2006/relationships" ref="W43" r:id="rId42"/>
    <hyperlink xmlns:r="http://schemas.openxmlformats.org/officeDocument/2006/relationships" ref="W44" r:id="rId43"/>
    <hyperlink xmlns:r="http://schemas.openxmlformats.org/officeDocument/2006/relationships" ref="W45" r:id="rId44"/>
    <hyperlink xmlns:r="http://schemas.openxmlformats.org/officeDocument/2006/relationships" ref="W46" r:id="rId45"/>
    <hyperlink xmlns:r="http://schemas.openxmlformats.org/officeDocument/2006/relationships" ref="W47" r:id="rId46"/>
    <hyperlink xmlns:r="http://schemas.openxmlformats.org/officeDocument/2006/relationships" ref="W48" r:id="rId47"/>
    <hyperlink xmlns:r="http://schemas.openxmlformats.org/officeDocument/2006/relationships" ref="W49" r:id="rId48"/>
    <hyperlink xmlns:r="http://schemas.openxmlformats.org/officeDocument/2006/relationships" ref="W50" r:id="rId49"/>
    <hyperlink xmlns:r="http://schemas.openxmlformats.org/officeDocument/2006/relationships" ref="W51" r:id="rId50"/>
    <hyperlink xmlns:r="http://schemas.openxmlformats.org/officeDocument/2006/relationships" ref="W52" r:id="rId51"/>
    <hyperlink xmlns:r="http://schemas.openxmlformats.org/officeDocument/2006/relationships" ref="W53" r:id="rId52"/>
    <hyperlink xmlns:r="http://schemas.openxmlformats.org/officeDocument/2006/relationships" ref="W54" r:id="rId53"/>
    <hyperlink xmlns:r="http://schemas.openxmlformats.org/officeDocument/2006/relationships" ref="W55" r:id="rId54"/>
    <hyperlink xmlns:r="http://schemas.openxmlformats.org/officeDocument/2006/relationships" ref="W56" r:id="rId55"/>
    <hyperlink xmlns:r="http://schemas.openxmlformats.org/officeDocument/2006/relationships" ref="W57" r:id="rId56"/>
    <hyperlink xmlns:r="http://schemas.openxmlformats.org/officeDocument/2006/relationships" ref="W58" r:id="rId57"/>
    <hyperlink xmlns:r="http://schemas.openxmlformats.org/officeDocument/2006/relationships" ref="W59" r:id="rId58"/>
    <hyperlink xmlns:r="http://schemas.openxmlformats.org/officeDocument/2006/relationships" ref="W60" r:id="rId59"/>
    <hyperlink xmlns:r="http://schemas.openxmlformats.org/officeDocument/2006/relationships" ref="W61" r:id="rId60"/>
    <hyperlink xmlns:r="http://schemas.openxmlformats.org/officeDocument/2006/relationships" ref="W62" r:id="rId61"/>
    <hyperlink xmlns:r="http://schemas.openxmlformats.org/officeDocument/2006/relationships" ref="W63" r:id="rId62"/>
    <hyperlink xmlns:r="http://schemas.openxmlformats.org/officeDocument/2006/relationships" ref="W64" r:id="rId63"/>
    <hyperlink xmlns:r="http://schemas.openxmlformats.org/officeDocument/2006/relationships" ref="W65" r:id="rId64"/>
    <hyperlink xmlns:r="http://schemas.openxmlformats.org/officeDocument/2006/relationships" ref="W66" r:id="rId65"/>
    <hyperlink xmlns:r="http://schemas.openxmlformats.org/officeDocument/2006/relationships" ref="W67" r:id="rId66"/>
    <hyperlink xmlns:r="http://schemas.openxmlformats.org/officeDocument/2006/relationships" ref="W68" r:id="rId67"/>
    <hyperlink xmlns:r="http://schemas.openxmlformats.org/officeDocument/2006/relationships" ref="W69" r:id="rId68"/>
    <hyperlink xmlns:r="http://schemas.openxmlformats.org/officeDocument/2006/relationships" ref="W70" r:id="rId69"/>
    <hyperlink xmlns:r="http://schemas.openxmlformats.org/officeDocument/2006/relationships" ref="W71" r:id="rId70"/>
    <hyperlink xmlns:r="http://schemas.openxmlformats.org/officeDocument/2006/relationships" ref="W72" r:id="rId71"/>
    <hyperlink xmlns:r="http://schemas.openxmlformats.org/officeDocument/2006/relationships" ref="W73" r:id="rId72"/>
    <hyperlink xmlns:r="http://schemas.openxmlformats.org/officeDocument/2006/relationships" ref="W74" r:id="rId73"/>
    <hyperlink xmlns:r="http://schemas.openxmlformats.org/officeDocument/2006/relationships" ref="W75" r:id="rId74"/>
    <hyperlink xmlns:r="http://schemas.openxmlformats.org/officeDocument/2006/relationships" ref="W76" r:id="rId75"/>
    <hyperlink xmlns:r="http://schemas.openxmlformats.org/officeDocument/2006/relationships" ref="W77" r:id="rId76"/>
    <hyperlink xmlns:r="http://schemas.openxmlformats.org/officeDocument/2006/relationships" ref="W78" r:id="rId77"/>
    <hyperlink xmlns:r="http://schemas.openxmlformats.org/officeDocument/2006/relationships" ref="W79" r:id="rId78"/>
    <hyperlink xmlns:r="http://schemas.openxmlformats.org/officeDocument/2006/relationships" ref="W80" r:id="rId79"/>
    <hyperlink xmlns:r="http://schemas.openxmlformats.org/officeDocument/2006/relationships" ref="W81" r:id="rId80"/>
    <hyperlink xmlns:r="http://schemas.openxmlformats.org/officeDocument/2006/relationships" ref="W82" r:id="rId81"/>
    <hyperlink xmlns:r="http://schemas.openxmlformats.org/officeDocument/2006/relationships" ref="W83" r:id="rId82"/>
    <hyperlink xmlns:r="http://schemas.openxmlformats.org/officeDocument/2006/relationships" ref="W84" r:id="rId83"/>
    <hyperlink xmlns:r="http://schemas.openxmlformats.org/officeDocument/2006/relationships" ref="W85" r:id="rId84"/>
    <hyperlink xmlns:r="http://schemas.openxmlformats.org/officeDocument/2006/relationships" ref="W86" r:id="rId85"/>
    <hyperlink xmlns:r="http://schemas.openxmlformats.org/officeDocument/2006/relationships" ref="W87" r:id="rId86"/>
    <hyperlink xmlns:r="http://schemas.openxmlformats.org/officeDocument/2006/relationships" ref="W88" r:id="rId87"/>
    <hyperlink xmlns:r="http://schemas.openxmlformats.org/officeDocument/2006/relationships" ref="W89" r:id="rId88"/>
    <hyperlink xmlns:r="http://schemas.openxmlformats.org/officeDocument/2006/relationships" ref="W90" r:id="rId89"/>
    <hyperlink xmlns:r="http://schemas.openxmlformats.org/officeDocument/2006/relationships" ref="W91" r:id="rId90"/>
    <hyperlink xmlns:r="http://schemas.openxmlformats.org/officeDocument/2006/relationships" ref="W92" r:id="rId91"/>
    <hyperlink xmlns:r="http://schemas.openxmlformats.org/officeDocument/2006/relationships" ref="W93" r:id="rId92"/>
    <hyperlink xmlns:r="http://schemas.openxmlformats.org/officeDocument/2006/relationships" ref="W94" r:id="rId93"/>
    <hyperlink xmlns:r="http://schemas.openxmlformats.org/officeDocument/2006/relationships" ref="W95" r:id="rId94"/>
    <hyperlink xmlns:r="http://schemas.openxmlformats.org/officeDocument/2006/relationships" ref="W96" r:id="rId95"/>
    <hyperlink xmlns:r="http://schemas.openxmlformats.org/officeDocument/2006/relationships" ref="W97" r:id="rId96"/>
    <hyperlink xmlns:r="http://schemas.openxmlformats.org/officeDocument/2006/relationships" ref="W98" r:id="rId97"/>
    <hyperlink xmlns:r="http://schemas.openxmlformats.org/officeDocument/2006/relationships" ref="W99" r:id="rId98"/>
    <hyperlink xmlns:r="http://schemas.openxmlformats.org/officeDocument/2006/relationships" ref="W100" r:id="rId99"/>
    <hyperlink xmlns:r="http://schemas.openxmlformats.org/officeDocument/2006/relationships" ref="W101" r:id="rId100"/>
    <hyperlink xmlns:r="http://schemas.openxmlformats.org/officeDocument/2006/relationships" ref="W102" r:id="rId101"/>
    <hyperlink xmlns:r="http://schemas.openxmlformats.org/officeDocument/2006/relationships" ref="W103" r:id="rId102"/>
    <hyperlink xmlns:r="http://schemas.openxmlformats.org/officeDocument/2006/relationships" ref="W104" r:id="rId103"/>
    <hyperlink xmlns:r="http://schemas.openxmlformats.org/officeDocument/2006/relationships" ref="W105" r:id="rId104"/>
    <hyperlink xmlns:r="http://schemas.openxmlformats.org/officeDocument/2006/relationships" ref="W106" r:id="rId105"/>
    <hyperlink xmlns:r="http://schemas.openxmlformats.org/officeDocument/2006/relationships" ref="W107" r:id="rId106"/>
    <hyperlink xmlns:r="http://schemas.openxmlformats.org/officeDocument/2006/relationships" ref="W108" r:id="rId107"/>
    <hyperlink xmlns:r="http://schemas.openxmlformats.org/officeDocument/2006/relationships" ref="W109" r:id="rId108"/>
    <hyperlink xmlns:r="http://schemas.openxmlformats.org/officeDocument/2006/relationships" ref="W110" r:id="rId109"/>
    <hyperlink xmlns:r="http://schemas.openxmlformats.org/officeDocument/2006/relationships" ref="W111" r:id="rId110"/>
    <hyperlink xmlns:r="http://schemas.openxmlformats.org/officeDocument/2006/relationships" ref="W112" r:id="rId111"/>
    <hyperlink xmlns:r="http://schemas.openxmlformats.org/officeDocument/2006/relationships" ref="W113" r:id="rId112"/>
    <hyperlink xmlns:r="http://schemas.openxmlformats.org/officeDocument/2006/relationships" ref="W114" r:id="rId113"/>
    <hyperlink xmlns:r="http://schemas.openxmlformats.org/officeDocument/2006/relationships" ref="W115" r:id="rId114"/>
    <hyperlink xmlns:r="http://schemas.openxmlformats.org/officeDocument/2006/relationships" ref="W116" r:id="rId115"/>
    <hyperlink xmlns:r="http://schemas.openxmlformats.org/officeDocument/2006/relationships" ref="W117" r:id="rId116"/>
    <hyperlink xmlns:r="http://schemas.openxmlformats.org/officeDocument/2006/relationships" ref="W118" r:id="rId117"/>
    <hyperlink xmlns:r="http://schemas.openxmlformats.org/officeDocument/2006/relationships" ref="W119" r:id="rId118"/>
    <hyperlink xmlns:r="http://schemas.openxmlformats.org/officeDocument/2006/relationships" ref="W120" r:id="rId119"/>
    <hyperlink xmlns:r="http://schemas.openxmlformats.org/officeDocument/2006/relationships" ref="W121" r:id="rId120"/>
    <hyperlink xmlns:r="http://schemas.openxmlformats.org/officeDocument/2006/relationships" ref="W122" r:id="rId121"/>
    <hyperlink xmlns:r="http://schemas.openxmlformats.org/officeDocument/2006/relationships" ref="W123" r:id="rId122"/>
    <hyperlink xmlns:r="http://schemas.openxmlformats.org/officeDocument/2006/relationships" ref="W124" r:id="rId123"/>
    <hyperlink xmlns:r="http://schemas.openxmlformats.org/officeDocument/2006/relationships" ref="W125" r:id="rId124"/>
    <hyperlink xmlns:r="http://schemas.openxmlformats.org/officeDocument/2006/relationships" ref="W126" r:id="rId125"/>
    <hyperlink xmlns:r="http://schemas.openxmlformats.org/officeDocument/2006/relationships" ref="W127" r:id="rId126"/>
    <hyperlink xmlns:r="http://schemas.openxmlformats.org/officeDocument/2006/relationships" ref="W128" r:id="rId127"/>
    <hyperlink xmlns:r="http://schemas.openxmlformats.org/officeDocument/2006/relationships" ref="W129" r:id="rId128"/>
    <hyperlink xmlns:r="http://schemas.openxmlformats.org/officeDocument/2006/relationships" ref="W130" r:id="rId129"/>
    <hyperlink xmlns:r="http://schemas.openxmlformats.org/officeDocument/2006/relationships" ref="W131" r:id="rId130"/>
    <hyperlink xmlns:r="http://schemas.openxmlformats.org/officeDocument/2006/relationships" ref="W132" r:id="rId131"/>
    <hyperlink xmlns:r="http://schemas.openxmlformats.org/officeDocument/2006/relationships" ref="W133" r:id="rId132"/>
    <hyperlink xmlns:r="http://schemas.openxmlformats.org/officeDocument/2006/relationships" ref="W134" r:id="rId133"/>
    <hyperlink xmlns:r="http://schemas.openxmlformats.org/officeDocument/2006/relationships" ref="W135" r:id="rId134"/>
    <hyperlink xmlns:r="http://schemas.openxmlformats.org/officeDocument/2006/relationships" ref="W136" r:id="rId135"/>
    <hyperlink xmlns:r="http://schemas.openxmlformats.org/officeDocument/2006/relationships" ref="W137" r:id="rId136"/>
    <hyperlink xmlns:r="http://schemas.openxmlformats.org/officeDocument/2006/relationships" ref="W138" r:id="rId137"/>
    <hyperlink xmlns:r="http://schemas.openxmlformats.org/officeDocument/2006/relationships" ref="W139" r:id="rId138"/>
    <hyperlink xmlns:r="http://schemas.openxmlformats.org/officeDocument/2006/relationships" ref="W140" r:id="rId139"/>
    <hyperlink xmlns:r="http://schemas.openxmlformats.org/officeDocument/2006/relationships" ref="W141" r:id="rId140"/>
    <hyperlink xmlns:r="http://schemas.openxmlformats.org/officeDocument/2006/relationships" ref="W142" r:id="rId141"/>
    <hyperlink xmlns:r="http://schemas.openxmlformats.org/officeDocument/2006/relationships" ref="W143" r:id="rId142"/>
    <hyperlink xmlns:r="http://schemas.openxmlformats.org/officeDocument/2006/relationships" ref="W144" r:id="rId143"/>
    <hyperlink xmlns:r="http://schemas.openxmlformats.org/officeDocument/2006/relationships" ref="W145" r:id="rId144"/>
    <hyperlink xmlns:r="http://schemas.openxmlformats.org/officeDocument/2006/relationships" ref="W146" r:id="rId145"/>
    <hyperlink xmlns:r="http://schemas.openxmlformats.org/officeDocument/2006/relationships" ref="W147" r:id="rId146"/>
    <hyperlink xmlns:r="http://schemas.openxmlformats.org/officeDocument/2006/relationships" ref="W148" r:id="rId147"/>
    <hyperlink xmlns:r="http://schemas.openxmlformats.org/officeDocument/2006/relationships" ref="W149" r:id="rId148"/>
    <hyperlink xmlns:r="http://schemas.openxmlformats.org/officeDocument/2006/relationships" ref="W150" r:id="rId149"/>
    <hyperlink xmlns:r="http://schemas.openxmlformats.org/officeDocument/2006/relationships" ref="W151" r:id="rId150"/>
    <hyperlink xmlns:r="http://schemas.openxmlformats.org/officeDocument/2006/relationships" ref="W152" r:id="rId151"/>
    <hyperlink xmlns:r="http://schemas.openxmlformats.org/officeDocument/2006/relationships" ref="W153" r:id="rId152"/>
    <hyperlink xmlns:r="http://schemas.openxmlformats.org/officeDocument/2006/relationships" ref="W154" r:id="rId153"/>
    <hyperlink xmlns:r="http://schemas.openxmlformats.org/officeDocument/2006/relationships" ref="W155" r:id="rId154"/>
    <hyperlink xmlns:r="http://schemas.openxmlformats.org/officeDocument/2006/relationships" ref="W156" r:id="rId155"/>
    <hyperlink xmlns:r="http://schemas.openxmlformats.org/officeDocument/2006/relationships" ref="W157" r:id="rId156"/>
    <hyperlink xmlns:r="http://schemas.openxmlformats.org/officeDocument/2006/relationships" ref="W158" r:id="rId157"/>
    <hyperlink xmlns:r="http://schemas.openxmlformats.org/officeDocument/2006/relationships" ref="W159" r:id="rId158"/>
    <hyperlink xmlns:r="http://schemas.openxmlformats.org/officeDocument/2006/relationships" ref="W160" r:id="rId159"/>
    <hyperlink xmlns:r="http://schemas.openxmlformats.org/officeDocument/2006/relationships" ref="W161" r:id="rId160"/>
    <hyperlink xmlns:r="http://schemas.openxmlformats.org/officeDocument/2006/relationships" ref="W162" r:id="rId161"/>
    <hyperlink xmlns:r="http://schemas.openxmlformats.org/officeDocument/2006/relationships" ref="W163" r:id="rId162"/>
    <hyperlink xmlns:r="http://schemas.openxmlformats.org/officeDocument/2006/relationships" ref="W164" r:id="rId163"/>
    <hyperlink xmlns:r="http://schemas.openxmlformats.org/officeDocument/2006/relationships" ref="W165" r:id="rId164"/>
    <hyperlink xmlns:r="http://schemas.openxmlformats.org/officeDocument/2006/relationships" ref="W166" r:id="rId165"/>
    <hyperlink xmlns:r="http://schemas.openxmlformats.org/officeDocument/2006/relationships" ref="W167" r:id="rId166"/>
    <hyperlink xmlns:r="http://schemas.openxmlformats.org/officeDocument/2006/relationships" ref="W168" r:id="rId167"/>
    <hyperlink xmlns:r="http://schemas.openxmlformats.org/officeDocument/2006/relationships" ref="W169" r:id="rId168"/>
    <hyperlink xmlns:r="http://schemas.openxmlformats.org/officeDocument/2006/relationships" ref="W170" r:id="rId169"/>
    <hyperlink xmlns:r="http://schemas.openxmlformats.org/officeDocument/2006/relationships" ref="W171" r:id="rId170"/>
    <hyperlink xmlns:r="http://schemas.openxmlformats.org/officeDocument/2006/relationships" ref="W172" r:id="rId171"/>
    <hyperlink xmlns:r="http://schemas.openxmlformats.org/officeDocument/2006/relationships" ref="W173" r:id="rId172"/>
    <hyperlink xmlns:r="http://schemas.openxmlformats.org/officeDocument/2006/relationships" ref="W174" r:id="rId173"/>
    <hyperlink xmlns:r="http://schemas.openxmlformats.org/officeDocument/2006/relationships" ref="W175" r:id="rId174"/>
    <hyperlink xmlns:r="http://schemas.openxmlformats.org/officeDocument/2006/relationships" ref="W176" r:id="rId175"/>
    <hyperlink xmlns:r="http://schemas.openxmlformats.org/officeDocument/2006/relationships" ref="W177" r:id="rId176"/>
    <hyperlink xmlns:r="http://schemas.openxmlformats.org/officeDocument/2006/relationships" ref="W178" r:id="rId177"/>
    <hyperlink xmlns:r="http://schemas.openxmlformats.org/officeDocument/2006/relationships" ref="W179" r:id="rId178"/>
    <hyperlink xmlns:r="http://schemas.openxmlformats.org/officeDocument/2006/relationships" ref="W180" r:id="rId179"/>
    <hyperlink xmlns:r="http://schemas.openxmlformats.org/officeDocument/2006/relationships" ref="W181" r:id="rId180"/>
    <hyperlink xmlns:r="http://schemas.openxmlformats.org/officeDocument/2006/relationships" ref="W182" r:id="rId181"/>
    <hyperlink xmlns:r="http://schemas.openxmlformats.org/officeDocument/2006/relationships" ref="W183" r:id="rId182"/>
    <hyperlink xmlns:r="http://schemas.openxmlformats.org/officeDocument/2006/relationships" ref="W184" r:id="rId183"/>
    <hyperlink xmlns:r="http://schemas.openxmlformats.org/officeDocument/2006/relationships" ref="W185" r:id="rId184"/>
    <hyperlink xmlns:r="http://schemas.openxmlformats.org/officeDocument/2006/relationships" ref="W186" r:id="rId185"/>
    <hyperlink xmlns:r="http://schemas.openxmlformats.org/officeDocument/2006/relationships" ref="W187" r:id="rId186"/>
    <hyperlink xmlns:r="http://schemas.openxmlformats.org/officeDocument/2006/relationships" ref="W188" r:id="rId187"/>
    <hyperlink xmlns:r="http://schemas.openxmlformats.org/officeDocument/2006/relationships" ref="W189" r:id="rId188"/>
    <hyperlink xmlns:r="http://schemas.openxmlformats.org/officeDocument/2006/relationships" ref="W190" r:id="rId189"/>
    <hyperlink xmlns:r="http://schemas.openxmlformats.org/officeDocument/2006/relationships" ref="W191" r:id="rId190"/>
    <hyperlink xmlns:r="http://schemas.openxmlformats.org/officeDocument/2006/relationships" ref="W192" r:id="rId191"/>
    <hyperlink xmlns:r="http://schemas.openxmlformats.org/officeDocument/2006/relationships" ref="W193" r:id="rId192"/>
    <hyperlink xmlns:r="http://schemas.openxmlformats.org/officeDocument/2006/relationships" ref="W194" r:id="rId193"/>
    <hyperlink xmlns:r="http://schemas.openxmlformats.org/officeDocument/2006/relationships" ref="W195" r:id="rId194"/>
    <hyperlink xmlns:r="http://schemas.openxmlformats.org/officeDocument/2006/relationships" ref="W196" r:id="rId195"/>
    <hyperlink xmlns:r="http://schemas.openxmlformats.org/officeDocument/2006/relationships" ref="W197" r:id="rId196"/>
    <hyperlink xmlns:r="http://schemas.openxmlformats.org/officeDocument/2006/relationships" ref="W198" r:id="rId197"/>
    <hyperlink xmlns:r="http://schemas.openxmlformats.org/officeDocument/2006/relationships" ref="W199" r:id="rId198"/>
    <hyperlink xmlns:r="http://schemas.openxmlformats.org/officeDocument/2006/relationships" ref="W200" r:id="rId199"/>
    <hyperlink xmlns:r="http://schemas.openxmlformats.org/officeDocument/2006/relationships" ref="W201" r:id="rId200"/>
    <hyperlink xmlns:r="http://schemas.openxmlformats.org/officeDocument/2006/relationships" ref="W202" r:id="rId201"/>
    <hyperlink xmlns:r="http://schemas.openxmlformats.org/officeDocument/2006/relationships" ref="W203" r:id="rId202"/>
    <hyperlink xmlns:r="http://schemas.openxmlformats.org/officeDocument/2006/relationships" ref="W204" r:id="rId203"/>
    <hyperlink xmlns:r="http://schemas.openxmlformats.org/officeDocument/2006/relationships" ref="W205" r:id="rId204"/>
    <hyperlink xmlns:r="http://schemas.openxmlformats.org/officeDocument/2006/relationships" ref="W206" r:id="rId205"/>
    <hyperlink xmlns:r="http://schemas.openxmlformats.org/officeDocument/2006/relationships" ref="W207" r:id="rId206"/>
    <hyperlink xmlns:r="http://schemas.openxmlformats.org/officeDocument/2006/relationships" ref="W208" r:id="rId207"/>
    <hyperlink xmlns:r="http://schemas.openxmlformats.org/officeDocument/2006/relationships" ref="W209" r:id="rId208"/>
    <hyperlink xmlns:r="http://schemas.openxmlformats.org/officeDocument/2006/relationships" ref="W210" r:id="rId209"/>
    <hyperlink xmlns:r="http://schemas.openxmlformats.org/officeDocument/2006/relationships" ref="W211" r:id="rId210"/>
    <hyperlink xmlns:r="http://schemas.openxmlformats.org/officeDocument/2006/relationships" ref="W212" r:id="rId211"/>
    <hyperlink xmlns:r="http://schemas.openxmlformats.org/officeDocument/2006/relationships" ref="W213" r:id="rId212"/>
    <hyperlink xmlns:r="http://schemas.openxmlformats.org/officeDocument/2006/relationships" ref="W214" r:id="rId213"/>
    <hyperlink xmlns:r="http://schemas.openxmlformats.org/officeDocument/2006/relationships" ref="W215" r:id="rId214"/>
    <hyperlink xmlns:r="http://schemas.openxmlformats.org/officeDocument/2006/relationships" ref="W216" r:id="rId215"/>
    <hyperlink xmlns:r="http://schemas.openxmlformats.org/officeDocument/2006/relationships" ref="W217" r:id="rId216"/>
    <hyperlink xmlns:r="http://schemas.openxmlformats.org/officeDocument/2006/relationships" ref="W218" r:id="rId217"/>
    <hyperlink xmlns:r="http://schemas.openxmlformats.org/officeDocument/2006/relationships" ref="W219" r:id="rId218"/>
    <hyperlink xmlns:r="http://schemas.openxmlformats.org/officeDocument/2006/relationships" ref="W220" r:id="rId219"/>
    <hyperlink xmlns:r="http://schemas.openxmlformats.org/officeDocument/2006/relationships" ref="W221" r:id="rId220"/>
    <hyperlink xmlns:r="http://schemas.openxmlformats.org/officeDocument/2006/relationships" ref="W222" r:id="rId221"/>
    <hyperlink xmlns:r="http://schemas.openxmlformats.org/officeDocument/2006/relationships" ref="W223" r:id="rId222"/>
    <hyperlink xmlns:r="http://schemas.openxmlformats.org/officeDocument/2006/relationships" ref="W224" r:id="rId223"/>
    <hyperlink xmlns:r="http://schemas.openxmlformats.org/officeDocument/2006/relationships" ref="W225" r:id="rId224"/>
    <hyperlink xmlns:r="http://schemas.openxmlformats.org/officeDocument/2006/relationships" ref="W226" r:id="rId225"/>
    <hyperlink xmlns:r="http://schemas.openxmlformats.org/officeDocument/2006/relationships" ref="W227" r:id="rId226"/>
    <hyperlink xmlns:r="http://schemas.openxmlformats.org/officeDocument/2006/relationships" ref="W228" r:id="rId227"/>
    <hyperlink xmlns:r="http://schemas.openxmlformats.org/officeDocument/2006/relationships" ref="W229" r:id="rId228"/>
    <hyperlink xmlns:r="http://schemas.openxmlformats.org/officeDocument/2006/relationships" ref="W230" r:id="rId229"/>
    <hyperlink xmlns:r="http://schemas.openxmlformats.org/officeDocument/2006/relationships" ref="W231" r:id="rId230"/>
    <hyperlink xmlns:r="http://schemas.openxmlformats.org/officeDocument/2006/relationships" ref="W232" r:id="rId231"/>
    <hyperlink xmlns:r="http://schemas.openxmlformats.org/officeDocument/2006/relationships" ref="W233" r:id="rId232"/>
    <hyperlink xmlns:r="http://schemas.openxmlformats.org/officeDocument/2006/relationships" ref="W234" r:id="rId233"/>
    <hyperlink xmlns:r="http://schemas.openxmlformats.org/officeDocument/2006/relationships" ref="W235" r:id="rId234"/>
    <hyperlink xmlns:r="http://schemas.openxmlformats.org/officeDocument/2006/relationships" ref="W236" r:id="rId235"/>
    <hyperlink xmlns:r="http://schemas.openxmlformats.org/officeDocument/2006/relationships" ref="W237" r:id="rId236"/>
    <hyperlink xmlns:r="http://schemas.openxmlformats.org/officeDocument/2006/relationships" ref="W238" r:id="rId237"/>
    <hyperlink xmlns:r="http://schemas.openxmlformats.org/officeDocument/2006/relationships" ref="W239" r:id="rId238"/>
    <hyperlink xmlns:r="http://schemas.openxmlformats.org/officeDocument/2006/relationships" ref="W240" r:id="rId239"/>
    <hyperlink xmlns:r="http://schemas.openxmlformats.org/officeDocument/2006/relationships" ref="W241" r:id="rId240"/>
  </hyperlinks>
  <pageMargins left="0.7" right="0.7" top="0.75" bottom="0.75" header="0.3" footer="0.3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Hoja2">
    <tabColor theme="9" tint="0.7999816888943144"/>
    <outlinePr summaryBelow="1" summaryRight="1"/>
    <pageSetUpPr/>
  </sheetPr>
  <dimension ref="A1:XFD239"/>
  <sheetViews>
    <sheetView workbookViewId="0">
      <selection activeCell="B1" sqref="B1"/>
    </sheetView>
  </sheetViews>
  <sheetFormatPr baseColWidth="10" defaultColWidth="11.3828125" defaultRowHeight="14.6"/>
  <cols>
    <col width="17.84375" bestFit="1" customWidth="1" style="700" min="1" max="1"/>
    <col width="52.53515625" bestFit="1" customWidth="1" style="700" min="2" max="2"/>
    <col width="31.3046875" bestFit="1" customWidth="1" style="700" min="3" max="3"/>
    <col width="44.69140625" bestFit="1" customWidth="1" style="700" min="4" max="4"/>
    <col width="22" bestFit="1" customWidth="1" style="700" min="5" max="5"/>
    <col width="2" bestFit="1" customWidth="1" style="700" min="6" max="6"/>
  </cols>
  <sheetData>
    <row r="1">
      <c r="A1" t="inlineStr">
        <is>
          <t>Sociedades</t>
        </is>
      </c>
      <c r="B1" s="4" t="inlineStr">
        <is>
          <t>aBalados Services, S.L.</t>
        </is>
      </c>
      <c r="C1" s="4" t="inlineStr">
        <is>
          <t>CIF B91938662</t>
        </is>
      </c>
      <c r="D1" s="3" t="inlineStr">
        <is>
          <t>c/ Las Cruzadas 3A, local D</t>
        </is>
      </c>
      <c r="E1" s="4" t="inlineStr">
        <is>
          <t>41004 Sevilla</t>
        </is>
      </c>
      <c r="F1" s="4" t="inlineStr">
        <is>
          <t>-</t>
        </is>
      </c>
    </row>
    <row r="2">
      <c r="B2" s="4" t="inlineStr">
        <is>
          <t>WOC Fotovoltaica España, S.L S.Com.</t>
        </is>
      </c>
      <c r="C2" s="4" t="inlineStr">
        <is>
          <t>CIF D65068439</t>
        </is>
      </c>
      <c r="D2" s="3" t="inlineStr">
        <is>
          <t>c/ Las Cruzadas 3A, local D</t>
        </is>
      </c>
      <c r="E2" s="4" t="inlineStr">
        <is>
          <t>41004 Sevilla</t>
        </is>
      </c>
      <c r="F2" t="n">
        <v>1</v>
      </c>
      <c r="G2" t="inlineStr">
        <is>
          <t>WOC</t>
        </is>
      </c>
    </row>
    <row r="3">
      <c r="B3" s="3" t="inlineStr">
        <is>
          <t>Locaba Solar S.L.U.</t>
        </is>
      </c>
      <c r="C3" s="3" t="inlineStr">
        <is>
          <t>CIF B85045607</t>
        </is>
      </c>
      <c r="D3" s="3" t="inlineStr">
        <is>
          <t>c/ Las Cruzadas 3A, local D</t>
        </is>
      </c>
      <c r="E3" s="4" t="inlineStr">
        <is>
          <t>41004 Sevilla</t>
        </is>
      </c>
      <c r="F3" t="n">
        <v>1</v>
      </c>
      <c r="G3" t="inlineStr">
        <is>
          <t>WOC</t>
        </is>
      </c>
    </row>
    <row r="4">
      <c r="B4" s="3" t="inlineStr">
        <is>
          <t>Inversión Cubiertas Solares S.L.U.</t>
        </is>
      </c>
      <c r="C4" s="3" t="inlineStr">
        <is>
          <t>CIF B97996219</t>
        </is>
      </c>
      <c r="D4" s="3" t="inlineStr">
        <is>
          <t>c/ Las Cruzadas 3A, local D</t>
        </is>
      </c>
      <c r="E4" s="4" t="inlineStr">
        <is>
          <t>41004 Sevilla</t>
        </is>
      </c>
      <c r="F4" t="n">
        <v>1</v>
      </c>
      <c r="G4" t="inlineStr">
        <is>
          <t>WOC</t>
        </is>
      </c>
    </row>
    <row r="5">
      <c r="B5" s="4" t="inlineStr">
        <is>
          <t>Dehesa Asomadilla Inversiones S.L.U.</t>
        </is>
      </c>
      <c r="C5" s="4" t="inlineStr">
        <is>
          <t>CIF B97996201</t>
        </is>
      </c>
      <c r="D5" s="3" t="inlineStr">
        <is>
          <t>c/ Las Cruzadas 3A, local D</t>
        </is>
      </c>
      <c r="E5" s="4" t="inlineStr">
        <is>
          <t>41004 Sevilla</t>
        </is>
      </c>
      <c r="F5" t="n">
        <v>1</v>
      </c>
      <c r="G5" t="inlineStr">
        <is>
          <t>WOC</t>
        </is>
      </c>
    </row>
    <row r="6">
      <c r="B6" s="4" t="inlineStr">
        <is>
          <t>Asomadilla Solar 2007 S.L.U.</t>
        </is>
      </c>
      <c r="C6" s="4" t="inlineStr">
        <is>
          <t>CIF B97932743</t>
        </is>
      </c>
      <c r="D6" s="3" t="inlineStr">
        <is>
          <t>c/ Las Cruzadas 3A, local D</t>
        </is>
      </c>
      <c r="E6" s="4" t="inlineStr">
        <is>
          <t>41004 Sevilla</t>
        </is>
      </c>
      <c r="F6" t="n">
        <v>1</v>
      </c>
      <c r="G6" t="inlineStr">
        <is>
          <t>WOC</t>
        </is>
      </c>
    </row>
    <row r="7">
      <c r="B7" s="4" t="inlineStr">
        <is>
          <t>Lugec Inversión Solar S.L.U.</t>
        </is>
      </c>
      <c r="C7" s="4" t="inlineStr">
        <is>
          <t>CIF B97932768</t>
        </is>
      </c>
      <c r="D7" s="3" t="inlineStr">
        <is>
          <t>c/ Las Cruzadas 3A, local D</t>
        </is>
      </c>
      <c r="E7" s="4" t="inlineStr">
        <is>
          <t>41004 Sevilla</t>
        </is>
      </c>
      <c r="F7" t="n">
        <v>1</v>
      </c>
      <c r="G7" t="inlineStr">
        <is>
          <t>WOC</t>
        </is>
      </c>
    </row>
    <row r="8" ht="26.25" customHeight="1" s="700">
      <c r="B8" s="3" t="inlineStr">
        <is>
          <t>WOC Fotovoltaica España Proyecto Villamartín S.L. S. Com.</t>
        </is>
      </c>
      <c r="C8" s="3" t="inlineStr">
        <is>
          <t>CIF D91858167</t>
        </is>
      </c>
      <c r="D8" s="3" t="inlineStr">
        <is>
          <t>c/ Las Cruzadas 3A, local D</t>
        </is>
      </c>
      <c r="E8" s="4" t="inlineStr">
        <is>
          <t>41004 Sevilla</t>
        </is>
      </c>
      <c r="F8" t="n">
        <v>2</v>
      </c>
      <c r="G8" t="inlineStr">
        <is>
          <t>WOC</t>
        </is>
      </c>
    </row>
    <row r="9">
      <c r="B9" s="4" t="inlineStr">
        <is>
          <t>Agrupación Solar el Algarrobo I, S.L.U.</t>
        </is>
      </c>
      <c r="C9" s="1" t="inlineStr">
        <is>
          <t>CIF B91815001</t>
        </is>
      </c>
      <c r="D9" s="3" t="inlineStr">
        <is>
          <t>c/ Las Cruzadas 3A, local D</t>
        </is>
      </c>
      <c r="E9" s="4" t="inlineStr">
        <is>
          <t>41004 Sevilla</t>
        </is>
      </c>
      <c r="F9" t="n">
        <v>2</v>
      </c>
      <c r="G9" t="inlineStr">
        <is>
          <t>WOC</t>
        </is>
      </c>
    </row>
    <row r="10">
      <c r="B10" s="1" t="inlineStr">
        <is>
          <t>Agrupación Solar el Algarrobo II, S.L.U.</t>
        </is>
      </c>
      <c r="C10" s="1" t="inlineStr">
        <is>
          <t>CIF B91815019</t>
        </is>
      </c>
      <c r="D10" s="3" t="inlineStr">
        <is>
          <t>c/ Las Cruzadas 3A, local D</t>
        </is>
      </c>
      <c r="E10" s="4" t="inlineStr">
        <is>
          <t>41004 Sevilla</t>
        </is>
      </c>
      <c r="F10" t="n">
        <v>2</v>
      </c>
      <c r="G10" t="inlineStr">
        <is>
          <t>WOC</t>
        </is>
      </c>
    </row>
    <row r="11">
      <c r="B11" s="1" t="inlineStr">
        <is>
          <t>Agrupación Solar el Algarrobo III, S.L.U.</t>
        </is>
      </c>
      <c r="C11" s="1" t="inlineStr">
        <is>
          <t>CIF B91815027</t>
        </is>
      </c>
      <c r="D11" s="3" t="inlineStr">
        <is>
          <t>c/ Las Cruzadas 3A, local D</t>
        </is>
      </c>
      <c r="E11" s="4" t="inlineStr">
        <is>
          <t>41004 Sevilla</t>
        </is>
      </c>
      <c r="F11" t="n">
        <v>2</v>
      </c>
      <c r="G11" t="inlineStr">
        <is>
          <t>WOC</t>
        </is>
      </c>
    </row>
    <row r="12">
      <c r="B12" s="4" t="inlineStr">
        <is>
          <t>Astrom Technical Advisors S.L.</t>
        </is>
      </c>
      <c r="C12" s="4" t="inlineStr">
        <is>
          <t>CIF B84304872</t>
        </is>
      </c>
      <c r="D12" s="4" t="inlineStr">
        <is>
          <t>c/ Serrano 8, 31 Izda</t>
        </is>
      </c>
      <c r="E12" s="4" t="inlineStr">
        <is>
          <t>28001 Madrid</t>
        </is>
      </c>
      <c r="F12" s="4" t="inlineStr">
        <is>
          <t>-</t>
        </is>
      </c>
    </row>
    <row r="13">
      <c r="B13" s="4" t="inlineStr">
        <is>
          <t>aBalados S.L.U.</t>
        </is>
      </c>
      <c r="C13" s="4" t="inlineStr">
        <is>
          <t>CIF B91559971</t>
        </is>
      </c>
      <c r="D13" s="4" t="inlineStr">
        <is>
          <t>c/ Las Cruzadas 3A, local D</t>
        </is>
      </c>
      <c r="E13" s="4" t="inlineStr">
        <is>
          <t>41004 Sevilla</t>
        </is>
      </c>
      <c r="F13" s="4" t="inlineStr">
        <is>
          <t>-</t>
        </is>
      </c>
    </row>
    <row r="14" ht="26.25" customHeight="1" s="700">
      <c r="B14" s="1" t="inlineStr">
        <is>
          <t>Gehrlicher Solar España S.L.</t>
        </is>
      </c>
      <c r="C14" s="1" t="inlineStr">
        <is>
          <t>CIF B73116634</t>
        </is>
      </c>
      <c r="D14" s="685" t="inlineStr">
        <is>
          <t>c/ Valle del Guadalentín, 2 2ª planta
P.I. Marimingo C.N. Noroeste</t>
        </is>
      </c>
      <c r="E14" s="1" t="inlineStr">
        <is>
          <t>30180 Bullas (Murcia)</t>
        </is>
      </c>
      <c r="F14" s="1" t="inlineStr">
        <is>
          <t>-</t>
        </is>
      </c>
    </row>
    <row r="15">
      <c r="B15" s="1" t="inlineStr">
        <is>
          <t>WOC Fotovoltaica España Proyecto Coreses S.L. S. Com.</t>
        </is>
      </c>
      <c r="C15" s="1" t="inlineStr">
        <is>
          <t>CIF D65098626</t>
        </is>
      </c>
      <c r="D15" s="3" t="inlineStr">
        <is>
          <t>c/ Las Cruzadas 3A, local D</t>
        </is>
      </c>
      <c r="E15" s="4" t="inlineStr">
        <is>
          <t>41004 Sevilla</t>
        </is>
      </c>
      <c r="F15" t="n">
        <v>2</v>
      </c>
      <c r="G15" t="inlineStr">
        <is>
          <t>WOC</t>
        </is>
      </c>
    </row>
    <row r="16">
      <c r="A16" s="590" t="inlineStr">
        <is>
          <t>Sollana</t>
        </is>
      </c>
      <c r="B16" s="1" t="inlineStr">
        <is>
          <t>WFE 02 S.L., S.COM</t>
        </is>
      </c>
      <c r="C16" s="1" t="inlineStr">
        <is>
          <t>CIF D91845669</t>
        </is>
      </c>
      <c r="D16" s="3" t="inlineStr">
        <is>
          <t>c/ Las Cruzadas 3A, local D</t>
        </is>
      </c>
      <c r="E16" s="4" t="inlineStr">
        <is>
          <t>41004 Sevilla</t>
        </is>
      </c>
      <c r="F16" t="n">
        <v>2</v>
      </c>
      <c r="G16" t="inlineStr">
        <is>
          <t>WOC</t>
        </is>
      </c>
    </row>
    <row r="17">
      <c r="A17" s="590" t="n"/>
      <c r="B17" s="1" t="inlineStr">
        <is>
          <t>WOC Fotovoltaica España 2.1 S.L.U.</t>
        </is>
      </c>
      <c r="C17" s="1" t="inlineStr">
        <is>
          <t>CIF B91845560</t>
        </is>
      </c>
      <c r="D17" s="3" t="inlineStr">
        <is>
          <t>c/ Las Cruzadas 3A, local D</t>
        </is>
      </c>
      <c r="E17" s="4" t="inlineStr">
        <is>
          <t>41004 Sevilla</t>
        </is>
      </c>
      <c r="F17" t="n">
        <v>2</v>
      </c>
      <c r="G17" t="inlineStr">
        <is>
          <t>WOC</t>
        </is>
      </c>
    </row>
    <row r="18">
      <c r="A18" s="590" t="n"/>
      <c r="B18" s="4" t="inlineStr">
        <is>
          <t>WOC Fotovoltaica España Proyecto Sollana S.L.U.</t>
        </is>
      </c>
      <c r="C18" s="4" t="inlineStr">
        <is>
          <t>CIF B91849190</t>
        </is>
      </c>
      <c r="D18" s="3" t="inlineStr">
        <is>
          <t>c/ Las Cruzadas 3A, local D</t>
        </is>
      </c>
      <c r="E18" s="4" t="inlineStr">
        <is>
          <t>41004 Sevilla</t>
        </is>
      </c>
      <c r="F18" t="n">
        <v>2</v>
      </c>
      <c r="G18" t="inlineStr">
        <is>
          <t>WOC</t>
        </is>
      </c>
    </row>
    <row r="19">
      <c r="A19" s="590" t="inlineStr">
        <is>
          <t>Bailadero</t>
        </is>
      </c>
      <c r="B19" s="1" t="inlineStr">
        <is>
          <t>WOC Fotovoltaica España 2.2 S.L. S. Com.</t>
        </is>
      </c>
      <c r="C19" s="1" t="inlineStr">
        <is>
          <t>CIF D91879916</t>
        </is>
      </c>
      <c r="D19" s="3" t="inlineStr">
        <is>
          <t>c/ Las Cruzadas 3A, local D</t>
        </is>
      </c>
      <c r="E19" s="4" t="inlineStr">
        <is>
          <t>41004 Sevilla</t>
        </is>
      </c>
      <c r="F19" t="n">
        <v>2</v>
      </c>
      <c r="G19" t="inlineStr">
        <is>
          <t>WOC</t>
        </is>
      </c>
    </row>
    <row r="20">
      <c r="A20" s="590" t="n"/>
      <c r="B20" s="1" t="inlineStr">
        <is>
          <t>WOC Fotovoltaica España 2.2 S.L.U.</t>
        </is>
      </c>
      <c r="C20" s="1" t="inlineStr">
        <is>
          <t>CIF B91878892</t>
        </is>
      </c>
      <c r="D20" s="3" t="inlineStr">
        <is>
          <t>c/ Las Cruzadas 3A, local D</t>
        </is>
      </c>
      <c r="E20" s="4" t="inlineStr">
        <is>
          <t>41004 Sevilla</t>
        </is>
      </c>
      <c r="F20" t="n">
        <v>2</v>
      </c>
      <c r="G20" t="inlineStr">
        <is>
          <t>WOC</t>
        </is>
      </c>
    </row>
    <row r="21">
      <c r="A21" s="590" t="inlineStr">
        <is>
          <t>Artà</t>
        </is>
      </c>
      <c r="B21" s="1" t="inlineStr">
        <is>
          <t>WOC Fotovoltaica España 2.3 S.L. S. Com.</t>
        </is>
      </c>
      <c r="C21" s="1" t="inlineStr">
        <is>
          <t>CIF D91879924</t>
        </is>
      </c>
      <c r="D21" s="3" t="inlineStr">
        <is>
          <t>c/ Las Cruzadas 3A, local D</t>
        </is>
      </c>
      <c r="E21" s="4" t="inlineStr">
        <is>
          <t>41004 Sevilla</t>
        </is>
      </c>
      <c r="F21" t="n">
        <v>2</v>
      </c>
      <c r="G21" t="inlineStr">
        <is>
          <t>WOC</t>
        </is>
      </c>
    </row>
    <row r="22">
      <c r="A22" s="590" t="n"/>
      <c r="B22" s="1" t="inlineStr">
        <is>
          <t>WOC Fotovoltaica España 2.3 S.L.U.</t>
        </is>
      </c>
      <c r="C22" s="1" t="inlineStr">
        <is>
          <t>CIF B91878900</t>
        </is>
      </c>
      <c r="D22" s="3" t="inlineStr">
        <is>
          <t>c/ Las Cruzadas 3A, local D</t>
        </is>
      </c>
      <c r="E22" s="4" t="inlineStr">
        <is>
          <t>41004 Sevilla</t>
        </is>
      </c>
      <c r="F22" t="n">
        <v>2</v>
      </c>
      <c r="G22" t="inlineStr">
        <is>
          <t>WOC</t>
        </is>
      </c>
      <c r="I22" s="1" t="n"/>
      <c r="J22" s="1" t="n"/>
      <c r="K22" s="3" t="n"/>
      <c r="L22" s="4" t="n"/>
      <c r="M22" s="1" t="n"/>
      <c r="N22" s="1" t="n"/>
      <c r="O22" s="3" t="n"/>
      <c r="P22" s="4" t="n"/>
      <c r="Q22" s="1" t="n"/>
      <c r="R22" s="1" t="n"/>
      <c r="S22" s="3" t="n"/>
      <c r="T22" s="4" t="n"/>
      <c r="U22" s="1" t="n"/>
      <c r="V22" s="1" t="n"/>
      <c r="W22" s="3" t="n"/>
      <c r="X22" s="4" t="n"/>
      <c r="Y22" s="1" t="n"/>
      <c r="Z22" s="1" t="n"/>
      <c r="AA22" s="3" t="n"/>
      <c r="AB22" s="4" t="n"/>
      <c r="AC22" s="1" t="n"/>
      <c r="AD22" s="1" t="n"/>
      <c r="AE22" s="3" t="n"/>
      <c r="AF22" s="4" t="n"/>
      <c r="AG22" s="1" t="n"/>
      <c r="AH22" s="1" t="n"/>
      <c r="AI22" s="3" t="n"/>
      <c r="AJ22" s="4" t="n"/>
      <c r="AK22" s="1" t="n"/>
      <c r="AL22" s="1" t="n"/>
      <c r="AM22" s="3" t="n"/>
      <c r="AN22" s="4" t="n"/>
      <c r="AO22" s="1" t="n"/>
      <c r="AP22" s="1" t="n"/>
      <c r="AQ22" s="3" t="n"/>
      <c r="AR22" s="4" t="n"/>
      <c r="AS22" s="1" t="n"/>
      <c r="AT22" s="1" t="n"/>
      <c r="AU22" s="3" t="n"/>
      <c r="AV22" s="4" t="n"/>
      <c r="AW22" s="1" t="n"/>
      <c r="AX22" s="1" t="n"/>
      <c r="AY22" s="3" t="n"/>
      <c r="AZ22" s="4" t="n"/>
      <c r="BA22" s="1" t="n"/>
      <c r="BB22" s="1" t="n"/>
      <c r="BC22" s="3" t="n"/>
      <c r="BD22" s="4" t="n"/>
      <c r="BE22" s="1" t="n"/>
      <c r="BF22" s="1" t="n"/>
      <c r="BG22" s="3" t="n"/>
      <c r="BH22" s="4" t="n"/>
      <c r="BI22" s="1" t="n"/>
      <c r="BJ22" s="1" t="n"/>
      <c r="BK22" s="3" t="n"/>
      <c r="BL22" s="4" t="n"/>
      <c r="BM22" s="1" t="n"/>
      <c r="BN22" s="1" t="n"/>
      <c r="BO22" s="3" t="n"/>
      <c r="BP22" s="4" t="n"/>
      <c r="BQ22" s="1" t="n"/>
      <c r="BR22" s="1" t="n"/>
      <c r="BS22" s="3" t="n"/>
      <c r="BT22" s="4" t="n"/>
      <c r="BU22" s="1" t="n"/>
      <c r="BV22" s="1" t="n"/>
      <c r="BW22" s="3" t="n"/>
      <c r="BX22" s="4" t="n"/>
      <c r="BY22" s="1" t="n"/>
      <c r="BZ22" s="1" t="n"/>
      <c r="CA22" s="3" t="n"/>
      <c r="CB22" s="4" t="n"/>
      <c r="CC22" s="1" t="n"/>
      <c r="CD22" s="1" t="n"/>
      <c r="CE22" s="3" t="n"/>
      <c r="CF22" s="4" t="n"/>
      <c r="CG22" s="1" t="n"/>
      <c r="CH22" s="1" t="n"/>
      <c r="CI22" s="3" t="n"/>
      <c r="CJ22" s="4" t="n"/>
      <c r="CK22" s="1" t="n"/>
      <c r="CL22" s="1" t="n"/>
      <c r="CM22" s="3" t="n"/>
      <c r="CN22" s="4" t="n"/>
      <c r="CO22" s="1" t="n"/>
      <c r="CP22" s="1" t="n"/>
      <c r="CQ22" s="3" t="n"/>
      <c r="CR22" s="4" t="n"/>
      <c r="CS22" s="1" t="n"/>
      <c r="CT22" s="1" t="n"/>
      <c r="CU22" s="3" t="n"/>
      <c r="CV22" s="4" t="n"/>
      <c r="CW22" s="1" t="n"/>
      <c r="CX22" s="1" t="n"/>
      <c r="CY22" s="3" t="n"/>
      <c r="CZ22" s="4" t="n"/>
      <c r="DA22" s="1" t="n"/>
      <c r="DB22" s="1" t="n"/>
      <c r="DC22" s="3" t="n"/>
      <c r="DD22" s="4" t="n"/>
      <c r="DE22" s="1" t="n"/>
      <c r="DF22" s="1" t="n"/>
      <c r="DG22" s="3" t="n"/>
      <c r="DH22" s="4" t="n"/>
      <c r="DI22" s="1" t="n"/>
      <c r="DJ22" s="1" t="n"/>
      <c r="DK22" s="3" t="n"/>
      <c r="DL22" s="4" t="n"/>
      <c r="DM22" s="1" t="n"/>
      <c r="DN22" s="1" t="n"/>
      <c r="DO22" s="3" t="n"/>
      <c r="DP22" s="4" t="n"/>
      <c r="DQ22" s="1" t="n"/>
      <c r="DR22" s="1" t="n"/>
      <c r="DS22" s="3" t="n"/>
      <c r="DT22" s="4" t="n"/>
      <c r="DU22" s="1" t="n"/>
      <c r="DV22" s="1" t="n"/>
      <c r="DW22" s="3" t="n"/>
      <c r="DX22" s="4" t="n"/>
      <c r="DY22" s="1" t="n"/>
      <c r="DZ22" s="1" t="n"/>
      <c r="EA22" s="3" t="n"/>
      <c r="EB22" s="4" t="n"/>
      <c r="EC22" s="1" t="n"/>
      <c r="ED22" s="1" t="n"/>
      <c r="EE22" s="3" t="n"/>
      <c r="EF22" s="4" t="n"/>
      <c r="EG22" s="1" t="n"/>
      <c r="EH22" s="1" t="n"/>
      <c r="EI22" s="3" t="n"/>
      <c r="EJ22" s="4" t="n"/>
      <c r="EK22" s="1" t="n"/>
      <c r="EL22" s="1" t="n"/>
      <c r="EM22" s="3" t="n"/>
      <c r="EN22" s="4" t="n"/>
      <c r="EO22" s="1" t="n"/>
      <c r="EP22" s="1" t="n"/>
      <c r="EQ22" s="3" t="n"/>
      <c r="ER22" s="4" t="n"/>
      <c r="ES22" s="1" t="n"/>
      <c r="ET22" s="1" t="n"/>
      <c r="EU22" s="3" t="n"/>
      <c r="EV22" s="4" t="n"/>
      <c r="EW22" s="1" t="n"/>
      <c r="EX22" s="1" t="n"/>
      <c r="EY22" s="3" t="n"/>
      <c r="EZ22" s="4" t="n"/>
      <c r="FA22" s="1" t="n"/>
      <c r="FB22" s="1" t="n"/>
      <c r="FC22" s="3" t="n"/>
      <c r="FD22" s="4" t="n"/>
      <c r="FE22" s="1" t="n"/>
      <c r="FF22" s="1" t="n"/>
      <c r="FG22" s="3" t="n"/>
      <c r="FH22" s="4" t="n"/>
      <c r="FI22" s="1" t="n"/>
      <c r="FJ22" s="1" t="n"/>
      <c r="FK22" s="3" t="n"/>
      <c r="FL22" s="4" t="n"/>
      <c r="FM22" s="1" t="n"/>
      <c r="FN22" s="1" t="n"/>
      <c r="FO22" s="3" t="n"/>
      <c r="FP22" s="4" t="n"/>
      <c r="FQ22" s="1" t="n"/>
      <c r="FR22" s="1" t="n"/>
      <c r="FS22" s="3" t="n"/>
      <c r="FT22" s="4" t="n"/>
      <c r="FU22" s="1" t="n"/>
      <c r="FV22" s="1" t="n"/>
      <c r="FW22" s="3" t="n"/>
      <c r="FX22" s="4" t="n"/>
      <c r="FY22" s="1" t="n"/>
      <c r="FZ22" s="1" t="n"/>
      <c r="GA22" s="3" t="n"/>
      <c r="GB22" s="4" t="n"/>
      <c r="GC22" s="1" t="n"/>
      <c r="GD22" s="1" t="n"/>
      <c r="GE22" s="3" t="n"/>
      <c r="GF22" s="4" t="n"/>
      <c r="GG22" s="1" t="n"/>
      <c r="GH22" s="1" t="n"/>
      <c r="GI22" s="3" t="n"/>
      <c r="GJ22" s="4" t="n"/>
      <c r="GK22" s="1" t="n"/>
      <c r="GL22" s="1" t="n"/>
      <c r="GM22" s="3" t="n"/>
      <c r="GN22" s="4" t="n"/>
      <c r="GO22" s="1" t="n"/>
      <c r="GP22" s="1" t="n"/>
      <c r="GQ22" s="3" t="n"/>
      <c r="GR22" s="4" t="n"/>
      <c r="GS22" s="1" t="n"/>
      <c r="GT22" s="1" t="n"/>
      <c r="GU22" s="3" t="n"/>
      <c r="GV22" s="4" t="n"/>
      <c r="GW22" s="1" t="n"/>
      <c r="GX22" s="1" t="n"/>
      <c r="GY22" s="3" t="n"/>
      <c r="GZ22" s="4" t="n"/>
      <c r="HA22" s="1" t="n"/>
      <c r="HB22" s="1" t="n"/>
      <c r="HC22" s="3" t="n"/>
      <c r="HD22" s="4" t="n"/>
      <c r="HE22" s="1" t="n"/>
      <c r="HF22" s="1" t="n"/>
      <c r="HG22" s="3" t="n"/>
      <c r="HH22" s="4" t="n"/>
      <c r="HI22" s="1" t="n"/>
      <c r="HJ22" s="1" t="n"/>
      <c r="HK22" s="3" t="n"/>
      <c r="HL22" s="4" t="n"/>
      <c r="HM22" s="1" t="n"/>
      <c r="HN22" s="1" t="n"/>
      <c r="HO22" s="3" t="n"/>
      <c r="HP22" s="4" t="n"/>
      <c r="HQ22" s="1" t="n"/>
      <c r="HR22" s="1" t="n"/>
      <c r="HS22" s="3" t="n"/>
      <c r="HT22" s="4" t="n"/>
      <c r="HU22" s="1" t="n"/>
      <c r="HV22" s="1" t="n"/>
      <c r="HW22" s="3" t="n"/>
      <c r="HX22" s="4" t="n"/>
      <c r="HY22" s="1" t="n"/>
      <c r="HZ22" s="1" t="n"/>
      <c r="IA22" s="3" t="n"/>
      <c r="IB22" s="4" t="n"/>
      <c r="IC22" s="1" t="n"/>
      <c r="ID22" s="1" t="n"/>
      <c r="IE22" s="3" t="n"/>
      <c r="IF22" s="4" t="n"/>
      <c r="IG22" s="1" t="n"/>
      <c r="IH22" s="1" t="n"/>
      <c r="II22" s="3" t="n"/>
      <c r="IJ22" s="4" t="n"/>
      <c r="IK22" s="1" t="n"/>
      <c r="IL22" s="1" t="n"/>
      <c r="IM22" s="3" t="n"/>
      <c r="IN22" s="4" t="n"/>
      <c r="IO22" s="1" t="n"/>
      <c r="IP22" s="1" t="n"/>
      <c r="IQ22" s="3" t="n"/>
      <c r="IR22" s="4" t="n"/>
      <c r="IS22" s="1" t="n"/>
      <c r="IT22" s="1" t="n"/>
      <c r="IU22" s="3" t="n"/>
      <c r="IV22" s="4" t="n"/>
      <c r="IW22" s="1" t="n"/>
      <c r="IX22" s="1" t="n"/>
      <c r="IY22" s="3" t="n"/>
      <c r="IZ22" s="4" t="n"/>
      <c r="JA22" s="1" t="n"/>
      <c r="JB22" s="1" t="n"/>
      <c r="JC22" s="3" t="n"/>
      <c r="JD22" s="4" t="n"/>
      <c r="JE22" s="1" t="n"/>
      <c r="JF22" s="1" t="n"/>
      <c r="JG22" s="3" t="n"/>
      <c r="JH22" s="4" t="n"/>
      <c r="JI22" s="1" t="n"/>
      <c r="JJ22" s="1" t="n"/>
      <c r="JK22" s="3" t="n"/>
      <c r="JL22" s="4" t="n"/>
      <c r="JM22" s="1" t="n"/>
      <c r="JN22" s="1" t="n"/>
      <c r="JO22" s="3" t="n"/>
      <c r="JP22" s="4" t="n"/>
      <c r="JQ22" s="1" t="n"/>
      <c r="JR22" s="1" t="n"/>
      <c r="JS22" s="3" t="n"/>
      <c r="JT22" s="4" t="n"/>
      <c r="JU22" s="1" t="n"/>
      <c r="JV22" s="1" t="n"/>
      <c r="JW22" s="3" t="n"/>
      <c r="JX22" s="4" t="n"/>
      <c r="JY22" s="1" t="n"/>
      <c r="JZ22" s="1" t="n"/>
      <c r="KA22" s="3" t="n"/>
      <c r="KB22" s="4" t="n"/>
      <c r="KC22" s="1" t="n"/>
      <c r="KD22" s="1" t="n"/>
      <c r="KE22" s="3" t="n"/>
      <c r="KF22" s="4" t="n"/>
      <c r="KG22" s="1" t="n"/>
      <c r="KH22" s="1" t="n"/>
      <c r="KI22" s="3" t="n"/>
      <c r="KJ22" s="4" t="n"/>
      <c r="KK22" s="1" t="n"/>
      <c r="KL22" s="1" t="n"/>
      <c r="KM22" s="3" t="n"/>
      <c r="KN22" s="4" t="n"/>
      <c r="KO22" s="1" t="n"/>
      <c r="KP22" s="1" t="n"/>
      <c r="KQ22" s="3" t="n"/>
      <c r="KR22" s="4" t="n"/>
      <c r="KS22" s="1" t="n"/>
      <c r="KT22" s="1" t="n"/>
      <c r="KU22" s="3" t="n"/>
      <c r="KV22" s="4" t="n"/>
      <c r="KW22" s="1" t="n"/>
      <c r="KX22" s="1" t="n"/>
      <c r="KY22" s="3" t="n"/>
      <c r="KZ22" s="4" t="n"/>
      <c r="LA22" s="1" t="n"/>
      <c r="LB22" s="1" t="n"/>
      <c r="LC22" s="3" t="n"/>
      <c r="LD22" s="4" t="n"/>
      <c r="LE22" s="1" t="n"/>
      <c r="LF22" s="1" t="n"/>
      <c r="LG22" s="3" t="n"/>
      <c r="LH22" s="4" t="n"/>
      <c r="LI22" s="1" t="n"/>
      <c r="LJ22" s="1" t="n"/>
      <c r="LK22" s="3" t="n"/>
      <c r="LL22" s="4" t="n"/>
      <c r="LM22" s="1" t="n"/>
      <c r="LN22" s="1" t="n"/>
      <c r="LO22" s="3" t="n"/>
      <c r="LP22" s="4" t="n"/>
      <c r="LQ22" s="1" t="n"/>
      <c r="LR22" s="1" t="n"/>
      <c r="LS22" s="3" t="n"/>
      <c r="LT22" s="4" t="n"/>
      <c r="LU22" s="1" t="n"/>
      <c r="LV22" s="1" t="n"/>
      <c r="LW22" s="3" t="n"/>
      <c r="LX22" s="4" t="n"/>
      <c r="LY22" s="1" t="n"/>
      <c r="LZ22" s="1" t="n"/>
      <c r="MA22" s="3" t="n"/>
      <c r="MB22" s="4" t="n"/>
      <c r="MC22" s="1" t="n"/>
      <c r="MD22" s="1" t="n"/>
      <c r="ME22" s="3" t="n"/>
      <c r="MF22" s="4" t="n"/>
      <c r="MG22" s="1" t="n"/>
      <c r="MH22" s="1" t="n"/>
      <c r="MI22" s="3" t="n"/>
      <c r="MJ22" s="4" t="n"/>
      <c r="MK22" s="1" t="n"/>
      <c r="ML22" s="1" t="n"/>
      <c r="MM22" s="3" t="n"/>
      <c r="MN22" s="4" t="n"/>
      <c r="MO22" s="1" t="n"/>
      <c r="MP22" s="1" t="n"/>
      <c r="MQ22" s="3" t="n"/>
      <c r="MR22" s="4" t="n"/>
      <c r="MS22" s="1" t="n"/>
      <c r="MT22" s="1" t="n"/>
      <c r="MU22" s="3" t="n"/>
      <c r="MV22" s="4" t="n"/>
      <c r="MW22" s="1" t="n"/>
      <c r="MX22" s="1" t="n"/>
      <c r="MY22" s="3" t="n"/>
      <c r="MZ22" s="4" t="n"/>
      <c r="NA22" s="1" t="n"/>
      <c r="NB22" s="1" t="n"/>
      <c r="NC22" s="3" t="n"/>
      <c r="ND22" s="4" t="n"/>
      <c r="NE22" s="1" t="n"/>
      <c r="NF22" s="1" t="n"/>
      <c r="NG22" s="3" t="n"/>
      <c r="NH22" s="4" t="n"/>
      <c r="NI22" s="1" t="n"/>
      <c r="NJ22" s="1" t="n"/>
      <c r="NK22" s="3" t="n"/>
      <c r="NL22" s="4" t="n"/>
      <c r="NM22" s="1" t="n"/>
      <c r="NN22" s="1" t="n"/>
      <c r="NO22" s="3" t="n"/>
      <c r="NP22" s="4" t="n"/>
      <c r="NQ22" s="1" t="n"/>
      <c r="NR22" s="1" t="n"/>
      <c r="NS22" s="3" t="n"/>
      <c r="NT22" s="4" t="n"/>
      <c r="NU22" s="1" t="n"/>
      <c r="NV22" s="1" t="n"/>
      <c r="NW22" s="3" t="n"/>
      <c r="NX22" s="4" t="n"/>
      <c r="NY22" s="1" t="n"/>
      <c r="NZ22" s="1" t="n"/>
      <c r="OA22" s="3" t="n"/>
      <c r="OB22" s="4" t="n"/>
      <c r="OC22" s="1" t="n"/>
      <c r="OD22" s="1" t="n"/>
      <c r="OE22" s="3" t="n"/>
      <c r="OF22" s="4" t="n"/>
      <c r="OG22" s="1" t="n"/>
      <c r="OH22" s="1" t="n"/>
      <c r="OI22" s="3" t="n"/>
      <c r="OJ22" s="4" t="n"/>
      <c r="OK22" s="1" t="n"/>
      <c r="OL22" s="1" t="n"/>
      <c r="OM22" s="3" t="n"/>
      <c r="ON22" s="4" t="n"/>
      <c r="OO22" s="1" t="n"/>
      <c r="OP22" s="1" t="n"/>
      <c r="OQ22" s="3" t="n"/>
      <c r="OR22" s="4" t="n"/>
      <c r="OS22" s="1" t="n"/>
      <c r="OT22" s="1" t="n"/>
      <c r="OU22" s="3" t="n"/>
      <c r="OV22" s="4" t="n"/>
      <c r="OW22" s="1" t="n"/>
      <c r="OX22" s="1" t="n"/>
      <c r="OY22" s="3" t="n"/>
      <c r="OZ22" s="4" t="n"/>
      <c r="PA22" s="1" t="n"/>
      <c r="PB22" s="1" t="n"/>
      <c r="PC22" s="3" t="n"/>
      <c r="PD22" s="4" t="n"/>
      <c r="PE22" s="1" t="n"/>
      <c r="PF22" s="1" t="n"/>
      <c r="PG22" s="3" t="n"/>
      <c r="PH22" s="4" t="n"/>
      <c r="PI22" s="1" t="n"/>
      <c r="PJ22" s="1" t="n"/>
      <c r="PK22" s="3" t="n"/>
      <c r="PL22" s="4" t="n"/>
      <c r="PM22" s="1" t="n"/>
      <c r="PN22" s="1" t="n"/>
      <c r="PO22" s="3" t="n"/>
      <c r="PP22" s="4" t="n"/>
      <c r="PQ22" s="1" t="n"/>
      <c r="PR22" s="1" t="n"/>
      <c r="PS22" s="3" t="n"/>
      <c r="PT22" s="4" t="n"/>
      <c r="PU22" s="1" t="n"/>
      <c r="PV22" s="1" t="n"/>
      <c r="PW22" s="3" t="n"/>
      <c r="PX22" s="4" t="n"/>
      <c r="PY22" s="1" t="n"/>
      <c r="PZ22" s="1" t="n"/>
      <c r="QA22" s="3" t="n"/>
      <c r="QB22" s="4" t="n"/>
      <c r="QC22" s="1" t="n"/>
      <c r="QD22" s="1" t="n"/>
      <c r="QE22" s="3" t="n"/>
      <c r="QF22" s="4" t="n"/>
      <c r="QG22" s="1" t="n"/>
      <c r="QH22" s="1" t="n"/>
      <c r="QI22" s="3" t="n"/>
      <c r="QJ22" s="4" t="n"/>
      <c r="QK22" s="1" t="n"/>
      <c r="QL22" s="1" t="n"/>
      <c r="QM22" s="3" t="n"/>
      <c r="QN22" s="4" t="n"/>
      <c r="QO22" s="1" t="n"/>
      <c r="QP22" s="1" t="n"/>
      <c r="QQ22" s="3" t="n"/>
      <c r="QR22" s="4" t="n"/>
      <c r="QS22" s="1" t="n"/>
      <c r="QT22" s="1" t="n"/>
      <c r="QU22" s="3" t="n"/>
      <c r="QV22" s="4" t="n"/>
      <c r="QW22" s="1" t="n"/>
      <c r="QX22" s="1" t="n"/>
      <c r="QY22" s="3" t="n"/>
      <c r="QZ22" s="4" t="n"/>
      <c r="RA22" s="1" t="n"/>
      <c r="RB22" s="1" t="n"/>
      <c r="RC22" s="3" t="n"/>
      <c r="RD22" s="4" t="n"/>
      <c r="RE22" s="1" t="n"/>
      <c r="RF22" s="1" t="n"/>
      <c r="RG22" s="3" t="n"/>
      <c r="RH22" s="4" t="n"/>
      <c r="RI22" s="1" t="n"/>
      <c r="RJ22" s="1" t="n"/>
      <c r="RK22" s="3" t="n"/>
      <c r="RL22" s="4" t="n"/>
      <c r="RM22" s="1" t="n"/>
      <c r="RN22" s="1" t="n"/>
      <c r="RO22" s="3" t="n"/>
      <c r="RP22" s="4" t="n"/>
      <c r="RQ22" s="1" t="n"/>
      <c r="RR22" s="1" t="n"/>
      <c r="RS22" s="3" t="n"/>
      <c r="RT22" s="4" t="n"/>
      <c r="RU22" s="1" t="n"/>
      <c r="RV22" s="1" t="n"/>
      <c r="RW22" s="3" t="n"/>
      <c r="RX22" s="4" t="n"/>
      <c r="RY22" s="1" t="n"/>
      <c r="RZ22" s="1" t="n"/>
      <c r="SA22" s="3" t="n"/>
      <c r="SB22" s="4" t="n"/>
      <c r="SC22" s="1" t="n"/>
      <c r="SD22" s="1" t="n"/>
      <c r="SE22" s="3" t="n"/>
      <c r="SF22" s="4" t="n"/>
      <c r="SG22" s="1" t="n"/>
      <c r="SH22" s="1" t="n"/>
      <c r="SI22" s="3" t="n"/>
      <c r="SJ22" s="4" t="n"/>
      <c r="SK22" s="1" t="n"/>
      <c r="SL22" s="1" t="n"/>
      <c r="SM22" s="3" t="n"/>
      <c r="SN22" s="4" t="n"/>
      <c r="SO22" s="1" t="n"/>
      <c r="SP22" s="1" t="n"/>
      <c r="SQ22" s="3" t="n"/>
      <c r="SR22" s="4" t="n"/>
      <c r="SS22" s="1" t="n"/>
      <c r="ST22" s="1" t="n"/>
      <c r="SU22" s="3" t="n"/>
      <c r="SV22" s="4" t="n"/>
      <c r="SW22" s="1" t="n"/>
      <c r="SX22" s="1" t="n"/>
      <c r="SY22" s="3" t="n"/>
      <c r="SZ22" s="4" t="n"/>
      <c r="TA22" s="1" t="n"/>
      <c r="TB22" s="1" t="n"/>
      <c r="TC22" s="3" t="n"/>
      <c r="TD22" s="4" t="n"/>
      <c r="TE22" s="1" t="n"/>
      <c r="TF22" s="1" t="n"/>
      <c r="TG22" s="3" t="n"/>
      <c r="TH22" s="4" t="n"/>
      <c r="TI22" s="1" t="n"/>
      <c r="TJ22" s="1" t="n"/>
      <c r="TK22" s="3" t="n"/>
      <c r="TL22" s="4" t="n"/>
      <c r="TM22" s="1" t="n"/>
      <c r="TN22" s="1" t="n"/>
      <c r="TO22" s="3" t="n"/>
      <c r="TP22" s="4" t="n"/>
      <c r="TQ22" s="1" t="n"/>
      <c r="TR22" s="1" t="n"/>
      <c r="TS22" s="3" t="n"/>
      <c r="TT22" s="4" t="n"/>
      <c r="TU22" s="1" t="n"/>
      <c r="TV22" s="1" t="n"/>
      <c r="TW22" s="3" t="n"/>
      <c r="TX22" s="4" t="n"/>
      <c r="TY22" s="1" t="n"/>
      <c r="TZ22" s="1" t="n"/>
      <c r="UA22" s="3" t="n"/>
      <c r="UB22" s="4" t="n"/>
      <c r="UC22" s="1" t="n"/>
      <c r="UD22" s="1" t="n"/>
      <c r="UE22" s="3" t="n"/>
      <c r="UF22" s="4" t="n"/>
      <c r="UG22" s="1" t="n"/>
      <c r="UH22" s="1" t="n"/>
      <c r="UI22" s="3" t="n"/>
      <c r="UJ22" s="4" t="n"/>
      <c r="UK22" s="1" t="n"/>
      <c r="UL22" s="1" t="n"/>
      <c r="UM22" s="3" t="n"/>
      <c r="UN22" s="4" t="n"/>
      <c r="UO22" s="1" t="n"/>
      <c r="UP22" s="1" t="n"/>
      <c r="UQ22" s="3" t="n"/>
      <c r="UR22" s="4" t="n"/>
      <c r="US22" s="1" t="n"/>
      <c r="UT22" s="1" t="n"/>
      <c r="UU22" s="3" t="n"/>
      <c r="UV22" s="4" t="n"/>
      <c r="UW22" s="1" t="n"/>
      <c r="UX22" s="1" t="n"/>
      <c r="UY22" s="3" t="n"/>
      <c r="UZ22" s="4" t="n"/>
      <c r="VA22" s="1" t="n"/>
      <c r="VB22" s="1" t="n"/>
      <c r="VC22" s="3" t="n"/>
      <c r="VD22" s="4" t="n"/>
      <c r="VE22" s="1" t="n"/>
      <c r="VF22" s="1" t="n"/>
      <c r="VG22" s="3" t="n"/>
      <c r="VH22" s="4" t="n"/>
      <c r="VI22" s="1" t="n"/>
      <c r="VJ22" s="1" t="n"/>
      <c r="VK22" s="3" t="n"/>
      <c r="VL22" s="4" t="n"/>
      <c r="VM22" s="1" t="n"/>
      <c r="VN22" s="1" t="n"/>
      <c r="VO22" s="3" t="n"/>
      <c r="VP22" s="4" t="n"/>
      <c r="VQ22" s="1" t="n"/>
      <c r="VR22" s="1" t="n"/>
      <c r="VS22" s="3" t="n"/>
      <c r="VT22" s="4" t="n"/>
      <c r="VU22" s="1" t="n"/>
      <c r="VV22" s="1" t="n"/>
      <c r="VW22" s="3" t="n"/>
      <c r="VX22" s="4" t="n"/>
      <c r="VY22" s="1" t="n"/>
      <c r="VZ22" s="1" t="n"/>
      <c r="WA22" s="3" t="n"/>
      <c r="WB22" s="4" t="n"/>
      <c r="WC22" s="1" t="n"/>
      <c r="WD22" s="1" t="n"/>
      <c r="WE22" s="3" t="n"/>
      <c r="WF22" s="4" t="n"/>
      <c r="WG22" s="1" t="n"/>
      <c r="WH22" s="1" t="n"/>
      <c r="WI22" s="3" t="n"/>
      <c r="WJ22" s="4" t="n"/>
      <c r="WK22" s="1" t="n"/>
      <c r="WL22" s="1" t="n"/>
      <c r="WM22" s="3" t="n"/>
      <c r="WN22" s="4" t="n"/>
      <c r="WO22" s="1" t="n"/>
      <c r="WP22" s="1" t="n"/>
      <c r="WQ22" s="3" t="n"/>
      <c r="WR22" s="4" t="n"/>
      <c r="WS22" s="1" t="n"/>
      <c r="WT22" s="1" t="n"/>
      <c r="WU22" s="3" t="n"/>
      <c r="WV22" s="4" t="n"/>
      <c r="WW22" s="1" t="n"/>
      <c r="WX22" s="1" t="n"/>
      <c r="WY22" s="3" t="n"/>
      <c r="WZ22" s="4" t="n"/>
      <c r="XA22" s="1" t="n"/>
      <c r="XB22" s="1" t="n"/>
      <c r="XC22" s="3" t="n"/>
      <c r="XD22" s="4" t="n"/>
      <c r="XE22" s="1" t="n"/>
      <c r="XF22" s="1" t="n"/>
      <c r="XG22" s="3" t="n"/>
      <c r="XH22" s="4" t="n"/>
      <c r="XI22" s="1" t="n"/>
      <c r="XJ22" s="1" t="n"/>
      <c r="XK22" s="3" t="n"/>
      <c r="XL22" s="4" t="n"/>
      <c r="XM22" s="1" t="n"/>
      <c r="XN22" s="1" t="n"/>
      <c r="XO22" s="3" t="n"/>
      <c r="XP22" s="4" t="n"/>
      <c r="XQ22" s="1" t="n"/>
      <c r="XR22" s="1" t="n"/>
      <c r="XS22" s="3" t="n"/>
      <c r="XT22" s="4" t="n"/>
      <c r="XU22" s="1" t="n"/>
      <c r="XV22" s="1" t="n"/>
      <c r="XW22" s="3" t="n"/>
      <c r="XX22" s="4" t="n"/>
      <c r="XY22" s="1" t="n"/>
      <c r="XZ22" s="1" t="n"/>
      <c r="YA22" s="3" t="n"/>
      <c r="YB22" s="4" t="n"/>
      <c r="YC22" s="1" t="n"/>
      <c r="YD22" s="1" t="n"/>
      <c r="YE22" s="3" t="n"/>
      <c r="YF22" s="4" t="n"/>
      <c r="YG22" s="1" t="n"/>
      <c r="YH22" s="1" t="n"/>
      <c r="YI22" s="3" t="n"/>
      <c r="YJ22" s="4" t="n"/>
      <c r="YK22" s="1" t="n"/>
      <c r="YL22" s="1" t="n"/>
      <c r="YM22" s="3" t="n"/>
      <c r="YN22" s="4" t="n"/>
      <c r="YO22" s="1" t="n"/>
      <c r="YP22" s="1" t="n"/>
      <c r="YQ22" s="3" t="n"/>
      <c r="YR22" s="4" t="n"/>
      <c r="YS22" s="1" t="n"/>
      <c r="YT22" s="1" t="n"/>
      <c r="YU22" s="3" t="n"/>
      <c r="YV22" s="4" t="n"/>
      <c r="YW22" s="1" t="n"/>
      <c r="YX22" s="1" t="n"/>
      <c r="YY22" s="3" t="n"/>
      <c r="YZ22" s="4" t="n"/>
      <c r="ZA22" s="1" t="n"/>
      <c r="ZB22" s="1" t="n"/>
      <c r="ZC22" s="3" t="n"/>
      <c r="ZD22" s="4" t="n"/>
      <c r="ZE22" s="1" t="n"/>
      <c r="ZF22" s="1" t="n"/>
      <c r="ZG22" s="3" t="n"/>
      <c r="ZH22" s="4" t="n"/>
      <c r="ZI22" s="1" t="n"/>
      <c r="ZJ22" s="1" t="n"/>
      <c r="ZK22" s="3" t="n"/>
      <c r="ZL22" s="4" t="n"/>
      <c r="ZM22" s="1" t="n"/>
      <c r="ZN22" s="1" t="n"/>
      <c r="ZO22" s="3" t="n"/>
      <c r="ZP22" s="4" t="n"/>
      <c r="ZQ22" s="1" t="n"/>
      <c r="ZR22" s="1" t="n"/>
      <c r="ZS22" s="3" t="n"/>
      <c r="ZT22" s="4" t="n"/>
      <c r="ZU22" s="1" t="n"/>
      <c r="ZV22" s="1" t="n"/>
      <c r="ZW22" s="3" t="n"/>
      <c r="ZX22" s="4" t="n"/>
      <c r="ZY22" s="1" t="n"/>
      <c r="ZZ22" s="1" t="n"/>
      <c r="AAA22" s="3" t="n"/>
      <c r="AAB22" s="4" t="n"/>
      <c r="AAC22" s="1" t="n"/>
      <c r="AAD22" s="1" t="n"/>
      <c r="AAE22" s="3" t="n"/>
      <c r="AAF22" s="4" t="n"/>
      <c r="AAG22" s="1" t="n"/>
      <c r="AAH22" s="1" t="n"/>
      <c r="AAI22" s="3" t="n"/>
      <c r="AAJ22" s="4" t="n"/>
      <c r="AAK22" s="1" t="n"/>
      <c r="AAL22" s="1" t="n"/>
      <c r="AAM22" s="3" t="n"/>
      <c r="AAN22" s="4" t="n"/>
      <c r="AAO22" s="1" t="n"/>
      <c r="AAP22" s="1" t="n"/>
      <c r="AAQ22" s="3" t="n"/>
      <c r="AAR22" s="4" t="n"/>
      <c r="AAS22" s="1" t="n"/>
      <c r="AAT22" s="1" t="n"/>
      <c r="AAU22" s="3" t="n"/>
      <c r="AAV22" s="4" t="n"/>
      <c r="AAW22" s="1" t="n"/>
      <c r="AAX22" s="1" t="n"/>
      <c r="AAY22" s="3" t="n"/>
      <c r="AAZ22" s="4" t="n"/>
      <c r="ABA22" s="1" t="n"/>
      <c r="ABB22" s="1" t="n"/>
      <c r="ABC22" s="3" t="n"/>
      <c r="ABD22" s="4" t="n"/>
      <c r="ABE22" s="1" t="n"/>
      <c r="ABF22" s="1" t="n"/>
      <c r="ABG22" s="3" t="n"/>
      <c r="ABH22" s="4" t="n"/>
      <c r="ABI22" s="1" t="n"/>
      <c r="ABJ22" s="1" t="n"/>
      <c r="ABK22" s="3" t="n"/>
      <c r="ABL22" s="4" t="n"/>
      <c r="ABM22" s="1" t="n"/>
      <c r="ABN22" s="1" t="n"/>
      <c r="ABO22" s="3" t="n"/>
      <c r="ABP22" s="4" t="n"/>
      <c r="ABQ22" s="1" t="n"/>
      <c r="ABR22" s="1" t="n"/>
      <c r="ABS22" s="3" t="n"/>
      <c r="ABT22" s="4" t="n"/>
      <c r="ABU22" s="1" t="n"/>
      <c r="ABV22" s="1" t="n"/>
      <c r="ABW22" s="3" t="n"/>
      <c r="ABX22" s="4" t="n"/>
      <c r="ABY22" s="1" t="n"/>
      <c r="ABZ22" s="1" t="n"/>
      <c r="ACA22" s="3" t="n"/>
      <c r="ACB22" s="4" t="n"/>
      <c r="ACC22" s="1" t="n"/>
      <c r="ACD22" s="1" t="n"/>
      <c r="ACE22" s="3" t="n"/>
      <c r="ACF22" s="4" t="n"/>
      <c r="ACG22" s="1" t="n"/>
      <c r="ACH22" s="1" t="n"/>
      <c r="ACI22" s="3" t="n"/>
      <c r="ACJ22" s="4" t="n"/>
      <c r="ACK22" s="1" t="n"/>
      <c r="ACL22" s="1" t="n"/>
      <c r="ACM22" s="3" t="n"/>
      <c r="ACN22" s="4" t="n"/>
      <c r="ACO22" s="1" t="n"/>
      <c r="ACP22" s="1" t="n"/>
      <c r="ACQ22" s="3" t="n"/>
      <c r="ACR22" s="4" t="n"/>
      <c r="ACS22" s="1" t="n"/>
      <c r="ACT22" s="1" t="n"/>
      <c r="ACU22" s="3" t="n"/>
      <c r="ACV22" s="4" t="n"/>
      <c r="ACW22" s="1" t="n"/>
      <c r="ACX22" s="1" t="n"/>
      <c r="ACY22" s="3" t="n"/>
      <c r="ACZ22" s="4" t="n"/>
      <c r="ADA22" s="1" t="n"/>
      <c r="ADB22" s="1" t="n"/>
      <c r="ADC22" s="3" t="n"/>
      <c r="ADD22" s="4" t="n"/>
      <c r="ADE22" s="1" t="n"/>
      <c r="ADF22" s="1" t="n"/>
      <c r="ADG22" s="3" t="n"/>
      <c r="ADH22" s="4" t="n"/>
      <c r="ADI22" s="1" t="n"/>
      <c r="ADJ22" s="1" t="n"/>
      <c r="ADK22" s="3" t="n"/>
      <c r="ADL22" s="4" t="n"/>
      <c r="ADM22" s="1" t="n"/>
      <c r="ADN22" s="1" t="n"/>
      <c r="ADO22" s="3" t="n"/>
      <c r="ADP22" s="4" t="n"/>
      <c r="ADQ22" s="1" t="n"/>
      <c r="ADR22" s="1" t="n"/>
      <c r="ADS22" s="3" t="n"/>
      <c r="ADT22" s="4" t="n"/>
      <c r="ADU22" s="1" t="n"/>
      <c r="ADV22" s="1" t="n"/>
      <c r="ADW22" s="3" t="n"/>
      <c r="ADX22" s="4" t="n"/>
      <c r="ADY22" s="1" t="n"/>
      <c r="ADZ22" s="1" t="n"/>
      <c r="AEA22" s="3" t="n"/>
      <c r="AEB22" s="4" t="n"/>
      <c r="AEC22" s="1" t="n"/>
      <c r="AED22" s="1" t="n"/>
      <c r="AEE22" s="3" t="n"/>
      <c r="AEF22" s="4" t="n"/>
      <c r="AEG22" s="1" t="n"/>
      <c r="AEH22" s="1" t="n"/>
      <c r="AEI22" s="3" t="n"/>
      <c r="AEJ22" s="4" t="n"/>
      <c r="AEK22" s="1" t="n"/>
      <c r="AEL22" s="1" t="n"/>
      <c r="AEM22" s="3" t="n"/>
      <c r="AEN22" s="4" t="n"/>
      <c r="AEO22" s="1" t="n"/>
      <c r="AEP22" s="1" t="n"/>
      <c r="AEQ22" s="3" t="n"/>
      <c r="AER22" s="4" t="n"/>
      <c r="AES22" s="1" t="n"/>
      <c r="AET22" s="1" t="n"/>
      <c r="AEU22" s="3" t="n"/>
      <c r="AEV22" s="4" t="n"/>
      <c r="AEW22" s="1" t="n"/>
      <c r="AEX22" s="1" t="n"/>
      <c r="AEY22" s="3" t="n"/>
      <c r="AEZ22" s="4" t="n"/>
      <c r="AFA22" s="1" t="n"/>
      <c r="AFB22" s="1" t="n"/>
      <c r="AFC22" s="3" t="n"/>
      <c r="AFD22" s="4" t="n"/>
      <c r="AFE22" s="1" t="n"/>
      <c r="AFF22" s="1" t="n"/>
      <c r="AFG22" s="3" t="n"/>
      <c r="AFH22" s="4" t="n"/>
      <c r="AFI22" s="1" t="n"/>
      <c r="AFJ22" s="1" t="n"/>
      <c r="AFK22" s="3" t="n"/>
      <c r="AFL22" s="4" t="n"/>
      <c r="AFM22" s="1" t="n"/>
      <c r="AFN22" s="1" t="n"/>
      <c r="AFO22" s="3" t="n"/>
      <c r="AFP22" s="4" t="n"/>
      <c r="AFQ22" s="1" t="n"/>
      <c r="AFR22" s="1" t="n"/>
      <c r="AFS22" s="3" t="n"/>
      <c r="AFT22" s="4" t="n"/>
      <c r="AFU22" s="1" t="n"/>
      <c r="AFV22" s="1" t="n"/>
      <c r="AFW22" s="3" t="n"/>
      <c r="AFX22" s="4" t="n"/>
      <c r="AFY22" s="1" t="n"/>
      <c r="AFZ22" s="1" t="n"/>
      <c r="AGA22" s="3" t="n"/>
      <c r="AGB22" s="4" t="n"/>
      <c r="AGC22" s="1" t="n"/>
      <c r="AGD22" s="1" t="n"/>
      <c r="AGE22" s="3" t="n"/>
      <c r="AGF22" s="4" t="n"/>
      <c r="AGG22" s="1" t="n"/>
      <c r="AGH22" s="1" t="n"/>
      <c r="AGI22" s="3" t="n"/>
      <c r="AGJ22" s="4" t="n"/>
      <c r="AGK22" s="1" t="n"/>
      <c r="AGL22" s="1" t="n"/>
      <c r="AGM22" s="3" t="n"/>
      <c r="AGN22" s="4" t="n"/>
      <c r="AGO22" s="1" t="n"/>
      <c r="AGP22" s="1" t="n"/>
      <c r="AGQ22" s="3" t="n"/>
      <c r="AGR22" s="4" t="n"/>
      <c r="AGS22" s="1" t="n"/>
      <c r="AGT22" s="1" t="n"/>
      <c r="AGU22" s="3" t="n"/>
      <c r="AGV22" s="4" t="n"/>
      <c r="AGW22" s="1" t="n"/>
      <c r="AGX22" s="1" t="n"/>
      <c r="AGY22" s="3" t="n"/>
      <c r="AGZ22" s="4" t="n"/>
      <c r="AHA22" s="1" t="n"/>
      <c r="AHB22" s="1" t="n"/>
      <c r="AHC22" s="3" t="n"/>
      <c r="AHD22" s="4" t="n"/>
      <c r="AHE22" s="1" t="n"/>
      <c r="AHF22" s="1" t="n"/>
      <c r="AHG22" s="3" t="n"/>
      <c r="AHH22" s="4" t="n"/>
      <c r="AHI22" s="1" t="n"/>
      <c r="AHJ22" s="1" t="n"/>
      <c r="AHK22" s="3" t="n"/>
      <c r="AHL22" s="4" t="n"/>
      <c r="AHM22" s="1" t="n"/>
      <c r="AHN22" s="1" t="n"/>
      <c r="AHO22" s="3" t="n"/>
      <c r="AHP22" s="4" t="n"/>
      <c r="AHQ22" s="1" t="n"/>
      <c r="AHR22" s="1" t="n"/>
      <c r="AHS22" s="3" t="n"/>
      <c r="AHT22" s="4" t="n"/>
      <c r="AHU22" s="1" t="n"/>
      <c r="AHV22" s="1" t="n"/>
      <c r="AHW22" s="3" t="n"/>
      <c r="AHX22" s="4" t="n"/>
      <c r="AHY22" s="1" t="n"/>
      <c r="AHZ22" s="1" t="n"/>
      <c r="AIA22" s="3" t="n"/>
      <c r="AIB22" s="4" t="n"/>
      <c r="AIC22" s="1" t="n"/>
      <c r="AID22" s="1" t="n"/>
      <c r="AIE22" s="3" t="n"/>
      <c r="AIF22" s="4" t="n"/>
      <c r="AIG22" s="1" t="n"/>
      <c r="AIH22" s="1" t="n"/>
      <c r="AII22" s="3" t="n"/>
      <c r="AIJ22" s="4" t="n"/>
      <c r="AIK22" s="1" t="n"/>
      <c r="AIL22" s="1" t="n"/>
      <c r="AIM22" s="3" t="n"/>
      <c r="AIN22" s="4" t="n"/>
      <c r="AIO22" s="1" t="n"/>
      <c r="AIP22" s="1" t="n"/>
      <c r="AIQ22" s="3" t="n"/>
      <c r="AIR22" s="4" t="n"/>
      <c r="AIS22" s="1" t="n"/>
      <c r="AIT22" s="1" t="n"/>
      <c r="AIU22" s="3" t="n"/>
      <c r="AIV22" s="4" t="n"/>
      <c r="AIW22" s="1" t="n"/>
      <c r="AIX22" s="1" t="n"/>
      <c r="AIY22" s="3" t="n"/>
      <c r="AIZ22" s="4" t="n"/>
      <c r="AJA22" s="1" t="n"/>
      <c r="AJB22" s="1" t="n"/>
      <c r="AJC22" s="3" t="n"/>
      <c r="AJD22" s="4" t="n"/>
      <c r="AJE22" s="1" t="n"/>
      <c r="AJF22" s="1" t="n"/>
      <c r="AJG22" s="3" t="n"/>
      <c r="AJH22" s="4" t="n"/>
      <c r="AJI22" s="1" t="n"/>
      <c r="AJJ22" s="1" t="n"/>
      <c r="AJK22" s="3" t="n"/>
      <c r="AJL22" s="4" t="n"/>
      <c r="AJM22" s="1" t="n"/>
      <c r="AJN22" s="1" t="n"/>
      <c r="AJO22" s="3" t="n"/>
      <c r="AJP22" s="4" t="n"/>
      <c r="AJQ22" s="1" t="n"/>
      <c r="AJR22" s="1" t="n"/>
      <c r="AJS22" s="3" t="n"/>
      <c r="AJT22" s="4" t="n"/>
      <c r="AJU22" s="1" t="n"/>
      <c r="AJV22" s="1" t="n"/>
      <c r="AJW22" s="3" t="n"/>
      <c r="AJX22" s="4" t="n"/>
      <c r="AJY22" s="1" t="n"/>
      <c r="AJZ22" s="1" t="n"/>
      <c r="AKA22" s="3" t="n"/>
      <c r="AKB22" s="4" t="n"/>
      <c r="AKC22" s="1" t="n"/>
      <c r="AKD22" s="1" t="n"/>
      <c r="AKE22" s="3" t="n"/>
      <c r="AKF22" s="4" t="n"/>
      <c r="AKG22" s="1" t="n"/>
      <c r="AKH22" s="1" t="n"/>
      <c r="AKI22" s="3" t="n"/>
      <c r="AKJ22" s="4" t="n"/>
      <c r="AKK22" s="1" t="n"/>
      <c r="AKL22" s="1" t="n"/>
      <c r="AKM22" s="3" t="n"/>
      <c r="AKN22" s="4" t="n"/>
      <c r="AKO22" s="1" t="n"/>
      <c r="AKP22" s="1" t="n"/>
      <c r="AKQ22" s="3" t="n"/>
      <c r="AKR22" s="4" t="n"/>
      <c r="AKS22" s="1" t="n"/>
      <c r="AKT22" s="1" t="n"/>
      <c r="AKU22" s="3" t="n"/>
      <c r="AKV22" s="4" t="n"/>
      <c r="AKW22" s="1" t="n"/>
      <c r="AKX22" s="1" t="n"/>
      <c r="AKY22" s="3" t="n"/>
      <c r="AKZ22" s="4" t="n"/>
      <c r="ALA22" s="1" t="n"/>
      <c r="ALB22" s="1" t="n"/>
      <c r="ALC22" s="3" t="n"/>
      <c r="ALD22" s="4" t="n"/>
      <c r="ALE22" s="1" t="n"/>
      <c r="ALF22" s="1" t="n"/>
      <c r="ALG22" s="3" t="n"/>
      <c r="ALH22" s="4" t="n"/>
      <c r="ALI22" s="1" t="n"/>
      <c r="ALJ22" s="1" t="n"/>
      <c r="ALK22" s="3" t="n"/>
      <c r="ALL22" s="4" t="n"/>
      <c r="ALM22" s="1" t="n"/>
      <c r="ALN22" s="1" t="n"/>
      <c r="ALO22" s="3" t="n"/>
      <c r="ALP22" s="4" t="n"/>
      <c r="ALQ22" s="1" t="n"/>
      <c r="ALR22" s="1" t="n"/>
      <c r="ALS22" s="3" t="n"/>
      <c r="ALT22" s="4" t="n"/>
      <c r="ALU22" s="1" t="n"/>
      <c r="ALV22" s="1" t="n"/>
      <c r="ALW22" s="3" t="n"/>
      <c r="ALX22" s="4" t="n"/>
      <c r="ALY22" s="1" t="n"/>
      <c r="ALZ22" s="1" t="n"/>
      <c r="AMA22" s="3" t="n"/>
      <c r="AMB22" s="4" t="n"/>
      <c r="AMC22" s="1" t="n"/>
      <c r="AMD22" s="1" t="n"/>
      <c r="AME22" s="3" t="n"/>
      <c r="AMF22" s="4" t="n"/>
      <c r="AMG22" s="1" t="n"/>
      <c r="AMH22" s="1" t="n"/>
      <c r="AMI22" s="3" t="n"/>
      <c r="AMJ22" s="4" t="n"/>
      <c r="AMK22" s="1" t="n"/>
      <c r="AML22" s="1" t="n"/>
      <c r="AMM22" s="3" t="n"/>
      <c r="AMN22" s="4" t="n"/>
      <c r="AMO22" s="1" t="n"/>
      <c r="AMP22" s="1" t="n"/>
      <c r="AMQ22" s="3" t="n"/>
      <c r="AMR22" s="4" t="n"/>
      <c r="AMS22" s="1" t="n"/>
      <c r="AMT22" s="1" t="n"/>
      <c r="AMU22" s="3" t="n"/>
      <c r="AMV22" s="4" t="n"/>
      <c r="AMW22" s="1" t="n"/>
      <c r="AMX22" s="1" t="n"/>
      <c r="AMY22" s="3" t="n"/>
      <c r="AMZ22" s="4" t="n"/>
      <c r="ANA22" s="1" t="n"/>
      <c r="ANB22" s="1" t="n"/>
      <c r="ANC22" s="3" t="n"/>
      <c r="AND22" s="4" t="n"/>
      <c r="ANE22" s="1" t="n"/>
      <c r="ANF22" s="1" t="n"/>
      <c r="ANG22" s="3" t="n"/>
      <c r="ANH22" s="4" t="n"/>
      <c r="ANI22" s="1" t="n"/>
      <c r="ANJ22" s="1" t="n"/>
      <c r="ANK22" s="3" t="n"/>
      <c r="ANL22" s="4" t="n"/>
      <c r="ANM22" s="1" t="n"/>
      <c r="ANN22" s="1" t="n"/>
      <c r="ANO22" s="3" t="n"/>
      <c r="ANP22" s="4" t="n"/>
      <c r="ANQ22" s="1" t="n"/>
      <c r="ANR22" s="1" t="n"/>
      <c r="ANS22" s="3" t="n"/>
      <c r="ANT22" s="4" t="n"/>
      <c r="ANU22" s="1" t="n"/>
      <c r="ANV22" s="1" t="n"/>
      <c r="ANW22" s="3" t="n"/>
      <c r="ANX22" s="4" t="n"/>
      <c r="ANY22" s="1" t="n"/>
      <c r="ANZ22" s="1" t="n"/>
      <c r="AOA22" s="3" t="n"/>
      <c r="AOB22" s="4" t="n"/>
      <c r="AOC22" s="1" t="n"/>
      <c r="AOD22" s="1" t="n"/>
      <c r="AOE22" s="3" t="n"/>
      <c r="AOF22" s="4" t="n"/>
      <c r="AOG22" s="1" t="n"/>
      <c r="AOH22" s="1" t="n"/>
      <c r="AOI22" s="3" t="n"/>
      <c r="AOJ22" s="4" t="n"/>
      <c r="AOK22" s="1" t="n"/>
      <c r="AOL22" s="1" t="n"/>
      <c r="AOM22" s="3" t="n"/>
      <c r="AON22" s="4" t="n"/>
      <c r="AOO22" s="1" t="n"/>
      <c r="AOP22" s="1" t="n"/>
      <c r="AOQ22" s="3" t="n"/>
      <c r="AOR22" s="4" t="n"/>
      <c r="AOS22" s="1" t="n"/>
      <c r="AOT22" s="1" t="n"/>
      <c r="AOU22" s="3" t="n"/>
      <c r="AOV22" s="4" t="n"/>
      <c r="AOW22" s="1" t="n"/>
      <c r="AOX22" s="1" t="n"/>
      <c r="AOY22" s="3" t="n"/>
      <c r="AOZ22" s="4" t="n"/>
      <c r="APA22" s="1" t="n"/>
      <c r="APB22" s="1" t="n"/>
      <c r="APC22" s="3" t="n"/>
      <c r="APD22" s="4" t="n"/>
      <c r="APE22" s="1" t="n"/>
      <c r="APF22" s="1" t="n"/>
      <c r="APG22" s="3" t="n"/>
      <c r="APH22" s="4" t="n"/>
      <c r="API22" s="1" t="n"/>
      <c r="APJ22" s="1" t="n"/>
      <c r="APK22" s="3" t="n"/>
      <c r="APL22" s="4" t="n"/>
      <c r="APM22" s="1" t="n"/>
      <c r="APN22" s="1" t="n"/>
      <c r="APO22" s="3" t="n"/>
      <c r="APP22" s="4" t="n"/>
      <c r="APQ22" s="1" t="n"/>
      <c r="APR22" s="1" t="n"/>
      <c r="APS22" s="3" t="n"/>
      <c r="APT22" s="4" t="n"/>
      <c r="APU22" s="1" t="n"/>
      <c r="APV22" s="1" t="n"/>
      <c r="APW22" s="3" t="n"/>
      <c r="APX22" s="4" t="n"/>
      <c r="APY22" s="1" t="n"/>
      <c r="APZ22" s="1" t="n"/>
      <c r="AQA22" s="3" t="n"/>
      <c r="AQB22" s="4" t="n"/>
      <c r="AQC22" s="1" t="n"/>
      <c r="AQD22" s="1" t="n"/>
      <c r="AQE22" s="3" t="n"/>
      <c r="AQF22" s="4" t="n"/>
      <c r="AQG22" s="1" t="n"/>
      <c r="AQH22" s="1" t="n"/>
      <c r="AQI22" s="3" t="n"/>
      <c r="AQJ22" s="4" t="n"/>
      <c r="AQK22" s="1" t="n"/>
      <c r="AQL22" s="1" t="n"/>
      <c r="AQM22" s="3" t="n"/>
      <c r="AQN22" s="4" t="n"/>
      <c r="AQO22" s="1" t="n"/>
      <c r="AQP22" s="1" t="n"/>
      <c r="AQQ22" s="3" t="n"/>
      <c r="AQR22" s="4" t="n"/>
      <c r="AQS22" s="1" t="n"/>
      <c r="AQT22" s="1" t="n"/>
      <c r="AQU22" s="3" t="n"/>
      <c r="AQV22" s="4" t="n"/>
      <c r="AQW22" s="1" t="n"/>
      <c r="AQX22" s="1" t="n"/>
      <c r="AQY22" s="3" t="n"/>
      <c r="AQZ22" s="4" t="n"/>
      <c r="ARA22" s="1" t="n"/>
      <c r="ARB22" s="1" t="n"/>
      <c r="ARC22" s="3" t="n"/>
      <c r="ARD22" s="4" t="n"/>
      <c r="ARE22" s="1" t="n"/>
      <c r="ARF22" s="1" t="n"/>
      <c r="ARG22" s="3" t="n"/>
      <c r="ARH22" s="4" t="n"/>
      <c r="ARI22" s="1" t="n"/>
      <c r="ARJ22" s="1" t="n"/>
      <c r="ARK22" s="3" t="n"/>
      <c r="ARL22" s="4" t="n"/>
      <c r="ARM22" s="1" t="n"/>
      <c r="ARN22" s="1" t="n"/>
      <c r="ARO22" s="3" t="n"/>
      <c r="ARP22" s="4" t="n"/>
      <c r="ARQ22" s="1" t="n"/>
      <c r="ARR22" s="1" t="n"/>
      <c r="ARS22" s="3" t="n"/>
      <c r="ART22" s="4" t="n"/>
      <c r="ARU22" s="1" t="n"/>
      <c r="ARV22" s="1" t="n"/>
      <c r="ARW22" s="3" t="n"/>
      <c r="ARX22" s="4" t="n"/>
      <c r="ARY22" s="1" t="n"/>
      <c r="ARZ22" s="1" t="n"/>
      <c r="ASA22" s="3" t="n"/>
      <c r="ASB22" s="4" t="n"/>
      <c r="ASC22" s="1" t="n"/>
      <c r="ASD22" s="1" t="n"/>
      <c r="ASE22" s="3" t="n"/>
      <c r="ASF22" s="4" t="n"/>
      <c r="ASG22" s="1" t="n"/>
      <c r="ASH22" s="1" t="n"/>
      <c r="ASI22" s="3" t="n"/>
      <c r="ASJ22" s="4" t="n"/>
      <c r="ASK22" s="1" t="n"/>
      <c r="ASL22" s="1" t="n"/>
      <c r="ASM22" s="3" t="n"/>
      <c r="ASN22" s="4" t="n"/>
      <c r="ASO22" s="1" t="n"/>
      <c r="ASP22" s="1" t="n"/>
      <c r="ASQ22" s="3" t="n"/>
      <c r="ASR22" s="4" t="n"/>
      <c r="ASS22" s="1" t="n"/>
      <c r="AST22" s="1" t="n"/>
      <c r="ASU22" s="3" t="n"/>
      <c r="ASV22" s="4" t="n"/>
      <c r="ASW22" s="1" t="n"/>
      <c r="ASX22" s="1" t="n"/>
      <c r="ASY22" s="3" t="n"/>
      <c r="ASZ22" s="4" t="n"/>
      <c r="ATA22" s="1" t="n"/>
      <c r="ATB22" s="1" t="n"/>
      <c r="ATC22" s="3" t="n"/>
      <c r="ATD22" s="4" t="n"/>
      <c r="ATE22" s="1" t="n"/>
      <c r="ATF22" s="1" t="n"/>
      <c r="ATG22" s="3" t="n"/>
      <c r="ATH22" s="4" t="n"/>
      <c r="ATI22" s="1" t="n"/>
      <c r="ATJ22" s="1" t="n"/>
      <c r="ATK22" s="3" t="n"/>
      <c r="ATL22" s="4" t="n"/>
      <c r="ATM22" s="1" t="n"/>
      <c r="ATN22" s="1" t="n"/>
      <c r="ATO22" s="3" t="n"/>
      <c r="ATP22" s="4" t="n"/>
      <c r="ATQ22" s="1" t="n"/>
      <c r="ATR22" s="1" t="n"/>
      <c r="ATS22" s="3" t="n"/>
      <c r="ATT22" s="4" t="n"/>
      <c r="ATU22" s="1" t="n"/>
      <c r="ATV22" s="1" t="n"/>
      <c r="ATW22" s="3" t="n"/>
      <c r="ATX22" s="4" t="n"/>
      <c r="ATY22" s="1" t="n"/>
      <c r="ATZ22" s="1" t="n"/>
      <c r="AUA22" s="3" t="n"/>
      <c r="AUB22" s="4" t="n"/>
      <c r="AUC22" s="1" t="n"/>
      <c r="AUD22" s="1" t="n"/>
      <c r="AUE22" s="3" t="n"/>
      <c r="AUF22" s="4" t="n"/>
      <c r="AUG22" s="1" t="n"/>
      <c r="AUH22" s="1" t="n"/>
      <c r="AUI22" s="3" t="n"/>
      <c r="AUJ22" s="4" t="n"/>
      <c r="AUK22" s="1" t="n"/>
      <c r="AUL22" s="1" t="n"/>
      <c r="AUM22" s="3" t="n"/>
      <c r="AUN22" s="4" t="n"/>
      <c r="AUO22" s="1" t="n"/>
      <c r="AUP22" s="1" t="n"/>
      <c r="AUQ22" s="3" t="n"/>
      <c r="AUR22" s="4" t="n"/>
      <c r="AUS22" s="1" t="n"/>
      <c r="AUT22" s="1" t="n"/>
      <c r="AUU22" s="3" t="n"/>
      <c r="AUV22" s="4" t="n"/>
      <c r="AUW22" s="1" t="n"/>
      <c r="AUX22" s="1" t="n"/>
      <c r="AUY22" s="3" t="n"/>
      <c r="AUZ22" s="4" t="n"/>
      <c r="AVA22" s="1" t="n"/>
      <c r="AVB22" s="1" t="n"/>
      <c r="AVC22" s="3" t="n"/>
      <c r="AVD22" s="4" t="n"/>
      <c r="AVE22" s="1" t="n"/>
      <c r="AVF22" s="1" t="n"/>
      <c r="AVG22" s="3" t="n"/>
      <c r="AVH22" s="4" t="n"/>
      <c r="AVI22" s="1" t="n"/>
      <c r="AVJ22" s="1" t="n"/>
      <c r="AVK22" s="3" t="n"/>
      <c r="AVL22" s="4" t="n"/>
      <c r="AVM22" s="1" t="n"/>
      <c r="AVN22" s="1" t="n"/>
      <c r="AVO22" s="3" t="n"/>
      <c r="AVP22" s="4" t="n"/>
      <c r="AVQ22" s="1" t="n"/>
      <c r="AVR22" s="1" t="n"/>
      <c r="AVS22" s="3" t="n"/>
      <c r="AVT22" s="4" t="n"/>
      <c r="AVU22" s="1" t="n"/>
      <c r="AVV22" s="1" t="n"/>
      <c r="AVW22" s="3" t="n"/>
      <c r="AVX22" s="4" t="n"/>
      <c r="AVY22" s="1" t="n"/>
      <c r="AVZ22" s="1" t="n"/>
      <c r="AWA22" s="3" t="n"/>
      <c r="AWB22" s="4" t="n"/>
      <c r="AWC22" s="1" t="n"/>
      <c r="AWD22" s="1" t="n"/>
      <c r="AWE22" s="3" t="n"/>
      <c r="AWF22" s="4" t="n"/>
      <c r="AWG22" s="1" t="n"/>
      <c r="AWH22" s="1" t="n"/>
      <c r="AWI22" s="3" t="n"/>
      <c r="AWJ22" s="4" t="n"/>
      <c r="AWK22" s="1" t="n"/>
      <c r="AWL22" s="1" t="n"/>
      <c r="AWM22" s="3" t="n"/>
      <c r="AWN22" s="4" t="n"/>
      <c r="AWO22" s="1" t="n"/>
      <c r="AWP22" s="1" t="n"/>
      <c r="AWQ22" s="3" t="n"/>
      <c r="AWR22" s="4" t="n"/>
      <c r="AWS22" s="1" t="n"/>
      <c r="AWT22" s="1" t="n"/>
      <c r="AWU22" s="3" t="n"/>
      <c r="AWV22" s="4" t="n"/>
      <c r="AWW22" s="1" t="n"/>
      <c r="AWX22" s="1" t="n"/>
      <c r="AWY22" s="3" t="n"/>
      <c r="AWZ22" s="4" t="n"/>
      <c r="AXA22" s="1" t="n"/>
      <c r="AXB22" s="1" t="n"/>
      <c r="AXC22" s="3" t="n"/>
      <c r="AXD22" s="4" t="n"/>
      <c r="AXE22" s="1" t="n"/>
      <c r="AXF22" s="1" t="n"/>
      <c r="AXG22" s="3" t="n"/>
      <c r="AXH22" s="4" t="n"/>
      <c r="AXI22" s="1" t="n"/>
      <c r="AXJ22" s="1" t="n"/>
      <c r="AXK22" s="3" t="n"/>
      <c r="AXL22" s="4" t="n"/>
      <c r="AXM22" s="1" t="n"/>
      <c r="AXN22" s="1" t="n"/>
      <c r="AXO22" s="3" t="n"/>
      <c r="AXP22" s="4" t="n"/>
      <c r="AXQ22" s="1" t="n"/>
      <c r="AXR22" s="1" t="n"/>
      <c r="AXS22" s="3" t="n"/>
      <c r="AXT22" s="4" t="n"/>
      <c r="AXU22" s="1" t="n"/>
      <c r="AXV22" s="1" t="n"/>
      <c r="AXW22" s="3" t="n"/>
      <c r="AXX22" s="4" t="n"/>
      <c r="AXY22" s="1" t="n"/>
      <c r="AXZ22" s="1" t="n"/>
      <c r="AYA22" s="3" t="n"/>
      <c r="AYB22" s="4" t="n"/>
      <c r="AYC22" s="1" t="n"/>
      <c r="AYD22" s="1" t="n"/>
      <c r="AYE22" s="3" t="n"/>
      <c r="AYF22" s="4" t="n"/>
      <c r="AYG22" s="1" t="n"/>
      <c r="AYH22" s="1" t="n"/>
      <c r="AYI22" s="3" t="n"/>
      <c r="AYJ22" s="4" t="n"/>
      <c r="AYK22" s="1" t="n"/>
      <c r="AYL22" s="1" t="n"/>
      <c r="AYM22" s="3" t="n"/>
      <c r="AYN22" s="4" t="n"/>
      <c r="AYO22" s="1" t="n"/>
      <c r="AYP22" s="1" t="n"/>
      <c r="AYQ22" s="3" t="n"/>
      <c r="AYR22" s="4" t="n"/>
      <c r="AYS22" s="1" t="n"/>
      <c r="AYT22" s="1" t="n"/>
      <c r="AYU22" s="3" t="n"/>
      <c r="AYV22" s="4" t="n"/>
      <c r="AYW22" s="1" t="n"/>
      <c r="AYX22" s="1" t="n"/>
      <c r="AYY22" s="3" t="n"/>
      <c r="AYZ22" s="4" t="n"/>
      <c r="AZA22" s="1" t="n"/>
      <c r="AZB22" s="1" t="n"/>
      <c r="AZC22" s="3" t="n"/>
      <c r="AZD22" s="4" t="n"/>
      <c r="AZE22" s="1" t="n"/>
      <c r="AZF22" s="1" t="n"/>
      <c r="AZG22" s="3" t="n"/>
      <c r="AZH22" s="4" t="n"/>
      <c r="AZI22" s="1" t="n"/>
      <c r="AZJ22" s="1" t="n"/>
      <c r="AZK22" s="3" t="n"/>
      <c r="AZL22" s="4" t="n"/>
      <c r="AZM22" s="1" t="n"/>
      <c r="AZN22" s="1" t="n"/>
      <c r="AZO22" s="3" t="n"/>
      <c r="AZP22" s="4" t="n"/>
      <c r="AZQ22" s="1" t="n"/>
      <c r="AZR22" s="1" t="n"/>
      <c r="AZS22" s="3" t="n"/>
      <c r="AZT22" s="4" t="n"/>
      <c r="AZU22" s="1" t="n"/>
      <c r="AZV22" s="1" t="n"/>
      <c r="AZW22" s="3" t="n"/>
      <c r="AZX22" s="4" t="n"/>
      <c r="AZY22" s="1" t="n"/>
      <c r="AZZ22" s="1" t="n"/>
      <c r="BAA22" s="3" t="n"/>
      <c r="BAB22" s="4" t="n"/>
      <c r="BAC22" s="1" t="n"/>
      <c r="BAD22" s="1" t="n"/>
      <c r="BAE22" s="3" t="n"/>
      <c r="BAF22" s="4" t="n"/>
      <c r="BAG22" s="1" t="n"/>
      <c r="BAH22" s="1" t="n"/>
      <c r="BAI22" s="3" t="n"/>
      <c r="BAJ22" s="4" t="n"/>
      <c r="BAK22" s="1" t="n"/>
      <c r="BAL22" s="1" t="n"/>
      <c r="BAM22" s="3" t="n"/>
      <c r="BAN22" s="4" t="n"/>
      <c r="BAO22" s="1" t="n"/>
      <c r="BAP22" s="1" t="n"/>
      <c r="BAQ22" s="3" t="n"/>
      <c r="BAR22" s="4" t="n"/>
      <c r="BAS22" s="1" t="n"/>
      <c r="BAT22" s="1" t="n"/>
      <c r="BAU22" s="3" t="n"/>
      <c r="BAV22" s="4" t="n"/>
      <c r="BAW22" s="1" t="n"/>
      <c r="BAX22" s="1" t="n"/>
      <c r="BAY22" s="3" t="n"/>
      <c r="BAZ22" s="4" t="n"/>
      <c r="BBA22" s="1" t="n"/>
      <c r="BBB22" s="1" t="n"/>
      <c r="BBC22" s="3" t="n"/>
      <c r="BBD22" s="4" t="n"/>
      <c r="BBE22" s="1" t="n"/>
      <c r="BBF22" s="1" t="n"/>
      <c r="BBG22" s="3" t="n"/>
      <c r="BBH22" s="4" t="n"/>
      <c r="BBI22" s="1" t="n"/>
      <c r="BBJ22" s="1" t="n"/>
      <c r="BBK22" s="3" t="n"/>
      <c r="BBL22" s="4" t="n"/>
      <c r="BBM22" s="1" t="n"/>
      <c r="BBN22" s="1" t="n"/>
      <c r="BBO22" s="3" t="n"/>
      <c r="BBP22" s="4" t="n"/>
      <c r="BBQ22" s="1" t="n"/>
      <c r="BBR22" s="1" t="n"/>
      <c r="BBS22" s="3" t="n"/>
      <c r="BBT22" s="4" t="n"/>
      <c r="BBU22" s="1" t="n"/>
      <c r="BBV22" s="1" t="n"/>
      <c r="BBW22" s="3" t="n"/>
      <c r="BBX22" s="4" t="n"/>
      <c r="BBY22" s="1" t="n"/>
      <c r="BBZ22" s="1" t="n"/>
      <c r="BCA22" s="3" t="n"/>
      <c r="BCB22" s="4" t="n"/>
      <c r="BCC22" s="1" t="n"/>
      <c r="BCD22" s="1" t="n"/>
      <c r="BCE22" s="3" t="n"/>
      <c r="BCF22" s="4" t="n"/>
      <c r="BCG22" s="1" t="n"/>
      <c r="BCH22" s="1" t="n"/>
      <c r="BCI22" s="3" t="n"/>
      <c r="BCJ22" s="4" t="n"/>
      <c r="BCK22" s="1" t="n"/>
      <c r="BCL22" s="1" t="n"/>
      <c r="BCM22" s="3" t="n"/>
      <c r="BCN22" s="4" t="n"/>
      <c r="BCO22" s="1" t="n"/>
      <c r="BCP22" s="1" t="n"/>
      <c r="BCQ22" s="3" t="n"/>
      <c r="BCR22" s="4" t="n"/>
      <c r="BCS22" s="1" t="n"/>
      <c r="BCT22" s="1" t="n"/>
      <c r="BCU22" s="3" t="n"/>
      <c r="BCV22" s="4" t="n"/>
      <c r="BCW22" s="1" t="n"/>
      <c r="BCX22" s="1" t="n"/>
      <c r="BCY22" s="3" t="n"/>
      <c r="BCZ22" s="4" t="n"/>
      <c r="BDA22" s="1" t="n"/>
      <c r="BDB22" s="1" t="n"/>
      <c r="BDC22" s="3" t="n"/>
      <c r="BDD22" s="4" t="n"/>
      <c r="BDE22" s="1" t="n"/>
      <c r="BDF22" s="1" t="n"/>
      <c r="BDG22" s="3" t="n"/>
      <c r="BDH22" s="4" t="n"/>
      <c r="BDI22" s="1" t="n"/>
      <c r="BDJ22" s="1" t="n"/>
      <c r="BDK22" s="3" t="n"/>
      <c r="BDL22" s="4" t="n"/>
      <c r="BDM22" s="1" t="n"/>
      <c r="BDN22" s="1" t="n"/>
      <c r="BDO22" s="3" t="n"/>
      <c r="BDP22" s="4" t="n"/>
      <c r="BDQ22" s="1" t="n"/>
      <c r="BDR22" s="1" t="n"/>
      <c r="BDS22" s="3" t="n"/>
      <c r="BDT22" s="4" t="n"/>
      <c r="BDU22" s="1" t="n"/>
      <c r="BDV22" s="1" t="n"/>
      <c r="BDW22" s="3" t="n"/>
      <c r="BDX22" s="4" t="n"/>
      <c r="BDY22" s="1" t="n"/>
      <c r="BDZ22" s="1" t="n"/>
      <c r="BEA22" s="3" t="n"/>
      <c r="BEB22" s="4" t="n"/>
      <c r="BEC22" s="1" t="n"/>
      <c r="BED22" s="1" t="n"/>
      <c r="BEE22" s="3" t="n"/>
      <c r="BEF22" s="4" t="n"/>
      <c r="BEG22" s="1" t="n"/>
      <c r="BEH22" s="1" t="n"/>
      <c r="BEI22" s="3" t="n"/>
      <c r="BEJ22" s="4" t="n"/>
      <c r="BEK22" s="1" t="n"/>
      <c r="BEL22" s="1" t="n"/>
      <c r="BEM22" s="3" t="n"/>
      <c r="BEN22" s="4" t="n"/>
      <c r="BEO22" s="1" t="n"/>
      <c r="BEP22" s="1" t="n"/>
      <c r="BEQ22" s="3" t="n"/>
      <c r="BER22" s="4" t="n"/>
      <c r="BES22" s="1" t="n"/>
      <c r="BET22" s="1" t="n"/>
      <c r="BEU22" s="3" t="n"/>
      <c r="BEV22" s="4" t="n"/>
      <c r="BEW22" s="1" t="n"/>
      <c r="BEX22" s="1" t="n"/>
      <c r="BEY22" s="3" t="n"/>
      <c r="BEZ22" s="4" t="n"/>
      <c r="BFA22" s="1" t="n"/>
      <c r="BFB22" s="1" t="n"/>
      <c r="BFC22" s="3" t="n"/>
      <c r="BFD22" s="4" t="n"/>
      <c r="BFE22" s="1" t="n"/>
      <c r="BFF22" s="1" t="n"/>
      <c r="BFG22" s="3" t="n"/>
      <c r="BFH22" s="4" t="n"/>
      <c r="BFI22" s="1" t="n"/>
      <c r="BFJ22" s="1" t="n"/>
      <c r="BFK22" s="3" t="n"/>
      <c r="BFL22" s="4" t="n"/>
      <c r="BFM22" s="1" t="n"/>
      <c r="BFN22" s="1" t="n"/>
      <c r="BFO22" s="3" t="n"/>
      <c r="BFP22" s="4" t="n"/>
      <c r="BFQ22" s="1" t="n"/>
      <c r="BFR22" s="1" t="n"/>
      <c r="BFS22" s="3" t="n"/>
      <c r="BFT22" s="4" t="n"/>
      <c r="BFU22" s="1" t="n"/>
      <c r="BFV22" s="1" t="n"/>
      <c r="BFW22" s="3" t="n"/>
      <c r="BFX22" s="4" t="n"/>
      <c r="BFY22" s="1" t="n"/>
      <c r="BFZ22" s="1" t="n"/>
      <c r="BGA22" s="3" t="n"/>
      <c r="BGB22" s="4" t="n"/>
      <c r="BGC22" s="1" t="n"/>
      <c r="BGD22" s="1" t="n"/>
      <c r="BGE22" s="3" t="n"/>
      <c r="BGF22" s="4" t="n"/>
      <c r="BGG22" s="1" t="n"/>
      <c r="BGH22" s="1" t="n"/>
      <c r="BGI22" s="3" t="n"/>
      <c r="BGJ22" s="4" t="n"/>
      <c r="BGK22" s="1" t="n"/>
      <c r="BGL22" s="1" t="n"/>
      <c r="BGM22" s="3" t="n"/>
      <c r="BGN22" s="4" t="n"/>
      <c r="BGO22" s="1" t="n"/>
      <c r="BGP22" s="1" t="n"/>
      <c r="BGQ22" s="3" t="n"/>
      <c r="BGR22" s="4" t="n"/>
      <c r="BGS22" s="1" t="n"/>
      <c r="BGT22" s="1" t="n"/>
      <c r="BGU22" s="3" t="n"/>
      <c r="BGV22" s="4" t="n"/>
      <c r="BGW22" s="1" t="n"/>
      <c r="BGX22" s="1" t="n"/>
      <c r="BGY22" s="3" t="n"/>
      <c r="BGZ22" s="4" t="n"/>
      <c r="BHA22" s="1" t="n"/>
      <c r="BHB22" s="1" t="n"/>
      <c r="BHC22" s="3" t="n"/>
      <c r="BHD22" s="4" t="n"/>
      <c r="BHE22" s="1" t="n"/>
      <c r="BHF22" s="1" t="n"/>
      <c r="BHG22" s="3" t="n"/>
      <c r="BHH22" s="4" t="n"/>
      <c r="BHI22" s="1" t="n"/>
      <c r="BHJ22" s="1" t="n"/>
      <c r="BHK22" s="3" t="n"/>
      <c r="BHL22" s="4" t="n"/>
      <c r="BHM22" s="1" t="n"/>
      <c r="BHN22" s="1" t="n"/>
      <c r="BHO22" s="3" t="n"/>
      <c r="BHP22" s="4" t="n"/>
      <c r="BHQ22" s="1" t="n"/>
      <c r="BHR22" s="1" t="n"/>
      <c r="BHS22" s="3" t="n"/>
      <c r="BHT22" s="4" t="n"/>
      <c r="BHU22" s="1" t="n"/>
      <c r="BHV22" s="1" t="n"/>
      <c r="BHW22" s="3" t="n"/>
      <c r="BHX22" s="4" t="n"/>
      <c r="BHY22" s="1" t="n"/>
      <c r="BHZ22" s="1" t="n"/>
      <c r="BIA22" s="3" t="n"/>
      <c r="BIB22" s="4" t="n"/>
      <c r="BIC22" s="1" t="n"/>
      <c r="BID22" s="1" t="n"/>
      <c r="BIE22" s="3" t="n"/>
      <c r="BIF22" s="4" t="n"/>
      <c r="BIG22" s="1" t="n"/>
      <c r="BIH22" s="1" t="n"/>
      <c r="BII22" s="3" t="n"/>
      <c r="BIJ22" s="4" t="n"/>
      <c r="BIK22" s="1" t="n"/>
      <c r="BIL22" s="1" t="n"/>
      <c r="BIM22" s="3" t="n"/>
      <c r="BIN22" s="4" t="n"/>
      <c r="BIO22" s="1" t="n"/>
      <c r="BIP22" s="1" t="n"/>
      <c r="BIQ22" s="3" t="n"/>
      <c r="BIR22" s="4" t="n"/>
      <c r="BIS22" s="1" t="n"/>
      <c r="BIT22" s="1" t="n"/>
      <c r="BIU22" s="3" t="n"/>
      <c r="BIV22" s="4" t="n"/>
      <c r="BIW22" s="1" t="n"/>
      <c r="BIX22" s="1" t="n"/>
      <c r="BIY22" s="3" t="n"/>
      <c r="BIZ22" s="4" t="n"/>
      <c r="BJA22" s="1" t="n"/>
      <c r="BJB22" s="1" t="n"/>
      <c r="BJC22" s="3" t="n"/>
      <c r="BJD22" s="4" t="n"/>
      <c r="BJE22" s="1" t="n"/>
      <c r="BJF22" s="1" t="n"/>
      <c r="BJG22" s="3" t="n"/>
      <c r="BJH22" s="4" t="n"/>
      <c r="BJI22" s="1" t="n"/>
      <c r="BJJ22" s="1" t="n"/>
      <c r="BJK22" s="3" t="n"/>
      <c r="BJL22" s="4" t="n"/>
      <c r="BJM22" s="1" t="n"/>
      <c r="BJN22" s="1" t="n"/>
      <c r="BJO22" s="3" t="n"/>
      <c r="BJP22" s="4" t="n"/>
      <c r="BJQ22" s="1" t="n"/>
      <c r="BJR22" s="1" t="n"/>
      <c r="BJS22" s="3" t="n"/>
      <c r="BJT22" s="4" t="n"/>
      <c r="BJU22" s="1" t="n"/>
      <c r="BJV22" s="1" t="n"/>
      <c r="BJW22" s="3" t="n"/>
      <c r="BJX22" s="4" t="n"/>
      <c r="BJY22" s="1" t="n"/>
      <c r="BJZ22" s="1" t="n"/>
      <c r="BKA22" s="3" t="n"/>
      <c r="BKB22" s="4" t="n"/>
      <c r="BKC22" s="1" t="n"/>
      <c r="BKD22" s="1" t="n"/>
      <c r="BKE22" s="3" t="n"/>
      <c r="BKF22" s="4" t="n"/>
      <c r="BKG22" s="1" t="n"/>
      <c r="BKH22" s="1" t="n"/>
      <c r="BKI22" s="3" t="n"/>
      <c r="BKJ22" s="4" t="n"/>
      <c r="BKK22" s="1" t="n"/>
      <c r="BKL22" s="1" t="n"/>
      <c r="BKM22" s="3" t="n"/>
      <c r="BKN22" s="4" t="n"/>
      <c r="BKO22" s="1" t="n"/>
      <c r="BKP22" s="1" t="n"/>
      <c r="BKQ22" s="3" t="n"/>
      <c r="BKR22" s="4" t="n"/>
      <c r="BKS22" s="1" t="n"/>
      <c r="BKT22" s="1" t="n"/>
      <c r="BKU22" s="3" t="n"/>
      <c r="BKV22" s="4" t="n"/>
      <c r="BKW22" s="1" t="n"/>
      <c r="BKX22" s="1" t="n"/>
      <c r="BKY22" s="3" t="n"/>
      <c r="BKZ22" s="4" t="n"/>
      <c r="BLA22" s="1" t="n"/>
      <c r="BLB22" s="1" t="n"/>
      <c r="BLC22" s="3" t="n"/>
      <c r="BLD22" s="4" t="n"/>
      <c r="BLE22" s="1" t="n"/>
      <c r="BLF22" s="1" t="n"/>
      <c r="BLG22" s="3" t="n"/>
      <c r="BLH22" s="4" t="n"/>
      <c r="BLI22" s="1" t="n"/>
      <c r="BLJ22" s="1" t="n"/>
      <c r="BLK22" s="3" t="n"/>
      <c r="BLL22" s="4" t="n"/>
      <c r="BLM22" s="1" t="n"/>
      <c r="BLN22" s="1" t="n"/>
      <c r="BLO22" s="3" t="n"/>
      <c r="BLP22" s="4" t="n"/>
      <c r="BLQ22" s="1" t="n"/>
      <c r="BLR22" s="1" t="n"/>
      <c r="BLS22" s="3" t="n"/>
      <c r="BLT22" s="4" t="n"/>
      <c r="BLU22" s="1" t="n"/>
      <c r="BLV22" s="1" t="n"/>
      <c r="BLW22" s="3" t="n"/>
      <c r="BLX22" s="4" t="n"/>
      <c r="BLY22" s="1" t="n"/>
      <c r="BLZ22" s="1" t="n"/>
      <c r="BMA22" s="3" t="n"/>
      <c r="BMB22" s="4" t="n"/>
      <c r="BMC22" s="1" t="n"/>
      <c r="BMD22" s="1" t="n"/>
      <c r="BME22" s="3" t="n"/>
      <c r="BMF22" s="4" t="n"/>
      <c r="BMG22" s="1" t="n"/>
      <c r="BMH22" s="1" t="n"/>
      <c r="BMI22" s="3" t="n"/>
      <c r="BMJ22" s="4" t="n"/>
      <c r="BMK22" s="1" t="n"/>
      <c r="BML22" s="1" t="n"/>
      <c r="BMM22" s="3" t="n"/>
      <c r="BMN22" s="4" t="n"/>
      <c r="BMO22" s="1" t="n"/>
      <c r="BMP22" s="1" t="n"/>
      <c r="BMQ22" s="3" t="n"/>
      <c r="BMR22" s="4" t="n"/>
      <c r="BMS22" s="1" t="n"/>
      <c r="BMT22" s="1" t="n"/>
      <c r="BMU22" s="3" t="n"/>
      <c r="BMV22" s="4" t="n"/>
      <c r="BMW22" s="1" t="n"/>
      <c r="BMX22" s="1" t="n"/>
      <c r="BMY22" s="3" t="n"/>
      <c r="BMZ22" s="4" t="n"/>
      <c r="BNA22" s="1" t="n"/>
      <c r="BNB22" s="1" t="n"/>
      <c r="BNC22" s="3" t="n"/>
      <c r="BND22" s="4" t="n"/>
      <c r="BNE22" s="1" t="n"/>
      <c r="BNF22" s="1" t="n"/>
      <c r="BNG22" s="3" t="n"/>
      <c r="BNH22" s="4" t="n"/>
      <c r="BNI22" s="1" t="n"/>
      <c r="BNJ22" s="1" t="n"/>
      <c r="BNK22" s="3" t="n"/>
      <c r="BNL22" s="4" t="n"/>
      <c r="BNM22" s="1" t="n"/>
      <c r="BNN22" s="1" t="n"/>
      <c r="BNO22" s="3" t="n"/>
      <c r="BNP22" s="4" t="n"/>
      <c r="BNQ22" s="1" t="n"/>
      <c r="BNR22" s="1" t="n"/>
      <c r="BNS22" s="3" t="n"/>
      <c r="BNT22" s="4" t="n"/>
      <c r="BNU22" s="1" t="n"/>
      <c r="BNV22" s="1" t="n"/>
      <c r="BNW22" s="3" t="n"/>
      <c r="BNX22" s="4" t="n"/>
      <c r="BNY22" s="1" t="n"/>
      <c r="BNZ22" s="1" t="n"/>
      <c r="BOA22" s="3" t="n"/>
      <c r="BOB22" s="4" t="n"/>
      <c r="BOC22" s="1" t="n"/>
      <c r="BOD22" s="1" t="n"/>
      <c r="BOE22" s="3" t="n"/>
      <c r="BOF22" s="4" t="n"/>
      <c r="BOG22" s="1" t="n"/>
      <c r="BOH22" s="1" t="n"/>
      <c r="BOI22" s="3" t="n"/>
      <c r="BOJ22" s="4" t="n"/>
      <c r="BOK22" s="1" t="n"/>
      <c r="BOL22" s="1" t="n"/>
      <c r="BOM22" s="3" t="n"/>
      <c r="BON22" s="4" t="n"/>
      <c r="BOO22" s="1" t="n"/>
      <c r="BOP22" s="1" t="n"/>
      <c r="BOQ22" s="3" t="n"/>
      <c r="BOR22" s="4" t="n"/>
      <c r="BOS22" s="1" t="n"/>
      <c r="BOT22" s="1" t="n"/>
      <c r="BOU22" s="3" t="n"/>
      <c r="BOV22" s="4" t="n"/>
      <c r="BOW22" s="1" t="n"/>
      <c r="BOX22" s="1" t="n"/>
      <c r="BOY22" s="3" t="n"/>
      <c r="BOZ22" s="4" t="n"/>
      <c r="BPA22" s="1" t="n"/>
      <c r="BPB22" s="1" t="n"/>
      <c r="BPC22" s="3" t="n"/>
      <c r="BPD22" s="4" t="n"/>
      <c r="BPE22" s="1" t="n"/>
      <c r="BPF22" s="1" t="n"/>
      <c r="BPG22" s="3" t="n"/>
      <c r="BPH22" s="4" t="n"/>
      <c r="BPI22" s="1" t="n"/>
      <c r="BPJ22" s="1" t="n"/>
      <c r="BPK22" s="3" t="n"/>
      <c r="BPL22" s="4" t="n"/>
      <c r="BPM22" s="1" t="n"/>
      <c r="BPN22" s="1" t="n"/>
      <c r="BPO22" s="3" t="n"/>
      <c r="BPP22" s="4" t="n"/>
      <c r="BPQ22" s="1" t="n"/>
      <c r="BPR22" s="1" t="n"/>
      <c r="BPS22" s="3" t="n"/>
      <c r="BPT22" s="4" t="n"/>
      <c r="BPU22" s="1" t="n"/>
      <c r="BPV22" s="1" t="n"/>
      <c r="BPW22" s="3" t="n"/>
      <c r="BPX22" s="4" t="n"/>
      <c r="BPY22" s="1" t="n"/>
      <c r="BPZ22" s="1" t="n"/>
      <c r="BQA22" s="3" t="n"/>
      <c r="BQB22" s="4" t="n"/>
      <c r="BQC22" s="1" t="n"/>
      <c r="BQD22" s="1" t="n"/>
      <c r="BQE22" s="3" t="n"/>
      <c r="BQF22" s="4" t="n"/>
      <c r="BQG22" s="1" t="n"/>
      <c r="BQH22" s="1" t="n"/>
      <c r="BQI22" s="3" t="n"/>
      <c r="BQJ22" s="4" t="n"/>
      <c r="BQK22" s="1" t="n"/>
      <c r="BQL22" s="1" t="n"/>
      <c r="BQM22" s="3" t="n"/>
      <c r="BQN22" s="4" t="n"/>
      <c r="BQO22" s="1" t="n"/>
      <c r="BQP22" s="1" t="n"/>
      <c r="BQQ22" s="3" t="n"/>
      <c r="BQR22" s="4" t="n"/>
      <c r="BQS22" s="1" t="n"/>
      <c r="BQT22" s="1" t="n"/>
      <c r="BQU22" s="3" t="n"/>
      <c r="BQV22" s="4" t="n"/>
      <c r="BQW22" s="1" t="n"/>
      <c r="BQX22" s="1" t="n"/>
      <c r="BQY22" s="3" t="n"/>
      <c r="BQZ22" s="4" t="n"/>
      <c r="BRA22" s="1" t="n"/>
      <c r="BRB22" s="1" t="n"/>
      <c r="BRC22" s="3" t="n"/>
      <c r="BRD22" s="4" t="n"/>
      <c r="BRE22" s="1" t="n"/>
      <c r="BRF22" s="1" t="n"/>
      <c r="BRG22" s="3" t="n"/>
      <c r="BRH22" s="4" t="n"/>
      <c r="BRI22" s="1" t="n"/>
      <c r="BRJ22" s="1" t="n"/>
      <c r="BRK22" s="3" t="n"/>
      <c r="BRL22" s="4" t="n"/>
      <c r="BRM22" s="1" t="n"/>
      <c r="BRN22" s="1" t="n"/>
      <c r="BRO22" s="3" t="n"/>
      <c r="BRP22" s="4" t="n"/>
      <c r="BRQ22" s="1" t="n"/>
      <c r="BRR22" s="1" t="n"/>
      <c r="BRS22" s="3" t="n"/>
      <c r="BRT22" s="4" t="n"/>
      <c r="BRU22" s="1" t="n"/>
      <c r="BRV22" s="1" t="n"/>
      <c r="BRW22" s="3" t="n"/>
      <c r="BRX22" s="4" t="n"/>
      <c r="BRY22" s="1" t="n"/>
      <c r="BRZ22" s="1" t="n"/>
      <c r="BSA22" s="3" t="n"/>
      <c r="BSB22" s="4" t="n"/>
      <c r="BSC22" s="1" t="n"/>
      <c r="BSD22" s="1" t="n"/>
      <c r="BSE22" s="3" t="n"/>
      <c r="BSF22" s="4" t="n"/>
      <c r="BSG22" s="1" t="n"/>
      <c r="BSH22" s="1" t="n"/>
      <c r="BSI22" s="3" t="n"/>
      <c r="BSJ22" s="4" t="n"/>
      <c r="BSK22" s="1" t="n"/>
      <c r="BSL22" s="1" t="n"/>
      <c r="BSM22" s="3" t="n"/>
      <c r="BSN22" s="4" t="n"/>
      <c r="BSO22" s="1" t="n"/>
      <c r="BSP22" s="1" t="n"/>
      <c r="BSQ22" s="3" t="n"/>
      <c r="BSR22" s="4" t="n"/>
      <c r="BSS22" s="1" t="n"/>
      <c r="BST22" s="1" t="n"/>
      <c r="BSU22" s="3" t="n"/>
      <c r="BSV22" s="4" t="n"/>
      <c r="BSW22" s="1" t="n"/>
      <c r="BSX22" s="1" t="n"/>
      <c r="BSY22" s="3" t="n"/>
      <c r="BSZ22" s="4" t="n"/>
      <c r="BTA22" s="1" t="n"/>
      <c r="BTB22" s="1" t="n"/>
      <c r="BTC22" s="3" t="n"/>
      <c r="BTD22" s="4" t="n"/>
      <c r="BTE22" s="1" t="n"/>
      <c r="BTF22" s="1" t="n"/>
      <c r="BTG22" s="3" t="n"/>
      <c r="BTH22" s="4" t="n"/>
      <c r="BTI22" s="1" t="n"/>
      <c r="BTJ22" s="1" t="n"/>
      <c r="BTK22" s="3" t="n"/>
      <c r="BTL22" s="4" t="n"/>
      <c r="BTM22" s="1" t="n"/>
      <c r="BTN22" s="1" t="n"/>
      <c r="BTO22" s="3" t="n"/>
      <c r="BTP22" s="4" t="n"/>
      <c r="BTQ22" s="1" t="n"/>
      <c r="BTR22" s="1" t="n"/>
      <c r="BTS22" s="3" t="n"/>
      <c r="BTT22" s="4" t="n"/>
      <c r="BTU22" s="1" t="n"/>
      <c r="BTV22" s="1" t="n"/>
      <c r="BTW22" s="3" t="n"/>
      <c r="BTX22" s="4" t="n"/>
      <c r="BTY22" s="1" t="n"/>
      <c r="BTZ22" s="1" t="n"/>
      <c r="BUA22" s="3" t="n"/>
      <c r="BUB22" s="4" t="n"/>
      <c r="BUC22" s="1" t="n"/>
      <c r="BUD22" s="1" t="n"/>
      <c r="BUE22" s="3" t="n"/>
      <c r="BUF22" s="4" t="n"/>
      <c r="BUG22" s="1" t="n"/>
      <c r="BUH22" s="1" t="n"/>
      <c r="BUI22" s="3" t="n"/>
      <c r="BUJ22" s="4" t="n"/>
      <c r="BUK22" s="1" t="n"/>
      <c r="BUL22" s="1" t="n"/>
      <c r="BUM22" s="3" t="n"/>
      <c r="BUN22" s="4" t="n"/>
      <c r="BUO22" s="1" t="n"/>
      <c r="BUP22" s="1" t="n"/>
      <c r="BUQ22" s="3" t="n"/>
      <c r="BUR22" s="4" t="n"/>
      <c r="BUS22" s="1" t="n"/>
      <c r="BUT22" s="1" t="n"/>
      <c r="BUU22" s="3" t="n"/>
      <c r="BUV22" s="4" t="n"/>
      <c r="BUW22" s="1" t="n"/>
      <c r="BUX22" s="1" t="n"/>
      <c r="BUY22" s="3" t="n"/>
      <c r="BUZ22" s="4" t="n"/>
      <c r="BVA22" s="1" t="n"/>
      <c r="BVB22" s="1" t="n"/>
      <c r="BVC22" s="3" t="n"/>
      <c r="BVD22" s="4" t="n"/>
      <c r="BVE22" s="1" t="n"/>
      <c r="BVF22" s="1" t="n"/>
      <c r="BVG22" s="3" t="n"/>
      <c r="BVH22" s="4" t="n"/>
      <c r="BVI22" s="1" t="n"/>
      <c r="BVJ22" s="1" t="n"/>
      <c r="BVK22" s="3" t="n"/>
      <c r="BVL22" s="4" t="n"/>
      <c r="BVM22" s="1" t="n"/>
      <c r="BVN22" s="1" t="n"/>
      <c r="BVO22" s="3" t="n"/>
      <c r="BVP22" s="4" t="n"/>
      <c r="BVQ22" s="1" t="n"/>
      <c r="BVR22" s="1" t="n"/>
      <c r="BVS22" s="3" t="n"/>
      <c r="BVT22" s="4" t="n"/>
      <c r="BVU22" s="1" t="n"/>
      <c r="BVV22" s="1" t="n"/>
      <c r="BVW22" s="3" t="n"/>
      <c r="BVX22" s="4" t="n"/>
      <c r="BVY22" s="1" t="n"/>
      <c r="BVZ22" s="1" t="n"/>
      <c r="BWA22" s="3" t="n"/>
      <c r="BWB22" s="4" t="n"/>
      <c r="BWC22" s="1" t="n"/>
      <c r="BWD22" s="1" t="n"/>
      <c r="BWE22" s="3" t="n"/>
      <c r="BWF22" s="4" t="n"/>
      <c r="BWG22" s="1" t="n"/>
      <c r="BWH22" s="1" t="n"/>
      <c r="BWI22" s="3" t="n"/>
      <c r="BWJ22" s="4" t="n"/>
      <c r="BWK22" s="1" t="n"/>
      <c r="BWL22" s="1" t="n"/>
      <c r="BWM22" s="3" t="n"/>
      <c r="BWN22" s="4" t="n"/>
      <c r="BWO22" s="1" t="n"/>
      <c r="BWP22" s="1" t="n"/>
      <c r="BWQ22" s="3" t="n"/>
      <c r="BWR22" s="4" t="n"/>
      <c r="BWS22" s="1" t="n"/>
      <c r="BWT22" s="1" t="n"/>
      <c r="BWU22" s="3" t="n"/>
      <c r="BWV22" s="4" t="n"/>
      <c r="BWW22" s="1" t="n"/>
      <c r="BWX22" s="1" t="n"/>
      <c r="BWY22" s="3" t="n"/>
      <c r="BWZ22" s="4" t="n"/>
      <c r="BXA22" s="1" t="n"/>
      <c r="BXB22" s="1" t="n"/>
      <c r="BXC22" s="3" t="n"/>
      <c r="BXD22" s="4" t="n"/>
      <c r="BXE22" s="1" t="n"/>
      <c r="BXF22" s="1" t="n"/>
      <c r="BXG22" s="3" t="n"/>
      <c r="BXH22" s="4" t="n"/>
      <c r="BXI22" s="1" t="n"/>
      <c r="BXJ22" s="1" t="n"/>
      <c r="BXK22" s="3" t="n"/>
      <c r="BXL22" s="4" t="n"/>
      <c r="BXM22" s="1" t="n"/>
      <c r="BXN22" s="1" t="n"/>
      <c r="BXO22" s="3" t="n"/>
      <c r="BXP22" s="4" t="n"/>
      <c r="BXQ22" s="1" t="n"/>
      <c r="BXR22" s="1" t="n"/>
      <c r="BXS22" s="3" t="n"/>
      <c r="BXT22" s="4" t="n"/>
      <c r="BXU22" s="1" t="n"/>
      <c r="BXV22" s="1" t="n"/>
      <c r="BXW22" s="3" t="n"/>
      <c r="BXX22" s="4" t="n"/>
      <c r="BXY22" s="1" t="n"/>
      <c r="BXZ22" s="1" t="n"/>
      <c r="BYA22" s="3" t="n"/>
      <c r="BYB22" s="4" t="n"/>
      <c r="BYC22" s="1" t="n"/>
      <c r="BYD22" s="1" t="n"/>
      <c r="BYE22" s="3" t="n"/>
      <c r="BYF22" s="4" t="n"/>
      <c r="BYG22" s="1" t="n"/>
      <c r="BYH22" s="1" t="n"/>
      <c r="BYI22" s="3" t="n"/>
      <c r="BYJ22" s="4" t="n"/>
      <c r="BYK22" s="1" t="n"/>
      <c r="BYL22" s="1" t="n"/>
      <c r="BYM22" s="3" t="n"/>
      <c r="BYN22" s="4" t="n"/>
      <c r="BYO22" s="1" t="n"/>
      <c r="BYP22" s="1" t="n"/>
      <c r="BYQ22" s="3" t="n"/>
      <c r="BYR22" s="4" t="n"/>
      <c r="BYS22" s="1" t="n"/>
      <c r="BYT22" s="1" t="n"/>
      <c r="BYU22" s="3" t="n"/>
      <c r="BYV22" s="4" t="n"/>
      <c r="BYW22" s="1" t="n"/>
      <c r="BYX22" s="1" t="n"/>
      <c r="BYY22" s="3" t="n"/>
      <c r="BYZ22" s="4" t="n"/>
      <c r="BZA22" s="1" t="n"/>
      <c r="BZB22" s="1" t="n"/>
      <c r="BZC22" s="3" t="n"/>
      <c r="BZD22" s="4" t="n"/>
      <c r="BZE22" s="1" t="n"/>
      <c r="BZF22" s="1" t="n"/>
      <c r="BZG22" s="3" t="n"/>
      <c r="BZH22" s="4" t="n"/>
      <c r="BZI22" s="1" t="n"/>
      <c r="BZJ22" s="1" t="n"/>
      <c r="BZK22" s="3" t="n"/>
      <c r="BZL22" s="4" t="n"/>
      <c r="BZM22" s="1" t="n"/>
      <c r="BZN22" s="1" t="n"/>
      <c r="BZO22" s="3" t="n"/>
      <c r="BZP22" s="4" t="n"/>
      <c r="BZQ22" s="1" t="n"/>
      <c r="BZR22" s="1" t="n"/>
      <c r="BZS22" s="3" t="n"/>
      <c r="BZT22" s="4" t="n"/>
      <c r="BZU22" s="1" t="n"/>
      <c r="BZV22" s="1" t="n"/>
      <c r="BZW22" s="3" t="n"/>
      <c r="BZX22" s="4" t="n"/>
      <c r="BZY22" s="1" t="n"/>
      <c r="BZZ22" s="1" t="n"/>
      <c r="CAA22" s="3" t="n"/>
      <c r="CAB22" s="4" t="n"/>
      <c r="CAC22" s="1" t="n"/>
      <c r="CAD22" s="1" t="n"/>
      <c r="CAE22" s="3" t="n"/>
      <c r="CAF22" s="4" t="n"/>
      <c r="CAG22" s="1" t="n"/>
      <c r="CAH22" s="1" t="n"/>
      <c r="CAI22" s="3" t="n"/>
      <c r="CAJ22" s="4" t="n"/>
      <c r="CAK22" s="1" t="n"/>
      <c r="CAL22" s="1" t="n"/>
      <c r="CAM22" s="3" t="n"/>
      <c r="CAN22" s="4" t="n"/>
      <c r="CAO22" s="1" t="n"/>
      <c r="CAP22" s="1" t="n"/>
      <c r="CAQ22" s="3" t="n"/>
      <c r="CAR22" s="4" t="n"/>
      <c r="CAS22" s="1" t="n"/>
      <c r="CAT22" s="1" t="n"/>
      <c r="CAU22" s="3" t="n"/>
      <c r="CAV22" s="4" t="n"/>
      <c r="CAW22" s="1" t="n"/>
      <c r="CAX22" s="1" t="n"/>
      <c r="CAY22" s="3" t="n"/>
      <c r="CAZ22" s="4" t="n"/>
      <c r="CBA22" s="1" t="n"/>
      <c r="CBB22" s="1" t="n"/>
      <c r="CBC22" s="3" t="n"/>
      <c r="CBD22" s="4" t="n"/>
      <c r="CBE22" s="1" t="n"/>
      <c r="CBF22" s="1" t="n"/>
      <c r="CBG22" s="3" t="n"/>
      <c r="CBH22" s="4" t="n"/>
      <c r="CBI22" s="1" t="n"/>
      <c r="CBJ22" s="1" t="n"/>
      <c r="CBK22" s="3" t="n"/>
      <c r="CBL22" s="4" t="n"/>
      <c r="CBM22" s="1" t="n"/>
      <c r="CBN22" s="1" t="n"/>
      <c r="CBO22" s="3" t="n"/>
      <c r="CBP22" s="4" t="n"/>
      <c r="CBQ22" s="1" t="n"/>
      <c r="CBR22" s="1" t="n"/>
      <c r="CBS22" s="3" t="n"/>
      <c r="CBT22" s="4" t="n"/>
      <c r="CBU22" s="1" t="n"/>
      <c r="CBV22" s="1" t="n"/>
      <c r="CBW22" s="3" t="n"/>
      <c r="CBX22" s="4" t="n"/>
      <c r="CBY22" s="1" t="n"/>
      <c r="CBZ22" s="1" t="n"/>
      <c r="CCA22" s="3" t="n"/>
      <c r="CCB22" s="4" t="n"/>
      <c r="CCC22" s="1" t="n"/>
      <c r="CCD22" s="1" t="n"/>
      <c r="CCE22" s="3" t="n"/>
      <c r="CCF22" s="4" t="n"/>
      <c r="CCG22" s="1" t="n"/>
      <c r="CCH22" s="1" t="n"/>
      <c r="CCI22" s="3" t="n"/>
      <c r="CCJ22" s="4" t="n"/>
      <c r="CCK22" s="1" t="n"/>
      <c r="CCL22" s="1" t="n"/>
      <c r="CCM22" s="3" t="n"/>
      <c r="CCN22" s="4" t="n"/>
      <c r="CCO22" s="1" t="n"/>
      <c r="CCP22" s="1" t="n"/>
      <c r="CCQ22" s="3" t="n"/>
      <c r="CCR22" s="4" t="n"/>
      <c r="CCS22" s="1" t="n"/>
      <c r="CCT22" s="1" t="n"/>
      <c r="CCU22" s="3" t="n"/>
      <c r="CCV22" s="4" t="n"/>
      <c r="CCW22" s="1" t="n"/>
      <c r="CCX22" s="1" t="n"/>
      <c r="CCY22" s="3" t="n"/>
      <c r="CCZ22" s="4" t="n"/>
      <c r="CDA22" s="1" t="n"/>
      <c r="CDB22" s="1" t="n"/>
      <c r="CDC22" s="3" t="n"/>
      <c r="CDD22" s="4" t="n"/>
      <c r="CDE22" s="1" t="n"/>
      <c r="CDF22" s="1" t="n"/>
      <c r="CDG22" s="3" t="n"/>
      <c r="CDH22" s="4" t="n"/>
      <c r="CDI22" s="1" t="n"/>
      <c r="CDJ22" s="1" t="n"/>
      <c r="CDK22" s="3" t="n"/>
      <c r="CDL22" s="4" t="n"/>
      <c r="CDM22" s="1" t="n"/>
      <c r="CDN22" s="1" t="n"/>
      <c r="CDO22" s="3" t="n"/>
      <c r="CDP22" s="4" t="n"/>
      <c r="CDQ22" s="1" t="n"/>
      <c r="CDR22" s="1" t="n"/>
      <c r="CDS22" s="3" t="n"/>
      <c r="CDT22" s="4" t="n"/>
      <c r="CDU22" s="1" t="n"/>
      <c r="CDV22" s="1" t="n"/>
      <c r="CDW22" s="3" t="n"/>
      <c r="CDX22" s="4" t="n"/>
      <c r="CDY22" s="1" t="n"/>
      <c r="CDZ22" s="1" t="n"/>
      <c r="CEA22" s="3" t="n"/>
      <c r="CEB22" s="4" t="n"/>
      <c r="CEC22" s="1" t="n"/>
      <c r="CED22" s="1" t="n"/>
      <c r="CEE22" s="3" t="n"/>
      <c r="CEF22" s="4" t="n"/>
      <c r="CEG22" s="1" t="n"/>
      <c r="CEH22" s="1" t="n"/>
      <c r="CEI22" s="3" t="n"/>
      <c r="CEJ22" s="4" t="n"/>
      <c r="CEK22" s="1" t="n"/>
      <c r="CEL22" s="1" t="n"/>
      <c r="CEM22" s="3" t="n"/>
      <c r="CEN22" s="4" t="n"/>
      <c r="CEO22" s="1" t="n"/>
      <c r="CEP22" s="1" t="n"/>
      <c r="CEQ22" s="3" t="n"/>
      <c r="CER22" s="4" t="n"/>
      <c r="CES22" s="1" t="n"/>
      <c r="CET22" s="1" t="n"/>
      <c r="CEU22" s="3" t="n"/>
      <c r="CEV22" s="4" t="n"/>
      <c r="CEW22" s="1" t="n"/>
      <c r="CEX22" s="1" t="n"/>
      <c r="CEY22" s="3" t="n"/>
      <c r="CEZ22" s="4" t="n"/>
      <c r="CFA22" s="1" t="n"/>
      <c r="CFB22" s="1" t="n"/>
      <c r="CFC22" s="3" t="n"/>
      <c r="CFD22" s="4" t="n"/>
      <c r="CFE22" s="1" t="n"/>
      <c r="CFF22" s="1" t="n"/>
      <c r="CFG22" s="3" t="n"/>
      <c r="CFH22" s="4" t="n"/>
      <c r="CFI22" s="1" t="n"/>
      <c r="CFJ22" s="1" t="n"/>
      <c r="CFK22" s="3" t="n"/>
      <c r="CFL22" s="4" t="n"/>
      <c r="CFM22" s="1" t="n"/>
      <c r="CFN22" s="1" t="n"/>
      <c r="CFO22" s="3" t="n"/>
      <c r="CFP22" s="4" t="n"/>
      <c r="CFQ22" s="1" t="n"/>
      <c r="CFR22" s="1" t="n"/>
      <c r="CFS22" s="3" t="n"/>
      <c r="CFT22" s="4" t="n"/>
      <c r="CFU22" s="1" t="n"/>
      <c r="CFV22" s="1" t="n"/>
      <c r="CFW22" s="3" t="n"/>
      <c r="CFX22" s="4" t="n"/>
      <c r="CFY22" s="1" t="n"/>
      <c r="CFZ22" s="1" t="n"/>
      <c r="CGA22" s="3" t="n"/>
      <c r="CGB22" s="4" t="n"/>
      <c r="CGC22" s="1" t="n"/>
      <c r="CGD22" s="1" t="n"/>
      <c r="CGE22" s="3" t="n"/>
      <c r="CGF22" s="4" t="n"/>
      <c r="CGG22" s="1" t="n"/>
      <c r="CGH22" s="1" t="n"/>
      <c r="CGI22" s="3" t="n"/>
      <c r="CGJ22" s="4" t="n"/>
      <c r="CGK22" s="1" t="n"/>
      <c r="CGL22" s="1" t="n"/>
      <c r="CGM22" s="3" t="n"/>
      <c r="CGN22" s="4" t="n"/>
      <c r="CGO22" s="1" t="n"/>
      <c r="CGP22" s="1" t="n"/>
      <c r="CGQ22" s="3" t="n"/>
      <c r="CGR22" s="4" t="n"/>
      <c r="CGS22" s="1" t="n"/>
      <c r="CGT22" s="1" t="n"/>
      <c r="CGU22" s="3" t="n"/>
      <c r="CGV22" s="4" t="n"/>
      <c r="CGW22" s="1" t="n"/>
      <c r="CGX22" s="1" t="n"/>
      <c r="CGY22" s="3" t="n"/>
      <c r="CGZ22" s="4" t="n"/>
      <c r="CHA22" s="1" t="n"/>
      <c r="CHB22" s="1" t="n"/>
      <c r="CHC22" s="3" t="n"/>
      <c r="CHD22" s="4" t="n"/>
      <c r="CHE22" s="1" t="n"/>
      <c r="CHF22" s="1" t="n"/>
      <c r="CHG22" s="3" t="n"/>
      <c r="CHH22" s="4" t="n"/>
      <c r="CHI22" s="1" t="n"/>
      <c r="CHJ22" s="1" t="n"/>
      <c r="CHK22" s="3" t="n"/>
      <c r="CHL22" s="4" t="n"/>
      <c r="CHM22" s="1" t="n"/>
      <c r="CHN22" s="1" t="n"/>
      <c r="CHO22" s="3" t="n"/>
      <c r="CHP22" s="4" t="n"/>
      <c r="CHQ22" s="1" t="n"/>
      <c r="CHR22" s="1" t="n"/>
      <c r="CHS22" s="3" t="n"/>
      <c r="CHT22" s="4" t="n"/>
      <c r="CHU22" s="1" t="n"/>
      <c r="CHV22" s="1" t="n"/>
      <c r="CHW22" s="3" t="n"/>
      <c r="CHX22" s="4" t="n"/>
      <c r="CHY22" s="1" t="n"/>
      <c r="CHZ22" s="1" t="n"/>
      <c r="CIA22" s="3" t="n"/>
      <c r="CIB22" s="4" t="n"/>
      <c r="CIC22" s="1" t="n"/>
      <c r="CID22" s="1" t="n"/>
      <c r="CIE22" s="3" t="n"/>
      <c r="CIF22" s="4" t="n"/>
      <c r="CIG22" s="1" t="n"/>
      <c r="CIH22" s="1" t="n"/>
      <c r="CII22" s="3" t="n"/>
      <c r="CIJ22" s="4" t="n"/>
      <c r="CIK22" s="1" t="n"/>
      <c r="CIL22" s="1" t="n"/>
      <c r="CIM22" s="3" t="n"/>
      <c r="CIN22" s="4" t="n"/>
      <c r="CIO22" s="1" t="n"/>
      <c r="CIP22" s="1" t="n"/>
      <c r="CIQ22" s="3" t="n"/>
      <c r="CIR22" s="4" t="n"/>
      <c r="CIS22" s="1" t="n"/>
      <c r="CIT22" s="1" t="n"/>
      <c r="CIU22" s="3" t="n"/>
      <c r="CIV22" s="4" t="n"/>
      <c r="CIW22" s="1" t="n"/>
      <c r="CIX22" s="1" t="n"/>
      <c r="CIY22" s="3" t="n"/>
      <c r="CIZ22" s="4" t="n"/>
      <c r="CJA22" s="1" t="n"/>
      <c r="CJB22" s="1" t="n"/>
      <c r="CJC22" s="3" t="n"/>
      <c r="CJD22" s="4" t="n"/>
      <c r="CJE22" s="1" t="n"/>
      <c r="CJF22" s="1" t="n"/>
      <c r="CJG22" s="3" t="n"/>
      <c r="CJH22" s="4" t="n"/>
      <c r="CJI22" s="1" t="n"/>
      <c r="CJJ22" s="1" t="n"/>
      <c r="CJK22" s="3" t="n"/>
      <c r="CJL22" s="4" t="n"/>
      <c r="CJM22" s="1" t="n"/>
      <c r="CJN22" s="1" t="n"/>
      <c r="CJO22" s="3" t="n"/>
      <c r="CJP22" s="4" t="n"/>
      <c r="CJQ22" s="1" t="n"/>
      <c r="CJR22" s="1" t="n"/>
      <c r="CJS22" s="3" t="n"/>
      <c r="CJT22" s="4" t="n"/>
      <c r="CJU22" s="1" t="n"/>
      <c r="CJV22" s="1" t="n"/>
      <c r="CJW22" s="3" t="n"/>
      <c r="CJX22" s="4" t="n"/>
      <c r="CJY22" s="1" t="n"/>
      <c r="CJZ22" s="1" t="n"/>
      <c r="CKA22" s="3" t="n"/>
      <c r="CKB22" s="4" t="n"/>
      <c r="CKC22" s="1" t="n"/>
      <c r="CKD22" s="1" t="n"/>
      <c r="CKE22" s="3" t="n"/>
      <c r="CKF22" s="4" t="n"/>
      <c r="CKG22" s="1" t="n"/>
      <c r="CKH22" s="1" t="n"/>
      <c r="CKI22" s="3" t="n"/>
      <c r="CKJ22" s="4" t="n"/>
      <c r="CKK22" s="1" t="n"/>
      <c r="CKL22" s="1" t="n"/>
      <c r="CKM22" s="3" t="n"/>
      <c r="CKN22" s="4" t="n"/>
      <c r="CKO22" s="1" t="n"/>
      <c r="CKP22" s="1" t="n"/>
      <c r="CKQ22" s="3" t="n"/>
      <c r="CKR22" s="4" t="n"/>
      <c r="CKS22" s="1" t="n"/>
      <c r="CKT22" s="1" t="n"/>
      <c r="CKU22" s="3" t="n"/>
      <c r="CKV22" s="4" t="n"/>
      <c r="CKW22" s="1" t="n"/>
      <c r="CKX22" s="1" t="n"/>
      <c r="CKY22" s="3" t="n"/>
      <c r="CKZ22" s="4" t="n"/>
      <c r="CLA22" s="1" t="n"/>
      <c r="CLB22" s="1" t="n"/>
      <c r="CLC22" s="3" t="n"/>
      <c r="CLD22" s="4" t="n"/>
      <c r="CLE22" s="1" t="n"/>
      <c r="CLF22" s="1" t="n"/>
      <c r="CLG22" s="3" t="n"/>
      <c r="CLH22" s="4" t="n"/>
      <c r="CLI22" s="1" t="n"/>
      <c r="CLJ22" s="1" t="n"/>
      <c r="CLK22" s="3" t="n"/>
      <c r="CLL22" s="4" t="n"/>
      <c r="CLM22" s="1" t="n"/>
      <c r="CLN22" s="1" t="n"/>
      <c r="CLO22" s="3" t="n"/>
      <c r="CLP22" s="4" t="n"/>
      <c r="CLQ22" s="1" t="n"/>
      <c r="CLR22" s="1" t="n"/>
      <c r="CLS22" s="3" t="n"/>
      <c r="CLT22" s="4" t="n"/>
      <c r="CLU22" s="1" t="n"/>
      <c r="CLV22" s="1" t="n"/>
      <c r="CLW22" s="3" t="n"/>
      <c r="CLX22" s="4" t="n"/>
      <c r="CLY22" s="1" t="n"/>
      <c r="CLZ22" s="1" t="n"/>
      <c r="CMA22" s="3" t="n"/>
      <c r="CMB22" s="4" t="n"/>
      <c r="CMC22" s="1" t="n"/>
      <c r="CMD22" s="1" t="n"/>
      <c r="CME22" s="3" t="n"/>
      <c r="CMF22" s="4" t="n"/>
      <c r="CMG22" s="1" t="n"/>
      <c r="CMH22" s="1" t="n"/>
      <c r="CMI22" s="3" t="n"/>
      <c r="CMJ22" s="4" t="n"/>
      <c r="CMK22" s="1" t="n"/>
      <c r="CML22" s="1" t="n"/>
      <c r="CMM22" s="3" t="n"/>
      <c r="CMN22" s="4" t="n"/>
      <c r="CMO22" s="1" t="n"/>
      <c r="CMP22" s="1" t="n"/>
      <c r="CMQ22" s="3" t="n"/>
      <c r="CMR22" s="4" t="n"/>
      <c r="CMS22" s="1" t="n"/>
      <c r="CMT22" s="1" t="n"/>
      <c r="CMU22" s="3" t="n"/>
      <c r="CMV22" s="4" t="n"/>
      <c r="CMW22" s="1" t="n"/>
      <c r="CMX22" s="1" t="n"/>
      <c r="CMY22" s="3" t="n"/>
      <c r="CMZ22" s="4" t="n"/>
      <c r="CNA22" s="1" t="n"/>
      <c r="CNB22" s="1" t="n"/>
      <c r="CNC22" s="3" t="n"/>
      <c r="CND22" s="4" t="n"/>
      <c r="CNE22" s="1" t="n"/>
      <c r="CNF22" s="1" t="n"/>
      <c r="CNG22" s="3" t="n"/>
      <c r="CNH22" s="4" t="n"/>
      <c r="CNI22" s="1" t="n"/>
      <c r="CNJ22" s="1" t="n"/>
      <c r="CNK22" s="3" t="n"/>
      <c r="CNL22" s="4" t="n"/>
      <c r="CNM22" s="1" t="n"/>
      <c r="CNN22" s="1" t="n"/>
      <c r="CNO22" s="3" t="n"/>
      <c r="CNP22" s="4" t="n"/>
      <c r="CNQ22" s="1" t="n"/>
      <c r="CNR22" s="1" t="n"/>
      <c r="CNS22" s="3" t="n"/>
      <c r="CNT22" s="4" t="n"/>
      <c r="CNU22" s="1" t="n"/>
      <c r="CNV22" s="1" t="n"/>
      <c r="CNW22" s="3" t="n"/>
      <c r="CNX22" s="4" t="n"/>
      <c r="CNY22" s="1" t="n"/>
      <c r="CNZ22" s="1" t="n"/>
      <c r="COA22" s="3" t="n"/>
      <c r="COB22" s="4" t="n"/>
      <c r="COC22" s="1" t="n"/>
      <c r="COD22" s="1" t="n"/>
      <c r="COE22" s="3" t="n"/>
      <c r="COF22" s="4" t="n"/>
      <c r="COG22" s="1" t="n"/>
      <c r="COH22" s="1" t="n"/>
      <c r="COI22" s="3" t="n"/>
      <c r="COJ22" s="4" t="n"/>
      <c r="COK22" s="1" t="n"/>
      <c r="COL22" s="1" t="n"/>
      <c r="COM22" s="3" t="n"/>
      <c r="CON22" s="4" t="n"/>
      <c r="COO22" s="1" t="n"/>
      <c r="COP22" s="1" t="n"/>
      <c r="COQ22" s="3" t="n"/>
      <c r="COR22" s="4" t="n"/>
      <c r="COS22" s="1" t="n"/>
      <c r="COT22" s="1" t="n"/>
      <c r="COU22" s="3" t="n"/>
      <c r="COV22" s="4" t="n"/>
      <c r="COW22" s="1" t="n"/>
      <c r="COX22" s="1" t="n"/>
      <c r="COY22" s="3" t="n"/>
      <c r="COZ22" s="4" t="n"/>
      <c r="CPA22" s="1" t="n"/>
      <c r="CPB22" s="1" t="n"/>
      <c r="CPC22" s="3" t="n"/>
      <c r="CPD22" s="4" t="n"/>
      <c r="CPE22" s="1" t="n"/>
      <c r="CPF22" s="1" t="n"/>
      <c r="CPG22" s="3" t="n"/>
      <c r="CPH22" s="4" t="n"/>
      <c r="CPI22" s="1" t="n"/>
      <c r="CPJ22" s="1" t="n"/>
      <c r="CPK22" s="3" t="n"/>
      <c r="CPL22" s="4" t="n"/>
      <c r="CPM22" s="1" t="n"/>
      <c r="CPN22" s="1" t="n"/>
      <c r="CPO22" s="3" t="n"/>
      <c r="CPP22" s="4" t="n"/>
      <c r="CPQ22" s="1" t="n"/>
      <c r="CPR22" s="1" t="n"/>
      <c r="CPS22" s="3" t="n"/>
      <c r="CPT22" s="4" t="n"/>
      <c r="CPU22" s="1" t="n"/>
      <c r="CPV22" s="1" t="n"/>
      <c r="CPW22" s="3" t="n"/>
      <c r="CPX22" s="4" t="n"/>
      <c r="CPY22" s="1" t="n"/>
      <c r="CPZ22" s="1" t="n"/>
      <c r="CQA22" s="3" t="n"/>
      <c r="CQB22" s="4" t="n"/>
      <c r="CQC22" s="1" t="n"/>
      <c r="CQD22" s="1" t="n"/>
      <c r="CQE22" s="3" t="n"/>
      <c r="CQF22" s="4" t="n"/>
      <c r="CQG22" s="1" t="n"/>
      <c r="CQH22" s="1" t="n"/>
      <c r="CQI22" s="3" t="n"/>
      <c r="CQJ22" s="4" t="n"/>
      <c r="CQK22" s="1" t="n"/>
      <c r="CQL22" s="1" t="n"/>
      <c r="CQM22" s="3" t="n"/>
      <c r="CQN22" s="4" t="n"/>
      <c r="CQO22" s="1" t="n"/>
      <c r="CQP22" s="1" t="n"/>
      <c r="CQQ22" s="3" t="n"/>
      <c r="CQR22" s="4" t="n"/>
      <c r="CQS22" s="1" t="n"/>
      <c r="CQT22" s="1" t="n"/>
      <c r="CQU22" s="3" t="n"/>
      <c r="CQV22" s="4" t="n"/>
      <c r="CQW22" s="1" t="n"/>
      <c r="CQX22" s="1" t="n"/>
      <c r="CQY22" s="3" t="n"/>
      <c r="CQZ22" s="4" t="n"/>
      <c r="CRA22" s="1" t="n"/>
      <c r="CRB22" s="1" t="n"/>
      <c r="CRC22" s="3" t="n"/>
      <c r="CRD22" s="4" t="n"/>
      <c r="CRE22" s="1" t="n"/>
      <c r="CRF22" s="1" t="n"/>
      <c r="CRG22" s="3" t="n"/>
      <c r="CRH22" s="4" t="n"/>
      <c r="CRI22" s="1" t="n"/>
      <c r="CRJ22" s="1" t="n"/>
      <c r="CRK22" s="3" t="n"/>
      <c r="CRL22" s="4" t="n"/>
      <c r="CRM22" s="1" t="n"/>
      <c r="CRN22" s="1" t="n"/>
      <c r="CRO22" s="3" t="n"/>
      <c r="CRP22" s="4" t="n"/>
      <c r="CRQ22" s="1" t="n"/>
      <c r="CRR22" s="1" t="n"/>
      <c r="CRS22" s="3" t="n"/>
      <c r="CRT22" s="4" t="n"/>
      <c r="CRU22" s="1" t="n"/>
      <c r="CRV22" s="1" t="n"/>
      <c r="CRW22" s="3" t="n"/>
      <c r="CRX22" s="4" t="n"/>
      <c r="CRY22" s="1" t="n"/>
      <c r="CRZ22" s="1" t="n"/>
      <c r="CSA22" s="3" t="n"/>
      <c r="CSB22" s="4" t="n"/>
      <c r="CSC22" s="1" t="n"/>
      <c r="CSD22" s="1" t="n"/>
      <c r="CSE22" s="3" t="n"/>
      <c r="CSF22" s="4" t="n"/>
      <c r="CSG22" s="1" t="n"/>
      <c r="CSH22" s="1" t="n"/>
      <c r="CSI22" s="3" t="n"/>
      <c r="CSJ22" s="4" t="n"/>
      <c r="CSK22" s="1" t="n"/>
      <c r="CSL22" s="1" t="n"/>
      <c r="CSM22" s="3" t="n"/>
      <c r="CSN22" s="4" t="n"/>
      <c r="CSO22" s="1" t="n"/>
      <c r="CSP22" s="1" t="n"/>
      <c r="CSQ22" s="3" t="n"/>
      <c r="CSR22" s="4" t="n"/>
      <c r="CSS22" s="1" t="n"/>
      <c r="CST22" s="1" t="n"/>
      <c r="CSU22" s="3" t="n"/>
      <c r="CSV22" s="4" t="n"/>
      <c r="CSW22" s="1" t="n"/>
      <c r="CSX22" s="1" t="n"/>
      <c r="CSY22" s="3" t="n"/>
      <c r="CSZ22" s="4" t="n"/>
      <c r="CTA22" s="1" t="n"/>
      <c r="CTB22" s="1" t="n"/>
      <c r="CTC22" s="3" t="n"/>
      <c r="CTD22" s="4" t="n"/>
      <c r="CTE22" s="1" t="n"/>
      <c r="CTF22" s="1" t="n"/>
      <c r="CTG22" s="3" t="n"/>
      <c r="CTH22" s="4" t="n"/>
      <c r="CTI22" s="1" t="n"/>
      <c r="CTJ22" s="1" t="n"/>
      <c r="CTK22" s="3" t="n"/>
      <c r="CTL22" s="4" t="n"/>
      <c r="CTM22" s="1" t="n"/>
      <c r="CTN22" s="1" t="n"/>
      <c r="CTO22" s="3" t="n"/>
      <c r="CTP22" s="4" t="n"/>
      <c r="CTQ22" s="1" t="n"/>
      <c r="CTR22" s="1" t="n"/>
      <c r="CTS22" s="3" t="n"/>
      <c r="CTT22" s="4" t="n"/>
      <c r="CTU22" s="1" t="n"/>
      <c r="CTV22" s="1" t="n"/>
      <c r="CTW22" s="3" t="n"/>
      <c r="CTX22" s="4" t="n"/>
      <c r="CTY22" s="1" t="n"/>
      <c r="CTZ22" s="1" t="n"/>
      <c r="CUA22" s="3" t="n"/>
      <c r="CUB22" s="4" t="n"/>
      <c r="CUC22" s="1" t="n"/>
      <c r="CUD22" s="1" t="n"/>
      <c r="CUE22" s="3" t="n"/>
      <c r="CUF22" s="4" t="n"/>
      <c r="CUG22" s="1" t="n"/>
      <c r="CUH22" s="1" t="n"/>
      <c r="CUI22" s="3" t="n"/>
      <c r="CUJ22" s="4" t="n"/>
      <c r="CUK22" s="1" t="n"/>
      <c r="CUL22" s="1" t="n"/>
      <c r="CUM22" s="3" t="n"/>
      <c r="CUN22" s="4" t="n"/>
      <c r="CUO22" s="1" t="n"/>
      <c r="CUP22" s="1" t="n"/>
      <c r="CUQ22" s="3" t="n"/>
      <c r="CUR22" s="4" t="n"/>
      <c r="CUS22" s="1" t="n"/>
      <c r="CUT22" s="1" t="n"/>
      <c r="CUU22" s="3" t="n"/>
      <c r="CUV22" s="4" t="n"/>
      <c r="CUW22" s="1" t="n"/>
      <c r="CUX22" s="1" t="n"/>
      <c r="CUY22" s="3" t="n"/>
      <c r="CUZ22" s="4" t="n"/>
      <c r="CVA22" s="1" t="n"/>
      <c r="CVB22" s="1" t="n"/>
      <c r="CVC22" s="3" t="n"/>
      <c r="CVD22" s="4" t="n"/>
      <c r="CVE22" s="1" t="n"/>
      <c r="CVF22" s="1" t="n"/>
      <c r="CVG22" s="3" t="n"/>
      <c r="CVH22" s="4" t="n"/>
      <c r="CVI22" s="1" t="n"/>
      <c r="CVJ22" s="1" t="n"/>
      <c r="CVK22" s="3" t="n"/>
      <c r="CVL22" s="4" t="n"/>
      <c r="CVM22" s="1" t="n"/>
      <c r="CVN22" s="1" t="n"/>
      <c r="CVO22" s="3" t="n"/>
      <c r="CVP22" s="4" t="n"/>
      <c r="CVQ22" s="1" t="n"/>
      <c r="CVR22" s="1" t="n"/>
      <c r="CVS22" s="3" t="n"/>
      <c r="CVT22" s="4" t="n"/>
      <c r="CVU22" s="1" t="n"/>
      <c r="CVV22" s="1" t="n"/>
      <c r="CVW22" s="3" t="n"/>
      <c r="CVX22" s="4" t="n"/>
      <c r="CVY22" s="1" t="n"/>
      <c r="CVZ22" s="1" t="n"/>
      <c r="CWA22" s="3" t="n"/>
      <c r="CWB22" s="4" t="n"/>
      <c r="CWC22" s="1" t="n"/>
      <c r="CWD22" s="1" t="n"/>
      <c r="CWE22" s="3" t="n"/>
      <c r="CWF22" s="4" t="n"/>
      <c r="CWG22" s="1" t="n"/>
      <c r="CWH22" s="1" t="n"/>
      <c r="CWI22" s="3" t="n"/>
      <c r="CWJ22" s="4" t="n"/>
      <c r="CWK22" s="1" t="n"/>
      <c r="CWL22" s="1" t="n"/>
      <c r="CWM22" s="3" t="n"/>
      <c r="CWN22" s="4" t="n"/>
      <c r="CWO22" s="1" t="n"/>
      <c r="CWP22" s="1" t="n"/>
      <c r="CWQ22" s="3" t="n"/>
      <c r="CWR22" s="4" t="n"/>
      <c r="CWS22" s="1" t="n"/>
      <c r="CWT22" s="1" t="n"/>
      <c r="CWU22" s="3" t="n"/>
      <c r="CWV22" s="4" t="n"/>
      <c r="CWW22" s="1" t="n"/>
      <c r="CWX22" s="1" t="n"/>
      <c r="CWY22" s="3" t="n"/>
      <c r="CWZ22" s="4" t="n"/>
      <c r="CXA22" s="1" t="n"/>
      <c r="CXB22" s="1" t="n"/>
      <c r="CXC22" s="3" t="n"/>
      <c r="CXD22" s="4" t="n"/>
      <c r="CXE22" s="1" t="n"/>
      <c r="CXF22" s="1" t="n"/>
      <c r="CXG22" s="3" t="n"/>
      <c r="CXH22" s="4" t="n"/>
      <c r="CXI22" s="1" t="n"/>
      <c r="CXJ22" s="1" t="n"/>
      <c r="CXK22" s="3" t="n"/>
      <c r="CXL22" s="4" t="n"/>
      <c r="CXM22" s="1" t="n"/>
      <c r="CXN22" s="1" t="n"/>
      <c r="CXO22" s="3" t="n"/>
      <c r="CXP22" s="4" t="n"/>
      <c r="CXQ22" s="1" t="n"/>
      <c r="CXR22" s="1" t="n"/>
      <c r="CXS22" s="3" t="n"/>
      <c r="CXT22" s="4" t="n"/>
      <c r="CXU22" s="1" t="n"/>
      <c r="CXV22" s="1" t="n"/>
      <c r="CXW22" s="3" t="n"/>
      <c r="CXX22" s="4" t="n"/>
      <c r="CXY22" s="1" t="n"/>
      <c r="CXZ22" s="1" t="n"/>
      <c r="CYA22" s="3" t="n"/>
      <c r="CYB22" s="4" t="n"/>
      <c r="CYC22" s="1" t="n"/>
      <c r="CYD22" s="1" t="n"/>
      <c r="CYE22" s="3" t="n"/>
      <c r="CYF22" s="4" t="n"/>
      <c r="CYG22" s="1" t="n"/>
      <c r="CYH22" s="1" t="n"/>
      <c r="CYI22" s="3" t="n"/>
      <c r="CYJ22" s="4" t="n"/>
      <c r="CYK22" s="1" t="n"/>
      <c r="CYL22" s="1" t="n"/>
      <c r="CYM22" s="3" t="n"/>
      <c r="CYN22" s="4" t="n"/>
      <c r="CYO22" s="1" t="n"/>
      <c r="CYP22" s="1" t="n"/>
      <c r="CYQ22" s="3" t="n"/>
      <c r="CYR22" s="4" t="n"/>
      <c r="CYS22" s="1" t="n"/>
      <c r="CYT22" s="1" t="n"/>
      <c r="CYU22" s="3" t="n"/>
      <c r="CYV22" s="4" t="n"/>
      <c r="CYW22" s="1" t="n"/>
      <c r="CYX22" s="1" t="n"/>
      <c r="CYY22" s="3" t="n"/>
      <c r="CYZ22" s="4" t="n"/>
      <c r="CZA22" s="1" t="n"/>
      <c r="CZB22" s="1" t="n"/>
      <c r="CZC22" s="3" t="n"/>
      <c r="CZD22" s="4" t="n"/>
      <c r="CZE22" s="1" t="n"/>
      <c r="CZF22" s="1" t="n"/>
      <c r="CZG22" s="3" t="n"/>
      <c r="CZH22" s="4" t="n"/>
      <c r="CZI22" s="1" t="n"/>
      <c r="CZJ22" s="1" t="n"/>
      <c r="CZK22" s="3" t="n"/>
      <c r="CZL22" s="4" t="n"/>
      <c r="CZM22" s="1" t="n"/>
      <c r="CZN22" s="1" t="n"/>
      <c r="CZO22" s="3" t="n"/>
      <c r="CZP22" s="4" t="n"/>
      <c r="CZQ22" s="1" t="n"/>
      <c r="CZR22" s="1" t="n"/>
      <c r="CZS22" s="3" t="n"/>
      <c r="CZT22" s="4" t="n"/>
      <c r="CZU22" s="1" t="n"/>
      <c r="CZV22" s="1" t="n"/>
      <c r="CZW22" s="3" t="n"/>
      <c r="CZX22" s="4" t="n"/>
      <c r="CZY22" s="1" t="n"/>
      <c r="CZZ22" s="1" t="n"/>
      <c r="DAA22" s="3" t="n"/>
      <c r="DAB22" s="4" t="n"/>
      <c r="DAC22" s="1" t="n"/>
      <c r="DAD22" s="1" t="n"/>
      <c r="DAE22" s="3" t="n"/>
      <c r="DAF22" s="4" t="n"/>
      <c r="DAG22" s="1" t="n"/>
      <c r="DAH22" s="1" t="n"/>
      <c r="DAI22" s="3" t="n"/>
      <c r="DAJ22" s="4" t="n"/>
      <c r="DAK22" s="1" t="n"/>
      <c r="DAL22" s="1" t="n"/>
      <c r="DAM22" s="3" t="n"/>
      <c r="DAN22" s="4" t="n"/>
      <c r="DAO22" s="1" t="n"/>
      <c r="DAP22" s="1" t="n"/>
      <c r="DAQ22" s="3" t="n"/>
      <c r="DAR22" s="4" t="n"/>
      <c r="DAS22" s="1" t="n"/>
      <c r="DAT22" s="1" t="n"/>
      <c r="DAU22" s="3" t="n"/>
      <c r="DAV22" s="4" t="n"/>
      <c r="DAW22" s="1" t="n"/>
      <c r="DAX22" s="1" t="n"/>
      <c r="DAY22" s="3" t="n"/>
      <c r="DAZ22" s="4" t="n"/>
      <c r="DBA22" s="1" t="n"/>
      <c r="DBB22" s="1" t="n"/>
      <c r="DBC22" s="3" t="n"/>
      <c r="DBD22" s="4" t="n"/>
      <c r="DBE22" s="1" t="n"/>
      <c r="DBF22" s="1" t="n"/>
      <c r="DBG22" s="3" t="n"/>
      <c r="DBH22" s="4" t="n"/>
      <c r="DBI22" s="1" t="n"/>
      <c r="DBJ22" s="1" t="n"/>
      <c r="DBK22" s="3" t="n"/>
      <c r="DBL22" s="4" t="n"/>
      <c r="DBM22" s="1" t="n"/>
      <c r="DBN22" s="1" t="n"/>
      <c r="DBO22" s="3" t="n"/>
      <c r="DBP22" s="4" t="n"/>
      <c r="DBQ22" s="1" t="n"/>
      <c r="DBR22" s="1" t="n"/>
      <c r="DBS22" s="3" t="n"/>
      <c r="DBT22" s="4" t="n"/>
      <c r="DBU22" s="1" t="n"/>
      <c r="DBV22" s="1" t="n"/>
      <c r="DBW22" s="3" t="n"/>
      <c r="DBX22" s="4" t="n"/>
      <c r="DBY22" s="1" t="n"/>
      <c r="DBZ22" s="1" t="n"/>
      <c r="DCA22" s="3" t="n"/>
      <c r="DCB22" s="4" t="n"/>
      <c r="DCC22" s="1" t="n"/>
      <c r="DCD22" s="1" t="n"/>
      <c r="DCE22" s="3" t="n"/>
      <c r="DCF22" s="4" t="n"/>
      <c r="DCG22" s="1" t="n"/>
      <c r="DCH22" s="1" t="n"/>
      <c r="DCI22" s="3" t="n"/>
      <c r="DCJ22" s="4" t="n"/>
      <c r="DCK22" s="1" t="n"/>
      <c r="DCL22" s="1" t="n"/>
      <c r="DCM22" s="3" t="n"/>
      <c r="DCN22" s="4" t="n"/>
      <c r="DCO22" s="1" t="n"/>
      <c r="DCP22" s="1" t="n"/>
      <c r="DCQ22" s="3" t="n"/>
      <c r="DCR22" s="4" t="n"/>
      <c r="DCS22" s="1" t="n"/>
      <c r="DCT22" s="1" t="n"/>
      <c r="DCU22" s="3" t="n"/>
      <c r="DCV22" s="4" t="n"/>
      <c r="DCW22" s="1" t="n"/>
      <c r="DCX22" s="1" t="n"/>
      <c r="DCY22" s="3" t="n"/>
      <c r="DCZ22" s="4" t="n"/>
      <c r="DDA22" s="1" t="n"/>
      <c r="DDB22" s="1" t="n"/>
      <c r="DDC22" s="3" t="n"/>
      <c r="DDD22" s="4" t="n"/>
      <c r="DDE22" s="1" t="n"/>
      <c r="DDF22" s="1" t="n"/>
      <c r="DDG22" s="3" t="n"/>
      <c r="DDH22" s="4" t="n"/>
      <c r="DDI22" s="1" t="n"/>
      <c r="DDJ22" s="1" t="n"/>
      <c r="DDK22" s="3" t="n"/>
      <c r="DDL22" s="4" t="n"/>
      <c r="DDM22" s="1" t="n"/>
      <c r="DDN22" s="1" t="n"/>
      <c r="DDO22" s="3" t="n"/>
      <c r="DDP22" s="4" t="n"/>
      <c r="DDQ22" s="1" t="n"/>
      <c r="DDR22" s="1" t="n"/>
      <c r="DDS22" s="3" t="n"/>
      <c r="DDT22" s="4" t="n"/>
      <c r="DDU22" s="1" t="n"/>
      <c r="DDV22" s="1" t="n"/>
      <c r="DDW22" s="3" t="n"/>
      <c r="DDX22" s="4" t="n"/>
      <c r="DDY22" s="1" t="n"/>
      <c r="DDZ22" s="1" t="n"/>
      <c r="DEA22" s="3" t="n"/>
      <c r="DEB22" s="4" t="n"/>
      <c r="DEC22" s="1" t="n"/>
      <c r="DED22" s="1" t="n"/>
      <c r="DEE22" s="3" t="n"/>
      <c r="DEF22" s="4" t="n"/>
      <c r="DEG22" s="1" t="n"/>
      <c r="DEH22" s="1" t="n"/>
      <c r="DEI22" s="3" t="n"/>
      <c r="DEJ22" s="4" t="n"/>
      <c r="DEK22" s="1" t="n"/>
      <c r="DEL22" s="1" t="n"/>
      <c r="DEM22" s="3" t="n"/>
      <c r="DEN22" s="4" t="n"/>
      <c r="DEO22" s="1" t="n"/>
      <c r="DEP22" s="1" t="n"/>
      <c r="DEQ22" s="3" t="n"/>
      <c r="DER22" s="4" t="n"/>
      <c r="DES22" s="1" t="n"/>
      <c r="DET22" s="1" t="n"/>
      <c r="DEU22" s="3" t="n"/>
      <c r="DEV22" s="4" t="n"/>
      <c r="DEW22" s="1" t="n"/>
      <c r="DEX22" s="1" t="n"/>
      <c r="DEY22" s="3" t="n"/>
      <c r="DEZ22" s="4" t="n"/>
      <c r="DFA22" s="1" t="n"/>
      <c r="DFB22" s="1" t="n"/>
      <c r="DFC22" s="3" t="n"/>
      <c r="DFD22" s="4" t="n"/>
      <c r="DFE22" s="1" t="n"/>
      <c r="DFF22" s="1" t="n"/>
      <c r="DFG22" s="3" t="n"/>
      <c r="DFH22" s="4" t="n"/>
      <c r="DFI22" s="1" t="n"/>
      <c r="DFJ22" s="1" t="n"/>
      <c r="DFK22" s="3" t="n"/>
      <c r="DFL22" s="4" t="n"/>
      <c r="DFM22" s="1" t="n"/>
      <c r="DFN22" s="1" t="n"/>
      <c r="DFO22" s="3" t="n"/>
      <c r="DFP22" s="4" t="n"/>
      <c r="DFQ22" s="1" t="n"/>
      <c r="DFR22" s="1" t="n"/>
      <c r="DFS22" s="3" t="n"/>
      <c r="DFT22" s="4" t="n"/>
      <c r="DFU22" s="1" t="n"/>
      <c r="DFV22" s="1" t="n"/>
      <c r="DFW22" s="3" t="n"/>
      <c r="DFX22" s="4" t="n"/>
      <c r="DFY22" s="1" t="n"/>
      <c r="DFZ22" s="1" t="n"/>
      <c r="DGA22" s="3" t="n"/>
      <c r="DGB22" s="4" t="n"/>
      <c r="DGC22" s="1" t="n"/>
      <c r="DGD22" s="1" t="n"/>
      <c r="DGE22" s="3" t="n"/>
      <c r="DGF22" s="4" t="n"/>
      <c r="DGG22" s="1" t="n"/>
      <c r="DGH22" s="1" t="n"/>
      <c r="DGI22" s="3" t="n"/>
      <c r="DGJ22" s="4" t="n"/>
      <c r="DGK22" s="1" t="n"/>
      <c r="DGL22" s="1" t="n"/>
      <c r="DGM22" s="3" t="n"/>
      <c r="DGN22" s="4" t="n"/>
      <c r="DGO22" s="1" t="n"/>
      <c r="DGP22" s="1" t="n"/>
      <c r="DGQ22" s="3" t="n"/>
      <c r="DGR22" s="4" t="n"/>
      <c r="DGS22" s="1" t="n"/>
      <c r="DGT22" s="1" t="n"/>
      <c r="DGU22" s="3" t="n"/>
      <c r="DGV22" s="4" t="n"/>
      <c r="DGW22" s="1" t="n"/>
      <c r="DGX22" s="1" t="n"/>
      <c r="DGY22" s="3" t="n"/>
      <c r="DGZ22" s="4" t="n"/>
      <c r="DHA22" s="1" t="n"/>
      <c r="DHB22" s="1" t="n"/>
      <c r="DHC22" s="3" t="n"/>
      <c r="DHD22" s="4" t="n"/>
      <c r="DHE22" s="1" t="n"/>
      <c r="DHF22" s="1" t="n"/>
      <c r="DHG22" s="3" t="n"/>
      <c r="DHH22" s="4" t="n"/>
      <c r="DHI22" s="1" t="n"/>
      <c r="DHJ22" s="1" t="n"/>
      <c r="DHK22" s="3" t="n"/>
      <c r="DHL22" s="4" t="n"/>
      <c r="DHM22" s="1" t="n"/>
      <c r="DHN22" s="1" t="n"/>
      <c r="DHO22" s="3" t="n"/>
      <c r="DHP22" s="4" t="n"/>
      <c r="DHQ22" s="1" t="n"/>
      <c r="DHR22" s="1" t="n"/>
      <c r="DHS22" s="3" t="n"/>
      <c r="DHT22" s="4" t="n"/>
      <c r="DHU22" s="1" t="n"/>
      <c r="DHV22" s="1" t="n"/>
      <c r="DHW22" s="3" t="n"/>
      <c r="DHX22" s="4" t="n"/>
      <c r="DHY22" s="1" t="n"/>
      <c r="DHZ22" s="1" t="n"/>
      <c r="DIA22" s="3" t="n"/>
      <c r="DIB22" s="4" t="n"/>
      <c r="DIC22" s="1" t="n"/>
      <c r="DID22" s="1" t="n"/>
      <c r="DIE22" s="3" t="n"/>
      <c r="DIF22" s="4" t="n"/>
      <c r="DIG22" s="1" t="n"/>
      <c r="DIH22" s="1" t="n"/>
      <c r="DII22" s="3" t="n"/>
      <c r="DIJ22" s="4" t="n"/>
      <c r="DIK22" s="1" t="n"/>
      <c r="DIL22" s="1" t="n"/>
      <c r="DIM22" s="3" t="n"/>
      <c r="DIN22" s="4" t="n"/>
      <c r="DIO22" s="1" t="n"/>
      <c r="DIP22" s="1" t="n"/>
      <c r="DIQ22" s="3" t="n"/>
      <c r="DIR22" s="4" t="n"/>
      <c r="DIS22" s="1" t="n"/>
      <c r="DIT22" s="1" t="n"/>
      <c r="DIU22" s="3" t="n"/>
      <c r="DIV22" s="4" t="n"/>
      <c r="DIW22" s="1" t="n"/>
      <c r="DIX22" s="1" t="n"/>
      <c r="DIY22" s="3" t="n"/>
      <c r="DIZ22" s="4" t="n"/>
      <c r="DJA22" s="1" t="n"/>
      <c r="DJB22" s="1" t="n"/>
      <c r="DJC22" s="3" t="n"/>
      <c r="DJD22" s="4" t="n"/>
      <c r="DJE22" s="1" t="n"/>
      <c r="DJF22" s="1" t="n"/>
      <c r="DJG22" s="3" t="n"/>
      <c r="DJH22" s="4" t="n"/>
      <c r="DJI22" s="1" t="n"/>
      <c r="DJJ22" s="1" t="n"/>
      <c r="DJK22" s="3" t="n"/>
      <c r="DJL22" s="4" t="n"/>
      <c r="DJM22" s="1" t="n"/>
      <c r="DJN22" s="1" t="n"/>
      <c r="DJO22" s="3" t="n"/>
      <c r="DJP22" s="4" t="n"/>
      <c r="DJQ22" s="1" t="n"/>
      <c r="DJR22" s="1" t="n"/>
      <c r="DJS22" s="3" t="n"/>
      <c r="DJT22" s="4" t="n"/>
      <c r="DJU22" s="1" t="n"/>
      <c r="DJV22" s="1" t="n"/>
      <c r="DJW22" s="3" t="n"/>
      <c r="DJX22" s="4" t="n"/>
      <c r="DJY22" s="1" t="n"/>
      <c r="DJZ22" s="1" t="n"/>
      <c r="DKA22" s="3" t="n"/>
      <c r="DKB22" s="4" t="n"/>
      <c r="DKC22" s="1" t="n"/>
      <c r="DKD22" s="1" t="n"/>
      <c r="DKE22" s="3" t="n"/>
      <c r="DKF22" s="4" t="n"/>
      <c r="DKG22" s="1" t="n"/>
      <c r="DKH22" s="1" t="n"/>
      <c r="DKI22" s="3" t="n"/>
      <c r="DKJ22" s="4" t="n"/>
      <c r="DKK22" s="1" t="n"/>
      <c r="DKL22" s="1" t="n"/>
      <c r="DKM22" s="3" t="n"/>
      <c r="DKN22" s="4" t="n"/>
      <c r="DKO22" s="1" t="n"/>
      <c r="DKP22" s="1" t="n"/>
      <c r="DKQ22" s="3" t="n"/>
      <c r="DKR22" s="4" t="n"/>
      <c r="DKS22" s="1" t="n"/>
      <c r="DKT22" s="1" t="n"/>
      <c r="DKU22" s="3" t="n"/>
      <c r="DKV22" s="4" t="n"/>
      <c r="DKW22" s="1" t="n"/>
      <c r="DKX22" s="1" t="n"/>
      <c r="DKY22" s="3" t="n"/>
      <c r="DKZ22" s="4" t="n"/>
      <c r="DLA22" s="1" t="n"/>
      <c r="DLB22" s="1" t="n"/>
      <c r="DLC22" s="3" t="n"/>
      <c r="DLD22" s="4" t="n"/>
      <c r="DLE22" s="1" t="n"/>
      <c r="DLF22" s="1" t="n"/>
      <c r="DLG22" s="3" t="n"/>
      <c r="DLH22" s="4" t="n"/>
      <c r="DLI22" s="1" t="n"/>
      <c r="DLJ22" s="1" t="n"/>
      <c r="DLK22" s="3" t="n"/>
      <c r="DLL22" s="4" t="n"/>
      <c r="DLM22" s="1" t="n"/>
      <c r="DLN22" s="1" t="n"/>
      <c r="DLO22" s="3" t="n"/>
      <c r="DLP22" s="4" t="n"/>
      <c r="DLQ22" s="1" t="n"/>
      <c r="DLR22" s="1" t="n"/>
      <c r="DLS22" s="3" t="n"/>
      <c r="DLT22" s="4" t="n"/>
      <c r="DLU22" s="1" t="n"/>
      <c r="DLV22" s="1" t="n"/>
      <c r="DLW22" s="3" t="n"/>
      <c r="DLX22" s="4" t="n"/>
      <c r="DLY22" s="1" t="n"/>
      <c r="DLZ22" s="1" t="n"/>
      <c r="DMA22" s="3" t="n"/>
      <c r="DMB22" s="4" t="n"/>
      <c r="DMC22" s="1" t="n"/>
      <c r="DMD22" s="1" t="n"/>
      <c r="DME22" s="3" t="n"/>
      <c r="DMF22" s="4" t="n"/>
      <c r="DMG22" s="1" t="n"/>
      <c r="DMH22" s="1" t="n"/>
      <c r="DMI22" s="3" t="n"/>
      <c r="DMJ22" s="4" t="n"/>
      <c r="DMK22" s="1" t="n"/>
      <c r="DML22" s="1" t="n"/>
      <c r="DMM22" s="3" t="n"/>
      <c r="DMN22" s="4" t="n"/>
      <c r="DMO22" s="1" t="n"/>
      <c r="DMP22" s="1" t="n"/>
      <c r="DMQ22" s="3" t="n"/>
      <c r="DMR22" s="4" t="n"/>
      <c r="DMS22" s="1" t="n"/>
      <c r="DMT22" s="1" t="n"/>
      <c r="DMU22" s="3" t="n"/>
      <c r="DMV22" s="4" t="n"/>
      <c r="DMW22" s="1" t="n"/>
      <c r="DMX22" s="1" t="n"/>
      <c r="DMY22" s="3" t="n"/>
      <c r="DMZ22" s="4" t="n"/>
      <c r="DNA22" s="1" t="n"/>
      <c r="DNB22" s="1" t="n"/>
      <c r="DNC22" s="3" t="n"/>
      <c r="DND22" s="4" t="n"/>
      <c r="DNE22" s="1" t="n"/>
      <c r="DNF22" s="1" t="n"/>
      <c r="DNG22" s="3" t="n"/>
      <c r="DNH22" s="4" t="n"/>
      <c r="DNI22" s="1" t="n"/>
      <c r="DNJ22" s="1" t="n"/>
      <c r="DNK22" s="3" t="n"/>
      <c r="DNL22" s="4" t="n"/>
      <c r="DNM22" s="1" t="n"/>
      <c r="DNN22" s="1" t="n"/>
      <c r="DNO22" s="3" t="n"/>
      <c r="DNP22" s="4" t="n"/>
      <c r="DNQ22" s="1" t="n"/>
      <c r="DNR22" s="1" t="n"/>
      <c r="DNS22" s="3" t="n"/>
      <c r="DNT22" s="4" t="n"/>
      <c r="DNU22" s="1" t="n"/>
      <c r="DNV22" s="1" t="n"/>
      <c r="DNW22" s="3" t="n"/>
      <c r="DNX22" s="4" t="n"/>
      <c r="DNY22" s="1" t="n"/>
      <c r="DNZ22" s="1" t="n"/>
      <c r="DOA22" s="3" t="n"/>
      <c r="DOB22" s="4" t="n"/>
      <c r="DOC22" s="1" t="n"/>
      <c r="DOD22" s="1" t="n"/>
      <c r="DOE22" s="3" t="n"/>
      <c r="DOF22" s="4" t="n"/>
      <c r="DOG22" s="1" t="n"/>
      <c r="DOH22" s="1" t="n"/>
      <c r="DOI22" s="3" t="n"/>
      <c r="DOJ22" s="4" t="n"/>
      <c r="DOK22" s="1" t="n"/>
      <c r="DOL22" s="1" t="n"/>
      <c r="DOM22" s="3" t="n"/>
      <c r="DON22" s="4" t="n"/>
      <c r="DOO22" s="1" t="n"/>
      <c r="DOP22" s="1" t="n"/>
      <c r="DOQ22" s="3" t="n"/>
      <c r="DOR22" s="4" t="n"/>
      <c r="DOS22" s="1" t="n"/>
      <c r="DOT22" s="1" t="n"/>
      <c r="DOU22" s="3" t="n"/>
      <c r="DOV22" s="4" t="n"/>
      <c r="DOW22" s="1" t="n"/>
      <c r="DOX22" s="1" t="n"/>
      <c r="DOY22" s="3" t="n"/>
      <c r="DOZ22" s="4" t="n"/>
      <c r="DPA22" s="1" t="n"/>
      <c r="DPB22" s="1" t="n"/>
      <c r="DPC22" s="3" t="n"/>
      <c r="DPD22" s="4" t="n"/>
      <c r="DPE22" s="1" t="n"/>
      <c r="DPF22" s="1" t="n"/>
      <c r="DPG22" s="3" t="n"/>
      <c r="DPH22" s="4" t="n"/>
      <c r="DPI22" s="1" t="n"/>
      <c r="DPJ22" s="1" t="n"/>
      <c r="DPK22" s="3" t="n"/>
      <c r="DPL22" s="4" t="n"/>
      <c r="DPM22" s="1" t="n"/>
      <c r="DPN22" s="1" t="n"/>
      <c r="DPO22" s="3" t="n"/>
      <c r="DPP22" s="4" t="n"/>
      <c r="DPQ22" s="1" t="n"/>
      <c r="DPR22" s="1" t="n"/>
      <c r="DPS22" s="3" t="n"/>
      <c r="DPT22" s="4" t="n"/>
      <c r="DPU22" s="1" t="n"/>
      <c r="DPV22" s="1" t="n"/>
      <c r="DPW22" s="3" t="n"/>
      <c r="DPX22" s="4" t="n"/>
      <c r="DPY22" s="1" t="n"/>
      <c r="DPZ22" s="1" t="n"/>
      <c r="DQA22" s="3" t="n"/>
      <c r="DQB22" s="4" t="n"/>
      <c r="DQC22" s="1" t="n"/>
      <c r="DQD22" s="1" t="n"/>
      <c r="DQE22" s="3" t="n"/>
      <c r="DQF22" s="4" t="n"/>
      <c r="DQG22" s="1" t="n"/>
      <c r="DQH22" s="1" t="n"/>
      <c r="DQI22" s="3" t="n"/>
      <c r="DQJ22" s="4" t="n"/>
      <c r="DQK22" s="1" t="n"/>
      <c r="DQL22" s="1" t="n"/>
      <c r="DQM22" s="3" t="n"/>
      <c r="DQN22" s="4" t="n"/>
      <c r="DQO22" s="1" t="n"/>
      <c r="DQP22" s="1" t="n"/>
      <c r="DQQ22" s="3" t="n"/>
      <c r="DQR22" s="4" t="n"/>
      <c r="DQS22" s="1" t="n"/>
      <c r="DQT22" s="1" t="n"/>
      <c r="DQU22" s="3" t="n"/>
      <c r="DQV22" s="4" t="n"/>
      <c r="DQW22" s="1" t="n"/>
      <c r="DQX22" s="1" t="n"/>
      <c r="DQY22" s="3" t="n"/>
      <c r="DQZ22" s="4" t="n"/>
      <c r="DRA22" s="1" t="n"/>
      <c r="DRB22" s="1" t="n"/>
      <c r="DRC22" s="3" t="n"/>
      <c r="DRD22" s="4" t="n"/>
      <c r="DRE22" s="1" t="n"/>
      <c r="DRF22" s="1" t="n"/>
      <c r="DRG22" s="3" t="n"/>
      <c r="DRH22" s="4" t="n"/>
      <c r="DRI22" s="1" t="n"/>
      <c r="DRJ22" s="1" t="n"/>
      <c r="DRK22" s="3" t="n"/>
      <c r="DRL22" s="4" t="n"/>
      <c r="DRM22" s="1" t="n"/>
      <c r="DRN22" s="1" t="n"/>
      <c r="DRO22" s="3" t="n"/>
      <c r="DRP22" s="4" t="n"/>
      <c r="DRQ22" s="1" t="n"/>
      <c r="DRR22" s="1" t="n"/>
      <c r="DRS22" s="3" t="n"/>
      <c r="DRT22" s="4" t="n"/>
      <c r="DRU22" s="1" t="n"/>
      <c r="DRV22" s="1" t="n"/>
      <c r="DRW22" s="3" t="n"/>
      <c r="DRX22" s="4" t="n"/>
      <c r="DRY22" s="1" t="n"/>
      <c r="DRZ22" s="1" t="n"/>
      <c r="DSA22" s="3" t="n"/>
      <c r="DSB22" s="4" t="n"/>
      <c r="DSC22" s="1" t="n"/>
      <c r="DSD22" s="1" t="n"/>
      <c r="DSE22" s="3" t="n"/>
      <c r="DSF22" s="4" t="n"/>
      <c r="DSG22" s="1" t="n"/>
      <c r="DSH22" s="1" t="n"/>
      <c r="DSI22" s="3" t="n"/>
      <c r="DSJ22" s="4" t="n"/>
      <c r="DSK22" s="1" t="n"/>
      <c r="DSL22" s="1" t="n"/>
      <c r="DSM22" s="3" t="n"/>
      <c r="DSN22" s="4" t="n"/>
      <c r="DSO22" s="1" t="n"/>
      <c r="DSP22" s="1" t="n"/>
      <c r="DSQ22" s="3" t="n"/>
      <c r="DSR22" s="4" t="n"/>
      <c r="DSS22" s="1" t="n"/>
      <c r="DST22" s="1" t="n"/>
      <c r="DSU22" s="3" t="n"/>
      <c r="DSV22" s="4" t="n"/>
      <c r="DSW22" s="1" t="n"/>
      <c r="DSX22" s="1" t="n"/>
      <c r="DSY22" s="3" t="n"/>
      <c r="DSZ22" s="4" t="n"/>
      <c r="DTA22" s="1" t="n"/>
      <c r="DTB22" s="1" t="n"/>
      <c r="DTC22" s="3" t="n"/>
      <c r="DTD22" s="4" t="n"/>
      <c r="DTE22" s="1" t="n"/>
      <c r="DTF22" s="1" t="n"/>
      <c r="DTG22" s="3" t="n"/>
      <c r="DTH22" s="4" t="n"/>
      <c r="DTI22" s="1" t="n"/>
      <c r="DTJ22" s="1" t="n"/>
      <c r="DTK22" s="3" t="n"/>
      <c r="DTL22" s="4" t="n"/>
      <c r="DTM22" s="1" t="n"/>
      <c r="DTN22" s="1" t="n"/>
      <c r="DTO22" s="3" t="n"/>
      <c r="DTP22" s="4" t="n"/>
      <c r="DTQ22" s="1" t="n"/>
      <c r="DTR22" s="1" t="n"/>
      <c r="DTS22" s="3" t="n"/>
      <c r="DTT22" s="4" t="n"/>
      <c r="DTU22" s="1" t="n"/>
      <c r="DTV22" s="1" t="n"/>
      <c r="DTW22" s="3" t="n"/>
      <c r="DTX22" s="4" t="n"/>
      <c r="DTY22" s="1" t="n"/>
      <c r="DTZ22" s="1" t="n"/>
      <c r="DUA22" s="3" t="n"/>
      <c r="DUB22" s="4" t="n"/>
      <c r="DUC22" s="1" t="n"/>
      <c r="DUD22" s="1" t="n"/>
      <c r="DUE22" s="3" t="n"/>
      <c r="DUF22" s="4" t="n"/>
      <c r="DUG22" s="1" t="n"/>
      <c r="DUH22" s="1" t="n"/>
      <c r="DUI22" s="3" t="n"/>
      <c r="DUJ22" s="4" t="n"/>
      <c r="DUK22" s="1" t="n"/>
      <c r="DUL22" s="1" t="n"/>
      <c r="DUM22" s="3" t="n"/>
      <c r="DUN22" s="4" t="n"/>
      <c r="DUO22" s="1" t="n"/>
      <c r="DUP22" s="1" t="n"/>
      <c r="DUQ22" s="3" t="n"/>
      <c r="DUR22" s="4" t="n"/>
      <c r="DUS22" s="1" t="n"/>
      <c r="DUT22" s="1" t="n"/>
      <c r="DUU22" s="3" t="n"/>
      <c r="DUV22" s="4" t="n"/>
      <c r="DUW22" s="1" t="n"/>
      <c r="DUX22" s="1" t="n"/>
      <c r="DUY22" s="3" t="n"/>
      <c r="DUZ22" s="4" t="n"/>
      <c r="DVA22" s="1" t="n"/>
      <c r="DVB22" s="1" t="n"/>
      <c r="DVC22" s="3" t="n"/>
      <c r="DVD22" s="4" t="n"/>
      <c r="DVE22" s="1" t="n"/>
      <c r="DVF22" s="1" t="n"/>
      <c r="DVG22" s="3" t="n"/>
      <c r="DVH22" s="4" t="n"/>
      <c r="DVI22" s="1" t="n"/>
      <c r="DVJ22" s="1" t="n"/>
      <c r="DVK22" s="3" t="n"/>
      <c r="DVL22" s="4" t="n"/>
      <c r="DVM22" s="1" t="n"/>
      <c r="DVN22" s="1" t="n"/>
      <c r="DVO22" s="3" t="n"/>
      <c r="DVP22" s="4" t="n"/>
      <c r="DVQ22" s="1" t="n"/>
      <c r="DVR22" s="1" t="n"/>
      <c r="DVS22" s="3" t="n"/>
      <c r="DVT22" s="4" t="n"/>
      <c r="DVU22" s="1" t="n"/>
      <c r="DVV22" s="1" t="n"/>
      <c r="DVW22" s="3" t="n"/>
      <c r="DVX22" s="4" t="n"/>
      <c r="DVY22" s="1" t="n"/>
      <c r="DVZ22" s="1" t="n"/>
      <c r="DWA22" s="3" t="n"/>
      <c r="DWB22" s="4" t="n"/>
      <c r="DWC22" s="1" t="n"/>
      <c r="DWD22" s="1" t="n"/>
      <c r="DWE22" s="3" t="n"/>
      <c r="DWF22" s="4" t="n"/>
      <c r="DWG22" s="1" t="n"/>
      <c r="DWH22" s="1" t="n"/>
      <c r="DWI22" s="3" t="n"/>
      <c r="DWJ22" s="4" t="n"/>
      <c r="DWK22" s="1" t="n"/>
      <c r="DWL22" s="1" t="n"/>
      <c r="DWM22" s="3" t="n"/>
      <c r="DWN22" s="4" t="n"/>
      <c r="DWO22" s="1" t="n"/>
      <c r="DWP22" s="1" t="n"/>
      <c r="DWQ22" s="3" t="n"/>
      <c r="DWR22" s="4" t="n"/>
      <c r="DWS22" s="1" t="n"/>
      <c r="DWT22" s="1" t="n"/>
      <c r="DWU22" s="3" t="n"/>
      <c r="DWV22" s="4" t="n"/>
      <c r="DWW22" s="1" t="n"/>
      <c r="DWX22" s="1" t="n"/>
      <c r="DWY22" s="3" t="n"/>
      <c r="DWZ22" s="4" t="n"/>
      <c r="DXA22" s="1" t="n"/>
      <c r="DXB22" s="1" t="n"/>
      <c r="DXC22" s="3" t="n"/>
      <c r="DXD22" s="4" t="n"/>
      <c r="DXE22" s="1" t="n"/>
      <c r="DXF22" s="1" t="n"/>
      <c r="DXG22" s="3" t="n"/>
      <c r="DXH22" s="4" t="n"/>
      <c r="DXI22" s="1" t="n"/>
      <c r="DXJ22" s="1" t="n"/>
      <c r="DXK22" s="3" t="n"/>
      <c r="DXL22" s="4" t="n"/>
      <c r="DXM22" s="1" t="n"/>
      <c r="DXN22" s="1" t="n"/>
      <c r="DXO22" s="3" t="n"/>
      <c r="DXP22" s="4" t="n"/>
      <c r="DXQ22" s="1" t="n"/>
      <c r="DXR22" s="1" t="n"/>
      <c r="DXS22" s="3" t="n"/>
      <c r="DXT22" s="4" t="n"/>
      <c r="DXU22" s="1" t="n"/>
      <c r="DXV22" s="1" t="n"/>
      <c r="DXW22" s="3" t="n"/>
      <c r="DXX22" s="4" t="n"/>
      <c r="DXY22" s="1" t="n"/>
      <c r="DXZ22" s="1" t="n"/>
      <c r="DYA22" s="3" t="n"/>
      <c r="DYB22" s="4" t="n"/>
      <c r="DYC22" s="1" t="n"/>
      <c r="DYD22" s="1" t="n"/>
      <c r="DYE22" s="3" t="n"/>
      <c r="DYF22" s="4" t="n"/>
      <c r="DYG22" s="1" t="n"/>
      <c r="DYH22" s="1" t="n"/>
      <c r="DYI22" s="3" t="n"/>
      <c r="DYJ22" s="4" t="n"/>
      <c r="DYK22" s="1" t="n"/>
      <c r="DYL22" s="1" t="n"/>
      <c r="DYM22" s="3" t="n"/>
      <c r="DYN22" s="4" t="n"/>
      <c r="DYO22" s="1" t="n"/>
      <c r="DYP22" s="1" t="n"/>
      <c r="DYQ22" s="3" t="n"/>
      <c r="DYR22" s="4" t="n"/>
      <c r="DYS22" s="1" t="n"/>
      <c r="DYT22" s="1" t="n"/>
      <c r="DYU22" s="3" t="n"/>
      <c r="DYV22" s="4" t="n"/>
      <c r="DYW22" s="1" t="n"/>
      <c r="DYX22" s="1" t="n"/>
      <c r="DYY22" s="3" t="n"/>
      <c r="DYZ22" s="4" t="n"/>
      <c r="DZA22" s="1" t="n"/>
      <c r="DZB22" s="1" t="n"/>
      <c r="DZC22" s="3" t="n"/>
      <c r="DZD22" s="4" t="n"/>
      <c r="DZE22" s="1" t="n"/>
      <c r="DZF22" s="1" t="n"/>
      <c r="DZG22" s="3" t="n"/>
      <c r="DZH22" s="4" t="n"/>
      <c r="DZI22" s="1" t="n"/>
      <c r="DZJ22" s="1" t="n"/>
      <c r="DZK22" s="3" t="n"/>
      <c r="DZL22" s="4" t="n"/>
      <c r="DZM22" s="1" t="n"/>
      <c r="DZN22" s="1" t="n"/>
      <c r="DZO22" s="3" t="n"/>
      <c r="DZP22" s="4" t="n"/>
      <c r="DZQ22" s="1" t="n"/>
      <c r="DZR22" s="1" t="n"/>
      <c r="DZS22" s="3" t="n"/>
      <c r="DZT22" s="4" t="n"/>
      <c r="DZU22" s="1" t="n"/>
      <c r="DZV22" s="1" t="n"/>
      <c r="DZW22" s="3" t="n"/>
      <c r="DZX22" s="4" t="n"/>
      <c r="DZY22" s="1" t="n"/>
      <c r="DZZ22" s="1" t="n"/>
      <c r="EAA22" s="3" t="n"/>
      <c r="EAB22" s="4" t="n"/>
      <c r="EAC22" s="1" t="n"/>
      <c r="EAD22" s="1" t="n"/>
      <c r="EAE22" s="3" t="n"/>
      <c r="EAF22" s="4" t="n"/>
      <c r="EAG22" s="1" t="n"/>
      <c r="EAH22" s="1" t="n"/>
      <c r="EAI22" s="3" t="n"/>
      <c r="EAJ22" s="4" t="n"/>
      <c r="EAK22" s="1" t="n"/>
      <c r="EAL22" s="1" t="n"/>
      <c r="EAM22" s="3" t="n"/>
      <c r="EAN22" s="4" t="n"/>
      <c r="EAO22" s="1" t="n"/>
      <c r="EAP22" s="1" t="n"/>
      <c r="EAQ22" s="3" t="n"/>
      <c r="EAR22" s="4" t="n"/>
      <c r="EAS22" s="1" t="n"/>
      <c r="EAT22" s="1" t="n"/>
      <c r="EAU22" s="3" t="n"/>
      <c r="EAV22" s="4" t="n"/>
      <c r="EAW22" s="1" t="n"/>
      <c r="EAX22" s="1" t="n"/>
      <c r="EAY22" s="3" t="n"/>
      <c r="EAZ22" s="4" t="n"/>
      <c r="EBA22" s="1" t="n"/>
      <c r="EBB22" s="1" t="n"/>
      <c r="EBC22" s="3" t="n"/>
      <c r="EBD22" s="4" t="n"/>
      <c r="EBE22" s="1" t="n"/>
      <c r="EBF22" s="1" t="n"/>
      <c r="EBG22" s="3" t="n"/>
      <c r="EBH22" s="4" t="n"/>
      <c r="EBI22" s="1" t="n"/>
      <c r="EBJ22" s="1" t="n"/>
      <c r="EBK22" s="3" t="n"/>
      <c r="EBL22" s="4" t="n"/>
      <c r="EBM22" s="1" t="n"/>
      <c r="EBN22" s="1" t="n"/>
      <c r="EBO22" s="3" t="n"/>
      <c r="EBP22" s="4" t="n"/>
      <c r="EBQ22" s="1" t="n"/>
      <c r="EBR22" s="1" t="n"/>
      <c r="EBS22" s="3" t="n"/>
      <c r="EBT22" s="4" t="n"/>
      <c r="EBU22" s="1" t="n"/>
      <c r="EBV22" s="1" t="n"/>
      <c r="EBW22" s="3" t="n"/>
      <c r="EBX22" s="4" t="n"/>
      <c r="EBY22" s="1" t="n"/>
      <c r="EBZ22" s="1" t="n"/>
      <c r="ECA22" s="3" t="n"/>
      <c r="ECB22" s="4" t="n"/>
      <c r="ECC22" s="1" t="n"/>
      <c r="ECD22" s="1" t="n"/>
      <c r="ECE22" s="3" t="n"/>
      <c r="ECF22" s="4" t="n"/>
      <c r="ECG22" s="1" t="n"/>
      <c r="ECH22" s="1" t="n"/>
      <c r="ECI22" s="3" t="n"/>
      <c r="ECJ22" s="4" t="n"/>
      <c r="ECK22" s="1" t="n"/>
      <c r="ECL22" s="1" t="n"/>
      <c r="ECM22" s="3" t="n"/>
      <c r="ECN22" s="4" t="n"/>
      <c r="ECO22" s="1" t="n"/>
      <c r="ECP22" s="1" t="n"/>
      <c r="ECQ22" s="3" t="n"/>
      <c r="ECR22" s="4" t="n"/>
      <c r="ECS22" s="1" t="n"/>
      <c r="ECT22" s="1" t="n"/>
      <c r="ECU22" s="3" t="n"/>
      <c r="ECV22" s="4" t="n"/>
      <c r="ECW22" s="1" t="n"/>
      <c r="ECX22" s="1" t="n"/>
      <c r="ECY22" s="3" t="n"/>
      <c r="ECZ22" s="4" t="n"/>
      <c r="EDA22" s="1" t="n"/>
      <c r="EDB22" s="1" t="n"/>
      <c r="EDC22" s="3" t="n"/>
      <c r="EDD22" s="4" t="n"/>
      <c r="EDE22" s="1" t="n"/>
      <c r="EDF22" s="1" t="n"/>
      <c r="EDG22" s="3" t="n"/>
      <c r="EDH22" s="4" t="n"/>
      <c r="EDI22" s="1" t="n"/>
      <c r="EDJ22" s="1" t="n"/>
      <c r="EDK22" s="3" t="n"/>
      <c r="EDL22" s="4" t="n"/>
      <c r="EDM22" s="1" t="n"/>
      <c r="EDN22" s="1" t="n"/>
      <c r="EDO22" s="3" t="n"/>
      <c r="EDP22" s="4" t="n"/>
      <c r="EDQ22" s="1" t="n"/>
      <c r="EDR22" s="1" t="n"/>
      <c r="EDS22" s="3" t="n"/>
      <c r="EDT22" s="4" t="n"/>
      <c r="EDU22" s="1" t="n"/>
      <c r="EDV22" s="1" t="n"/>
      <c r="EDW22" s="3" t="n"/>
      <c r="EDX22" s="4" t="n"/>
      <c r="EDY22" s="1" t="n"/>
      <c r="EDZ22" s="1" t="n"/>
      <c r="EEA22" s="3" t="n"/>
      <c r="EEB22" s="4" t="n"/>
      <c r="EEC22" s="1" t="n"/>
      <c r="EED22" s="1" t="n"/>
      <c r="EEE22" s="3" t="n"/>
      <c r="EEF22" s="4" t="n"/>
      <c r="EEG22" s="1" t="n"/>
      <c r="EEH22" s="1" t="n"/>
      <c r="EEI22" s="3" t="n"/>
      <c r="EEJ22" s="4" t="n"/>
      <c r="EEK22" s="1" t="n"/>
      <c r="EEL22" s="1" t="n"/>
      <c r="EEM22" s="3" t="n"/>
      <c r="EEN22" s="4" t="n"/>
      <c r="EEO22" s="1" t="n"/>
      <c r="EEP22" s="1" t="n"/>
      <c r="EEQ22" s="3" t="n"/>
      <c r="EER22" s="4" t="n"/>
      <c r="EES22" s="1" t="n"/>
      <c r="EET22" s="1" t="n"/>
      <c r="EEU22" s="3" t="n"/>
      <c r="EEV22" s="4" t="n"/>
      <c r="EEW22" s="1" t="n"/>
      <c r="EEX22" s="1" t="n"/>
      <c r="EEY22" s="3" t="n"/>
      <c r="EEZ22" s="4" t="n"/>
      <c r="EFA22" s="1" t="n"/>
      <c r="EFB22" s="1" t="n"/>
      <c r="EFC22" s="3" t="n"/>
      <c r="EFD22" s="4" t="n"/>
      <c r="EFE22" s="1" t="n"/>
      <c r="EFF22" s="1" t="n"/>
      <c r="EFG22" s="3" t="n"/>
      <c r="EFH22" s="4" t="n"/>
      <c r="EFI22" s="1" t="n"/>
      <c r="EFJ22" s="1" t="n"/>
      <c r="EFK22" s="3" t="n"/>
      <c r="EFL22" s="4" t="n"/>
      <c r="EFM22" s="1" t="n"/>
      <c r="EFN22" s="1" t="n"/>
      <c r="EFO22" s="3" t="n"/>
      <c r="EFP22" s="4" t="n"/>
      <c r="EFQ22" s="1" t="n"/>
      <c r="EFR22" s="1" t="n"/>
      <c r="EFS22" s="3" t="n"/>
      <c r="EFT22" s="4" t="n"/>
      <c r="EFU22" s="1" t="n"/>
      <c r="EFV22" s="1" t="n"/>
      <c r="EFW22" s="3" t="n"/>
      <c r="EFX22" s="4" t="n"/>
      <c r="EFY22" s="1" t="n"/>
      <c r="EFZ22" s="1" t="n"/>
      <c r="EGA22" s="3" t="n"/>
      <c r="EGB22" s="4" t="n"/>
      <c r="EGC22" s="1" t="n"/>
      <c r="EGD22" s="1" t="n"/>
      <c r="EGE22" s="3" t="n"/>
      <c r="EGF22" s="4" t="n"/>
      <c r="EGG22" s="1" t="n"/>
      <c r="EGH22" s="1" t="n"/>
      <c r="EGI22" s="3" t="n"/>
      <c r="EGJ22" s="4" t="n"/>
      <c r="EGK22" s="1" t="n"/>
      <c r="EGL22" s="1" t="n"/>
      <c r="EGM22" s="3" t="n"/>
      <c r="EGN22" s="4" t="n"/>
      <c r="EGO22" s="1" t="n"/>
      <c r="EGP22" s="1" t="n"/>
      <c r="EGQ22" s="3" t="n"/>
      <c r="EGR22" s="4" t="n"/>
      <c r="EGS22" s="1" t="n"/>
      <c r="EGT22" s="1" t="n"/>
      <c r="EGU22" s="3" t="n"/>
      <c r="EGV22" s="4" t="n"/>
      <c r="EGW22" s="1" t="n"/>
      <c r="EGX22" s="1" t="n"/>
      <c r="EGY22" s="3" t="n"/>
      <c r="EGZ22" s="4" t="n"/>
      <c r="EHA22" s="1" t="n"/>
      <c r="EHB22" s="1" t="n"/>
      <c r="EHC22" s="3" t="n"/>
      <c r="EHD22" s="4" t="n"/>
      <c r="EHE22" s="1" t="n"/>
      <c r="EHF22" s="1" t="n"/>
      <c r="EHG22" s="3" t="n"/>
      <c r="EHH22" s="4" t="n"/>
      <c r="EHI22" s="1" t="n"/>
      <c r="EHJ22" s="1" t="n"/>
      <c r="EHK22" s="3" t="n"/>
      <c r="EHL22" s="4" t="n"/>
      <c r="EHM22" s="1" t="n"/>
      <c r="EHN22" s="1" t="n"/>
      <c r="EHO22" s="3" t="n"/>
      <c r="EHP22" s="4" t="n"/>
      <c r="EHQ22" s="1" t="n"/>
      <c r="EHR22" s="1" t="n"/>
      <c r="EHS22" s="3" t="n"/>
      <c r="EHT22" s="4" t="n"/>
      <c r="EHU22" s="1" t="n"/>
      <c r="EHV22" s="1" t="n"/>
      <c r="EHW22" s="3" t="n"/>
      <c r="EHX22" s="4" t="n"/>
      <c r="EHY22" s="1" t="n"/>
      <c r="EHZ22" s="1" t="n"/>
      <c r="EIA22" s="3" t="n"/>
      <c r="EIB22" s="4" t="n"/>
      <c r="EIC22" s="1" t="n"/>
      <c r="EID22" s="1" t="n"/>
      <c r="EIE22" s="3" t="n"/>
      <c r="EIF22" s="4" t="n"/>
      <c r="EIG22" s="1" t="n"/>
      <c r="EIH22" s="1" t="n"/>
      <c r="EII22" s="3" t="n"/>
      <c r="EIJ22" s="4" t="n"/>
      <c r="EIK22" s="1" t="n"/>
      <c r="EIL22" s="1" t="n"/>
      <c r="EIM22" s="3" t="n"/>
      <c r="EIN22" s="4" t="n"/>
      <c r="EIO22" s="1" t="n"/>
      <c r="EIP22" s="1" t="n"/>
      <c r="EIQ22" s="3" t="n"/>
      <c r="EIR22" s="4" t="n"/>
      <c r="EIS22" s="1" t="n"/>
      <c r="EIT22" s="1" t="n"/>
      <c r="EIU22" s="3" t="n"/>
      <c r="EIV22" s="4" t="n"/>
      <c r="EIW22" s="1" t="n"/>
      <c r="EIX22" s="1" t="n"/>
      <c r="EIY22" s="3" t="n"/>
      <c r="EIZ22" s="4" t="n"/>
      <c r="EJA22" s="1" t="n"/>
      <c r="EJB22" s="1" t="n"/>
      <c r="EJC22" s="3" t="n"/>
      <c r="EJD22" s="4" t="n"/>
      <c r="EJE22" s="1" t="n"/>
      <c r="EJF22" s="1" t="n"/>
      <c r="EJG22" s="3" t="n"/>
      <c r="EJH22" s="4" t="n"/>
      <c r="EJI22" s="1" t="n"/>
      <c r="EJJ22" s="1" t="n"/>
      <c r="EJK22" s="3" t="n"/>
      <c r="EJL22" s="4" t="n"/>
      <c r="EJM22" s="1" t="n"/>
      <c r="EJN22" s="1" t="n"/>
      <c r="EJO22" s="3" t="n"/>
      <c r="EJP22" s="4" t="n"/>
      <c r="EJQ22" s="1" t="n"/>
      <c r="EJR22" s="1" t="n"/>
      <c r="EJS22" s="3" t="n"/>
      <c r="EJT22" s="4" t="n"/>
      <c r="EJU22" s="1" t="n"/>
      <c r="EJV22" s="1" t="n"/>
      <c r="EJW22" s="3" t="n"/>
      <c r="EJX22" s="4" t="n"/>
      <c r="EJY22" s="1" t="n"/>
      <c r="EJZ22" s="1" t="n"/>
      <c r="EKA22" s="3" t="n"/>
      <c r="EKB22" s="4" t="n"/>
      <c r="EKC22" s="1" t="n"/>
      <c r="EKD22" s="1" t="n"/>
      <c r="EKE22" s="3" t="n"/>
      <c r="EKF22" s="4" t="n"/>
      <c r="EKG22" s="1" t="n"/>
      <c r="EKH22" s="1" t="n"/>
      <c r="EKI22" s="3" t="n"/>
      <c r="EKJ22" s="4" t="n"/>
      <c r="EKK22" s="1" t="n"/>
      <c r="EKL22" s="1" t="n"/>
      <c r="EKM22" s="3" t="n"/>
      <c r="EKN22" s="4" t="n"/>
      <c r="EKO22" s="1" t="n"/>
      <c r="EKP22" s="1" t="n"/>
      <c r="EKQ22" s="3" t="n"/>
      <c r="EKR22" s="4" t="n"/>
      <c r="EKS22" s="1" t="n"/>
      <c r="EKT22" s="1" t="n"/>
      <c r="EKU22" s="3" t="n"/>
      <c r="EKV22" s="4" t="n"/>
      <c r="EKW22" s="1" t="n"/>
      <c r="EKX22" s="1" t="n"/>
      <c r="EKY22" s="3" t="n"/>
      <c r="EKZ22" s="4" t="n"/>
      <c r="ELA22" s="1" t="n"/>
      <c r="ELB22" s="1" t="n"/>
      <c r="ELC22" s="3" t="n"/>
      <c r="ELD22" s="4" t="n"/>
      <c r="ELE22" s="1" t="n"/>
      <c r="ELF22" s="1" t="n"/>
      <c r="ELG22" s="3" t="n"/>
      <c r="ELH22" s="4" t="n"/>
      <c r="ELI22" s="1" t="n"/>
      <c r="ELJ22" s="1" t="n"/>
      <c r="ELK22" s="3" t="n"/>
      <c r="ELL22" s="4" t="n"/>
      <c r="ELM22" s="1" t="n"/>
      <c r="ELN22" s="1" t="n"/>
      <c r="ELO22" s="3" t="n"/>
      <c r="ELP22" s="4" t="n"/>
      <c r="ELQ22" s="1" t="n"/>
      <c r="ELR22" s="1" t="n"/>
      <c r="ELS22" s="3" t="n"/>
      <c r="ELT22" s="4" t="n"/>
      <c r="ELU22" s="1" t="n"/>
      <c r="ELV22" s="1" t="n"/>
      <c r="ELW22" s="3" t="n"/>
      <c r="ELX22" s="4" t="n"/>
      <c r="ELY22" s="1" t="n"/>
      <c r="ELZ22" s="1" t="n"/>
      <c r="EMA22" s="3" t="n"/>
      <c r="EMB22" s="4" t="n"/>
      <c r="EMC22" s="1" t="n"/>
      <c r="EMD22" s="1" t="n"/>
      <c r="EME22" s="3" t="n"/>
      <c r="EMF22" s="4" t="n"/>
      <c r="EMG22" s="1" t="n"/>
      <c r="EMH22" s="1" t="n"/>
      <c r="EMI22" s="3" t="n"/>
      <c r="EMJ22" s="4" t="n"/>
      <c r="EMK22" s="1" t="n"/>
      <c r="EML22" s="1" t="n"/>
      <c r="EMM22" s="3" t="n"/>
      <c r="EMN22" s="4" t="n"/>
      <c r="EMO22" s="1" t="n"/>
      <c r="EMP22" s="1" t="n"/>
      <c r="EMQ22" s="3" t="n"/>
      <c r="EMR22" s="4" t="n"/>
      <c r="EMS22" s="1" t="n"/>
      <c r="EMT22" s="1" t="n"/>
      <c r="EMU22" s="3" t="n"/>
      <c r="EMV22" s="4" t="n"/>
      <c r="EMW22" s="1" t="n"/>
      <c r="EMX22" s="1" t="n"/>
      <c r="EMY22" s="3" t="n"/>
      <c r="EMZ22" s="4" t="n"/>
      <c r="ENA22" s="1" t="n"/>
      <c r="ENB22" s="1" t="n"/>
      <c r="ENC22" s="3" t="n"/>
      <c r="END22" s="4" t="n"/>
      <c r="ENE22" s="1" t="n"/>
      <c r="ENF22" s="1" t="n"/>
      <c r="ENG22" s="3" t="n"/>
      <c r="ENH22" s="4" t="n"/>
      <c r="ENI22" s="1" t="n"/>
      <c r="ENJ22" s="1" t="n"/>
      <c r="ENK22" s="3" t="n"/>
      <c r="ENL22" s="4" t="n"/>
      <c r="ENM22" s="1" t="n"/>
      <c r="ENN22" s="1" t="n"/>
      <c r="ENO22" s="3" t="n"/>
      <c r="ENP22" s="4" t="n"/>
      <c r="ENQ22" s="1" t="n"/>
      <c r="ENR22" s="1" t="n"/>
      <c r="ENS22" s="3" t="n"/>
      <c r="ENT22" s="4" t="n"/>
      <c r="ENU22" s="1" t="n"/>
      <c r="ENV22" s="1" t="n"/>
      <c r="ENW22" s="3" t="n"/>
      <c r="ENX22" s="4" t="n"/>
      <c r="ENY22" s="1" t="n"/>
      <c r="ENZ22" s="1" t="n"/>
      <c r="EOA22" s="3" t="n"/>
      <c r="EOB22" s="4" t="n"/>
      <c r="EOC22" s="1" t="n"/>
      <c r="EOD22" s="1" t="n"/>
      <c r="EOE22" s="3" t="n"/>
      <c r="EOF22" s="4" t="n"/>
      <c r="EOG22" s="1" t="n"/>
      <c r="EOH22" s="1" t="n"/>
      <c r="EOI22" s="3" t="n"/>
      <c r="EOJ22" s="4" t="n"/>
      <c r="EOK22" s="1" t="n"/>
      <c r="EOL22" s="1" t="n"/>
      <c r="EOM22" s="3" t="n"/>
      <c r="EON22" s="4" t="n"/>
      <c r="EOO22" s="1" t="n"/>
      <c r="EOP22" s="1" t="n"/>
      <c r="EOQ22" s="3" t="n"/>
      <c r="EOR22" s="4" t="n"/>
      <c r="EOS22" s="1" t="n"/>
      <c r="EOT22" s="1" t="n"/>
      <c r="EOU22" s="3" t="n"/>
      <c r="EOV22" s="4" t="n"/>
      <c r="EOW22" s="1" t="n"/>
      <c r="EOX22" s="1" t="n"/>
      <c r="EOY22" s="3" t="n"/>
      <c r="EOZ22" s="4" t="n"/>
      <c r="EPA22" s="1" t="n"/>
      <c r="EPB22" s="1" t="n"/>
      <c r="EPC22" s="3" t="n"/>
      <c r="EPD22" s="4" t="n"/>
      <c r="EPE22" s="1" t="n"/>
      <c r="EPF22" s="1" t="n"/>
      <c r="EPG22" s="3" t="n"/>
      <c r="EPH22" s="4" t="n"/>
      <c r="EPI22" s="1" t="n"/>
      <c r="EPJ22" s="1" t="n"/>
      <c r="EPK22" s="3" t="n"/>
      <c r="EPL22" s="4" t="n"/>
      <c r="EPM22" s="1" t="n"/>
      <c r="EPN22" s="1" t="n"/>
      <c r="EPO22" s="3" t="n"/>
      <c r="EPP22" s="4" t="n"/>
      <c r="EPQ22" s="1" t="n"/>
      <c r="EPR22" s="1" t="n"/>
      <c r="EPS22" s="3" t="n"/>
      <c r="EPT22" s="4" t="n"/>
      <c r="EPU22" s="1" t="n"/>
      <c r="EPV22" s="1" t="n"/>
      <c r="EPW22" s="3" t="n"/>
      <c r="EPX22" s="4" t="n"/>
      <c r="EPY22" s="1" t="n"/>
      <c r="EPZ22" s="1" t="n"/>
      <c r="EQA22" s="3" t="n"/>
      <c r="EQB22" s="4" t="n"/>
      <c r="EQC22" s="1" t="n"/>
      <c r="EQD22" s="1" t="n"/>
      <c r="EQE22" s="3" t="n"/>
      <c r="EQF22" s="4" t="n"/>
      <c r="EQG22" s="1" t="n"/>
      <c r="EQH22" s="1" t="n"/>
      <c r="EQI22" s="3" t="n"/>
      <c r="EQJ22" s="4" t="n"/>
      <c r="EQK22" s="1" t="n"/>
      <c r="EQL22" s="1" t="n"/>
      <c r="EQM22" s="3" t="n"/>
      <c r="EQN22" s="4" t="n"/>
      <c r="EQO22" s="1" t="n"/>
      <c r="EQP22" s="1" t="n"/>
      <c r="EQQ22" s="3" t="n"/>
      <c r="EQR22" s="4" t="n"/>
      <c r="EQS22" s="1" t="n"/>
      <c r="EQT22" s="1" t="n"/>
      <c r="EQU22" s="3" t="n"/>
      <c r="EQV22" s="4" t="n"/>
      <c r="EQW22" s="1" t="n"/>
      <c r="EQX22" s="1" t="n"/>
      <c r="EQY22" s="3" t="n"/>
      <c r="EQZ22" s="4" t="n"/>
      <c r="ERA22" s="1" t="n"/>
      <c r="ERB22" s="1" t="n"/>
      <c r="ERC22" s="3" t="n"/>
      <c r="ERD22" s="4" t="n"/>
      <c r="ERE22" s="1" t="n"/>
      <c r="ERF22" s="1" t="n"/>
      <c r="ERG22" s="3" t="n"/>
      <c r="ERH22" s="4" t="n"/>
      <c r="ERI22" s="1" t="n"/>
      <c r="ERJ22" s="1" t="n"/>
      <c r="ERK22" s="3" t="n"/>
      <c r="ERL22" s="4" t="n"/>
      <c r="ERM22" s="1" t="n"/>
      <c r="ERN22" s="1" t="n"/>
      <c r="ERO22" s="3" t="n"/>
      <c r="ERP22" s="4" t="n"/>
      <c r="ERQ22" s="1" t="n"/>
      <c r="ERR22" s="1" t="n"/>
      <c r="ERS22" s="3" t="n"/>
      <c r="ERT22" s="4" t="n"/>
      <c r="ERU22" s="1" t="n"/>
      <c r="ERV22" s="1" t="n"/>
      <c r="ERW22" s="3" t="n"/>
      <c r="ERX22" s="4" t="n"/>
      <c r="ERY22" s="1" t="n"/>
      <c r="ERZ22" s="1" t="n"/>
      <c r="ESA22" s="3" t="n"/>
      <c r="ESB22" s="4" t="n"/>
      <c r="ESC22" s="1" t="n"/>
      <c r="ESD22" s="1" t="n"/>
      <c r="ESE22" s="3" t="n"/>
      <c r="ESF22" s="4" t="n"/>
      <c r="ESG22" s="1" t="n"/>
      <c r="ESH22" s="1" t="n"/>
      <c r="ESI22" s="3" t="n"/>
      <c r="ESJ22" s="4" t="n"/>
      <c r="ESK22" s="1" t="n"/>
      <c r="ESL22" s="1" t="n"/>
      <c r="ESM22" s="3" t="n"/>
      <c r="ESN22" s="4" t="n"/>
      <c r="ESO22" s="1" t="n"/>
      <c r="ESP22" s="1" t="n"/>
      <c r="ESQ22" s="3" t="n"/>
      <c r="ESR22" s="4" t="n"/>
      <c r="ESS22" s="1" t="n"/>
      <c r="EST22" s="1" t="n"/>
      <c r="ESU22" s="3" t="n"/>
      <c r="ESV22" s="4" t="n"/>
      <c r="ESW22" s="1" t="n"/>
      <c r="ESX22" s="1" t="n"/>
      <c r="ESY22" s="3" t="n"/>
      <c r="ESZ22" s="4" t="n"/>
      <c r="ETA22" s="1" t="n"/>
      <c r="ETB22" s="1" t="n"/>
      <c r="ETC22" s="3" t="n"/>
      <c r="ETD22" s="4" t="n"/>
      <c r="ETE22" s="1" t="n"/>
      <c r="ETF22" s="1" t="n"/>
      <c r="ETG22" s="3" t="n"/>
      <c r="ETH22" s="4" t="n"/>
      <c r="ETI22" s="1" t="n"/>
      <c r="ETJ22" s="1" t="n"/>
      <c r="ETK22" s="3" t="n"/>
      <c r="ETL22" s="4" t="n"/>
      <c r="ETM22" s="1" t="n"/>
      <c r="ETN22" s="1" t="n"/>
      <c r="ETO22" s="3" t="n"/>
      <c r="ETP22" s="4" t="n"/>
      <c r="ETQ22" s="1" t="n"/>
      <c r="ETR22" s="1" t="n"/>
      <c r="ETS22" s="3" t="n"/>
      <c r="ETT22" s="4" t="n"/>
      <c r="ETU22" s="1" t="n"/>
      <c r="ETV22" s="1" t="n"/>
      <c r="ETW22" s="3" t="n"/>
      <c r="ETX22" s="4" t="n"/>
      <c r="ETY22" s="1" t="n"/>
      <c r="ETZ22" s="1" t="n"/>
      <c r="EUA22" s="3" t="n"/>
      <c r="EUB22" s="4" t="n"/>
      <c r="EUC22" s="1" t="n"/>
      <c r="EUD22" s="1" t="n"/>
      <c r="EUE22" s="3" t="n"/>
      <c r="EUF22" s="4" t="n"/>
      <c r="EUG22" s="1" t="n"/>
      <c r="EUH22" s="1" t="n"/>
      <c r="EUI22" s="3" t="n"/>
      <c r="EUJ22" s="4" t="n"/>
      <c r="EUK22" s="1" t="n"/>
      <c r="EUL22" s="1" t="n"/>
      <c r="EUM22" s="3" t="n"/>
      <c r="EUN22" s="4" t="n"/>
      <c r="EUO22" s="1" t="n"/>
      <c r="EUP22" s="1" t="n"/>
      <c r="EUQ22" s="3" t="n"/>
      <c r="EUR22" s="4" t="n"/>
      <c r="EUS22" s="1" t="n"/>
      <c r="EUT22" s="1" t="n"/>
      <c r="EUU22" s="3" t="n"/>
      <c r="EUV22" s="4" t="n"/>
      <c r="EUW22" s="1" t="n"/>
      <c r="EUX22" s="1" t="n"/>
      <c r="EUY22" s="3" t="n"/>
      <c r="EUZ22" s="4" t="n"/>
      <c r="EVA22" s="1" t="n"/>
      <c r="EVB22" s="1" t="n"/>
      <c r="EVC22" s="3" t="n"/>
      <c r="EVD22" s="4" t="n"/>
      <c r="EVE22" s="1" t="n"/>
      <c r="EVF22" s="1" t="n"/>
      <c r="EVG22" s="3" t="n"/>
      <c r="EVH22" s="4" t="n"/>
      <c r="EVI22" s="1" t="n"/>
      <c r="EVJ22" s="1" t="n"/>
      <c r="EVK22" s="3" t="n"/>
      <c r="EVL22" s="4" t="n"/>
      <c r="EVM22" s="1" t="n"/>
      <c r="EVN22" s="1" t="n"/>
      <c r="EVO22" s="3" t="n"/>
      <c r="EVP22" s="4" t="n"/>
      <c r="EVQ22" s="1" t="n"/>
      <c r="EVR22" s="1" t="n"/>
      <c r="EVS22" s="3" t="n"/>
      <c r="EVT22" s="4" t="n"/>
      <c r="EVU22" s="1" t="n"/>
      <c r="EVV22" s="1" t="n"/>
      <c r="EVW22" s="3" t="n"/>
      <c r="EVX22" s="4" t="n"/>
      <c r="EVY22" s="1" t="n"/>
      <c r="EVZ22" s="1" t="n"/>
      <c r="EWA22" s="3" t="n"/>
      <c r="EWB22" s="4" t="n"/>
      <c r="EWC22" s="1" t="n"/>
      <c r="EWD22" s="1" t="n"/>
      <c r="EWE22" s="3" t="n"/>
      <c r="EWF22" s="4" t="n"/>
      <c r="EWG22" s="1" t="n"/>
      <c r="EWH22" s="1" t="n"/>
      <c r="EWI22" s="3" t="n"/>
      <c r="EWJ22" s="4" t="n"/>
      <c r="EWK22" s="1" t="n"/>
      <c r="EWL22" s="1" t="n"/>
      <c r="EWM22" s="3" t="n"/>
      <c r="EWN22" s="4" t="n"/>
      <c r="EWO22" s="1" t="n"/>
      <c r="EWP22" s="1" t="n"/>
      <c r="EWQ22" s="3" t="n"/>
      <c r="EWR22" s="4" t="n"/>
      <c r="EWS22" s="1" t="n"/>
      <c r="EWT22" s="1" t="n"/>
      <c r="EWU22" s="3" t="n"/>
      <c r="EWV22" s="4" t="n"/>
      <c r="EWW22" s="1" t="n"/>
      <c r="EWX22" s="1" t="n"/>
      <c r="EWY22" s="3" t="n"/>
      <c r="EWZ22" s="4" t="n"/>
      <c r="EXA22" s="1" t="n"/>
      <c r="EXB22" s="1" t="n"/>
      <c r="EXC22" s="3" t="n"/>
      <c r="EXD22" s="4" t="n"/>
      <c r="EXE22" s="1" t="n"/>
      <c r="EXF22" s="1" t="n"/>
      <c r="EXG22" s="3" t="n"/>
      <c r="EXH22" s="4" t="n"/>
      <c r="EXI22" s="1" t="n"/>
      <c r="EXJ22" s="1" t="n"/>
      <c r="EXK22" s="3" t="n"/>
      <c r="EXL22" s="4" t="n"/>
      <c r="EXM22" s="1" t="n"/>
      <c r="EXN22" s="1" t="n"/>
      <c r="EXO22" s="3" t="n"/>
      <c r="EXP22" s="4" t="n"/>
      <c r="EXQ22" s="1" t="n"/>
      <c r="EXR22" s="1" t="n"/>
      <c r="EXS22" s="3" t="n"/>
      <c r="EXT22" s="4" t="n"/>
      <c r="EXU22" s="1" t="n"/>
      <c r="EXV22" s="1" t="n"/>
      <c r="EXW22" s="3" t="n"/>
      <c r="EXX22" s="4" t="n"/>
      <c r="EXY22" s="1" t="n"/>
      <c r="EXZ22" s="1" t="n"/>
      <c r="EYA22" s="3" t="n"/>
      <c r="EYB22" s="4" t="n"/>
      <c r="EYC22" s="1" t="n"/>
      <c r="EYD22" s="1" t="n"/>
      <c r="EYE22" s="3" t="n"/>
      <c r="EYF22" s="4" t="n"/>
      <c r="EYG22" s="1" t="n"/>
      <c r="EYH22" s="1" t="n"/>
      <c r="EYI22" s="3" t="n"/>
      <c r="EYJ22" s="4" t="n"/>
      <c r="EYK22" s="1" t="n"/>
      <c r="EYL22" s="1" t="n"/>
      <c r="EYM22" s="3" t="n"/>
      <c r="EYN22" s="4" t="n"/>
      <c r="EYO22" s="1" t="n"/>
      <c r="EYP22" s="1" t="n"/>
      <c r="EYQ22" s="3" t="n"/>
      <c r="EYR22" s="4" t="n"/>
      <c r="EYS22" s="1" t="n"/>
      <c r="EYT22" s="1" t="n"/>
      <c r="EYU22" s="3" t="n"/>
      <c r="EYV22" s="4" t="n"/>
      <c r="EYW22" s="1" t="n"/>
      <c r="EYX22" s="1" t="n"/>
      <c r="EYY22" s="3" t="n"/>
      <c r="EYZ22" s="4" t="n"/>
      <c r="EZA22" s="1" t="n"/>
      <c r="EZB22" s="1" t="n"/>
      <c r="EZC22" s="3" t="n"/>
      <c r="EZD22" s="4" t="n"/>
      <c r="EZE22" s="1" t="n"/>
      <c r="EZF22" s="1" t="n"/>
      <c r="EZG22" s="3" t="n"/>
      <c r="EZH22" s="4" t="n"/>
      <c r="EZI22" s="1" t="n"/>
      <c r="EZJ22" s="1" t="n"/>
      <c r="EZK22" s="3" t="n"/>
      <c r="EZL22" s="4" t="n"/>
      <c r="EZM22" s="1" t="n"/>
      <c r="EZN22" s="1" t="n"/>
      <c r="EZO22" s="3" t="n"/>
      <c r="EZP22" s="4" t="n"/>
      <c r="EZQ22" s="1" t="n"/>
      <c r="EZR22" s="1" t="n"/>
      <c r="EZS22" s="3" t="n"/>
      <c r="EZT22" s="4" t="n"/>
      <c r="EZU22" s="1" t="n"/>
      <c r="EZV22" s="1" t="n"/>
      <c r="EZW22" s="3" t="n"/>
      <c r="EZX22" s="4" t="n"/>
      <c r="EZY22" s="1" t="n"/>
      <c r="EZZ22" s="1" t="n"/>
      <c r="FAA22" s="3" t="n"/>
      <c r="FAB22" s="4" t="n"/>
      <c r="FAC22" s="1" t="n"/>
      <c r="FAD22" s="1" t="n"/>
      <c r="FAE22" s="3" t="n"/>
      <c r="FAF22" s="4" t="n"/>
      <c r="FAG22" s="1" t="n"/>
      <c r="FAH22" s="1" t="n"/>
      <c r="FAI22" s="3" t="n"/>
      <c r="FAJ22" s="4" t="n"/>
      <c r="FAK22" s="1" t="n"/>
      <c r="FAL22" s="1" t="n"/>
      <c r="FAM22" s="3" t="n"/>
      <c r="FAN22" s="4" t="n"/>
      <c r="FAO22" s="1" t="n"/>
      <c r="FAP22" s="1" t="n"/>
      <c r="FAQ22" s="3" t="n"/>
      <c r="FAR22" s="4" t="n"/>
      <c r="FAS22" s="1" t="n"/>
      <c r="FAT22" s="1" t="n"/>
      <c r="FAU22" s="3" t="n"/>
      <c r="FAV22" s="4" t="n"/>
      <c r="FAW22" s="1" t="n"/>
      <c r="FAX22" s="1" t="n"/>
      <c r="FAY22" s="3" t="n"/>
      <c r="FAZ22" s="4" t="n"/>
      <c r="FBA22" s="1" t="n"/>
      <c r="FBB22" s="1" t="n"/>
      <c r="FBC22" s="3" t="n"/>
      <c r="FBD22" s="4" t="n"/>
      <c r="FBE22" s="1" t="n"/>
      <c r="FBF22" s="1" t="n"/>
      <c r="FBG22" s="3" t="n"/>
      <c r="FBH22" s="4" t="n"/>
      <c r="FBI22" s="1" t="n"/>
      <c r="FBJ22" s="1" t="n"/>
      <c r="FBK22" s="3" t="n"/>
      <c r="FBL22" s="4" t="n"/>
      <c r="FBM22" s="1" t="n"/>
      <c r="FBN22" s="1" t="n"/>
      <c r="FBO22" s="3" t="n"/>
      <c r="FBP22" s="4" t="n"/>
      <c r="FBQ22" s="1" t="n"/>
      <c r="FBR22" s="1" t="n"/>
      <c r="FBS22" s="3" t="n"/>
      <c r="FBT22" s="4" t="n"/>
      <c r="FBU22" s="1" t="n"/>
      <c r="FBV22" s="1" t="n"/>
      <c r="FBW22" s="3" t="n"/>
      <c r="FBX22" s="4" t="n"/>
      <c r="FBY22" s="1" t="n"/>
      <c r="FBZ22" s="1" t="n"/>
      <c r="FCA22" s="3" t="n"/>
      <c r="FCB22" s="4" t="n"/>
      <c r="FCC22" s="1" t="n"/>
      <c r="FCD22" s="1" t="n"/>
      <c r="FCE22" s="3" t="n"/>
      <c r="FCF22" s="4" t="n"/>
      <c r="FCG22" s="1" t="n"/>
      <c r="FCH22" s="1" t="n"/>
      <c r="FCI22" s="3" t="n"/>
      <c r="FCJ22" s="4" t="n"/>
      <c r="FCK22" s="1" t="n"/>
      <c r="FCL22" s="1" t="n"/>
      <c r="FCM22" s="3" t="n"/>
      <c r="FCN22" s="4" t="n"/>
      <c r="FCO22" s="1" t="n"/>
      <c r="FCP22" s="1" t="n"/>
      <c r="FCQ22" s="3" t="n"/>
      <c r="FCR22" s="4" t="n"/>
      <c r="FCS22" s="1" t="n"/>
      <c r="FCT22" s="1" t="n"/>
      <c r="FCU22" s="3" t="n"/>
      <c r="FCV22" s="4" t="n"/>
      <c r="FCW22" s="1" t="n"/>
      <c r="FCX22" s="1" t="n"/>
      <c r="FCY22" s="3" t="n"/>
      <c r="FCZ22" s="4" t="n"/>
      <c r="FDA22" s="1" t="n"/>
      <c r="FDB22" s="1" t="n"/>
      <c r="FDC22" s="3" t="n"/>
      <c r="FDD22" s="4" t="n"/>
      <c r="FDE22" s="1" t="n"/>
      <c r="FDF22" s="1" t="n"/>
      <c r="FDG22" s="3" t="n"/>
      <c r="FDH22" s="4" t="n"/>
      <c r="FDI22" s="1" t="n"/>
      <c r="FDJ22" s="1" t="n"/>
      <c r="FDK22" s="3" t="n"/>
      <c r="FDL22" s="4" t="n"/>
      <c r="FDM22" s="1" t="n"/>
      <c r="FDN22" s="1" t="n"/>
      <c r="FDO22" s="3" t="n"/>
      <c r="FDP22" s="4" t="n"/>
      <c r="FDQ22" s="1" t="n"/>
      <c r="FDR22" s="1" t="n"/>
      <c r="FDS22" s="3" t="n"/>
      <c r="FDT22" s="4" t="n"/>
      <c r="FDU22" s="1" t="n"/>
      <c r="FDV22" s="1" t="n"/>
      <c r="FDW22" s="3" t="n"/>
      <c r="FDX22" s="4" t="n"/>
      <c r="FDY22" s="1" t="n"/>
      <c r="FDZ22" s="1" t="n"/>
      <c r="FEA22" s="3" t="n"/>
      <c r="FEB22" s="4" t="n"/>
      <c r="FEC22" s="1" t="n"/>
      <c r="FED22" s="1" t="n"/>
      <c r="FEE22" s="3" t="n"/>
      <c r="FEF22" s="4" t="n"/>
      <c r="FEG22" s="1" t="n"/>
      <c r="FEH22" s="1" t="n"/>
      <c r="FEI22" s="3" t="n"/>
      <c r="FEJ22" s="4" t="n"/>
      <c r="FEK22" s="1" t="n"/>
      <c r="FEL22" s="1" t="n"/>
      <c r="FEM22" s="3" t="n"/>
      <c r="FEN22" s="4" t="n"/>
      <c r="FEO22" s="1" t="n"/>
      <c r="FEP22" s="1" t="n"/>
      <c r="FEQ22" s="3" t="n"/>
      <c r="FER22" s="4" t="n"/>
      <c r="FES22" s="1" t="n"/>
      <c r="FET22" s="1" t="n"/>
      <c r="FEU22" s="3" t="n"/>
      <c r="FEV22" s="4" t="n"/>
      <c r="FEW22" s="1" t="n"/>
      <c r="FEX22" s="1" t="n"/>
      <c r="FEY22" s="3" t="n"/>
      <c r="FEZ22" s="4" t="n"/>
      <c r="FFA22" s="1" t="n"/>
      <c r="FFB22" s="1" t="n"/>
      <c r="FFC22" s="3" t="n"/>
      <c r="FFD22" s="4" t="n"/>
      <c r="FFE22" s="1" t="n"/>
      <c r="FFF22" s="1" t="n"/>
      <c r="FFG22" s="3" t="n"/>
      <c r="FFH22" s="4" t="n"/>
      <c r="FFI22" s="1" t="n"/>
      <c r="FFJ22" s="1" t="n"/>
      <c r="FFK22" s="3" t="n"/>
      <c r="FFL22" s="4" t="n"/>
      <c r="FFM22" s="1" t="n"/>
      <c r="FFN22" s="1" t="n"/>
      <c r="FFO22" s="3" t="n"/>
      <c r="FFP22" s="4" t="n"/>
      <c r="FFQ22" s="1" t="n"/>
      <c r="FFR22" s="1" t="n"/>
      <c r="FFS22" s="3" t="n"/>
      <c r="FFT22" s="4" t="n"/>
      <c r="FFU22" s="1" t="n"/>
      <c r="FFV22" s="1" t="n"/>
      <c r="FFW22" s="3" t="n"/>
      <c r="FFX22" s="4" t="n"/>
      <c r="FFY22" s="1" t="n"/>
      <c r="FFZ22" s="1" t="n"/>
      <c r="FGA22" s="3" t="n"/>
      <c r="FGB22" s="4" t="n"/>
      <c r="FGC22" s="1" t="n"/>
      <c r="FGD22" s="1" t="n"/>
      <c r="FGE22" s="3" t="n"/>
      <c r="FGF22" s="4" t="n"/>
      <c r="FGG22" s="1" t="n"/>
      <c r="FGH22" s="1" t="n"/>
      <c r="FGI22" s="3" t="n"/>
      <c r="FGJ22" s="4" t="n"/>
      <c r="FGK22" s="1" t="n"/>
      <c r="FGL22" s="1" t="n"/>
      <c r="FGM22" s="3" t="n"/>
      <c r="FGN22" s="4" t="n"/>
      <c r="FGO22" s="1" t="n"/>
      <c r="FGP22" s="1" t="n"/>
      <c r="FGQ22" s="3" t="n"/>
      <c r="FGR22" s="4" t="n"/>
      <c r="FGS22" s="1" t="n"/>
      <c r="FGT22" s="1" t="n"/>
      <c r="FGU22" s="3" t="n"/>
      <c r="FGV22" s="4" t="n"/>
      <c r="FGW22" s="1" t="n"/>
      <c r="FGX22" s="1" t="n"/>
      <c r="FGY22" s="3" t="n"/>
      <c r="FGZ22" s="4" t="n"/>
      <c r="FHA22" s="1" t="n"/>
      <c r="FHB22" s="1" t="n"/>
      <c r="FHC22" s="3" t="n"/>
      <c r="FHD22" s="4" t="n"/>
      <c r="FHE22" s="1" t="n"/>
      <c r="FHF22" s="1" t="n"/>
      <c r="FHG22" s="3" t="n"/>
      <c r="FHH22" s="4" t="n"/>
      <c r="FHI22" s="1" t="n"/>
      <c r="FHJ22" s="1" t="n"/>
      <c r="FHK22" s="3" t="n"/>
      <c r="FHL22" s="4" t="n"/>
      <c r="FHM22" s="1" t="n"/>
      <c r="FHN22" s="1" t="n"/>
      <c r="FHO22" s="3" t="n"/>
      <c r="FHP22" s="4" t="n"/>
      <c r="FHQ22" s="1" t="n"/>
      <c r="FHR22" s="1" t="n"/>
      <c r="FHS22" s="3" t="n"/>
      <c r="FHT22" s="4" t="n"/>
      <c r="FHU22" s="1" t="n"/>
      <c r="FHV22" s="1" t="n"/>
      <c r="FHW22" s="3" t="n"/>
      <c r="FHX22" s="4" t="n"/>
      <c r="FHY22" s="1" t="n"/>
      <c r="FHZ22" s="1" t="n"/>
      <c r="FIA22" s="3" t="n"/>
      <c r="FIB22" s="4" t="n"/>
      <c r="FIC22" s="1" t="n"/>
      <c r="FID22" s="1" t="n"/>
      <c r="FIE22" s="3" t="n"/>
      <c r="FIF22" s="4" t="n"/>
      <c r="FIG22" s="1" t="n"/>
      <c r="FIH22" s="1" t="n"/>
      <c r="FII22" s="3" t="n"/>
      <c r="FIJ22" s="4" t="n"/>
      <c r="FIK22" s="1" t="n"/>
      <c r="FIL22" s="1" t="n"/>
      <c r="FIM22" s="3" t="n"/>
      <c r="FIN22" s="4" t="n"/>
      <c r="FIO22" s="1" t="n"/>
      <c r="FIP22" s="1" t="n"/>
      <c r="FIQ22" s="3" t="n"/>
      <c r="FIR22" s="4" t="n"/>
      <c r="FIS22" s="1" t="n"/>
      <c r="FIT22" s="1" t="n"/>
      <c r="FIU22" s="3" t="n"/>
      <c r="FIV22" s="4" t="n"/>
      <c r="FIW22" s="1" t="n"/>
      <c r="FIX22" s="1" t="n"/>
      <c r="FIY22" s="3" t="n"/>
      <c r="FIZ22" s="4" t="n"/>
      <c r="FJA22" s="1" t="n"/>
      <c r="FJB22" s="1" t="n"/>
      <c r="FJC22" s="3" t="n"/>
      <c r="FJD22" s="4" t="n"/>
      <c r="FJE22" s="1" t="n"/>
      <c r="FJF22" s="1" t="n"/>
      <c r="FJG22" s="3" t="n"/>
      <c r="FJH22" s="4" t="n"/>
      <c r="FJI22" s="1" t="n"/>
      <c r="FJJ22" s="1" t="n"/>
      <c r="FJK22" s="3" t="n"/>
      <c r="FJL22" s="4" t="n"/>
      <c r="FJM22" s="1" t="n"/>
      <c r="FJN22" s="1" t="n"/>
      <c r="FJO22" s="3" t="n"/>
      <c r="FJP22" s="4" t="n"/>
      <c r="FJQ22" s="1" t="n"/>
      <c r="FJR22" s="1" t="n"/>
      <c r="FJS22" s="3" t="n"/>
      <c r="FJT22" s="4" t="n"/>
      <c r="FJU22" s="1" t="n"/>
      <c r="FJV22" s="1" t="n"/>
      <c r="FJW22" s="3" t="n"/>
      <c r="FJX22" s="4" t="n"/>
      <c r="FJY22" s="1" t="n"/>
      <c r="FJZ22" s="1" t="n"/>
      <c r="FKA22" s="3" t="n"/>
      <c r="FKB22" s="4" t="n"/>
      <c r="FKC22" s="1" t="n"/>
      <c r="FKD22" s="1" t="n"/>
      <c r="FKE22" s="3" t="n"/>
      <c r="FKF22" s="4" t="n"/>
      <c r="FKG22" s="1" t="n"/>
      <c r="FKH22" s="1" t="n"/>
      <c r="FKI22" s="3" t="n"/>
      <c r="FKJ22" s="4" t="n"/>
      <c r="FKK22" s="1" t="n"/>
      <c r="FKL22" s="1" t="n"/>
      <c r="FKM22" s="3" t="n"/>
      <c r="FKN22" s="4" t="n"/>
      <c r="FKO22" s="1" t="n"/>
      <c r="FKP22" s="1" t="n"/>
      <c r="FKQ22" s="3" t="n"/>
      <c r="FKR22" s="4" t="n"/>
      <c r="FKS22" s="1" t="n"/>
      <c r="FKT22" s="1" t="n"/>
      <c r="FKU22" s="3" t="n"/>
      <c r="FKV22" s="4" t="n"/>
      <c r="FKW22" s="1" t="n"/>
      <c r="FKX22" s="1" t="n"/>
      <c r="FKY22" s="3" t="n"/>
      <c r="FKZ22" s="4" t="n"/>
      <c r="FLA22" s="1" t="n"/>
      <c r="FLB22" s="1" t="n"/>
      <c r="FLC22" s="3" t="n"/>
      <c r="FLD22" s="4" t="n"/>
      <c r="FLE22" s="1" t="n"/>
      <c r="FLF22" s="1" t="n"/>
      <c r="FLG22" s="3" t="n"/>
      <c r="FLH22" s="4" t="n"/>
      <c r="FLI22" s="1" t="n"/>
      <c r="FLJ22" s="1" t="n"/>
      <c r="FLK22" s="3" t="n"/>
      <c r="FLL22" s="4" t="n"/>
      <c r="FLM22" s="1" t="n"/>
      <c r="FLN22" s="1" t="n"/>
      <c r="FLO22" s="3" t="n"/>
      <c r="FLP22" s="4" t="n"/>
      <c r="FLQ22" s="1" t="n"/>
      <c r="FLR22" s="1" t="n"/>
      <c r="FLS22" s="3" t="n"/>
      <c r="FLT22" s="4" t="n"/>
      <c r="FLU22" s="1" t="n"/>
      <c r="FLV22" s="1" t="n"/>
      <c r="FLW22" s="3" t="n"/>
      <c r="FLX22" s="4" t="n"/>
      <c r="FLY22" s="1" t="n"/>
      <c r="FLZ22" s="1" t="n"/>
      <c r="FMA22" s="3" t="n"/>
      <c r="FMB22" s="4" t="n"/>
      <c r="FMC22" s="1" t="n"/>
      <c r="FMD22" s="1" t="n"/>
      <c r="FME22" s="3" t="n"/>
      <c r="FMF22" s="4" t="n"/>
      <c r="FMG22" s="1" t="n"/>
      <c r="FMH22" s="1" t="n"/>
      <c r="FMI22" s="3" t="n"/>
      <c r="FMJ22" s="4" t="n"/>
      <c r="FMK22" s="1" t="n"/>
      <c r="FML22" s="1" t="n"/>
      <c r="FMM22" s="3" t="n"/>
      <c r="FMN22" s="4" t="n"/>
      <c r="FMO22" s="1" t="n"/>
      <c r="FMP22" s="1" t="n"/>
      <c r="FMQ22" s="3" t="n"/>
      <c r="FMR22" s="4" t="n"/>
      <c r="FMS22" s="1" t="n"/>
      <c r="FMT22" s="1" t="n"/>
      <c r="FMU22" s="3" t="n"/>
      <c r="FMV22" s="4" t="n"/>
      <c r="FMW22" s="1" t="n"/>
      <c r="FMX22" s="1" t="n"/>
      <c r="FMY22" s="3" t="n"/>
      <c r="FMZ22" s="4" t="n"/>
      <c r="FNA22" s="1" t="n"/>
      <c r="FNB22" s="1" t="n"/>
      <c r="FNC22" s="3" t="n"/>
      <c r="FND22" s="4" t="n"/>
      <c r="FNE22" s="1" t="n"/>
      <c r="FNF22" s="1" t="n"/>
      <c r="FNG22" s="3" t="n"/>
      <c r="FNH22" s="4" t="n"/>
      <c r="FNI22" s="1" t="n"/>
      <c r="FNJ22" s="1" t="n"/>
      <c r="FNK22" s="3" t="n"/>
      <c r="FNL22" s="4" t="n"/>
      <c r="FNM22" s="1" t="n"/>
      <c r="FNN22" s="1" t="n"/>
      <c r="FNO22" s="3" t="n"/>
      <c r="FNP22" s="4" t="n"/>
      <c r="FNQ22" s="1" t="n"/>
      <c r="FNR22" s="1" t="n"/>
      <c r="FNS22" s="3" t="n"/>
      <c r="FNT22" s="4" t="n"/>
      <c r="FNU22" s="1" t="n"/>
      <c r="FNV22" s="1" t="n"/>
      <c r="FNW22" s="3" t="n"/>
      <c r="FNX22" s="4" t="n"/>
      <c r="FNY22" s="1" t="n"/>
      <c r="FNZ22" s="1" t="n"/>
      <c r="FOA22" s="3" t="n"/>
      <c r="FOB22" s="4" t="n"/>
      <c r="FOC22" s="1" t="n"/>
      <c r="FOD22" s="1" t="n"/>
      <c r="FOE22" s="3" t="n"/>
      <c r="FOF22" s="4" t="n"/>
      <c r="FOG22" s="1" t="n"/>
      <c r="FOH22" s="1" t="n"/>
      <c r="FOI22" s="3" t="n"/>
      <c r="FOJ22" s="4" t="n"/>
      <c r="FOK22" s="1" t="n"/>
      <c r="FOL22" s="1" t="n"/>
      <c r="FOM22" s="3" t="n"/>
      <c r="FON22" s="4" t="n"/>
      <c r="FOO22" s="1" t="n"/>
      <c r="FOP22" s="1" t="n"/>
      <c r="FOQ22" s="3" t="n"/>
      <c r="FOR22" s="4" t="n"/>
      <c r="FOS22" s="1" t="n"/>
      <c r="FOT22" s="1" t="n"/>
      <c r="FOU22" s="3" t="n"/>
      <c r="FOV22" s="4" t="n"/>
      <c r="FOW22" s="1" t="n"/>
      <c r="FOX22" s="1" t="n"/>
      <c r="FOY22" s="3" t="n"/>
      <c r="FOZ22" s="4" t="n"/>
      <c r="FPA22" s="1" t="n"/>
      <c r="FPB22" s="1" t="n"/>
      <c r="FPC22" s="3" t="n"/>
      <c r="FPD22" s="4" t="n"/>
      <c r="FPE22" s="1" t="n"/>
      <c r="FPF22" s="1" t="n"/>
      <c r="FPG22" s="3" t="n"/>
      <c r="FPH22" s="4" t="n"/>
      <c r="FPI22" s="1" t="n"/>
      <c r="FPJ22" s="1" t="n"/>
      <c r="FPK22" s="3" t="n"/>
      <c r="FPL22" s="4" t="n"/>
      <c r="FPM22" s="1" t="n"/>
      <c r="FPN22" s="1" t="n"/>
      <c r="FPO22" s="3" t="n"/>
      <c r="FPP22" s="4" t="n"/>
      <c r="FPQ22" s="1" t="n"/>
      <c r="FPR22" s="1" t="n"/>
      <c r="FPS22" s="3" t="n"/>
      <c r="FPT22" s="4" t="n"/>
      <c r="FPU22" s="1" t="n"/>
      <c r="FPV22" s="1" t="n"/>
      <c r="FPW22" s="3" t="n"/>
      <c r="FPX22" s="4" t="n"/>
      <c r="FPY22" s="1" t="n"/>
      <c r="FPZ22" s="1" t="n"/>
      <c r="FQA22" s="3" t="n"/>
      <c r="FQB22" s="4" t="n"/>
      <c r="FQC22" s="1" t="n"/>
      <c r="FQD22" s="1" t="n"/>
      <c r="FQE22" s="3" t="n"/>
      <c r="FQF22" s="4" t="n"/>
      <c r="FQG22" s="1" t="n"/>
      <c r="FQH22" s="1" t="n"/>
      <c r="FQI22" s="3" t="n"/>
      <c r="FQJ22" s="4" t="n"/>
      <c r="FQK22" s="1" t="n"/>
      <c r="FQL22" s="1" t="n"/>
      <c r="FQM22" s="3" t="n"/>
      <c r="FQN22" s="4" t="n"/>
      <c r="FQO22" s="1" t="n"/>
      <c r="FQP22" s="1" t="n"/>
      <c r="FQQ22" s="3" t="n"/>
      <c r="FQR22" s="4" t="n"/>
      <c r="FQS22" s="1" t="n"/>
      <c r="FQT22" s="1" t="n"/>
      <c r="FQU22" s="3" t="n"/>
      <c r="FQV22" s="4" t="n"/>
      <c r="FQW22" s="1" t="n"/>
      <c r="FQX22" s="1" t="n"/>
      <c r="FQY22" s="3" t="n"/>
      <c r="FQZ22" s="4" t="n"/>
      <c r="FRA22" s="1" t="n"/>
      <c r="FRB22" s="1" t="n"/>
      <c r="FRC22" s="3" t="n"/>
      <c r="FRD22" s="4" t="n"/>
      <c r="FRE22" s="1" t="n"/>
      <c r="FRF22" s="1" t="n"/>
      <c r="FRG22" s="3" t="n"/>
      <c r="FRH22" s="4" t="n"/>
      <c r="FRI22" s="1" t="n"/>
      <c r="FRJ22" s="1" t="n"/>
      <c r="FRK22" s="3" t="n"/>
      <c r="FRL22" s="4" t="n"/>
      <c r="FRM22" s="1" t="n"/>
      <c r="FRN22" s="1" t="n"/>
      <c r="FRO22" s="3" t="n"/>
      <c r="FRP22" s="4" t="n"/>
      <c r="FRQ22" s="1" t="n"/>
      <c r="FRR22" s="1" t="n"/>
      <c r="FRS22" s="3" t="n"/>
      <c r="FRT22" s="4" t="n"/>
      <c r="FRU22" s="1" t="n"/>
      <c r="FRV22" s="1" t="n"/>
      <c r="FRW22" s="3" t="n"/>
      <c r="FRX22" s="4" t="n"/>
      <c r="FRY22" s="1" t="n"/>
      <c r="FRZ22" s="1" t="n"/>
      <c r="FSA22" s="3" t="n"/>
      <c r="FSB22" s="4" t="n"/>
      <c r="FSC22" s="1" t="n"/>
      <c r="FSD22" s="1" t="n"/>
      <c r="FSE22" s="3" t="n"/>
      <c r="FSF22" s="4" t="n"/>
      <c r="FSG22" s="1" t="n"/>
      <c r="FSH22" s="1" t="n"/>
      <c r="FSI22" s="3" t="n"/>
      <c r="FSJ22" s="4" t="n"/>
      <c r="FSK22" s="1" t="n"/>
      <c r="FSL22" s="1" t="n"/>
      <c r="FSM22" s="3" t="n"/>
      <c r="FSN22" s="4" t="n"/>
      <c r="FSO22" s="1" t="n"/>
      <c r="FSP22" s="1" t="n"/>
      <c r="FSQ22" s="3" t="n"/>
      <c r="FSR22" s="4" t="n"/>
      <c r="FSS22" s="1" t="n"/>
      <c r="FST22" s="1" t="n"/>
      <c r="FSU22" s="3" t="n"/>
      <c r="FSV22" s="4" t="n"/>
      <c r="FSW22" s="1" t="n"/>
      <c r="FSX22" s="1" t="n"/>
      <c r="FSY22" s="3" t="n"/>
      <c r="FSZ22" s="4" t="n"/>
      <c r="FTA22" s="1" t="n"/>
      <c r="FTB22" s="1" t="n"/>
      <c r="FTC22" s="3" t="n"/>
      <c r="FTD22" s="4" t="n"/>
      <c r="FTE22" s="1" t="n"/>
      <c r="FTF22" s="1" t="n"/>
      <c r="FTG22" s="3" t="n"/>
      <c r="FTH22" s="4" t="n"/>
      <c r="FTI22" s="1" t="n"/>
      <c r="FTJ22" s="1" t="n"/>
      <c r="FTK22" s="3" t="n"/>
      <c r="FTL22" s="4" t="n"/>
      <c r="FTM22" s="1" t="n"/>
      <c r="FTN22" s="1" t="n"/>
      <c r="FTO22" s="3" t="n"/>
      <c r="FTP22" s="4" t="n"/>
      <c r="FTQ22" s="1" t="n"/>
      <c r="FTR22" s="1" t="n"/>
      <c r="FTS22" s="3" t="n"/>
      <c r="FTT22" s="4" t="n"/>
      <c r="FTU22" s="1" t="n"/>
      <c r="FTV22" s="1" t="n"/>
      <c r="FTW22" s="3" t="n"/>
      <c r="FTX22" s="4" t="n"/>
      <c r="FTY22" s="1" t="n"/>
      <c r="FTZ22" s="1" t="n"/>
      <c r="FUA22" s="3" t="n"/>
      <c r="FUB22" s="4" t="n"/>
      <c r="FUC22" s="1" t="n"/>
      <c r="FUD22" s="1" t="n"/>
      <c r="FUE22" s="3" t="n"/>
      <c r="FUF22" s="4" t="n"/>
      <c r="FUG22" s="1" t="n"/>
      <c r="FUH22" s="1" t="n"/>
      <c r="FUI22" s="3" t="n"/>
      <c r="FUJ22" s="4" t="n"/>
      <c r="FUK22" s="1" t="n"/>
      <c r="FUL22" s="1" t="n"/>
      <c r="FUM22" s="3" t="n"/>
      <c r="FUN22" s="4" t="n"/>
      <c r="FUO22" s="1" t="n"/>
      <c r="FUP22" s="1" t="n"/>
      <c r="FUQ22" s="3" t="n"/>
      <c r="FUR22" s="4" t="n"/>
      <c r="FUS22" s="1" t="n"/>
      <c r="FUT22" s="1" t="n"/>
      <c r="FUU22" s="3" t="n"/>
      <c r="FUV22" s="4" t="n"/>
      <c r="FUW22" s="1" t="n"/>
      <c r="FUX22" s="1" t="n"/>
      <c r="FUY22" s="3" t="n"/>
      <c r="FUZ22" s="4" t="n"/>
      <c r="FVA22" s="1" t="n"/>
      <c r="FVB22" s="1" t="n"/>
      <c r="FVC22" s="3" t="n"/>
      <c r="FVD22" s="4" t="n"/>
      <c r="FVE22" s="1" t="n"/>
      <c r="FVF22" s="1" t="n"/>
      <c r="FVG22" s="3" t="n"/>
      <c r="FVH22" s="4" t="n"/>
      <c r="FVI22" s="1" t="n"/>
      <c r="FVJ22" s="1" t="n"/>
      <c r="FVK22" s="3" t="n"/>
      <c r="FVL22" s="4" t="n"/>
      <c r="FVM22" s="1" t="n"/>
      <c r="FVN22" s="1" t="n"/>
      <c r="FVO22" s="3" t="n"/>
      <c r="FVP22" s="4" t="n"/>
      <c r="FVQ22" s="1" t="n"/>
      <c r="FVR22" s="1" t="n"/>
      <c r="FVS22" s="3" t="n"/>
      <c r="FVT22" s="4" t="n"/>
      <c r="FVU22" s="1" t="n"/>
      <c r="FVV22" s="1" t="n"/>
      <c r="FVW22" s="3" t="n"/>
      <c r="FVX22" s="4" t="n"/>
      <c r="FVY22" s="1" t="n"/>
      <c r="FVZ22" s="1" t="n"/>
      <c r="FWA22" s="3" t="n"/>
      <c r="FWB22" s="4" t="n"/>
      <c r="FWC22" s="1" t="n"/>
      <c r="FWD22" s="1" t="n"/>
      <c r="FWE22" s="3" t="n"/>
      <c r="FWF22" s="4" t="n"/>
      <c r="FWG22" s="1" t="n"/>
      <c r="FWH22" s="1" t="n"/>
      <c r="FWI22" s="3" t="n"/>
      <c r="FWJ22" s="4" t="n"/>
      <c r="FWK22" s="1" t="n"/>
      <c r="FWL22" s="1" t="n"/>
      <c r="FWM22" s="3" t="n"/>
      <c r="FWN22" s="4" t="n"/>
      <c r="FWO22" s="1" t="n"/>
      <c r="FWP22" s="1" t="n"/>
      <c r="FWQ22" s="3" t="n"/>
      <c r="FWR22" s="4" t="n"/>
      <c r="FWS22" s="1" t="n"/>
      <c r="FWT22" s="1" t="n"/>
      <c r="FWU22" s="3" t="n"/>
      <c r="FWV22" s="4" t="n"/>
      <c r="FWW22" s="1" t="n"/>
      <c r="FWX22" s="1" t="n"/>
      <c r="FWY22" s="3" t="n"/>
      <c r="FWZ22" s="4" t="n"/>
      <c r="FXA22" s="1" t="n"/>
      <c r="FXB22" s="1" t="n"/>
      <c r="FXC22" s="3" t="n"/>
      <c r="FXD22" s="4" t="n"/>
      <c r="FXE22" s="1" t="n"/>
      <c r="FXF22" s="1" t="n"/>
      <c r="FXG22" s="3" t="n"/>
      <c r="FXH22" s="4" t="n"/>
      <c r="FXI22" s="1" t="n"/>
      <c r="FXJ22" s="1" t="n"/>
      <c r="FXK22" s="3" t="n"/>
      <c r="FXL22" s="4" t="n"/>
      <c r="FXM22" s="1" t="n"/>
      <c r="FXN22" s="1" t="n"/>
      <c r="FXO22" s="3" t="n"/>
      <c r="FXP22" s="4" t="n"/>
      <c r="FXQ22" s="1" t="n"/>
      <c r="FXR22" s="1" t="n"/>
      <c r="FXS22" s="3" t="n"/>
      <c r="FXT22" s="4" t="n"/>
      <c r="FXU22" s="1" t="n"/>
      <c r="FXV22" s="1" t="n"/>
      <c r="FXW22" s="3" t="n"/>
      <c r="FXX22" s="4" t="n"/>
      <c r="FXY22" s="1" t="n"/>
      <c r="FXZ22" s="1" t="n"/>
      <c r="FYA22" s="3" t="n"/>
      <c r="FYB22" s="4" t="n"/>
      <c r="FYC22" s="1" t="n"/>
      <c r="FYD22" s="1" t="n"/>
      <c r="FYE22" s="3" t="n"/>
      <c r="FYF22" s="4" t="n"/>
      <c r="FYG22" s="1" t="n"/>
      <c r="FYH22" s="1" t="n"/>
      <c r="FYI22" s="3" t="n"/>
      <c r="FYJ22" s="4" t="n"/>
      <c r="FYK22" s="1" t="n"/>
      <c r="FYL22" s="1" t="n"/>
      <c r="FYM22" s="3" t="n"/>
      <c r="FYN22" s="4" t="n"/>
      <c r="FYO22" s="1" t="n"/>
      <c r="FYP22" s="1" t="n"/>
      <c r="FYQ22" s="3" t="n"/>
      <c r="FYR22" s="4" t="n"/>
      <c r="FYS22" s="1" t="n"/>
      <c r="FYT22" s="1" t="n"/>
      <c r="FYU22" s="3" t="n"/>
      <c r="FYV22" s="4" t="n"/>
      <c r="FYW22" s="1" t="n"/>
      <c r="FYX22" s="1" t="n"/>
      <c r="FYY22" s="3" t="n"/>
      <c r="FYZ22" s="4" t="n"/>
      <c r="FZA22" s="1" t="n"/>
      <c r="FZB22" s="1" t="n"/>
      <c r="FZC22" s="3" t="n"/>
      <c r="FZD22" s="4" t="n"/>
      <c r="FZE22" s="1" t="n"/>
      <c r="FZF22" s="1" t="n"/>
      <c r="FZG22" s="3" t="n"/>
      <c r="FZH22" s="4" t="n"/>
      <c r="FZI22" s="1" t="n"/>
      <c r="FZJ22" s="1" t="n"/>
      <c r="FZK22" s="3" t="n"/>
      <c r="FZL22" s="4" t="n"/>
      <c r="FZM22" s="1" t="n"/>
      <c r="FZN22" s="1" t="n"/>
      <c r="FZO22" s="3" t="n"/>
      <c r="FZP22" s="4" t="n"/>
      <c r="FZQ22" s="1" t="n"/>
      <c r="FZR22" s="1" t="n"/>
      <c r="FZS22" s="3" t="n"/>
      <c r="FZT22" s="4" t="n"/>
      <c r="FZU22" s="1" t="n"/>
      <c r="FZV22" s="1" t="n"/>
      <c r="FZW22" s="3" t="n"/>
      <c r="FZX22" s="4" t="n"/>
      <c r="FZY22" s="1" t="n"/>
      <c r="FZZ22" s="1" t="n"/>
      <c r="GAA22" s="3" t="n"/>
      <c r="GAB22" s="4" t="n"/>
      <c r="GAC22" s="1" t="n"/>
      <c r="GAD22" s="1" t="n"/>
      <c r="GAE22" s="3" t="n"/>
      <c r="GAF22" s="4" t="n"/>
      <c r="GAG22" s="1" t="n"/>
      <c r="GAH22" s="1" t="n"/>
      <c r="GAI22" s="3" t="n"/>
      <c r="GAJ22" s="4" t="n"/>
      <c r="GAK22" s="1" t="n"/>
      <c r="GAL22" s="1" t="n"/>
      <c r="GAM22" s="3" t="n"/>
      <c r="GAN22" s="4" t="n"/>
      <c r="GAO22" s="1" t="n"/>
      <c r="GAP22" s="1" t="n"/>
      <c r="GAQ22" s="3" t="n"/>
      <c r="GAR22" s="4" t="n"/>
      <c r="GAS22" s="1" t="n"/>
      <c r="GAT22" s="1" t="n"/>
      <c r="GAU22" s="3" t="n"/>
      <c r="GAV22" s="4" t="n"/>
      <c r="GAW22" s="1" t="n"/>
      <c r="GAX22" s="1" t="n"/>
      <c r="GAY22" s="3" t="n"/>
      <c r="GAZ22" s="4" t="n"/>
      <c r="GBA22" s="1" t="n"/>
      <c r="GBB22" s="1" t="n"/>
      <c r="GBC22" s="3" t="n"/>
      <c r="GBD22" s="4" t="n"/>
      <c r="GBE22" s="1" t="n"/>
      <c r="GBF22" s="1" t="n"/>
      <c r="GBG22" s="3" t="n"/>
      <c r="GBH22" s="4" t="n"/>
      <c r="GBI22" s="1" t="n"/>
      <c r="GBJ22" s="1" t="n"/>
      <c r="GBK22" s="3" t="n"/>
      <c r="GBL22" s="4" t="n"/>
      <c r="GBM22" s="1" t="n"/>
      <c r="GBN22" s="1" t="n"/>
      <c r="GBO22" s="3" t="n"/>
      <c r="GBP22" s="4" t="n"/>
      <c r="GBQ22" s="1" t="n"/>
      <c r="GBR22" s="1" t="n"/>
      <c r="GBS22" s="3" t="n"/>
      <c r="GBT22" s="4" t="n"/>
      <c r="GBU22" s="1" t="n"/>
      <c r="GBV22" s="1" t="n"/>
      <c r="GBW22" s="3" t="n"/>
      <c r="GBX22" s="4" t="n"/>
      <c r="GBY22" s="1" t="n"/>
      <c r="GBZ22" s="1" t="n"/>
      <c r="GCA22" s="3" t="n"/>
      <c r="GCB22" s="4" t="n"/>
      <c r="GCC22" s="1" t="n"/>
      <c r="GCD22" s="1" t="n"/>
      <c r="GCE22" s="3" t="n"/>
      <c r="GCF22" s="4" t="n"/>
      <c r="GCG22" s="1" t="n"/>
      <c r="GCH22" s="1" t="n"/>
      <c r="GCI22" s="3" t="n"/>
      <c r="GCJ22" s="4" t="n"/>
      <c r="GCK22" s="1" t="n"/>
      <c r="GCL22" s="1" t="n"/>
      <c r="GCM22" s="3" t="n"/>
      <c r="GCN22" s="4" t="n"/>
      <c r="GCO22" s="1" t="n"/>
      <c r="GCP22" s="1" t="n"/>
      <c r="GCQ22" s="3" t="n"/>
      <c r="GCR22" s="4" t="n"/>
      <c r="GCS22" s="1" t="n"/>
      <c r="GCT22" s="1" t="n"/>
      <c r="GCU22" s="3" t="n"/>
      <c r="GCV22" s="4" t="n"/>
      <c r="GCW22" s="1" t="n"/>
      <c r="GCX22" s="1" t="n"/>
      <c r="GCY22" s="3" t="n"/>
      <c r="GCZ22" s="4" t="n"/>
      <c r="GDA22" s="1" t="n"/>
      <c r="GDB22" s="1" t="n"/>
      <c r="GDC22" s="3" t="n"/>
      <c r="GDD22" s="4" t="n"/>
      <c r="GDE22" s="1" t="n"/>
      <c r="GDF22" s="1" t="n"/>
      <c r="GDG22" s="3" t="n"/>
      <c r="GDH22" s="4" t="n"/>
      <c r="GDI22" s="1" t="n"/>
      <c r="GDJ22" s="1" t="n"/>
      <c r="GDK22" s="3" t="n"/>
      <c r="GDL22" s="4" t="n"/>
      <c r="GDM22" s="1" t="n"/>
      <c r="GDN22" s="1" t="n"/>
      <c r="GDO22" s="3" t="n"/>
      <c r="GDP22" s="4" t="n"/>
      <c r="GDQ22" s="1" t="n"/>
      <c r="GDR22" s="1" t="n"/>
      <c r="GDS22" s="3" t="n"/>
      <c r="GDT22" s="4" t="n"/>
      <c r="GDU22" s="1" t="n"/>
      <c r="GDV22" s="1" t="n"/>
      <c r="GDW22" s="3" t="n"/>
      <c r="GDX22" s="4" t="n"/>
      <c r="GDY22" s="1" t="n"/>
      <c r="GDZ22" s="1" t="n"/>
      <c r="GEA22" s="3" t="n"/>
      <c r="GEB22" s="4" t="n"/>
      <c r="GEC22" s="1" t="n"/>
      <c r="GED22" s="1" t="n"/>
      <c r="GEE22" s="3" t="n"/>
      <c r="GEF22" s="4" t="n"/>
      <c r="GEG22" s="1" t="n"/>
      <c r="GEH22" s="1" t="n"/>
      <c r="GEI22" s="3" t="n"/>
      <c r="GEJ22" s="4" t="n"/>
      <c r="GEK22" s="1" t="n"/>
      <c r="GEL22" s="1" t="n"/>
      <c r="GEM22" s="3" t="n"/>
      <c r="GEN22" s="4" t="n"/>
      <c r="GEO22" s="1" t="n"/>
      <c r="GEP22" s="1" t="n"/>
      <c r="GEQ22" s="3" t="n"/>
      <c r="GER22" s="4" t="n"/>
      <c r="GES22" s="1" t="n"/>
      <c r="GET22" s="1" t="n"/>
      <c r="GEU22" s="3" t="n"/>
      <c r="GEV22" s="4" t="n"/>
      <c r="GEW22" s="1" t="n"/>
      <c r="GEX22" s="1" t="n"/>
      <c r="GEY22" s="3" t="n"/>
      <c r="GEZ22" s="4" t="n"/>
      <c r="GFA22" s="1" t="n"/>
      <c r="GFB22" s="1" t="n"/>
      <c r="GFC22" s="3" t="n"/>
      <c r="GFD22" s="4" t="n"/>
      <c r="GFE22" s="1" t="n"/>
      <c r="GFF22" s="1" t="n"/>
      <c r="GFG22" s="3" t="n"/>
      <c r="GFH22" s="4" t="n"/>
      <c r="GFI22" s="1" t="n"/>
      <c r="GFJ22" s="1" t="n"/>
      <c r="GFK22" s="3" t="n"/>
      <c r="GFL22" s="4" t="n"/>
      <c r="GFM22" s="1" t="n"/>
      <c r="GFN22" s="1" t="n"/>
      <c r="GFO22" s="3" t="n"/>
      <c r="GFP22" s="4" t="n"/>
      <c r="GFQ22" s="1" t="n"/>
      <c r="GFR22" s="1" t="n"/>
      <c r="GFS22" s="3" t="n"/>
      <c r="GFT22" s="4" t="n"/>
      <c r="GFU22" s="1" t="n"/>
      <c r="GFV22" s="1" t="n"/>
      <c r="GFW22" s="3" t="n"/>
      <c r="GFX22" s="4" t="n"/>
      <c r="GFY22" s="1" t="n"/>
      <c r="GFZ22" s="1" t="n"/>
      <c r="GGA22" s="3" t="n"/>
      <c r="GGB22" s="4" t="n"/>
      <c r="GGC22" s="1" t="n"/>
      <c r="GGD22" s="1" t="n"/>
      <c r="GGE22" s="3" t="n"/>
      <c r="GGF22" s="4" t="n"/>
      <c r="GGG22" s="1" t="n"/>
      <c r="GGH22" s="1" t="n"/>
      <c r="GGI22" s="3" t="n"/>
      <c r="GGJ22" s="4" t="n"/>
      <c r="GGK22" s="1" t="n"/>
      <c r="GGL22" s="1" t="n"/>
      <c r="GGM22" s="3" t="n"/>
      <c r="GGN22" s="4" t="n"/>
      <c r="GGO22" s="1" t="n"/>
      <c r="GGP22" s="1" t="n"/>
      <c r="GGQ22" s="3" t="n"/>
      <c r="GGR22" s="4" t="n"/>
      <c r="GGS22" s="1" t="n"/>
      <c r="GGT22" s="1" t="n"/>
      <c r="GGU22" s="3" t="n"/>
      <c r="GGV22" s="4" t="n"/>
      <c r="GGW22" s="1" t="n"/>
      <c r="GGX22" s="1" t="n"/>
      <c r="GGY22" s="3" t="n"/>
      <c r="GGZ22" s="4" t="n"/>
      <c r="GHA22" s="1" t="n"/>
      <c r="GHB22" s="1" t="n"/>
      <c r="GHC22" s="3" t="n"/>
      <c r="GHD22" s="4" t="n"/>
      <c r="GHE22" s="1" t="n"/>
      <c r="GHF22" s="1" t="n"/>
      <c r="GHG22" s="3" t="n"/>
      <c r="GHH22" s="4" t="n"/>
      <c r="GHI22" s="1" t="n"/>
      <c r="GHJ22" s="1" t="n"/>
      <c r="GHK22" s="3" t="n"/>
      <c r="GHL22" s="4" t="n"/>
      <c r="GHM22" s="1" t="n"/>
      <c r="GHN22" s="1" t="n"/>
      <c r="GHO22" s="3" t="n"/>
      <c r="GHP22" s="4" t="n"/>
      <c r="GHQ22" s="1" t="n"/>
      <c r="GHR22" s="1" t="n"/>
      <c r="GHS22" s="3" t="n"/>
      <c r="GHT22" s="4" t="n"/>
      <c r="GHU22" s="1" t="n"/>
      <c r="GHV22" s="1" t="n"/>
      <c r="GHW22" s="3" t="n"/>
      <c r="GHX22" s="4" t="n"/>
      <c r="GHY22" s="1" t="n"/>
      <c r="GHZ22" s="1" t="n"/>
      <c r="GIA22" s="3" t="n"/>
      <c r="GIB22" s="4" t="n"/>
      <c r="GIC22" s="1" t="n"/>
      <c r="GID22" s="1" t="n"/>
      <c r="GIE22" s="3" t="n"/>
      <c r="GIF22" s="4" t="n"/>
      <c r="GIG22" s="1" t="n"/>
      <c r="GIH22" s="1" t="n"/>
      <c r="GII22" s="3" t="n"/>
      <c r="GIJ22" s="4" t="n"/>
      <c r="GIK22" s="1" t="n"/>
      <c r="GIL22" s="1" t="n"/>
      <c r="GIM22" s="3" t="n"/>
      <c r="GIN22" s="4" t="n"/>
      <c r="GIO22" s="1" t="n"/>
      <c r="GIP22" s="1" t="n"/>
      <c r="GIQ22" s="3" t="n"/>
      <c r="GIR22" s="4" t="n"/>
      <c r="GIS22" s="1" t="n"/>
      <c r="GIT22" s="1" t="n"/>
      <c r="GIU22" s="3" t="n"/>
      <c r="GIV22" s="4" t="n"/>
      <c r="GIW22" s="1" t="n"/>
      <c r="GIX22" s="1" t="n"/>
      <c r="GIY22" s="3" t="n"/>
      <c r="GIZ22" s="4" t="n"/>
      <c r="GJA22" s="1" t="n"/>
      <c r="GJB22" s="1" t="n"/>
      <c r="GJC22" s="3" t="n"/>
      <c r="GJD22" s="4" t="n"/>
      <c r="GJE22" s="1" t="n"/>
      <c r="GJF22" s="1" t="n"/>
      <c r="GJG22" s="3" t="n"/>
      <c r="GJH22" s="4" t="n"/>
      <c r="GJI22" s="1" t="n"/>
      <c r="GJJ22" s="1" t="n"/>
      <c r="GJK22" s="3" t="n"/>
      <c r="GJL22" s="4" t="n"/>
      <c r="GJM22" s="1" t="n"/>
      <c r="GJN22" s="1" t="n"/>
      <c r="GJO22" s="3" t="n"/>
      <c r="GJP22" s="4" t="n"/>
      <c r="GJQ22" s="1" t="n"/>
      <c r="GJR22" s="1" t="n"/>
      <c r="GJS22" s="3" t="n"/>
      <c r="GJT22" s="4" t="n"/>
      <c r="GJU22" s="1" t="n"/>
      <c r="GJV22" s="1" t="n"/>
      <c r="GJW22" s="3" t="n"/>
      <c r="GJX22" s="4" t="n"/>
      <c r="GJY22" s="1" t="n"/>
      <c r="GJZ22" s="1" t="n"/>
      <c r="GKA22" s="3" t="n"/>
      <c r="GKB22" s="4" t="n"/>
      <c r="GKC22" s="1" t="n"/>
      <c r="GKD22" s="1" t="n"/>
      <c r="GKE22" s="3" t="n"/>
      <c r="GKF22" s="4" t="n"/>
      <c r="GKG22" s="1" t="n"/>
      <c r="GKH22" s="1" t="n"/>
      <c r="GKI22" s="3" t="n"/>
      <c r="GKJ22" s="4" t="n"/>
      <c r="GKK22" s="1" t="n"/>
      <c r="GKL22" s="1" t="n"/>
      <c r="GKM22" s="3" t="n"/>
      <c r="GKN22" s="4" t="n"/>
      <c r="GKO22" s="1" t="n"/>
      <c r="GKP22" s="1" t="n"/>
      <c r="GKQ22" s="3" t="n"/>
      <c r="GKR22" s="4" t="n"/>
      <c r="GKS22" s="1" t="n"/>
      <c r="GKT22" s="1" t="n"/>
      <c r="GKU22" s="3" t="n"/>
      <c r="GKV22" s="4" t="n"/>
      <c r="GKW22" s="1" t="n"/>
      <c r="GKX22" s="1" t="n"/>
      <c r="GKY22" s="3" t="n"/>
      <c r="GKZ22" s="4" t="n"/>
      <c r="GLA22" s="1" t="n"/>
      <c r="GLB22" s="1" t="n"/>
      <c r="GLC22" s="3" t="n"/>
      <c r="GLD22" s="4" t="n"/>
      <c r="GLE22" s="1" t="n"/>
      <c r="GLF22" s="1" t="n"/>
      <c r="GLG22" s="3" t="n"/>
      <c r="GLH22" s="4" t="n"/>
      <c r="GLI22" s="1" t="n"/>
      <c r="GLJ22" s="1" t="n"/>
      <c r="GLK22" s="3" t="n"/>
      <c r="GLL22" s="4" t="n"/>
      <c r="GLM22" s="1" t="n"/>
      <c r="GLN22" s="1" t="n"/>
      <c r="GLO22" s="3" t="n"/>
      <c r="GLP22" s="4" t="n"/>
      <c r="GLQ22" s="1" t="n"/>
      <c r="GLR22" s="1" t="n"/>
      <c r="GLS22" s="3" t="n"/>
      <c r="GLT22" s="4" t="n"/>
      <c r="GLU22" s="1" t="n"/>
      <c r="GLV22" s="1" t="n"/>
      <c r="GLW22" s="3" t="n"/>
      <c r="GLX22" s="4" t="n"/>
      <c r="GLY22" s="1" t="n"/>
      <c r="GLZ22" s="1" t="n"/>
      <c r="GMA22" s="3" t="n"/>
      <c r="GMB22" s="4" t="n"/>
      <c r="GMC22" s="1" t="n"/>
      <c r="GMD22" s="1" t="n"/>
      <c r="GME22" s="3" t="n"/>
      <c r="GMF22" s="4" t="n"/>
      <c r="GMG22" s="1" t="n"/>
      <c r="GMH22" s="1" t="n"/>
      <c r="GMI22" s="3" t="n"/>
      <c r="GMJ22" s="4" t="n"/>
      <c r="GMK22" s="1" t="n"/>
      <c r="GML22" s="1" t="n"/>
      <c r="GMM22" s="3" t="n"/>
      <c r="GMN22" s="4" t="n"/>
      <c r="GMO22" s="1" t="n"/>
      <c r="GMP22" s="1" t="n"/>
      <c r="GMQ22" s="3" t="n"/>
      <c r="GMR22" s="4" t="n"/>
      <c r="GMS22" s="1" t="n"/>
      <c r="GMT22" s="1" t="n"/>
      <c r="GMU22" s="3" t="n"/>
      <c r="GMV22" s="4" t="n"/>
      <c r="GMW22" s="1" t="n"/>
      <c r="GMX22" s="1" t="n"/>
      <c r="GMY22" s="3" t="n"/>
      <c r="GMZ22" s="4" t="n"/>
      <c r="GNA22" s="1" t="n"/>
      <c r="GNB22" s="1" t="n"/>
      <c r="GNC22" s="3" t="n"/>
      <c r="GND22" s="4" t="n"/>
      <c r="GNE22" s="1" t="n"/>
      <c r="GNF22" s="1" t="n"/>
      <c r="GNG22" s="3" t="n"/>
      <c r="GNH22" s="4" t="n"/>
      <c r="GNI22" s="1" t="n"/>
      <c r="GNJ22" s="1" t="n"/>
      <c r="GNK22" s="3" t="n"/>
      <c r="GNL22" s="4" t="n"/>
      <c r="GNM22" s="1" t="n"/>
      <c r="GNN22" s="1" t="n"/>
      <c r="GNO22" s="3" t="n"/>
      <c r="GNP22" s="4" t="n"/>
      <c r="GNQ22" s="1" t="n"/>
      <c r="GNR22" s="1" t="n"/>
      <c r="GNS22" s="3" t="n"/>
      <c r="GNT22" s="4" t="n"/>
      <c r="GNU22" s="1" t="n"/>
      <c r="GNV22" s="1" t="n"/>
      <c r="GNW22" s="3" t="n"/>
      <c r="GNX22" s="4" t="n"/>
      <c r="GNY22" s="1" t="n"/>
      <c r="GNZ22" s="1" t="n"/>
      <c r="GOA22" s="3" t="n"/>
      <c r="GOB22" s="4" t="n"/>
      <c r="GOC22" s="1" t="n"/>
      <c r="GOD22" s="1" t="n"/>
      <c r="GOE22" s="3" t="n"/>
      <c r="GOF22" s="4" t="n"/>
      <c r="GOG22" s="1" t="n"/>
      <c r="GOH22" s="1" t="n"/>
      <c r="GOI22" s="3" t="n"/>
      <c r="GOJ22" s="4" t="n"/>
      <c r="GOK22" s="1" t="n"/>
      <c r="GOL22" s="1" t="n"/>
      <c r="GOM22" s="3" t="n"/>
      <c r="GON22" s="4" t="n"/>
      <c r="GOO22" s="1" t="n"/>
      <c r="GOP22" s="1" t="n"/>
      <c r="GOQ22" s="3" t="n"/>
      <c r="GOR22" s="4" t="n"/>
      <c r="GOS22" s="1" t="n"/>
      <c r="GOT22" s="1" t="n"/>
      <c r="GOU22" s="3" t="n"/>
      <c r="GOV22" s="4" t="n"/>
      <c r="GOW22" s="1" t="n"/>
      <c r="GOX22" s="1" t="n"/>
      <c r="GOY22" s="3" t="n"/>
      <c r="GOZ22" s="4" t="n"/>
      <c r="GPA22" s="1" t="n"/>
      <c r="GPB22" s="1" t="n"/>
      <c r="GPC22" s="3" t="n"/>
      <c r="GPD22" s="4" t="n"/>
      <c r="GPE22" s="1" t="n"/>
      <c r="GPF22" s="1" t="n"/>
      <c r="GPG22" s="3" t="n"/>
      <c r="GPH22" s="4" t="n"/>
      <c r="GPI22" s="1" t="n"/>
      <c r="GPJ22" s="1" t="n"/>
      <c r="GPK22" s="3" t="n"/>
      <c r="GPL22" s="4" t="n"/>
      <c r="GPM22" s="1" t="n"/>
      <c r="GPN22" s="1" t="n"/>
      <c r="GPO22" s="3" t="n"/>
      <c r="GPP22" s="4" t="n"/>
      <c r="GPQ22" s="1" t="n"/>
      <c r="GPR22" s="1" t="n"/>
      <c r="GPS22" s="3" t="n"/>
      <c r="GPT22" s="4" t="n"/>
      <c r="GPU22" s="1" t="n"/>
      <c r="GPV22" s="1" t="n"/>
      <c r="GPW22" s="3" t="n"/>
      <c r="GPX22" s="4" t="n"/>
      <c r="GPY22" s="1" t="n"/>
      <c r="GPZ22" s="1" t="n"/>
      <c r="GQA22" s="3" t="n"/>
      <c r="GQB22" s="4" t="n"/>
      <c r="GQC22" s="1" t="n"/>
      <c r="GQD22" s="1" t="n"/>
      <c r="GQE22" s="3" t="n"/>
      <c r="GQF22" s="4" t="n"/>
      <c r="GQG22" s="1" t="n"/>
      <c r="GQH22" s="1" t="n"/>
      <c r="GQI22" s="3" t="n"/>
      <c r="GQJ22" s="4" t="n"/>
      <c r="GQK22" s="1" t="n"/>
      <c r="GQL22" s="1" t="n"/>
      <c r="GQM22" s="3" t="n"/>
      <c r="GQN22" s="4" t="n"/>
      <c r="GQO22" s="1" t="n"/>
      <c r="GQP22" s="1" t="n"/>
      <c r="GQQ22" s="3" t="n"/>
      <c r="GQR22" s="4" t="n"/>
      <c r="GQS22" s="1" t="n"/>
      <c r="GQT22" s="1" t="n"/>
      <c r="GQU22" s="3" t="n"/>
      <c r="GQV22" s="4" t="n"/>
      <c r="GQW22" s="1" t="n"/>
      <c r="GQX22" s="1" t="n"/>
      <c r="GQY22" s="3" t="n"/>
      <c r="GQZ22" s="4" t="n"/>
      <c r="GRA22" s="1" t="n"/>
      <c r="GRB22" s="1" t="n"/>
      <c r="GRC22" s="3" t="n"/>
      <c r="GRD22" s="4" t="n"/>
      <c r="GRE22" s="1" t="n"/>
      <c r="GRF22" s="1" t="n"/>
      <c r="GRG22" s="3" t="n"/>
      <c r="GRH22" s="4" t="n"/>
      <c r="GRI22" s="1" t="n"/>
      <c r="GRJ22" s="1" t="n"/>
      <c r="GRK22" s="3" t="n"/>
      <c r="GRL22" s="4" t="n"/>
      <c r="GRM22" s="1" t="n"/>
      <c r="GRN22" s="1" t="n"/>
      <c r="GRO22" s="3" t="n"/>
      <c r="GRP22" s="4" t="n"/>
      <c r="GRQ22" s="1" t="n"/>
      <c r="GRR22" s="1" t="n"/>
      <c r="GRS22" s="3" t="n"/>
      <c r="GRT22" s="4" t="n"/>
      <c r="GRU22" s="1" t="n"/>
      <c r="GRV22" s="1" t="n"/>
      <c r="GRW22" s="3" t="n"/>
      <c r="GRX22" s="4" t="n"/>
      <c r="GRY22" s="1" t="n"/>
      <c r="GRZ22" s="1" t="n"/>
      <c r="GSA22" s="3" t="n"/>
      <c r="GSB22" s="4" t="n"/>
      <c r="GSC22" s="1" t="n"/>
      <c r="GSD22" s="1" t="n"/>
      <c r="GSE22" s="3" t="n"/>
      <c r="GSF22" s="4" t="n"/>
      <c r="GSG22" s="1" t="n"/>
      <c r="GSH22" s="1" t="n"/>
      <c r="GSI22" s="3" t="n"/>
      <c r="GSJ22" s="4" t="n"/>
      <c r="GSK22" s="1" t="n"/>
      <c r="GSL22" s="1" t="n"/>
      <c r="GSM22" s="3" t="n"/>
      <c r="GSN22" s="4" t="n"/>
      <c r="GSO22" s="1" t="n"/>
      <c r="GSP22" s="1" t="n"/>
      <c r="GSQ22" s="3" t="n"/>
      <c r="GSR22" s="4" t="n"/>
      <c r="GSS22" s="1" t="n"/>
      <c r="GST22" s="1" t="n"/>
      <c r="GSU22" s="3" t="n"/>
      <c r="GSV22" s="4" t="n"/>
      <c r="GSW22" s="1" t="n"/>
      <c r="GSX22" s="1" t="n"/>
      <c r="GSY22" s="3" t="n"/>
      <c r="GSZ22" s="4" t="n"/>
      <c r="GTA22" s="1" t="n"/>
      <c r="GTB22" s="1" t="n"/>
      <c r="GTC22" s="3" t="n"/>
      <c r="GTD22" s="4" t="n"/>
      <c r="GTE22" s="1" t="n"/>
      <c r="GTF22" s="1" t="n"/>
      <c r="GTG22" s="3" t="n"/>
      <c r="GTH22" s="4" t="n"/>
      <c r="GTI22" s="1" t="n"/>
      <c r="GTJ22" s="1" t="n"/>
      <c r="GTK22" s="3" t="n"/>
      <c r="GTL22" s="4" t="n"/>
      <c r="GTM22" s="1" t="n"/>
      <c r="GTN22" s="1" t="n"/>
      <c r="GTO22" s="3" t="n"/>
      <c r="GTP22" s="4" t="n"/>
      <c r="GTQ22" s="1" t="n"/>
      <c r="GTR22" s="1" t="n"/>
      <c r="GTS22" s="3" t="n"/>
      <c r="GTT22" s="4" t="n"/>
      <c r="GTU22" s="1" t="n"/>
      <c r="GTV22" s="1" t="n"/>
      <c r="GTW22" s="3" t="n"/>
      <c r="GTX22" s="4" t="n"/>
      <c r="GTY22" s="1" t="n"/>
      <c r="GTZ22" s="1" t="n"/>
      <c r="GUA22" s="3" t="n"/>
      <c r="GUB22" s="4" t="n"/>
      <c r="GUC22" s="1" t="n"/>
      <c r="GUD22" s="1" t="n"/>
      <c r="GUE22" s="3" t="n"/>
      <c r="GUF22" s="4" t="n"/>
      <c r="GUG22" s="1" t="n"/>
      <c r="GUH22" s="1" t="n"/>
      <c r="GUI22" s="3" t="n"/>
      <c r="GUJ22" s="4" t="n"/>
      <c r="GUK22" s="1" t="n"/>
      <c r="GUL22" s="1" t="n"/>
      <c r="GUM22" s="3" t="n"/>
      <c r="GUN22" s="4" t="n"/>
      <c r="GUO22" s="1" t="n"/>
      <c r="GUP22" s="1" t="n"/>
      <c r="GUQ22" s="3" t="n"/>
      <c r="GUR22" s="4" t="n"/>
      <c r="GUS22" s="1" t="n"/>
      <c r="GUT22" s="1" t="n"/>
      <c r="GUU22" s="3" t="n"/>
      <c r="GUV22" s="4" t="n"/>
      <c r="GUW22" s="1" t="n"/>
      <c r="GUX22" s="1" t="n"/>
      <c r="GUY22" s="3" t="n"/>
      <c r="GUZ22" s="4" t="n"/>
      <c r="GVA22" s="1" t="n"/>
      <c r="GVB22" s="1" t="n"/>
      <c r="GVC22" s="3" t="n"/>
      <c r="GVD22" s="4" t="n"/>
      <c r="GVE22" s="1" t="n"/>
      <c r="GVF22" s="1" t="n"/>
      <c r="GVG22" s="3" t="n"/>
      <c r="GVH22" s="4" t="n"/>
      <c r="GVI22" s="1" t="n"/>
      <c r="GVJ22" s="1" t="n"/>
      <c r="GVK22" s="3" t="n"/>
      <c r="GVL22" s="4" t="n"/>
      <c r="GVM22" s="1" t="n"/>
      <c r="GVN22" s="1" t="n"/>
      <c r="GVO22" s="3" t="n"/>
      <c r="GVP22" s="4" t="n"/>
      <c r="GVQ22" s="1" t="n"/>
      <c r="GVR22" s="1" t="n"/>
      <c r="GVS22" s="3" t="n"/>
      <c r="GVT22" s="4" t="n"/>
      <c r="GVU22" s="1" t="n"/>
      <c r="GVV22" s="1" t="n"/>
      <c r="GVW22" s="3" t="n"/>
      <c r="GVX22" s="4" t="n"/>
      <c r="GVY22" s="1" t="n"/>
      <c r="GVZ22" s="1" t="n"/>
      <c r="GWA22" s="3" t="n"/>
      <c r="GWB22" s="4" t="n"/>
      <c r="GWC22" s="1" t="n"/>
      <c r="GWD22" s="1" t="n"/>
      <c r="GWE22" s="3" t="n"/>
      <c r="GWF22" s="4" t="n"/>
      <c r="GWG22" s="1" t="n"/>
      <c r="GWH22" s="1" t="n"/>
      <c r="GWI22" s="3" t="n"/>
      <c r="GWJ22" s="4" t="n"/>
      <c r="GWK22" s="1" t="n"/>
      <c r="GWL22" s="1" t="n"/>
      <c r="GWM22" s="3" t="n"/>
      <c r="GWN22" s="4" t="n"/>
      <c r="GWO22" s="1" t="n"/>
      <c r="GWP22" s="1" t="n"/>
      <c r="GWQ22" s="3" t="n"/>
      <c r="GWR22" s="4" t="n"/>
      <c r="GWS22" s="1" t="n"/>
      <c r="GWT22" s="1" t="n"/>
      <c r="GWU22" s="3" t="n"/>
      <c r="GWV22" s="4" t="n"/>
      <c r="GWW22" s="1" t="n"/>
      <c r="GWX22" s="1" t="n"/>
      <c r="GWY22" s="3" t="n"/>
      <c r="GWZ22" s="4" t="n"/>
      <c r="GXA22" s="1" t="n"/>
      <c r="GXB22" s="1" t="n"/>
      <c r="GXC22" s="3" t="n"/>
      <c r="GXD22" s="4" t="n"/>
      <c r="GXE22" s="1" t="n"/>
      <c r="GXF22" s="1" t="n"/>
      <c r="GXG22" s="3" t="n"/>
      <c r="GXH22" s="4" t="n"/>
      <c r="GXI22" s="1" t="n"/>
      <c r="GXJ22" s="1" t="n"/>
      <c r="GXK22" s="3" t="n"/>
      <c r="GXL22" s="4" t="n"/>
      <c r="GXM22" s="1" t="n"/>
      <c r="GXN22" s="1" t="n"/>
      <c r="GXO22" s="3" t="n"/>
      <c r="GXP22" s="4" t="n"/>
      <c r="GXQ22" s="1" t="n"/>
      <c r="GXR22" s="1" t="n"/>
      <c r="GXS22" s="3" t="n"/>
      <c r="GXT22" s="4" t="n"/>
      <c r="GXU22" s="1" t="n"/>
      <c r="GXV22" s="1" t="n"/>
      <c r="GXW22" s="3" t="n"/>
      <c r="GXX22" s="4" t="n"/>
      <c r="GXY22" s="1" t="n"/>
      <c r="GXZ22" s="1" t="n"/>
      <c r="GYA22" s="3" t="n"/>
      <c r="GYB22" s="4" t="n"/>
      <c r="GYC22" s="1" t="n"/>
      <c r="GYD22" s="1" t="n"/>
      <c r="GYE22" s="3" t="n"/>
      <c r="GYF22" s="4" t="n"/>
      <c r="GYG22" s="1" t="n"/>
      <c r="GYH22" s="1" t="n"/>
      <c r="GYI22" s="3" t="n"/>
      <c r="GYJ22" s="4" t="n"/>
      <c r="GYK22" s="1" t="n"/>
      <c r="GYL22" s="1" t="n"/>
      <c r="GYM22" s="3" t="n"/>
      <c r="GYN22" s="4" t="n"/>
      <c r="GYO22" s="1" t="n"/>
      <c r="GYP22" s="1" t="n"/>
      <c r="GYQ22" s="3" t="n"/>
      <c r="GYR22" s="4" t="n"/>
      <c r="GYS22" s="1" t="n"/>
      <c r="GYT22" s="1" t="n"/>
      <c r="GYU22" s="3" t="n"/>
      <c r="GYV22" s="4" t="n"/>
      <c r="GYW22" s="1" t="n"/>
      <c r="GYX22" s="1" t="n"/>
      <c r="GYY22" s="3" t="n"/>
      <c r="GYZ22" s="4" t="n"/>
      <c r="GZA22" s="1" t="n"/>
      <c r="GZB22" s="1" t="n"/>
      <c r="GZC22" s="3" t="n"/>
      <c r="GZD22" s="4" t="n"/>
      <c r="GZE22" s="1" t="n"/>
      <c r="GZF22" s="1" t="n"/>
      <c r="GZG22" s="3" t="n"/>
      <c r="GZH22" s="4" t="n"/>
      <c r="GZI22" s="1" t="n"/>
      <c r="GZJ22" s="1" t="n"/>
      <c r="GZK22" s="3" t="n"/>
      <c r="GZL22" s="4" t="n"/>
      <c r="GZM22" s="1" t="n"/>
      <c r="GZN22" s="1" t="n"/>
      <c r="GZO22" s="3" t="n"/>
      <c r="GZP22" s="4" t="n"/>
      <c r="GZQ22" s="1" t="n"/>
      <c r="GZR22" s="1" t="n"/>
      <c r="GZS22" s="3" t="n"/>
      <c r="GZT22" s="4" t="n"/>
      <c r="GZU22" s="1" t="n"/>
      <c r="GZV22" s="1" t="n"/>
      <c r="GZW22" s="3" t="n"/>
      <c r="GZX22" s="4" t="n"/>
      <c r="GZY22" s="1" t="n"/>
      <c r="GZZ22" s="1" t="n"/>
      <c r="HAA22" s="3" t="n"/>
      <c r="HAB22" s="4" t="n"/>
      <c r="HAC22" s="1" t="n"/>
      <c r="HAD22" s="1" t="n"/>
      <c r="HAE22" s="3" t="n"/>
      <c r="HAF22" s="4" t="n"/>
      <c r="HAG22" s="1" t="n"/>
      <c r="HAH22" s="1" t="n"/>
      <c r="HAI22" s="3" t="n"/>
      <c r="HAJ22" s="4" t="n"/>
      <c r="HAK22" s="1" t="n"/>
      <c r="HAL22" s="1" t="n"/>
      <c r="HAM22" s="3" t="n"/>
      <c r="HAN22" s="4" t="n"/>
      <c r="HAO22" s="1" t="n"/>
      <c r="HAP22" s="1" t="n"/>
      <c r="HAQ22" s="3" t="n"/>
      <c r="HAR22" s="4" t="n"/>
      <c r="HAS22" s="1" t="n"/>
      <c r="HAT22" s="1" t="n"/>
      <c r="HAU22" s="3" t="n"/>
      <c r="HAV22" s="4" t="n"/>
      <c r="HAW22" s="1" t="n"/>
      <c r="HAX22" s="1" t="n"/>
      <c r="HAY22" s="3" t="n"/>
      <c r="HAZ22" s="4" t="n"/>
      <c r="HBA22" s="1" t="n"/>
      <c r="HBB22" s="1" t="n"/>
      <c r="HBC22" s="3" t="n"/>
      <c r="HBD22" s="4" t="n"/>
      <c r="HBE22" s="1" t="n"/>
      <c r="HBF22" s="1" t="n"/>
      <c r="HBG22" s="3" t="n"/>
      <c r="HBH22" s="4" t="n"/>
      <c r="HBI22" s="1" t="n"/>
      <c r="HBJ22" s="1" t="n"/>
      <c r="HBK22" s="3" t="n"/>
      <c r="HBL22" s="4" t="n"/>
      <c r="HBM22" s="1" t="n"/>
      <c r="HBN22" s="1" t="n"/>
      <c r="HBO22" s="3" t="n"/>
      <c r="HBP22" s="4" t="n"/>
      <c r="HBQ22" s="1" t="n"/>
      <c r="HBR22" s="1" t="n"/>
      <c r="HBS22" s="3" t="n"/>
      <c r="HBT22" s="4" t="n"/>
      <c r="HBU22" s="1" t="n"/>
      <c r="HBV22" s="1" t="n"/>
      <c r="HBW22" s="3" t="n"/>
      <c r="HBX22" s="4" t="n"/>
      <c r="HBY22" s="1" t="n"/>
      <c r="HBZ22" s="1" t="n"/>
      <c r="HCA22" s="3" t="n"/>
      <c r="HCB22" s="4" t="n"/>
      <c r="HCC22" s="1" t="n"/>
      <c r="HCD22" s="1" t="n"/>
      <c r="HCE22" s="3" t="n"/>
      <c r="HCF22" s="4" t="n"/>
      <c r="HCG22" s="1" t="n"/>
      <c r="HCH22" s="1" t="n"/>
      <c r="HCI22" s="3" t="n"/>
      <c r="HCJ22" s="4" t="n"/>
      <c r="HCK22" s="1" t="n"/>
      <c r="HCL22" s="1" t="n"/>
      <c r="HCM22" s="3" t="n"/>
      <c r="HCN22" s="4" t="n"/>
      <c r="HCO22" s="1" t="n"/>
      <c r="HCP22" s="1" t="n"/>
      <c r="HCQ22" s="3" t="n"/>
      <c r="HCR22" s="4" t="n"/>
      <c r="HCS22" s="1" t="n"/>
      <c r="HCT22" s="1" t="n"/>
      <c r="HCU22" s="3" t="n"/>
      <c r="HCV22" s="4" t="n"/>
      <c r="HCW22" s="1" t="n"/>
      <c r="HCX22" s="1" t="n"/>
      <c r="HCY22" s="3" t="n"/>
      <c r="HCZ22" s="4" t="n"/>
      <c r="HDA22" s="1" t="n"/>
      <c r="HDB22" s="1" t="n"/>
      <c r="HDC22" s="3" t="n"/>
      <c r="HDD22" s="4" t="n"/>
      <c r="HDE22" s="1" t="n"/>
      <c r="HDF22" s="1" t="n"/>
      <c r="HDG22" s="3" t="n"/>
      <c r="HDH22" s="4" t="n"/>
      <c r="HDI22" s="1" t="n"/>
      <c r="HDJ22" s="1" t="n"/>
      <c r="HDK22" s="3" t="n"/>
      <c r="HDL22" s="4" t="n"/>
      <c r="HDM22" s="1" t="n"/>
      <c r="HDN22" s="1" t="n"/>
      <c r="HDO22" s="3" t="n"/>
      <c r="HDP22" s="4" t="n"/>
      <c r="HDQ22" s="1" t="n"/>
      <c r="HDR22" s="1" t="n"/>
      <c r="HDS22" s="3" t="n"/>
      <c r="HDT22" s="4" t="n"/>
      <c r="HDU22" s="1" t="n"/>
      <c r="HDV22" s="1" t="n"/>
      <c r="HDW22" s="3" t="n"/>
      <c r="HDX22" s="4" t="n"/>
      <c r="HDY22" s="1" t="n"/>
      <c r="HDZ22" s="1" t="n"/>
      <c r="HEA22" s="3" t="n"/>
      <c r="HEB22" s="4" t="n"/>
      <c r="HEC22" s="1" t="n"/>
      <c r="HED22" s="1" t="n"/>
      <c r="HEE22" s="3" t="n"/>
      <c r="HEF22" s="4" t="n"/>
      <c r="HEG22" s="1" t="n"/>
      <c r="HEH22" s="1" t="n"/>
      <c r="HEI22" s="3" t="n"/>
      <c r="HEJ22" s="4" t="n"/>
      <c r="HEK22" s="1" t="n"/>
      <c r="HEL22" s="1" t="n"/>
      <c r="HEM22" s="3" t="n"/>
      <c r="HEN22" s="4" t="n"/>
      <c r="HEO22" s="1" t="n"/>
      <c r="HEP22" s="1" t="n"/>
      <c r="HEQ22" s="3" t="n"/>
      <c r="HER22" s="4" t="n"/>
      <c r="HES22" s="1" t="n"/>
      <c r="HET22" s="1" t="n"/>
      <c r="HEU22" s="3" t="n"/>
      <c r="HEV22" s="4" t="n"/>
      <c r="HEW22" s="1" t="n"/>
      <c r="HEX22" s="1" t="n"/>
      <c r="HEY22" s="3" t="n"/>
      <c r="HEZ22" s="4" t="n"/>
      <c r="HFA22" s="1" t="n"/>
      <c r="HFB22" s="1" t="n"/>
      <c r="HFC22" s="3" t="n"/>
      <c r="HFD22" s="4" t="n"/>
      <c r="HFE22" s="1" t="n"/>
      <c r="HFF22" s="1" t="n"/>
      <c r="HFG22" s="3" t="n"/>
      <c r="HFH22" s="4" t="n"/>
      <c r="HFI22" s="1" t="n"/>
      <c r="HFJ22" s="1" t="n"/>
      <c r="HFK22" s="3" t="n"/>
      <c r="HFL22" s="4" t="n"/>
      <c r="HFM22" s="1" t="n"/>
      <c r="HFN22" s="1" t="n"/>
      <c r="HFO22" s="3" t="n"/>
      <c r="HFP22" s="4" t="n"/>
      <c r="HFQ22" s="1" t="n"/>
      <c r="HFR22" s="1" t="n"/>
      <c r="HFS22" s="3" t="n"/>
      <c r="HFT22" s="4" t="n"/>
      <c r="HFU22" s="1" t="n"/>
      <c r="HFV22" s="1" t="n"/>
      <c r="HFW22" s="3" t="n"/>
      <c r="HFX22" s="4" t="n"/>
      <c r="HFY22" s="1" t="n"/>
      <c r="HFZ22" s="1" t="n"/>
      <c r="HGA22" s="3" t="n"/>
      <c r="HGB22" s="4" t="n"/>
      <c r="HGC22" s="1" t="n"/>
      <c r="HGD22" s="1" t="n"/>
      <c r="HGE22" s="3" t="n"/>
      <c r="HGF22" s="4" t="n"/>
      <c r="HGG22" s="1" t="n"/>
      <c r="HGH22" s="1" t="n"/>
      <c r="HGI22" s="3" t="n"/>
      <c r="HGJ22" s="4" t="n"/>
      <c r="HGK22" s="1" t="n"/>
      <c r="HGL22" s="1" t="n"/>
      <c r="HGM22" s="3" t="n"/>
      <c r="HGN22" s="4" t="n"/>
      <c r="HGO22" s="1" t="n"/>
      <c r="HGP22" s="1" t="n"/>
      <c r="HGQ22" s="3" t="n"/>
      <c r="HGR22" s="4" t="n"/>
      <c r="HGS22" s="1" t="n"/>
      <c r="HGT22" s="1" t="n"/>
      <c r="HGU22" s="3" t="n"/>
      <c r="HGV22" s="4" t="n"/>
      <c r="HGW22" s="1" t="n"/>
      <c r="HGX22" s="1" t="n"/>
      <c r="HGY22" s="3" t="n"/>
      <c r="HGZ22" s="4" t="n"/>
      <c r="HHA22" s="1" t="n"/>
      <c r="HHB22" s="1" t="n"/>
      <c r="HHC22" s="3" t="n"/>
      <c r="HHD22" s="4" t="n"/>
      <c r="HHE22" s="1" t="n"/>
      <c r="HHF22" s="1" t="n"/>
      <c r="HHG22" s="3" t="n"/>
      <c r="HHH22" s="4" t="n"/>
      <c r="HHI22" s="1" t="n"/>
      <c r="HHJ22" s="1" t="n"/>
      <c r="HHK22" s="3" t="n"/>
      <c r="HHL22" s="4" t="n"/>
      <c r="HHM22" s="1" t="n"/>
      <c r="HHN22" s="1" t="n"/>
      <c r="HHO22" s="3" t="n"/>
      <c r="HHP22" s="4" t="n"/>
      <c r="HHQ22" s="1" t="n"/>
      <c r="HHR22" s="1" t="n"/>
      <c r="HHS22" s="3" t="n"/>
      <c r="HHT22" s="4" t="n"/>
      <c r="HHU22" s="1" t="n"/>
      <c r="HHV22" s="1" t="n"/>
      <c r="HHW22" s="3" t="n"/>
      <c r="HHX22" s="4" t="n"/>
      <c r="HHY22" s="1" t="n"/>
      <c r="HHZ22" s="1" t="n"/>
      <c r="HIA22" s="3" t="n"/>
      <c r="HIB22" s="4" t="n"/>
      <c r="HIC22" s="1" t="n"/>
      <c r="HID22" s="1" t="n"/>
      <c r="HIE22" s="3" t="n"/>
      <c r="HIF22" s="4" t="n"/>
      <c r="HIG22" s="1" t="n"/>
      <c r="HIH22" s="1" t="n"/>
      <c r="HII22" s="3" t="n"/>
      <c r="HIJ22" s="4" t="n"/>
      <c r="HIK22" s="1" t="n"/>
      <c r="HIL22" s="1" t="n"/>
      <c r="HIM22" s="3" t="n"/>
      <c r="HIN22" s="4" t="n"/>
      <c r="HIO22" s="1" t="n"/>
      <c r="HIP22" s="1" t="n"/>
      <c r="HIQ22" s="3" t="n"/>
      <c r="HIR22" s="4" t="n"/>
      <c r="HIS22" s="1" t="n"/>
      <c r="HIT22" s="1" t="n"/>
      <c r="HIU22" s="3" t="n"/>
      <c r="HIV22" s="4" t="n"/>
      <c r="HIW22" s="1" t="n"/>
      <c r="HIX22" s="1" t="n"/>
      <c r="HIY22" s="3" t="n"/>
      <c r="HIZ22" s="4" t="n"/>
      <c r="HJA22" s="1" t="n"/>
      <c r="HJB22" s="1" t="n"/>
      <c r="HJC22" s="3" t="n"/>
      <c r="HJD22" s="4" t="n"/>
      <c r="HJE22" s="1" t="n"/>
      <c r="HJF22" s="1" t="n"/>
      <c r="HJG22" s="3" t="n"/>
      <c r="HJH22" s="4" t="n"/>
      <c r="HJI22" s="1" t="n"/>
      <c r="HJJ22" s="1" t="n"/>
      <c r="HJK22" s="3" t="n"/>
      <c r="HJL22" s="4" t="n"/>
      <c r="HJM22" s="1" t="n"/>
      <c r="HJN22" s="1" t="n"/>
      <c r="HJO22" s="3" t="n"/>
      <c r="HJP22" s="4" t="n"/>
      <c r="HJQ22" s="1" t="n"/>
      <c r="HJR22" s="1" t="n"/>
      <c r="HJS22" s="3" t="n"/>
      <c r="HJT22" s="4" t="n"/>
      <c r="HJU22" s="1" t="n"/>
      <c r="HJV22" s="1" t="n"/>
      <c r="HJW22" s="3" t="n"/>
      <c r="HJX22" s="4" t="n"/>
      <c r="HJY22" s="1" t="n"/>
      <c r="HJZ22" s="1" t="n"/>
      <c r="HKA22" s="3" t="n"/>
      <c r="HKB22" s="4" t="n"/>
      <c r="HKC22" s="1" t="n"/>
      <c r="HKD22" s="1" t="n"/>
      <c r="HKE22" s="3" t="n"/>
      <c r="HKF22" s="4" t="n"/>
      <c r="HKG22" s="1" t="n"/>
      <c r="HKH22" s="1" t="n"/>
      <c r="HKI22" s="3" t="n"/>
      <c r="HKJ22" s="4" t="n"/>
      <c r="HKK22" s="1" t="n"/>
      <c r="HKL22" s="1" t="n"/>
      <c r="HKM22" s="3" t="n"/>
      <c r="HKN22" s="4" t="n"/>
      <c r="HKO22" s="1" t="n"/>
      <c r="HKP22" s="1" t="n"/>
      <c r="HKQ22" s="3" t="n"/>
      <c r="HKR22" s="4" t="n"/>
      <c r="HKS22" s="1" t="n"/>
      <c r="HKT22" s="1" t="n"/>
      <c r="HKU22" s="3" t="n"/>
      <c r="HKV22" s="4" t="n"/>
      <c r="HKW22" s="1" t="n"/>
      <c r="HKX22" s="1" t="n"/>
      <c r="HKY22" s="3" t="n"/>
      <c r="HKZ22" s="4" t="n"/>
      <c r="HLA22" s="1" t="n"/>
      <c r="HLB22" s="1" t="n"/>
      <c r="HLC22" s="3" t="n"/>
      <c r="HLD22" s="4" t="n"/>
      <c r="HLE22" s="1" t="n"/>
      <c r="HLF22" s="1" t="n"/>
      <c r="HLG22" s="3" t="n"/>
      <c r="HLH22" s="4" t="n"/>
      <c r="HLI22" s="1" t="n"/>
      <c r="HLJ22" s="1" t="n"/>
      <c r="HLK22" s="3" t="n"/>
      <c r="HLL22" s="4" t="n"/>
      <c r="HLM22" s="1" t="n"/>
      <c r="HLN22" s="1" t="n"/>
      <c r="HLO22" s="3" t="n"/>
      <c r="HLP22" s="4" t="n"/>
      <c r="HLQ22" s="1" t="n"/>
      <c r="HLR22" s="1" t="n"/>
      <c r="HLS22" s="3" t="n"/>
      <c r="HLT22" s="4" t="n"/>
      <c r="HLU22" s="1" t="n"/>
      <c r="HLV22" s="1" t="n"/>
      <c r="HLW22" s="3" t="n"/>
      <c r="HLX22" s="4" t="n"/>
      <c r="HLY22" s="1" t="n"/>
      <c r="HLZ22" s="1" t="n"/>
      <c r="HMA22" s="3" t="n"/>
      <c r="HMB22" s="4" t="n"/>
      <c r="HMC22" s="1" t="n"/>
      <c r="HMD22" s="1" t="n"/>
      <c r="HME22" s="3" t="n"/>
      <c r="HMF22" s="4" t="n"/>
      <c r="HMG22" s="1" t="n"/>
      <c r="HMH22" s="1" t="n"/>
      <c r="HMI22" s="3" t="n"/>
      <c r="HMJ22" s="4" t="n"/>
      <c r="HMK22" s="1" t="n"/>
      <c r="HML22" s="1" t="n"/>
      <c r="HMM22" s="3" t="n"/>
      <c r="HMN22" s="4" t="n"/>
      <c r="HMO22" s="1" t="n"/>
      <c r="HMP22" s="1" t="n"/>
      <c r="HMQ22" s="3" t="n"/>
      <c r="HMR22" s="4" t="n"/>
      <c r="HMS22" s="1" t="n"/>
      <c r="HMT22" s="1" t="n"/>
      <c r="HMU22" s="3" t="n"/>
      <c r="HMV22" s="4" t="n"/>
      <c r="HMW22" s="1" t="n"/>
      <c r="HMX22" s="1" t="n"/>
      <c r="HMY22" s="3" t="n"/>
      <c r="HMZ22" s="4" t="n"/>
      <c r="HNA22" s="1" t="n"/>
      <c r="HNB22" s="1" t="n"/>
      <c r="HNC22" s="3" t="n"/>
      <c r="HND22" s="4" t="n"/>
      <c r="HNE22" s="1" t="n"/>
      <c r="HNF22" s="1" t="n"/>
      <c r="HNG22" s="3" t="n"/>
      <c r="HNH22" s="4" t="n"/>
      <c r="HNI22" s="1" t="n"/>
      <c r="HNJ22" s="1" t="n"/>
      <c r="HNK22" s="3" t="n"/>
      <c r="HNL22" s="4" t="n"/>
      <c r="HNM22" s="1" t="n"/>
      <c r="HNN22" s="1" t="n"/>
      <c r="HNO22" s="3" t="n"/>
      <c r="HNP22" s="4" t="n"/>
      <c r="HNQ22" s="1" t="n"/>
      <c r="HNR22" s="1" t="n"/>
      <c r="HNS22" s="3" t="n"/>
      <c r="HNT22" s="4" t="n"/>
      <c r="HNU22" s="1" t="n"/>
      <c r="HNV22" s="1" t="n"/>
      <c r="HNW22" s="3" t="n"/>
      <c r="HNX22" s="4" t="n"/>
      <c r="HNY22" s="1" t="n"/>
      <c r="HNZ22" s="1" t="n"/>
      <c r="HOA22" s="3" t="n"/>
      <c r="HOB22" s="4" t="n"/>
      <c r="HOC22" s="1" t="n"/>
      <c r="HOD22" s="1" t="n"/>
      <c r="HOE22" s="3" t="n"/>
      <c r="HOF22" s="4" t="n"/>
      <c r="HOG22" s="1" t="n"/>
      <c r="HOH22" s="1" t="n"/>
      <c r="HOI22" s="3" t="n"/>
      <c r="HOJ22" s="4" t="n"/>
      <c r="HOK22" s="1" t="n"/>
      <c r="HOL22" s="1" t="n"/>
      <c r="HOM22" s="3" t="n"/>
      <c r="HON22" s="4" t="n"/>
      <c r="HOO22" s="1" t="n"/>
      <c r="HOP22" s="1" t="n"/>
      <c r="HOQ22" s="3" t="n"/>
      <c r="HOR22" s="4" t="n"/>
      <c r="HOS22" s="1" t="n"/>
      <c r="HOT22" s="1" t="n"/>
      <c r="HOU22" s="3" t="n"/>
      <c r="HOV22" s="4" t="n"/>
      <c r="HOW22" s="1" t="n"/>
      <c r="HOX22" s="1" t="n"/>
      <c r="HOY22" s="3" t="n"/>
      <c r="HOZ22" s="4" t="n"/>
      <c r="HPA22" s="1" t="n"/>
      <c r="HPB22" s="1" t="n"/>
      <c r="HPC22" s="3" t="n"/>
      <c r="HPD22" s="4" t="n"/>
      <c r="HPE22" s="1" t="n"/>
      <c r="HPF22" s="1" t="n"/>
      <c r="HPG22" s="3" t="n"/>
      <c r="HPH22" s="4" t="n"/>
      <c r="HPI22" s="1" t="n"/>
      <c r="HPJ22" s="1" t="n"/>
      <c r="HPK22" s="3" t="n"/>
      <c r="HPL22" s="4" t="n"/>
      <c r="HPM22" s="1" t="n"/>
      <c r="HPN22" s="1" t="n"/>
      <c r="HPO22" s="3" t="n"/>
      <c r="HPP22" s="4" t="n"/>
      <c r="HPQ22" s="1" t="n"/>
      <c r="HPR22" s="1" t="n"/>
      <c r="HPS22" s="3" t="n"/>
      <c r="HPT22" s="4" t="n"/>
      <c r="HPU22" s="1" t="n"/>
      <c r="HPV22" s="1" t="n"/>
      <c r="HPW22" s="3" t="n"/>
      <c r="HPX22" s="4" t="n"/>
      <c r="HPY22" s="1" t="n"/>
      <c r="HPZ22" s="1" t="n"/>
      <c r="HQA22" s="3" t="n"/>
      <c r="HQB22" s="4" t="n"/>
      <c r="HQC22" s="1" t="n"/>
      <c r="HQD22" s="1" t="n"/>
      <c r="HQE22" s="3" t="n"/>
      <c r="HQF22" s="4" t="n"/>
      <c r="HQG22" s="1" t="n"/>
      <c r="HQH22" s="1" t="n"/>
      <c r="HQI22" s="3" t="n"/>
      <c r="HQJ22" s="4" t="n"/>
      <c r="HQK22" s="1" t="n"/>
      <c r="HQL22" s="1" t="n"/>
      <c r="HQM22" s="3" t="n"/>
      <c r="HQN22" s="4" t="n"/>
      <c r="HQO22" s="1" t="n"/>
      <c r="HQP22" s="1" t="n"/>
      <c r="HQQ22" s="3" t="n"/>
      <c r="HQR22" s="4" t="n"/>
      <c r="HQS22" s="1" t="n"/>
      <c r="HQT22" s="1" t="n"/>
      <c r="HQU22" s="3" t="n"/>
      <c r="HQV22" s="4" t="n"/>
      <c r="HQW22" s="1" t="n"/>
      <c r="HQX22" s="1" t="n"/>
      <c r="HQY22" s="3" t="n"/>
      <c r="HQZ22" s="4" t="n"/>
      <c r="HRA22" s="1" t="n"/>
      <c r="HRB22" s="1" t="n"/>
      <c r="HRC22" s="3" t="n"/>
      <c r="HRD22" s="4" t="n"/>
      <c r="HRE22" s="1" t="n"/>
      <c r="HRF22" s="1" t="n"/>
      <c r="HRG22" s="3" t="n"/>
      <c r="HRH22" s="4" t="n"/>
      <c r="HRI22" s="1" t="n"/>
      <c r="HRJ22" s="1" t="n"/>
      <c r="HRK22" s="3" t="n"/>
      <c r="HRL22" s="4" t="n"/>
      <c r="HRM22" s="1" t="n"/>
      <c r="HRN22" s="1" t="n"/>
      <c r="HRO22" s="3" t="n"/>
      <c r="HRP22" s="4" t="n"/>
      <c r="HRQ22" s="1" t="n"/>
      <c r="HRR22" s="1" t="n"/>
      <c r="HRS22" s="3" t="n"/>
      <c r="HRT22" s="4" t="n"/>
      <c r="HRU22" s="1" t="n"/>
      <c r="HRV22" s="1" t="n"/>
      <c r="HRW22" s="3" t="n"/>
      <c r="HRX22" s="4" t="n"/>
      <c r="HRY22" s="1" t="n"/>
      <c r="HRZ22" s="1" t="n"/>
      <c r="HSA22" s="3" t="n"/>
      <c r="HSB22" s="4" t="n"/>
      <c r="HSC22" s="1" t="n"/>
      <c r="HSD22" s="1" t="n"/>
      <c r="HSE22" s="3" t="n"/>
      <c r="HSF22" s="4" t="n"/>
      <c r="HSG22" s="1" t="n"/>
      <c r="HSH22" s="1" t="n"/>
      <c r="HSI22" s="3" t="n"/>
      <c r="HSJ22" s="4" t="n"/>
      <c r="HSK22" s="1" t="n"/>
      <c r="HSL22" s="1" t="n"/>
      <c r="HSM22" s="3" t="n"/>
      <c r="HSN22" s="4" t="n"/>
      <c r="HSO22" s="1" t="n"/>
      <c r="HSP22" s="1" t="n"/>
      <c r="HSQ22" s="3" t="n"/>
      <c r="HSR22" s="4" t="n"/>
      <c r="HSS22" s="1" t="n"/>
      <c r="HST22" s="1" t="n"/>
      <c r="HSU22" s="3" t="n"/>
      <c r="HSV22" s="4" t="n"/>
      <c r="HSW22" s="1" t="n"/>
      <c r="HSX22" s="1" t="n"/>
      <c r="HSY22" s="3" t="n"/>
      <c r="HSZ22" s="4" t="n"/>
      <c r="HTA22" s="1" t="n"/>
      <c r="HTB22" s="1" t="n"/>
      <c r="HTC22" s="3" t="n"/>
      <c r="HTD22" s="4" t="n"/>
      <c r="HTE22" s="1" t="n"/>
      <c r="HTF22" s="1" t="n"/>
      <c r="HTG22" s="3" t="n"/>
      <c r="HTH22" s="4" t="n"/>
      <c r="HTI22" s="1" t="n"/>
      <c r="HTJ22" s="1" t="n"/>
      <c r="HTK22" s="3" t="n"/>
      <c r="HTL22" s="4" t="n"/>
      <c r="HTM22" s="1" t="n"/>
      <c r="HTN22" s="1" t="n"/>
      <c r="HTO22" s="3" t="n"/>
      <c r="HTP22" s="4" t="n"/>
      <c r="HTQ22" s="1" t="n"/>
      <c r="HTR22" s="1" t="n"/>
      <c r="HTS22" s="3" t="n"/>
      <c r="HTT22" s="4" t="n"/>
      <c r="HTU22" s="1" t="n"/>
      <c r="HTV22" s="1" t="n"/>
      <c r="HTW22" s="3" t="n"/>
      <c r="HTX22" s="4" t="n"/>
      <c r="HTY22" s="1" t="n"/>
      <c r="HTZ22" s="1" t="n"/>
      <c r="HUA22" s="3" t="n"/>
      <c r="HUB22" s="4" t="n"/>
      <c r="HUC22" s="1" t="n"/>
      <c r="HUD22" s="1" t="n"/>
      <c r="HUE22" s="3" t="n"/>
      <c r="HUF22" s="4" t="n"/>
      <c r="HUG22" s="1" t="n"/>
      <c r="HUH22" s="1" t="n"/>
      <c r="HUI22" s="3" t="n"/>
      <c r="HUJ22" s="4" t="n"/>
      <c r="HUK22" s="1" t="n"/>
      <c r="HUL22" s="1" t="n"/>
      <c r="HUM22" s="3" t="n"/>
      <c r="HUN22" s="4" t="n"/>
      <c r="HUO22" s="1" t="n"/>
      <c r="HUP22" s="1" t="n"/>
      <c r="HUQ22" s="3" t="n"/>
      <c r="HUR22" s="4" t="n"/>
      <c r="HUS22" s="1" t="n"/>
      <c r="HUT22" s="1" t="n"/>
      <c r="HUU22" s="3" t="n"/>
      <c r="HUV22" s="4" t="n"/>
      <c r="HUW22" s="1" t="n"/>
      <c r="HUX22" s="1" t="n"/>
      <c r="HUY22" s="3" t="n"/>
      <c r="HUZ22" s="4" t="n"/>
      <c r="HVA22" s="1" t="n"/>
      <c r="HVB22" s="1" t="n"/>
      <c r="HVC22" s="3" t="n"/>
      <c r="HVD22" s="4" t="n"/>
      <c r="HVE22" s="1" t="n"/>
      <c r="HVF22" s="1" t="n"/>
      <c r="HVG22" s="3" t="n"/>
      <c r="HVH22" s="4" t="n"/>
      <c r="HVI22" s="1" t="n"/>
      <c r="HVJ22" s="1" t="n"/>
      <c r="HVK22" s="3" t="n"/>
      <c r="HVL22" s="4" t="n"/>
      <c r="HVM22" s="1" t="n"/>
      <c r="HVN22" s="1" t="n"/>
      <c r="HVO22" s="3" t="n"/>
      <c r="HVP22" s="4" t="n"/>
      <c r="HVQ22" s="1" t="n"/>
      <c r="HVR22" s="1" t="n"/>
      <c r="HVS22" s="3" t="n"/>
      <c r="HVT22" s="4" t="n"/>
      <c r="HVU22" s="1" t="n"/>
      <c r="HVV22" s="1" t="n"/>
      <c r="HVW22" s="3" t="n"/>
      <c r="HVX22" s="4" t="n"/>
      <c r="HVY22" s="1" t="n"/>
      <c r="HVZ22" s="1" t="n"/>
      <c r="HWA22" s="3" t="n"/>
      <c r="HWB22" s="4" t="n"/>
      <c r="HWC22" s="1" t="n"/>
      <c r="HWD22" s="1" t="n"/>
      <c r="HWE22" s="3" t="n"/>
      <c r="HWF22" s="4" t="n"/>
      <c r="HWG22" s="1" t="n"/>
      <c r="HWH22" s="1" t="n"/>
      <c r="HWI22" s="3" t="n"/>
      <c r="HWJ22" s="4" t="n"/>
      <c r="HWK22" s="1" t="n"/>
      <c r="HWL22" s="1" t="n"/>
      <c r="HWM22" s="3" t="n"/>
      <c r="HWN22" s="4" t="n"/>
      <c r="HWO22" s="1" t="n"/>
      <c r="HWP22" s="1" t="n"/>
      <c r="HWQ22" s="3" t="n"/>
      <c r="HWR22" s="4" t="n"/>
      <c r="HWS22" s="1" t="n"/>
      <c r="HWT22" s="1" t="n"/>
      <c r="HWU22" s="3" t="n"/>
      <c r="HWV22" s="4" t="n"/>
      <c r="HWW22" s="1" t="n"/>
      <c r="HWX22" s="1" t="n"/>
      <c r="HWY22" s="3" t="n"/>
      <c r="HWZ22" s="4" t="n"/>
      <c r="HXA22" s="1" t="n"/>
      <c r="HXB22" s="1" t="n"/>
      <c r="HXC22" s="3" t="n"/>
      <c r="HXD22" s="4" t="n"/>
      <c r="HXE22" s="1" t="n"/>
      <c r="HXF22" s="1" t="n"/>
      <c r="HXG22" s="3" t="n"/>
      <c r="HXH22" s="4" t="n"/>
      <c r="HXI22" s="1" t="n"/>
      <c r="HXJ22" s="1" t="n"/>
      <c r="HXK22" s="3" t="n"/>
      <c r="HXL22" s="4" t="n"/>
      <c r="HXM22" s="1" t="n"/>
      <c r="HXN22" s="1" t="n"/>
      <c r="HXO22" s="3" t="n"/>
      <c r="HXP22" s="4" t="n"/>
      <c r="HXQ22" s="1" t="n"/>
      <c r="HXR22" s="1" t="n"/>
      <c r="HXS22" s="3" t="n"/>
      <c r="HXT22" s="4" t="n"/>
      <c r="HXU22" s="1" t="n"/>
      <c r="HXV22" s="1" t="n"/>
      <c r="HXW22" s="3" t="n"/>
      <c r="HXX22" s="4" t="n"/>
      <c r="HXY22" s="1" t="n"/>
      <c r="HXZ22" s="1" t="n"/>
      <c r="HYA22" s="3" t="n"/>
      <c r="HYB22" s="4" t="n"/>
      <c r="HYC22" s="1" t="n"/>
      <c r="HYD22" s="1" t="n"/>
      <c r="HYE22" s="3" t="n"/>
      <c r="HYF22" s="4" t="n"/>
      <c r="HYG22" s="1" t="n"/>
      <c r="HYH22" s="1" t="n"/>
      <c r="HYI22" s="3" t="n"/>
      <c r="HYJ22" s="4" t="n"/>
      <c r="HYK22" s="1" t="n"/>
      <c r="HYL22" s="1" t="n"/>
      <c r="HYM22" s="3" t="n"/>
      <c r="HYN22" s="4" t="n"/>
      <c r="HYO22" s="1" t="n"/>
      <c r="HYP22" s="1" t="n"/>
      <c r="HYQ22" s="3" t="n"/>
      <c r="HYR22" s="4" t="n"/>
      <c r="HYS22" s="1" t="n"/>
      <c r="HYT22" s="1" t="n"/>
      <c r="HYU22" s="3" t="n"/>
      <c r="HYV22" s="4" t="n"/>
      <c r="HYW22" s="1" t="n"/>
      <c r="HYX22" s="1" t="n"/>
      <c r="HYY22" s="3" t="n"/>
      <c r="HYZ22" s="4" t="n"/>
      <c r="HZA22" s="1" t="n"/>
      <c r="HZB22" s="1" t="n"/>
      <c r="HZC22" s="3" t="n"/>
      <c r="HZD22" s="4" t="n"/>
      <c r="HZE22" s="1" t="n"/>
      <c r="HZF22" s="1" t="n"/>
      <c r="HZG22" s="3" t="n"/>
      <c r="HZH22" s="4" t="n"/>
      <c r="HZI22" s="1" t="n"/>
      <c r="HZJ22" s="1" t="n"/>
      <c r="HZK22" s="3" t="n"/>
      <c r="HZL22" s="4" t="n"/>
      <c r="HZM22" s="1" t="n"/>
      <c r="HZN22" s="1" t="n"/>
      <c r="HZO22" s="3" t="n"/>
      <c r="HZP22" s="4" t="n"/>
      <c r="HZQ22" s="1" t="n"/>
      <c r="HZR22" s="1" t="n"/>
      <c r="HZS22" s="3" t="n"/>
      <c r="HZT22" s="4" t="n"/>
      <c r="HZU22" s="1" t="n"/>
      <c r="HZV22" s="1" t="n"/>
      <c r="HZW22" s="3" t="n"/>
      <c r="HZX22" s="4" t="n"/>
      <c r="HZY22" s="1" t="n"/>
      <c r="HZZ22" s="1" t="n"/>
      <c r="IAA22" s="3" t="n"/>
      <c r="IAB22" s="4" t="n"/>
      <c r="IAC22" s="1" t="n"/>
      <c r="IAD22" s="1" t="n"/>
      <c r="IAE22" s="3" t="n"/>
      <c r="IAF22" s="4" t="n"/>
      <c r="IAG22" s="1" t="n"/>
      <c r="IAH22" s="1" t="n"/>
      <c r="IAI22" s="3" t="n"/>
      <c r="IAJ22" s="4" t="n"/>
      <c r="IAK22" s="1" t="n"/>
      <c r="IAL22" s="1" t="n"/>
      <c r="IAM22" s="3" t="n"/>
      <c r="IAN22" s="4" t="n"/>
      <c r="IAO22" s="1" t="n"/>
      <c r="IAP22" s="1" t="n"/>
      <c r="IAQ22" s="3" t="n"/>
      <c r="IAR22" s="4" t="n"/>
      <c r="IAS22" s="1" t="n"/>
      <c r="IAT22" s="1" t="n"/>
      <c r="IAU22" s="3" t="n"/>
      <c r="IAV22" s="4" t="n"/>
      <c r="IAW22" s="1" t="n"/>
      <c r="IAX22" s="1" t="n"/>
      <c r="IAY22" s="3" t="n"/>
      <c r="IAZ22" s="4" t="n"/>
      <c r="IBA22" s="1" t="n"/>
      <c r="IBB22" s="1" t="n"/>
      <c r="IBC22" s="3" t="n"/>
      <c r="IBD22" s="4" t="n"/>
      <c r="IBE22" s="1" t="n"/>
      <c r="IBF22" s="1" t="n"/>
      <c r="IBG22" s="3" t="n"/>
      <c r="IBH22" s="4" t="n"/>
      <c r="IBI22" s="1" t="n"/>
      <c r="IBJ22" s="1" t="n"/>
      <c r="IBK22" s="3" t="n"/>
      <c r="IBL22" s="4" t="n"/>
      <c r="IBM22" s="1" t="n"/>
      <c r="IBN22" s="1" t="n"/>
      <c r="IBO22" s="3" t="n"/>
      <c r="IBP22" s="4" t="n"/>
      <c r="IBQ22" s="1" t="n"/>
      <c r="IBR22" s="1" t="n"/>
      <c r="IBS22" s="3" t="n"/>
      <c r="IBT22" s="4" t="n"/>
      <c r="IBU22" s="1" t="n"/>
      <c r="IBV22" s="1" t="n"/>
      <c r="IBW22" s="3" t="n"/>
      <c r="IBX22" s="4" t="n"/>
      <c r="IBY22" s="1" t="n"/>
      <c r="IBZ22" s="1" t="n"/>
      <c r="ICA22" s="3" t="n"/>
      <c r="ICB22" s="4" t="n"/>
      <c r="ICC22" s="1" t="n"/>
      <c r="ICD22" s="1" t="n"/>
      <c r="ICE22" s="3" t="n"/>
      <c r="ICF22" s="4" t="n"/>
      <c r="ICG22" s="1" t="n"/>
      <c r="ICH22" s="1" t="n"/>
      <c r="ICI22" s="3" t="n"/>
      <c r="ICJ22" s="4" t="n"/>
      <c r="ICK22" s="1" t="n"/>
      <c r="ICL22" s="1" t="n"/>
      <c r="ICM22" s="3" t="n"/>
      <c r="ICN22" s="4" t="n"/>
      <c r="ICO22" s="1" t="n"/>
      <c r="ICP22" s="1" t="n"/>
      <c r="ICQ22" s="3" t="n"/>
      <c r="ICR22" s="4" t="n"/>
      <c r="ICS22" s="1" t="n"/>
      <c r="ICT22" s="1" t="n"/>
      <c r="ICU22" s="3" t="n"/>
      <c r="ICV22" s="4" t="n"/>
      <c r="ICW22" s="1" t="n"/>
      <c r="ICX22" s="1" t="n"/>
      <c r="ICY22" s="3" t="n"/>
      <c r="ICZ22" s="4" t="n"/>
      <c r="IDA22" s="1" t="n"/>
      <c r="IDB22" s="1" t="n"/>
      <c r="IDC22" s="3" t="n"/>
      <c r="IDD22" s="4" t="n"/>
      <c r="IDE22" s="1" t="n"/>
      <c r="IDF22" s="1" t="n"/>
      <c r="IDG22" s="3" t="n"/>
      <c r="IDH22" s="4" t="n"/>
      <c r="IDI22" s="1" t="n"/>
      <c r="IDJ22" s="1" t="n"/>
      <c r="IDK22" s="3" t="n"/>
      <c r="IDL22" s="4" t="n"/>
      <c r="IDM22" s="1" t="n"/>
      <c r="IDN22" s="1" t="n"/>
      <c r="IDO22" s="3" t="n"/>
      <c r="IDP22" s="4" t="n"/>
      <c r="IDQ22" s="1" t="n"/>
      <c r="IDR22" s="1" t="n"/>
      <c r="IDS22" s="3" t="n"/>
      <c r="IDT22" s="4" t="n"/>
      <c r="IDU22" s="1" t="n"/>
      <c r="IDV22" s="1" t="n"/>
      <c r="IDW22" s="3" t="n"/>
      <c r="IDX22" s="4" t="n"/>
      <c r="IDY22" s="1" t="n"/>
      <c r="IDZ22" s="1" t="n"/>
      <c r="IEA22" s="3" t="n"/>
      <c r="IEB22" s="4" t="n"/>
      <c r="IEC22" s="1" t="n"/>
      <c r="IED22" s="1" t="n"/>
      <c r="IEE22" s="3" t="n"/>
      <c r="IEF22" s="4" t="n"/>
      <c r="IEG22" s="1" t="n"/>
      <c r="IEH22" s="1" t="n"/>
      <c r="IEI22" s="3" t="n"/>
      <c r="IEJ22" s="4" t="n"/>
      <c r="IEK22" s="1" t="n"/>
      <c r="IEL22" s="1" t="n"/>
      <c r="IEM22" s="3" t="n"/>
      <c r="IEN22" s="4" t="n"/>
      <c r="IEO22" s="1" t="n"/>
      <c r="IEP22" s="1" t="n"/>
      <c r="IEQ22" s="3" t="n"/>
      <c r="IER22" s="4" t="n"/>
      <c r="IES22" s="1" t="n"/>
      <c r="IET22" s="1" t="n"/>
      <c r="IEU22" s="3" t="n"/>
      <c r="IEV22" s="4" t="n"/>
      <c r="IEW22" s="1" t="n"/>
      <c r="IEX22" s="1" t="n"/>
      <c r="IEY22" s="3" t="n"/>
      <c r="IEZ22" s="4" t="n"/>
      <c r="IFA22" s="1" t="n"/>
      <c r="IFB22" s="1" t="n"/>
      <c r="IFC22" s="3" t="n"/>
      <c r="IFD22" s="4" t="n"/>
      <c r="IFE22" s="1" t="n"/>
      <c r="IFF22" s="1" t="n"/>
      <c r="IFG22" s="3" t="n"/>
      <c r="IFH22" s="4" t="n"/>
      <c r="IFI22" s="1" t="n"/>
      <c r="IFJ22" s="1" t="n"/>
      <c r="IFK22" s="3" t="n"/>
      <c r="IFL22" s="4" t="n"/>
      <c r="IFM22" s="1" t="n"/>
      <c r="IFN22" s="1" t="n"/>
      <c r="IFO22" s="3" t="n"/>
      <c r="IFP22" s="4" t="n"/>
      <c r="IFQ22" s="1" t="n"/>
      <c r="IFR22" s="1" t="n"/>
      <c r="IFS22" s="3" t="n"/>
      <c r="IFT22" s="4" t="n"/>
      <c r="IFU22" s="1" t="n"/>
      <c r="IFV22" s="1" t="n"/>
      <c r="IFW22" s="3" t="n"/>
      <c r="IFX22" s="4" t="n"/>
      <c r="IFY22" s="1" t="n"/>
      <c r="IFZ22" s="1" t="n"/>
      <c r="IGA22" s="3" t="n"/>
      <c r="IGB22" s="4" t="n"/>
      <c r="IGC22" s="1" t="n"/>
      <c r="IGD22" s="1" t="n"/>
      <c r="IGE22" s="3" t="n"/>
      <c r="IGF22" s="4" t="n"/>
      <c r="IGG22" s="1" t="n"/>
      <c r="IGH22" s="1" t="n"/>
      <c r="IGI22" s="3" t="n"/>
      <c r="IGJ22" s="4" t="n"/>
      <c r="IGK22" s="1" t="n"/>
      <c r="IGL22" s="1" t="n"/>
      <c r="IGM22" s="3" t="n"/>
      <c r="IGN22" s="4" t="n"/>
      <c r="IGO22" s="1" t="n"/>
      <c r="IGP22" s="1" t="n"/>
      <c r="IGQ22" s="3" t="n"/>
      <c r="IGR22" s="4" t="n"/>
      <c r="IGS22" s="1" t="n"/>
      <c r="IGT22" s="1" t="n"/>
      <c r="IGU22" s="3" t="n"/>
      <c r="IGV22" s="4" t="n"/>
      <c r="IGW22" s="1" t="n"/>
      <c r="IGX22" s="1" t="n"/>
      <c r="IGY22" s="3" t="n"/>
      <c r="IGZ22" s="4" t="n"/>
      <c r="IHA22" s="1" t="n"/>
      <c r="IHB22" s="1" t="n"/>
      <c r="IHC22" s="3" t="n"/>
      <c r="IHD22" s="4" t="n"/>
      <c r="IHE22" s="1" t="n"/>
      <c r="IHF22" s="1" t="n"/>
      <c r="IHG22" s="3" t="n"/>
      <c r="IHH22" s="4" t="n"/>
      <c r="IHI22" s="1" t="n"/>
      <c r="IHJ22" s="1" t="n"/>
      <c r="IHK22" s="3" t="n"/>
      <c r="IHL22" s="4" t="n"/>
      <c r="IHM22" s="1" t="n"/>
      <c r="IHN22" s="1" t="n"/>
      <c r="IHO22" s="3" t="n"/>
      <c r="IHP22" s="4" t="n"/>
      <c r="IHQ22" s="1" t="n"/>
      <c r="IHR22" s="1" t="n"/>
      <c r="IHS22" s="3" t="n"/>
      <c r="IHT22" s="4" t="n"/>
      <c r="IHU22" s="1" t="n"/>
      <c r="IHV22" s="1" t="n"/>
      <c r="IHW22" s="3" t="n"/>
      <c r="IHX22" s="4" t="n"/>
      <c r="IHY22" s="1" t="n"/>
      <c r="IHZ22" s="1" t="n"/>
      <c r="IIA22" s="3" t="n"/>
      <c r="IIB22" s="4" t="n"/>
      <c r="IIC22" s="1" t="n"/>
      <c r="IID22" s="1" t="n"/>
      <c r="IIE22" s="3" t="n"/>
      <c r="IIF22" s="4" t="n"/>
      <c r="IIG22" s="1" t="n"/>
      <c r="IIH22" s="1" t="n"/>
      <c r="III22" s="3" t="n"/>
      <c r="IIJ22" s="4" t="n"/>
      <c r="IIK22" s="1" t="n"/>
      <c r="IIL22" s="1" t="n"/>
      <c r="IIM22" s="3" t="n"/>
      <c r="IIN22" s="4" t="n"/>
      <c r="IIO22" s="1" t="n"/>
      <c r="IIP22" s="1" t="n"/>
      <c r="IIQ22" s="3" t="n"/>
      <c r="IIR22" s="4" t="n"/>
      <c r="IIS22" s="1" t="n"/>
      <c r="IIT22" s="1" t="n"/>
      <c r="IIU22" s="3" t="n"/>
      <c r="IIV22" s="4" t="n"/>
      <c r="IIW22" s="1" t="n"/>
      <c r="IIX22" s="1" t="n"/>
      <c r="IIY22" s="3" t="n"/>
      <c r="IIZ22" s="4" t="n"/>
      <c r="IJA22" s="1" t="n"/>
      <c r="IJB22" s="1" t="n"/>
      <c r="IJC22" s="3" t="n"/>
      <c r="IJD22" s="4" t="n"/>
      <c r="IJE22" s="1" t="n"/>
      <c r="IJF22" s="1" t="n"/>
      <c r="IJG22" s="3" t="n"/>
      <c r="IJH22" s="4" t="n"/>
      <c r="IJI22" s="1" t="n"/>
      <c r="IJJ22" s="1" t="n"/>
      <c r="IJK22" s="3" t="n"/>
      <c r="IJL22" s="4" t="n"/>
      <c r="IJM22" s="1" t="n"/>
      <c r="IJN22" s="1" t="n"/>
      <c r="IJO22" s="3" t="n"/>
      <c r="IJP22" s="4" t="n"/>
      <c r="IJQ22" s="1" t="n"/>
      <c r="IJR22" s="1" t="n"/>
      <c r="IJS22" s="3" t="n"/>
      <c r="IJT22" s="4" t="n"/>
      <c r="IJU22" s="1" t="n"/>
      <c r="IJV22" s="1" t="n"/>
      <c r="IJW22" s="3" t="n"/>
      <c r="IJX22" s="4" t="n"/>
      <c r="IJY22" s="1" t="n"/>
      <c r="IJZ22" s="1" t="n"/>
      <c r="IKA22" s="3" t="n"/>
      <c r="IKB22" s="4" t="n"/>
      <c r="IKC22" s="1" t="n"/>
      <c r="IKD22" s="1" t="n"/>
      <c r="IKE22" s="3" t="n"/>
      <c r="IKF22" s="4" t="n"/>
      <c r="IKG22" s="1" t="n"/>
      <c r="IKH22" s="1" t="n"/>
      <c r="IKI22" s="3" t="n"/>
      <c r="IKJ22" s="4" t="n"/>
      <c r="IKK22" s="1" t="n"/>
      <c r="IKL22" s="1" t="n"/>
      <c r="IKM22" s="3" t="n"/>
      <c r="IKN22" s="4" t="n"/>
      <c r="IKO22" s="1" t="n"/>
      <c r="IKP22" s="1" t="n"/>
      <c r="IKQ22" s="3" t="n"/>
      <c r="IKR22" s="4" t="n"/>
      <c r="IKS22" s="1" t="n"/>
      <c r="IKT22" s="1" t="n"/>
      <c r="IKU22" s="3" t="n"/>
      <c r="IKV22" s="4" t="n"/>
      <c r="IKW22" s="1" t="n"/>
      <c r="IKX22" s="1" t="n"/>
      <c r="IKY22" s="3" t="n"/>
      <c r="IKZ22" s="4" t="n"/>
      <c r="ILA22" s="1" t="n"/>
      <c r="ILB22" s="1" t="n"/>
      <c r="ILC22" s="3" t="n"/>
      <c r="ILD22" s="4" t="n"/>
      <c r="ILE22" s="1" t="n"/>
      <c r="ILF22" s="1" t="n"/>
      <c r="ILG22" s="3" t="n"/>
      <c r="ILH22" s="4" t="n"/>
      <c r="ILI22" s="1" t="n"/>
      <c r="ILJ22" s="1" t="n"/>
      <c r="ILK22" s="3" t="n"/>
      <c r="ILL22" s="4" t="n"/>
      <c r="ILM22" s="1" t="n"/>
      <c r="ILN22" s="1" t="n"/>
      <c r="ILO22" s="3" t="n"/>
      <c r="ILP22" s="4" t="n"/>
      <c r="ILQ22" s="1" t="n"/>
      <c r="ILR22" s="1" t="n"/>
      <c r="ILS22" s="3" t="n"/>
      <c r="ILT22" s="4" t="n"/>
      <c r="ILU22" s="1" t="n"/>
      <c r="ILV22" s="1" t="n"/>
      <c r="ILW22" s="3" t="n"/>
      <c r="ILX22" s="4" t="n"/>
      <c r="ILY22" s="1" t="n"/>
      <c r="ILZ22" s="1" t="n"/>
      <c r="IMA22" s="3" t="n"/>
      <c r="IMB22" s="4" t="n"/>
      <c r="IMC22" s="1" t="n"/>
      <c r="IMD22" s="1" t="n"/>
      <c r="IME22" s="3" t="n"/>
      <c r="IMF22" s="4" t="n"/>
      <c r="IMG22" s="1" t="n"/>
      <c r="IMH22" s="1" t="n"/>
      <c r="IMI22" s="3" t="n"/>
      <c r="IMJ22" s="4" t="n"/>
      <c r="IMK22" s="1" t="n"/>
      <c r="IML22" s="1" t="n"/>
      <c r="IMM22" s="3" t="n"/>
      <c r="IMN22" s="4" t="n"/>
      <c r="IMO22" s="1" t="n"/>
      <c r="IMP22" s="1" t="n"/>
      <c r="IMQ22" s="3" t="n"/>
      <c r="IMR22" s="4" t="n"/>
      <c r="IMS22" s="1" t="n"/>
      <c r="IMT22" s="1" t="n"/>
      <c r="IMU22" s="3" t="n"/>
      <c r="IMV22" s="4" t="n"/>
      <c r="IMW22" s="1" t="n"/>
      <c r="IMX22" s="1" t="n"/>
      <c r="IMY22" s="3" t="n"/>
      <c r="IMZ22" s="4" t="n"/>
      <c r="INA22" s="1" t="n"/>
      <c r="INB22" s="1" t="n"/>
      <c r="INC22" s="3" t="n"/>
      <c r="IND22" s="4" t="n"/>
      <c r="INE22" s="1" t="n"/>
      <c r="INF22" s="1" t="n"/>
      <c r="ING22" s="3" t="n"/>
      <c r="INH22" s="4" t="n"/>
      <c r="INI22" s="1" t="n"/>
      <c r="INJ22" s="1" t="n"/>
      <c r="INK22" s="3" t="n"/>
      <c r="INL22" s="4" t="n"/>
      <c r="INM22" s="1" t="n"/>
      <c r="INN22" s="1" t="n"/>
      <c r="INO22" s="3" t="n"/>
      <c r="INP22" s="4" t="n"/>
      <c r="INQ22" s="1" t="n"/>
      <c r="INR22" s="1" t="n"/>
      <c r="INS22" s="3" t="n"/>
      <c r="INT22" s="4" t="n"/>
      <c r="INU22" s="1" t="n"/>
      <c r="INV22" s="1" t="n"/>
      <c r="INW22" s="3" t="n"/>
      <c r="INX22" s="4" t="n"/>
      <c r="INY22" s="1" t="n"/>
      <c r="INZ22" s="1" t="n"/>
      <c r="IOA22" s="3" t="n"/>
      <c r="IOB22" s="4" t="n"/>
      <c r="IOC22" s="1" t="n"/>
      <c r="IOD22" s="1" t="n"/>
      <c r="IOE22" s="3" t="n"/>
      <c r="IOF22" s="4" t="n"/>
      <c r="IOG22" s="1" t="n"/>
      <c r="IOH22" s="1" t="n"/>
      <c r="IOI22" s="3" t="n"/>
      <c r="IOJ22" s="4" t="n"/>
      <c r="IOK22" s="1" t="n"/>
      <c r="IOL22" s="1" t="n"/>
      <c r="IOM22" s="3" t="n"/>
      <c r="ION22" s="4" t="n"/>
      <c r="IOO22" s="1" t="n"/>
      <c r="IOP22" s="1" t="n"/>
      <c r="IOQ22" s="3" t="n"/>
      <c r="IOR22" s="4" t="n"/>
      <c r="IOS22" s="1" t="n"/>
      <c r="IOT22" s="1" t="n"/>
      <c r="IOU22" s="3" t="n"/>
      <c r="IOV22" s="4" t="n"/>
      <c r="IOW22" s="1" t="n"/>
      <c r="IOX22" s="1" t="n"/>
      <c r="IOY22" s="3" t="n"/>
      <c r="IOZ22" s="4" t="n"/>
      <c r="IPA22" s="1" t="n"/>
      <c r="IPB22" s="1" t="n"/>
      <c r="IPC22" s="3" t="n"/>
      <c r="IPD22" s="4" t="n"/>
      <c r="IPE22" s="1" t="n"/>
      <c r="IPF22" s="1" t="n"/>
      <c r="IPG22" s="3" t="n"/>
      <c r="IPH22" s="4" t="n"/>
      <c r="IPI22" s="1" t="n"/>
      <c r="IPJ22" s="1" t="n"/>
      <c r="IPK22" s="3" t="n"/>
      <c r="IPL22" s="4" t="n"/>
      <c r="IPM22" s="1" t="n"/>
      <c r="IPN22" s="1" t="n"/>
      <c r="IPO22" s="3" t="n"/>
      <c r="IPP22" s="4" t="n"/>
      <c r="IPQ22" s="1" t="n"/>
      <c r="IPR22" s="1" t="n"/>
      <c r="IPS22" s="3" t="n"/>
      <c r="IPT22" s="4" t="n"/>
      <c r="IPU22" s="1" t="n"/>
      <c r="IPV22" s="1" t="n"/>
      <c r="IPW22" s="3" t="n"/>
      <c r="IPX22" s="4" t="n"/>
      <c r="IPY22" s="1" t="n"/>
      <c r="IPZ22" s="1" t="n"/>
      <c r="IQA22" s="3" t="n"/>
      <c r="IQB22" s="4" t="n"/>
      <c r="IQC22" s="1" t="n"/>
      <c r="IQD22" s="1" t="n"/>
      <c r="IQE22" s="3" t="n"/>
      <c r="IQF22" s="4" t="n"/>
      <c r="IQG22" s="1" t="n"/>
      <c r="IQH22" s="1" t="n"/>
      <c r="IQI22" s="3" t="n"/>
      <c r="IQJ22" s="4" t="n"/>
      <c r="IQK22" s="1" t="n"/>
      <c r="IQL22" s="1" t="n"/>
      <c r="IQM22" s="3" t="n"/>
      <c r="IQN22" s="4" t="n"/>
      <c r="IQO22" s="1" t="n"/>
      <c r="IQP22" s="1" t="n"/>
      <c r="IQQ22" s="3" t="n"/>
      <c r="IQR22" s="4" t="n"/>
      <c r="IQS22" s="1" t="n"/>
      <c r="IQT22" s="1" t="n"/>
      <c r="IQU22" s="3" t="n"/>
      <c r="IQV22" s="4" t="n"/>
      <c r="IQW22" s="1" t="n"/>
      <c r="IQX22" s="1" t="n"/>
      <c r="IQY22" s="3" t="n"/>
      <c r="IQZ22" s="4" t="n"/>
      <c r="IRA22" s="1" t="n"/>
      <c r="IRB22" s="1" t="n"/>
      <c r="IRC22" s="3" t="n"/>
      <c r="IRD22" s="4" t="n"/>
      <c r="IRE22" s="1" t="n"/>
      <c r="IRF22" s="1" t="n"/>
      <c r="IRG22" s="3" t="n"/>
      <c r="IRH22" s="4" t="n"/>
      <c r="IRI22" s="1" t="n"/>
      <c r="IRJ22" s="1" t="n"/>
      <c r="IRK22" s="3" t="n"/>
      <c r="IRL22" s="4" t="n"/>
      <c r="IRM22" s="1" t="n"/>
      <c r="IRN22" s="1" t="n"/>
      <c r="IRO22" s="3" t="n"/>
      <c r="IRP22" s="4" t="n"/>
      <c r="IRQ22" s="1" t="n"/>
      <c r="IRR22" s="1" t="n"/>
      <c r="IRS22" s="3" t="n"/>
      <c r="IRT22" s="4" t="n"/>
      <c r="IRU22" s="1" t="n"/>
      <c r="IRV22" s="1" t="n"/>
      <c r="IRW22" s="3" t="n"/>
      <c r="IRX22" s="4" t="n"/>
      <c r="IRY22" s="1" t="n"/>
      <c r="IRZ22" s="1" t="n"/>
      <c r="ISA22" s="3" t="n"/>
      <c r="ISB22" s="4" t="n"/>
      <c r="ISC22" s="1" t="n"/>
      <c r="ISD22" s="1" t="n"/>
      <c r="ISE22" s="3" t="n"/>
      <c r="ISF22" s="4" t="n"/>
      <c r="ISG22" s="1" t="n"/>
      <c r="ISH22" s="1" t="n"/>
      <c r="ISI22" s="3" t="n"/>
      <c r="ISJ22" s="4" t="n"/>
      <c r="ISK22" s="1" t="n"/>
      <c r="ISL22" s="1" t="n"/>
      <c r="ISM22" s="3" t="n"/>
      <c r="ISN22" s="4" t="n"/>
      <c r="ISO22" s="1" t="n"/>
      <c r="ISP22" s="1" t="n"/>
      <c r="ISQ22" s="3" t="n"/>
      <c r="ISR22" s="4" t="n"/>
      <c r="ISS22" s="1" t="n"/>
      <c r="IST22" s="1" t="n"/>
      <c r="ISU22" s="3" t="n"/>
      <c r="ISV22" s="4" t="n"/>
      <c r="ISW22" s="1" t="n"/>
      <c r="ISX22" s="1" t="n"/>
      <c r="ISY22" s="3" t="n"/>
      <c r="ISZ22" s="4" t="n"/>
      <c r="ITA22" s="1" t="n"/>
      <c r="ITB22" s="1" t="n"/>
      <c r="ITC22" s="3" t="n"/>
      <c r="ITD22" s="4" t="n"/>
      <c r="ITE22" s="1" t="n"/>
      <c r="ITF22" s="1" t="n"/>
      <c r="ITG22" s="3" t="n"/>
      <c r="ITH22" s="4" t="n"/>
      <c r="ITI22" s="1" t="n"/>
      <c r="ITJ22" s="1" t="n"/>
      <c r="ITK22" s="3" t="n"/>
      <c r="ITL22" s="4" t="n"/>
      <c r="ITM22" s="1" t="n"/>
      <c r="ITN22" s="1" t="n"/>
      <c r="ITO22" s="3" t="n"/>
      <c r="ITP22" s="4" t="n"/>
      <c r="ITQ22" s="1" t="n"/>
      <c r="ITR22" s="1" t="n"/>
      <c r="ITS22" s="3" t="n"/>
      <c r="ITT22" s="4" t="n"/>
      <c r="ITU22" s="1" t="n"/>
      <c r="ITV22" s="1" t="n"/>
      <c r="ITW22" s="3" t="n"/>
      <c r="ITX22" s="4" t="n"/>
      <c r="ITY22" s="1" t="n"/>
      <c r="ITZ22" s="1" t="n"/>
      <c r="IUA22" s="3" t="n"/>
      <c r="IUB22" s="4" t="n"/>
      <c r="IUC22" s="1" t="n"/>
      <c r="IUD22" s="1" t="n"/>
      <c r="IUE22" s="3" t="n"/>
      <c r="IUF22" s="4" t="n"/>
      <c r="IUG22" s="1" t="n"/>
      <c r="IUH22" s="1" t="n"/>
      <c r="IUI22" s="3" t="n"/>
      <c r="IUJ22" s="4" t="n"/>
      <c r="IUK22" s="1" t="n"/>
      <c r="IUL22" s="1" t="n"/>
      <c r="IUM22" s="3" t="n"/>
      <c r="IUN22" s="4" t="n"/>
      <c r="IUO22" s="1" t="n"/>
      <c r="IUP22" s="1" t="n"/>
      <c r="IUQ22" s="3" t="n"/>
      <c r="IUR22" s="4" t="n"/>
      <c r="IUS22" s="1" t="n"/>
      <c r="IUT22" s="1" t="n"/>
      <c r="IUU22" s="3" t="n"/>
      <c r="IUV22" s="4" t="n"/>
      <c r="IUW22" s="1" t="n"/>
      <c r="IUX22" s="1" t="n"/>
      <c r="IUY22" s="3" t="n"/>
      <c r="IUZ22" s="4" t="n"/>
      <c r="IVA22" s="1" t="n"/>
      <c r="IVB22" s="1" t="n"/>
      <c r="IVC22" s="3" t="n"/>
      <c r="IVD22" s="4" t="n"/>
      <c r="IVE22" s="1" t="n"/>
      <c r="IVF22" s="1" t="n"/>
      <c r="IVG22" s="3" t="n"/>
      <c r="IVH22" s="4" t="n"/>
      <c r="IVI22" s="1" t="n"/>
      <c r="IVJ22" s="1" t="n"/>
      <c r="IVK22" s="3" t="n"/>
      <c r="IVL22" s="4" t="n"/>
      <c r="IVM22" s="1" t="n"/>
      <c r="IVN22" s="1" t="n"/>
      <c r="IVO22" s="3" t="n"/>
      <c r="IVP22" s="4" t="n"/>
      <c r="IVQ22" s="1" t="n"/>
      <c r="IVR22" s="1" t="n"/>
      <c r="IVS22" s="3" t="n"/>
      <c r="IVT22" s="4" t="n"/>
      <c r="IVU22" s="1" t="n"/>
      <c r="IVV22" s="1" t="n"/>
      <c r="IVW22" s="3" t="n"/>
      <c r="IVX22" s="4" t="n"/>
      <c r="IVY22" s="1" t="n"/>
      <c r="IVZ22" s="1" t="n"/>
      <c r="IWA22" s="3" t="n"/>
      <c r="IWB22" s="4" t="n"/>
      <c r="IWC22" s="1" t="n"/>
      <c r="IWD22" s="1" t="n"/>
      <c r="IWE22" s="3" t="n"/>
      <c r="IWF22" s="4" t="n"/>
      <c r="IWG22" s="1" t="n"/>
      <c r="IWH22" s="1" t="n"/>
      <c r="IWI22" s="3" t="n"/>
      <c r="IWJ22" s="4" t="n"/>
      <c r="IWK22" s="1" t="n"/>
      <c r="IWL22" s="1" t="n"/>
      <c r="IWM22" s="3" t="n"/>
      <c r="IWN22" s="4" t="n"/>
      <c r="IWO22" s="1" t="n"/>
      <c r="IWP22" s="1" t="n"/>
      <c r="IWQ22" s="3" t="n"/>
      <c r="IWR22" s="4" t="n"/>
      <c r="IWS22" s="1" t="n"/>
      <c r="IWT22" s="1" t="n"/>
      <c r="IWU22" s="3" t="n"/>
      <c r="IWV22" s="4" t="n"/>
      <c r="IWW22" s="1" t="n"/>
      <c r="IWX22" s="1" t="n"/>
      <c r="IWY22" s="3" t="n"/>
      <c r="IWZ22" s="4" t="n"/>
      <c r="IXA22" s="1" t="n"/>
      <c r="IXB22" s="1" t="n"/>
      <c r="IXC22" s="3" t="n"/>
      <c r="IXD22" s="4" t="n"/>
      <c r="IXE22" s="1" t="n"/>
      <c r="IXF22" s="1" t="n"/>
      <c r="IXG22" s="3" t="n"/>
      <c r="IXH22" s="4" t="n"/>
      <c r="IXI22" s="1" t="n"/>
      <c r="IXJ22" s="1" t="n"/>
      <c r="IXK22" s="3" t="n"/>
      <c r="IXL22" s="4" t="n"/>
      <c r="IXM22" s="1" t="n"/>
      <c r="IXN22" s="1" t="n"/>
      <c r="IXO22" s="3" t="n"/>
      <c r="IXP22" s="4" t="n"/>
      <c r="IXQ22" s="1" t="n"/>
      <c r="IXR22" s="1" t="n"/>
      <c r="IXS22" s="3" t="n"/>
      <c r="IXT22" s="4" t="n"/>
      <c r="IXU22" s="1" t="n"/>
      <c r="IXV22" s="1" t="n"/>
      <c r="IXW22" s="3" t="n"/>
      <c r="IXX22" s="4" t="n"/>
      <c r="IXY22" s="1" t="n"/>
      <c r="IXZ22" s="1" t="n"/>
      <c r="IYA22" s="3" t="n"/>
      <c r="IYB22" s="4" t="n"/>
      <c r="IYC22" s="1" t="n"/>
      <c r="IYD22" s="1" t="n"/>
      <c r="IYE22" s="3" t="n"/>
      <c r="IYF22" s="4" t="n"/>
      <c r="IYG22" s="1" t="n"/>
      <c r="IYH22" s="1" t="n"/>
      <c r="IYI22" s="3" t="n"/>
      <c r="IYJ22" s="4" t="n"/>
      <c r="IYK22" s="1" t="n"/>
      <c r="IYL22" s="1" t="n"/>
      <c r="IYM22" s="3" t="n"/>
      <c r="IYN22" s="4" t="n"/>
      <c r="IYO22" s="1" t="n"/>
      <c r="IYP22" s="1" t="n"/>
      <c r="IYQ22" s="3" t="n"/>
      <c r="IYR22" s="4" t="n"/>
      <c r="IYS22" s="1" t="n"/>
      <c r="IYT22" s="1" t="n"/>
      <c r="IYU22" s="3" t="n"/>
      <c r="IYV22" s="4" t="n"/>
      <c r="IYW22" s="1" t="n"/>
      <c r="IYX22" s="1" t="n"/>
      <c r="IYY22" s="3" t="n"/>
      <c r="IYZ22" s="4" t="n"/>
      <c r="IZA22" s="1" t="n"/>
      <c r="IZB22" s="1" t="n"/>
      <c r="IZC22" s="3" t="n"/>
      <c r="IZD22" s="4" t="n"/>
      <c r="IZE22" s="1" t="n"/>
      <c r="IZF22" s="1" t="n"/>
      <c r="IZG22" s="3" t="n"/>
      <c r="IZH22" s="4" t="n"/>
      <c r="IZI22" s="1" t="n"/>
      <c r="IZJ22" s="1" t="n"/>
      <c r="IZK22" s="3" t="n"/>
      <c r="IZL22" s="4" t="n"/>
      <c r="IZM22" s="1" t="n"/>
      <c r="IZN22" s="1" t="n"/>
      <c r="IZO22" s="3" t="n"/>
      <c r="IZP22" s="4" t="n"/>
      <c r="IZQ22" s="1" t="n"/>
      <c r="IZR22" s="1" t="n"/>
      <c r="IZS22" s="3" t="n"/>
      <c r="IZT22" s="4" t="n"/>
      <c r="IZU22" s="1" t="n"/>
      <c r="IZV22" s="1" t="n"/>
      <c r="IZW22" s="3" t="n"/>
      <c r="IZX22" s="4" t="n"/>
      <c r="IZY22" s="1" t="n"/>
      <c r="IZZ22" s="1" t="n"/>
      <c r="JAA22" s="3" t="n"/>
      <c r="JAB22" s="4" t="n"/>
      <c r="JAC22" s="1" t="n"/>
      <c r="JAD22" s="1" t="n"/>
      <c r="JAE22" s="3" t="n"/>
      <c r="JAF22" s="4" t="n"/>
      <c r="JAG22" s="1" t="n"/>
      <c r="JAH22" s="1" t="n"/>
      <c r="JAI22" s="3" t="n"/>
      <c r="JAJ22" s="4" t="n"/>
      <c r="JAK22" s="1" t="n"/>
      <c r="JAL22" s="1" t="n"/>
      <c r="JAM22" s="3" t="n"/>
      <c r="JAN22" s="4" t="n"/>
      <c r="JAO22" s="1" t="n"/>
      <c r="JAP22" s="1" t="n"/>
      <c r="JAQ22" s="3" t="n"/>
      <c r="JAR22" s="4" t="n"/>
      <c r="JAS22" s="1" t="n"/>
      <c r="JAT22" s="1" t="n"/>
      <c r="JAU22" s="3" t="n"/>
      <c r="JAV22" s="4" t="n"/>
      <c r="JAW22" s="1" t="n"/>
      <c r="JAX22" s="1" t="n"/>
      <c r="JAY22" s="3" t="n"/>
      <c r="JAZ22" s="4" t="n"/>
      <c r="JBA22" s="1" t="n"/>
      <c r="JBB22" s="1" t="n"/>
      <c r="JBC22" s="3" t="n"/>
      <c r="JBD22" s="4" t="n"/>
      <c r="JBE22" s="1" t="n"/>
      <c r="JBF22" s="1" t="n"/>
      <c r="JBG22" s="3" t="n"/>
      <c r="JBH22" s="4" t="n"/>
      <c r="JBI22" s="1" t="n"/>
      <c r="JBJ22" s="1" t="n"/>
      <c r="JBK22" s="3" t="n"/>
      <c r="JBL22" s="4" t="n"/>
      <c r="JBM22" s="1" t="n"/>
      <c r="JBN22" s="1" t="n"/>
      <c r="JBO22" s="3" t="n"/>
      <c r="JBP22" s="4" t="n"/>
      <c r="JBQ22" s="1" t="n"/>
      <c r="JBR22" s="1" t="n"/>
      <c r="JBS22" s="3" t="n"/>
      <c r="JBT22" s="4" t="n"/>
      <c r="JBU22" s="1" t="n"/>
      <c r="JBV22" s="1" t="n"/>
      <c r="JBW22" s="3" t="n"/>
      <c r="JBX22" s="4" t="n"/>
      <c r="JBY22" s="1" t="n"/>
      <c r="JBZ22" s="1" t="n"/>
      <c r="JCA22" s="3" t="n"/>
      <c r="JCB22" s="4" t="n"/>
      <c r="JCC22" s="1" t="n"/>
      <c r="JCD22" s="1" t="n"/>
      <c r="JCE22" s="3" t="n"/>
      <c r="JCF22" s="4" t="n"/>
      <c r="JCG22" s="1" t="n"/>
      <c r="JCH22" s="1" t="n"/>
      <c r="JCI22" s="3" t="n"/>
      <c r="JCJ22" s="4" t="n"/>
      <c r="JCK22" s="1" t="n"/>
      <c r="JCL22" s="1" t="n"/>
      <c r="JCM22" s="3" t="n"/>
      <c r="JCN22" s="4" t="n"/>
      <c r="JCO22" s="1" t="n"/>
      <c r="JCP22" s="1" t="n"/>
      <c r="JCQ22" s="3" t="n"/>
      <c r="JCR22" s="4" t="n"/>
      <c r="JCS22" s="1" t="n"/>
      <c r="JCT22" s="1" t="n"/>
      <c r="JCU22" s="3" t="n"/>
      <c r="JCV22" s="4" t="n"/>
      <c r="JCW22" s="1" t="n"/>
      <c r="JCX22" s="1" t="n"/>
      <c r="JCY22" s="3" t="n"/>
      <c r="JCZ22" s="4" t="n"/>
      <c r="JDA22" s="1" t="n"/>
      <c r="JDB22" s="1" t="n"/>
      <c r="JDC22" s="3" t="n"/>
      <c r="JDD22" s="4" t="n"/>
      <c r="JDE22" s="1" t="n"/>
      <c r="JDF22" s="1" t="n"/>
      <c r="JDG22" s="3" t="n"/>
      <c r="JDH22" s="4" t="n"/>
      <c r="JDI22" s="1" t="n"/>
      <c r="JDJ22" s="1" t="n"/>
      <c r="JDK22" s="3" t="n"/>
      <c r="JDL22" s="4" t="n"/>
      <c r="JDM22" s="1" t="n"/>
      <c r="JDN22" s="1" t="n"/>
      <c r="JDO22" s="3" t="n"/>
      <c r="JDP22" s="4" t="n"/>
      <c r="JDQ22" s="1" t="n"/>
      <c r="JDR22" s="1" t="n"/>
      <c r="JDS22" s="3" t="n"/>
      <c r="JDT22" s="4" t="n"/>
      <c r="JDU22" s="1" t="n"/>
      <c r="JDV22" s="1" t="n"/>
      <c r="JDW22" s="3" t="n"/>
      <c r="JDX22" s="4" t="n"/>
      <c r="JDY22" s="1" t="n"/>
      <c r="JDZ22" s="1" t="n"/>
      <c r="JEA22" s="3" t="n"/>
      <c r="JEB22" s="4" t="n"/>
      <c r="JEC22" s="1" t="n"/>
      <c r="JED22" s="1" t="n"/>
      <c r="JEE22" s="3" t="n"/>
      <c r="JEF22" s="4" t="n"/>
      <c r="JEG22" s="1" t="n"/>
      <c r="JEH22" s="1" t="n"/>
      <c r="JEI22" s="3" t="n"/>
      <c r="JEJ22" s="4" t="n"/>
      <c r="JEK22" s="1" t="n"/>
      <c r="JEL22" s="1" t="n"/>
      <c r="JEM22" s="3" t="n"/>
      <c r="JEN22" s="4" t="n"/>
      <c r="JEO22" s="1" t="n"/>
      <c r="JEP22" s="1" t="n"/>
      <c r="JEQ22" s="3" t="n"/>
      <c r="JER22" s="4" t="n"/>
      <c r="JES22" s="1" t="n"/>
      <c r="JET22" s="1" t="n"/>
      <c r="JEU22" s="3" t="n"/>
      <c r="JEV22" s="4" t="n"/>
      <c r="JEW22" s="1" t="n"/>
      <c r="JEX22" s="1" t="n"/>
      <c r="JEY22" s="3" t="n"/>
      <c r="JEZ22" s="4" t="n"/>
      <c r="JFA22" s="1" t="n"/>
      <c r="JFB22" s="1" t="n"/>
      <c r="JFC22" s="3" t="n"/>
      <c r="JFD22" s="4" t="n"/>
      <c r="JFE22" s="1" t="n"/>
      <c r="JFF22" s="1" t="n"/>
      <c r="JFG22" s="3" t="n"/>
      <c r="JFH22" s="4" t="n"/>
      <c r="JFI22" s="1" t="n"/>
      <c r="JFJ22" s="1" t="n"/>
      <c r="JFK22" s="3" t="n"/>
      <c r="JFL22" s="4" t="n"/>
      <c r="JFM22" s="1" t="n"/>
      <c r="JFN22" s="1" t="n"/>
      <c r="JFO22" s="3" t="n"/>
      <c r="JFP22" s="4" t="n"/>
      <c r="JFQ22" s="1" t="n"/>
      <c r="JFR22" s="1" t="n"/>
      <c r="JFS22" s="3" t="n"/>
      <c r="JFT22" s="4" t="n"/>
      <c r="JFU22" s="1" t="n"/>
      <c r="JFV22" s="1" t="n"/>
      <c r="JFW22" s="3" t="n"/>
      <c r="JFX22" s="4" t="n"/>
      <c r="JFY22" s="1" t="n"/>
      <c r="JFZ22" s="1" t="n"/>
      <c r="JGA22" s="3" t="n"/>
      <c r="JGB22" s="4" t="n"/>
      <c r="JGC22" s="1" t="n"/>
      <c r="JGD22" s="1" t="n"/>
      <c r="JGE22" s="3" t="n"/>
      <c r="JGF22" s="4" t="n"/>
      <c r="JGG22" s="1" t="n"/>
      <c r="JGH22" s="1" t="n"/>
      <c r="JGI22" s="3" t="n"/>
      <c r="JGJ22" s="4" t="n"/>
      <c r="JGK22" s="1" t="n"/>
      <c r="JGL22" s="1" t="n"/>
      <c r="JGM22" s="3" t="n"/>
      <c r="JGN22" s="4" t="n"/>
      <c r="JGO22" s="1" t="n"/>
      <c r="JGP22" s="1" t="n"/>
      <c r="JGQ22" s="3" t="n"/>
      <c r="JGR22" s="4" t="n"/>
      <c r="JGS22" s="1" t="n"/>
      <c r="JGT22" s="1" t="n"/>
      <c r="JGU22" s="3" t="n"/>
      <c r="JGV22" s="4" t="n"/>
      <c r="JGW22" s="1" t="n"/>
      <c r="JGX22" s="1" t="n"/>
      <c r="JGY22" s="3" t="n"/>
      <c r="JGZ22" s="4" t="n"/>
      <c r="JHA22" s="1" t="n"/>
      <c r="JHB22" s="1" t="n"/>
      <c r="JHC22" s="3" t="n"/>
      <c r="JHD22" s="4" t="n"/>
      <c r="JHE22" s="1" t="n"/>
      <c r="JHF22" s="1" t="n"/>
      <c r="JHG22" s="3" t="n"/>
      <c r="JHH22" s="4" t="n"/>
      <c r="JHI22" s="1" t="n"/>
      <c r="JHJ22" s="1" t="n"/>
      <c r="JHK22" s="3" t="n"/>
      <c r="JHL22" s="4" t="n"/>
      <c r="JHM22" s="1" t="n"/>
      <c r="JHN22" s="1" t="n"/>
      <c r="JHO22" s="3" t="n"/>
      <c r="JHP22" s="4" t="n"/>
      <c r="JHQ22" s="1" t="n"/>
      <c r="JHR22" s="1" t="n"/>
      <c r="JHS22" s="3" t="n"/>
      <c r="JHT22" s="4" t="n"/>
      <c r="JHU22" s="1" t="n"/>
      <c r="JHV22" s="1" t="n"/>
      <c r="JHW22" s="3" t="n"/>
      <c r="JHX22" s="4" t="n"/>
      <c r="JHY22" s="1" t="n"/>
      <c r="JHZ22" s="1" t="n"/>
      <c r="JIA22" s="3" t="n"/>
      <c r="JIB22" s="4" t="n"/>
      <c r="JIC22" s="1" t="n"/>
      <c r="JID22" s="1" t="n"/>
      <c r="JIE22" s="3" t="n"/>
      <c r="JIF22" s="4" t="n"/>
      <c r="JIG22" s="1" t="n"/>
      <c r="JIH22" s="1" t="n"/>
      <c r="JII22" s="3" t="n"/>
      <c r="JIJ22" s="4" t="n"/>
      <c r="JIK22" s="1" t="n"/>
      <c r="JIL22" s="1" t="n"/>
      <c r="JIM22" s="3" t="n"/>
      <c r="JIN22" s="4" t="n"/>
      <c r="JIO22" s="1" t="n"/>
      <c r="JIP22" s="1" t="n"/>
      <c r="JIQ22" s="3" t="n"/>
      <c r="JIR22" s="4" t="n"/>
      <c r="JIS22" s="1" t="n"/>
      <c r="JIT22" s="1" t="n"/>
      <c r="JIU22" s="3" t="n"/>
      <c r="JIV22" s="4" t="n"/>
      <c r="JIW22" s="1" t="n"/>
      <c r="JIX22" s="1" t="n"/>
      <c r="JIY22" s="3" t="n"/>
      <c r="JIZ22" s="4" t="n"/>
      <c r="JJA22" s="1" t="n"/>
      <c r="JJB22" s="1" t="n"/>
      <c r="JJC22" s="3" t="n"/>
      <c r="JJD22" s="4" t="n"/>
      <c r="JJE22" s="1" t="n"/>
      <c r="JJF22" s="1" t="n"/>
      <c r="JJG22" s="3" t="n"/>
      <c r="JJH22" s="4" t="n"/>
      <c r="JJI22" s="1" t="n"/>
      <c r="JJJ22" s="1" t="n"/>
      <c r="JJK22" s="3" t="n"/>
      <c r="JJL22" s="4" t="n"/>
      <c r="JJM22" s="1" t="n"/>
      <c r="JJN22" s="1" t="n"/>
      <c r="JJO22" s="3" t="n"/>
      <c r="JJP22" s="4" t="n"/>
      <c r="JJQ22" s="1" t="n"/>
      <c r="JJR22" s="1" t="n"/>
      <c r="JJS22" s="3" t="n"/>
      <c r="JJT22" s="4" t="n"/>
      <c r="JJU22" s="1" t="n"/>
      <c r="JJV22" s="1" t="n"/>
      <c r="JJW22" s="3" t="n"/>
      <c r="JJX22" s="4" t="n"/>
      <c r="JJY22" s="1" t="n"/>
      <c r="JJZ22" s="1" t="n"/>
      <c r="JKA22" s="3" t="n"/>
      <c r="JKB22" s="4" t="n"/>
      <c r="JKC22" s="1" t="n"/>
      <c r="JKD22" s="1" t="n"/>
      <c r="JKE22" s="3" t="n"/>
      <c r="JKF22" s="4" t="n"/>
      <c r="JKG22" s="1" t="n"/>
      <c r="JKH22" s="1" t="n"/>
      <c r="JKI22" s="3" t="n"/>
      <c r="JKJ22" s="4" t="n"/>
      <c r="JKK22" s="1" t="n"/>
      <c r="JKL22" s="1" t="n"/>
      <c r="JKM22" s="3" t="n"/>
      <c r="JKN22" s="4" t="n"/>
      <c r="JKO22" s="1" t="n"/>
      <c r="JKP22" s="1" t="n"/>
      <c r="JKQ22" s="3" t="n"/>
      <c r="JKR22" s="4" t="n"/>
      <c r="JKS22" s="1" t="n"/>
      <c r="JKT22" s="1" t="n"/>
      <c r="JKU22" s="3" t="n"/>
      <c r="JKV22" s="4" t="n"/>
      <c r="JKW22" s="1" t="n"/>
      <c r="JKX22" s="1" t="n"/>
      <c r="JKY22" s="3" t="n"/>
      <c r="JKZ22" s="4" t="n"/>
      <c r="JLA22" s="1" t="n"/>
      <c r="JLB22" s="1" t="n"/>
      <c r="JLC22" s="3" t="n"/>
      <c r="JLD22" s="4" t="n"/>
      <c r="JLE22" s="1" t="n"/>
      <c r="JLF22" s="1" t="n"/>
      <c r="JLG22" s="3" t="n"/>
      <c r="JLH22" s="4" t="n"/>
      <c r="JLI22" s="1" t="n"/>
      <c r="JLJ22" s="1" t="n"/>
      <c r="JLK22" s="3" t="n"/>
      <c r="JLL22" s="4" t="n"/>
      <c r="JLM22" s="1" t="n"/>
      <c r="JLN22" s="1" t="n"/>
      <c r="JLO22" s="3" t="n"/>
      <c r="JLP22" s="4" t="n"/>
      <c r="JLQ22" s="1" t="n"/>
      <c r="JLR22" s="1" t="n"/>
      <c r="JLS22" s="3" t="n"/>
      <c r="JLT22" s="4" t="n"/>
      <c r="JLU22" s="1" t="n"/>
      <c r="JLV22" s="1" t="n"/>
      <c r="JLW22" s="3" t="n"/>
      <c r="JLX22" s="4" t="n"/>
      <c r="JLY22" s="1" t="n"/>
      <c r="JLZ22" s="1" t="n"/>
      <c r="JMA22" s="3" t="n"/>
      <c r="JMB22" s="4" t="n"/>
      <c r="JMC22" s="1" t="n"/>
      <c r="JMD22" s="1" t="n"/>
      <c r="JME22" s="3" t="n"/>
      <c r="JMF22" s="4" t="n"/>
      <c r="JMG22" s="1" t="n"/>
      <c r="JMH22" s="1" t="n"/>
      <c r="JMI22" s="3" t="n"/>
      <c r="JMJ22" s="4" t="n"/>
      <c r="JMK22" s="1" t="n"/>
      <c r="JML22" s="1" t="n"/>
      <c r="JMM22" s="3" t="n"/>
      <c r="JMN22" s="4" t="n"/>
      <c r="JMO22" s="1" t="n"/>
      <c r="JMP22" s="1" t="n"/>
      <c r="JMQ22" s="3" t="n"/>
      <c r="JMR22" s="4" t="n"/>
      <c r="JMS22" s="1" t="n"/>
      <c r="JMT22" s="1" t="n"/>
      <c r="JMU22" s="3" t="n"/>
      <c r="JMV22" s="4" t="n"/>
      <c r="JMW22" s="1" t="n"/>
      <c r="JMX22" s="1" t="n"/>
      <c r="JMY22" s="3" t="n"/>
      <c r="JMZ22" s="4" t="n"/>
      <c r="JNA22" s="1" t="n"/>
      <c r="JNB22" s="1" t="n"/>
      <c r="JNC22" s="3" t="n"/>
      <c r="JND22" s="4" t="n"/>
      <c r="JNE22" s="1" t="n"/>
      <c r="JNF22" s="1" t="n"/>
      <c r="JNG22" s="3" t="n"/>
      <c r="JNH22" s="4" t="n"/>
      <c r="JNI22" s="1" t="n"/>
      <c r="JNJ22" s="1" t="n"/>
      <c r="JNK22" s="3" t="n"/>
      <c r="JNL22" s="4" t="n"/>
      <c r="JNM22" s="1" t="n"/>
      <c r="JNN22" s="1" t="n"/>
      <c r="JNO22" s="3" t="n"/>
      <c r="JNP22" s="4" t="n"/>
      <c r="JNQ22" s="1" t="n"/>
      <c r="JNR22" s="1" t="n"/>
      <c r="JNS22" s="3" t="n"/>
      <c r="JNT22" s="4" t="n"/>
      <c r="JNU22" s="1" t="n"/>
      <c r="JNV22" s="1" t="n"/>
      <c r="JNW22" s="3" t="n"/>
      <c r="JNX22" s="4" t="n"/>
      <c r="JNY22" s="1" t="n"/>
      <c r="JNZ22" s="1" t="n"/>
      <c r="JOA22" s="3" t="n"/>
      <c r="JOB22" s="4" t="n"/>
      <c r="JOC22" s="1" t="n"/>
      <c r="JOD22" s="1" t="n"/>
      <c r="JOE22" s="3" t="n"/>
      <c r="JOF22" s="4" t="n"/>
      <c r="JOG22" s="1" t="n"/>
      <c r="JOH22" s="1" t="n"/>
      <c r="JOI22" s="3" t="n"/>
      <c r="JOJ22" s="4" t="n"/>
      <c r="JOK22" s="1" t="n"/>
      <c r="JOL22" s="1" t="n"/>
      <c r="JOM22" s="3" t="n"/>
      <c r="JON22" s="4" t="n"/>
      <c r="JOO22" s="1" t="n"/>
      <c r="JOP22" s="1" t="n"/>
      <c r="JOQ22" s="3" t="n"/>
      <c r="JOR22" s="4" t="n"/>
      <c r="JOS22" s="1" t="n"/>
      <c r="JOT22" s="1" t="n"/>
      <c r="JOU22" s="3" t="n"/>
      <c r="JOV22" s="4" t="n"/>
      <c r="JOW22" s="1" t="n"/>
      <c r="JOX22" s="1" t="n"/>
      <c r="JOY22" s="3" t="n"/>
      <c r="JOZ22" s="4" t="n"/>
      <c r="JPA22" s="1" t="n"/>
      <c r="JPB22" s="1" t="n"/>
      <c r="JPC22" s="3" t="n"/>
      <c r="JPD22" s="4" t="n"/>
      <c r="JPE22" s="1" t="n"/>
      <c r="JPF22" s="1" t="n"/>
      <c r="JPG22" s="3" t="n"/>
      <c r="JPH22" s="4" t="n"/>
      <c r="JPI22" s="1" t="n"/>
      <c r="JPJ22" s="1" t="n"/>
      <c r="JPK22" s="3" t="n"/>
      <c r="JPL22" s="4" t="n"/>
      <c r="JPM22" s="1" t="n"/>
      <c r="JPN22" s="1" t="n"/>
      <c r="JPO22" s="3" t="n"/>
      <c r="JPP22" s="4" t="n"/>
      <c r="JPQ22" s="1" t="n"/>
      <c r="JPR22" s="1" t="n"/>
      <c r="JPS22" s="3" t="n"/>
      <c r="JPT22" s="4" t="n"/>
      <c r="JPU22" s="1" t="n"/>
      <c r="JPV22" s="1" t="n"/>
      <c r="JPW22" s="3" t="n"/>
      <c r="JPX22" s="4" t="n"/>
      <c r="JPY22" s="1" t="n"/>
      <c r="JPZ22" s="1" t="n"/>
      <c r="JQA22" s="3" t="n"/>
      <c r="JQB22" s="4" t="n"/>
      <c r="JQC22" s="1" t="n"/>
      <c r="JQD22" s="1" t="n"/>
      <c r="JQE22" s="3" t="n"/>
      <c r="JQF22" s="4" t="n"/>
      <c r="JQG22" s="1" t="n"/>
      <c r="JQH22" s="1" t="n"/>
      <c r="JQI22" s="3" t="n"/>
      <c r="JQJ22" s="4" t="n"/>
      <c r="JQK22" s="1" t="n"/>
      <c r="JQL22" s="1" t="n"/>
      <c r="JQM22" s="3" t="n"/>
      <c r="JQN22" s="4" t="n"/>
      <c r="JQO22" s="1" t="n"/>
      <c r="JQP22" s="1" t="n"/>
      <c r="JQQ22" s="3" t="n"/>
      <c r="JQR22" s="4" t="n"/>
      <c r="JQS22" s="1" t="n"/>
      <c r="JQT22" s="1" t="n"/>
      <c r="JQU22" s="3" t="n"/>
      <c r="JQV22" s="4" t="n"/>
      <c r="JQW22" s="1" t="n"/>
      <c r="JQX22" s="1" t="n"/>
      <c r="JQY22" s="3" t="n"/>
      <c r="JQZ22" s="4" t="n"/>
      <c r="JRA22" s="1" t="n"/>
      <c r="JRB22" s="1" t="n"/>
      <c r="JRC22" s="3" t="n"/>
      <c r="JRD22" s="4" t="n"/>
      <c r="JRE22" s="1" t="n"/>
      <c r="JRF22" s="1" t="n"/>
      <c r="JRG22" s="3" t="n"/>
      <c r="JRH22" s="4" t="n"/>
      <c r="JRI22" s="1" t="n"/>
      <c r="JRJ22" s="1" t="n"/>
      <c r="JRK22" s="3" t="n"/>
      <c r="JRL22" s="4" t="n"/>
      <c r="JRM22" s="1" t="n"/>
      <c r="JRN22" s="1" t="n"/>
      <c r="JRO22" s="3" t="n"/>
      <c r="JRP22" s="4" t="n"/>
      <c r="JRQ22" s="1" t="n"/>
      <c r="JRR22" s="1" t="n"/>
      <c r="JRS22" s="3" t="n"/>
      <c r="JRT22" s="4" t="n"/>
      <c r="JRU22" s="1" t="n"/>
      <c r="JRV22" s="1" t="n"/>
      <c r="JRW22" s="3" t="n"/>
      <c r="JRX22" s="4" t="n"/>
      <c r="JRY22" s="1" t="n"/>
      <c r="JRZ22" s="1" t="n"/>
      <c r="JSA22" s="3" t="n"/>
      <c r="JSB22" s="4" t="n"/>
      <c r="JSC22" s="1" t="n"/>
      <c r="JSD22" s="1" t="n"/>
      <c r="JSE22" s="3" t="n"/>
      <c r="JSF22" s="4" t="n"/>
      <c r="JSG22" s="1" t="n"/>
      <c r="JSH22" s="1" t="n"/>
      <c r="JSI22" s="3" t="n"/>
      <c r="JSJ22" s="4" t="n"/>
      <c r="JSK22" s="1" t="n"/>
      <c r="JSL22" s="1" t="n"/>
      <c r="JSM22" s="3" t="n"/>
      <c r="JSN22" s="4" t="n"/>
      <c r="JSO22" s="1" t="n"/>
      <c r="JSP22" s="1" t="n"/>
      <c r="JSQ22" s="3" t="n"/>
      <c r="JSR22" s="4" t="n"/>
      <c r="JSS22" s="1" t="n"/>
      <c r="JST22" s="1" t="n"/>
      <c r="JSU22" s="3" t="n"/>
      <c r="JSV22" s="4" t="n"/>
      <c r="JSW22" s="1" t="n"/>
      <c r="JSX22" s="1" t="n"/>
      <c r="JSY22" s="3" t="n"/>
      <c r="JSZ22" s="4" t="n"/>
      <c r="JTA22" s="1" t="n"/>
      <c r="JTB22" s="1" t="n"/>
      <c r="JTC22" s="3" t="n"/>
      <c r="JTD22" s="4" t="n"/>
      <c r="JTE22" s="1" t="n"/>
      <c r="JTF22" s="1" t="n"/>
      <c r="JTG22" s="3" t="n"/>
      <c r="JTH22" s="4" t="n"/>
      <c r="JTI22" s="1" t="n"/>
      <c r="JTJ22" s="1" t="n"/>
      <c r="JTK22" s="3" t="n"/>
      <c r="JTL22" s="4" t="n"/>
      <c r="JTM22" s="1" t="n"/>
      <c r="JTN22" s="1" t="n"/>
      <c r="JTO22" s="3" t="n"/>
      <c r="JTP22" s="4" t="n"/>
      <c r="JTQ22" s="1" t="n"/>
      <c r="JTR22" s="1" t="n"/>
      <c r="JTS22" s="3" t="n"/>
      <c r="JTT22" s="4" t="n"/>
      <c r="JTU22" s="1" t="n"/>
      <c r="JTV22" s="1" t="n"/>
      <c r="JTW22" s="3" t="n"/>
      <c r="JTX22" s="4" t="n"/>
      <c r="JTY22" s="1" t="n"/>
      <c r="JTZ22" s="1" t="n"/>
      <c r="JUA22" s="3" t="n"/>
      <c r="JUB22" s="4" t="n"/>
      <c r="JUC22" s="1" t="n"/>
      <c r="JUD22" s="1" t="n"/>
      <c r="JUE22" s="3" t="n"/>
      <c r="JUF22" s="4" t="n"/>
      <c r="JUG22" s="1" t="n"/>
      <c r="JUH22" s="1" t="n"/>
      <c r="JUI22" s="3" t="n"/>
      <c r="JUJ22" s="4" t="n"/>
      <c r="JUK22" s="1" t="n"/>
      <c r="JUL22" s="1" t="n"/>
      <c r="JUM22" s="3" t="n"/>
      <c r="JUN22" s="4" t="n"/>
      <c r="JUO22" s="1" t="n"/>
      <c r="JUP22" s="1" t="n"/>
      <c r="JUQ22" s="3" t="n"/>
      <c r="JUR22" s="4" t="n"/>
      <c r="JUS22" s="1" t="n"/>
      <c r="JUT22" s="1" t="n"/>
      <c r="JUU22" s="3" t="n"/>
      <c r="JUV22" s="4" t="n"/>
      <c r="JUW22" s="1" t="n"/>
      <c r="JUX22" s="1" t="n"/>
      <c r="JUY22" s="3" t="n"/>
      <c r="JUZ22" s="4" t="n"/>
      <c r="JVA22" s="1" t="n"/>
      <c r="JVB22" s="1" t="n"/>
      <c r="JVC22" s="3" t="n"/>
      <c r="JVD22" s="4" t="n"/>
      <c r="JVE22" s="1" t="n"/>
      <c r="JVF22" s="1" t="n"/>
      <c r="JVG22" s="3" t="n"/>
      <c r="JVH22" s="4" t="n"/>
      <c r="JVI22" s="1" t="n"/>
      <c r="JVJ22" s="1" t="n"/>
      <c r="JVK22" s="3" t="n"/>
      <c r="JVL22" s="4" t="n"/>
      <c r="JVM22" s="1" t="n"/>
      <c r="JVN22" s="1" t="n"/>
      <c r="JVO22" s="3" t="n"/>
      <c r="JVP22" s="4" t="n"/>
      <c r="JVQ22" s="1" t="n"/>
      <c r="JVR22" s="1" t="n"/>
      <c r="JVS22" s="3" t="n"/>
      <c r="JVT22" s="4" t="n"/>
      <c r="JVU22" s="1" t="n"/>
      <c r="JVV22" s="1" t="n"/>
      <c r="JVW22" s="3" t="n"/>
      <c r="JVX22" s="4" t="n"/>
      <c r="JVY22" s="1" t="n"/>
      <c r="JVZ22" s="1" t="n"/>
      <c r="JWA22" s="3" t="n"/>
      <c r="JWB22" s="4" t="n"/>
      <c r="JWC22" s="1" t="n"/>
      <c r="JWD22" s="1" t="n"/>
      <c r="JWE22" s="3" t="n"/>
      <c r="JWF22" s="4" t="n"/>
      <c r="JWG22" s="1" t="n"/>
      <c r="JWH22" s="1" t="n"/>
      <c r="JWI22" s="3" t="n"/>
      <c r="JWJ22" s="4" t="n"/>
      <c r="JWK22" s="1" t="n"/>
      <c r="JWL22" s="1" t="n"/>
      <c r="JWM22" s="3" t="n"/>
      <c r="JWN22" s="4" t="n"/>
      <c r="JWO22" s="1" t="n"/>
      <c r="JWP22" s="1" t="n"/>
      <c r="JWQ22" s="3" t="n"/>
      <c r="JWR22" s="4" t="n"/>
      <c r="JWS22" s="1" t="n"/>
      <c r="JWT22" s="1" t="n"/>
      <c r="JWU22" s="3" t="n"/>
      <c r="JWV22" s="4" t="n"/>
      <c r="JWW22" s="1" t="n"/>
      <c r="JWX22" s="1" t="n"/>
      <c r="JWY22" s="3" t="n"/>
      <c r="JWZ22" s="4" t="n"/>
      <c r="JXA22" s="1" t="n"/>
      <c r="JXB22" s="1" t="n"/>
      <c r="JXC22" s="3" t="n"/>
      <c r="JXD22" s="4" t="n"/>
      <c r="JXE22" s="1" t="n"/>
      <c r="JXF22" s="1" t="n"/>
      <c r="JXG22" s="3" t="n"/>
      <c r="JXH22" s="4" t="n"/>
      <c r="JXI22" s="1" t="n"/>
      <c r="JXJ22" s="1" t="n"/>
      <c r="JXK22" s="3" t="n"/>
      <c r="JXL22" s="4" t="n"/>
      <c r="JXM22" s="1" t="n"/>
      <c r="JXN22" s="1" t="n"/>
      <c r="JXO22" s="3" t="n"/>
      <c r="JXP22" s="4" t="n"/>
      <c r="JXQ22" s="1" t="n"/>
      <c r="JXR22" s="1" t="n"/>
      <c r="JXS22" s="3" t="n"/>
      <c r="JXT22" s="4" t="n"/>
      <c r="JXU22" s="1" t="n"/>
      <c r="JXV22" s="1" t="n"/>
      <c r="JXW22" s="3" t="n"/>
      <c r="JXX22" s="4" t="n"/>
      <c r="JXY22" s="1" t="n"/>
      <c r="JXZ22" s="1" t="n"/>
      <c r="JYA22" s="3" t="n"/>
      <c r="JYB22" s="4" t="n"/>
      <c r="JYC22" s="1" t="n"/>
      <c r="JYD22" s="1" t="n"/>
      <c r="JYE22" s="3" t="n"/>
      <c r="JYF22" s="4" t="n"/>
      <c r="JYG22" s="1" t="n"/>
      <c r="JYH22" s="1" t="n"/>
      <c r="JYI22" s="3" t="n"/>
      <c r="JYJ22" s="4" t="n"/>
      <c r="JYK22" s="1" t="n"/>
      <c r="JYL22" s="1" t="n"/>
      <c r="JYM22" s="3" t="n"/>
      <c r="JYN22" s="4" t="n"/>
      <c r="JYO22" s="1" t="n"/>
      <c r="JYP22" s="1" t="n"/>
      <c r="JYQ22" s="3" t="n"/>
      <c r="JYR22" s="4" t="n"/>
      <c r="JYS22" s="1" t="n"/>
      <c r="JYT22" s="1" t="n"/>
      <c r="JYU22" s="3" t="n"/>
      <c r="JYV22" s="4" t="n"/>
      <c r="JYW22" s="1" t="n"/>
      <c r="JYX22" s="1" t="n"/>
      <c r="JYY22" s="3" t="n"/>
      <c r="JYZ22" s="4" t="n"/>
      <c r="JZA22" s="1" t="n"/>
      <c r="JZB22" s="1" t="n"/>
      <c r="JZC22" s="3" t="n"/>
      <c r="JZD22" s="4" t="n"/>
      <c r="JZE22" s="1" t="n"/>
      <c r="JZF22" s="1" t="n"/>
      <c r="JZG22" s="3" t="n"/>
      <c r="JZH22" s="4" t="n"/>
      <c r="JZI22" s="1" t="n"/>
      <c r="JZJ22" s="1" t="n"/>
      <c r="JZK22" s="3" t="n"/>
      <c r="JZL22" s="4" t="n"/>
      <c r="JZM22" s="1" t="n"/>
      <c r="JZN22" s="1" t="n"/>
      <c r="JZO22" s="3" t="n"/>
      <c r="JZP22" s="4" t="n"/>
      <c r="JZQ22" s="1" t="n"/>
      <c r="JZR22" s="1" t="n"/>
      <c r="JZS22" s="3" t="n"/>
      <c r="JZT22" s="4" t="n"/>
      <c r="JZU22" s="1" t="n"/>
      <c r="JZV22" s="1" t="n"/>
      <c r="JZW22" s="3" t="n"/>
      <c r="JZX22" s="4" t="n"/>
      <c r="JZY22" s="1" t="n"/>
      <c r="JZZ22" s="1" t="n"/>
      <c r="KAA22" s="3" t="n"/>
      <c r="KAB22" s="4" t="n"/>
      <c r="KAC22" s="1" t="n"/>
      <c r="KAD22" s="1" t="n"/>
      <c r="KAE22" s="3" t="n"/>
      <c r="KAF22" s="4" t="n"/>
      <c r="KAG22" s="1" t="n"/>
      <c r="KAH22" s="1" t="n"/>
      <c r="KAI22" s="3" t="n"/>
      <c r="KAJ22" s="4" t="n"/>
      <c r="KAK22" s="1" t="n"/>
      <c r="KAL22" s="1" t="n"/>
      <c r="KAM22" s="3" t="n"/>
      <c r="KAN22" s="4" t="n"/>
      <c r="KAO22" s="1" t="n"/>
      <c r="KAP22" s="1" t="n"/>
      <c r="KAQ22" s="3" t="n"/>
      <c r="KAR22" s="4" t="n"/>
      <c r="KAS22" s="1" t="n"/>
      <c r="KAT22" s="1" t="n"/>
      <c r="KAU22" s="3" t="n"/>
      <c r="KAV22" s="4" t="n"/>
      <c r="KAW22" s="1" t="n"/>
      <c r="KAX22" s="1" t="n"/>
      <c r="KAY22" s="3" t="n"/>
      <c r="KAZ22" s="4" t="n"/>
      <c r="KBA22" s="1" t="n"/>
      <c r="KBB22" s="1" t="n"/>
      <c r="KBC22" s="3" t="n"/>
      <c r="KBD22" s="4" t="n"/>
      <c r="KBE22" s="1" t="n"/>
      <c r="KBF22" s="1" t="n"/>
      <c r="KBG22" s="3" t="n"/>
      <c r="KBH22" s="4" t="n"/>
      <c r="KBI22" s="1" t="n"/>
      <c r="KBJ22" s="1" t="n"/>
      <c r="KBK22" s="3" t="n"/>
      <c r="KBL22" s="4" t="n"/>
      <c r="KBM22" s="1" t="n"/>
      <c r="KBN22" s="1" t="n"/>
      <c r="KBO22" s="3" t="n"/>
      <c r="KBP22" s="4" t="n"/>
      <c r="KBQ22" s="1" t="n"/>
      <c r="KBR22" s="1" t="n"/>
      <c r="KBS22" s="3" t="n"/>
      <c r="KBT22" s="4" t="n"/>
      <c r="KBU22" s="1" t="n"/>
      <c r="KBV22" s="1" t="n"/>
      <c r="KBW22" s="3" t="n"/>
      <c r="KBX22" s="4" t="n"/>
      <c r="KBY22" s="1" t="n"/>
      <c r="KBZ22" s="1" t="n"/>
      <c r="KCA22" s="3" t="n"/>
      <c r="KCB22" s="4" t="n"/>
      <c r="KCC22" s="1" t="n"/>
      <c r="KCD22" s="1" t="n"/>
      <c r="KCE22" s="3" t="n"/>
      <c r="KCF22" s="4" t="n"/>
      <c r="KCG22" s="1" t="n"/>
      <c r="KCH22" s="1" t="n"/>
      <c r="KCI22" s="3" t="n"/>
      <c r="KCJ22" s="4" t="n"/>
      <c r="KCK22" s="1" t="n"/>
      <c r="KCL22" s="1" t="n"/>
      <c r="KCM22" s="3" t="n"/>
      <c r="KCN22" s="4" t="n"/>
      <c r="KCO22" s="1" t="n"/>
      <c r="KCP22" s="1" t="n"/>
      <c r="KCQ22" s="3" t="n"/>
      <c r="KCR22" s="4" t="n"/>
      <c r="KCS22" s="1" t="n"/>
      <c r="KCT22" s="1" t="n"/>
      <c r="KCU22" s="3" t="n"/>
      <c r="KCV22" s="4" t="n"/>
      <c r="KCW22" s="1" t="n"/>
      <c r="KCX22" s="1" t="n"/>
      <c r="KCY22" s="3" t="n"/>
      <c r="KCZ22" s="4" t="n"/>
      <c r="KDA22" s="1" t="n"/>
      <c r="KDB22" s="1" t="n"/>
      <c r="KDC22" s="3" t="n"/>
      <c r="KDD22" s="4" t="n"/>
      <c r="KDE22" s="1" t="n"/>
      <c r="KDF22" s="1" t="n"/>
      <c r="KDG22" s="3" t="n"/>
      <c r="KDH22" s="4" t="n"/>
      <c r="KDI22" s="1" t="n"/>
      <c r="KDJ22" s="1" t="n"/>
      <c r="KDK22" s="3" t="n"/>
      <c r="KDL22" s="4" t="n"/>
      <c r="KDM22" s="1" t="n"/>
      <c r="KDN22" s="1" t="n"/>
      <c r="KDO22" s="3" t="n"/>
      <c r="KDP22" s="4" t="n"/>
      <c r="KDQ22" s="1" t="n"/>
      <c r="KDR22" s="1" t="n"/>
      <c r="KDS22" s="3" t="n"/>
      <c r="KDT22" s="4" t="n"/>
      <c r="KDU22" s="1" t="n"/>
      <c r="KDV22" s="1" t="n"/>
      <c r="KDW22" s="3" t="n"/>
      <c r="KDX22" s="4" t="n"/>
      <c r="KDY22" s="1" t="n"/>
      <c r="KDZ22" s="1" t="n"/>
      <c r="KEA22" s="3" t="n"/>
      <c r="KEB22" s="4" t="n"/>
      <c r="KEC22" s="1" t="n"/>
      <c r="KED22" s="1" t="n"/>
      <c r="KEE22" s="3" t="n"/>
      <c r="KEF22" s="4" t="n"/>
      <c r="KEG22" s="1" t="n"/>
      <c r="KEH22" s="1" t="n"/>
      <c r="KEI22" s="3" t="n"/>
      <c r="KEJ22" s="4" t="n"/>
      <c r="KEK22" s="1" t="n"/>
      <c r="KEL22" s="1" t="n"/>
      <c r="KEM22" s="3" t="n"/>
      <c r="KEN22" s="4" t="n"/>
      <c r="KEO22" s="1" t="n"/>
      <c r="KEP22" s="1" t="n"/>
      <c r="KEQ22" s="3" t="n"/>
      <c r="KER22" s="4" t="n"/>
      <c r="KES22" s="1" t="n"/>
      <c r="KET22" s="1" t="n"/>
      <c r="KEU22" s="3" t="n"/>
      <c r="KEV22" s="4" t="n"/>
      <c r="KEW22" s="1" t="n"/>
      <c r="KEX22" s="1" t="n"/>
      <c r="KEY22" s="3" t="n"/>
      <c r="KEZ22" s="4" t="n"/>
      <c r="KFA22" s="1" t="n"/>
      <c r="KFB22" s="1" t="n"/>
      <c r="KFC22" s="3" t="n"/>
      <c r="KFD22" s="4" t="n"/>
      <c r="KFE22" s="1" t="n"/>
      <c r="KFF22" s="1" t="n"/>
      <c r="KFG22" s="3" t="n"/>
      <c r="KFH22" s="4" t="n"/>
      <c r="KFI22" s="1" t="n"/>
      <c r="KFJ22" s="1" t="n"/>
      <c r="KFK22" s="3" t="n"/>
      <c r="KFL22" s="4" t="n"/>
      <c r="KFM22" s="1" t="n"/>
      <c r="KFN22" s="1" t="n"/>
      <c r="KFO22" s="3" t="n"/>
      <c r="KFP22" s="4" t="n"/>
      <c r="KFQ22" s="1" t="n"/>
      <c r="KFR22" s="1" t="n"/>
      <c r="KFS22" s="3" t="n"/>
      <c r="KFT22" s="4" t="n"/>
      <c r="KFU22" s="1" t="n"/>
      <c r="KFV22" s="1" t="n"/>
      <c r="KFW22" s="3" t="n"/>
      <c r="KFX22" s="4" t="n"/>
      <c r="KFY22" s="1" t="n"/>
      <c r="KFZ22" s="1" t="n"/>
      <c r="KGA22" s="3" t="n"/>
      <c r="KGB22" s="4" t="n"/>
      <c r="KGC22" s="1" t="n"/>
      <c r="KGD22" s="1" t="n"/>
      <c r="KGE22" s="3" t="n"/>
      <c r="KGF22" s="4" t="n"/>
      <c r="KGG22" s="1" t="n"/>
      <c r="KGH22" s="1" t="n"/>
      <c r="KGI22" s="3" t="n"/>
      <c r="KGJ22" s="4" t="n"/>
      <c r="KGK22" s="1" t="n"/>
      <c r="KGL22" s="1" t="n"/>
      <c r="KGM22" s="3" t="n"/>
      <c r="KGN22" s="4" t="n"/>
      <c r="KGO22" s="1" t="n"/>
      <c r="KGP22" s="1" t="n"/>
      <c r="KGQ22" s="3" t="n"/>
      <c r="KGR22" s="4" t="n"/>
      <c r="KGS22" s="1" t="n"/>
      <c r="KGT22" s="1" t="n"/>
      <c r="KGU22" s="3" t="n"/>
      <c r="KGV22" s="4" t="n"/>
      <c r="KGW22" s="1" t="n"/>
      <c r="KGX22" s="1" t="n"/>
      <c r="KGY22" s="3" t="n"/>
      <c r="KGZ22" s="4" t="n"/>
      <c r="KHA22" s="1" t="n"/>
      <c r="KHB22" s="1" t="n"/>
      <c r="KHC22" s="3" t="n"/>
      <c r="KHD22" s="4" t="n"/>
      <c r="KHE22" s="1" t="n"/>
      <c r="KHF22" s="1" t="n"/>
      <c r="KHG22" s="3" t="n"/>
      <c r="KHH22" s="4" t="n"/>
      <c r="KHI22" s="1" t="n"/>
      <c r="KHJ22" s="1" t="n"/>
      <c r="KHK22" s="3" t="n"/>
      <c r="KHL22" s="4" t="n"/>
      <c r="KHM22" s="1" t="n"/>
      <c r="KHN22" s="1" t="n"/>
      <c r="KHO22" s="3" t="n"/>
      <c r="KHP22" s="4" t="n"/>
      <c r="KHQ22" s="1" t="n"/>
      <c r="KHR22" s="1" t="n"/>
      <c r="KHS22" s="3" t="n"/>
      <c r="KHT22" s="4" t="n"/>
      <c r="KHU22" s="1" t="n"/>
      <c r="KHV22" s="1" t="n"/>
      <c r="KHW22" s="3" t="n"/>
      <c r="KHX22" s="4" t="n"/>
      <c r="KHY22" s="1" t="n"/>
      <c r="KHZ22" s="1" t="n"/>
      <c r="KIA22" s="3" t="n"/>
      <c r="KIB22" s="4" t="n"/>
      <c r="KIC22" s="1" t="n"/>
      <c r="KID22" s="1" t="n"/>
      <c r="KIE22" s="3" t="n"/>
      <c r="KIF22" s="4" t="n"/>
      <c r="KIG22" s="1" t="n"/>
      <c r="KIH22" s="1" t="n"/>
      <c r="KII22" s="3" t="n"/>
      <c r="KIJ22" s="4" t="n"/>
      <c r="KIK22" s="1" t="n"/>
      <c r="KIL22" s="1" t="n"/>
      <c r="KIM22" s="3" t="n"/>
      <c r="KIN22" s="4" t="n"/>
      <c r="KIO22" s="1" t="n"/>
      <c r="KIP22" s="1" t="n"/>
      <c r="KIQ22" s="3" t="n"/>
      <c r="KIR22" s="4" t="n"/>
      <c r="KIS22" s="1" t="n"/>
      <c r="KIT22" s="1" t="n"/>
      <c r="KIU22" s="3" t="n"/>
      <c r="KIV22" s="4" t="n"/>
      <c r="KIW22" s="1" t="n"/>
      <c r="KIX22" s="1" t="n"/>
      <c r="KIY22" s="3" t="n"/>
      <c r="KIZ22" s="4" t="n"/>
      <c r="KJA22" s="1" t="n"/>
      <c r="KJB22" s="1" t="n"/>
      <c r="KJC22" s="3" t="n"/>
      <c r="KJD22" s="4" t="n"/>
      <c r="KJE22" s="1" t="n"/>
      <c r="KJF22" s="1" t="n"/>
      <c r="KJG22" s="3" t="n"/>
      <c r="KJH22" s="4" t="n"/>
      <c r="KJI22" s="1" t="n"/>
      <c r="KJJ22" s="1" t="n"/>
      <c r="KJK22" s="3" t="n"/>
      <c r="KJL22" s="4" t="n"/>
      <c r="KJM22" s="1" t="n"/>
      <c r="KJN22" s="1" t="n"/>
      <c r="KJO22" s="3" t="n"/>
      <c r="KJP22" s="4" t="n"/>
      <c r="KJQ22" s="1" t="n"/>
      <c r="KJR22" s="1" t="n"/>
      <c r="KJS22" s="3" t="n"/>
      <c r="KJT22" s="4" t="n"/>
      <c r="KJU22" s="1" t="n"/>
      <c r="KJV22" s="1" t="n"/>
      <c r="KJW22" s="3" t="n"/>
      <c r="KJX22" s="4" t="n"/>
      <c r="KJY22" s="1" t="n"/>
      <c r="KJZ22" s="1" t="n"/>
      <c r="KKA22" s="3" t="n"/>
      <c r="KKB22" s="4" t="n"/>
      <c r="KKC22" s="1" t="n"/>
      <c r="KKD22" s="1" t="n"/>
      <c r="KKE22" s="3" t="n"/>
      <c r="KKF22" s="4" t="n"/>
      <c r="KKG22" s="1" t="n"/>
      <c r="KKH22" s="1" t="n"/>
      <c r="KKI22" s="3" t="n"/>
      <c r="KKJ22" s="4" t="n"/>
      <c r="KKK22" s="1" t="n"/>
      <c r="KKL22" s="1" t="n"/>
      <c r="KKM22" s="3" t="n"/>
      <c r="KKN22" s="4" t="n"/>
      <c r="KKO22" s="1" t="n"/>
      <c r="KKP22" s="1" t="n"/>
      <c r="KKQ22" s="3" t="n"/>
      <c r="KKR22" s="4" t="n"/>
      <c r="KKS22" s="1" t="n"/>
      <c r="KKT22" s="1" t="n"/>
      <c r="KKU22" s="3" t="n"/>
      <c r="KKV22" s="4" t="n"/>
      <c r="KKW22" s="1" t="n"/>
      <c r="KKX22" s="1" t="n"/>
      <c r="KKY22" s="3" t="n"/>
      <c r="KKZ22" s="4" t="n"/>
      <c r="KLA22" s="1" t="n"/>
      <c r="KLB22" s="1" t="n"/>
      <c r="KLC22" s="3" t="n"/>
      <c r="KLD22" s="4" t="n"/>
      <c r="KLE22" s="1" t="n"/>
      <c r="KLF22" s="1" t="n"/>
      <c r="KLG22" s="3" t="n"/>
      <c r="KLH22" s="4" t="n"/>
      <c r="KLI22" s="1" t="n"/>
      <c r="KLJ22" s="1" t="n"/>
      <c r="KLK22" s="3" t="n"/>
      <c r="KLL22" s="4" t="n"/>
      <c r="KLM22" s="1" t="n"/>
      <c r="KLN22" s="1" t="n"/>
      <c r="KLO22" s="3" t="n"/>
      <c r="KLP22" s="4" t="n"/>
      <c r="KLQ22" s="1" t="n"/>
      <c r="KLR22" s="1" t="n"/>
      <c r="KLS22" s="3" t="n"/>
      <c r="KLT22" s="4" t="n"/>
      <c r="KLU22" s="1" t="n"/>
      <c r="KLV22" s="1" t="n"/>
      <c r="KLW22" s="3" t="n"/>
      <c r="KLX22" s="4" t="n"/>
      <c r="KLY22" s="1" t="n"/>
      <c r="KLZ22" s="1" t="n"/>
      <c r="KMA22" s="3" t="n"/>
      <c r="KMB22" s="4" t="n"/>
      <c r="KMC22" s="1" t="n"/>
      <c r="KMD22" s="1" t="n"/>
      <c r="KME22" s="3" t="n"/>
      <c r="KMF22" s="4" t="n"/>
      <c r="KMG22" s="1" t="n"/>
      <c r="KMH22" s="1" t="n"/>
      <c r="KMI22" s="3" t="n"/>
      <c r="KMJ22" s="4" t="n"/>
      <c r="KMK22" s="1" t="n"/>
      <c r="KML22" s="1" t="n"/>
      <c r="KMM22" s="3" t="n"/>
      <c r="KMN22" s="4" t="n"/>
      <c r="KMO22" s="1" t="n"/>
      <c r="KMP22" s="1" t="n"/>
      <c r="KMQ22" s="3" t="n"/>
      <c r="KMR22" s="4" t="n"/>
      <c r="KMS22" s="1" t="n"/>
      <c r="KMT22" s="1" t="n"/>
      <c r="KMU22" s="3" t="n"/>
      <c r="KMV22" s="4" t="n"/>
      <c r="KMW22" s="1" t="n"/>
      <c r="KMX22" s="1" t="n"/>
      <c r="KMY22" s="3" t="n"/>
      <c r="KMZ22" s="4" t="n"/>
      <c r="KNA22" s="1" t="n"/>
      <c r="KNB22" s="1" t="n"/>
      <c r="KNC22" s="3" t="n"/>
      <c r="KND22" s="4" t="n"/>
      <c r="KNE22" s="1" t="n"/>
      <c r="KNF22" s="1" t="n"/>
      <c r="KNG22" s="3" t="n"/>
      <c r="KNH22" s="4" t="n"/>
      <c r="KNI22" s="1" t="n"/>
      <c r="KNJ22" s="1" t="n"/>
      <c r="KNK22" s="3" t="n"/>
      <c r="KNL22" s="4" t="n"/>
      <c r="KNM22" s="1" t="n"/>
      <c r="KNN22" s="1" t="n"/>
      <c r="KNO22" s="3" t="n"/>
      <c r="KNP22" s="4" t="n"/>
      <c r="KNQ22" s="1" t="n"/>
      <c r="KNR22" s="1" t="n"/>
      <c r="KNS22" s="3" t="n"/>
      <c r="KNT22" s="4" t="n"/>
      <c r="KNU22" s="1" t="n"/>
      <c r="KNV22" s="1" t="n"/>
      <c r="KNW22" s="3" t="n"/>
      <c r="KNX22" s="4" t="n"/>
      <c r="KNY22" s="1" t="n"/>
      <c r="KNZ22" s="1" t="n"/>
      <c r="KOA22" s="3" t="n"/>
      <c r="KOB22" s="4" t="n"/>
      <c r="KOC22" s="1" t="n"/>
      <c r="KOD22" s="1" t="n"/>
      <c r="KOE22" s="3" t="n"/>
      <c r="KOF22" s="4" t="n"/>
      <c r="KOG22" s="1" t="n"/>
      <c r="KOH22" s="1" t="n"/>
      <c r="KOI22" s="3" t="n"/>
      <c r="KOJ22" s="4" t="n"/>
      <c r="KOK22" s="1" t="n"/>
      <c r="KOL22" s="1" t="n"/>
      <c r="KOM22" s="3" t="n"/>
      <c r="KON22" s="4" t="n"/>
      <c r="KOO22" s="1" t="n"/>
      <c r="KOP22" s="1" t="n"/>
      <c r="KOQ22" s="3" t="n"/>
      <c r="KOR22" s="4" t="n"/>
      <c r="KOS22" s="1" t="n"/>
      <c r="KOT22" s="1" t="n"/>
      <c r="KOU22" s="3" t="n"/>
      <c r="KOV22" s="4" t="n"/>
      <c r="KOW22" s="1" t="n"/>
      <c r="KOX22" s="1" t="n"/>
      <c r="KOY22" s="3" t="n"/>
      <c r="KOZ22" s="4" t="n"/>
      <c r="KPA22" s="1" t="n"/>
      <c r="KPB22" s="1" t="n"/>
      <c r="KPC22" s="3" t="n"/>
      <c r="KPD22" s="4" t="n"/>
      <c r="KPE22" s="1" t="n"/>
      <c r="KPF22" s="1" t="n"/>
      <c r="KPG22" s="3" t="n"/>
      <c r="KPH22" s="4" t="n"/>
      <c r="KPI22" s="1" t="n"/>
      <c r="KPJ22" s="1" t="n"/>
      <c r="KPK22" s="3" t="n"/>
      <c r="KPL22" s="4" t="n"/>
      <c r="KPM22" s="1" t="n"/>
      <c r="KPN22" s="1" t="n"/>
      <c r="KPO22" s="3" t="n"/>
      <c r="KPP22" s="4" t="n"/>
      <c r="KPQ22" s="1" t="n"/>
      <c r="KPR22" s="1" t="n"/>
      <c r="KPS22" s="3" t="n"/>
      <c r="KPT22" s="4" t="n"/>
      <c r="KPU22" s="1" t="n"/>
      <c r="KPV22" s="1" t="n"/>
      <c r="KPW22" s="3" t="n"/>
      <c r="KPX22" s="4" t="n"/>
      <c r="KPY22" s="1" t="n"/>
      <c r="KPZ22" s="1" t="n"/>
      <c r="KQA22" s="3" t="n"/>
      <c r="KQB22" s="4" t="n"/>
      <c r="KQC22" s="1" t="n"/>
      <c r="KQD22" s="1" t="n"/>
      <c r="KQE22" s="3" t="n"/>
      <c r="KQF22" s="4" t="n"/>
      <c r="KQG22" s="1" t="n"/>
      <c r="KQH22" s="1" t="n"/>
      <c r="KQI22" s="3" t="n"/>
      <c r="KQJ22" s="4" t="n"/>
      <c r="KQK22" s="1" t="n"/>
      <c r="KQL22" s="1" t="n"/>
      <c r="KQM22" s="3" t="n"/>
      <c r="KQN22" s="4" t="n"/>
      <c r="KQO22" s="1" t="n"/>
      <c r="KQP22" s="1" t="n"/>
      <c r="KQQ22" s="3" t="n"/>
      <c r="KQR22" s="4" t="n"/>
      <c r="KQS22" s="1" t="n"/>
      <c r="KQT22" s="1" t="n"/>
      <c r="KQU22" s="3" t="n"/>
      <c r="KQV22" s="4" t="n"/>
      <c r="KQW22" s="1" t="n"/>
      <c r="KQX22" s="1" t="n"/>
      <c r="KQY22" s="3" t="n"/>
      <c r="KQZ22" s="4" t="n"/>
      <c r="KRA22" s="1" t="n"/>
      <c r="KRB22" s="1" t="n"/>
      <c r="KRC22" s="3" t="n"/>
      <c r="KRD22" s="4" t="n"/>
      <c r="KRE22" s="1" t="n"/>
      <c r="KRF22" s="1" t="n"/>
      <c r="KRG22" s="3" t="n"/>
      <c r="KRH22" s="4" t="n"/>
      <c r="KRI22" s="1" t="n"/>
      <c r="KRJ22" s="1" t="n"/>
      <c r="KRK22" s="3" t="n"/>
      <c r="KRL22" s="4" t="n"/>
      <c r="KRM22" s="1" t="n"/>
      <c r="KRN22" s="1" t="n"/>
      <c r="KRO22" s="3" t="n"/>
      <c r="KRP22" s="4" t="n"/>
      <c r="KRQ22" s="1" t="n"/>
      <c r="KRR22" s="1" t="n"/>
      <c r="KRS22" s="3" t="n"/>
      <c r="KRT22" s="4" t="n"/>
      <c r="KRU22" s="1" t="n"/>
      <c r="KRV22" s="1" t="n"/>
      <c r="KRW22" s="3" t="n"/>
      <c r="KRX22" s="4" t="n"/>
      <c r="KRY22" s="1" t="n"/>
      <c r="KRZ22" s="1" t="n"/>
      <c r="KSA22" s="3" t="n"/>
      <c r="KSB22" s="4" t="n"/>
      <c r="KSC22" s="1" t="n"/>
      <c r="KSD22" s="1" t="n"/>
      <c r="KSE22" s="3" t="n"/>
      <c r="KSF22" s="4" t="n"/>
      <c r="KSG22" s="1" t="n"/>
      <c r="KSH22" s="1" t="n"/>
      <c r="KSI22" s="3" t="n"/>
      <c r="KSJ22" s="4" t="n"/>
      <c r="KSK22" s="1" t="n"/>
      <c r="KSL22" s="1" t="n"/>
      <c r="KSM22" s="3" t="n"/>
      <c r="KSN22" s="4" t="n"/>
      <c r="KSO22" s="1" t="n"/>
      <c r="KSP22" s="1" t="n"/>
      <c r="KSQ22" s="3" t="n"/>
      <c r="KSR22" s="4" t="n"/>
      <c r="KSS22" s="1" t="n"/>
      <c r="KST22" s="1" t="n"/>
      <c r="KSU22" s="3" t="n"/>
      <c r="KSV22" s="4" t="n"/>
      <c r="KSW22" s="1" t="n"/>
      <c r="KSX22" s="1" t="n"/>
      <c r="KSY22" s="3" t="n"/>
      <c r="KSZ22" s="4" t="n"/>
      <c r="KTA22" s="1" t="n"/>
      <c r="KTB22" s="1" t="n"/>
      <c r="KTC22" s="3" t="n"/>
      <c r="KTD22" s="4" t="n"/>
      <c r="KTE22" s="1" t="n"/>
      <c r="KTF22" s="1" t="n"/>
      <c r="KTG22" s="3" t="n"/>
      <c r="KTH22" s="4" t="n"/>
      <c r="KTI22" s="1" t="n"/>
      <c r="KTJ22" s="1" t="n"/>
      <c r="KTK22" s="3" t="n"/>
      <c r="KTL22" s="4" t="n"/>
      <c r="KTM22" s="1" t="n"/>
      <c r="KTN22" s="1" t="n"/>
      <c r="KTO22" s="3" t="n"/>
      <c r="KTP22" s="4" t="n"/>
      <c r="KTQ22" s="1" t="n"/>
      <c r="KTR22" s="1" t="n"/>
      <c r="KTS22" s="3" t="n"/>
      <c r="KTT22" s="4" t="n"/>
      <c r="KTU22" s="1" t="n"/>
      <c r="KTV22" s="1" t="n"/>
      <c r="KTW22" s="3" t="n"/>
      <c r="KTX22" s="4" t="n"/>
      <c r="KTY22" s="1" t="n"/>
      <c r="KTZ22" s="1" t="n"/>
      <c r="KUA22" s="3" t="n"/>
      <c r="KUB22" s="4" t="n"/>
      <c r="KUC22" s="1" t="n"/>
      <c r="KUD22" s="1" t="n"/>
      <c r="KUE22" s="3" t="n"/>
      <c r="KUF22" s="4" t="n"/>
      <c r="KUG22" s="1" t="n"/>
      <c r="KUH22" s="1" t="n"/>
      <c r="KUI22" s="3" t="n"/>
      <c r="KUJ22" s="4" t="n"/>
      <c r="KUK22" s="1" t="n"/>
      <c r="KUL22" s="1" t="n"/>
      <c r="KUM22" s="3" t="n"/>
      <c r="KUN22" s="4" t="n"/>
      <c r="KUO22" s="1" t="n"/>
      <c r="KUP22" s="1" t="n"/>
      <c r="KUQ22" s="3" t="n"/>
      <c r="KUR22" s="4" t="n"/>
      <c r="KUS22" s="1" t="n"/>
      <c r="KUT22" s="1" t="n"/>
      <c r="KUU22" s="3" t="n"/>
      <c r="KUV22" s="4" t="n"/>
      <c r="KUW22" s="1" t="n"/>
      <c r="KUX22" s="1" t="n"/>
      <c r="KUY22" s="3" t="n"/>
      <c r="KUZ22" s="4" t="n"/>
      <c r="KVA22" s="1" t="n"/>
      <c r="KVB22" s="1" t="n"/>
      <c r="KVC22" s="3" t="n"/>
      <c r="KVD22" s="4" t="n"/>
      <c r="KVE22" s="1" t="n"/>
      <c r="KVF22" s="1" t="n"/>
      <c r="KVG22" s="3" t="n"/>
      <c r="KVH22" s="4" t="n"/>
      <c r="KVI22" s="1" t="n"/>
      <c r="KVJ22" s="1" t="n"/>
      <c r="KVK22" s="3" t="n"/>
      <c r="KVL22" s="4" t="n"/>
      <c r="KVM22" s="1" t="n"/>
      <c r="KVN22" s="1" t="n"/>
      <c r="KVO22" s="3" t="n"/>
      <c r="KVP22" s="4" t="n"/>
      <c r="KVQ22" s="1" t="n"/>
      <c r="KVR22" s="1" t="n"/>
      <c r="KVS22" s="3" t="n"/>
      <c r="KVT22" s="4" t="n"/>
      <c r="KVU22" s="1" t="n"/>
      <c r="KVV22" s="1" t="n"/>
      <c r="KVW22" s="3" t="n"/>
      <c r="KVX22" s="4" t="n"/>
      <c r="KVY22" s="1" t="n"/>
      <c r="KVZ22" s="1" t="n"/>
      <c r="KWA22" s="3" t="n"/>
      <c r="KWB22" s="4" t="n"/>
      <c r="KWC22" s="1" t="n"/>
      <c r="KWD22" s="1" t="n"/>
      <c r="KWE22" s="3" t="n"/>
      <c r="KWF22" s="4" t="n"/>
      <c r="KWG22" s="1" t="n"/>
      <c r="KWH22" s="1" t="n"/>
      <c r="KWI22" s="3" t="n"/>
      <c r="KWJ22" s="4" t="n"/>
      <c r="KWK22" s="1" t="n"/>
      <c r="KWL22" s="1" t="n"/>
      <c r="KWM22" s="3" t="n"/>
      <c r="KWN22" s="4" t="n"/>
      <c r="KWO22" s="1" t="n"/>
      <c r="KWP22" s="1" t="n"/>
      <c r="KWQ22" s="3" t="n"/>
      <c r="KWR22" s="4" t="n"/>
      <c r="KWS22" s="1" t="n"/>
      <c r="KWT22" s="1" t="n"/>
      <c r="KWU22" s="3" t="n"/>
      <c r="KWV22" s="4" t="n"/>
      <c r="KWW22" s="1" t="n"/>
      <c r="KWX22" s="1" t="n"/>
      <c r="KWY22" s="3" t="n"/>
      <c r="KWZ22" s="4" t="n"/>
      <c r="KXA22" s="1" t="n"/>
      <c r="KXB22" s="1" t="n"/>
      <c r="KXC22" s="3" t="n"/>
      <c r="KXD22" s="4" t="n"/>
      <c r="KXE22" s="1" t="n"/>
      <c r="KXF22" s="1" t="n"/>
      <c r="KXG22" s="3" t="n"/>
      <c r="KXH22" s="4" t="n"/>
      <c r="KXI22" s="1" t="n"/>
      <c r="KXJ22" s="1" t="n"/>
      <c r="KXK22" s="3" t="n"/>
      <c r="KXL22" s="4" t="n"/>
      <c r="KXM22" s="1" t="n"/>
      <c r="KXN22" s="1" t="n"/>
      <c r="KXO22" s="3" t="n"/>
      <c r="KXP22" s="4" t="n"/>
      <c r="KXQ22" s="1" t="n"/>
      <c r="KXR22" s="1" t="n"/>
      <c r="KXS22" s="3" t="n"/>
      <c r="KXT22" s="4" t="n"/>
      <c r="KXU22" s="1" t="n"/>
      <c r="KXV22" s="1" t="n"/>
      <c r="KXW22" s="3" t="n"/>
      <c r="KXX22" s="4" t="n"/>
      <c r="KXY22" s="1" t="n"/>
      <c r="KXZ22" s="1" t="n"/>
      <c r="KYA22" s="3" t="n"/>
      <c r="KYB22" s="4" t="n"/>
      <c r="KYC22" s="1" t="n"/>
      <c r="KYD22" s="1" t="n"/>
      <c r="KYE22" s="3" t="n"/>
      <c r="KYF22" s="4" t="n"/>
      <c r="KYG22" s="1" t="n"/>
      <c r="KYH22" s="1" t="n"/>
      <c r="KYI22" s="3" t="n"/>
      <c r="KYJ22" s="4" t="n"/>
      <c r="KYK22" s="1" t="n"/>
      <c r="KYL22" s="1" t="n"/>
      <c r="KYM22" s="3" t="n"/>
      <c r="KYN22" s="4" t="n"/>
      <c r="KYO22" s="1" t="n"/>
      <c r="KYP22" s="1" t="n"/>
      <c r="KYQ22" s="3" t="n"/>
      <c r="KYR22" s="4" t="n"/>
      <c r="KYS22" s="1" t="n"/>
      <c r="KYT22" s="1" t="n"/>
      <c r="KYU22" s="3" t="n"/>
      <c r="KYV22" s="4" t="n"/>
      <c r="KYW22" s="1" t="n"/>
      <c r="KYX22" s="1" t="n"/>
      <c r="KYY22" s="3" t="n"/>
      <c r="KYZ22" s="4" t="n"/>
      <c r="KZA22" s="1" t="n"/>
      <c r="KZB22" s="1" t="n"/>
      <c r="KZC22" s="3" t="n"/>
      <c r="KZD22" s="4" t="n"/>
      <c r="KZE22" s="1" t="n"/>
      <c r="KZF22" s="1" t="n"/>
      <c r="KZG22" s="3" t="n"/>
      <c r="KZH22" s="4" t="n"/>
      <c r="KZI22" s="1" t="n"/>
      <c r="KZJ22" s="1" t="n"/>
      <c r="KZK22" s="3" t="n"/>
      <c r="KZL22" s="4" t="n"/>
      <c r="KZM22" s="1" t="n"/>
      <c r="KZN22" s="1" t="n"/>
      <c r="KZO22" s="3" t="n"/>
      <c r="KZP22" s="4" t="n"/>
      <c r="KZQ22" s="1" t="n"/>
      <c r="KZR22" s="1" t="n"/>
      <c r="KZS22" s="3" t="n"/>
      <c r="KZT22" s="4" t="n"/>
      <c r="KZU22" s="1" t="n"/>
      <c r="KZV22" s="1" t="n"/>
      <c r="KZW22" s="3" t="n"/>
      <c r="KZX22" s="4" t="n"/>
      <c r="KZY22" s="1" t="n"/>
      <c r="KZZ22" s="1" t="n"/>
      <c r="LAA22" s="3" t="n"/>
      <c r="LAB22" s="4" t="n"/>
      <c r="LAC22" s="1" t="n"/>
      <c r="LAD22" s="1" t="n"/>
      <c r="LAE22" s="3" t="n"/>
      <c r="LAF22" s="4" t="n"/>
      <c r="LAG22" s="1" t="n"/>
      <c r="LAH22" s="1" t="n"/>
      <c r="LAI22" s="3" t="n"/>
      <c r="LAJ22" s="4" t="n"/>
      <c r="LAK22" s="1" t="n"/>
      <c r="LAL22" s="1" t="n"/>
      <c r="LAM22" s="3" t="n"/>
      <c r="LAN22" s="4" t="n"/>
      <c r="LAO22" s="1" t="n"/>
      <c r="LAP22" s="1" t="n"/>
      <c r="LAQ22" s="3" t="n"/>
      <c r="LAR22" s="4" t="n"/>
      <c r="LAS22" s="1" t="n"/>
      <c r="LAT22" s="1" t="n"/>
      <c r="LAU22" s="3" t="n"/>
      <c r="LAV22" s="4" t="n"/>
      <c r="LAW22" s="1" t="n"/>
      <c r="LAX22" s="1" t="n"/>
      <c r="LAY22" s="3" t="n"/>
      <c r="LAZ22" s="4" t="n"/>
      <c r="LBA22" s="1" t="n"/>
      <c r="LBB22" s="1" t="n"/>
      <c r="LBC22" s="3" t="n"/>
      <c r="LBD22" s="4" t="n"/>
      <c r="LBE22" s="1" t="n"/>
      <c r="LBF22" s="1" t="n"/>
      <c r="LBG22" s="3" t="n"/>
      <c r="LBH22" s="4" t="n"/>
      <c r="LBI22" s="1" t="n"/>
      <c r="LBJ22" s="1" t="n"/>
      <c r="LBK22" s="3" t="n"/>
      <c r="LBL22" s="4" t="n"/>
      <c r="LBM22" s="1" t="n"/>
      <c r="LBN22" s="1" t="n"/>
      <c r="LBO22" s="3" t="n"/>
      <c r="LBP22" s="4" t="n"/>
      <c r="LBQ22" s="1" t="n"/>
      <c r="LBR22" s="1" t="n"/>
      <c r="LBS22" s="3" t="n"/>
      <c r="LBT22" s="4" t="n"/>
      <c r="LBU22" s="1" t="n"/>
      <c r="LBV22" s="1" t="n"/>
      <c r="LBW22" s="3" t="n"/>
      <c r="LBX22" s="4" t="n"/>
      <c r="LBY22" s="1" t="n"/>
      <c r="LBZ22" s="1" t="n"/>
      <c r="LCA22" s="3" t="n"/>
      <c r="LCB22" s="4" t="n"/>
      <c r="LCC22" s="1" t="n"/>
      <c r="LCD22" s="1" t="n"/>
      <c r="LCE22" s="3" t="n"/>
      <c r="LCF22" s="4" t="n"/>
      <c r="LCG22" s="1" t="n"/>
      <c r="LCH22" s="1" t="n"/>
      <c r="LCI22" s="3" t="n"/>
      <c r="LCJ22" s="4" t="n"/>
      <c r="LCK22" s="1" t="n"/>
      <c r="LCL22" s="1" t="n"/>
      <c r="LCM22" s="3" t="n"/>
      <c r="LCN22" s="4" t="n"/>
      <c r="LCO22" s="1" t="n"/>
      <c r="LCP22" s="1" t="n"/>
      <c r="LCQ22" s="3" t="n"/>
      <c r="LCR22" s="4" t="n"/>
      <c r="LCS22" s="1" t="n"/>
      <c r="LCT22" s="1" t="n"/>
      <c r="LCU22" s="3" t="n"/>
      <c r="LCV22" s="4" t="n"/>
      <c r="LCW22" s="1" t="n"/>
      <c r="LCX22" s="1" t="n"/>
      <c r="LCY22" s="3" t="n"/>
      <c r="LCZ22" s="4" t="n"/>
      <c r="LDA22" s="1" t="n"/>
      <c r="LDB22" s="1" t="n"/>
      <c r="LDC22" s="3" t="n"/>
      <c r="LDD22" s="4" t="n"/>
      <c r="LDE22" s="1" t="n"/>
      <c r="LDF22" s="1" t="n"/>
      <c r="LDG22" s="3" t="n"/>
      <c r="LDH22" s="4" t="n"/>
      <c r="LDI22" s="1" t="n"/>
      <c r="LDJ22" s="1" t="n"/>
      <c r="LDK22" s="3" t="n"/>
      <c r="LDL22" s="4" t="n"/>
      <c r="LDM22" s="1" t="n"/>
      <c r="LDN22" s="1" t="n"/>
      <c r="LDO22" s="3" t="n"/>
      <c r="LDP22" s="4" t="n"/>
      <c r="LDQ22" s="1" t="n"/>
      <c r="LDR22" s="1" t="n"/>
      <c r="LDS22" s="3" t="n"/>
      <c r="LDT22" s="4" t="n"/>
      <c r="LDU22" s="1" t="n"/>
      <c r="LDV22" s="1" t="n"/>
      <c r="LDW22" s="3" t="n"/>
      <c r="LDX22" s="4" t="n"/>
      <c r="LDY22" s="1" t="n"/>
      <c r="LDZ22" s="1" t="n"/>
      <c r="LEA22" s="3" t="n"/>
      <c r="LEB22" s="4" t="n"/>
      <c r="LEC22" s="1" t="n"/>
      <c r="LED22" s="1" t="n"/>
      <c r="LEE22" s="3" t="n"/>
      <c r="LEF22" s="4" t="n"/>
      <c r="LEG22" s="1" t="n"/>
      <c r="LEH22" s="1" t="n"/>
      <c r="LEI22" s="3" t="n"/>
      <c r="LEJ22" s="4" t="n"/>
      <c r="LEK22" s="1" t="n"/>
      <c r="LEL22" s="1" t="n"/>
      <c r="LEM22" s="3" t="n"/>
      <c r="LEN22" s="4" t="n"/>
      <c r="LEO22" s="1" t="n"/>
      <c r="LEP22" s="1" t="n"/>
      <c r="LEQ22" s="3" t="n"/>
      <c r="LER22" s="4" t="n"/>
      <c r="LES22" s="1" t="n"/>
      <c r="LET22" s="1" t="n"/>
      <c r="LEU22" s="3" t="n"/>
      <c r="LEV22" s="4" t="n"/>
      <c r="LEW22" s="1" t="n"/>
      <c r="LEX22" s="1" t="n"/>
      <c r="LEY22" s="3" t="n"/>
      <c r="LEZ22" s="4" t="n"/>
      <c r="LFA22" s="1" t="n"/>
      <c r="LFB22" s="1" t="n"/>
      <c r="LFC22" s="3" t="n"/>
      <c r="LFD22" s="4" t="n"/>
      <c r="LFE22" s="1" t="n"/>
      <c r="LFF22" s="1" t="n"/>
      <c r="LFG22" s="3" t="n"/>
      <c r="LFH22" s="4" t="n"/>
      <c r="LFI22" s="1" t="n"/>
      <c r="LFJ22" s="1" t="n"/>
      <c r="LFK22" s="3" t="n"/>
      <c r="LFL22" s="4" t="n"/>
      <c r="LFM22" s="1" t="n"/>
      <c r="LFN22" s="1" t="n"/>
      <c r="LFO22" s="3" t="n"/>
      <c r="LFP22" s="4" t="n"/>
      <c r="LFQ22" s="1" t="n"/>
      <c r="LFR22" s="1" t="n"/>
      <c r="LFS22" s="3" t="n"/>
      <c r="LFT22" s="4" t="n"/>
      <c r="LFU22" s="1" t="n"/>
      <c r="LFV22" s="1" t="n"/>
      <c r="LFW22" s="3" t="n"/>
      <c r="LFX22" s="4" t="n"/>
      <c r="LFY22" s="1" t="n"/>
      <c r="LFZ22" s="1" t="n"/>
      <c r="LGA22" s="3" t="n"/>
      <c r="LGB22" s="4" t="n"/>
      <c r="LGC22" s="1" t="n"/>
      <c r="LGD22" s="1" t="n"/>
      <c r="LGE22" s="3" t="n"/>
      <c r="LGF22" s="4" t="n"/>
      <c r="LGG22" s="1" t="n"/>
      <c r="LGH22" s="1" t="n"/>
      <c r="LGI22" s="3" t="n"/>
      <c r="LGJ22" s="4" t="n"/>
      <c r="LGK22" s="1" t="n"/>
      <c r="LGL22" s="1" t="n"/>
      <c r="LGM22" s="3" t="n"/>
      <c r="LGN22" s="4" t="n"/>
      <c r="LGO22" s="1" t="n"/>
      <c r="LGP22" s="1" t="n"/>
      <c r="LGQ22" s="3" t="n"/>
      <c r="LGR22" s="4" t="n"/>
      <c r="LGS22" s="1" t="n"/>
      <c r="LGT22" s="1" t="n"/>
      <c r="LGU22" s="3" t="n"/>
      <c r="LGV22" s="4" t="n"/>
      <c r="LGW22" s="1" t="n"/>
      <c r="LGX22" s="1" t="n"/>
      <c r="LGY22" s="3" t="n"/>
      <c r="LGZ22" s="4" t="n"/>
      <c r="LHA22" s="1" t="n"/>
      <c r="LHB22" s="1" t="n"/>
      <c r="LHC22" s="3" t="n"/>
      <c r="LHD22" s="4" t="n"/>
      <c r="LHE22" s="1" t="n"/>
      <c r="LHF22" s="1" t="n"/>
      <c r="LHG22" s="3" t="n"/>
      <c r="LHH22" s="4" t="n"/>
      <c r="LHI22" s="1" t="n"/>
      <c r="LHJ22" s="1" t="n"/>
      <c r="LHK22" s="3" t="n"/>
      <c r="LHL22" s="4" t="n"/>
      <c r="LHM22" s="1" t="n"/>
      <c r="LHN22" s="1" t="n"/>
      <c r="LHO22" s="3" t="n"/>
      <c r="LHP22" s="4" t="n"/>
      <c r="LHQ22" s="1" t="n"/>
      <c r="LHR22" s="1" t="n"/>
      <c r="LHS22" s="3" t="n"/>
      <c r="LHT22" s="4" t="n"/>
      <c r="LHU22" s="1" t="n"/>
      <c r="LHV22" s="1" t="n"/>
      <c r="LHW22" s="3" t="n"/>
      <c r="LHX22" s="4" t="n"/>
      <c r="LHY22" s="1" t="n"/>
      <c r="LHZ22" s="1" t="n"/>
      <c r="LIA22" s="3" t="n"/>
      <c r="LIB22" s="4" t="n"/>
      <c r="LIC22" s="1" t="n"/>
      <c r="LID22" s="1" t="n"/>
      <c r="LIE22" s="3" t="n"/>
      <c r="LIF22" s="4" t="n"/>
      <c r="LIG22" s="1" t="n"/>
      <c r="LIH22" s="1" t="n"/>
      <c r="LII22" s="3" t="n"/>
      <c r="LIJ22" s="4" t="n"/>
      <c r="LIK22" s="1" t="n"/>
      <c r="LIL22" s="1" t="n"/>
      <c r="LIM22" s="3" t="n"/>
      <c r="LIN22" s="4" t="n"/>
      <c r="LIO22" s="1" t="n"/>
      <c r="LIP22" s="1" t="n"/>
      <c r="LIQ22" s="3" t="n"/>
      <c r="LIR22" s="4" t="n"/>
      <c r="LIS22" s="1" t="n"/>
      <c r="LIT22" s="1" t="n"/>
      <c r="LIU22" s="3" t="n"/>
      <c r="LIV22" s="4" t="n"/>
      <c r="LIW22" s="1" t="n"/>
      <c r="LIX22" s="1" t="n"/>
      <c r="LIY22" s="3" t="n"/>
      <c r="LIZ22" s="4" t="n"/>
      <c r="LJA22" s="1" t="n"/>
      <c r="LJB22" s="1" t="n"/>
      <c r="LJC22" s="3" t="n"/>
      <c r="LJD22" s="4" t="n"/>
      <c r="LJE22" s="1" t="n"/>
      <c r="LJF22" s="1" t="n"/>
      <c r="LJG22" s="3" t="n"/>
      <c r="LJH22" s="4" t="n"/>
      <c r="LJI22" s="1" t="n"/>
      <c r="LJJ22" s="1" t="n"/>
      <c r="LJK22" s="3" t="n"/>
      <c r="LJL22" s="4" t="n"/>
      <c r="LJM22" s="1" t="n"/>
      <c r="LJN22" s="1" t="n"/>
      <c r="LJO22" s="3" t="n"/>
      <c r="LJP22" s="4" t="n"/>
      <c r="LJQ22" s="1" t="n"/>
      <c r="LJR22" s="1" t="n"/>
      <c r="LJS22" s="3" t="n"/>
      <c r="LJT22" s="4" t="n"/>
      <c r="LJU22" s="1" t="n"/>
      <c r="LJV22" s="1" t="n"/>
      <c r="LJW22" s="3" t="n"/>
      <c r="LJX22" s="4" t="n"/>
      <c r="LJY22" s="1" t="n"/>
      <c r="LJZ22" s="1" t="n"/>
      <c r="LKA22" s="3" t="n"/>
      <c r="LKB22" s="4" t="n"/>
      <c r="LKC22" s="1" t="n"/>
      <c r="LKD22" s="1" t="n"/>
      <c r="LKE22" s="3" t="n"/>
      <c r="LKF22" s="4" t="n"/>
      <c r="LKG22" s="1" t="n"/>
      <c r="LKH22" s="1" t="n"/>
      <c r="LKI22" s="3" t="n"/>
      <c r="LKJ22" s="4" t="n"/>
      <c r="LKK22" s="1" t="n"/>
      <c r="LKL22" s="1" t="n"/>
      <c r="LKM22" s="3" t="n"/>
      <c r="LKN22" s="4" t="n"/>
      <c r="LKO22" s="1" t="n"/>
      <c r="LKP22" s="1" t="n"/>
      <c r="LKQ22" s="3" t="n"/>
      <c r="LKR22" s="4" t="n"/>
      <c r="LKS22" s="1" t="n"/>
      <c r="LKT22" s="1" t="n"/>
      <c r="LKU22" s="3" t="n"/>
      <c r="LKV22" s="4" t="n"/>
      <c r="LKW22" s="1" t="n"/>
      <c r="LKX22" s="1" t="n"/>
      <c r="LKY22" s="3" t="n"/>
      <c r="LKZ22" s="4" t="n"/>
      <c r="LLA22" s="1" t="n"/>
      <c r="LLB22" s="1" t="n"/>
      <c r="LLC22" s="3" t="n"/>
      <c r="LLD22" s="4" t="n"/>
      <c r="LLE22" s="1" t="n"/>
      <c r="LLF22" s="1" t="n"/>
      <c r="LLG22" s="3" t="n"/>
      <c r="LLH22" s="4" t="n"/>
      <c r="LLI22" s="1" t="n"/>
      <c r="LLJ22" s="1" t="n"/>
      <c r="LLK22" s="3" t="n"/>
      <c r="LLL22" s="4" t="n"/>
      <c r="LLM22" s="1" t="n"/>
      <c r="LLN22" s="1" t="n"/>
      <c r="LLO22" s="3" t="n"/>
      <c r="LLP22" s="4" t="n"/>
      <c r="LLQ22" s="1" t="n"/>
      <c r="LLR22" s="1" t="n"/>
      <c r="LLS22" s="3" t="n"/>
      <c r="LLT22" s="4" t="n"/>
      <c r="LLU22" s="1" t="n"/>
      <c r="LLV22" s="1" t="n"/>
      <c r="LLW22" s="3" t="n"/>
      <c r="LLX22" s="4" t="n"/>
      <c r="LLY22" s="1" t="n"/>
      <c r="LLZ22" s="1" t="n"/>
      <c r="LMA22" s="3" t="n"/>
      <c r="LMB22" s="4" t="n"/>
      <c r="LMC22" s="1" t="n"/>
      <c r="LMD22" s="1" t="n"/>
      <c r="LME22" s="3" t="n"/>
      <c r="LMF22" s="4" t="n"/>
      <c r="LMG22" s="1" t="n"/>
      <c r="LMH22" s="1" t="n"/>
      <c r="LMI22" s="3" t="n"/>
      <c r="LMJ22" s="4" t="n"/>
      <c r="LMK22" s="1" t="n"/>
      <c r="LML22" s="1" t="n"/>
      <c r="LMM22" s="3" t="n"/>
      <c r="LMN22" s="4" t="n"/>
      <c r="LMO22" s="1" t="n"/>
      <c r="LMP22" s="1" t="n"/>
      <c r="LMQ22" s="3" t="n"/>
      <c r="LMR22" s="4" t="n"/>
      <c r="LMS22" s="1" t="n"/>
      <c r="LMT22" s="1" t="n"/>
      <c r="LMU22" s="3" t="n"/>
      <c r="LMV22" s="4" t="n"/>
      <c r="LMW22" s="1" t="n"/>
      <c r="LMX22" s="1" t="n"/>
      <c r="LMY22" s="3" t="n"/>
      <c r="LMZ22" s="4" t="n"/>
      <c r="LNA22" s="1" t="n"/>
      <c r="LNB22" s="1" t="n"/>
      <c r="LNC22" s="3" t="n"/>
      <c r="LND22" s="4" t="n"/>
      <c r="LNE22" s="1" t="n"/>
      <c r="LNF22" s="1" t="n"/>
      <c r="LNG22" s="3" t="n"/>
      <c r="LNH22" s="4" t="n"/>
      <c r="LNI22" s="1" t="n"/>
      <c r="LNJ22" s="1" t="n"/>
      <c r="LNK22" s="3" t="n"/>
      <c r="LNL22" s="4" t="n"/>
      <c r="LNM22" s="1" t="n"/>
      <c r="LNN22" s="1" t="n"/>
      <c r="LNO22" s="3" t="n"/>
      <c r="LNP22" s="4" t="n"/>
      <c r="LNQ22" s="1" t="n"/>
      <c r="LNR22" s="1" t="n"/>
      <c r="LNS22" s="3" t="n"/>
      <c r="LNT22" s="4" t="n"/>
      <c r="LNU22" s="1" t="n"/>
      <c r="LNV22" s="1" t="n"/>
      <c r="LNW22" s="3" t="n"/>
      <c r="LNX22" s="4" t="n"/>
      <c r="LNY22" s="1" t="n"/>
      <c r="LNZ22" s="1" t="n"/>
      <c r="LOA22" s="3" t="n"/>
      <c r="LOB22" s="4" t="n"/>
      <c r="LOC22" s="1" t="n"/>
      <c r="LOD22" s="1" t="n"/>
      <c r="LOE22" s="3" t="n"/>
      <c r="LOF22" s="4" t="n"/>
      <c r="LOG22" s="1" t="n"/>
      <c r="LOH22" s="1" t="n"/>
      <c r="LOI22" s="3" t="n"/>
      <c r="LOJ22" s="4" t="n"/>
      <c r="LOK22" s="1" t="n"/>
      <c r="LOL22" s="1" t="n"/>
      <c r="LOM22" s="3" t="n"/>
      <c r="LON22" s="4" t="n"/>
      <c r="LOO22" s="1" t="n"/>
      <c r="LOP22" s="1" t="n"/>
      <c r="LOQ22" s="3" t="n"/>
      <c r="LOR22" s="4" t="n"/>
      <c r="LOS22" s="1" t="n"/>
      <c r="LOT22" s="1" t="n"/>
      <c r="LOU22" s="3" t="n"/>
      <c r="LOV22" s="4" t="n"/>
      <c r="LOW22" s="1" t="n"/>
      <c r="LOX22" s="1" t="n"/>
      <c r="LOY22" s="3" t="n"/>
      <c r="LOZ22" s="4" t="n"/>
      <c r="LPA22" s="1" t="n"/>
      <c r="LPB22" s="1" t="n"/>
      <c r="LPC22" s="3" t="n"/>
      <c r="LPD22" s="4" t="n"/>
      <c r="LPE22" s="1" t="n"/>
      <c r="LPF22" s="1" t="n"/>
      <c r="LPG22" s="3" t="n"/>
      <c r="LPH22" s="4" t="n"/>
      <c r="LPI22" s="1" t="n"/>
      <c r="LPJ22" s="1" t="n"/>
      <c r="LPK22" s="3" t="n"/>
      <c r="LPL22" s="4" t="n"/>
      <c r="LPM22" s="1" t="n"/>
      <c r="LPN22" s="1" t="n"/>
      <c r="LPO22" s="3" t="n"/>
      <c r="LPP22" s="4" t="n"/>
      <c r="LPQ22" s="1" t="n"/>
      <c r="LPR22" s="1" t="n"/>
      <c r="LPS22" s="3" t="n"/>
      <c r="LPT22" s="4" t="n"/>
      <c r="LPU22" s="1" t="n"/>
      <c r="LPV22" s="1" t="n"/>
      <c r="LPW22" s="3" t="n"/>
      <c r="LPX22" s="4" t="n"/>
      <c r="LPY22" s="1" t="n"/>
      <c r="LPZ22" s="1" t="n"/>
      <c r="LQA22" s="3" t="n"/>
      <c r="LQB22" s="4" t="n"/>
      <c r="LQC22" s="1" t="n"/>
      <c r="LQD22" s="1" t="n"/>
      <c r="LQE22" s="3" t="n"/>
      <c r="LQF22" s="4" t="n"/>
      <c r="LQG22" s="1" t="n"/>
      <c r="LQH22" s="1" t="n"/>
      <c r="LQI22" s="3" t="n"/>
      <c r="LQJ22" s="4" t="n"/>
      <c r="LQK22" s="1" t="n"/>
      <c r="LQL22" s="1" t="n"/>
      <c r="LQM22" s="3" t="n"/>
      <c r="LQN22" s="4" t="n"/>
      <c r="LQO22" s="1" t="n"/>
      <c r="LQP22" s="1" t="n"/>
      <c r="LQQ22" s="3" t="n"/>
      <c r="LQR22" s="4" t="n"/>
      <c r="LQS22" s="1" t="n"/>
      <c r="LQT22" s="1" t="n"/>
      <c r="LQU22" s="3" t="n"/>
      <c r="LQV22" s="4" t="n"/>
      <c r="LQW22" s="1" t="n"/>
      <c r="LQX22" s="1" t="n"/>
      <c r="LQY22" s="3" t="n"/>
      <c r="LQZ22" s="4" t="n"/>
      <c r="LRA22" s="1" t="n"/>
      <c r="LRB22" s="1" t="n"/>
      <c r="LRC22" s="3" t="n"/>
      <c r="LRD22" s="4" t="n"/>
      <c r="LRE22" s="1" t="n"/>
      <c r="LRF22" s="1" t="n"/>
      <c r="LRG22" s="3" t="n"/>
      <c r="LRH22" s="4" t="n"/>
      <c r="LRI22" s="1" t="n"/>
      <c r="LRJ22" s="1" t="n"/>
      <c r="LRK22" s="3" t="n"/>
      <c r="LRL22" s="4" t="n"/>
      <c r="LRM22" s="1" t="n"/>
      <c r="LRN22" s="1" t="n"/>
      <c r="LRO22" s="3" t="n"/>
      <c r="LRP22" s="4" t="n"/>
      <c r="LRQ22" s="1" t="n"/>
      <c r="LRR22" s="1" t="n"/>
      <c r="LRS22" s="3" t="n"/>
      <c r="LRT22" s="4" t="n"/>
      <c r="LRU22" s="1" t="n"/>
      <c r="LRV22" s="1" t="n"/>
      <c r="LRW22" s="3" t="n"/>
      <c r="LRX22" s="4" t="n"/>
      <c r="LRY22" s="1" t="n"/>
      <c r="LRZ22" s="1" t="n"/>
      <c r="LSA22" s="3" t="n"/>
      <c r="LSB22" s="4" t="n"/>
      <c r="LSC22" s="1" t="n"/>
      <c r="LSD22" s="1" t="n"/>
      <c r="LSE22" s="3" t="n"/>
      <c r="LSF22" s="4" t="n"/>
      <c r="LSG22" s="1" t="n"/>
      <c r="LSH22" s="1" t="n"/>
      <c r="LSI22" s="3" t="n"/>
      <c r="LSJ22" s="4" t="n"/>
      <c r="LSK22" s="1" t="n"/>
      <c r="LSL22" s="1" t="n"/>
      <c r="LSM22" s="3" t="n"/>
      <c r="LSN22" s="4" t="n"/>
      <c r="LSO22" s="1" t="n"/>
      <c r="LSP22" s="1" t="n"/>
      <c r="LSQ22" s="3" t="n"/>
      <c r="LSR22" s="4" t="n"/>
      <c r="LSS22" s="1" t="n"/>
      <c r="LST22" s="1" t="n"/>
      <c r="LSU22" s="3" t="n"/>
      <c r="LSV22" s="4" t="n"/>
      <c r="LSW22" s="1" t="n"/>
      <c r="LSX22" s="1" t="n"/>
      <c r="LSY22" s="3" t="n"/>
      <c r="LSZ22" s="4" t="n"/>
      <c r="LTA22" s="1" t="n"/>
      <c r="LTB22" s="1" t="n"/>
      <c r="LTC22" s="3" t="n"/>
      <c r="LTD22" s="4" t="n"/>
      <c r="LTE22" s="1" t="n"/>
      <c r="LTF22" s="1" t="n"/>
      <c r="LTG22" s="3" t="n"/>
      <c r="LTH22" s="4" t="n"/>
      <c r="LTI22" s="1" t="n"/>
      <c r="LTJ22" s="1" t="n"/>
      <c r="LTK22" s="3" t="n"/>
      <c r="LTL22" s="4" t="n"/>
      <c r="LTM22" s="1" t="n"/>
      <c r="LTN22" s="1" t="n"/>
      <c r="LTO22" s="3" t="n"/>
      <c r="LTP22" s="4" t="n"/>
      <c r="LTQ22" s="1" t="n"/>
      <c r="LTR22" s="1" t="n"/>
      <c r="LTS22" s="3" t="n"/>
      <c r="LTT22" s="4" t="n"/>
      <c r="LTU22" s="1" t="n"/>
      <c r="LTV22" s="1" t="n"/>
      <c r="LTW22" s="3" t="n"/>
      <c r="LTX22" s="4" t="n"/>
      <c r="LTY22" s="1" t="n"/>
      <c r="LTZ22" s="1" t="n"/>
      <c r="LUA22" s="3" t="n"/>
      <c r="LUB22" s="4" t="n"/>
      <c r="LUC22" s="1" t="n"/>
      <c r="LUD22" s="1" t="n"/>
      <c r="LUE22" s="3" t="n"/>
      <c r="LUF22" s="4" t="n"/>
      <c r="LUG22" s="1" t="n"/>
      <c r="LUH22" s="1" t="n"/>
      <c r="LUI22" s="3" t="n"/>
      <c r="LUJ22" s="4" t="n"/>
      <c r="LUK22" s="1" t="n"/>
      <c r="LUL22" s="1" t="n"/>
      <c r="LUM22" s="3" t="n"/>
      <c r="LUN22" s="4" t="n"/>
      <c r="LUO22" s="1" t="n"/>
      <c r="LUP22" s="1" t="n"/>
      <c r="LUQ22" s="3" t="n"/>
      <c r="LUR22" s="4" t="n"/>
      <c r="LUS22" s="1" t="n"/>
      <c r="LUT22" s="1" t="n"/>
      <c r="LUU22" s="3" t="n"/>
      <c r="LUV22" s="4" t="n"/>
      <c r="LUW22" s="1" t="n"/>
      <c r="LUX22" s="1" t="n"/>
      <c r="LUY22" s="3" t="n"/>
      <c r="LUZ22" s="4" t="n"/>
      <c r="LVA22" s="1" t="n"/>
      <c r="LVB22" s="1" t="n"/>
      <c r="LVC22" s="3" t="n"/>
      <c r="LVD22" s="4" t="n"/>
      <c r="LVE22" s="1" t="n"/>
      <c r="LVF22" s="1" t="n"/>
      <c r="LVG22" s="3" t="n"/>
      <c r="LVH22" s="4" t="n"/>
      <c r="LVI22" s="1" t="n"/>
      <c r="LVJ22" s="1" t="n"/>
      <c r="LVK22" s="3" t="n"/>
      <c r="LVL22" s="4" t="n"/>
      <c r="LVM22" s="1" t="n"/>
      <c r="LVN22" s="1" t="n"/>
      <c r="LVO22" s="3" t="n"/>
      <c r="LVP22" s="4" t="n"/>
      <c r="LVQ22" s="1" t="n"/>
      <c r="LVR22" s="1" t="n"/>
      <c r="LVS22" s="3" t="n"/>
      <c r="LVT22" s="4" t="n"/>
      <c r="LVU22" s="1" t="n"/>
      <c r="LVV22" s="1" t="n"/>
      <c r="LVW22" s="3" t="n"/>
      <c r="LVX22" s="4" t="n"/>
      <c r="LVY22" s="1" t="n"/>
      <c r="LVZ22" s="1" t="n"/>
      <c r="LWA22" s="3" t="n"/>
      <c r="LWB22" s="4" t="n"/>
      <c r="LWC22" s="1" t="n"/>
      <c r="LWD22" s="1" t="n"/>
      <c r="LWE22" s="3" t="n"/>
      <c r="LWF22" s="4" t="n"/>
      <c r="LWG22" s="1" t="n"/>
      <c r="LWH22" s="1" t="n"/>
      <c r="LWI22" s="3" t="n"/>
      <c r="LWJ22" s="4" t="n"/>
      <c r="LWK22" s="1" t="n"/>
      <c r="LWL22" s="1" t="n"/>
      <c r="LWM22" s="3" t="n"/>
      <c r="LWN22" s="4" t="n"/>
      <c r="LWO22" s="1" t="n"/>
      <c r="LWP22" s="1" t="n"/>
      <c r="LWQ22" s="3" t="n"/>
      <c r="LWR22" s="4" t="n"/>
      <c r="LWS22" s="1" t="n"/>
      <c r="LWT22" s="1" t="n"/>
      <c r="LWU22" s="3" t="n"/>
      <c r="LWV22" s="4" t="n"/>
      <c r="LWW22" s="1" t="n"/>
      <c r="LWX22" s="1" t="n"/>
      <c r="LWY22" s="3" t="n"/>
      <c r="LWZ22" s="4" t="n"/>
      <c r="LXA22" s="1" t="n"/>
      <c r="LXB22" s="1" t="n"/>
      <c r="LXC22" s="3" t="n"/>
      <c r="LXD22" s="4" t="n"/>
      <c r="LXE22" s="1" t="n"/>
      <c r="LXF22" s="1" t="n"/>
      <c r="LXG22" s="3" t="n"/>
      <c r="LXH22" s="4" t="n"/>
      <c r="LXI22" s="1" t="n"/>
      <c r="LXJ22" s="1" t="n"/>
      <c r="LXK22" s="3" t="n"/>
      <c r="LXL22" s="4" t="n"/>
      <c r="LXM22" s="1" t="n"/>
      <c r="LXN22" s="1" t="n"/>
      <c r="LXO22" s="3" t="n"/>
      <c r="LXP22" s="4" t="n"/>
      <c r="LXQ22" s="1" t="n"/>
      <c r="LXR22" s="1" t="n"/>
      <c r="LXS22" s="3" t="n"/>
      <c r="LXT22" s="4" t="n"/>
      <c r="LXU22" s="1" t="n"/>
      <c r="LXV22" s="1" t="n"/>
      <c r="LXW22" s="3" t="n"/>
      <c r="LXX22" s="4" t="n"/>
      <c r="LXY22" s="1" t="n"/>
      <c r="LXZ22" s="1" t="n"/>
      <c r="LYA22" s="3" t="n"/>
      <c r="LYB22" s="4" t="n"/>
      <c r="LYC22" s="1" t="n"/>
      <c r="LYD22" s="1" t="n"/>
      <c r="LYE22" s="3" t="n"/>
      <c r="LYF22" s="4" t="n"/>
      <c r="LYG22" s="1" t="n"/>
      <c r="LYH22" s="1" t="n"/>
      <c r="LYI22" s="3" t="n"/>
      <c r="LYJ22" s="4" t="n"/>
      <c r="LYK22" s="1" t="n"/>
      <c r="LYL22" s="1" t="n"/>
      <c r="LYM22" s="3" t="n"/>
      <c r="LYN22" s="4" t="n"/>
      <c r="LYO22" s="1" t="n"/>
      <c r="LYP22" s="1" t="n"/>
      <c r="LYQ22" s="3" t="n"/>
      <c r="LYR22" s="4" t="n"/>
      <c r="LYS22" s="1" t="n"/>
      <c r="LYT22" s="1" t="n"/>
      <c r="LYU22" s="3" t="n"/>
      <c r="LYV22" s="4" t="n"/>
      <c r="LYW22" s="1" t="n"/>
      <c r="LYX22" s="1" t="n"/>
      <c r="LYY22" s="3" t="n"/>
      <c r="LYZ22" s="4" t="n"/>
      <c r="LZA22" s="1" t="n"/>
      <c r="LZB22" s="1" t="n"/>
      <c r="LZC22" s="3" t="n"/>
      <c r="LZD22" s="4" t="n"/>
      <c r="LZE22" s="1" t="n"/>
      <c r="LZF22" s="1" t="n"/>
      <c r="LZG22" s="3" t="n"/>
      <c r="LZH22" s="4" t="n"/>
      <c r="LZI22" s="1" t="n"/>
      <c r="LZJ22" s="1" t="n"/>
      <c r="LZK22" s="3" t="n"/>
      <c r="LZL22" s="4" t="n"/>
      <c r="LZM22" s="1" t="n"/>
      <c r="LZN22" s="1" t="n"/>
      <c r="LZO22" s="3" t="n"/>
      <c r="LZP22" s="4" t="n"/>
      <c r="LZQ22" s="1" t="n"/>
      <c r="LZR22" s="1" t="n"/>
      <c r="LZS22" s="3" t="n"/>
      <c r="LZT22" s="4" t="n"/>
      <c r="LZU22" s="1" t="n"/>
      <c r="LZV22" s="1" t="n"/>
      <c r="LZW22" s="3" t="n"/>
      <c r="LZX22" s="4" t="n"/>
      <c r="LZY22" s="1" t="n"/>
      <c r="LZZ22" s="1" t="n"/>
      <c r="MAA22" s="3" t="n"/>
      <c r="MAB22" s="4" t="n"/>
      <c r="MAC22" s="1" t="n"/>
      <c r="MAD22" s="1" t="n"/>
      <c r="MAE22" s="3" t="n"/>
      <c r="MAF22" s="4" t="n"/>
      <c r="MAG22" s="1" t="n"/>
      <c r="MAH22" s="1" t="n"/>
      <c r="MAI22" s="3" t="n"/>
      <c r="MAJ22" s="4" t="n"/>
      <c r="MAK22" s="1" t="n"/>
      <c r="MAL22" s="1" t="n"/>
      <c r="MAM22" s="3" t="n"/>
      <c r="MAN22" s="4" t="n"/>
      <c r="MAO22" s="1" t="n"/>
      <c r="MAP22" s="1" t="n"/>
      <c r="MAQ22" s="3" t="n"/>
      <c r="MAR22" s="4" t="n"/>
      <c r="MAS22" s="1" t="n"/>
      <c r="MAT22" s="1" t="n"/>
      <c r="MAU22" s="3" t="n"/>
      <c r="MAV22" s="4" t="n"/>
      <c r="MAW22" s="1" t="n"/>
      <c r="MAX22" s="1" t="n"/>
      <c r="MAY22" s="3" t="n"/>
      <c r="MAZ22" s="4" t="n"/>
      <c r="MBA22" s="1" t="n"/>
      <c r="MBB22" s="1" t="n"/>
      <c r="MBC22" s="3" t="n"/>
      <c r="MBD22" s="4" t="n"/>
      <c r="MBE22" s="1" t="n"/>
      <c r="MBF22" s="1" t="n"/>
      <c r="MBG22" s="3" t="n"/>
      <c r="MBH22" s="4" t="n"/>
      <c r="MBI22" s="1" t="n"/>
      <c r="MBJ22" s="1" t="n"/>
      <c r="MBK22" s="3" t="n"/>
      <c r="MBL22" s="4" t="n"/>
      <c r="MBM22" s="1" t="n"/>
      <c r="MBN22" s="1" t="n"/>
      <c r="MBO22" s="3" t="n"/>
      <c r="MBP22" s="4" t="n"/>
      <c r="MBQ22" s="1" t="n"/>
      <c r="MBR22" s="1" t="n"/>
      <c r="MBS22" s="3" t="n"/>
      <c r="MBT22" s="4" t="n"/>
      <c r="MBU22" s="1" t="n"/>
      <c r="MBV22" s="1" t="n"/>
      <c r="MBW22" s="3" t="n"/>
      <c r="MBX22" s="4" t="n"/>
      <c r="MBY22" s="1" t="n"/>
      <c r="MBZ22" s="1" t="n"/>
      <c r="MCA22" s="3" t="n"/>
      <c r="MCB22" s="4" t="n"/>
      <c r="MCC22" s="1" t="n"/>
      <c r="MCD22" s="1" t="n"/>
      <c r="MCE22" s="3" t="n"/>
      <c r="MCF22" s="4" t="n"/>
      <c r="MCG22" s="1" t="n"/>
      <c r="MCH22" s="1" t="n"/>
      <c r="MCI22" s="3" t="n"/>
      <c r="MCJ22" s="4" t="n"/>
      <c r="MCK22" s="1" t="n"/>
      <c r="MCL22" s="1" t="n"/>
      <c r="MCM22" s="3" t="n"/>
      <c r="MCN22" s="4" t="n"/>
      <c r="MCO22" s="1" t="n"/>
      <c r="MCP22" s="1" t="n"/>
      <c r="MCQ22" s="3" t="n"/>
      <c r="MCR22" s="4" t="n"/>
      <c r="MCS22" s="1" t="n"/>
      <c r="MCT22" s="1" t="n"/>
      <c r="MCU22" s="3" t="n"/>
      <c r="MCV22" s="4" t="n"/>
      <c r="MCW22" s="1" t="n"/>
      <c r="MCX22" s="1" t="n"/>
      <c r="MCY22" s="3" t="n"/>
      <c r="MCZ22" s="4" t="n"/>
      <c r="MDA22" s="1" t="n"/>
      <c r="MDB22" s="1" t="n"/>
      <c r="MDC22" s="3" t="n"/>
      <c r="MDD22" s="4" t="n"/>
      <c r="MDE22" s="1" t="n"/>
      <c r="MDF22" s="1" t="n"/>
      <c r="MDG22" s="3" t="n"/>
      <c r="MDH22" s="4" t="n"/>
      <c r="MDI22" s="1" t="n"/>
      <c r="MDJ22" s="1" t="n"/>
      <c r="MDK22" s="3" t="n"/>
      <c r="MDL22" s="4" t="n"/>
      <c r="MDM22" s="1" t="n"/>
      <c r="MDN22" s="1" t="n"/>
      <c r="MDO22" s="3" t="n"/>
      <c r="MDP22" s="4" t="n"/>
      <c r="MDQ22" s="1" t="n"/>
      <c r="MDR22" s="1" t="n"/>
      <c r="MDS22" s="3" t="n"/>
      <c r="MDT22" s="4" t="n"/>
      <c r="MDU22" s="1" t="n"/>
      <c r="MDV22" s="1" t="n"/>
      <c r="MDW22" s="3" t="n"/>
      <c r="MDX22" s="4" t="n"/>
      <c r="MDY22" s="1" t="n"/>
      <c r="MDZ22" s="1" t="n"/>
      <c r="MEA22" s="3" t="n"/>
      <c r="MEB22" s="4" t="n"/>
      <c r="MEC22" s="1" t="n"/>
      <c r="MED22" s="1" t="n"/>
      <c r="MEE22" s="3" t="n"/>
      <c r="MEF22" s="4" t="n"/>
      <c r="MEG22" s="1" t="n"/>
      <c r="MEH22" s="1" t="n"/>
      <c r="MEI22" s="3" t="n"/>
      <c r="MEJ22" s="4" t="n"/>
      <c r="MEK22" s="1" t="n"/>
      <c r="MEL22" s="1" t="n"/>
      <c r="MEM22" s="3" t="n"/>
      <c r="MEN22" s="4" t="n"/>
      <c r="MEO22" s="1" t="n"/>
      <c r="MEP22" s="1" t="n"/>
      <c r="MEQ22" s="3" t="n"/>
      <c r="MER22" s="4" t="n"/>
      <c r="MES22" s="1" t="n"/>
      <c r="MET22" s="1" t="n"/>
      <c r="MEU22" s="3" t="n"/>
      <c r="MEV22" s="4" t="n"/>
      <c r="MEW22" s="1" t="n"/>
      <c r="MEX22" s="1" t="n"/>
      <c r="MEY22" s="3" t="n"/>
      <c r="MEZ22" s="4" t="n"/>
      <c r="MFA22" s="1" t="n"/>
      <c r="MFB22" s="1" t="n"/>
      <c r="MFC22" s="3" t="n"/>
      <c r="MFD22" s="4" t="n"/>
      <c r="MFE22" s="1" t="n"/>
      <c r="MFF22" s="1" t="n"/>
      <c r="MFG22" s="3" t="n"/>
      <c r="MFH22" s="4" t="n"/>
      <c r="MFI22" s="1" t="n"/>
      <c r="MFJ22" s="1" t="n"/>
      <c r="MFK22" s="3" t="n"/>
      <c r="MFL22" s="4" t="n"/>
      <c r="MFM22" s="1" t="n"/>
      <c r="MFN22" s="1" t="n"/>
      <c r="MFO22" s="3" t="n"/>
      <c r="MFP22" s="4" t="n"/>
      <c r="MFQ22" s="1" t="n"/>
      <c r="MFR22" s="1" t="n"/>
      <c r="MFS22" s="3" t="n"/>
      <c r="MFT22" s="4" t="n"/>
      <c r="MFU22" s="1" t="n"/>
      <c r="MFV22" s="1" t="n"/>
      <c r="MFW22" s="3" t="n"/>
      <c r="MFX22" s="4" t="n"/>
      <c r="MFY22" s="1" t="n"/>
      <c r="MFZ22" s="1" t="n"/>
      <c r="MGA22" s="3" t="n"/>
      <c r="MGB22" s="4" t="n"/>
      <c r="MGC22" s="1" t="n"/>
      <c r="MGD22" s="1" t="n"/>
      <c r="MGE22" s="3" t="n"/>
      <c r="MGF22" s="4" t="n"/>
      <c r="MGG22" s="1" t="n"/>
      <c r="MGH22" s="1" t="n"/>
      <c r="MGI22" s="3" t="n"/>
      <c r="MGJ22" s="4" t="n"/>
      <c r="MGK22" s="1" t="n"/>
      <c r="MGL22" s="1" t="n"/>
      <c r="MGM22" s="3" t="n"/>
      <c r="MGN22" s="4" t="n"/>
      <c r="MGO22" s="1" t="n"/>
      <c r="MGP22" s="1" t="n"/>
      <c r="MGQ22" s="3" t="n"/>
      <c r="MGR22" s="4" t="n"/>
      <c r="MGS22" s="1" t="n"/>
      <c r="MGT22" s="1" t="n"/>
      <c r="MGU22" s="3" t="n"/>
      <c r="MGV22" s="4" t="n"/>
      <c r="MGW22" s="1" t="n"/>
      <c r="MGX22" s="1" t="n"/>
      <c r="MGY22" s="3" t="n"/>
      <c r="MGZ22" s="4" t="n"/>
      <c r="MHA22" s="1" t="n"/>
      <c r="MHB22" s="1" t="n"/>
      <c r="MHC22" s="3" t="n"/>
      <c r="MHD22" s="4" t="n"/>
      <c r="MHE22" s="1" t="n"/>
      <c r="MHF22" s="1" t="n"/>
      <c r="MHG22" s="3" t="n"/>
      <c r="MHH22" s="4" t="n"/>
      <c r="MHI22" s="1" t="n"/>
      <c r="MHJ22" s="1" t="n"/>
      <c r="MHK22" s="3" t="n"/>
      <c r="MHL22" s="4" t="n"/>
      <c r="MHM22" s="1" t="n"/>
      <c r="MHN22" s="1" t="n"/>
      <c r="MHO22" s="3" t="n"/>
      <c r="MHP22" s="4" t="n"/>
      <c r="MHQ22" s="1" t="n"/>
      <c r="MHR22" s="1" t="n"/>
      <c r="MHS22" s="3" t="n"/>
      <c r="MHT22" s="4" t="n"/>
      <c r="MHU22" s="1" t="n"/>
      <c r="MHV22" s="1" t="n"/>
      <c r="MHW22" s="3" t="n"/>
      <c r="MHX22" s="4" t="n"/>
      <c r="MHY22" s="1" t="n"/>
      <c r="MHZ22" s="1" t="n"/>
      <c r="MIA22" s="3" t="n"/>
      <c r="MIB22" s="4" t="n"/>
      <c r="MIC22" s="1" t="n"/>
      <c r="MID22" s="1" t="n"/>
      <c r="MIE22" s="3" t="n"/>
      <c r="MIF22" s="4" t="n"/>
      <c r="MIG22" s="1" t="n"/>
      <c r="MIH22" s="1" t="n"/>
      <c r="MII22" s="3" t="n"/>
      <c r="MIJ22" s="4" t="n"/>
      <c r="MIK22" s="1" t="n"/>
      <c r="MIL22" s="1" t="n"/>
      <c r="MIM22" s="3" t="n"/>
      <c r="MIN22" s="4" t="n"/>
      <c r="MIO22" s="1" t="n"/>
      <c r="MIP22" s="1" t="n"/>
      <c r="MIQ22" s="3" t="n"/>
      <c r="MIR22" s="4" t="n"/>
      <c r="MIS22" s="1" t="n"/>
      <c r="MIT22" s="1" t="n"/>
      <c r="MIU22" s="3" t="n"/>
      <c r="MIV22" s="4" t="n"/>
      <c r="MIW22" s="1" t="n"/>
      <c r="MIX22" s="1" t="n"/>
      <c r="MIY22" s="3" t="n"/>
      <c r="MIZ22" s="4" t="n"/>
      <c r="MJA22" s="1" t="n"/>
      <c r="MJB22" s="1" t="n"/>
      <c r="MJC22" s="3" t="n"/>
      <c r="MJD22" s="4" t="n"/>
      <c r="MJE22" s="1" t="n"/>
      <c r="MJF22" s="1" t="n"/>
      <c r="MJG22" s="3" t="n"/>
      <c r="MJH22" s="4" t="n"/>
      <c r="MJI22" s="1" t="n"/>
      <c r="MJJ22" s="1" t="n"/>
      <c r="MJK22" s="3" t="n"/>
      <c r="MJL22" s="4" t="n"/>
      <c r="MJM22" s="1" t="n"/>
      <c r="MJN22" s="1" t="n"/>
      <c r="MJO22" s="3" t="n"/>
      <c r="MJP22" s="4" t="n"/>
      <c r="MJQ22" s="1" t="n"/>
      <c r="MJR22" s="1" t="n"/>
      <c r="MJS22" s="3" t="n"/>
      <c r="MJT22" s="4" t="n"/>
      <c r="MJU22" s="1" t="n"/>
      <c r="MJV22" s="1" t="n"/>
      <c r="MJW22" s="3" t="n"/>
      <c r="MJX22" s="4" t="n"/>
      <c r="MJY22" s="1" t="n"/>
      <c r="MJZ22" s="1" t="n"/>
      <c r="MKA22" s="3" t="n"/>
      <c r="MKB22" s="4" t="n"/>
      <c r="MKC22" s="1" t="n"/>
      <c r="MKD22" s="1" t="n"/>
      <c r="MKE22" s="3" t="n"/>
      <c r="MKF22" s="4" t="n"/>
      <c r="MKG22" s="1" t="n"/>
      <c r="MKH22" s="1" t="n"/>
      <c r="MKI22" s="3" t="n"/>
      <c r="MKJ22" s="4" t="n"/>
      <c r="MKK22" s="1" t="n"/>
      <c r="MKL22" s="1" t="n"/>
      <c r="MKM22" s="3" t="n"/>
      <c r="MKN22" s="4" t="n"/>
      <c r="MKO22" s="1" t="n"/>
      <c r="MKP22" s="1" t="n"/>
      <c r="MKQ22" s="3" t="n"/>
      <c r="MKR22" s="4" t="n"/>
      <c r="MKS22" s="1" t="n"/>
      <c r="MKT22" s="1" t="n"/>
      <c r="MKU22" s="3" t="n"/>
      <c r="MKV22" s="4" t="n"/>
      <c r="MKW22" s="1" t="n"/>
      <c r="MKX22" s="1" t="n"/>
      <c r="MKY22" s="3" t="n"/>
      <c r="MKZ22" s="4" t="n"/>
      <c r="MLA22" s="1" t="n"/>
      <c r="MLB22" s="1" t="n"/>
      <c r="MLC22" s="3" t="n"/>
      <c r="MLD22" s="4" t="n"/>
      <c r="MLE22" s="1" t="n"/>
      <c r="MLF22" s="1" t="n"/>
      <c r="MLG22" s="3" t="n"/>
      <c r="MLH22" s="4" t="n"/>
      <c r="MLI22" s="1" t="n"/>
      <c r="MLJ22" s="1" t="n"/>
      <c r="MLK22" s="3" t="n"/>
      <c r="MLL22" s="4" t="n"/>
      <c r="MLM22" s="1" t="n"/>
      <c r="MLN22" s="1" t="n"/>
      <c r="MLO22" s="3" t="n"/>
      <c r="MLP22" s="4" t="n"/>
      <c r="MLQ22" s="1" t="n"/>
      <c r="MLR22" s="1" t="n"/>
      <c r="MLS22" s="3" t="n"/>
      <c r="MLT22" s="4" t="n"/>
      <c r="MLU22" s="1" t="n"/>
      <c r="MLV22" s="1" t="n"/>
      <c r="MLW22" s="3" t="n"/>
      <c r="MLX22" s="4" t="n"/>
      <c r="MLY22" s="1" t="n"/>
      <c r="MLZ22" s="1" t="n"/>
      <c r="MMA22" s="3" t="n"/>
      <c r="MMB22" s="4" t="n"/>
      <c r="MMC22" s="1" t="n"/>
      <c r="MMD22" s="1" t="n"/>
      <c r="MME22" s="3" t="n"/>
      <c r="MMF22" s="4" t="n"/>
      <c r="MMG22" s="1" t="n"/>
      <c r="MMH22" s="1" t="n"/>
      <c r="MMI22" s="3" t="n"/>
      <c r="MMJ22" s="4" t="n"/>
      <c r="MMK22" s="1" t="n"/>
      <c r="MML22" s="1" t="n"/>
      <c r="MMM22" s="3" t="n"/>
      <c r="MMN22" s="4" t="n"/>
      <c r="MMO22" s="1" t="n"/>
      <c r="MMP22" s="1" t="n"/>
      <c r="MMQ22" s="3" t="n"/>
      <c r="MMR22" s="4" t="n"/>
      <c r="MMS22" s="1" t="n"/>
      <c r="MMT22" s="1" t="n"/>
      <c r="MMU22" s="3" t="n"/>
      <c r="MMV22" s="4" t="n"/>
      <c r="MMW22" s="1" t="n"/>
      <c r="MMX22" s="1" t="n"/>
      <c r="MMY22" s="3" t="n"/>
      <c r="MMZ22" s="4" t="n"/>
      <c r="MNA22" s="1" t="n"/>
      <c r="MNB22" s="1" t="n"/>
      <c r="MNC22" s="3" t="n"/>
      <c r="MND22" s="4" t="n"/>
      <c r="MNE22" s="1" t="n"/>
      <c r="MNF22" s="1" t="n"/>
      <c r="MNG22" s="3" t="n"/>
      <c r="MNH22" s="4" t="n"/>
      <c r="MNI22" s="1" t="n"/>
      <c r="MNJ22" s="1" t="n"/>
      <c r="MNK22" s="3" t="n"/>
      <c r="MNL22" s="4" t="n"/>
      <c r="MNM22" s="1" t="n"/>
      <c r="MNN22" s="1" t="n"/>
      <c r="MNO22" s="3" t="n"/>
      <c r="MNP22" s="4" t="n"/>
      <c r="MNQ22" s="1" t="n"/>
      <c r="MNR22" s="1" t="n"/>
      <c r="MNS22" s="3" t="n"/>
      <c r="MNT22" s="4" t="n"/>
      <c r="MNU22" s="1" t="n"/>
      <c r="MNV22" s="1" t="n"/>
      <c r="MNW22" s="3" t="n"/>
      <c r="MNX22" s="4" t="n"/>
      <c r="MNY22" s="1" t="n"/>
      <c r="MNZ22" s="1" t="n"/>
      <c r="MOA22" s="3" t="n"/>
      <c r="MOB22" s="4" t="n"/>
      <c r="MOC22" s="1" t="n"/>
      <c r="MOD22" s="1" t="n"/>
      <c r="MOE22" s="3" t="n"/>
      <c r="MOF22" s="4" t="n"/>
      <c r="MOG22" s="1" t="n"/>
      <c r="MOH22" s="1" t="n"/>
      <c r="MOI22" s="3" t="n"/>
      <c r="MOJ22" s="4" t="n"/>
      <c r="MOK22" s="1" t="n"/>
      <c r="MOL22" s="1" t="n"/>
      <c r="MOM22" s="3" t="n"/>
      <c r="MON22" s="4" t="n"/>
      <c r="MOO22" s="1" t="n"/>
      <c r="MOP22" s="1" t="n"/>
      <c r="MOQ22" s="3" t="n"/>
      <c r="MOR22" s="4" t="n"/>
      <c r="MOS22" s="1" t="n"/>
      <c r="MOT22" s="1" t="n"/>
      <c r="MOU22" s="3" t="n"/>
      <c r="MOV22" s="4" t="n"/>
      <c r="MOW22" s="1" t="n"/>
      <c r="MOX22" s="1" t="n"/>
      <c r="MOY22" s="3" t="n"/>
      <c r="MOZ22" s="4" t="n"/>
      <c r="MPA22" s="1" t="n"/>
      <c r="MPB22" s="1" t="n"/>
      <c r="MPC22" s="3" t="n"/>
      <c r="MPD22" s="4" t="n"/>
      <c r="MPE22" s="1" t="n"/>
      <c r="MPF22" s="1" t="n"/>
      <c r="MPG22" s="3" t="n"/>
      <c r="MPH22" s="4" t="n"/>
      <c r="MPI22" s="1" t="n"/>
      <c r="MPJ22" s="1" t="n"/>
      <c r="MPK22" s="3" t="n"/>
      <c r="MPL22" s="4" t="n"/>
      <c r="MPM22" s="1" t="n"/>
      <c r="MPN22" s="1" t="n"/>
      <c r="MPO22" s="3" t="n"/>
      <c r="MPP22" s="4" t="n"/>
      <c r="MPQ22" s="1" t="n"/>
      <c r="MPR22" s="1" t="n"/>
      <c r="MPS22" s="3" t="n"/>
      <c r="MPT22" s="4" t="n"/>
      <c r="MPU22" s="1" t="n"/>
      <c r="MPV22" s="1" t="n"/>
      <c r="MPW22" s="3" t="n"/>
      <c r="MPX22" s="4" t="n"/>
      <c r="MPY22" s="1" t="n"/>
      <c r="MPZ22" s="1" t="n"/>
      <c r="MQA22" s="3" t="n"/>
      <c r="MQB22" s="4" t="n"/>
      <c r="MQC22" s="1" t="n"/>
      <c r="MQD22" s="1" t="n"/>
      <c r="MQE22" s="3" t="n"/>
      <c r="MQF22" s="4" t="n"/>
      <c r="MQG22" s="1" t="n"/>
      <c r="MQH22" s="1" t="n"/>
      <c r="MQI22" s="3" t="n"/>
      <c r="MQJ22" s="4" t="n"/>
      <c r="MQK22" s="1" t="n"/>
      <c r="MQL22" s="1" t="n"/>
      <c r="MQM22" s="3" t="n"/>
      <c r="MQN22" s="4" t="n"/>
      <c r="MQO22" s="1" t="n"/>
      <c r="MQP22" s="1" t="n"/>
      <c r="MQQ22" s="3" t="n"/>
      <c r="MQR22" s="4" t="n"/>
      <c r="MQS22" s="1" t="n"/>
      <c r="MQT22" s="1" t="n"/>
      <c r="MQU22" s="3" t="n"/>
      <c r="MQV22" s="4" t="n"/>
      <c r="MQW22" s="1" t="n"/>
      <c r="MQX22" s="1" t="n"/>
      <c r="MQY22" s="3" t="n"/>
      <c r="MQZ22" s="4" t="n"/>
      <c r="MRA22" s="1" t="n"/>
      <c r="MRB22" s="1" t="n"/>
      <c r="MRC22" s="3" t="n"/>
      <c r="MRD22" s="4" t="n"/>
      <c r="MRE22" s="1" t="n"/>
      <c r="MRF22" s="1" t="n"/>
      <c r="MRG22" s="3" t="n"/>
      <c r="MRH22" s="4" t="n"/>
      <c r="MRI22" s="1" t="n"/>
      <c r="MRJ22" s="1" t="n"/>
      <c r="MRK22" s="3" t="n"/>
      <c r="MRL22" s="4" t="n"/>
      <c r="MRM22" s="1" t="n"/>
      <c r="MRN22" s="1" t="n"/>
      <c r="MRO22" s="3" t="n"/>
      <c r="MRP22" s="4" t="n"/>
      <c r="MRQ22" s="1" t="n"/>
      <c r="MRR22" s="1" t="n"/>
      <c r="MRS22" s="3" t="n"/>
      <c r="MRT22" s="4" t="n"/>
      <c r="MRU22" s="1" t="n"/>
      <c r="MRV22" s="1" t="n"/>
      <c r="MRW22" s="3" t="n"/>
      <c r="MRX22" s="4" t="n"/>
      <c r="MRY22" s="1" t="n"/>
      <c r="MRZ22" s="1" t="n"/>
      <c r="MSA22" s="3" t="n"/>
      <c r="MSB22" s="4" t="n"/>
      <c r="MSC22" s="1" t="n"/>
      <c r="MSD22" s="1" t="n"/>
      <c r="MSE22" s="3" t="n"/>
      <c r="MSF22" s="4" t="n"/>
      <c r="MSG22" s="1" t="n"/>
      <c r="MSH22" s="1" t="n"/>
      <c r="MSI22" s="3" t="n"/>
      <c r="MSJ22" s="4" t="n"/>
      <c r="MSK22" s="1" t="n"/>
      <c r="MSL22" s="1" t="n"/>
      <c r="MSM22" s="3" t="n"/>
      <c r="MSN22" s="4" t="n"/>
      <c r="MSO22" s="1" t="n"/>
      <c r="MSP22" s="1" t="n"/>
      <c r="MSQ22" s="3" t="n"/>
      <c r="MSR22" s="4" t="n"/>
      <c r="MSS22" s="1" t="n"/>
      <c r="MST22" s="1" t="n"/>
      <c r="MSU22" s="3" t="n"/>
      <c r="MSV22" s="4" t="n"/>
      <c r="MSW22" s="1" t="n"/>
      <c r="MSX22" s="1" t="n"/>
      <c r="MSY22" s="3" t="n"/>
      <c r="MSZ22" s="4" t="n"/>
      <c r="MTA22" s="1" t="n"/>
      <c r="MTB22" s="1" t="n"/>
      <c r="MTC22" s="3" t="n"/>
      <c r="MTD22" s="4" t="n"/>
      <c r="MTE22" s="1" t="n"/>
      <c r="MTF22" s="1" t="n"/>
      <c r="MTG22" s="3" t="n"/>
      <c r="MTH22" s="4" t="n"/>
      <c r="MTI22" s="1" t="n"/>
      <c r="MTJ22" s="1" t="n"/>
      <c r="MTK22" s="3" t="n"/>
      <c r="MTL22" s="4" t="n"/>
      <c r="MTM22" s="1" t="n"/>
      <c r="MTN22" s="1" t="n"/>
      <c r="MTO22" s="3" t="n"/>
      <c r="MTP22" s="4" t="n"/>
      <c r="MTQ22" s="1" t="n"/>
      <c r="MTR22" s="1" t="n"/>
      <c r="MTS22" s="3" t="n"/>
      <c r="MTT22" s="4" t="n"/>
      <c r="MTU22" s="1" t="n"/>
      <c r="MTV22" s="1" t="n"/>
      <c r="MTW22" s="3" t="n"/>
      <c r="MTX22" s="4" t="n"/>
      <c r="MTY22" s="1" t="n"/>
      <c r="MTZ22" s="1" t="n"/>
      <c r="MUA22" s="3" t="n"/>
      <c r="MUB22" s="4" t="n"/>
      <c r="MUC22" s="1" t="n"/>
      <c r="MUD22" s="1" t="n"/>
      <c r="MUE22" s="3" t="n"/>
      <c r="MUF22" s="4" t="n"/>
      <c r="MUG22" s="1" t="n"/>
      <c r="MUH22" s="1" t="n"/>
      <c r="MUI22" s="3" t="n"/>
      <c r="MUJ22" s="4" t="n"/>
      <c r="MUK22" s="1" t="n"/>
      <c r="MUL22" s="1" t="n"/>
      <c r="MUM22" s="3" t="n"/>
      <c r="MUN22" s="4" t="n"/>
      <c r="MUO22" s="1" t="n"/>
      <c r="MUP22" s="1" t="n"/>
      <c r="MUQ22" s="3" t="n"/>
      <c r="MUR22" s="4" t="n"/>
      <c r="MUS22" s="1" t="n"/>
      <c r="MUT22" s="1" t="n"/>
      <c r="MUU22" s="3" t="n"/>
      <c r="MUV22" s="4" t="n"/>
      <c r="MUW22" s="1" t="n"/>
      <c r="MUX22" s="1" t="n"/>
      <c r="MUY22" s="3" t="n"/>
      <c r="MUZ22" s="4" t="n"/>
      <c r="MVA22" s="1" t="n"/>
      <c r="MVB22" s="1" t="n"/>
      <c r="MVC22" s="3" t="n"/>
      <c r="MVD22" s="4" t="n"/>
      <c r="MVE22" s="1" t="n"/>
      <c r="MVF22" s="1" t="n"/>
      <c r="MVG22" s="3" t="n"/>
      <c r="MVH22" s="4" t="n"/>
      <c r="MVI22" s="1" t="n"/>
      <c r="MVJ22" s="1" t="n"/>
      <c r="MVK22" s="3" t="n"/>
      <c r="MVL22" s="4" t="n"/>
      <c r="MVM22" s="1" t="n"/>
      <c r="MVN22" s="1" t="n"/>
      <c r="MVO22" s="3" t="n"/>
      <c r="MVP22" s="4" t="n"/>
      <c r="MVQ22" s="1" t="n"/>
      <c r="MVR22" s="1" t="n"/>
      <c r="MVS22" s="3" t="n"/>
      <c r="MVT22" s="4" t="n"/>
      <c r="MVU22" s="1" t="n"/>
      <c r="MVV22" s="1" t="n"/>
      <c r="MVW22" s="3" t="n"/>
      <c r="MVX22" s="4" t="n"/>
      <c r="MVY22" s="1" t="n"/>
      <c r="MVZ22" s="1" t="n"/>
      <c r="MWA22" s="3" t="n"/>
      <c r="MWB22" s="4" t="n"/>
      <c r="MWC22" s="1" t="n"/>
      <c r="MWD22" s="1" t="n"/>
      <c r="MWE22" s="3" t="n"/>
      <c r="MWF22" s="4" t="n"/>
      <c r="MWG22" s="1" t="n"/>
      <c r="MWH22" s="1" t="n"/>
      <c r="MWI22" s="3" t="n"/>
      <c r="MWJ22" s="4" t="n"/>
      <c r="MWK22" s="1" t="n"/>
      <c r="MWL22" s="1" t="n"/>
      <c r="MWM22" s="3" t="n"/>
      <c r="MWN22" s="4" t="n"/>
      <c r="MWO22" s="1" t="n"/>
      <c r="MWP22" s="1" t="n"/>
      <c r="MWQ22" s="3" t="n"/>
      <c r="MWR22" s="4" t="n"/>
      <c r="MWS22" s="1" t="n"/>
      <c r="MWT22" s="1" t="n"/>
      <c r="MWU22" s="3" t="n"/>
      <c r="MWV22" s="4" t="n"/>
      <c r="MWW22" s="1" t="n"/>
      <c r="MWX22" s="1" t="n"/>
      <c r="MWY22" s="3" t="n"/>
      <c r="MWZ22" s="4" t="n"/>
      <c r="MXA22" s="1" t="n"/>
      <c r="MXB22" s="1" t="n"/>
      <c r="MXC22" s="3" t="n"/>
      <c r="MXD22" s="4" t="n"/>
      <c r="MXE22" s="1" t="n"/>
      <c r="MXF22" s="1" t="n"/>
      <c r="MXG22" s="3" t="n"/>
      <c r="MXH22" s="4" t="n"/>
      <c r="MXI22" s="1" t="n"/>
      <c r="MXJ22" s="1" t="n"/>
      <c r="MXK22" s="3" t="n"/>
      <c r="MXL22" s="4" t="n"/>
      <c r="MXM22" s="1" t="n"/>
      <c r="MXN22" s="1" t="n"/>
      <c r="MXO22" s="3" t="n"/>
      <c r="MXP22" s="4" t="n"/>
      <c r="MXQ22" s="1" t="n"/>
      <c r="MXR22" s="1" t="n"/>
      <c r="MXS22" s="3" t="n"/>
      <c r="MXT22" s="4" t="n"/>
      <c r="MXU22" s="1" t="n"/>
      <c r="MXV22" s="1" t="n"/>
      <c r="MXW22" s="3" t="n"/>
      <c r="MXX22" s="4" t="n"/>
      <c r="MXY22" s="1" t="n"/>
      <c r="MXZ22" s="1" t="n"/>
      <c r="MYA22" s="3" t="n"/>
      <c r="MYB22" s="4" t="n"/>
      <c r="MYC22" s="1" t="n"/>
      <c r="MYD22" s="1" t="n"/>
      <c r="MYE22" s="3" t="n"/>
      <c r="MYF22" s="4" t="n"/>
      <c r="MYG22" s="1" t="n"/>
      <c r="MYH22" s="1" t="n"/>
      <c r="MYI22" s="3" t="n"/>
      <c r="MYJ22" s="4" t="n"/>
      <c r="MYK22" s="1" t="n"/>
      <c r="MYL22" s="1" t="n"/>
      <c r="MYM22" s="3" t="n"/>
      <c r="MYN22" s="4" t="n"/>
      <c r="MYO22" s="1" t="n"/>
      <c r="MYP22" s="1" t="n"/>
      <c r="MYQ22" s="3" t="n"/>
      <c r="MYR22" s="4" t="n"/>
      <c r="MYS22" s="1" t="n"/>
      <c r="MYT22" s="1" t="n"/>
      <c r="MYU22" s="3" t="n"/>
      <c r="MYV22" s="4" t="n"/>
      <c r="MYW22" s="1" t="n"/>
      <c r="MYX22" s="1" t="n"/>
      <c r="MYY22" s="3" t="n"/>
      <c r="MYZ22" s="4" t="n"/>
      <c r="MZA22" s="1" t="n"/>
      <c r="MZB22" s="1" t="n"/>
      <c r="MZC22" s="3" t="n"/>
      <c r="MZD22" s="4" t="n"/>
      <c r="MZE22" s="1" t="n"/>
      <c r="MZF22" s="1" t="n"/>
      <c r="MZG22" s="3" t="n"/>
      <c r="MZH22" s="4" t="n"/>
      <c r="MZI22" s="1" t="n"/>
      <c r="MZJ22" s="1" t="n"/>
      <c r="MZK22" s="3" t="n"/>
      <c r="MZL22" s="4" t="n"/>
      <c r="MZM22" s="1" t="n"/>
      <c r="MZN22" s="1" t="n"/>
      <c r="MZO22" s="3" t="n"/>
      <c r="MZP22" s="4" t="n"/>
      <c r="MZQ22" s="1" t="n"/>
      <c r="MZR22" s="1" t="n"/>
      <c r="MZS22" s="3" t="n"/>
      <c r="MZT22" s="4" t="n"/>
      <c r="MZU22" s="1" t="n"/>
      <c r="MZV22" s="1" t="n"/>
      <c r="MZW22" s="3" t="n"/>
      <c r="MZX22" s="4" t="n"/>
      <c r="MZY22" s="1" t="n"/>
      <c r="MZZ22" s="1" t="n"/>
      <c r="NAA22" s="3" t="n"/>
      <c r="NAB22" s="4" t="n"/>
      <c r="NAC22" s="1" t="n"/>
      <c r="NAD22" s="1" t="n"/>
      <c r="NAE22" s="3" t="n"/>
      <c r="NAF22" s="4" t="n"/>
      <c r="NAG22" s="1" t="n"/>
      <c r="NAH22" s="1" t="n"/>
      <c r="NAI22" s="3" t="n"/>
      <c r="NAJ22" s="4" t="n"/>
      <c r="NAK22" s="1" t="n"/>
      <c r="NAL22" s="1" t="n"/>
      <c r="NAM22" s="3" t="n"/>
      <c r="NAN22" s="4" t="n"/>
      <c r="NAO22" s="1" t="n"/>
      <c r="NAP22" s="1" t="n"/>
      <c r="NAQ22" s="3" t="n"/>
      <c r="NAR22" s="4" t="n"/>
      <c r="NAS22" s="1" t="n"/>
      <c r="NAT22" s="1" t="n"/>
      <c r="NAU22" s="3" t="n"/>
      <c r="NAV22" s="4" t="n"/>
      <c r="NAW22" s="1" t="n"/>
      <c r="NAX22" s="1" t="n"/>
      <c r="NAY22" s="3" t="n"/>
      <c r="NAZ22" s="4" t="n"/>
      <c r="NBA22" s="1" t="n"/>
      <c r="NBB22" s="1" t="n"/>
      <c r="NBC22" s="3" t="n"/>
      <c r="NBD22" s="4" t="n"/>
      <c r="NBE22" s="1" t="n"/>
      <c r="NBF22" s="1" t="n"/>
      <c r="NBG22" s="3" t="n"/>
      <c r="NBH22" s="4" t="n"/>
      <c r="NBI22" s="1" t="n"/>
      <c r="NBJ22" s="1" t="n"/>
      <c r="NBK22" s="3" t="n"/>
      <c r="NBL22" s="4" t="n"/>
      <c r="NBM22" s="1" t="n"/>
      <c r="NBN22" s="1" t="n"/>
      <c r="NBO22" s="3" t="n"/>
      <c r="NBP22" s="4" t="n"/>
      <c r="NBQ22" s="1" t="n"/>
      <c r="NBR22" s="1" t="n"/>
      <c r="NBS22" s="3" t="n"/>
      <c r="NBT22" s="4" t="n"/>
      <c r="NBU22" s="1" t="n"/>
      <c r="NBV22" s="1" t="n"/>
      <c r="NBW22" s="3" t="n"/>
      <c r="NBX22" s="4" t="n"/>
      <c r="NBY22" s="1" t="n"/>
      <c r="NBZ22" s="1" t="n"/>
      <c r="NCA22" s="3" t="n"/>
      <c r="NCB22" s="4" t="n"/>
      <c r="NCC22" s="1" t="n"/>
      <c r="NCD22" s="1" t="n"/>
      <c r="NCE22" s="3" t="n"/>
      <c r="NCF22" s="4" t="n"/>
      <c r="NCG22" s="1" t="n"/>
      <c r="NCH22" s="1" t="n"/>
      <c r="NCI22" s="3" t="n"/>
      <c r="NCJ22" s="4" t="n"/>
      <c r="NCK22" s="1" t="n"/>
      <c r="NCL22" s="1" t="n"/>
      <c r="NCM22" s="3" t="n"/>
      <c r="NCN22" s="4" t="n"/>
      <c r="NCO22" s="1" t="n"/>
      <c r="NCP22" s="1" t="n"/>
      <c r="NCQ22" s="3" t="n"/>
      <c r="NCR22" s="4" t="n"/>
      <c r="NCS22" s="1" t="n"/>
      <c r="NCT22" s="1" t="n"/>
      <c r="NCU22" s="3" t="n"/>
      <c r="NCV22" s="4" t="n"/>
      <c r="NCW22" s="1" t="n"/>
      <c r="NCX22" s="1" t="n"/>
      <c r="NCY22" s="3" t="n"/>
      <c r="NCZ22" s="4" t="n"/>
      <c r="NDA22" s="1" t="n"/>
      <c r="NDB22" s="1" t="n"/>
      <c r="NDC22" s="3" t="n"/>
      <c r="NDD22" s="4" t="n"/>
      <c r="NDE22" s="1" t="n"/>
      <c r="NDF22" s="1" t="n"/>
      <c r="NDG22" s="3" t="n"/>
      <c r="NDH22" s="4" t="n"/>
      <c r="NDI22" s="1" t="n"/>
      <c r="NDJ22" s="1" t="n"/>
      <c r="NDK22" s="3" t="n"/>
      <c r="NDL22" s="4" t="n"/>
      <c r="NDM22" s="1" t="n"/>
      <c r="NDN22" s="1" t="n"/>
      <c r="NDO22" s="3" t="n"/>
      <c r="NDP22" s="4" t="n"/>
      <c r="NDQ22" s="1" t="n"/>
      <c r="NDR22" s="1" t="n"/>
      <c r="NDS22" s="3" t="n"/>
      <c r="NDT22" s="4" t="n"/>
      <c r="NDU22" s="1" t="n"/>
      <c r="NDV22" s="1" t="n"/>
      <c r="NDW22" s="3" t="n"/>
      <c r="NDX22" s="4" t="n"/>
      <c r="NDY22" s="1" t="n"/>
      <c r="NDZ22" s="1" t="n"/>
      <c r="NEA22" s="3" t="n"/>
      <c r="NEB22" s="4" t="n"/>
      <c r="NEC22" s="1" t="n"/>
      <c r="NED22" s="1" t="n"/>
      <c r="NEE22" s="3" t="n"/>
      <c r="NEF22" s="4" t="n"/>
      <c r="NEG22" s="1" t="n"/>
      <c r="NEH22" s="1" t="n"/>
      <c r="NEI22" s="3" t="n"/>
      <c r="NEJ22" s="4" t="n"/>
      <c r="NEK22" s="1" t="n"/>
      <c r="NEL22" s="1" t="n"/>
      <c r="NEM22" s="3" t="n"/>
      <c r="NEN22" s="4" t="n"/>
      <c r="NEO22" s="1" t="n"/>
      <c r="NEP22" s="1" t="n"/>
      <c r="NEQ22" s="3" t="n"/>
      <c r="NER22" s="4" t="n"/>
      <c r="NES22" s="1" t="n"/>
      <c r="NET22" s="1" t="n"/>
      <c r="NEU22" s="3" t="n"/>
      <c r="NEV22" s="4" t="n"/>
      <c r="NEW22" s="1" t="n"/>
      <c r="NEX22" s="1" t="n"/>
      <c r="NEY22" s="3" t="n"/>
      <c r="NEZ22" s="4" t="n"/>
      <c r="NFA22" s="1" t="n"/>
      <c r="NFB22" s="1" t="n"/>
      <c r="NFC22" s="3" t="n"/>
      <c r="NFD22" s="4" t="n"/>
      <c r="NFE22" s="1" t="n"/>
      <c r="NFF22" s="1" t="n"/>
      <c r="NFG22" s="3" t="n"/>
      <c r="NFH22" s="4" t="n"/>
      <c r="NFI22" s="1" t="n"/>
      <c r="NFJ22" s="1" t="n"/>
      <c r="NFK22" s="3" t="n"/>
      <c r="NFL22" s="4" t="n"/>
      <c r="NFM22" s="1" t="n"/>
      <c r="NFN22" s="1" t="n"/>
      <c r="NFO22" s="3" t="n"/>
      <c r="NFP22" s="4" t="n"/>
      <c r="NFQ22" s="1" t="n"/>
      <c r="NFR22" s="1" t="n"/>
      <c r="NFS22" s="3" t="n"/>
      <c r="NFT22" s="4" t="n"/>
      <c r="NFU22" s="1" t="n"/>
      <c r="NFV22" s="1" t="n"/>
      <c r="NFW22" s="3" t="n"/>
      <c r="NFX22" s="4" t="n"/>
      <c r="NFY22" s="1" t="n"/>
      <c r="NFZ22" s="1" t="n"/>
      <c r="NGA22" s="3" t="n"/>
      <c r="NGB22" s="4" t="n"/>
      <c r="NGC22" s="1" t="n"/>
      <c r="NGD22" s="1" t="n"/>
      <c r="NGE22" s="3" t="n"/>
      <c r="NGF22" s="4" t="n"/>
      <c r="NGG22" s="1" t="n"/>
      <c r="NGH22" s="1" t="n"/>
      <c r="NGI22" s="3" t="n"/>
      <c r="NGJ22" s="4" t="n"/>
      <c r="NGK22" s="1" t="n"/>
      <c r="NGL22" s="1" t="n"/>
      <c r="NGM22" s="3" t="n"/>
      <c r="NGN22" s="4" t="n"/>
      <c r="NGO22" s="1" t="n"/>
      <c r="NGP22" s="1" t="n"/>
      <c r="NGQ22" s="3" t="n"/>
      <c r="NGR22" s="4" t="n"/>
      <c r="NGS22" s="1" t="n"/>
      <c r="NGT22" s="1" t="n"/>
      <c r="NGU22" s="3" t="n"/>
      <c r="NGV22" s="4" t="n"/>
      <c r="NGW22" s="1" t="n"/>
      <c r="NGX22" s="1" t="n"/>
      <c r="NGY22" s="3" t="n"/>
      <c r="NGZ22" s="4" t="n"/>
      <c r="NHA22" s="1" t="n"/>
      <c r="NHB22" s="1" t="n"/>
      <c r="NHC22" s="3" t="n"/>
      <c r="NHD22" s="4" t="n"/>
      <c r="NHE22" s="1" t="n"/>
      <c r="NHF22" s="1" t="n"/>
      <c r="NHG22" s="3" t="n"/>
      <c r="NHH22" s="4" t="n"/>
      <c r="NHI22" s="1" t="n"/>
      <c r="NHJ22" s="1" t="n"/>
      <c r="NHK22" s="3" t="n"/>
      <c r="NHL22" s="4" t="n"/>
      <c r="NHM22" s="1" t="n"/>
      <c r="NHN22" s="1" t="n"/>
      <c r="NHO22" s="3" t="n"/>
      <c r="NHP22" s="4" t="n"/>
      <c r="NHQ22" s="1" t="n"/>
      <c r="NHR22" s="1" t="n"/>
      <c r="NHS22" s="3" t="n"/>
      <c r="NHT22" s="4" t="n"/>
      <c r="NHU22" s="1" t="n"/>
      <c r="NHV22" s="1" t="n"/>
      <c r="NHW22" s="3" t="n"/>
      <c r="NHX22" s="4" t="n"/>
      <c r="NHY22" s="1" t="n"/>
      <c r="NHZ22" s="1" t="n"/>
      <c r="NIA22" s="3" t="n"/>
      <c r="NIB22" s="4" t="n"/>
      <c r="NIC22" s="1" t="n"/>
      <c r="NID22" s="1" t="n"/>
      <c r="NIE22" s="3" t="n"/>
      <c r="NIF22" s="4" t="n"/>
      <c r="NIG22" s="1" t="n"/>
      <c r="NIH22" s="1" t="n"/>
      <c r="NII22" s="3" t="n"/>
      <c r="NIJ22" s="4" t="n"/>
      <c r="NIK22" s="1" t="n"/>
      <c r="NIL22" s="1" t="n"/>
      <c r="NIM22" s="3" t="n"/>
      <c r="NIN22" s="4" t="n"/>
      <c r="NIO22" s="1" t="n"/>
      <c r="NIP22" s="1" t="n"/>
      <c r="NIQ22" s="3" t="n"/>
      <c r="NIR22" s="4" t="n"/>
      <c r="NIS22" s="1" t="n"/>
      <c r="NIT22" s="1" t="n"/>
      <c r="NIU22" s="3" t="n"/>
      <c r="NIV22" s="4" t="n"/>
      <c r="NIW22" s="1" t="n"/>
      <c r="NIX22" s="1" t="n"/>
      <c r="NIY22" s="3" t="n"/>
      <c r="NIZ22" s="4" t="n"/>
      <c r="NJA22" s="1" t="n"/>
      <c r="NJB22" s="1" t="n"/>
      <c r="NJC22" s="3" t="n"/>
      <c r="NJD22" s="4" t="n"/>
      <c r="NJE22" s="1" t="n"/>
      <c r="NJF22" s="1" t="n"/>
      <c r="NJG22" s="3" t="n"/>
      <c r="NJH22" s="4" t="n"/>
      <c r="NJI22" s="1" t="n"/>
      <c r="NJJ22" s="1" t="n"/>
      <c r="NJK22" s="3" t="n"/>
      <c r="NJL22" s="4" t="n"/>
      <c r="NJM22" s="1" t="n"/>
      <c r="NJN22" s="1" t="n"/>
      <c r="NJO22" s="3" t="n"/>
      <c r="NJP22" s="4" t="n"/>
      <c r="NJQ22" s="1" t="n"/>
      <c r="NJR22" s="1" t="n"/>
      <c r="NJS22" s="3" t="n"/>
      <c r="NJT22" s="4" t="n"/>
      <c r="NJU22" s="1" t="n"/>
      <c r="NJV22" s="1" t="n"/>
      <c r="NJW22" s="3" t="n"/>
      <c r="NJX22" s="4" t="n"/>
      <c r="NJY22" s="1" t="n"/>
      <c r="NJZ22" s="1" t="n"/>
      <c r="NKA22" s="3" t="n"/>
      <c r="NKB22" s="4" t="n"/>
      <c r="NKC22" s="1" t="n"/>
      <c r="NKD22" s="1" t="n"/>
      <c r="NKE22" s="3" t="n"/>
      <c r="NKF22" s="4" t="n"/>
      <c r="NKG22" s="1" t="n"/>
      <c r="NKH22" s="1" t="n"/>
      <c r="NKI22" s="3" t="n"/>
      <c r="NKJ22" s="4" t="n"/>
      <c r="NKK22" s="1" t="n"/>
      <c r="NKL22" s="1" t="n"/>
      <c r="NKM22" s="3" t="n"/>
      <c r="NKN22" s="4" t="n"/>
      <c r="NKO22" s="1" t="n"/>
      <c r="NKP22" s="1" t="n"/>
      <c r="NKQ22" s="3" t="n"/>
      <c r="NKR22" s="4" t="n"/>
      <c r="NKS22" s="1" t="n"/>
      <c r="NKT22" s="1" t="n"/>
      <c r="NKU22" s="3" t="n"/>
      <c r="NKV22" s="4" t="n"/>
      <c r="NKW22" s="1" t="n"/>
      <c r="NKX22" s="1" t="n"/>
      <c r="NKY22" s="3" t="n"/>
      <c r="NKZ22" s="4" t="n"/>
      <c r="NLA22" s="1" t="n"/>
      <c r="NLB22" s="1" t="n"/>
      <c r="NLC22" s="3" t="n"/>
      <c r="NLD22" s="4" t="n"/>
      <c r="NLE22" s="1" t="n"/>
      <c r="NLF22" s="1" t="n"/>
      <c r="NLG22" s="3" t="n"/>
      <c r="NLH22" s="4" t="n"/>
      <c r="NLI22" s="1" t="n"/>
      <c r="NLJ22" s="1" t="n"/>
      <c r="NLK22" s="3" t="n"/>
      <c r="NLL22" s="4" t="n"/>
      <c r="NLM22" s="1" t="n"/>
      <c r="NLN22" s="1" t="n"/>
      <c r="NLO22" s="3" t="n"/>
      <c r="NLP22" s="4" t="n"/>
      <c r="NLQ22" s="1" t="n"/>
      <c r="NLR22" s="1" t="n"/>
      <c r="NLS22" s="3" t="n"/>
      <c r="NLT22" s="4" t="n"/>
      <c r="NLU22" s="1" t="n"/>
      <c r="NLV22" s="1" t="n"/>
      <c r="NLW22" s="3" t="n"/>
      <c r="NLX22" s="4" t="n"/>
      <c r="NLY22" s="1" t="n"/>
      <c r="NLZ22" s="1" t="n"/>
      <c r="NMA22" s="3" t="n"/>
      <c r="NMB22" s="4" t="n"/>
      <c r="NMC22" s="1" t="n"/>
      <c r="NMD22" s="1" t="n"/>
      <c r="NME22" s="3" t="n"/>
      <c r="NMF22" s="4" t="n"/>
      <c r="NMG22" s="1" t="n"/>
      <c r="NMH22" s="1" t="n"/>
      <c r="NMI22" s="3" t="n"/>
      <c r="NMJ22" s="4" t="n"/>
      <c r="NMK22" s="1" t="n"/>
      <c r="NML22" s="1" t="n"/>
      <c r="NMM22" s="3" t="n"/>
      <c r="NMN22" s="4" t="n"/>
      <c r="NMO22" s="1" t="n"/>
      <c r="NMP22" s="1" t="n"/>
      <c r="NMQ22" s="3" t="n"/>
      <c r="NMR22" s="4" t="n"/>
      <c r="NMS22" s="1" t="n"/>
      <c r="NMT22" s="1" t="n"/>
      <c r="NMU22" s="3" t="n"/>
      <c r="NMV22" s="4" t="n"/>
      <c r="NMW22" s="1" t="n"/>
      <c r="NMX22" s="1" t="n"/>
      <c r="NMY22" s="3" t="n"/>
      <c r="NMZ22" s="4" t="n"/>
      <c r="NNA22" s="1" t="n"/>
      <c r="NNB22" s="1" t="n"/>
      <c r="NNC22" s="3" t="n"/>
      <c r="NND22" s="4" t="n"/>
      <c r="NNE22" s="1" t="n"/>
      <c r="NNF22" s="1" t="n"/>
      <c r="NNG22" s="3" t="n"/>
      <c r="NNH22" s="4" t="n"/>
      <c r="NNI22" s="1" t="n"/>
      <c r="NNJ22" s="1" t="n"/>
      <c r="NNK22" s="3" t="n"/>
      <c r="NNL22" s="4" t="n"/>
      <c r="NNM22" s="1" t="n"/>
      <c r="NNN22" s="1" t="n"/>
      <c r="NNO22" s="3" t="n"/>
      <c r="NNP22" s="4" t="n"/>
      <c r="NNQ22" s="1" t="n"/>
      <c r="NNR22" s="1" t="n"/>
      <c r="NNS22" s="3" t="n"/>
      <c r="NNT22" s="4" t="n"/>
      <c r="NNU22" s="1" t="n"/>
      <c r="NNV22" s="1" t="n"/>
      <c r="NNW22" s="3" t="n"/>
      <c r="NNX22" s="4" t="n"/>
      <c r="NNY22" s="1" t="n"/>
      <c r="NNZ22" s="1" t="n"/>
      <c r="NOA22" s="3" t="n"/>
      <c r="NOB22" s="4" t="n"/>
      <c r="NOC22" s="1" t="n"/>
      <c r="NOD22" s="1" t="n"/>
      <c r="NOE22" s="3" t="n"/>
      <c r="NOF22" s="4" t="n"/>
      <c r="NOG22" s="1" t="n"/>
      <c r="NOH22" s="1" t="n"/>
      <c r="NOI22" s="3" t="n"/>
      <c r="NOJ22" s="4" t="n"/>
      <c r="NOK22" s="1" t="n"/>
      <c r="NOL22" s="1" t="n"/>
      <c r="NOM22" s="3" t="n"/>
      <c r="NON22" s="4" t="n"/>
      <c r="NOO22" s="1" t="n"/>
      <c r="NOP22" s="1" t="n"/>
      <c r="NOQ22" s="3" t="n"/>
      <c r="NOR22" s="4" t="n"/>
      <c r="NOS22" s="1" t="n"/>
      <c r="NOT22" s="1" t="n"/>
      <c r="NOU22" s="3" t="n"/>
      <c r="NOV22" s="4" t="n"/>
      <c r="NOW22" s="1" t="n"/>
      <c r="NOX22" s="1" t="n"/>
      <c r="NOY22" s="3" t="n"/>
      <c r="NOZ22" s="4" t="n"/>
      <c r="NPA22" s="1" t="n"/>
      <c r="NPB22" s="1" t="n"/>
      <c r="NPC22" s="3" t="n"/>
      <c r="NPD22" s="4" t="n"/>
      <c r="NPE22" s="1" t="n"/>
      <c r="NPF22" s="1" t="n"/>
      <c r="NPG22" s="3" t="n"/>
      <c r="NPH22" s="4" t="n"/>
      <c r="NPI22" s="1" t="n"/>
      <c r="NPJ22" s="1" t="n"/>
      <c r="NPK22" s="3" t="n"/>
      <c r="NPL22" s="4" t="n"/>
      <c r="NPM22" s="1" t="n"/>
      <c r="NPN22" s="1" t="n"/>
      <c r="NPO22" s="3" t="n"/>
      <c r="NPP22" s="4" t="n"/>
      <c r="NPQ22" s="1" t="n"/>
      <c r="NPR22" s="1" t="n"/>
      <c r="NPS22" s="3" t="n"/>
      <c r="NPT22" s="4" t="n"/>
      <c r="NPU22" s="1" t="n"/>
      <c r="NPV22" s="1" t="n"/>
      <c r="NPW22" s="3" t="n"/>
      <c r="NPX22" s="4" t="n"/>
      <c r="NPY22" s="1" t="n"/>
      <c r="NPZ22" s="1" t="n"/>
      <c r="NQA22" s="3" t="n"/>
      <c r="NQB22" s="4" t="n"/>
      <c r="NQC22" s="1" t="n"/>
      <c r="NQD22" s="1" t="n"/>
      <c r="NQE22" s="3" t="n"/>
      <c r="NQF22" s="4" t="n"/>
      <c r="NQG22" s="1" t="n"/>
      <c r="NQH22" s="1" t="n"/>
      <c r="NQI22" s="3" t="n"/>
      <c r="NQJ22" s="4" t="n"/>
      <c r="NQK22" s="1" t="n"/>
      <c r="NQL22" s="1" t="n"/>
      <c r="NQM22" s="3" t="n"/>
      <c r="NQN22" s="4" t="n"/>
      <c r="NQO22" s="1" t="n"/>
      <c r="NQP22" s="1" t="n"/>
      <c r="NQQ22" s="3" t="n"/>
      <c r="NQR22" s="4" t="n"/>
      <c r="NQS22" s="1" t="n"/>
      <c r="NQT22" s="1" t="n"/>
      <c r="NQU22" s="3" t="n"/>
      <c r="NQV22" s="4" t="n"/>
      <c r="NQW22" s="1" t="n"/>
      <c r="NQX22" s="1" t="n"/>
      <c r="NQY22" s="3" t="n"/>
      <c r="NQZ22" s="4" t="n"/>
      <c r="NRA22" s="1" t="n"/>
      <c r="NRB22" s="1" t="n"/>
      <c r="NRC22" s="3" t="n"/>
      <c r="NRD22" s="4" t="n"/>
      <c r="NRE22" s="1" t="n"/>
      <c r="NRF22" s="1" t="n"/>
      <c r="NRG22" s="3" t="n"/>
      <c r="NRH22" s="4" t="n"/>
      <c r="NRI22" s="1" t="n"/>
      <c r="NRJ22" s="1" t="n"/>
      <c r="NRK22" s="3" t="n"/>
      <c r="NRL22" s="4" t="n"/>
      <c r="NRM22" s="1" t="n"/>
      <c r="NRN22" s="1" t="n"/>
      <c r="NRO22" s="3" t="n"/>
      <c r="NRP22" s="4" t="n"/>
      <c r="NRQ22" s="1" t="n"/>
      <c r="NRR22" s="1" t="n"/>
      <c r="NRS22" s="3" t="n"/>
      <c r="NRT22" s="4" t="n"/>
      <c r="NRU22" s="1" t="n"/>
      <c r="NRV22" s="1" t="n"/>
      <c r="NRW22" s="3" t="n"/>
      <c r="NRX22" s="4" t="n"/>
      <c r="NRY22" s="1" t="n"/>
      <c r="NRZ22" s="1" t="n"/>
      <c r="NSA22" s="3" t="n"/>
      <c r="NSB22" s="4" t="n"/>
      <c r="NSC22" s="1" t="n"/>
      <c r="NSD22" s="1" t="n"/>
      <c r="NSE22" s="3" t="n"/>
      <c r="NSF22" s="4" t="n"/>
      <c r="NSG22" s="1" t="n"/>
      <c r="NSH22" s="1" t="n"/>
      <c r="NSI22" s="3" t="n"/>
      <c r="NSJ22" s="4" t="n"/>
      <c r="NSK22" s="1" t="n"/>
      <c r="NSL22" s="1" t="n"/>
      <c r="NSM22" s="3" t="n"/>
      <c r="NSN22" s="4" t="n"/>
      <c r="NSO22" s="1" t="n"/>
      <c r="NSP22" s="1" t="n"/>
      <c r="NSQ22" s="3" t="n"/>
      <c r="NSR22" s="4" t="n"/>
      <c r="NSS22" s="1" t="n"/>
      <c r="NST22" s="1" t="n"/>
      <c r="NSU22" s="3" t="n"/>
      <c r="NSV22" s="4" t="n"/>
      <c r="NSW22" s="1" t="n"/>
      <c r="NSX22" s="1" t="n"/>
      <c r="NSY22" s="3" t="n"/>
      <c r="NSZ22" s="4" t="n"/>
      <c r="NTA22" s="1" t="n"/>
      <c r="NTB22" s="1" t="n"/>
      <c r="NTC22" s="3" t="n"/>
      <c r="NTD22" s="4" t="n"/>
      <c r="NTE22" s="1" t="n"/>
      <c r="NTF22" s="1" t="n"/>
      <c r="NTG22" s="3" t="n"/>
      <c r="NTH22" s="4" t="n"/>
      <c r="NTI22" s="1" t="n"/>
      <c r="NTJ22" s="1" t="n"/>
      <c r="NTK22" s="3" t="n"/>
      <c r="NTL22" s="4" t="n"/>
      <c r="NTM22" s="1" t="n"/>
      <c r="NTN22" s="1" t="n"/>
      <c r="NTO22" s="3" t="n"/>
      <c r="NTP22" s="4" t="n"/>
      <c r="NTQ22" s="1" t="n"/>
      <c r="NTR22" s="1" t="n"/>
      <c r="NTS22" s="3" t="n"/>
      <c r="NTT22" s="4" t="n"/>
      <c r="NTU22" s="1" t="n"/>
      <c r="NTV22" s="1" t="n"/>
      <c r="NTW22" s="3" t="n"/>
      <c r="NTX22" s="4" t="n"/>
      <c r="NTY22" s="1" t="n"/>
      <c r="NTZ22" s="1" t="n"/>
      <c r="NUA22" s="3" t="n"/>
      <c r="NUB22" s="4" t="n"/>
      <c r="NUC22" s="1" t="n"/>
      <c r="NUD22" s="1" t="n"/>
      <c r="NUE22" s="3" t="n"/>
      <c r="NUF22" s="4" t="n"/>
      <c r="NUG22" s="1" t="n"/>
      <c r="NUH22" s="1" t="n"/>
      <c r="NUI22" s="3" t="n"/>
      <c r="NUJ22" s="4" t="n"/>
      <c r="NUK22" s="1" t="n"/>
      <c r="NUL22" s="1" t="n"/>
      <c r="NUM22" s="3" t="n"/>
      <c r="NUN22" s="4" t="n"/>
      <c r="NUO22" s="1" t="n"/>
      <c r="NUP22" s="1" t="n"/>
      <c r="NUQ22" s="3" t="n"/>
      <c r="NUR22" s="4" t="n"/>
      <c r="NUS22" s="1" t="n"/>
      <c r="NUT22" s="1" t="n"/>
      <c r="NUU22" s="3" t="n"/>
      <c r="NUV22" s="4" t="n"/>
      <c r="NUW22" s="1" t="n"/>
      <c r="NUX22" s="1" t="n"/>
      <c r="NUY22" s="3" t="n"/>
      <c r="NUZ22" s="4" t="n"/>
      <c r="NVA22" s="1" t="n"/>
      <c r="NVB22" s="1" t="n"/>
      <c r="NVC22" s="3" t="n"/>
      <c r="NVD22" s="4" t="n"/>
      <c r="NVE22" s="1" t="n"/>
      <c r="NVF22" s="1" t="n"/>
      <c r="NVG22" s="3" t="n"/>
      <c r="NVH22" s="4" t="n"/>
      <c r="NVI22" s="1" t="n"/>
      <c r="NVJ22" s="1" t="n"/>
      <c r="NVK22" s="3" t="n"/>
      <c r="NVL22" s="4" t="n"/>
      <c r="NVM22" s="1" t="n"/>
      <c r="NVN22" s="1" t="n"/>
      <c r="NVO22" s="3" t="n"/>
      <c r="NVP22" s="4" t="n"/>
      <c r="NVQ22" s="1" t="n"/>
      <c r="NVR22" s="1" t="n"/>
      <c r="NVS22" s="3" t="n"/>
      <c r="NVT22" s="4" t="n"/>
      <c r="NVU22" s="1" t="n"/>
      <c r="NVV22" s="1" t="n"/>
      <c r="NVW22" s="3" t="n"/>
      <c r="NVX22" s="4" t="n"/>
      <c r="NVY22" s="1" t="n"/>
      <c r="NVZ22" s="1" t="n"/>
      <c r="NWA22" s="3" t="n"/>
      <c r="NWB22" s="4" t="n"/>
      <c r="NWC22" s="1" t="n"/>
      <c r="NWD22" s="1" t="n"/>
      <c r="NWE22" s="3" t="n"/>
      <c r="NWF22" s="4" t="n"/>
      <c r="NWG22" s="1" t="n"/>
      <c r="NWH22" s="1" t="n"/>
      <c r="NWI22" s="3" t="n"/>
      <c r="NWJ22" s="4" t="n"/>
      <c r="NWK22" s="1" t="n"/>
      <c r="NWL22" s="1" t="n"/>
      <c r="NWM22" s="3" t="n"/>
      <c r="NWN22" s="4" t="n"/>
      <c r="NWO22" s="1" t="n"/>
      <c r="NWP22" s="1" t="n"/>
      <c r="NWQ22" s="3" t="n"/>
      <c r="NWR22" s="4" t="n"/>
      <c r="NWS22" s="1" t="n"/>
      <c r="NWT22" s="1" t="n"/>
      <c r="NWU22" s="3" t="n"/>
      <c r="NWV22" s="4" t="n"/>
      <c r="NWW22" s="1" t="n"/>
      <c r="NWX22" s="1" t="n"/>
      <c r="NWY22" s="3" t="n"/>
      <c r="NWZ22" s="4" t="n"/>
      <c r="NXA22" s="1" t="n"/>
      <c r="NXB22" s="1" t="n"/>
      <c r="NXC22" s="3" t="n"/>
      <c r="NXD22" s="4" t="n"/>
      <c r="NXE22" s="1" t="n"/>
      <c r="NXF22" s="1" t="n"/>
      <c r="NXG22" s="3" t="n"/>
      <c r="NXH22" s="4" t="n"/>
      <c r="NXI22" s="1" t="n"/>
      <c r="NXJ22" s="1" t="n"/>
      <c r="NXK22" s="3" t="n"/>
      <c r="NXL22" s="4" t="n"/>
      <c r="NXM22" s="1" t="n"/>
      <c r="NXN22" s="1" t="n"/>
      <c r="NXO22" s="3" t="n"/>
      <c r="NXP22" s="4" t="n"/>
      <c r="NXQ22" s="1" t="n"/>
      <c r="NXR22" s="1" t="n"/>
      <c r="NXS22" s="3" t="n"/>
      <c r="NXT22" s="4" t="n"/>
      <c r="NXU22" s="1" t="n"/>
      <c r="NXV22" s="1" t="n"/>
      <c r="NXW22" s="3" t="n"/>
      <c r="NXX22" s="4" t="n"/>
      <c r="NXY22" s="1" t="n"/>
      <c r="NXZ22" s="1" t="n"/>
      <c r="NYA22" s="3" t="n"/>
      <c r="NYB22" s="4" t="n"/>
      <c r="NYC22" s="1" t="n"/>
      <c r="NYD22" s="1" t="n"/>
      <c r="NYE22" s="3" t="n"/>
      <c r="NYF22" s="4" t="n"/>
      <c r="NYG22" s="1" t="n"/>
      <c r="NYH22" s="1" t="n"/>
      <c r="NYI22" s="3" t="n"/>
      <c r="NYJ22" s="4" t="n"/>
      <c r="NYK22" s="1" t="n"/>
      <c r="NYL22" s="1" t="n"/>
      <c r="NYM22" s="3" t="n"/>
      <c r="NYN22" s="4" t="n"/>
      <c r="NYO22" s="1" t="n"/>
      <c r="NYP22" s="1" t="n"/>
      <c r="NYQ22" s="3" t="n"/>
      <c r="NYR22" s="4" t="n"/>
      <c r="NYS22" s="1" t="n"/>
      <c r="NYT22" s="1" t="n"/>
      <c r="NYU22" s="3" t="n"/>
      <c r="NYV22" s="4" t="n"/>
      <c r="NYW22" s="1" t="n"/>
      <c r="NYX22" s="1" t="n"/>
      <c r="NYY22" s="3" t="n"/>
      <c r="NYZ22" s="4" t="n"/>
      <c r="NZA22" s="1" t="n"/>
      <c r="NZB22" s="1" t="n"/>
      <c r="NZC22" s="3" t="n"/>
      <c r="NZD22" s="4" t="n"/>
      <c r="NZE22" s="1" t="n"/>
      <c r="NZF22" s="1" t="n"/>
      <c r="NZG22" s="3" t="n"/>
      <c r="NZH22" s="4" t="n"/>
      <c r="NZI22" s="1" t="n"/>
      <c r="NZJ22" s="1" t="n"/>
      <c r="NZK22" s="3" t="n"/>
      <c r="NZL22" s="4" t="n"/>
      <c r="NZM22" s="1" t="n"/>
      <c r="NZN22" s="1" t="n"/>
      <c r="NZO22" s="3" t="n"/>
      <c r="NZP22" s="4" t="n"/>
      <c r="NZQ22" s="1" t="n"/>
      <c r="NZR22" s="1" t="n"/>
      <c r="NZS22" s="3" t="n"/>
      <c r="NZT22" s="4" t="n"/>
      <c r="NZU22" s="1" t="n"/>
      <c r="NZV22" s="1" t="n"/>
      <c r="NZW22" s="3" t="n"/>
      <c r="NZX22" s="4" t="n"/>
      <c r="NZY22" s="1" t="n"/>
      <c r="NZZ22" s="1" t="n"/>
      <c r="OAA22" s="3" t="n"/>
      <c r="OAB22" s="4" t="n"/>
      <c r="OAC22" s="1" t="n"/>
      <c r="OAD22" s="1" t="n"/>
      <c r="OAE22" s="3" t="n"/>
      <c r="OAF22" s="4" t="n"/>
      <c r="OAG22" s="1" t="n"/>
      <c r="OAH22" s="1" t="n"/>
      <c r="OAI22" s="3" t="n"/>
      <c r="OAJ22" s="4" t="n"/>
      <c r="OAK22" s="1" t="n"/>
      <c r="OAL22" s="1" t="n"/>
      <c r="OAM22" s="3" t="n"/>
      <c r="OAN22" s="4" t="n"/>
      <c r="OAO22" s="1" t="n"/>
      <c r="OAP22" s="1" t="n"/>
      <c r="OAQ22" s="3" t="n"/>
      <c r="OAR22" s="4" t="n"/>
      <c r="OAS22" s="1" t="n"/>
      <c r="OAT22" s="1" t="n"/>
      <c r="OAU22" s="3" t="n"/>
      <c r="OAV22" s="4" t="n"/>
      <c r="OAW22" s="1" t="n"/>
      <c r="OAX22" s="1" t="n"/>
      <c r="OAY22" s="3" t="n"/>
      <c r="OAZ22" s="4" t="n"/>
      <c r="OBA22" s="1" t="n"/>
      <c r="OBB22" s="1" t="n"/>
      <c r="OBC22" s="3" t="n"/>
      <c r="OBD22" s="4" t="n"/>
      <c r="OBE22" s="1" t="n"/>
      <c r="OBF22" s="1" t="n"/>
      <c r="OBG22" s="3" t="n"/>
      <c r="OBH22" s="4" t="n"/>
      <c r="OBI22" s="1" t="n"/>
      <c r="OBJ22" s="1" t="n"/>
      <c r="OBK22" s="3" t="n"/>
      <c r="OBL22" s="4" t="n"/>
      <c r="OBM22" s="1" t="n"/>
      <c r="OBN22" s="1" t="n"/>
      <c r="OBO22" s="3" t="n"/>
      <c r="OBP22" s="4" t="n"/>
      <c r="OBQ22" s="1" t="n"/>
      <c r="OBR22" s="1" t="n"/>
      <c r="OBS22" s="3" t="n"/>
      <c r="OBT22" s="4" t="n"/>
      <c r="OBU22" s="1" t="n"/>
      <c r="OBV22" s="1" t="n"/>
      <c r="OBW22" s="3" t="n"/>
      <c r="OBX22" s="4" t="n"/>
      <c r="OBY22" s="1" t="n"/>
      <c r="OBZ22" s="1" t="n"/>
      <c r="OCA22" s="3" t="n"/>
      <c r="OCB22" s="4" t="n"/>
      <c r="OCC22" s="1" t="n"/>
      <c r="OCD22" s="1" t="n"/>
      <c r="OCE22" s="3" t="n"/>
      <c r="OCF22" s="4" t="n"/>
      <c r="OCG22" s="1" t="n"/>
      <c r="OCH22" s="1" t="n"/>
      <c r="OCI22" s="3" t="n"/>
      <c r="OCJ22" s="4" t="n"/>
      <c r="OCK22" s="1" t="n"/>
      <c r="OCL22" s="1" t="n"/>
      <c r="OCM22" s="3" t="n"/>
      <c r="OCN22" s="4" t="n"/>
      <c r="OCO22" s="1" t="n"/>
      <c r="OCP22" s="1" t="n"/>
      <c r="OCQ22" s="3" t="n"/>
      <c r="OCR22" s="4" t="n"/>
      <c r="OCS22" s="1" t="n"/>
      <c r="OCT22" s="1" t="n"/>
      <c r="OCU22" s="3" t="n"/>
      <c r="OCV22" s="4" t="n"/>
      <c r="OCW22" s="1" t="n"/>
      <c r="OCX22" s="1" t="n"/>
      <c r="OCY22" s="3" t="n"/>
      <c r="OCZ22" s="4" t="n"/>
      <c r="ODA22" s="1" t="n"/>
      <c r="ODB22" s="1" t="n"/>
      <c r="ODC22" s="3" t="n"/>
      <c r="ODD22" s="4" t="n"/>
      <c r="ODE22" s="1" t="n"/>
      <c r="ODF22" s="1" t="n"/>
      <c r="ODG22" s="3" t="n"/>
      <c r="ODH22" s="4" t="n"/>
      <c r="ODI22" s="1" t="n"/>
      <c r="ODJ22" s="1" t="n"/>
      <c r="ODK22" s="3" t="n"/>
      <c r="ODL22" s="4" t="n"/>
      <c r="ODM22" s="1" t="n"/>
      <c r="ODN22" s="1" t="n"/>
      <c r="ODO22" s="3" t="n"/>
      <c r="ODP22" s="4" t="n"/>
      <c r="ODQ22" s="1" t="n"/>
      <c r="ODR22" s="1" t="n"/>
      <c r="ODS22" s="3" t="n"/>
      <c r="ODT22" s="4" t="n"/>
      <c r="ODU22" s="1" t="n"/>
      <c r="ODV22" s="1" t="n"/>
      <c r="ODW22" s="3" t="n"/>
      <c r="ODX22" s="4" t="n"/>
      <c r="ODY22" s="1" t="n"/>
      <c r="ODZ22" s="1" t="n"/>
      <c r="OEA22" s="3" t="n"/>
      <c r="OEB22" s="4" t="n"/>
      <c r="OEC22" s="1" t="n"/>
      <c r="OED22" s="1" t="n"/>
      <c r="OEE22" s="3" t="n"/>
      <c r="OEF22" s="4" t="n"/>
      <c r="OEG22" s="1" t="n"/>
      <c r="OEH22" s="1" t="n"/>
      <c r="OEI22" s="3" t="n"/>
      <c r="OEJ22" s="4" t="n"/>
      <c r="OEK22" s="1" t="n"/>
      <c r="OEL22" s="1" t="n"/>
      <c r="OEM22" s="3" t="n"/>
      <c r="OEN22" s="4" t="n"/>
      <c r="OEO22" s="1" t="n"/>
      <c r="OEP22" s="1" t="n"/>
      <c r="OEQ22" s="3" t="n"/>
      <c r="OER22" s="4" t="n"/>
      <c r="OES22" s="1" t="n"/>
      <c r="OET22" s="1" t="n"/>
      <c r="OEU22" s="3" t="n"/>
      <c r="OEV22" s="4" t="n"/>
      <c r="OEW22" s="1" t="n"/>
      <c r="OEX22" s="1" t="n"/>
      <c r="OEY22" s="3" t="n"/>
      <c r="OEZ22" s="4" t="n"/>
      <c r="OFA22" s="1" t="n"/>
      <c r="OFB22" s="1" t="n"/>
      <c r="OFC22" s="3" t="n"/>
      <c r="OFD22" s="4" t="n"/>
      <c r="OFE22" s="1" t="n"/>
      <c r="OFF22" s="1" t="n"/>
      <c r="OFG22" s="3" t="n"/>
      <c r="OFH22" s="4" t="n"/>
      <c r="OFI22" s="1" t="n"/>
      <c r="OFJ22" s="1" t="n"/>
      <c r="OFK22" s="3" t="n"/>
      <c r="OFL22" s="4" t="n"/>
      <c r="OFM22" s="1" t="n"/>
      <c r="OFN22" s="1" t="n"/>
      <c r="OFO22" s="3" t="n"/>
      <c r="OFP22" s="4" t="n"/>
      <c r="OFQ22" s="1" t="n"/>
      <c r="OFR22" s="1" t="n"/>
      <c r="OFS22" s="3" t="n"/>
      <c r="OFT22" s="4" t="n"/>
      <c r="OFU22" s="1" t="n"/>
      <c r="OFV22" s="1" t="n"/>
      <c r="OFW22" s="3" t="n"/>
      <c r="OFX22" s="4" t="n"/>
      <c r="OFY22" s="1" t="n"/>
      <c r="OFZ22" s="1" t="n"/>
      <c r="OGA22" s="3" t="n"/>
      <c r="OGB22" s="4" t="n"/>
      <c r="OGC22" s="1" t="n"/>
      <c r="OGD22" s="1" t="n"/>
      <c r="OGE22" s="3" t="n"/>
      <c r="OGF22" s="4" t="n"/>
      <c r="OGG22" s="1" t="n"/>
      <c r="OGH22" s="1" t="n"/>
      <c r="OGI22" s="3" t="n"/>
      <c r="OGJ22" s="4" t="n"/>
      <c r="OGK22" s="1" t="n"/>
      <c r="OGL22" s="1" t="n"/>
      <c r="OGM22" s="3" t="n"/>
      <c r="OGN22" s="4" t="n"/>
      <c r="OGO22" s="1" t="n"/>
      <c r="OGP22" s="1" t="n"/>
      <c r="OGQ22" s="3" t="n"/>
      <c r="OGR22" s="4" t="n"/>
      <c r="OGS22" s="1" t="n"/>
      <c r="OGT22" s="1" t="n"/>
      <c r="OGU22" s="3" t="n"/>
      <c r="OGV22" s="4" t="n"/>
      <c r="OGW22" s="1" t="n"/>
      <c r="OGX22" s="1" t="n"/>
      <c r="OGY22" s="3" t="n"/>
      <c r="OGZ22" s="4" t="n"/>
      <c r="OHA22" s="1" t="n"/>
      <c r="OHB22" s="1" t="n"/>
      <c r="OHC22" s="3" t="n"/>
      <c r="OHD22" s="4" t="n"/>
      <c r="OHE22" s="1" t="n"/>
      <c r="OHF22" s="1" t="n"/>
      <c r="OHG22" s="3" t="n"/>
      <c r="OHH22" s="4" t="n"/>
      <c r="OHI22" s="1" t="n"/>
      <c r="OHJ22" s="1" t="n"/>
      <c r="OHK22" s="3" t="n"/>
      <c r="OHL22" s="4" t="n"/>
      <c r="OHM22" s="1" t="n"/>
      <c r="OHN22" s="1" t="n"/>
      <c r="OHO22" s="3" t="n"/>
      <c r="OHP22" s="4" t="n"/>
      <c r="OHQ22" s="1" t="n"/>
      <c r="OHR22" s="1" t="n"/>
      <c r="OHS22" s="3" t="n"/>
      <c r="OHT22" s="4" t="n"/>
      <c r="OHU22" s="1" t="n"/>
      <c r="OHV22" s="1" t="n"/>
      <c r="OHW22" s="3" t="n"/>
      <c r="OHX22" s="4" t="n"/>
      <c r="OHY22" s="1" t="n"/>
      <c r="OHZ22" s="1" t="n"/>
      <c r="OIA22" s="3" t="n"/>
      <c r="OIB22" s="4" t="n"/>
      <c r="OIC22" s="1" t="n"/>
      <c r="OID22" s="1" t="n"/>
      <c r="OIE22" s="3" t="n"/>
      <c r="OIF22" s="4" t="n"/>
      <c r="OIG22" s="1" t="n"/>
      <c r="OIH22" s="1" t="n"/>
      <c r="OII22" s="3" t="n"/>
      <c r="OIJ22" s="4" t="n"/>
      <c r="OIK22" s="1" t="n"/>
      <c r="OIL22" s="1" t="n"/>
      <c r="OIM22" s="3" t="n"/>
      <c r="OIN22" s="4" t="n"/>
      <c r="OIO22" s="1" t="n"/>
      <c r="OIP22" s="1" t="n"/>
      <c r="OIQ22" s="3" t="n"/>
      <c r="OIR22" s="4" t="n"/>
      <c r="OIS22" s="1" t="n"/>
      <c r="OIT22" s="1" t="n"/>
      <c r="OIU22" s="3" t="n"/>
      <c r="OIV22" s="4" t="n"/>
      <c r="OIW22" s="1" t="n"/>
      <c r="OIX22" s="1" t="n"/>
      <c r="OIY22" s="3" t="n"/>
      <c r="OIZ22" s="4" t="n"/>
      <c r="OJA22" s="1" t="n"/>
      <c r="OJB22" s="1" t="n"/>
      <c r="OJC22" s="3" t="n"/>
      <c r="OJD22" s="4" t="n"/>
      <c r="OJE22" s="1" t="n"/>
      <c r="OJF22" s="1" t="n"/>
      <c r="OJG22" s="3" t="n"/>
      <c r="OJH22" s="4" t="n"/>
      <c r="OJI22" s="1" t="n"/>
      <c r="OJJ22" s="1" t="n"/>
      <c r="OJK22" s="3" t="n"/>
      <c r="OJL22" s="4" t="n"/>
      <c r="OJM22" s="1" t="n"/>
      <c r="OJN22" s="1" t="n"/>
      <c r="OJO22" s="3" t="n"/>
      <c r="OJP22" s="4" t="n"/>
      <c r="OJQ22" s="1" t="n"/>
      <c r="OJR22" s="1" t="n"/>
      <c r="OJS22" s="3" t="n"/>
      <c r="OJT22" s="4" t="n"/>
      <c r="OJU22" s="1" t="n"/>
      <c r="OJV22" s="1" t="n"/>
      <c r="OJW22" s="3" t="n"/>
      <c r="OJX22" s="4" t="n"/>
      <c r="OJY22" s="1" t="n"/>
      <c r="OJZ22" s="1" t="n"/>
      <c r="OKA22" s="3" t="n"/>
      <c r="OKB22" s="4" t="n"/>
      <c r="OKC22" s="1" t="n"/>
      <c r="OKD22" s="1" t="n"/>
      <c r="OKE22" s="3" t="n"/>
      <c r="OKF22" s="4" t="n"/>
      <c r="OKG22" s="1" t="n"/>
      <c r="OKH22" s="1" t="n"/>
      <c r="OKI22" s="3" t="n"/>
      <c r="OKJ22" s="4" t="n"/>
      <c r="OKK22" s="1" t="n"/>
      <c r="OKL22" s="1" t="n"/>
      <c r="OKM22" s="3" t="n"/>
      <c r="OKN22" s="4" t="n"/>
      <c r="OKO22" s="1" t="n"/>
      <c r="OKP22" s="1" t="n"/>
      <c r="OKQ22" s="3" t="n"/>
      <c r="OKR22" s="4" t="n"/>
      <c r="OKS22" s="1" t="n"/>
      <c r="OKT22" s="1" t="n"/>
      <c r="OKU22" s="3" t="n"/>
      <c r="OKV22" s="4" t="n"/>
      <c r="OKW22" s="1" t="n"/>
      <c r="OKX22" s="1" t="n"/>
      <c r="OKY22" s="3" t="n"/>
      <c r="OKZ22" s="4" t="n"/>
      <c r="OLA22" s="1" t="n"/>
      <c r="OLB22" s="1" t="n"/>
      <c r="OLC22" s="3" t="n"/>
      <c r="OLD22" s="4" t="n"/>
      <c r="OLE22" s="1" t="n"/>
      <c r="OLF22" s="1" t="n"/>
      <c r="OLG22" s="3" t="n"/>
      <c r="OLH22" s="4" t="n"/>
      <c r="OLI22" s="1" t="n"/>
      <c r="OLJ22" s="1" t="n"/>
      <c r="OLK22" s="3" t="n"/>
      <c r="OLL22" s="4" t="n"/>
      <c r="OLM22" s="1" t="n"/>
      <c r="OLN22" s="1" t="n"/>
      <c r="OLO22" s="3" t="n"/>
      <c r="OLP22" s="4" t="n"/>
      <c r="OLQ22" s="1" t="n"/>
      <c r="OLR22" s="1" t="n"/>
      <c r="OLS22" s="3" t="n"/>
      <c r="OLT22" s="4" t="n"/>
      <c r="OLU22" s="1" t="n"/>
      <c r="OLV22" s="1" t="n"/>
      <c r="OLW22" s="3" t="n"/>
      <c r="OLX22" s="4" t="n"/>
      <c r="OLY22" s="1" t="n"/>
      <c r="OLZ22" s="1" t="n"/>
      <c r="OMA22" s="3" t="n"/>
      <c r="OMB22" s="4" t="n"/>
      <c r="OMC22" s="1" t="n"/>
      <c r="OMD22" s="1" t="n"/>
      <c r="OME22" s="3" t="n"/>
      <c r="OMF22" s="4" t="n"/>
      <c r="OMG22" s="1" t="n"/>
      <c r="OMH22" s="1" t="n"/>
      <c r="OMI22" s="3" t="n"/>
      <c r="OMJ22" s="4" t="n"/>
      <c r="OMK22" s="1" t="n"/>
      <c r="OML22" s="1" t="n"/>
      <c r="OMM22" s="3" t="n"/>
      <c r="OMN22" s="4" t="n"/>
      <c r="OMO22" s="1" t="n"/>
      <c r="OMP22" s="1" t="n"/>
      <c r="OMQ22" s="3" t="n"/>
      <c r="OMR22" s="4" t="n"/>
      <c r="OMS22" s="1" t="n"/>
      <c r="OMT22" s="1" t="n"/>
      <c r="OMU22" s="3" t="n"/>
      <c r="OMV22" s="4" t="n"/>
      <c r="OMW22" s="1" t="n"/>
      <c r="OMX22" s="1" t="n"/>
      <c r="OMY22" s="3" t="n"/>
      <c r="OMZ22" s="4" t="n"/>
      <c r="ONA22" s="1" t="n"/>
      <c r="ONB22" s="1" t="n"/>
      <c r="ONC22" s="3" t="n"/>
      <c r="OND22" s="4" t="n"/>
      <c r="ONE22" s="1" t="n"/>
      <c r="ONF22" s="1" t="n"/>
      <c r="ONG22" s="3" t="n"/>
      <c r="ONH22" s="4" t="n"/>
      <c r="ONI22" s="1" t="n"/>
      <c r="ONJ22" s="1" t="n"/>
      <c r="ONK22" s="3" t="n"/>
      <c r="ONL22" s="4" t="n"/>
      <c r="ONM22" s="1" t="n"/>
      <c r="ONN22" s="1" t="n"/>
      <c r="ONO22" s="3" t="n"/>
      <c r="ONP22" s="4" t="n"/>
      <c r="ONQ22" s="1" t="n"/>
      <c r="ONR22" s="1" t="n"/>
      <c r="ONS22" s="3" t="n"/>
      <c r="ONT22" s="4" t="n"/>
      <c r="ONU22" s="1" t="n"/>
      <c r="ONV22" s="1" t="n"/>
      <c r="ONW22" s="3" t="n"/>
      <c r="ONX22" s="4" t="n"/>
      <c r="ONY22" s="1" t="n"/>
      <c r="ONZ22" s="1" t="n"/>
      <c r="OOA22" s="3" t="n"/>
      <c r="OOB22" s="4" t="n"/>
      <c r="OOC22" s="1" t="n"/>
      <c r="OOD22" s="1" t="n"/>
      <c r="OOE22" s="3" t="n"/>
      <c r="OOF22" s="4" t="n"/>
      <c r="OOG22" s="1" t="n"/>
      <c r="OOH22" s="1" t="n"/>
      <c r="OOI22" s="3" t="n"/>
      <c r="OOJ22" s="4" t="n"/>
      <c r="OOK22" s="1" t="n"/>
      <c r="OOL22" s="1" t="n"/>
      <c r="OOM22" s="3" t="n"/>
      <c r="OON22" s="4" t="n"/>
      <c r="OOO22" s="1" t="n"/>
      <c r="OOP22" s="1" t="n"/>
      <c r="OOQ22" s="3" t="n"/>
      <c r="OOR22" s="4" t="n"/>
      <c r="OOS22" s="1" t="n"/>
      <c r="OOT22" s="1" t="n"/>
      <c r="OOU22" s="3" t="n"/>
      <c r="OOV22" s="4" t="n"/>
      <c r="OOW22" s="1" t="n"/>
      <c r="OOX22" s="1" t="n"/>
      <c r="OOY22" s="3" t="n"/>
      <c r="OOZ22" s="4" t="n"/>
      <c r="OPA22" s="1" t="n"/>
      <c r="OPB22" s="1" t="n"/>
      <c r="OPC22" s="3" t="n"/>
      <c r="OPD22" s="4" t="n"/>
      <c r="OPE22" s="1" t="n"/>
      <c r="OPF22" s="1" t="n"/>
      <c r="OPG22" s="3" t="n"/>
      <c r="OPH22" s="4" t="n"/>
      <c r="OPI22" s="1" t="n"/>
      <c r="OPJ22" s="1" t="n"/>
      <c r="OPK22" s="3" t="n"/>
      <c r="OPL22" s="4" t="n"/>
      <c r="OPM22" s="1" t="n"/>
      <c r="OPN22" s="1" t="n"/>
      <c r="OPO22" s="3" t="n"/>
      <c r="OPP22" s="4" t="n"/>
      <c r="OPQ22" s="1" t="n"/>
      <c r="OPR22" s="1" t="n"/>
      <c r="OPS22" s="3" t="n"/>
      <c r="OPT22" s="4" t="n"/>
      <c r="OPU22" s="1" t="n"/>
      <c r="OPV22" s="1" t="n"/>
      <c r="OPW22" s="3" t="n"/>
      <c r="OPX22" s="4" t="n"/>
      <c r="OPY22" s="1" t="n"/>
      <c r="OPZ22" s="1" t="n"/>
      <c r="OQA22" s="3" t="n"/>
      <c r="OQB22" s="4" t="n"/>
      <c r="OQC22" s="1" t="n"/>
      <c r="OQD22" s="1" t="n"/>
      <c r="OQE22" s="3" t="n"/>
      <c r="OQF22" s="4" t="n"/>
      <c r="OQG22" s="1" t="n"/>
      <c r="OQH22" s="1" t="n"/>
      <c r="OQI22" s="3" t="n"/>
      <c r="OQJ22" s="4" t="n"/>
      <c r="OQK22" s="1" t="n"/>
      <c r="OQL22" s="1" t="n"/>
      <c r="OQM22" s="3" t="n"/>
      <c r="OQN22" s="4" t="n"/>
      <c r="OQO22" s="1" t="n"/>
      <c r="OQP22" s="1" t="n"/>
      <c r="OQQ22" s="3" t="n"/>
      <c r="OQR22" s="4" t="n"/>
      <c r="OQS22" s="1" t="n"/>
      <c r="OQT22" s="1" t="n"/>
      <c r="OQU22" s="3" t="n"/>
      <c r="OQV22" s="4" t="n"/>
      <c r="OQW22" s="1" t="n"/>
      <c r="OQX22" s="1" t="n"/>
      <c r="OQY22" s="3" t="n"/>
      <c r="OQZ22" s="4" t="n"/>
      <c r="ORA22" s="1" t="n"/>
      <c r="ORB22" s="1" t="n"/>
      <c r="ORC22" s="3" t="n"/>
      <c r="ORD22" s="4" t="n"/>
      <c r="ORE22" s="1" t="n"/>
      <c r="ORF22" s="1" t="n"/>
      <c r="ORG22" s="3" t="n"/>
      <c r="ORH22" s="4" t="n"/>
      <c r="ORI22" s="1" t="n"/>
      <c r="ORJ22" s="1" t="n"/>
      <c r="ORK22" s="3" t="n"/>
      <c r="ORL22" s="4" t="n"/>
      <c r="ORM22" s="1" t="n"/>
      <c r="ORN22" s="1" t="n"/>
      <c r="ORO22" s="3" t="n"/>
      <c r="ORP22" s="4" t="n"/>
      <c r="ORQ22" s="1" t="n"/>
      <c r="ORR22" s="1" t="n"/>
      <c r="ORS22" s="3" t="n"/>
      <c r="ORT22" s="4" t="n"/>
      <c r="ORU22" s="1" t="n"/>
      <c r="ORV22" s="1" t="n"/>
      <c r="ORW22" s="3" t="n"/>
      <c r="ORX22" s="4" t="n"/>
      <c r="ORY22" s="1" t="n"/>
      <c r="ORZ22" s="1" t="n"/>
      <c r="OSA22" s="3" t="n"/>
      <c r="OSB22" s="4" t="n"/>
      <c r="OSC22" s="1" t="n"/>
      <c r="OSD22" s="1" t="n"/>
      <c r="OSE22" s="3" t="n"/>
      <c r="OSF22" s="4" t="n"/>
      <c r="OSG22" s="1" t="n"/>
      <c r="OSH22" s="1" t="n"/>
      <c r="OSI22" s="3" t="n"/>
      <c r="OSJ22" s="4" t="n"/>
      <c r="OSK22" s="1" t="n"/>
      <c r="OSL22" s="1" t="n"/>
      <c r="OSM22" s="3" t="n"/>
      <c r="OSN22" s="4" t="n"/>
      <c r="OSO22" s="1" t="n"/>
      <c r="OSP22" s="1" t="n"/>
      <c r="OSQ22" s="3" t="n"/>
      <c r="OSR22" s="4" t="n"/>
      <c r="OSS22" s="1" t="n"/>
      <c r="OST22" s="1" t="n"/>
      <c r="OSU22" s="3" t="n"/>
      <c r="OSV22" s="4" t="n"/>
      <c r="OSW22" s="1" t="n"/>
      <c r="OSX22" s="1" t="n"/>
      <c r="OSY22" s="3" t="n"/>
      <c r="OSZ22" s="4" t="n"/>
      <c r="OTA22" s="1" t="n"/>
      <c r="OTB22" s="1" t="n"/>
      <c r="OTC22" s="3" t="n"/>
      <c r="OTD22" s="4" t="n"/>
      <c r="OTE22" s="1" t="n"/>
      <c r="OTF22" s="1" t="n"/>
      <c r="OTG22" s="3" t="n"/>
      <c r="OTH22" s="4" t="n"/>
      <c r="OTI22" s="1" t="n"/>
      <c r="OTJ22" s="1" t="n"/>
      <c r="OTK22" s="3" t="n"/>
      <c r="OTL22" s="4" t="n"/>
      <c r="OTM22" s="1" t="n"/>
      <c r="OTN22" s="1" t="n"/>
      <c r="OTO22" s="3" t="n"/>
      <c r="OTP22" s="4" t="n"/>
      <c r="OTQ22" s="1" t="n"/>
      <c r="OTR22" s="1" t="n"/>
      <c r="OTS22" s="3" t="n"/>
      <c r="OTT22" s="4" t="n"/>
      <c r="OTU22" s="1" t="n"/>
      <c r="OTV22" s="1" t="n"/>
      <c r="OTW22" s="3" t="n"/>
      <c r="OTX22" s="4" t="n"/>
      <c r="OTY22" s="1" t="n"/>
      <c r="OTZ22" s="1" t="n"/>
      <c r="OUA22" s="3" t="n"/>
      <c r="OUB22" s="4" t="n"/>
      <c r="OUC22" s="1" t="n"/>
      <c r="OUD22" s="1" t="n"/>
      <c r="OUE22" s="3" t="n"/>
      <c r="OUF22" s="4" t="n"/>
      <c r="OUG22" s="1" t="n"/>
      <c r="OUH22" s="1" t="n"/>
      <c r="OUI22" s="3" t="n"/>
      <c r="OUJ22" s="4" t="n"/>
      <c r="OUK22" s="1" t="n"/>
      <c r="OUL22" s="1" t="n"/>
      <c r="OUM22" s="3" t="n"/>
      <c r="OUN22" s="4" t="n"/>
      <c r="OUO22" s="1" t="n"/>
      <c r="OUP22" s="1" t="n"/>
      <c r="OUQ22" s="3" t="n"/>
      <c r="OUR22" s="4" t="n"/>
      <c r="OUS22" s="1" t="n"/>
      <c r="OUT22" s="1" t="n"/>
      <c r="OUU22" s="3" t="n"/>
      <c r="OUV22" s="4" t="n"/>
      <c r="OUW22" s="1" t="n"/>
      <c r="OUX22" s="1" t="n"/>
      <c r="OUY22" s="3" t="n"/>
      <c r="OUZ22" s="4" t="n"/>
      <c r="OVA22" s="1" t="n"/>
      <c r="OVB22" s="1" t="n"/>
      <c r="OVC22" s="3" t="n"/>
      <c r="OVD22" s="4" t="n"/>
      <c r="OVE22" s="1" t="n"/>
      <c r="OVF22" s="1" t="n"/>
      <c r="OVG22" s="3" t="n"/>
      <c r="OVH22" s="4" t="n"/>
      <c r="OVI22" s="1" t="n"/>
      <c r="OVJ22" s="1" t="n"/>
      <c r="OVK22" s="3" t="n"/>
      <c r="OVL22" s="4" t="n"/>
      <c r="OVM22" s="1" t="n"/>
      <c r="OVN22" s="1" t="n"/>
      <c r="OVO22" s="3" t="n"/>
      <c r="OVP22" s="4" t="n"/>
      <c r="OVQ22" s="1" t="n"/>
      <c r="OVR22" s="1" t="n"/>
      <c r="OVS22" s="3" t="n"/>
      <c r="OVT22" s="4" t="n"/>
      <c r="OVU22" s="1" t="n"/>
      <c r="OVV22" s="1" t="n"/>
      <c r="OVW22" s="3" t="n"/>
      <c r="OVX22" s="4" t="n"/>
      <c r="OVY22" s="1" t="n"/>
      <c r="OVZ22" s="1" t="n"/>
      <c r="OWA22" s="3" t="n"/>
      <c r="OWB22" s="4" t="n"/>
      <c r="OWC22" s="1" t="n"/>
      <c r="OWD22" s="1" t="n"/>
      <c r="OWE22" s="3" t="n"/>
      <c r="OWF22" s="4" t="n"/>
      <c r="OWG22" s="1" t="n"/>
      <c r="OWH22" s="1" t="n"/>
      <c r="OWI22" s="3" t="n"/>
      <c r="OWJ22" s="4" t="n"/>
      <c r="OWK22" s="1" t="n"/>
      <c r="OWL22" s="1" t="n"/>
      <c r="OWM22" s="3" t="n"/>
      <c r="OWN22" s="4" t="n"/>
      <c r="OWO22" s="1" t="n"/>
      <c r="OWP22" s="1" t="n"/>
      <c r="OWQ22" s="3" t="n"/>
      <c r="OWR22" s="4" t="n"/>
      <c r="OWS22" s="1" t="n"/>
      <c r="OWT22" s="1" t="n"/>
      <c r="OWU22" s="3" t="n"/>
      <c r="OWV22" s="4" t="n"/>
      <c r="OWW22" s="1" t="n"/>
      <c r="OWX22" s="1" t="n"/>
      <c r="OWY22" s="3" t="n"/>
      <c r="OWZ22" s="4" t="n"/>
      <c r="OXA22" s="1" t="n"/>
      <c r="OXB22" s="1" t="n"/>
      <c r="OXC22" s="3" t="n"/>
      <c r="OXD22" s="4" t="n"/>
      <c r="OXE22" s="1" t="n"/>
      <c r="OXF22" s="1" t="n"/>
      <c r="OXG22" s="3" t="n"/>
      <c r="OXH22" s="4" t="n"/>
      <c r="OXI22" s="1" t="n"/>
      <c r="OXJ22" s="1" t="n"/>
      <c r="OXK22" s="3" t="n"/>
      <c r="OXL22" s="4" t="n"/>
      <c r="OXM22" s="1" t="n"/>
      <c r="OXN22" s="1" t="n"/>
      <c r="OXO22" s="3" t="n"/>
      <c r="OXP22" s="4" t="n"/>
      <c r="OXQ22" s="1" t="n"/>
      <c r="OXR22" s="1" t="n"/>
      <c r="OXS22" s="3" t="n"/>
      <c r="OXT22" s="4" t="n"/>
      <c r="OXU22" s="1" t="n"/>
      <c r="OXV22" s="1" t="n"/>
      <c r="OXW22" s="3" t="n"/>
      <c r="OXX22" s="4" t="n"/>
      <c r="OXY22" s="1" t="n"/>
      <c r="OXZ22" s="1" t="n"/>
      <c r="OYA22" s="3" t="n"/>
      <c r="OYB22" s="4" t="n"/>
      <c r="OYC22" s="1" t="n"/>
      <c r="OYD22" s="1" t="n"/>
      <c r="OYE22" s="3" t="n"/>
      <c r="OYF22" s="4" t="n"/>
      <c r="OYG22" s="1" t="n"/>
      <c r="OYH22" s="1" t="n"/>
      <c r="OYI22" s="3" t="n"/>
      <c r="OYJ22" s="4" t="n"/>
      <c r="OYK22" s="1" t="n"/>
      <c r="OYL22" s="1" t="n"/>
      <c r="OYM22" s="3" t="n"/>
      <c r="OYN22" s="4" t="n"/>
      <c r="OYO22" s="1" t="n"/>
      <c r="OYP22" s="1" t="n"/>
      <c r="OYQ22" s="3" t="n"/>
      <c r="OYR22" s="4" t="n"/>
      <c r="OYS22" s="1" t="n"/>
      <c r="OYT22" s="1" t="n"/>
      <c r="OYU22" s="3" t="n"/>
      <c r="OYV22" s="4" t="n"/>
      <c r="OYW22" s="1" t="n"/>
      <c r="OYX22" s="1" t="n"/>
      <c r="OYY22" s="3" t="n"/>
      <c r="OYZ22" s="4" t="n"/>
      <c r="OZA22" s="1" t="n"/>
      <c r="OZB22" s="1" t="n"/>
      <c r="OZC22" s="3" t="n"/>
      <c r="OZD22" s="4" t="n"/>
      <c r="OZE22" s="1" t="n"/>
      <c r="OZF22" s="1" t="n"/>
      <c r="OZG22" s="3" t="n"/>
      <c r="OZH22" s="4" t="n"/>
      <c r="OZI22" s="1" t="n"/>
      <c r="OZJ22" s="1" t="n"/>
      <c r="OZK22" s="3" t="n"/>
      <c r="OZL22" s="4" t="n"/>
      <c r="OZM22" s="1" t="n"/>
      <c r="OZN22" s="1" t="n"/>
      <c r="OZO22" s="3" t="n"/>
      <c r="OZP22" s="4" t="n"/>
      <c r="OZQ22" s="1" t="n"/>
      <c r="OZR22" s="1" t="n"/>
      <c r="OZS22" s="3" t="n"/>
      <c r="OZT22" s="4" t="n"/>
      <c r="OZU22" s="1" t="n"/>
      <c r="OZV22" s="1" t="n"/>
      <c r="OZW22" s="3" t="n"/>
      <c r="OZX22" s="4" t="n"/>
      <c r="OZY22" s="1" t="n"/>
      <c r="OZZ22" s="1" t="n"/>
      <c r="PAA22" s="3" t="n"/>
      <c r="PAB22" s="4" t="n"/>
      <c r="PAC22" s="1" t="n"/>
      <c r="PAD22" s="1" t="n"/>
      <c r="PAE22" s="3" t="n"/>
      <c r="PAF22" s="4" t="n"/>
      <c r="PAG22" s="1" t="n"/>
      <c r="PAH22" s="1" t="n"/>
      <c r="PAI22" s="3" t="n"/>
      <c r="PAJ22" s="4" t="n"/>
      <c r="PAK22" s="1" t="n"/>
      <c r="PAL22" s="1" t="n"/>
      <c r="PAM22" s="3" t="n"/>
      <c r="PAN22" s="4" t="n"/>
      <c r="PAO22" s="1" t="n"/>
      <c r="PAP22" s="1" t="n"/>
      <c r="PAQ22" s="3" t="n"/>
      <c r="PAR22" s="4" t="n"/>
      <c r="PAS22" s="1" t="n"/>
      <c r="PAT22" s="1" t="n"/>
      <c r="PAU22" s="3" t="n"/>
      <c r="PAV22" s="4" t="n"/>
      <c r="PAW22" s="1" t="n"/>
      <c r="PAX22" s="1" t="n"/>
      <c r="PAY22" s="3" t="n"/>
      <c r="PAZ22" s="4" t="n"/>
      <c r="PBA22" s="1" t="n"/>
      <c r="PBB22" s="1" t="n"/>
      <c r="PBC22" s="3" t="n"/>
      <c r="PBD22" s="4" t="n"/>
      <c r="PBE22" s="1" t="n"/>
      <c r="PBF22" s="1" t="n"/>
      <c r="PBG22" s="3" t="n"/>
      <c r="PBH22" s="4" t="n"/>
      <c r="PBI22" s="1" t="n"/>
      <c r="PBJ22" s="1" t="n"/>
      <c r="PBK22" s="3" t="n"/>
      <c r="PBL22" s="4" t="n"/>
      <c r="PBM22" s="1" t="n"/>
      <c r="PBN22" s="1" t="n"/>
      <c r="PBO22" s="3" t="n"/>
      <c r="PBP22" s="4" t="n"/>
      <c r="PBQ22" s="1" t="n"/>
      <c r="PBR22" s="1" t="n"/>
      <c r="PBS22" s="3" t="n"/>
      <c r="PBT22" s="4" t="n"/>
      <c r="PBU22" s="1" t="n"/>
      <c r="PBV22" s="1" t="n"/>
      <c r="PBW22" s="3" t="n"/>
      <c r="PBX22" s="4" t="n"/>
      <c r="PBY22" s="1" t="n"/>
      <c r="PBZ22" s="1" t="n"/>
      <c r="PCA22" s="3" t="n"/>
      <c r="PCB22" s="4" t="n"/>
      <c r="PCC22" s="1" t="n"/>
      <c r="PCD22" s="1" t="n"/>
      <c r="PCE22" s="3" t="n"/>
      <c r="PCF22" s="4" t="n"/>
      <c r="PCG22" s="1" t="n"/>
      <c r="PCH22" s="1" t="n"/>
      <c r="PCI22" s="3" t="n"/>
      <c r="PCJ22" s="4" t="n"/>
      <c r="PCK22" s="1" t="n"/>
      <c r="PCL22" s="1" t="n"/>
      <c r="PCM22" s="3" t="n"/>
      <c r="PCN22" s="4" t="n"/>
      <c r="PCO22" s="1" t="n"/>
      <c r="PCP22" s="1" t="n"/>
      <c r="PCQ22" s="3" t="n"/>
      <c r="PCR22" s="4" t="n"/>
      <c r="PCS22" s="1" t="n"/>
      <c r="PCT22" s="1" t="n"/>
      <c r="PCU22" s="3" t="n"/>
      <c r="PCV22" s="4" t="n"/>
      <c r="PCW22" s="1" t="n"/>
      <c r="PCX22" s="1" t="n"/>
      <c r="PCY22" s="3" t="n"/>
      <c r="PCZ22" s="4" t="n"/>
      <c r="PDA22" s="1" t="n"/>
      <c r="PDB22" s="1" t="n"/>
      <c r="PDC22" s="3" t="n"/>
      <c r="PDD22" s="4" t="n"/>
      <c r="PDE22" s="1" t="n"/>
      <c r="PDF22" s="1" t="n"/>
      <c r="PDG22" s="3" t="n"/>
      <c r="PDH22" s="4" t="n"/>
      <c r="PDI22" s="1" t="n"/>
      <c r="PDJ22" s="1" t="n"/>
      <c r="PDK22" s="3" t="n"/>
      <c r="PDL22" s="4" t="n"/>
      <c r="PDM22" s="1" t="n"/>
      <c r="PDN22" s="1" t="n"/>
      <c r="PDO22" s="3" t="n"/>
      <c r="PDP22" s="4" t="n"/>
      <c r="PDQ22" s="1" t="n"/>
      <c r="PDR22" s="1" t="n"/>
      <c r="PDS22" s="3" t="n"/>
      <c r="PDT22" s="4" t="n"/>
      <c r="PDU22" s="1" t="n"/>
      <c r="PDV22" s="1" t="n"/>
      <c r="PDW22" s="3" t="n"/>
      <c r="PDX22" s="4" t="n"/>
      <c r="PDY22" s="1" t="n"/>
      <c r="PDZ22" s="1" t="n"/>
      <c r="PEA22" s="3" t="n"/>
      <c r="PEB22" s="4" t="n"/>
      <c r="PEC22" s="1" t="n"/>
      <c r="PED22" s="1" t="n"/>
      <c r="PEE22" s="3" t="n"/>
      <c r="PEF22" s="4" t="n"/>
      <c r="PEG22" s="1" t="n"/>
      <c r="PEH22" s="1" t="n"/>
      <c r="PEI22" s="3" t="n"/>
      <c r="PEJ22" s="4" t="n"/>
      <c r="PEK22" s="1" t="n"/>
      <c r="PEL22" s="1" t="n"/>
      <c r="PEM22" s="3" t="n"/>
      <c r="PEN22" s="4" t="n"/>
      <c r="PEO22" s="1" t="n"/>
      <c r="PEP22" s="1" t="n"/>
      <c r="PEQ22" s="3" t="n"/>
      <c r="PER22" s="4" t="n"/>
      <c r="PES22" s="1" t="n"/>
      <c r="PET22" s="1" t="n"/>
      <c r="PEU22" s="3" t="n"/>
      <c r="PEV22" s="4" t="n"/>
      <c r="PEW22" s="1" t="n"/>
      <c r="PEX22" s="1" t="n"/>
      <c r="PEY22" s="3" t="n"/>
      <c r="PEZ22" s="4" t="n"/>
      <c r="PFA22" s="1" t="n"/>
      <c r="PFB22" s="1" t="n"/>
      <c r="PFC22" s="3" t="n"/>
      <c r="PFD22" s="4" t="n"/>
      <c r="PFE22" s="1" t="n"/>
      <c r="PFF22" s="1" t="n"/>
      <c r="PFG22" s="3" t="n"/>
      <c r="PFH22" s="4" t="n"/>
      <c r="PFI22" s="1" t="n"/>
      <c r="PFJ22" s="1" t="n"/>
      <c r="PFK22" s="3" t="n"/>
      <c r="PFL22" s="4" t="n"/>
      <c r="PFM22" s="1" t="n"/>
      <c r="PFN22" s="1" t="n"/>
      <c r="PFO22" s="3" t="n"/>
      <c r="PFP22" s="4" t="n"/>
      <c r="PFQ22" s="1" t="n"/>
      <c r="PFR22" s="1" t="n"/>
      <c r="PFS22" s="3" t="n"/>
      <c r="PFT22" s="4" t="n"/>
      <c r="PFU22" s="1" t="n"/>
      <c r="PFV22" s="1" t="n"/>
      <c r="PFW22" s="3" t="n"/>
      <c r="PFX22" s="4" t="n"/>
      <c r="PFY22" s="1" t="n"/>
      <c r="PFZ22" s="1" t="n"/>
      <c r="PGA22" s="3" t="n"/>
      <c r="PGB22" s="4" t="n"/>
      <c r="PGC22" s="1" t="n"/>
      <c r="PGD22" s="1" t="n"/>
      <c r="PGE22" s="3" t="n"/>
      <c r="PGF22" s="4" t="n"/>
      <c r="PGG22" s="1" t="n"/>
      <c r="PGH22" s="1" t="n"/>
      <c r="PGI22" s="3" t="n"/>
      <c r="PGJ22" s="4" t="n"/>
      <c r="PGK22" s="1" t="n"/>
      <c r="PGL22" s="1" t="n"/>
      <c r="PGM22" s="3" t="n"/>
      <c r="PGN22" s="4" t="n"/>
      <c r="PGO22" s="1" t="n"/>
      <c r="PGP22" s="1" t="n"/>
      <c r="PGQ22" s="3" t="n"/>
      <c r="PGR22" s="4" t="n"/>
      <c r="PGS22" s="1" t="n"/>
      <c r="PGT22" s="1" t="n"/>
      <c r="PGU22" s="3" t="n"/>
      <c r="PGV22" s="4" t="n"/>
      <c r="PGW22" s="1" t="n"/>
      <c r="PGX22" s="1" t="n"/>
      <c r="PGY22" s="3" t="n"/>
      <c r="PGZ22" s="4" t="n"/>
      <c r="PHA22" s="1" t="n"/>
      <c r="PHB22" s="1" t="n"/>
      <c r="PHC22" s="3" t="n"/>
      <c r="PHD22" s="4" t="n"/>
      <c r="PHE22" s="1" t="n"/>
      <c r="PHF22" s="1" t="n"/>
      <c r="PHG22" s="3" t="n"/>
      <c r="PHH22" s="4" t="n"/>
      <c r="PHI22" s="1" t="n"/>
      <c r="PHJ22" s="1" t="n"/>
      <c r="PHK22" s="3" t="n"/>
      <c r="PHL22" s="4" t="n"/>
      <c r="PHM22" s="1" t="n"/>
      <c r="PHN22" s="1" t="n"/>
      <c r="PHO22" s="3" t="n"/>
      <c r="PHP22" s="4" t="n"/>
      <c r="PHQ22" s="1" t="n"/>
      <c r="PHR22" s="1" t="n"/>
      <c r="PHS22" s="3" t="n"/>
      <c r="PHT22" s="4" t="n"/>
      <c r="PHU22" s="1" t="n"/>
      <c r="PHV22" s="1" t="n"/>
      <c r="PHW22" s="3" t="n"/>
      <c r="PHX22" s="4" t="n"/>
      <c r="PHY22" s="1" t="n"/>
      <c r="PHZ22" s="1" t="n"/>
      <c r="PIA22" s="3" t="n"/>
      <c r="PIB22" s="4" t="n"/>
      <c r="PIC22" s="1" t="n"/>
      <c r="PID22" s="1" t="n"/>
      <c r="PIE22" s="3" t="n"/>
      <c r="PIF22" s="4" t="n"/>
      <c r="PIG22" s="1" t="n"/>
      <c r="PIH22" s="1" t="n"/>
      <c r="PII22" s="3" t="n"/>
      <c r="PIJ22" s="4" t="n"/>
      <c r="PIK22" s="1" t="n"/>
      <c r="PIL22" s="1" t="n"/>
      <c r="PIM22" s="3" t="n"/>
      <c r="PIN22" s="4" t="n"/>
      <c r="PIO22" s="1" t="n"/>
      <c r="PIP22" s="1" t="n"/>
      <c r="PIQ22" s="3" t="n"/>
      <c r="PIR22" s="4" t="n"/>
      <c r="PIS22" s="1" t="n"/>
      <c r="PIT22" s="1" t="n"/>
      <c r="PIU22" s="3" t="n"/>
      <c r="PIV22" s="4" t="n"/>
      <c r="PIW22" s="1" t="n"/>
      <c r="PIX22" s="1" t="n"/>
      <c r="PIY22" s="3" t="n"/>
      <c r="PIZ22" s="4" t="n"/>
      <c r="PJA22" s="1" t="n"/>
      <c r="PJB22" s="1" t="n"/>
      <c r="PJC22" s="3" t="n"/>
      <c r="PJD22" s="4" t="n"/>
      <c r="PJE22" s="1" t="n"/>
      <c r="PJF22" s="1" t="n"/>
      <c r="PJG22" s="3" t="n"/>
      <c r="PJH22" s="4" t="n"/>
      <c r="PJI22" s="1" t="n"/>
      <c r="PJJ22" s="1" t="n"/>
      <c r="PJK22" s="3" t="n"/>
      <c r="PJL22" s="4" t="n"/>
      <c r="PJM22" s="1" t="n"/>
      <c r="PJN22" s="1" t="n"/>
      <c r="PJO22" s="3" t="n"/>
      <c r="PJP22" s="4" t="n"/>
      <c r="PJQ22" s="1" t="n"/>
      <c r="PJR22" s="1" t="n"/>
      <c r="PJS22" s="3" t="n"/>
      <c r="PJT22" s="4" t="n"/>
      <c r="PJU22" s="1" t="n"/>
      <c r="PJV22" s="1" t="n"/>
      <c r="PJW22" s="3" t="n"/>
      <c r="PJX22" s="4" t="n"/>
      <c r="PJY22" s="1" t="n"/>
      <c r="PJZ22" s="1" t="n"/>
      <c r="PKA22" s="3" t="n"/>
      <c r="PKB22" s="4" t="n"/>
      <c r="PKC22" s="1" t="n"/>
      <c r="PKD22" s="1" t="n"/>
      <c r="PKE22" s="3" t="n"/>
      <c r="PKF22" s="4" t="n"/>
      <c r="PKG22" s="1" t="n"/>
      <c r="PKH22" s="1" t="n"/>
      <c r="PKI22" s="3" t="n"/>
      <c r="PKJ22" s="4" t="n"/>
      <c r="PKK22" s="1" t="n"/>
      <c r="PKL22" s="1" t="n"/>
      <c r="PKM22" s="3" t="n"/>
      <c r="PKN22" s="4" t="n"/>
      <c r="PKO22" s="1" t="n"/>
      <c r="PKP22" s="1" t="n"/>
      <c r="PKQ22" s="3" t="n"/>
      <c r="PKR22" s="4" t="n"/>
      <c r="PKS22" s="1" t="n"/>
      <c r="PKT22" s="1" t="n"/>
      <c r="PKU22" s="3" t="n"/>
      <c r="PKV22" s="4" t="n"/>
      <c r="PKW22" s="1" t="n"/>
      <c r="PKX22" s="1" t="n"/>
      <c r="PKY22" s="3" t="n"/>
      <c r="PKZ22" s="4" t="n"/>
      <c r="PLA22" s="1" t="n"/>
      <c r="PLB22" s="1" t="n"/>
      <c r="PLC22" s="3" t="n"/>
      <c r="PLD22" s="4" t="n"/>
      <c r="PLE22" s="1" t="n"/>
      <c r="PLF22" s="1" t="n"/>
      <c r="PLG22" s="3" t="n"/>
      <c r="PLH22" s="4" t="n"/>
      <c r="PLI22" s="1" t="n"/>
      <c r="PLJ22" s="1" t="n"/>
      <c r="PLK22" s="3" t="n"/>
      <c r="PLL22" s="4" t="n"/>
      <c r="PLM22" s="1" t="n"/>
      <c r="PLN22" s="1" t="n"/>
      <c r="PLO22" s="3" t="n"/>
      <c r="PLP22" s="4" t="n"/>
      <c r="PLQ22" s="1" t="n"/>
      <c r="PLR22" s="1" t="n"/>
      <c r="PLS22" s="3" t="n"/>
      <c r="PLT22" s="4" t="n"/>
      <c r="PLU22" s="1" t="n"/>
      <c r="PLV22" s="1" t="n"/>
      <c r="PLW22" s="3" t="n"/>
      <c r="PLX22" s="4" t="n"/>
      <c r="PLY22" s="1" t="n"/>
      <c r="PLZ22" s="1" t="n"/>
      <c r="PMA22" s="3" t="n"/>
      <c r="PMB22" s="4" t="n"/>
      <c r="PMC22" s="1" t="n"/>
      <c r="PMD22" s="1" t="n"/>
      <c r="PME22" s="3" t="n"/>
      <c r="PMF22" s="4" t="n"/>
      <c r="PMG22" s="1" t="n"/>
      <c r="PMH22" s="1" t="n"/>
      <c r="PMI22" s="3" t="n"/>
      <c r="PMJ22" s="4" t="n"/>
      <c r="PMK22" s="1" t="n"/>
      <c r="PML22" s="1" t="n"/>
      <c r="PMM22" s="3" t="n"/>
      <c r="PMN22" s="4" t="n"/>
      <c r="PMO22" s="1" t="n"/>
      <c r="PMP22" s="1" t="n"/>
      <c r="PMQ22" s="3" t="n"/>
      <c r="PMR22" s="4" t="n"/>
      <c r="PMS22" s="1" t="n"/>
      <c r="PMT22" s="1" t="n"/>
      <c r="PMU22" s="3" t="n"/>
      <c r="PMV22" s="4" t="n"/>
      <c r="PMW22" s="1" t="n"/>
      <c r="PMX22" s="1" t="n"/>
      <c r="PMY22" s="3" t="n"/>
      <c r="PMZ22" s="4" t="n"/>
      <c r="PNA22" s="1" t="n"/>
      <c r="PNB22" s="1" t="n"/>
      <c r="PNC22" s="3" t="n"/>
      <c r="PND22" s="4" t="n"/>
      <c r="PNE22" s="1" t="n"/>
      <c r="PNF22" s="1" t="n"/>
      <c r="PNG22" s="3" t="n"/>
      <c r="PNH22" s="4" t="n"/>
      <c r="PNI22" s="1" t="n"/>
      <c r="PNJ22" s="1" t="n"/>
      <c r="PNK22" s="3" t="n"/>
      <c r="PNL22" s="4" t="n"/>
      <c r="PNM22" s="1" t="n"/>
      <c r="PNN22" s="1" t="n"/>
      <c r="PNO22" s="3" t="n"/>
      <c r="PNP22" s="4" t="n"/>
      <c r="PNQ22" s="1" t="n"/>
      <c r="PNR22" s="1" t="n"/>
      <c r="PNS22" s="3" t="n"/>
      <c r="PNT22" s="4" t="n"/>
      <c r="PNU22" s="1" t="n"/>
      <c r="PNV22" s="1" t="n"/>
      <c r="PNW22" s="3" t="n"/>
      <c r="PNX22" s="4" t="n"/>
      <c r="PNY22" s="1" t="n"/>
      <c r="PNZ22" s="1" t="n"/>
      <c r="POA22" s="3" t="n"/>
      <c r="POB22" s="4" t="n"/>
      <c r="POC22" s="1" t="n"/>
      <c r="POD22" s="1" t="n"/>
      <c r="POE22" s="3" t="n"/>
      <c r="POF22" s="4" t="n"/>
      <c r="POG22" s="1" t="n"/>
      <c r="POH22" s="1" t="n"/>
      <c r="POI22" s="3" t="n"/>
      <c r="POJ22" s="4" t="n"/>
      <c r="POK22" s="1" t="n"/>
      <c r="POL22" s="1" t="n"/>
      <c r="POM22" s="3" t="n"/>
      <c r="PON22" s="4" t="n"/>
      <c r="POO22" s="1" t="n"/>
      <c r="POP22" s="1" t="n"/>
      <c r="POQ22" s="3" t="n"/>
      <c r="POR22" s="4" t="n"/>
      <c r="POS22" s="1" t="n"/>
      <c r="POT22" s="1" t="n"/>
      <c r="POU22" s="3" t="n"/>
      <c r="POV22" s="4" t="n"/>
      <c r="POW22" s="1" t="n"/>
      <c r="POX22" s="1" t="n"/>
      <c r="POY22" s="3" t="n"/>
      <c r="POZ22" s="4" t="n"/>
      <c r="PPA22" s="1" t="n"/>
      <c r="PPB22" s="1" t="n"/>
      <c r="PPC22" s="3" t="n"/>
      <c r="PPD22" s="4" t="n"/>
      <c r="PPE22" s="1" t="n"/>
      <c r="PPF22" s="1" t="n"/>
      <c r="PPG22" s="3" t="n"/>
      <c r="PPH22" s="4" t="n"/>
      <c r="PPI22" s="1" t="n"/>
      <c r="PPJ22" s="1" t="n"/>
      <c r="PPK22" s="3" t="n"/>
      <c r="PPL22" s="4" t="n"/>
      <c r="PPM22" s="1" t="n"/>
      <c r="PPN22" s="1" t="n"/>
      <c r="PPO22" s="3" t="n"/>
      <c r="PPP22" s="4" t="n"/>
      <c r="PPQ22" s="1" t="n"/>
      <c r="PPR22" s="1" t="n"/>
      <c r="PPS22" s="3" t="n"/>
      <c r="PPT22" s="4" t="n"/>
      <c r="PPU22" s="1" t="n"/>
      <c r="PPV22" s="1" t="n"/>
      <c r="PPW22" s="3" t="n"/>
      <c r="PPX22" s="4" t="n"/>
      <c r="PPY22" s="1" t="n"/>
      <c r="PPZ22" s="1" t="n"/>
      <c r="PQA22" s="3" t="n"/>
      <c r="PQB22" s="4" t="n"/>
      <c r="PQC22" s="1" t="n"/>
      <c r="PQD22" s="1" t="n"/>
      <c r="PQE22" s="3" t="n"/>
      <c r="PQF22" s="4" t="n"/>
      <c r="PQG22" s="1" t="n"/>
      <c r="PQH22" s="1" t="n"/>
      <c r="PQI22" s="3" t="n"/>
      <c r="PQJ22" s="4" t="n"/>
      <c r="PQK22" s="1" t="n"/>
      <c r="PQL22" s="1" t="n"/>
      <c r="PQM22" s="3" t="n"/>
      <c r="PQN22" s="4" t="n"/>
      <c r="PQO22" s="1" t="n"/>
      <c r="PQP22" s="1" t="n"/>
      <c r="PQQ22" s="3" t="n"/>
      <c r="PQR22" s="4" t="n"/>
      <c r="PQS22" s="1" t="n"/>
      <c r="PQT22" s="1" t="n"/>
      <c r="PQU22" s="3" t="n"/>
      <c r="PQV22" s="4" t="n"/>
      <c r="PQW22" s="1" t="n"/>
      <c r="PQX22" s="1" t="n"/>
      <c r="PQY22" s="3" t="n"/>
      <c r="PQZ22" s="4" t="n"/>
      <c r="PRA22" s="1" t="n"/>
      <c r="PRB22" s="1" t="n"/>
      <c r="PRC22" s="3" t="n"/>
      <c r="PRD22" s="4" t="n"/>
      <c r="PRE22" s="1" t="n"/>
      <c r="PRF22" s="1" t="n"/>
      <c r="PRG22" s="3" t="n"/>
      <c r="PRH22" s="4" t="n"/>
      <c r="PRI22" s="1" t="n"/>
      <c r="PRJ22" s="1" t="n"/>
      <c r="PRK22" s="3" t="n"/>
      <c r="PRL22" s="4" t="n"/>
      <c r="PRM22" s="1" t="n"/>
      <c r="PRN22" s="1" t="n"/>
      <c r="PRO22" s="3" t="n"/>
      <c r="PRP22" s="4" t="n"/>
      <c r="PRQ22" s="1" t="n"/>
      <c r="PRR22" s="1" t="n"/>
      <c r="PRS22" s="3" t="n"/>
      <c r="PRT22" s="4" t="n"/>
      <c r="PRU22" s="1" t="n"/>
      <c r="PRV22" s="1" t="n"/>
      <c r="PRW22" s="3" t="n"/>
      <c r="PRX22" s="4" t="n"/>
      <c r="PRY22" s="1" t="n"/>
      <c r="PRZ22" s="1" t="n"/>
      <c r="PSA22" s="3" t="n"/>
      <c r="PSB22" s="4" t="n"/>
      <c r="PSC22" s="1" t="n"/>
      <c r="PSD22" s="1" t="n"/>
      <c r="PSE22" s="3" t="n"/>
      <c r="PSF22" s="4" t="n"/>
      <c r="PSG22" s="1" t="n"/>
      <c r="PSH22" s="1" t="n"/>
      <c r="PSI22" s="3" t="n"/>
      <c r="PSJ22" s="4" t="n"/>
      <c r="PSK22" s="1" t="n"/>
      <c r="PSL22" s="1" t="n"/>
      <c r="PSM22" s="3" t="n"/>
      <c r="PSN22" s="4" t="n"/>
      <c r="PSO22" s="1" t="n"/>
      <c r="PSP22" s="1" t="n"/>
      <c r="PSQ22" s="3" t="n"/>
      <c r="PSR22" s="4" t="n"/>
      <c r="PSS22" s="1" t="n"/>
      <c r="PST22" s="1" t="n"/>
      <c r="PSU22" s="3" t="n"/>
      <c r="PSV22" s="4" t="n"/>
      <c r="PSW22" s="1" t="n"/>
      <c r="PSX22" s="1" t="n"/>
      <c r="PSY22" s="3" t="n"/>
      <c r="PSZ22" s="4" t="n"/>
      <c r="PTA22" s="1" t="n"/>
      <c r="PTB22" s="1" t="n"/>
      <c r="PTC22" s="3" t="n"/>
      <c r="PTD22" s="4" t="n"/>
      <c r="PTE22" s="1" t="n"/>
      <c r="PTF22" s="1" t="n"/>
      <c r="PTG22" s="3" t="n"/>
      <c r="PTH22" s="4" t="n"/>
      <c r="PTI22" s="1" t="n"/>
      <c r="PTJ22" s="1" t="n"/>
      <c r="PTK22" s="3" t="n"/>
      <c r="PTL22" s="4" t="n"/>
      <c r="PTM22" s="1" t="n"/>
      <c r="PTN22" s="1" t="n"/>
      <c r="PTO22" s="3" t="n"/>
      <c r="PTP22" s="4" t="n"/>
      <c r="PTQ22" s="1" t="n"/>
      <c r="PTR22" s="1" t="n"/>
      <c r="PTS22" s="3" t="n"/>
      <c r="PTT22" s="4" t="n"/>
      <c r="PTU22" s="1" t="n"/>
      <c r="PTV22" s="1" t="n"/>
      <c r="PTW22" s="3" t="n"/>
      <c r="PTX22" s="4" t="n"/>
      <c r="PTY22" s="1" t="n"/>
      <c r="PTZ22" s="1" t="n"/>
      <c r="PUA22" s="3" t="n"/>
      <c r="PUB22" s="4" t="n"/>
      <c r="PUC22" s="1" t="n"/>
      <c r="PUD22" s="1" t="n"/>
      <c r="PUE22" s="3" t="n"/>
      <c r="PUF22" s="4" t="n"/>
      <c r="PUG22" s="1" t="n"/>
      <c r="PUH22" s="1" t="n"/>
      <c r="PUI22" s="3" t="n"/>
      <c r="PUJ22" s="4" t="n"/>
      <c r="PUK22" s="1" t="n"/>
      <c r="PUL22" s="1" t="n"/>
      <c r="PUM22" s="3" t="n"/>
      <c r="PUN22" s="4" t="n"/>
      <c r="PUO22" s="1" t="n"/>
      <c r="PUP22" s="1" t="n"/>
      <c r="PUQ22" s="3" t="n"/>
      <c r="PUR22" s="4" t="n"/>
      <c r="PUS22" s="1" t="n"/>
      <c r="PUT22" s="1" t="n"/>
      <c r="PUU22" s="3" t="n"/>
      <c r="PUV22" s="4" t="n"/>
      <c r="PUW22" s="1" t="n"/>
      <c r="PUX22" s="1" t="n"/>
      <c r="PUY22" s="3" t="n"/>
      <c r="PUZ22" s="4" t="n"/>
      <c r="PVA22" s="1" t="n"/>
      <c r="PVB22" s="1" t="n"/>
      <c r="PVC22" s="3" t="n"/>
      <c r="PVD22" s="4" t="n"/>
      <c r="PVE22" s="1" t="n"/>
      <c r="PVF22" s="1" t="n"/>
      <c r="PVG22" s="3" t="n"/>
      <c r="PVH22" s="4" t="n"/>
      <c r="PVI22" s="1" t="n"/>
      <c r="PVJ22" s="1" t="n"/>
      <c r="PVK22" s="3" t="n"/>
      <c r="PVL22" s="4" t="n"/>
      <c r="PVM22" s="1" t="n"/>
      <c r="PVN22" s="1" t="n"/>
      <c r="PVO22" s="3" t="n"/>
      <c r="PVP22" s="4" t="n"/>
      <c r="PVQ22" s="1" t="n"/>
      <c r="PVR22" s="1" t="n"/>
      <c r="PVS22" s="3" t="n"/>
      <c r="PVT22" s="4" t="n"/>
      <c r="PVU22" s="1" t="n"/>
      <c r="PVV22" s="1" t="n"/>
      <c r="PVW22" s="3" t="n"/>
      <c r="PVX22" s="4" t="n"/>
      <c r="PVY22" s="1" t="n"/>
      <c r="PVZ22" s="1" t="n"/>
      <c r="PWA22" s="3" t="n"/>
      <c r="PWB22" s="4" t="n"/>
      <c r="PWC22" s="1" t="n"/>
      <c r="PWD22" s="1" t="n"/>
      <c r="PWE22" s="3" t="n"/>
      <c r="PWF22" s="4" t="n"/>
      <c r="PWG22" s="1" t="n"/>
      <c r="PWH22" s="1" t="n"/>
      <c r="PWI22" s="3" t="n"/>
      <c r="PWJ22" s="4" t="n"/>
      <c r="PWK22" s="1" t="n"/>
      <c r="PWL22" s="1" t="n"/>
      <c r="PWM22" s="3" t="n"/>
      <c r="PWN22" s="4" t="n"/>
      <c r="PWO22" s="1" t="n"/>
      <c r="PWP22" s="1" t="n"/>
      <c r="PWQ22" s="3" t="n"/>
      <c r="PWR22" s="4" t="n"/>
      <c r="PWS22" s="1" t="n"/>
      <c r="PWT22" s="1" t="n"/>
      <c r="PWU22" s="3" t="n"/>
      <c r="PWV22" s="4" t="n"/>
      <c r="PWW22" s="1" t="n"/>
      <c r="PWX22" s="1" t="n"/>
      <c r="PWY22" s="3" t="n"/>
      <c r="PWZ22" s="4" t="n"/>
      <c r="PXA22" s="1" t="n"/>
      <c r="PXB22" s="1" t="n"/>
      <c r="PXC22" s="3" t="n"/>
      <c r="PXD22" s="4" t="n"/>
      <c r="PXE22" s="1" t="n"/>
      <c r="PXF22" s="1" t="n"/>
      <c r="PXG22" s="3" t="n"/>
      <c r="PXH22" s="4" t="n"/>
      <c r="PXI22" s="1" t="n"/>
      <c r="PXJ22" s="1" t="n"/>
      <c r="PXK22" s="3" t="n"/>
      <c r="PXL22" s="4" t="n"/>
      <c r="PXM22" s="1" t="n"/>
      <c r="PXN22" s="1" t="n"/>
      <c r="PXO22" s="3" t="n"/>
      <c r="PXP22" s="4" t="n"/>
      <c r="PXQ22" s="1" t="n"/>
      <c r="PXR22" s="1" t="n"/>
      <c r="PXS22" s="3" t="n"/>
      <c r="PXT22" s="4" t="n"/>
      <c r="PXU22" s="1" t="n"/>
      <c r="PXV22" s="1" t="n"/>
      <c r="PXW22" s="3" t="n"/>
      <c r="PXX22" s="4" t="n"/>
      <c r="PXY22" s="1" t="n"/>
      <c r="PXZ22" s="1" t="n"/>
      <c r="PYA22" s="3" t="n"/>
      <c r="PYB22" s="4" t="n"/>
      <c r="PYC22" s="1" t="n"/>
      <c r="PYD22" s="1" t="n"/>
      <c r="PYE22" s="3" t="n"/>
      <c r="PYF22" s="4" t="n"/>
      <c r="PYG22" s="1" t="n"/>
      <c r="PYH22" s="1" t="n"/>
      <c r="PYI22" s="3" t="n"/>
      <c r="PYJ22" s="4" t="n"/>
      <c r="PYK22" s="1" t="n"/>
      <c r="PYL22" s="1" t="n"/>
      <c r="PYM22" s="3" t="n"/>
      <c r="PYN22" s="4" t="n"/>
      <c r="PYO22" s="1" t="n"/>
      <c r="PYP22" s="1" t="n"/>
      <c r="PYQ22" s="3" t="n"/>
      <c r="PYR22" s="4" t="n"/>
      <c r="PYS22" s="1" t="n"/>
      <c r="PYT22" s="1" t="n"/>
      <c r="PYU22" s="3" t="n"/>
      <c r="PYV22" s="4" t="n"/>
      <c r="PYW22" s="1" t="n"/>
      <c r="PYX22" s="1" t="n"/>
      <c r="PYY22" s="3" t="n"/>
      <c r="PYZ22" s="4" t="n"/>
      <c r="PZA22" s="1" t="n"/>
      <c r="PZB22" s="1" t="n"/>
      <c r="PZC22" s="3" t="n"/>
      <c r="PZD22" s="4" t="n"/>
      <c r="PZE22" s="1" t="n"/>
      <c r="PZF22" s="1" t="n"/>
      <c r="PZG22" s="3" t="n"/>
      <c r="PZH22" s="4" t="n"/>
      <c r="PZI22" s="1" t="n"/>
      <c r="PZJ22" s="1" t="n"/>
      <c r="PZK22" s="3" t="n"/>
      <c r="PZL22" s="4" t="n"/>
      <c r="PZM22" s="1" t="n"/>
      <c r="PZN22" s="1" t="n"/>
      <c r="PZO22" s="3" t="n"/>
      <c r="PZP22" s="4" t="n"/>
      <c r="PZQ22" s="1" t="n"/>
      <c r="PZR22" s="1" t="n"/>
      <c r="PZS22" s="3" t="n"/>
      <c r="PZT22" s="4" t="n"/>
      <c r="PZU22" s="1" t="n"/>
      <c r="PZV22" s="1" t="n"/>
      <c r="PZW22" s="3" t="n"/>
      <c r="PZX22" s="4" t="n"/>
      <c r="PZY22" s="1" t="n"/>
      <c r="PZZ22" s="1" t="n"/>
      <c r="QAA22" s="3" t="n"/>
      <c r="QAB22" s="4" t="n"/>
      <c r="QAC22" s="1" t="n"/>
      <c r="QAD22" s="1" t="n"/>
      <c r="QAE22" s="3" t="n"/>
      <c r="QAF22" s="4" t="n"/>
      <c r="QAG22" s="1" t="n"/>
      <c r="QAH22" s="1" t="n"/>
      <c r="QAI22" s="3" t="n"/>
      <c r="QAJ22" s="4" t="n"/>
      <c r="QAK22" s="1" t="n"/>
      <c r="QAL22" s="1" t="n"/>
      <c r="QAM22" s="3" t="n"/>
      <c r="QAN22" s="4" t="n"/>
      <c r="QAO22" s="1" t="n"/>
      <c r="QAP22" s="1" t="n"/>
      <c r="QAQ22" s="3" t="n"/>
      <c r="QAR22" s="4" t="n"/>
      <c r="QAS22" s="1" t="n"/>
      <c r="QAT22" s="1" t="n"/>
      <c r="QAU22" s="3" t="n"/>
      <c r="QAV22" s="4" t="n"/>
      <c r="QAW22" s="1" t="n"/>
      <c r="QAX22" s="1" t="n"/>
      <c r="QAY22" s="3" t="n"/>
      <c r="QAZ22" s="4" t="n"/>
      <c r="QBA22" s="1" t="n"/>
      <c r="QBB22" s="1" t="n"/>
      <c r="QBC22" s="3" t="n"/>
      <c r="QBD22" s="4" t="n"/>
      <c r="QBE22" s="1" t="n"/>
      <c r="QBF22" s="1" t="n"/>
      <c r="QBG22" s="3" t="n"/>
      <c r="QBH22" s="4" t="n"/>
      <c r="QBI22" s="1" t="n"/>
      <c r="QBJ22" s="1" t="n"/>
      <c r="QBK22" s="3" t="n"/>
      <c r="QBL22" s="4" t="n"/>
      <c r="QBM22" s="1" t="n"/>
      <c r="QBN22" s="1" t="n"/>
      <c r="QBO22" s="3" t="n"/>
      <c r="QBP22" s="4" t="n"/>
      <c r="QBQ22" s="1" t="n"/>
      <c r="QBR22" s="1" t="n"/>
      <c r="QBS22" s="3" t="n"/>
      <c r="QBT22" s="4" t="n"/>
      <c r="QBU22" s="1" t="n"/>
      <c r="QBV22" s="1" t="n"/>
      <c r="QBW22" s="3" t="n"/>
      <c r="QBX22" s="4" t="n"/>
      <c r="QBY22" s="1" t="n"/>
      <c r="QBZ22" s="1" t="n"/>
      <c r="QCA22" s="3" t="n"/>
      <c r="QCB22" s="4" t="n"/>
      <c r="QCC22" s="1" t="n"/>
      <c r="QCD22" s="1" t="n"/>
      <c r="QCE22" s="3" t="n"/>
      <c r="QCF22" s="4" t="n"/>
      <c r="QCG22" s="1" t="n"/>
      <c r="QCH22" s="1" t="n"/>
      <c r="QCI22" s="3" t="n"/>
      <c r="QCJ22" s="4" t="n"/>
      <c r="QCK22" s="1" t="n"/>
      <c r="QCL22" s="1" t="n"/>
      <c r="QCM22" s="3" t="n"/>
      <c r="QCN22" s="4" t="n"/>
      <c r="QCO22" s="1" t="n"/>
      <c r="QCP22" s="1" t="n"/>
      <c r="QCQ22" s="3" t="n"/>
      <c r="QCR22" s="4" t="n"/>
      <c r="QCS22" s="1" t="n"/>
      <c r="QCT22" s="1" t="n"/>
      <c r="QCU22" s="3" t="n"/>
      <c r="QCV22" s="4" t="n"/>
      <c r="QCW22" s="1" t="n"/>
      <c r="QCX22" s="1" t="n"/>
      <c r="QCY22" s="3" t="n"/>
      <c r="QCZ22" s="4" t="n"/>
      <c r="QDA22" s="1" t="n"/>
      <c r="QDB22" s="1" t="n"/>
      <c r="QDC22" s="3" t="n"/>
      <c r="QDD22" s="4" t="n"/>
      <c r="QDE22" s="1" t="n"/>
      <c r="QDF22" s="1" t="n"/>
      <c r="QDG22" s="3" t="n"/>
      <c r="QDH22" s="4" t="n"/>
      <c r="QDI22" s="1" t="n"/>
      <c r="QDJ22" s="1" t="n"/>
      <c r="QDK22" s="3" t="n"/>
      <c r="QDL22" s="4" t="n"/>
      <c r="QDM22" s="1" t="n"/>
      <c r="QDN22" s="1" t="n"/>
      <c r="QDO22" s="3" t="n"/>
      <c r="QDP22" s="4" t="n"/>
      <c r="QDQ22" s="1" t="n"/>
      <c r="QDR22" s="1" t="n"/>
      <c r="QDS22" s="3" t="n"/>
      <c r="QDT22" s="4" t="n"/>
      <c r="QDU22" s="1" t="n"/>
      <c r="QDV22" s="1" t="n"/>
      <c r="QDW22" s="3" t="n"/>
      <c r="QDX22" s="4" t="n"/>
      <c r="QDY22" s="1" t="n"/>
      <c r="QDZ22" s="1" t="n"/>
      <c r="QEA22" s="3" t="n"/>
      <c r="QEB22" s="4" t="n"/>
      <c r="QEC22" s="1" t="n"/>
      <c r="QED22" s="1" t="n"/>
      <c r="QEE22" s="3" t="n"/>
      <c r="QEF22" s="4" t="n"/>
      <c r="QEG22" s="1" t="n"/>
      <c r="QEH22" s="1" t="n"/>
      <c r="QEI22" s="3" t="n"/>
      <c r="QEJ22" s="4" t="n"/>
      <c r="QEK22" s="1" t="n"/>
      <c r="QEL22" s="1" t="n"/>
      <c r="QEM22" s="3" t="n"/>
      <c r="QEN22" s="4" t="n"/>
      <c r="QEO22" s="1" t="n"/>
      <c r="QEP22" s="1" t="n"/>
      <c r="QEQ22" s="3" t="n"/>
      <c r="QER22" s="4" t="n"/>
      <c r="QES22" s="1" t="n"/>
      <c r="QET22" s="1" t="n"/>
      <c r="QEU22" s="3" t="n"/>
      <c r="QEV22" s="4" t="n"/>
      <c r="QEW22" s="1" t="n"/>
      <c r="QEX22" s="1" t="n"/>
      <c r="QEY22" s="3" t="n"/>
      <c r="QEZ22" s="4" t="n"/>
      <c r="QFA22" s="1" t="n"/>
      <c r="QFB22" s="1" t="n"/>
      <c r="QFC22" s="3" t="n"/>
      <c r="QFD22" s="4" t="n"/>
      <c r="QFE22" s="1" t="n"/>
      <c r="QFF22" s="1" t="n"/>
      <c r="QFG22" s="3" t="n"/>
      <c r="QFH22" s="4" t="n"/>
      <c r="QFI22" s="1" t="n"/>
      <c r="QFJ22" s="1" t="n"/>
      <c r="QFK22" s="3" t="n"/>
      <c r="QFL22" s="4" t="n"/>
      <c r="QFM22" s="1" t="n"/>
      <c r="QFN22" s="1" t="n"/>
      <c r="QFO22" s="3" t="n"/>
      <c r="QFP22" s="4" t="n"/>
      <c r="QFQ22" s="1" t="n"/>
      <c r="QFR22" s="1" t="n"/>
      <c r="QFS22" s="3" t="n"/>
      <c r="QFT22" s="4" t="n"/>
      <c r="QFU22" s="1" t="n"/>
      <c r="QFV22" s="1" t="n"/>
      <c r="QFW22" s="3" t="n"/>
      <c r="QFX22" s="4" t="n"/>
      <c r="QFY22" s="1" t="n"/>
      <c r="QFZ22" s="1" t="n"/>
      <c r="QGA22" s="3" t="n"/>
      <c r="QGB22" s="4" t="n"/>
      <c r="QGC22" s="1" t="n"/>
      <c r="QGD22" s="1" t="n"/>
      <c r="QGE22" s="3" t="n"/>
      <c r="QGF22" s="4" t="n"/>
      <c r="QGG22" s="1" t="n"/>
      <c r="QGH22" s="1" t="n"/>
      <c r="QGI22" s="3" t="n"/>
      <c r="QGJ22" s="4" t="n"/>
      <c r="QGK22" s="1" t="n"/>
      <c r="QGL22" s="1" t="n"/>
      <c r="QGM22" s="3" t="n"/>
      <c r="QGN22" s="4" t="n"/>
      <c r="QGO22" s="1" t="n"/>
      <c r="QGP22" s="1" t="n"/>
      <c r="QGQ22" s="3" t="n"/>
      <c r="QGR22" s="4" t="n"/>
      <c r="QGS22" s="1" t="n"/>
      <c r="QGT22" s="1" t="n"/>
      <c r="QGU22" s="3" t="n"/>
      <c r="QGV22" s="4" t="n"/>
      <c r="QGW22" s="1" t="n"/>
      <c r="QGX22" s="1" t="n"/>
      <c r="QGY22" s="3" t="n"/>
      <c r="QGZ22" s="4" t="n"/>
      <c r="QHA22" s="1" t="n"/>
      <c r="QHB22" s="1" t="n"/>
      <c r="QHC22" s="3" t="n"/>
      <c r="QHD22" s="4" t="n"/>
      <c r="QHE22" s="1" t="n"/>
      <c r="QHF22" s="1" t="n"/>
      <c r="QHG22" s="3" t="n"/>
      <c r="QHH22" s="4" t="n"/>
      <c r="QHI22" s="1" t="n"/>
      <c r="QHJ22" s="1" t="n"/>
      <c r="QHK22" s="3" t="n"/>
      <c r="QHL22" s="4" t="n"/>
      <c r="QHM22" s="1" t="n"/>
      <c r="QHN22" s="1" t="n"/>
      <c r="QHO22" s="3" t="n"/>
      <c r="QHP22" s="4" t="n"/>
      <c r="QHQ22" s="1" t="n"/>
      <c r="QHR22" s="1" t="n"/>
      <c r="QHS22" s="3" t="n"/>
      <c r="QHT22" s="4" t="n"/>
      <c r="QHU22" s="1" t="n"/>
      <c r="QHV22" s="1" t="n"/>
      <c r="QHW22" s="3" t="n"/>
      <c r="QHX22" s="4" t="n"/>
      <c r="QHY22" s="1" t="n"/>
      <c r="QHZ22" s="1" t="n"/>
      <c r="QIA22" s="3" t="n"/>
      <c r="QIB22" s="4" t="n"/>
      <c r="QIC22" s="1" t="n"/>
      <c r="QID22" s="1" t="n"/>
      <c r="QIE22" s="3" t="n"/>
      <c r="QIF22" s="4" t="n"/>
      <c r="QIG22" s="1" t="n"/>
      <c r="QIH22" s="1" t="n"/>
      <c r="QII22" s="3" t="n"/>
      <c r="QIJ22" s="4" t="n"/>
      <c r="QIK22" s="1" t="n"/>
      <c r="QIL22" s="1" t="n"/>
      <c r="QIM22" s="3" t="n"/>
      <c r="QIN22" s="4" t="n"/>
      <c r="QIO22" s="1" t="n"/>
      <c r="QIP22" s="1" t="n"/>
      <c r="QIQ22" s="3" t="n"/>
      <c r="QIR22" s="4" t="n"/>
      <c r="QIS22" s="1" t="n"/>
      <c r="QIT22" s="1" t="n"/>
      <c r="QIU22" s="3" t="n"/>
      <c r="QIV22" s="4" t="n"/>
      <c r="QIW22" s="1" t="n"/>
      <c r="QIX22" s="1" t="n"/>
      <c r="QIY22" s="3" t="n"/>
      <c r="QIZ22" s="4" t="n"/>
      <c r="QJA22" s="1" t="n"/>
      <c r="QJB22" s="1" t="n"/>
      <c r="QJC22" s="3" t="n"/>
      <c r="QJD22" s="4" t="n"/>
      <c r="QJE22" s="1" t="n"/>
      <c r="QJF22" s="1" t="n"/>
      <c r="QJG22" s="3" t="n"/>
      <c r="QJH22" s="4" t="n"/>
      <c r="QJI22" s="1" t="n"/>
      <c r="QJJ22" s="1" t="n"/>
      <c r="QJK22" s="3" t="n"/>
      <c r="QJL22" s="4" t="n"/>
      <c r="QJM22" s="1" t="n"/>
      <c r="QJN22" s="1" t="n"/>
      <c r="QJO22" s="3" t="n"/>
      <c r="QJP22" s="4" t="n"/>
      <c r="QJQ22" s="1" t="n"/>
      <c r="QJR22" s="1" t="n"/>
      <c r="QJS22" s="3" t="n"/>
      <c r="QJT22" s="4" t="n"/>
      <c r="QJU22" s="1" t="n"/>
      <c r="QJV22" s="1" t="n"/>
      <c r="QJW22" s="3" t="n"/>
      <c r="QJX22" s="4" t="n"/>
      <c r="QJY22" s="1" t="n"/>
      <c r="QJZ22" s="1" t="n"/>
      <c r="QKA22" s="3" t="n"/>
      <c r="QKB22" s="4" t="n"/>
      <c r="QKC22" s="1" t="n"/>
      <c r="QKD22" s="1" t="n"/>
      <c r="QKE22" s="3" t="n"/>
      <c r="QKF22" s="4" t="n"/>
      <c r="QKG22" s="1" t="n"/>
      <c r="QKH22" s="1" t="n"/>
      <c r="QKI22" s="3" t="n"/>
      <c r="QKJ22" s="4" t="n"/>
      <c r="QKK22" s="1" t="n"/>
      <c r="QKL22" s="1" t="n"/>
      <c r="QKM22" s="3" t="n"/>
      <c r="QKN22" s="4" t="n"/>
      <c r="QKO22" s="1" t="n"/>
      <c r="QKP22" s="1" t="n"/>
      <c r="QKQ22" s="3" t="n"/>
      <c r="QKR22" s="4" t="n"/>
      <c r="QKS22" s="1" t="n"/>
      <c r="QKT22" s="1" t="n"/>
      <c r="QKU22" s="3" t="n"/>
      <c r="QKV22" s="4" t="n"/>
      <c r="QKW22" s="1" t="n"/>
      <c r="QKX22" s="1" t="n"/>
      <c r="QKY22" s="3" t="n"/>
      <c r="QKZ22" s="4" t="n"/>
      <c r="QLA22" s="1" t="n"/>
      <c r="QLB22" s="1" t="n"/>
      <c r="QLC22" s="3" t="n"/>
      <c r="QLD22" s="4" t="n"/>
      <c r="QLE22" s="1" t="n"/>
      <c r="QLF22" s="1" t="n"/>
      <c r="QLG22" s="3" t="n"/>
      <c r="QLH22" s="4" t="n"/>
      <c r="QLI22" s="1" t="n"/>
      <c r="QLJ22" s="1" t="n"/>
      <c r="QLK22" s="3" t="n"/>
      <c r="QLL22" s="4" t="n"/>
      <c r="QLM22" s="1" t="n"/>
      <c r="QLN22" s="1" t="n"/>
      <c r="QLO22" s="3" t="n"/>
      <c r="QLP22" s="4" t="n"/>
      <c r="QLQ22" s="1" t="n"/>
      <c r="QLR22" s="1" t="n"/>
      <c r="QLS22" s="3" t="n"/>
      <c r="QLT22" s="4" t="n"/>
      <c r="QLU22" s="1" t="n"/>
      <c r="QLV22" s="1" t="n"/>
      <c r="QLW22" s="3" t="n"/>
      <c r="QLX22" s="4" t="n"/>
      <c r="QLY22" s="1" t="n"/>
      <c r="QLZ22" s="1" t="n"/>
      <c r="QMA22" s="3" t="n"/>
      <c r="QMB22" s="4" t="n"/>
      <c r="QMC22" s="1" t="n"/>
      <c r="QMD22" s="1" t="n"/>
      <c r="QME22" s="3" t="n"/>
      <c r="QMF22" s="4" t="n"/>
      <c r="QMG22" s="1" t="n"/>
      <c r="QMH22" s="1" t="n"/>
      <c r="QMI22" s="3" t="n"/>
      <c r="QMJ22" s="4" t="n"/>
      <c r="QMK22" s="1" t="n"/>
      <c r="QML22" s="1" t="n"/>
      <c r="QMM22" s="3" t="n"/>
      <c r="QMN22" s="4" t="n"/>
      <c r="QMO22" s="1" t="n"/>
      <c r="QMP22" s="1" t="n"/>
      <c r="QMQ22" s="3" t="n"/>
      <c r="QMR22" s="4" t="n"/>
      <c r="QMS22" s="1" t="n"/>
      <c r="QMT22" s="1" t="n"/>
      <c r="QMU22" s="3" t="n"/>
      <c r="QMV22" s="4" t="n"/>
      <c r="QMW22" s="1" t="n"/>
      <c r="QMX22" s="1" t="n"/>
      <c r="QMY22" s="3" t="n"/>
      <c r="QMZ22" s="4" t="n"/>
      <c r="QNA22" s="1" t="n"/>
      <c r="QNB22" s="1" t="n"/>
      <c r="QNC22" s="3" t="n"/>
      <c r="QND22" s="4" t="n"/>
      <c r="QNE22" s="1" t="n"/>
      <c r="QNF22" s="1" t="n"/>
      <c r="QNG22" s="3" t="n"/>
      <c r="QNH22" s="4" t="n"/>
      <c r="QNI22" s="1" t="n"/>
      <c r="QNJ22" s="1" t="n"/>
      <c r="QNK22" s="3" t="n"/>
      <c r="QNL22" s="4" t="n"/>
      <c r="QNM22" s="1" t="n"/>
      <c r="QNN22" s="1" t="n"/>
      <c r="QNO22" s="3" t="n"/>
      <c r="QNP22" s="4" t="n"/>
      <c r="QNQ22" s="1" t="n"/>
      <c r="QNR22" s="1" t="n"/>
      <c r="QNS22" s="3" t="n"/>
      <c r="QNT22" s="4" t="n"/>
      <c r="QNU22" s="1" t="n"/>
      <c r="QNV22" s="1" t="n"/>
      <c r="QNW22" s="3" t="n"/>
      <c r="QNX22" s="4" t="n"/>
      <c r="QNY22" s="1" t="n"/>
      <c r="QNZ22" s="1" t="n"/>
      <c r="QOA22" s="3" t="n"/>
      <c r="QOB22" s="4" t="n"/>
      <c r="QOC22" s="1" t="n"/>
      <c r="QOD22" s="1" t="n"/>
      <c r="QOE22" s="3" t="n"/>
      <c r="QOF22" s="4" t="n"/>
      <c r="QOG22" s="1" t="n"/>
      <c r="QOH22" s="1" t="n"/>
      <c r="QOI22" s="3" t="n"/>
      <c r="QOJ22" s="4" t="n"/>
      <c r="QOK22" s="1" t="n"/>
      <c r="QOL22" s="1" t="n"/>
      <c r="QOM22" s="3" t="n"/>
      <c r="QON22" s="4" t="n"/>
      <c r="QOO22" s="1" t="n"/>
      <c r="QOP22" s="1" t="n"/>
      <c r="QOQ22" s="3" t="n"/>
      <c r="QOR22" s="4" t="n"/>
      <c r="QOS22" s="1" t="n"/>
      <c r="QOT22" s="1" t="n"/>
      <c r="QOU22" s="3" t="n"/>
      <c r="QOV22" s="4" t="n"/>
      <c r="QOW22" s="1" t="n"/>
      <c r="QOX22" s="1" t="n"/>
      <c r="QOY22" s="3" t="n"/>
      <c r="QOZ22" s="4" t="n"/>
      <c r="QPA22" s="1" t="n"/>
      <c r="QPB22" s="1" t="n"/>
      <c r="QPC22" s="3" t="n"/>
      <c r="QPD22" s="4" t="n"/>
      <c r="QPE22" s="1" t="n"/>
      <c r="QPF22" s="1" t="n"/>
      <c r="QPG22" s="3" t="n"/>
      <c r="QPH22" s="4" t="n"/>
      <c r="QPI22" s="1" t="n"/>
      <c r="QPJ22" s="1" t="n"/>
      <c r="QPK22" s="3" t="n"/>
      <c r="QPL22" s="4" t="n"/>
      <c r="QPM22" s="1" t="n"/>
      <c r="QPN22" s="1" t="n"/>
      <c r="QPO22" s="3" t="n"/>
      <c r="QPP22" s="4" t="n"/>
      <c r="QPQ22" s="1" t="n"/>
      <c r="QPR22" s="1" t="n"/>
      <c r="QPS22" s="3" t="n"/>
      <c r="QPT22" s="4" t="n"/>
      <c r="QPU22" s="1" t="n"/>
      <c r="QPV22" s="1" t="n"/>
      <c r="QPW22" s="3" t="n"/>
      <c r="QPX22" s="4" t="n"/>
      <c r="QPY22" s="1" t="n"/>
      <c r="QPZ22" s="1" t="n"/>
      <c r="QQA22" s="3" t="n"/>
      <c r="QQB22" s="4" t="n"/>
      <c r="QQC22" s="1" t="n"/>
      <c r="QQD22" s="1" t="n"/>
      <c r="QQE22" s="3" t="n"/>
      <c r="QQF22" s="4" t="n"/>
      <c r="QQG22" s="1" t="n"/>
      <c r="QQH22" s="1" t="n"/>
      <c r="QQI22" s="3" t="n"/>
      <c r="QQJ22" s="4" t="n"/>
      <c r="QQK22" s="1" t="n"/>
      <c r="QQL22" s="1" t="n"/>
      <c r="QQM22" s="3" t="n"/>
      <c r="QQN22" s="4" t="n"/>
      <c r="QQO22" s="1" t="n"/>
      <c r="QQP22" s="1" t="n"/>
      <c r="QQQ22" s="3" t="n"/>
      <c r="QQR22" s="4" t="n"/>
      <c r="QQS22" s="1" t="n"/>
      <c r="QQT22" s="1" t="n"/>
      <c r="QQU22" s="3" t="n"/>
      <c r="QQV22" s="4" t="n"/>
      <c r="QQW22" s="1" t="n"/>
      <c r="QQX22" s="1" t="n"/>
      <c r="QQY22" s="3" t="n"/>
      <c r="QQZ22" s="4" t="n"/>
      <c r="QRA22" s="1" t="n"/>
      <c r="QRB22" s="1" t="n"/>
      <c r="QRC22" s="3" t="n"/>
      <c r="QRD22" s="4" t="n"/>
      <c r="QRE22" s="1" t="n"/>
      <c r="QRF22" s="1" t="n"/>
      <c r="QRG22" s="3" t="n"/>
      <c r="QRH22" s="4" t="n"/>
      <c r="QRI22" s="1" t="n"/>
      <c r="QRJ22" s="1" t="n"/>
      <c r="QRK22" s="3" t="n"/>
      <c r="QRL22" s="4" t="n"/>
      <c r="QRM22" s="1" t="n"/>
      <c r="QRN22" s="1" t="n"/>
      <c r="QRO22" s="3" t="n"/>
      <c r="QRP22" s="4" t="n"/>
      <c r="QRQ22" s="1" t="n"/>
      <c r="QRR22" s="1" t="n"/>
      <c r="QRS22" s="3" t="n"/>
      <c r="QRT22" s="4" t="n"/>
      <c r="QRU22" s="1" t="n"/>
      <c r="QRV22" s="1" t="n"/>
      <c r="QRW22" s="3" t="n"/>
      <c r="QRX22" s="4" t="n"/>
      <c r="QRY22" s="1" t="n"/>
      <c r="QRZ22" s="1" t="n"/>
      <c r="QSA22" s="3" t="n"/>
      <c r="QSB22" s="4" t="n"/>
      <c r="QSC22" s="1" t="n"/>
      <c r="QSD22" s="1" t="n"/>
      <c r="QSE22" s="3" t="n"/>
      <c r="QSF22" s="4" t="n"/>
      <c r="QSG22" s="1" t="n"/>
      <c r="QSH22" s="1" t="n"/>
      <c r="QSI22" s="3" t="n"/>
      <c r="QSJ22" s="4" t="n"/>
      <c r="QSK22" s="1" t="n"/>
      <c r="QSL22" s="1" t="n"/>
      <c r="QSM22" s="3" t="n"/>
      <c r="QSN22" s="4" t="n"/>
      <c r="QSO22" s="1" t="n"/>
      <c r="QSP22" s="1" t="n"/>
      <c r="QSQ22" s="3" t="n"/>
      <c r="QSR22" s="4" t="n"/>
      <c r="QSS22" s="1" t="n"/>
      <c r="QST22" s="1" t="n"/>
      <c r="QSU22" s="3" t="n"/>
      <c r="QSV22" s="4" t="n"/>
      <c r="QSW22" s="1" t="n"/>
      <c r="QSX22" s="1" t="n"/>
      <c r="QSY22" s="3" t="n"/>
      <c r="QSZ22" s="4" t="n"/>
      <c r="QTA22" s="1" t="n"/>
      <c r="QTB22" s="1" t="n"/>
      <c r="QTC22" s="3" t="n"/>
      <c r="QTD22" s="4" t="n"/>
      <c r="QTE22" s="1" t="n"/>
      <c r="QTF22" s="1" t="n"/>
      <c r="QTG22" s="3" t="n"/>
      <c r="QTH22" s="4" t="n"/>
      <c r="QTI22" s="1" t="n"/>
      <c r="QTJ22" s="1" t="n"/>
      <c r="QTK22" s="3" t="n"/>
      <c r="QTL22" s="4" t="n"/>
      <c r="QTM22" s="1" t="n"/>
      <c r="QTN22" s="1" t="n"/>
      <c r="QTO22" s="3" t="n"/>
      <c r="QTP22" s="4" t="n"/>
      <c r="QTQ22" s="1" t="n"/>
      <c r="QTR22" s="1" t="n"/>
      <c r="QTS22" s="3" t="n"/>
      <c r="QTT22" s="4" t="n"/>
      <c r="QTU22" s="1" t="n"/>
      <c r="QTV22" s="1" t="n"/>
      <c r="QTW22" s="3" t="n"/>
      <c r="QTX22" s="4" t="n"/>
      <c r="QTY22" s="1" t="n"/>
      <c r="QTZ22" s="1" t="n"/>
      <c r="QUA22" s="3" t="n"/>
      <c r="QUB22" s="4" t="n"/>
      <c r="QUC22" s="1" t="n"/>
      <c r="QUD22" s="1" t="n"/>
      <c r="QUE22" s="3" t="n"/>
      <c r="QUF22" s="4" t="n"/>
      <c r="QUG22" s="1" t="n"/>
      <c r="QUH22" s="1" t="n"/>
      <c r="QUI22" s="3" t="n"/>
      <c r="QUJ22" s="4" t="n"/>
      <c r="QUK22" s="1" t="n"/>
      <c r="QUL22" s="1" t="n"/>
      <c r="QUM22" s="3" t="n"/>
      <c r="QUN22" s="4" t="n"/>
      <c r="QUO22" s="1" t="n"/>
      <c r="QUP22" s="1" t="n"/>
      <c r="QUQ22" s="3" t="n"/>
      <c r="QUR22" s="4" t="n"/>
      <c r="QUS22" s="1" t="n"/>
      <c r="QUT22" s="1" t="n"/>
      <c r="QUU22" s="3" t="n"/>
      <c r="QUV22" s="4" t="n"/>
      <c r="QUW22" s="1" t="n"/>
      <c r="QUX22" s="1" t="n"/>
      <c r="QUY22" s="3" t="n"/>
      <c r="QUZ22" s="4" t="n"/>
      <c r="QVA22" s="1" t="n"/>
      <c r="QVB22" s="1" t="n"/>
      <c r="QVC22" s="3" t="n"/>
      <c r="QVD22" s="4" t="n"/>
      <c r="QVE22" s="1" t="n"/>
      <c r="QVF22" s="1" t="n"/>
      <c r="QVG22" s="3" t="n"/>
      <c r="QVH22" s="4" t="n"/>
      <c r="QVI22" s="1" t="n"/>
      <c r="QVJ22" s="1" t="n"/>
      <c r="QVK22" s="3" t="n"/>
      <c r="QVL22" s="4" t="n"/>
      <c r="QVM22" s="1" t="n"/>
      <c r="QVN22" s="1" t="n"/>
      <c r="QVO22" s="3" t="n"/>
      <c r="QVP22" s="4" t="n"/>
      <c r="QVQ22" s="1" t="n"/>
      <c r="QVR22" s="1" t="n"/>
      <c r="QVS22" s="3" t="n"/>
      <c r="QVT22" s="4" t="n"/>
      <c r="QVU22" s="1" t="n"/>
      <c r="QVV22" s="1" t="n"/>
      <c r="QVW22" s="3" t="n"/>
      <c r="QVX22" s="4" t="n"/>
      <c r="QVY22" s="1" t="n"/>
      <c r="QVZ22" s="1" t="n"/>
      <c r="QWA22" s="3" t="n"/>
      <c r="QWB22" s="4" t="n"/>
      <c r="QWC22" s="1" t="n"/>
      <c r="QWD22" s="1" t="n"/>
      <c r="QWE22" s="3" t="n"/>
      <c r="QWF22" s="4" t="n"/>
      <c r="QWG22" s="1" t="n"/>
      <c r="QWH22" s="1" t="n"/>
      <c r="QWI22" s="3" t="n"/>
      <c r="QWJ22" s="4" t="n"/>
      <c r="QWK22" s="1" t="n"/>
      <c r="QWL22" s="1" t="n"/>
      <c r="QWM22" s="3" t="n"/>
      <c r="QWN22" s="4" t="n"/>
      <c r="QWO22" s="1" t="n"/>
      <c r="QWP22" s="1" t="n"/>
      <c r="QWQ22" s="3" t="n"/>
      <c r="QWR22" s="4" t="n"/>
      <c r="QWS22" s="1" t="n"/>
      <c r="QWT22" s="1" t="n"/>
      <c r="QWU22" s="3" t="n"/>
      <c r="QWV22" s="4" t="n"/>
      <c r="QWW22" s="1" t="n"/>
      <c r="QWX22" s="1" t="n"/>
      <c r="QWY22" s="3" t="n"/>
      <c r="QWZ22" s="4" t="n"/>
      <c r="QXA22" s="1" t="n"/>
      <c r="QXB22" s="1" t="n"/>
      <c r="QXC22" s="3" t="n"/>
      <c r="QXD22" s="4" t="n"/>
      <c r="QXE22" s="1" t="n"/>
      <c r="QXF22" s="1" t="n"/>
      <c r="QXG22" s="3" t="n"/>
      <c r="QXH22" s="4" t="n"/>
      <c r="QXI22" s="1" t="n"/>
      <c r="QXJ22" s="1" t="n"/>
      <c r="QXK22" s="3" t="n"/>
      <c r="QXL22" s="4" t="n"/>
      <c r="QXM22" s="1" t="n"/>
      <c r="QXN22" s="1" t="n"/>
      <c r="QXO22" s="3" t="n"/>
      <c r="QXP22" s="4" t="n"/>
      <c r="QXQ22" s="1" t="n"/>
      <c r="QXR22" s="1" t="n"/>
      <c r="QXS22" s="3" t="n"/>
      <c r="QXT22" s="4" t="n"/>
      <c r="QXU22" s="1" t="n"/>
      <c r="QXV22" s="1" t="n"/>
      <c r="QXW22" s="3" t="n"/>
      <c r="QXX22" s="4" t="n"/>
      <c r="QXY22" s="1" t="n"/>
      <c r="QXZ22" s="1" t="n"/>
      <c r="QYA22" s="3" t="n"/>
      <c r="QYB22" s="4" t="n"/>
      <c r="QYC22" s="1" t="n"/>
      <c r="QYD22" s="1" t="n"/>
      <c r="QYE22" s="3" t="n"/>
      <c r="QYF22" s="4" t="n"/>
      <c r="QYG22" s="1" t="n"/>
      <c r="QYH22" s="1" t="n"/>
      <c r="QYI22" s="3" t="n"/>
      <c r="QYJ22" s="4" t="n"/>
      <c r="QYK22" s="1" t="n"/>
      <c r="QYL22" s="1" t="n"/>
      <c r="QYM22" s="3" t="n"/>
      <c r="QYN22" s="4" t="n"/>
      <c r="QYO22" s="1" t="n"/>
      <c r="QYP22" s="1" t="n"/>
      <c r="QYQ22" s="3" t="n"/>
      <c r="QYR22" s="4" t="n"/>
      <c r="QYS22" s="1" t="n"/>
      <c r="QYT22" s="1" t="n"/>
      <c r="QYU22" s="3" t="n"/>
      <c r="QYV22" s="4" t="n"/>
      <c r="QYW22" s="1" t="n"/>
      <c r="QYX22" s="1" t="n"/>
      <c r="QYY22" s="3" t="n"/>
      <c r="QYZ22" s="4" t="n"/>
      <c r="QZA22" s="1" t="n"/>
      <c r="QZB22" s="1" t="n"/>
      <c r="QZC22" s="3" t="n"/>
      <c r="QZD22" s="4" t="n"/>
      <c r="QZE22" s="1" t="n"/>
      <c r="QZF22" s="1" t="n"/>
      <c r="QZG22" s="3" t="n"/>
      <c r="QZH22" s="4" t="n"/>
      <c r="QZI22" s="1" t="n"/>
      <c r="QZJ22" s="1" t="n"/>
      <c r="QZK22" s="3" t="n"/>
      <c r="QZL22" s="4" t="n"/>
      <c r="QZM22" s="1" t="n"/>
      <c r="QZN22" s="1" t="n"/>
      <c r="QZO22" s="3" t="n"/>
      <c r="QZP22" s="4" t="n"/>
      <c r="QZQ22" s="1" t="n"/>
      <c r="QZR22" s="1" t="n"/>
      <c r="QZS22" s="3" t="n"/>
      <c r="QZT22" s="4" t="n"/>
      <c r="QZU22" s="1" t="n"/>
      <c r="QZV22" s="1" t="n"/>
      <c r="QZW22" s="3" t="n"/>
      <c r="QZX22" s="4" t="n"/>
      <c r="QZY22" s="1" t="n"/>
      <c r="QZZ22" s="1" t="n"/>
      <c r="RAA22" s="3" t="n"/>
      <c r="RAB22" s="4" t="n"/>
      <c r="RAC22" s="1" t="n"/>
      <c r="RAD22" s="1" t="n"/>
      <c r="RAE22" s="3" t="n"/>
      <c r="RAF22" s="4" t="n"/>
      <c r="RAG22" s="1" t="n"/>
      <c r="RAH22" s="1" t="n"/>
      <c r="RAI22" s="3" t="n"/>
      <c r="RAJ22" s="4" t="n"/>
      <c r="RAK22" s="1" t="n"/>
      <c r="RAL22" s="1" t="n"/>
      <c r="RAM22" s="3" t="n"/>
      <c r="RAN22" s="4" t="n"/>
      <c r="RAO22" s="1" t="n"/>
      <c r="RAP22" s="1" t="n"/>
      <c r="RAQ22" s="3" t="n"/>
      <c r="RAR22" s="4" t="n"/>
      <c r="RAS22" s="1" t="n"/>
      <c r="RAT22" s="1" t="n"/>
      <c r="RAU22" s="3" t="n"/>
      <c r="RAV22" s="4" t="n"/>
      <c r="RAW22" s="1" t="n"/>
      <c r="RAX22" s="1" t="n"/>
      <c r="RAY22" s="3" t="n"/>
      <c r="RAZ22" s="4" t="n"/>
      <c r="RBA22" s="1" t="n"/>
      <c r="RBB22" s="1" t="n"/>
      <c r="RBC22" s="3" t="n"/>
      <c r="RBD22" s="4" t="n"/>
      <c r="RBE22" s="1" t="n"/>
      <c r="RBF22" s="1" t="n"/>
      <c r="RBG22" s="3" t="n"/>
      <c r="RBH22" s="4" t="n"/>
      <c r="RBI22" s="1" t="n"/>
      <c r="RBJ22" s="1" t="n"/>
      <c r="RBK22" s="3" t="n"/>
      <c r="RBL22" s="4" t="n"/>
      <c r="RBM22" s="1" t="n"/>
      <c r="RBN22" s="1" t="n"/>
      <c r="RBO22" s="3" t="n"/>
      <c r="RBP22" s="4" t="n"/>
      <c r="RBQ22" s="1" t="n"/>
      <c r="RBR22" s="1" t="n"/>
      <c r="RBS22" s="3" t="n"/>
      <c r="RBT22" s="4" t="n"/>
      <c r="RBU22" s="1" t="n"/>
      <c r="RBV22" s="1" t="n"/>
      <c r="RBW22" s="3" t="n"/>
      <c r="RBX22" s="4" t="n"/>
      <c r="RBY22" s="1" t="n"/>
      <c r="RBZ22" s="1" t="n"/>
      <c r="RCA22" s="3" t="n"/>
      <c r="RCB22" s="4" t="n"/>
      <c r="RCC22" s="1" t="n"/>
      <c r="RCD22" s="1" t="n"/>
      <c r="RCE22" s="3" t="n"/>
      <c r="RCF22" s="4" t="n"/>
      <c r="RCG22" s="1" t="n"/>
      <c r="RCH22" s="1" t="n"/>
      <c r="RCI22" s="3" t="n"/>
      <c r="RCJ22" s="4" t="n"/>
      <c r="RCK22" s="1" t="n"/>
      <c r="RCL22" s="1" t="n"/>
      <c r="RCM22" s="3" t="n"/>
      <c r="RCN22" s="4" t="n"/>
      <c r="RCO22" s="1" t="n"/>
      <c r="RCP22" s="1" t="n"/>
      <c r="RCQ22" s="3" t="n"/>
      <c r="RCR22" s="4" t="n"/>
      <c r="RCS22" s="1" t="n"/>
      <c r="RCT22" s="1" t="n"/>
      <c r="RCU22" s="3" t="n"/>
      <c r="RCV22" s="4" t="n"/>
      <c r="RCW22" s="1" t="n"/>
      <c r="RCX22" s="1" t="n"/>
      <c r="RCY22" s="3" t="n"/>
      <c r="RCZ22" s="4" t="n"/>
      <c r="RDA22" s="1" t="n"/>
      <c r="RDB22" s="1" t="n"/>
      <c r="RDC22" s="3" t="n"/>
      <c r="RDD22" s="4" t="n"/>
      <c r="RDE22" s="1" t="n"/>
      <c r="RDF22" s="1" t="n"/>
      <c r="RDG22" s="3" t="n"/>
      <c r="RDH22" s="4" t="n"/>
      <c r="RDI22" s="1" t="n"/>
      <c r="RDJ22" s="1" t="n"/>
      <c r="RDK22" s="3" t="n"/>
      <c r="RDL22" s="4" t="n"/>
      <c r="RDM22" s="1" t="n"/>
      <c r="RDN22" s="1" t="n"/>
      <c r="RDO22" s="3" t="n"/>
      <c r="RDP22" s="4" t="n"/>
      <c r="RDQ22" s="1" t="n"/>
      <c r="RDR22" s="1" t="n"/>
      <c r="RDS22" s="3" t="n"/>
      <c r="RDT22" s="4" t="n"/>
      <c r="RDU22" s="1" t="n"/>
      <c r="RDV22" s="1" t="n"/>
      <c r="RDW22" s="3" t="n"/>
      <c r="RDX22" s="4" t="n"/>
      <c r="RDY22" s="1" t="n"/>
      <c r="RDZ22" s="1" t="n"/>
      <c r="REA22" s="3" t="n"/>
      <c r="REB22" s="4" t="n"/>
      <c r="REC22" s="1" t="n"/>
      <c r="RED22" s="1" t="n"/>
      <c r="REE22" s="3" t="n"/>
      <c r="REF22" s="4" t="n"/>
      <c r="REG22" s="1" t="n"/>
      <c r="REH22" s="1" t="n"/>
      <c r="REI22" s="3" t="n"/>
      <c r="REJ22" s="4" t="n"/>
      <c r="REK22" s="1" t="n"/>
      <c r="REL22" s="1" t="n"/>
      <c r="REM22" s="3" t="n"/>
      <c r="REN22" s="4" t="n"/>
      <c r="REO22" s="1" t="n"/>
      <c r="REP22" s="1" t="n"/>
      <c r="REQ22" s="3" t="n"/>
      <c r="RER22" s="4" t="n"/>
      <c r="RES22" s="1" t="n"/>
      <c r="RET22" s="1" t="n"/>
      <c r="REU22" s="3" t="n"/>
      <c r="REV22" s="4" t="n"/>
      <c r="REW22" s="1" t="n"/>
      <c r="REX22" s="1" t="n"/>
      <c r="REY22" s="3" t="n"/>
      <c r="REZ22" s="4" t="n"/>
      <c r="RFA22" s="1" t="n"/>
      <c r="RFB22" s="1" t="n"/>
      <c r="RFC22" s="3" t="n"/>
      <c r="RFD22" s="4" t="n"/>
      <c r="RFE22" s="1" t="n"/>
      <c r="RFF22" s="1" t="n"/>
      <c r="RFG22" s="3" t="n"/>
      <c r="RFH22" s="4" t="n"/>
      <c r="RFI22" s="1" t="n"/>
      <c r="RFJ22" s="1" t="n"/>
      <c r="RFK22" s="3" t="n"/>
      <c r="RFL22" s="4" t="n"/>
      <c r="RFM22" s="1" t="n"/>
      <c r="RFN22" s="1" t="n"/>
      <c r="RFO22" s="3" t="n"/>
      <c r="RFP22" s="4" t="n"/>
      <c r="RFQ22" s="1" t="n"/>
      <c r="RFR22" s="1" t="n"/>
      <c r="RFS22" s="3" t="n"/>
      <c r="RFT22" s="4" t="n"/>
      <c r="RFU22" s="1" t="n"/>
      <c r="RFV22" s="1" t="n"/>
      <c r="RFW22" s="3" t="n"/>
      <c r="RFX22" s="4" t="n"/>
      <c r="RFY22" s="1" t="n"/>
      <c r="RFZ22" s="1" t="n"/>
      <c r="RGA22" s="3" t="n"/>
      <c r="RGB22" s="4" t="n"/>
      <c r="RGC22" s="1" t="n"/>
      <c r="RGD22" s="1" t="n"/>
      <c r="RGE22" s="3" t="n"/>
      <c r="RGF22" s="4" t="n"/>
      <c r="RGG22" s="1" t="n"/>
      <c r="RGH22" s="1" t="n"/>
      <c r="RGI22" s="3" t="n"/>
      <c r="RGJ22" s="4" t="n"/>
      <c r="RGK22" s="1" t="n"/>
      <c r="RGL22" s="1" t="n"/>
      <c r="RGM22" s="3" t="n"/>
      <c r="RGN22" s="4" t="n"/>
      <c r="RGO22" s="1" t="n"/>
      <c r="RGP22" s="1" t="n"/>
      <c r="RGQ22" s="3" t="n"/>
      <c r="RGR22" s="4" t="n"/>
      <c r="RGS22" s="1" t="n"/>
      <c r="RGT22" s="1" t="n"/>
      <c r="RGU22" s="3" t="n"/>
      <c r="RGV22" s="4" t="n"/>
      <c r="RGW22" s="1" t="n"/>
      <c r="RGX22" s="1" t="n"/>
      <c r="RGY22" s="3" t="n"/>
      <c r="RGZ22" s="4" t="n"/>
      <c r="RHA22" s="1" t="n"/>
      <c r="RHB22" s="1" t="n"/>
      <c r="RHC22" s="3" t="n"/>
      <c r="RHD22" s="4" t="n"/>
      <c r="RHE22" s="1" t="n"/>
      <c r="RHF22" s="1" t="n"/>
      <c r="RHG22" s="3" t="n"/>
      <c r="RHH22" s="4" t="n"/>
      <c r="RHI22" s="1" t="n"/>
      <c r="RHJ22" s="1" t="n"/>
      <c r="RHK22" s="3" t="n"/>
      <c r="RHL22" s="4" t="n"/>
      <c r="RHM22" s="1" t="n"/>
      <c r="RHN22" s="1" t="n"/>
      <c r="RHO22" s="3" t="n"/>
      <c r="RHP22" s="4" t="n"/>
      <c r="RHQ22" s="1" t="n"/>
      <c r="RHR22" s="1" t="n"/>
      <c r="RHS22" s="3" t="n"/>
      <c r="RHT22" s="4" t="n"/>
      <c r="RHU22" s="1" t="n"/>
      <c r="RHV22" s="1" t="n"/>
      <c r="RHW22" s="3" t="n"/>
      <c r="RHX22" s="4" t="n"/>
      <c r="RHY22" s="1" t="n"/>
      <c r="RHZ22" s="1" t="n"/>
      <c r="RIA22" s="3" t="n"/>
      <c r="RIB22" s="4" t="n"/>
      <c r="RIC22" s="1" t="n"/>
      <c r="RID22" s="1" t="n"/>
      <c r="RIE22" s="3" t="n"/>
      <c r="RIF22" s="4" t="n"/>
      <c r="RIG22" s="1" t="n"/>
      <c r="RIH22" s="1" t="n"/>
      <c r="RII22" s="3" t="n"/>
      <c r="RIJ22" s="4" t="n"/>
      <c r="RIK22" s="1" t="n"/>
      <c r="RIL22" s="1" t="n"/>
      <c r="RIM22" s="3" t="n"/>
      <c r="RIN22" s="4" t="n"/>
      <c r="RIO22" s="1" t="n"/>
      <c r="RIP22" s="1" t="n"/>
      <c r="RIQ22" s="3" t="n"/>
      <c r="RIR22" s="4" t="n"/>
      <c r="RIS22" s="1" t="n"/>
      <c r="RIT22" s="1" t="n"/>
      <c r="RIU22" s="3" t="n"/>
      <c r="RIV22" s="4" t="n"/>
      <c r="RIW22" s="1" t="n"/>
      <c r="RIX22" s="1" t="n"/>
      <c r="RIY22" s="3" t="n"/>
      <c r="RIZ22" s="4" t="n"/>
      <c r="RJA22" s="1" t="n"/>
      <c r="RJB22" s="1" t="n"/>
      <c r="RJC22" s="3" t="n"/>
      <c r="RJD22" s="4" t="n"/>
      <c r="RJE22" s="1" t="n"/>
      <c r="RJF22" s="1" t="n"/>
      <c r="RJG22" s="3" t="n"/>
      <c r="RJH22" s="4" t="n"/>
      <c r="RJI22" s="1" t="n"/>
      <c r="RJJ22" s="1" t="n"/>
      <c r="RJK22" s="3" t="n"/>
      <c r="RJL22" s="4" t="n"/>
      <c r="RJM22" s="1" t="n"/>
      <c r="RJN22" s="1" t="n"/>
      <c r="RJO22" s="3" t="n"/>
      <c r="RJP22" s="4" t="n"/>
      <c r="RJQ22" s="1" t="n"/>
      <c r="RJR22" s="1" t="n"/>
      <c r="RJS22" s="3" t="n"/>
      <c r="RJT22" s="4" t="n"/>
      <c r="RJU22" s="1" t="n"/>
      <c r="RJV22" s="1" t="n"/>
      <c r="RJW22" s="3" t="n"/>
      <c r="RJX22" s="4" t="n"/>
      <c r="RJY22" s="1" t="n"/>
      <c r="RJZ22" s="1" t="n"/>
      <c r="RKA22" s="3" t="n"/>
      <c r="RKB22" s="4" t="n"/>
      <c r="RKC22" s="1" t="n"/>
      <c r="RKD22" s="1" t="n"/>
      <c r="RKE22" s="3" t="n"/>
      <c r="RKF22" s="4" t="n"/>
      <c r="RKG22" s="1" t="n"/>
      <c r="RKH22" s="1" t="n"/>
      <c r="RKI22" s="3" t="n"/>
      <c r="RKJ22" s="4" t="n"/>
      <c r="RKK22" s="1" t="n"/>
      <c r="RKL22" s="1" t="n"/>
      <c r="RKM22" s="3" t="n"/>
      <c r="RKN22" s="4" t="n"/>
      <c r="RKO22" s="1" t="n"/>
      <c r="RKP22" s="1" t="n"/>
      <c r="RKQ22" s="3" t="n"/>
      <c r="RKR22" s="4" t="n"/>
      <c r="RKS22" s="1" t="n"/>
      <c r="RKT22" s="1" t="n"/>
      <c r="RKU22" s="3" t="n"/>
      <c r="RKV22" s="4" t="n"/>
      <c r="RKW22" s="1" t="n"/>
      <c r="RKX22" s="1" t="n"/>
      <c r="RKY22" s="3" t="n"/>
      <c r="RKZ22" s="4" t="n"/>
      <c r="RLA22" s="1" t="n"/>
      <c r="RLB22" s="1" t="n"/>
      <c r="RLC22" s="3" t="n"/>
      <c r="RLD22" s="4" t="n"/>
      <c r="RLE22" s="1" t="n"/>
      <c r="RLF22" s="1" t="n"/>
      <c r="RLG22" s="3" t="n"/>
      <c r="RLH22" s="4" t="n"/>
      <c r="RLI22" s="1" t="n"/>
      <c r="RLJ22" s="1" t="n"/>
      <c r="RLK22" s="3" t="n"/>
      <c r="RLL22" s="4" t="n"/>
      <c r="RLM22" s="1" t="n"/>
      <c r="RLN22" s="1" t="n"/>
      <c r="RLO22" s="3" t="n"/>
      <c r="RLP22" s="4" t="n"/>
      <c r="RLQ22" s="1" t="n"/>
      <c r="RLR22" s="1" t="n"/>
      <c r="RLS22" s="3" t="n"/>
      <c r="RLT22" s="4" t="n"/>
      <c r="RLU22" s="1" t="n"/>
      <c r="RLV22" s="1" t="n"/>
      <c r="RLW22" s="3" t="n"/>
      <c r="RLX22" s="4" t="n"/>
      <c r="RLY22" s="1" t="n"/>
      <c r="RLZ22" s="1" t="n"/>
      <c r="RMA22" s="3" t="n"/>
      <c r="RMB22" s="4" t="n"/>
      <c r="RMC22" s="1" t="n"/>
      <c r="RMD22" s="1" t="n"/>
      <c r="RME22" s="3" t="n"/>
      <c r="RMF22" s="4" t="n"/>
      <c r="RMG22" s="1" t="n"/>
      <c r="RMH22" s="1" t="n"/>
      <c r="RMI22" s="3" t="n"/>
      <c r="RMJ22" s="4" t="n"/>
      <c r="RMK22" s="1" t="n"/>
      <c r="RML22" s="1" t="n"/>
      <c r="RMM22" s="3" t="n"/>
      <c r="RMN22" s="4" t="n"/>
      <c r="RMO22" s="1" t="n"/>
      <c r="RMP22" s="1" t="n"/>
      <c r="RMQ22" s="3" t="n"/>
      <c r="RMR22" s="4" t="n"/>
      <c r="RMS22" s="1" t="n"/>
      <c r="RMT22" s="1" t="n"/>
      <c r="RMU22" s="3" t="n"/>
      <c r="RMV22" s="4" t="n"/>
      <c r="RMW22" s="1" t="n"/>
      <c r="RMX22" s="1" t="n"/>
      <c r="RMY22" s="3" t="n"/>
      <c r="RMZ22" s="4" t="n"/>
      <c r="RNA22" s="1" t="n"/>
      <c r="RNB22" s="1" t="n"/>
      <c r="RNC22" s="3" t="n"/>
      <c r="RND22" s="4" t="n"/>
      <c r="RNE22" s="1" t="n"/>
      <c r="RNF22" s="1" t="n"/>
      <c r="RNG22" s="3" t="n"/>
      <c r="RNH22" s="4" t="n"/>
      <c r="RNI22" s="1" t="n"/>
      <c r="RNJ22" s="1" t="n"/>
      <c r="RNK22" s="3" t="n"/>
      <c r="RNL22" s="4" t="n"/>
      <c r="RNM22" s="1" t="n"/>
      <c r="RNN22" s="1" t="n"/>
      <c r="RNO22" s="3" t="n"/>
      <c r="RNP22" s="4" t="n"/>
      <c r="RNQ22" s="1" t="n"/>
      <c r="RNR22" s="1" t="n"/>
      <c r="RNS22" s="3" t="n"/>
      <c r="RNT22" s="4" t="n"/>
      <c r="RNU22" s="1" t="n"/>
      <c r="RNV22" s="1" t="n"/>
      <c r="RNW22" s="3" t="n"/>
      <c r="RNX22" s="4" t="n"/>
      <c r="RNY22" s="1" t="n"/>
      <c r="RNZ22" s="1" t="n"/>
      <c r="ROA22" s="3" t="n"/>
      <c r="ROB22" s="4" t="n"/>
      <c r="ROC22" s="1" t="n"/>
      <c r="ROD22" s="1" t="n"/>
      <c r="ROE22" s="3" t="n"/>
      <c r="ROF22" s="4" t="n"/>
      <c r="ROG22" s="1" t="n"/>
      <c r="ROH22" s="1" t="n"/>
      <c r="ROI22" s="3" t="n"/>
      <c r="ROJ22" s="4" t="n"/>
      <c r="ROK22" s="1" t="n"/>
      <c r="ROL22" s="1" t="n"/>
      <c r="ROM22" s="3" t="n"/>
      <c r="RON22" s="4" t="n"/>
      <c r="ROO22" s="1" t="n"/>
      <c r="ROP22" s="1" t="n"/>
      <c r="ROQ22" s="3" t="n"/>
      <c r="ROR22" s="4" t="n"/>
      <c r="ROS22" s="1" t="n"/>
      <c r="ROT22" s="1" t="n"/>
      <c r="ROU22" s="3" t="n"/>
      <c r="ROV22" s="4" t="n"/>
      <c r="ROW22" s="1" t="n"/>
      <c r="ROX22" s="1" t="n"/>
      <c r="ROY22" s="3" t="n"/>
      <c r="ROZ22" s="4" t="n"/>
      <c r="RPA22" s="1" t="n"/>
      <c r="RPB22" s="1" t="n"/>
      <c r="RPC22" s="3" t="n"/>
      <c r="RPD22" s="4" t="n"/>
      <c r="RPE22" s="1" t="n"/>
      <c r="RPF22" s="1" t="n"/>
      <c r="RPG22" s="3" t="n"/>
      <c r="RPH22" s="4" t="n"/>
      <c r="RPI22" s="1" t="n"/>
      <c r="RPJ22" s="1" t="n"/>
      <c r="RPK22" s="3" t="n"/>
      <c r="RPL22" s="4" t="n"/>
      <c r="RPM22" s="1" t="n"/>
      <c r="RPN22" s="1" t="n"/>
      <c r="RPO22" s="3" t="n"/>
      <c r="RPP22" s="4" t="n"/>
      <c r="RPQ22" s="1" t="n"/>
      <c r="RPR22" s="1" t="n"/>
      <c r="RPS22" s="3" t="n"/>
      <c r="RPT22" s="4" t="n"/>
      <c r="RPU22" s="1" t="n"/>
      <c r="RPV22" s="1" t="n"/>
      <c r="RPW22" s="3" t="n"/>
      <c r="RPX22" s="4" t="n"/>
      <c r="RPY22" s="1" t="n"/>
      <c r="RPZ22" s="1" t="n"/>
      <c r="RQA22" s="3" t="n"/>
      <c r="RQB22" s="4" t="n"/>
      <c r="RQC22" s="1" t="n"/>
      <c r="RQD22" s="1" t="n"/>
      <c r="RQE22" s="3" t="n"/>
      <c r="RQF22" s="4" t="n"/>
      <c r="RQG22" s="1" t="n"/>
      <c r="RQH22" s="1" t="n"/>
      <c r="RQI22" s="3" t="n"/>
      <c r="RQJ22" s="4" t="n"/>
      <c r="RQK22" s="1" t="n"/>
      <c r="RQL22" s="1" t="n"/>
      <c r="RQM22" s="3" t="n"/>
      <c r="RQN22" s="4" t="n"/>
      <c r="RQO22" s="1" t="n"/>
      <c r="RQP22" s="1" t="n"/>
      <c r="RQQ22" s="3" t="n"/>
      <c r="RQR22" s="4" t="n"/>
      <c r="RQS22" s="1" t="n"/>
      <c r="RQT22" s="1" t="n"/>
      <c r="RQU22" s="3" t="n"/>
      <c r="RQV22" s="4" t="n"/>
      <c r="RQW22" s="1" t="n"/>
      <c r="RQX22" s="1" t="n"/>
      <c r="RQY22" s="3" t="n"/>
      <c r="RQZ22" s="4" t="n"/>
      <c r="RRA22" s="1" t="n"/>
      <c r="RRB22" s="1" t="n"/>
      <c r="RRC22" s="3" t="n"/>
      <c r="RRD22" s="4" t="n"/>
      <c r="RRE22" s="1" t="n"/>
      <c r="RRF22" s="1" t="n"/>
      <c r="RRG22" s="3" t="n"/>
      <c r="RRH22" s="4" t="n"/>
      <c r="RRI22" s="1" t="n"/>
      <c r="RRJ22" s="1" t="n"/>
      <c r="RRK22" s="3" t="n"/>
      <c r="RRL22" s="4" t="n"/>
      <c r="RRM22" s="1" t="n"/>
      <c r="RRN22" s="1" t="n"/>
      <c r="RRO22" s="3" t="n"/>
      <c r="RRP22" s="4" t="n"/>
      <c r="RRQ22" s="1" t="n"/>
      <c r="RRR22" s="1" t="n"/>
      <c r="RRS22" s="3" t="n"/>
      <c r="RRT22" s="4" t="n"/>
      <c r="RRU22" s="1" t="n"/>
      <c r="RRV22" s="1" t="n"/>
      <c r="RRW22" s="3" t="n"/>
      <c r="RRX22" s="4" t="n"/>
      <c r="RRY22" s="1" t="n"/>
      <c r="RRZ22" s="1" t="n"/>
      <c r="RSA22" s="3" t="n"/>
      <c r="RSB22" s="4" t="n"/>
      <c r="RSC22" s="1" t="n"/>
      <c r="RSD22" s="1" t="n"/>
      <c r="RSE22" s="3" t="n"/>
      <c r="RSF22" s="4" t="n"/>
      <c r="RSG22" s="1" t="n"/>
      <c r="RSH22" s="1" t="n"/>
      <c r="RSI22" s="3" t="n"/>
      <c r="RSJ22" s="4" t="n"/>
      <c r="RSK22" s="1" t="n"/>
      <c r="RSL22" s="1" t="n"/>
      <c r="RSM22" s="3" t="n"/>
      <c r="RSN22" s="4" t="n"/>
      <c r="RSO22" s="1" t="n"/>
      <c r="RSP22" s="1" t="n"/>
      <c r="RSQ22" s="3" t="n"/>
      <c r="RSR22" s="4" t="n"/>
      <c r="RSS22" s="1" t="n"/>
      <c r="RST22" s="1" t="n"/>
      <c r="RSU22" s="3" t="n"/>
      <c r="RSV22" s="4" t="n"/>
      <c r="RSW22" s="1" t="n"/>
      <c r="RSX22" s="1" t="n"/>
      <c r="RSY22" s="3" t="n"/>
      <c r="RSZ22" s="4" t="n"/>
      <c r="RTA22" s="1" t="n"/>
      <c r="RTB22" s="1" t="n"/>
      <c r="RTC22" s="3" t="n"/>
      <c r="RTD22" s="4" t="n"/>
      <c r="RTE22" s="1" t="n"/>
      <c r="RTF22" s="1" t="n"/>
      <c r="RTG22" s="3" t="n"/>
      <c r="RTH22" s="4" t="n"/>
      <c r="RTI22" s="1" t="n"/>
      <c r="RTJ22" s="1" t="n"/>
      <c r="RTK22" s="3" t="n"/>
      <c r="RTL22" s="4" t="n"/>
      <c r="RTM22" s="1" t="n"/>
      <c r="RTN22" s="1" t="n"/>
      <c r="RTO22" s="3" t="n"/>
      <c r="RTP22" s="4" t="n"/>
      <c r="RTQ22" s="1" t="n"/>
      <c r="RTR22" s="1" t="n"/>
      <c r="RTS22" s="3" t="n"/>
      <c r="RTT22" s="4" t="n"/>
      <c r="RTU22" s="1" t="n"/>
      <c r="RTV22" s="1" t="n"/>
      <c r="RTW22" s="3" t="n"/>
      <c r="RTX22" s="4" t="n"/>
      <c r="RTY22" s="1" t="n"/>
      <c r="RTZ22" s="1" t="n"/>
      <c r="RUA22" s="3" t="n"/>
      <c r="RUB22" s="4" t="n"/>
      <c r="RUC22" s="1" t="n"/>
      <c r="RUD22" s="1" t="n"/>
      <c r="RUE22" s="3" t="n"/>
      <c r="RUF22" s="4" t="n"/>
      <c r="RUG22" s="1" t="n"/>
      <c r="RUH22" s="1" t="n"/>
      <c r="RUI22" s="3" t="n"/>
      <c r="RUJ22" s="4" t="n"/>
      <c r="RUK22" s="1" t="n"/>
      <c r="RUL22" s="1" t="n"/>
      <c r="RUM22" s="3" t="n"/>
      <c r="RUN22" s="4" t="n"/>
      <c r="RUO22" s="1" t="n"/>
      <c r="RUP22" s="1" t="n"/>
      <c r="RUQ22" s="3" t="n"/>
      <c r="RUR22" s="4" t="n"/>
      <c r="RUS22" s="1" t="n"/>
      <c r="RUT22" s="1" t="n"/>
      <c r="RUU22" s="3" t="n"/>
      <c r="RUV22" s="4" t="n"/>
      <c r="RUW22" s="1" t="n"/>
      <c r="RUX22" s="1" t="n"/>
      <c r="RUY22" s="3" t="n"/>
      <c r="RUZ22" s="4" t="n"/>
      <c r="RVA22" s="1" t="n"/>
      <c r="RVB22" s="1" t="n"/>
      <c r="RVC22" s="3" t="n"/>
      <c r="RVD22" s="4" t="n"/>
      <c r="RVE22" s="1" t="n"/>
      <c r="RVF22" s="1" t="n"/>
      <c r="RVG22" s="3" t="n"/>
      <c r="RVH22" s="4" t="n"/>
      <c r="RVI22" s="1" t="n"/>
      <c r="RVJ22" s="1" t="n"/>
      <c r="RVK22" s="3" t="n"/>
      <c r="RVL22" s="4" t="n"/>
      <c r="RVM22" s="1" t="n"/>
      <c r="RVN22" s="1" t="n"/>
      <c r="RVO22" s="3" t="n"/>
      <c r="RVP22" s="4" t="n"/>
      <c r="RVQ22" s="1" t="n"/>
      <c r="RVR22" s="1" t="n"/>
      <c r="RVS22" s="3" t="n"/>
      <c r="RVT22" s="4" t="n"/>
      <c r="RVU22" s="1" t="n"/>
      <c r="RVV22" s="1" t="n"/>
      <c r="RVW22" s="3" t="n"/>
      <c r="RVX22" s="4" t="n"/>
      <c r="RVY22" s="1" t="n"/>
      <c r="RVZ22" s="1" t="n"/>
      <c r="RWA22" s="3" t="n"/>
      <c r="RWB22" s="4" t="n"/>
      <c r="RWC22" s="1" t="n"/>
      <c r="RWD22" s="1" t="n"/>
      <c r="RWE22" s="3" t="n"/>
      <c r="RWF22" s="4" t="n"/>
      <c r="RWG22" s="1" t="n"/>
      <c r="RWH22" s="1" t="n"/>
      <c r="RWI22" s="3" t="n"/>
      <c r="RWJ22" s="4" t="n"/>
      <c r="RWK22" s="1" t="n"/>
      <c r="RWL22" s="1" t="n"/>
      <c r="RWM22" s="3" t="n"/>
      <c r="RWN22" s="4" t="n"/>
      <c r="RWO22" s="1" t="n"/>
      <c r="RWP22" s="1" t="n"/>
      <c r="RWQ22" s="3" t="n"/>
      <c r="RWR22" s="4" t="n"/>
      <c r="RWS22" s="1" t="n"/>
      <c r="RWT22" s="1" t="n"/>
      <c r="RWU22" s="3" t="n"/>
      <c r="RWV22" s="4" t="n"/>
      <c r="RWW22" s="1" t="n"/>
      <c r="RWX22" s="1" t="n"/>
      <c r="RWY22" s="3" t="n"/>
      <c r="RWZ22" s="4" t="n"/>
      <c r="RXA22" s="1" t="n"/>
      <c r="RXB22" s="1" t="n"/>
      <c r="RXC22" s="3" t="n"/>
      <c r="RXD22" s="4" t="n"/>
      <c r="RXE22" s="1" t="n"/>
      <c r="RXF22" s="1" t="n"/>
      <c r="RXG22" s="3" t="n"/>
      <c r="RXH22" s="4" t="n"/>
      <c r="RXI22" s="1" t="n"/>
      <c r="RXJ22" s="1" t="n"/>
      <c r="RXK22" s="3" t="n"/>
      <c r="RXL22" s="4" t="n"/>
      <c r="RXM22" s="1" t="n"/>
      <c r="RXN22" s="1" t="n"/>
      <c r="RXO22" s="3" t="n"/>
      <c r="RXP22" s="4" t="n"/>
      <c r="RXQ22" s="1" t="n"/>
      <c r="RXR22" s="1" t="n"/>
      <c r="RXS22" s="3" t="n"/>
      <c r="RXT22" s="4" t="n"/>
      <c r="RXU22" s="1" t="n"/>
      <c r="RXV22" s="1" t="n"/>
      <c r="RXW22" s="3" t="n"/>
      <c r="RXX22" s="4" t="n"/>
      <c r="RXY22" s="1" t="n"/>
      <c r="RXZ22" s="1" t="n"/>
      <c r="RYA22" s="3" t="n"/>
      <c r="RYB22" s="4" t="n"/>
      <c r="RYC22" s="1" t="n"/>
      <c r="RYD22" s="1" t="n"/>
      <c r="RYE22" s="3" t="n"/>
      <c r="RYF22" s="4" t="n"/>
      <c r="RYG22" s="1" t="n"/>
      <c r="RYH22" s="1" t="n"/>
      <c r="RYI22" s="3" t="n"/>
      <c r="RYJ22" s="4" t="n"/>
      <c r="RYK22" s="1" t="n"/>
      <c r="RYL22" s="1" t="n"/>
      <c r="RYM22" s="3" t="n"/>
      <c r="RYN22" s="4" t="n"/>
      <c r="RYO22" s="1" t="n"/>
      <c r="RYP22" s="1" t="n"/>
      <c r="RYQ22" s="3" t="n"/>
      <c r="RYR22" s="4" t="n"/>
      <c r="RYS22" s="1" t="n"/>
      <c r="RYT22" s="1" t="n"/>
      <c r="RYU22" s="3" t="n"/>
      <c r="RYV22" s="4" t="n"/>
      <c r="RYW22" s="1" t="n"/>
      <c r="RYX22" s="1" t="n"/>
      <c r="RYY22" s="3" t="n"/>
      <c r="RYZ22" s="4" t="n"/>
      <c r="RZA22" s="1" t="n"/>
      <c r="RZB22" s="1" t="n"/>
      <c r="RZC22" s="3" t="n"/>
      <c r="RZD22" s="4" t="n"/>
      <c r="RZE22" s="1" t="n"/>
      <c r="RZF22" s="1" t="n"/>
      <c r="RZG22" s="3" t="n"/>
      <c r="RZH22" s="4" t="n"/>
      <c r="RZI22" s="1" t="n"/>
      <c r="RZJ22" s="1" t="n"/>
      <c r="RZK22" s="3" t="n"/>
      <c r="RZL22" s="4" t="n"/>
      <c r="RZM22" s="1" t="n"/>
      <c r="RZN22" s="1" t="n"/>
      <c r="RZO22" s="3" t="n"/>
      <c r="RZP22" s="4" t="n"/>
      <c r="RZQ22" s="1" t="n"/>
      <c r="RZR22" s="1" t="n"/>
      <c r="RZS22" s="3" t="n"/>
      <c r="RZT22" s="4" t="n"/>
      <c r="RZU22" s="1" t="n"/>
      <c r="RZV22" s="1" t="n"/>
      <c r="RZW22" s="3" t="n"/>
      <c r="RZX22" s="4" t="n"/>
      <c r="RZY22" s="1" t="n"/>
      <c r="RZZ22" s="1" t="n"/>
      <c r="SAA22" s="3" t="n"/>
      <c r="SAB22" s="4" t="n"/>
      <c r="SAC22" s="1" t="n"/>
      <c r="SAD22" s="1" t="n"/>
      <c r="SAE22" s="3" t="n"/>
      <c r="SAF22" s="4" t="n"/>
      <c r="SAG22" s="1" t="n"/>
      <c r="SAH22" s="1" t="n"/>
      <c r="SAI22" s="3" t="n"/>
      <c r="SAJ22" s="4" t="n"/>
      <c r="SAK22" s="1" t="n"/>
      <c r="SAL22" s="1" t="n"/>
      <c r="SAM22" s="3" t="n"/>
      <c r="SAN22" s="4" t="n"/>
      <c r="SAO22" s="1" t="n"/>
      <c r="SAP22" s="1" t="n"/>
      <c r="SAQ22" s="3" t="n"/>
      <c r="SAR22" s="4" t="n"/>
      <c r="SAS22" s="1" t="n"/>
      <c r="SAT22" s="1" t="n"/>
      <c r="SAU22" s="3" t="n"/>
      <c r="SAV22" s="4" t="n"/>
      <c r="SAW22" s="1" t="n"/>
      <c r="SAX22" s="1" t="n"/>
      <c r="SAY22" s="3" t="n"/>
      <c r="SAZ22" s="4" t="n"/>
      <c r="SBA22" s="1" t="n"/>
      <c r="SBB22" s="1" t="n"/>
      <c r="SBC22" s="3" t="n"/>
      <c r="SBD22" s="4" t="n"/>
      <c r="SBE22" s="1" t="n"/>
      <c r="SBF22" s="1" t="n"/>
      <c r="SBG22" s="3" t="n"/>
      <c r="SBH22" s="4" t="n"/>
      <c r="SBI22" s="1" t="n"/>
      <c r="SBJ22" s="1" t="n"/>
      <c r="SBK22" s="3" t="n"/>
      <c r="SBL22" s="4" t="n"/>
      <c r="SBM22" s="1" t="n"/>
      <c r="SBN22" s="1" t="n"/>
      <c r="SBO22" s="3" t="n"/>
      <c r="SBP22" s="4" t="n"/>
      <c r="SBQ22" s="1" t="n"/>
      <c r="SBR22" s="1" t="n"/>
      <c r="SBS22" s="3" t="n"/>
      <c r="SBT22" s="4" t="n"/>
      <c r="SBU22" s="1" t="n"/>
      <c r="SBV22" s="1" t="n"/>
      <c r="SBW22" s="3" t="n"/>
      <c r="SBX22" s="4" t="n"/>
      <c r="SBY22" s="1" t="n"/>
      <c r="SBZ22" s="1" t="n"/>
      <c r="SCA22" s="3" t="n"/>
      <c r="SCB22" s="4" t="n"/>
      <c r="SCC22" s="1" t="n"/>
      <c r="SCD22" s="1" t="n"/>
      <c r="SCE22" s="3" t="n"/>
      <c r="SCF22" s="4" t="n"/>
      <c r="SCG22" s="1" t="n"/>
      <c r="SCH22" s="1" t="n"/>
      <c r="SCI22" s="3" t="n"/>
      <c r="SCJ22" s="4" t="n"/>
      <c r="SCK22" s="1" t="n"/>
      <c r="SCL22" s="1" t="n"/>
      <c r="SCM22" s="3" t="n"/>
      <c r="SCN22" s="4" t="n"/>
      <c r="SCO22" s="1" t="n"/>
      <c r="SCP22" s="1" t="n"/>
      <c r="SCQ22" s="3" t="n"/>
      <c r="SCR22" s="4" t="n"/>
      <c r="SCS22" s="1" t="n"/>
      <c r="SCT22" s="1" t="n"/>
      <c r="SCU22" s="3" t="n"/>
      <c r="SCV22" s="4" t="n"/>
      <c r="SCW22" s="1" t="n"/>
      <c r="SCX22" s="1" t="n"/>
      <c r="SCY22" s="3" t="n"/>
      <c r="SCZ22" s="4" t="n"/>
      <c r="SDA22" s="1" t="n"/>
      <c r="SDB22" s="1" t="n"/>
      <c r="SDC22" s="3" t="n"/>
      <c r="SDD22" s="4" t="n"/>
      <c r="SDE22" s="1" t="n"/>
      <c r="SDF22" s="1" t="n"/>
      <c r="SDG22" s="3" t="n"/>
      <c r="SDH22" s="4" t="n"/>
      <c r="SDI22" s="1" t="n"/>
      <c r="SDJ22" s="1" t="n"/>
      <c r="SDK22" s="3" t="n"/>
      <c r="SDL22" s="4" t="n"/>
      <c r="SDM22" s="1" t="n"/>
      <c r="SDN22" s="1" t="n"/>
      <c r="SDO22" s="3" t="n"/>
      <c r="SDP22" s="4" t="n"/>
      <c r="SDQ22" s="1" t="n"/>
      <c r="SDR22" s="1" t="n"/>
      <c r="SDS22" s="3" t="n"/>
      <c r="SDT22" s="4" t="n"/>
      <c r="SDU22" s="1" t="n"/>
      <c r="SDV22" s="1" t="n"/>
      <c r="SDW22" s="3" t="n"/>
      <c r="SDX22" s="4" t="n"/>
      <c r="SDY22" s="1" t="n"/>
      <c r="SDZ22" s="1" t="n"/>
      <c r="SEA22" s="3" t="n"/>
      <c r="SEB22" s="4" t="n"/>
      <c r="SEC22" s="1" t="n"/>
      <c r="SED22" s="1" t="n"/>
      <c r="SEE22" s="3" t="n"/>
      <c r="SEF22" s="4" t="n"/>
      <c r="SEG22" s="1" t="n"/>
      <c r="SEH22" s="1" t="n"/>
      <c r="SEI22" s="3" t="n"/>
      <c r="SEJ22" s="4" t="n"/>
      <c r="SEK22" s="1" t="n"/>
      <c r="SEL22" s="1" t="n"/>
      <c r="SEM22" s="3" t="n"/>
      <c r="SEN22" s="4" t="n"/>
      <c r="SEO22" s="1" t="n"/>
      <c r="SEP22" s="1" t="n"/>
      <c r="SEQ22" s="3" t="n"/>
      <c r="SER22" s="4" t="n"/>
      <c r="SES22" s="1" t="n"/>
      <c r="SET22" s="1" t="n"/>
      <c r="SEU22" s="3" t="n"/>
      <c r="SEV22" s="4" t="n"/>
      <c r="SEW22" s="1" t="n"/>
      <c r="SEX22" s="1" t="n"/>
      <c r="SEY22" s="3" t="n"/>
      <c r="SEZ22" s="4" t="n"/>
      <c r="SFA22" s="1" t="n"/>
      <c r="SFB22" s="1" t="n"/>
      <c r="SFC22" s="3" t="n"/>
      <c r="SFD22" s="4" t="n"/>
      <c r="SFE22" s="1" t="n"/>
      <c r="SFF22" s="1" t="n"/>
      <c r="SFG22" s="3" t="n"/>
      <c r="SFH22" s="4" t="n"/>
      <c r="SFI22" s="1" t="n"/>
      <c r="SFJ22" s="1" t="n"/>
      <c r="SFK22" s="3" t="n"/>
      <c r="SFL22" s="4" t="n"/>
      <c r="SFM22" s="1" t="n"/>
      <c r="SFN22" s="1" t="n"/>
      <c r="SFO22" s="3" t="n"/>
      <c r="SFP22" s="4" t="n"/>
      <c r="SFQ22" s="1" t="n"/>
      <c r="SFR22" s="1" t="n"/>
      <c r="SFS22" s="3" t="n"/>
      <c r="SFT22" s="4" t="n"/>
      <c r="SFU22" s="1" t="n"/>
      <c r="SFV22" s="1" t="n"/>
      <c r="SFW22" s="3" t="n"/>
      <c r="SFX22" s="4" t="n"/>
      <c r="SFY22" s="1" t="n"/>
      <c r="SFZ22" s="1" t="n"/>
      <c r="SGA22" s="3" t="n"/>
      <c r="SGB22" s="4" t="n"/>
      <c r="SGC22" s="1" t="n"/>
      <c r="SGD22" s="1" t="n"/>
      <c r="SGE22" s="3" t="n"/>
      <c r="SGF22" s="4" t="n"/>
      <c r="SGG22" s="1" t="n"/>
      <c r="SGH22" s="1" t="n"/>
      <c r="SGI22" s="3" t="n"/>
      <c r="SGJ22" s="4" t="n"/>
      <c r="SGK22" s="1" t="n"/>
      <c r="SGL22" s="1" t="n"/>
      <c r="SGM22" s="3" t="n"/>
      <c r="SGN22" s="4" t="n"/>
      <c r="SGO22" s="1" t="n"/>
      <c r="SGP22" s="1" t="n"/>
      <c r="SGQ22" s="3" t="n"/>
      <c r="SGR22" s="4" t="n"/>
      <c r="SGS22" s="1" t="n"/>
      <c r="SGT22" s="1" t="n"/>
      <c r="SGU22" s="3" t="n"/>
      <c r="SGV22" s="4" t="n"/>
      <c r="SGW22" s="1" t="n"/>
      <c r="SGX22" s="1" t="n"/>
      <c r="SGY22" s="3" t="n"/>
      <c r="SGZ22" s="4" t="n"/>
      <c r="SHA22" s="1" t="n"/>
      <c r="SHB22" s="1" t="n"/>
      <c r="SHC22" s="3" t="n"/>
      <c r="SHD22" s="4" t="n"/>
      <c r="SHE22" s="1" t="n"/>
      <c r="SHF22" s="1" t="n"/>
      <c r="SHG22" s="3" t="n"/>
      <c r="SHH22" s="4" t="n"/>
      <c r="SHI22" s="1" t="n"/>
      <c r="SHJ22" s="1" t="n"/>
      <c r="SHK22" s="3" t="n"/>
      <c r="SHL22" s="4" t="n"/>
      <c r="SHM22" s="1" t="n"/>
      <c r="SHN22" s="1" t="n"/>
      <c r="SHO22" s="3" t="n"/>
      <c r="SHP22" s="4" t="n"/>
      <c r="SHQ22" s="1" t="n"/>
      <c r="SHR22" s="1" t="n"/>
      <c r="SHS22" s="3" t="n"/>
      <c r="SHT22" s="4" t="n"/>
      <c r="SHU22" s="1" t="n"/>
      <c r="SHV22" s="1" t="n"/>
      <c r="SHW22" s="3" t="n"/>
      <c r="SHX22" s="4" t="n"/>
      <c r="SHY22" s="1" t="n"/>
      <c r="SHZ22" s="1" t="n"/>
      <c r="SIA22" s="3" t="n"/>
      <c r="SIB22" s="4" t="n"/>
      <c r="SIC22" s="1" t="n"/>
      <c r="SID22" s="1" t="n"/>
      <c r="SIE22" s="3" t="n"/>
      <c r="SIF22" s="4" t="n"/>
      <c r="SIG22" s="1" t="n"/>
      <c r="SIH22" s="1" t="n"/>
      <c r="SII22" s="3" t="n"/>
      <c r="SIJ22" s="4" t="n"/>
      <c r="SIK22" s="1" t="n"/>
      <c r="SIL22" s="1" t="n"/>
      <c r="SIM22" s="3" t="n"/>
      <c r="SIN22" s="4" t="n"/>
      <c r="SIO22" s="1" t="n"/>
      <c r="SIP22" s="1" t="n"/>
      <c r="SIQ22" s="3" t="n"/>
      <c r="SIR22" s="4" t="n"/>
      <c r="SIS22" s="1" t="n"/>
      <c r="SIT22" s="1" t="n"/>
      <c r="SIU22" s="3" t="n"/>
      <c r="SIV22" s="4" t="n"/>
      <c r="SIW22" s="1" t="n"/>
      <c r="SIX22" s="1" t="n"/>
      <c r="SIY22" s="3" t="n"/>
      <c r="SIZ22" s="4" t="n"/>
      <c r="SJA22" s="1" t="n"/>
      <c r="SJB22" s="1" t="n"/>
      <c r="SJC22" s="3" t="n"/>
      <c r="SJD22" s="4" t="n"/>
      <c r="SJE22" s="1" t="n"/>
      <c r="SJF22" s="1" t="n"/>
      <c r="SJG22" s="3" t="n"/>
      <c r="SJH22" s="4" t="n"/>
      <c r="SJI22" s="1" t="n"/>
      <c r="SJJ22" s="1" t="n"/>
      <c r="SJK22" s="3" t="n"/>
      <c r="SJL22" s="4" t="n"/>
      <c r="SJM22" s="1" t="n"/>
      <c r="SJN22" s="1" t="n"/>
      <c r="SJO22" s="3" t="n"/>
      <c r="SJP22" s="4" t="n"/>
      <c r="SJQ22" s="1" t="n"/>
      <c r="SJR22" s="1" t="n"/>
      <c r="SJS22" s="3" t="n"/>
      <c r="SJT22" s="4" t="n"/>
      <c r="SJU22" s="1" t="n"/>
      <c r="SJV22" s="1" t="n"/>
      <c r="SJW22" s="3" t="n"/>
      <c r="SJX22" s="4" t="n"/>
      <c r="SJY22" s="1" t="n"/>
      <c r="SJZ22" s="1" t="n"/>
      <c r="SKA22" s="3" t="n"/>
      <c r="SKB22" s="4" t="n"/>
      <c r="SKC22" s="1" t="n"/>
      <c r="SKD22" s="1" t="n"/>
      <c r="SKE22" s="3" t="n"/>
      <c r="SKF22" s="4" t="n"/>
      <c r="SKG22" s="1" t="n"/>
      <c r="SKH22" s="1" t="n"/>
      <c r="SKI22" s="3" t="n"/>
      <c r="SKJ22" s="4" t="n"/>
      <c r="SKK22" s="1" t="n"/>
      <c r="SKL22" s="1" t="n"/>
      <c r="SKM22" s="3" t="n"/>
      <c r="SKN22" s="4" t="n"/>
      <c r="SKO22" s="1" t="n"/>
      <c r="SKP22" s="1" t="n"/>
      <c r="SKQ22" s="3" t="n"/>
      <c r="SKR22" s="4" t="n"/>
      <c r="SKS22" s="1" t="n"/>
      <c r="SKT22" s="1" t="n"/>
      <c r="SKU22" s="3" t="n"/>
      <c r="SKV22" s="4" t="n"/>
      <c r="SKW22" s="1" t="n"/>
      <c r="SKX22" s="1" t="n"/>
      <c r="SKY22" s="3" t="n"/>
      <c r="SKZ22" s="4" t="n"/>
      <c r="SLA22" s="1" t="n"/>
      <c r="SLB22" s="1" t="n"/>
      <c r="SLC22" s="3" t="n"/>
      <c r="SLD22" s="4" t="n"/>
      <c r="SLE22" s="1" t="n"/>
      <c r="SLF22" s="1" t="n"/>
      <c r="SLG22" s="3" t="n"/>
      <c r="SLH22" s="4" t="n"/>
      <c r="SLI22" s="1" t="n"/>
      <c r="SLJ22" s="1" t="n"/>
      <c r="SLK22" s="3" t="n"/>
      <c r="SLL22" s="4" t="n"/>
      <c r="SLM22" s="1" t="n"/>
      <c r="SLN22" s="1" t="n"/>
      <c r="SLO22" s="3" t="n"/>
      <c r="SLP22" s="4" t="n"/>
      <c r="SLQ22" s="1" t="n"/>
      <c r="SLR22" s="1" t="n"/>
      <c r="SLS22" s="3" t="n"/>
      <c r="SLT22" s="4" t="n"/>
      <c r="SLU22" s="1" t="n"/>
      <c r="SLV22" s="1" t="n"/>
      <c r="SLW22" s="3" t="n"/>
      <c r="SLX22" s="4" t="n"/>
      <c r="SLY22" s="1" t="n"/>
      <c r="SLZ22" s="1" t="n"/>
      <c r="SMA22" s="3" t="n"/>
      <c r="SMB22" s="4" t="n"/>
      <c r="SMC22" s="1" t="n"/>
      <c r="SMD22" s="1" t="n"/>
      <c r="SME22" s="3" t="n"/>
      <c r="SMF22" s="4" t="n"/>
      <c r="SMG22" s="1" t="n"/>
      <c r="SMH22" s="1" t="n"/>
      <c r="SMI22" s="3" t="n"/>
      <c r="SMJ22" s="4" t="n"/>
      <c r="SMK22" s="1" t="n"/>
      <c r="SML22" s="1" t="n"/>
      <c r="SMM22" s="3" t="n"/>
      <c r="SMN22" s="4" t="n"/>
      <c r="SMO22" s="1" t="n"/>
      <c r="SMP22" s="1" t="n"/>
      <c r="SMQ22" s="3" t="n"/>
      <c r="SMR22" s="4" t="n"/>
      <c r="SMS22" s="1" t="n"/>
      <c r="SMT22" s="1" t="n"/>
      <c r="SMU22" s="3" t="n"/>
      <c r="SMV22" s="4" t="n"/>
      <c r="SMW22" s="1" t="n"/>
      <c r="SMX22" s="1" t="n"/>
      <c r="SMY22" s="3" t="n"/>
      <c r="SMZ22" s="4" t="n"/>
      <c r="SNA22" s="1" t="n"/>
      <c r="SNB22" s="1" t="n"/>
      <c r="SNC22" s="3" t="n"/>
      <c r="SND22" s="4" t="n"/>
      <c r="SNE22" s="1" t="n"/>
      <c r="SNF22" s="1" t="n"/>
      <c r="SNG22" s="3" t="n"/>
      <c r="SNH22" s="4" t="n"/>
      <c r="SNI22" s="1" t="n"/>
      <c r="SNJ22" s="1" t="n"/>
      <c r="SNK22" s="3" t="n"/>
      <c r="SNL22" s="4" t="n"/>
      <c r="SNM22" s="1" t="n"/>
      <c r="SNN22" s="1" t="n"/>
      <c r="SNO22" s="3" t="n"/>
      <c r="SNP22" s="4" t="n"/>
      <c r="SNQ22" s="1" t="n"/>
      <c r="SNR22" s="1" t="n"/>
      <c r="SNS22" s="3" t="n"/>
      <c r="SNT22" s="4" t="n"/>
      <c r="SNU22" s="1" t="n"/>
      <c r="SNV22" s="1" t="n"/>
      <c r="SNW22" s="3" t="n"/>
      <c r="SNX22" s="4" t="n"/>
      <c r="SNY22" s="1" t="n"/>
      <c r="SNZ22" s="1" t="n"/>
      <c r="SOA22" s="3" t="n"/>
      <c r="SOB22" s="4" t="n"/>
      <c r="SOC22" s="1" t="n"/>
      <c r="SOD22" s="1" t="n"/>
      <c r="SOE22" s="3" t="n"/>
      <c r="SOF22" s="4" t="n"/>
      <c r="SOG22" s="1" t="n"/>
      <c r="SOH22" s="1" t="n"/>
      <c r="SOI22" s="3" t="n"/>
      <c r="SOJ22" s="4" t="n"/>
      <c r="SOK22" s="1" t="n"/>
      <c r="SOL22" s="1" t="n"/>
      <c r="SOM22" s="3" t="n"/>
      <c r="SON22" s="4" t="n"/>
      <c r="SOO22" s="1" t="n"/>
      <c r="SOP22" s="1" t="n"/>
      <c r="SOQ22" s="3" t="n"/>
      <c r="SOR22" s="4" t="n"/>
      <c r="SOS22" s="1" t="n"/>
      <c r="SOT22" s="1" t="n"/>
      <c r="SOU22" s="3" t="n"/>
      <c r="SOV22" s="4" t="n"/>
      <c r="SOW22" s="1" t="n"/>
      <c r="SOX22" s="1" t="n"/>
      <c r="SOY22" s="3" t="n"/>
      <c r="SOZ22" s="4" t="n"/>
      <c r="SPA22" s="1" t="n"/>
      <c r="SPB22" s="1" t="n"/>
      <c r="SPC22" s="3" t="n"/>
      <c r="SPD22" s="4" t="n"/>
      <c r="SPE22" s="1" t="n"/>
      <c r="SPF22" s="1" t="n"/>
      <c r="SPG22" s="3" t="n"/>
      <c r="SPH22" s="4" t="n"/>
      <c r="SPI22" s="1" t="n"/>
      <c r="SPJ22" s="1" t="n"/>
      <c r="SPK22" s="3" t="n"/>
      <c r="SPL22" s="4" t="n"/>
      <c r="SPM22" s="1" t="n"/>
      <c r="SPN22" s="1" t="n"/>
      <c r="SPO22" s="3" t="n"/>
      <c r="SPP22" s="4" t="n"/>
      <c r="SPQ22" s="1" t="n"/>
      <c r="SPR22" s="1" t="n"/>
      <c r="SPS22" s="3" t="n"/>
      <c r="SPT22" s="4" t="n"/>
      <c r="SPU22" s="1" t="n"/>
      <c r="SPV22" s="1" t="n"/>
      <c r="SPW22" s="3" t="n"/>
      <c r="SPX22" s="4" t="n"/>
      <c r="SPY22" s="1" t="n"/>
      <c r="SPZ22" s="1" t="n"/>
      <c r="SQA22" s="3" t="n"/>
      <c r="SQB22" s="4" t="n"/>
      <c r="SQC22" s="1" t="n"/>
      <c r="SQD22" s="1" t="n"/>
      <c r="SQE22" s="3" t="n"/>
      <c r="SQF22" s="4" t="n"/>
      <c r="SQG22" s="1" t="n"/>
      <c r="SQH22" s="1" t="n"/>
      <c r="SQI22" s="3" t="n"/>
      <c r="SQJ22" s="4" t="n"/>
      <c r="SQK22" s="1" t="n"/>
      <c r="SQL22" s="1" t="n"/>
      <c r="SQM22" s="3" t="n"/>
      <c r="SQN22" s="4" t="n"/>
      <c r="SQO22" s="1" t="n"/>
      <c r="SQP22" s="1" t="n"/>
      <c r="SQQ22" s="3" t="n"/>
      <c r="SQR22" s="4" t="n"/>
      <c r="SQS22" s="1" t="n"/>
      <c r="SQT22" s="1" t="n"/>
      <c r="SQU22" s="3" t="n"/>
      <c r="SQV22" s="4" t="n"/>
      <c r="SQW22" s="1" t="n"/>
      <c r="SQX22" s="1" t="n"/>
      <c r="SQY22" s="3" t="n"/>
      <c r="SQZ22" s="4" t="n"/>
      <c r="SRA22" s="1" t="n"/>
      <c r="SRB22" s="1" t="n"/>
      <c r="SRC22" s="3" t="n"/>
      <c r="SRD22" s="4" t="n"/>
      <c r="SRE22" s="1" t="n"/>
      <c r="SRF22" s="1" t="n"/>
      <c r="SRG22" s="3" t="n"/>
      <c r="SRH22" s="4" t="n"/>
      <c r="SRI22" s="1" t="n"/>
      <c r="SRJ22" s="1" t="n"/>
      <c r="SRK22" s="3" t="n"/>
      <c r="SRL22" s="4" t="n"/>
      <c r="SRM22" s="1" t="n"/>
      <c r="SRN22" s="1" t="n"/>
      <c r="SRO22" s="3" t="n"/>
      <c r="SRP22" s="4" t="n"/>
      <c r="SRQ22" s="1" t="n"/>
      <c r="SRR22" s="1" t="n"/>
      <c r="SRS22" s="3" t="n"/>
      <c r="SRT22" s="4" t="n"/>
      <c r="SRU22" s="1" t="n"/>
      <c r="SRV22" s="1" t="n"/>
      <c r="SRW22" s="3" t="n"/>
      <c r="SRX22" s="4" t="n"/>
      <c r="SRY22" s="1" t="n"/>
      <c r="SRZ22" s="1" t="n"/>
      <c r="SSA22" s="3" t="n"/>
      <c r="SSB22" s="4" t="n"/>
      <c r="SSC22" s="1" t="n"/>
      <c r="SSD22" s="1" t="n"/>
      <c r="SSE22" s="3" t="n"/>
      <c r="SSF22" s="4" t="n"/>
      <c r="SSG22" s="1" t="n"/>
      <c r="SSH22" s="1" t="n"/>
      <c r="SSI22" s="3" t="n"/>
      <c r="SSJ22" s="4" t="n"/>
      <c r="SSK22" s="1" t="n"/>
      <c r="SSL22" s="1" t="n"/>
      <c r="SSM22" s="3" t="n"/>
      <c r="SSN22" s="4" t="n"/>
      <c r="SSO22" s="1" t="n"/>
      <c r="SSP22" s="1" t="n"/>
      <c r="SSQ22" s="3" t="n"/>
      <c r="SSR22" s="4" t="n"/>
      <c r="SSS22" s="1" t="n"/>
      <c r="SST22" s="1" t="n"/>
      <c r="SSU22" s="3" t="n"/>
      <c r="SSV22" s="4" t="n"/>
      <c r="SSW22" s="1" t="n"/>
      <c r="SSX22" s="1" t="n"/>
      <c r="SSY22" s="3" t="n"/>
      <c r="SSZ22" s="4" t="n"/>
      <c r="STA22" s="1" t="n"/>
      <c r="STB22" s="1" t="n"/>
      <c r="STC22" s="3" t="n"/>
      <c r="STD22" s="4" t="n"/>
      <c r="STE22" s="1" t="n"/>
      <c r="STF22" s="1" t="n"/>
      <c r="STG22" s="3" t="n"/>
      <c r="STH22" s="4" t="n"/>
      <c r="STI22" s="1" t="n"/>
      <c r="STJ22" s="1" t="n"/>
      <c r="STK22" s="3" t="n"/>
      <c r="STL22" s="4" t="n"/>
      <c r="STM22" s="1" t="n"/>
      <c r="STN22" s="1" t="n"/>
      <c r="STO22" s="3" t="n"/>
      <c r="STP22" s="4" t="n"/>
      <c r="STQ22" s="1" t="n"/>
      <c r="STR22" s="1" t="n"/>
      <c r="STS22" s="3" t="n"/>
      <c r="STT22" s="4" t="n"/>
      <c r="STU22" s="1" t="n"/>
      <c r="STV22" s="1" t="n"/>
      <c r="STW22" s="3" t="n"/>
      <c r="STX22" s="4" t="n"/>
      <c r="STY22" s="1" t="n"/>
      <c r="STZ22" s="1" t="n"/>
      <c r="SUA22" s="3" t="n"/>
      <c r="SUB22" s="4" t="n"/>
      <c r="SUC22" s="1" t="n"/>
      <c r="SUD22" s="1" t="n"/>
      <c r="SUE22" s="3" t="n"/>
      <c r="SUF22" s="4" t="n"/>
      <c r="SUG22" s="1" t="n"/>
      <c r="SUH22" s="1" t="n"/>
      <c r="SUI22" s="3" t="n"/>
      <c r="SUJ22" s="4" t="n"/>
      <c r="SUK22" s="1" t="n"/>
      <c r="SUL22" s="1" t="n"/>
      <c r="SUM22" s="3" t="n"/>
      <c r="SUN22" s="4" t="n"/>
      <c r="SUO22" s="1" t="n"/>
      <c r="SUP22" s="1" t="n"/>
      <c r="SUQ22" s="3" t="n"/>
      <c r="SUR22" s="4" t="n"/>
      <c r="SUS22" s="1" t="n"/>
      <c r="SUT22" s="1" t="n"/>
      <c r="SUU22" s="3" t="n"/>
      <c r="SUV22" s="4" t="n"/>
      <c r="SUW22" s="1" t="n"/>
      <c r="SUX22" s="1" t="n"/>
      <c r="SUY22" s="3" t="n"/>
      <c r="SUZ22" s="4" t="n"/>
      <c r="SVA22" s="1" t="n"/>
      <c r="SVB22" s="1" t="n"/>
      <c r="SVC22" s="3" t="n"/>
      <c r="SVD22" s="4" t="n"/>
      <c r="SVE22" s="1" t="n"/>
      <c r="SVF22" s="1" t="n"/>
      <c r="SVG22" s="3" t="n"/>
      <c r="SVH22" s="4" t="n"/>
      <c r="SVI22" s="1" t="n"/>
      <c r="SVJ22" s="1" t="n"/>
      <c r="SVK22" s="3" t="n"/>
      <c r="SVL22" s="4" t="n"/>
      <c r="SVM22" s="1" t="n"/>
      <c r="SVN22" s="1" t="n"/>
      <c r="SVO22" s="3" t="n"/>
      <c r="SVP22" s="4" t="n"/>
      <c r="SVQ22" s="1" t="n"/>
      <c r="SVR22" s="1" t="n"/>
      <c r="SVS22" s="3" t="n"/>
      <c r="SVT22" s="4" t="n"/>
      <c r="SVU22" s="1" t="n"/>
      <c r="SVV22" s="1" t="n"/>
      <c r="SVW22" s="3" t="n"/>
      <c r="SVX22" s="4" t="n"/>
      <c r="SVY22" s="1" t="n"/>
      <c r="SVZ22" s="1" t="n"/>
      <c r="SWA22" s="3" t="n"/>
      <c r="SWB22" s="4" t="n"/>
      <c r="SWC22" s="1" t="n"/>
      <c r="SWD22" s="1" t="n"/>
      <c r="SWE22" s="3" t="n"/>
      <c r="SWF22" s="4" t="n"/>
      <c r="SWG22" s="1" t="n"/>
      <c r="SWH22" s="1" t="n"/>
      <c r="SWI22" s="3" t="n"/>
      <c r="SWJ22" s="4" t="n"/>
      <c r="SWK22" s="1" t="n"/>
      <c r="SWL22" s="1" t="n"/>
      <c r="SWM22" s="3" t="n"/>
      <c r="SWN22" s="4" t="n"/>
      <c r="SWO22" s="1" t="n"/>
      <c r="SWP22" s="1" t="n"/>
      <c r="SWQ22" s="3" t="n"/>
      <c r="SWR22" s="4" t="n"/>
      <c r="SWS22" s="1" t="n"/>
      <c r="SWT22" s="1" t="n"/>
      <c r="SWU22" s="3" t="n"/>
      <c r="SWV22" s="4" t="n"/>
      <c r="SWW22" s="1" t="n"/>
      <c r="SWX22" s="1" t="n"/>
      <c r="SWY22" s="3" t="n"/>
      <c r="SWZ22" s="4" t="n"/>
      <c r="SXA22" s="1" t="n"/>
      <c r="SXB22" s="1" t="n"/>
      <c r="SXC22" s="3" t="n"/>
      <c r="SXD22" s="4" t="n"/>
      <c r="SXE22" s="1" t="n"/>
      <c r="SXF22" s="1" t="n"/>
      <c r="SXG22" s="3" t="n"/>
      <c r="SXH22" s="4" t="n"/>
      <c r="SXI22" s="1" t="n"/>
      <c r="SXJ22" s="1" t="n"/>
      <c r="SXK22" s="3" t="n"/>
      <c r="SXL22" s="4" t="n"/>
      <c r="SXM22" s="1" t="n"/>
      <c r="SXN22" s="1" t="n"/>
      <c r="SXO22" s="3" t="n"/>
      <c r="SXP22" s="4" t="n"/>
      <c r="SXQ22" s="1" t="n"/>
      <c r="SXR22" s="1" t="n"/>
      <c r="SXS22" s="3" t="n"/>
      <c r="SXT22" s="4" t="n"/>
      <c r="SXU22" s="1" t="n"/>
      <c r="SXV22" s="1" t="n"/>
      <c r="SXW22" s="3" t="n"/>
      <c r="SXX22" s="4" t="n"/>
      <c r="SXY22" s="1" t="n"/>
      <c r="SXZ22" s="1" t="n"/>
      <c r="SYA22" s="3" t="n"/>
      <c r="SYB22" s="4" t="n"/>
      <c r="SYC22" s="1" t="n"/>
      <c r="SYD22" s="1" t="n"/>
      <c r="SYE22" s="3" t="n"/>
      <c r="SYF22" s="4" t="n"/>
      <c r="SYG22" s="1" t="n"/>
      <c r="SYH22" s="1" t="n"/>
      <c r="SYI22" s="3" t="n"/>
      <c r="SYJ22" s="4" t="n"/>
      <c r="SYK22" s="1" t="n"/>
      <c r="SYL22" s="1" t="n"/>
      <c r="SYM22" s="3" t="n"/>
      <c r="SYN22" s="4" t="n"/>
      <c r="SYO22" s="1" t="n"/>
      <c r="SYP22" s="1" t="n"/>
      <c r="SYQ22" s="3" t="n"/>
      <c r="SYR22" s="4" t="n"/>
      <c r="SYS22" s="1" t="n"/>
      <c r="SYT22" s="1" t="n"/>
      <c r="SYU22" s="3" t="n"/>
      <c r="SYV22" s="4" t="n"/>
      <c r="SYW22" s="1" t="n"/>
      <c r="SYX22" s="1" t="n"/>
      <c r="SYY22" s="3" t="n"/>
      <c r="SYZ22" s="4" t="n"/>
      <c r="SZA22" s="1" t="n"/>
      <c r="SZB22" s="1" t="n"/>
      <c r="SZC22" s="3" t="n"/>
      <c r="SZD22" s="4" t="n"/>
      <c r="SZE22" s="1" t="n"/>
      <c r="SZF22" s="1" t="n"/>
      <c r="SZG22" s="3" t="n"/>
      <c r="SZH22" s="4" t="n"/>
      <c r="SZI22" s="1" t="n"/>
      <c r="SZJ22" s="1" t="n"/>
      <c r="SZK22" s="3" t="n"/>
      <c r="SZL22" s="4" t="n"/>
      <c r="SZM22" s="1" t="n"/>
      <c r="SZN22" s="1" t="n"/>
      <c r="SZO22" s="3" t="n"/>
      <c r="SZP22" s="4" t="n"/>
      <c r="SZQ22" s="1" t="n"/>
      <c r="SZR22" s="1" t="n"/>
      <c r="SZS22" s="3" t="n"/>
      <c r="SZT22" s="4" t="n"/>
      <c r="SZU22" s="1" t="n"/>
      <c r="SZV22" s="1" t="n"/>
      <c r="SZW22" s="3" t="n"/>
      <c r="SZX22" s="4" t="n"/>
      <c r="SZY22" s="1" t="n"/>
      <c r="SZZ22" s="1" t="n"/>
      <c r="TAA22" s="3" t="n"/>
      <c r="TAB22" s="4" t="n"/>
      <c r="TAC22" s="1" t="n"/>
      <c r="TAD22" s="1" t="n"/>
      <c r="TAE22" s="3" t="n"/>
      <c r="TAF22" s="4" t="n"/>
      <c r="TAG22" s="1" t="n"/>
      <c r="TAH22" s="1" t="n"/>
      <c r="TAI22" s="3" t="n"/>
      <c r="TAJ22" s="4" t="n"/>
      <c r="TAK22" s="1" t="n"/>
      <c r="TAL22" s="1" t="n"/>
      <c r="TAM22" s="3" t="n"/>
      <c r="TAN22" s="4" t="n"/>
      <c r="TAO22" s="1" t="n"/>
      <c r="TAP22" s="1" t="n"/>
      <c r="TAQ22" s="3" t="n"/>
      <c r="TAR22" s="4" t="n"/>
      <c r="TAS22" s="1" t="n"/>
      <c r="TAT22" s="1" t="n"/>
      <c r="TAU22" s="3" t="n"/>
      <c r="TAV22" s="4" t="n"/>
      <c r="TAW22" s="1" t="n"/>
      <c r="TAX22" s="1" t="n"/>
      <c r="TAY22" s="3" t="n"/>
      <c r="TAZ22" s="4" t="n"/>
      <c r="TBA22" s="1" t="n"/>
      <c r="TBB22" s="1" t="n"/>
      <c r="TBC22" s="3" t="n"/>
      <c r="TBD22" s="4" t="n"/>
      <c r="TBE22" s="1" t="n"/>
      <c r="TBF22" s="1" t="n"/>
      <c r="TBG22" s="3" t="n"/>
      <c r="TBH22" s="4" t="n"/>
      <c r="TBI22" s="1" t="n"/>
      <c r="TBJ22" s="1" t="n"/>
      <c r="TBK22" s="3" t="n"/>
      <c r="TBL22" s="4" t="n"/>
      <c r="TBM22" s="1" t="n"/>
      <c r="TBN22" s="1" t="n"/>
      <c r="TBO22" s="3" t="n"/>
      <c r="TBP22" s="4" t="n"/>
      <c r="TBQ22" s="1" t="n"/>
      <c r="TBR22" s="1" t="n"/>
      <c r="TBS22" s="3" t="n"/>
      <c r="TBT22" s="4" t="n"/>
      <c r="TBU22" s="1" t="n"/>
      <c r="TBV22" s="1" t="n"/>
      <c r="TBW22" s="3" t="n"/>
      <c r="TBX22" s="4" t="n"/>
      <c r="TBY22" s="1" t="n"/>
      <c r="TBZ22" s="1" t="n"/>
      <c r="TCA22" s="3" t="n"/>
      <c r="TCB22" s="4" t="n"/>
      <c r="TCC22" s="1" t="n"/>
      <c r="TCD22" s="1" t="n"/>
      <c r="TCE22" s="3" t="n"/>
      <c r="TCF22" s="4" t="n"/>
      <c r="TCG22" s="1" t="n"/>
      <c r="TCH22" s="1" t="n"/>
      <c r="TCI22" s="3" t="n"/>
      <c r="TCJ22" s="4" t="n"/>
      <c r="TCK22" s="1" t="n"/>
      <c r="TCL22" s="1" t="n"/>
      <c r="TCM22" s="3" t="n"/>
      <c r="TCN22" s="4" t="n"/>
      <c r="TCO22" s="1" t="n"/>
      <c r="TCP22" s="1" t="n"/>
      <c r="TCQ22" s="3" t="n"/>
      <c r="TCR22" s="4" t="n"/>
      <c r="TCS22" s="1" t="n"/>
      <c r="TCT22" s="1" t="n"/>
      <c r="TCU22" s="3" t="n"/>
      <c r="TCV22" s="4" t="n"/>
      <c r="TCW22" s="1" t="n"/>
      <c r="TCX22" s="1" t="n"/>
      <c r="TCY22" s="3" t="n"/>
      <c r="TCZ22" s="4" t="n"/>
      <c r="TDA22" s="1" t="n"/>
      <c r="TDB22" s="1" t="n"/>
      <c r="TDC22" s="3" t="n"/>
      <c r="TDD22" s="4" t="n"/>
      <c r="TDE22" s="1" t="n"/>
      <c r="TDF22" s="1" t="n"/>
      <c r="TDG22" s="3" t="n"/>
      <c r="TDH22" s="4" t="n"/>
      <c r="TDI22" s="1" t="n"/>
      <c r="TDJ22" s="1" t="n"/>
      <c r="TDK22" s="3" t="n"/>
      <c r="TDL22" s="4" t="n"/>
      <c r="TDM22" s="1" t="n"/>
      <c r="TDN22" s="1" t="n"/>
      <c r="TDO22" s="3" t="n"/>
      <c r="TDP22" s="4" t="n"/>
      <c r="TDQ22" s="1" t="n"/>
      <c r="TDR22" s="1" t="n"/>
      <c r="TDS22" s="3" t="n"/>
      <c r="TDT22" s="4" t="n"/>
      <c r="TDU22" s="1" t="n"/>
      <c r="TDV22" s="1" t="n"/>
      <c r="TDW22" s="3" t="n"/>
      <c r="TDX22" s="4" t="n"/>
      <c r="TDY22" s="1" t="n"/>
      <c r="TDZ22" s="1" t="n"/>
      <c r="TEA22" s="3" t="n"/>
      <c r="TEB22" s="4" t="n"/>
      <c r="TEC22" s="1" t="n"/>
      <c r="TED22" s="1" t="n"/>
      <c r="TEE22" s="3" t="n"/>
      <c r="TEF22" s="4" t="n"/>
      <c r="TEG22" s="1" t="n"/>
      <c r="TEH22" s="1" t="n"/>
      <c r="TEI22" s="3" t="n"/>
      <c r="TEJ22" s="4" t="n"/>
      <c r="TEK22" s="1" t="n"/>
      <c r="TEL22" s="1" t="n"/>
      <c r="TEM22" s="3" t="n"/>
      <c r="TEN22" s="4" t="n"/>
      <c r="TEO22" s="1" t="n"/>
      <c r="TEP22" s="1" t="n"/>
      <c r="TEQ22" s="3" t="n"/>
      <c r="TER22" s="4" t="n"/>
      <c r="TES22" s="1" t="n"/>
      <c r="TET22" s="1" t="n"/>
      <c r="TEU22" s="3" t="n"/>
      <c r="TEV22" s="4" t="n"/>
      <c r="TEW22" s="1" t="n"/>
      <c r="TEX22" s="1" t="n"/>
      <c r="TEY22" s="3" t="n"/>
      <c r="TEZ22" s="4" t="n"/>
      <c r="TFA22" s="1" t="n"/>
      <c r="TFB22" s="1" t="n"/>
      <c r="TFC22" s="3" t="n"/>
      <c r="TFD22" s="4" t="n"/>
      <c r="TFE22" s="1" t="n"/>
      <c r="TFF22" s="1" t="n"/>
      <c r="TFG22" s="3" t="n"/>
      <c r="TFH22" s="4" t="n"/>
      <c r="TFI22" s="1" t="n"/>
      <c r="TFJ22" s="1" t="n"/>
      <c r="TFK22" s="3" t="n"/>
      <c r="TFL22" s="4" t="n"/>
      <c r="TFM22" s="1" t="n"/>
      <c r="TFN22" s="1" t="n"/>
      <c r="TFO22" s="3" t="n"/>
      <c r="TFP22" s="4" t="n"/>
      <c r="TFQ22" s="1" t="n"/>
      <c r="TFR22" s="1" t="n"/>
      <c r="TFS22" s="3" t="n"/>
      <c r="TFT22" s="4" t="n"/>
      <c r="TFU22" s="1" t="n"/>
      <c r="TFV22" s="1" t="n"/>
      <c r="TFW22" s="3" t="n"/>
      <c r="TFX22" s="4" t="n"/>
      <c r="TFY22" s="1" t="n"/>
      <c r="TFZ22" s="1" t="n"/>
      <c r="TGA22" s="3" t="n"/>
      <c r="TGB22" s="4" t="n"/>
      <c r="TGC22" s="1" t="n"/>
      <c r="TGD22" s="1" t="n"/>
      <c r="TGE22" s="3" t="n"/>
      <c r="TGF22" s="4" t="n"/>
      <c r="TGG22" s="1" t="n"/>
      <c r="TGH22" s="1" t="n"/>
      <c r="TGI22" s="3" t="n"/>
      <c r="TGJ22" s="4" t="n"/>
      <c r="TGK22" s="1" t="n"/>
      <c r="TGL22" s="1" t="n"/>
      <c r="TGM22" s="3" t="n"/>
      <c r="TGN22" s="4" t="n"/>
      <c r="TGO22" s="1" t="n"/>
      <c r="TGP22" s="1" t="n"/>
      <c r="TGQ22" s="3" t="n"/>
      <c r="TGR22" s="4" t="n"/>
      <c r="TGS22" s="1" t="n"/>
      <c r="TGT22" s="1" t="n"/>
      <c r="TGU22" s="3" t="n"/>
      <c r="TGV22" s="4" t="n"/>
      <c r="TGW22" s="1" t="n"/>
      <c r="TGX22" s="1" t="n"/>
      <c r="TGY22" s="3" t="n"/>
      <c r="TGZ22" s="4" t="n"/>
      <c r="THA22" s="1" t="n"/>
      <c r="THB22" s="1" t="n"/>
      <c r="THC22" s="3" t="n"/>
      <c r="THD22" s="4" t="n"/>
      <c r="THE22" s="1" t="n"/>
      <c r="THF22" s="1" t="n"/>
      <c r="THG22" s="3" t="n"/>
      <c r="THH22" s="4" t="n"/>
      <c r="THI22" s="1" t="n"/>
      <c r="THJ22" s="1" t="n"/>
      <c r="THK22" s="3" t="n"/>
      <c r="THL22" s="4" t="n"/>
      <c r="THM22" s="1" t="n"/>
      <c r="THN22" s="1" t="n"/>
      <c r="THO22" s="3" t="n"/>
      <c r="THP22" s="4" t="n"/>
      <c r="THQ22" s="1" t="n"/>
      <c r="THR22" s="1" t="n"/>
      <c r="THS22" s="3" t="n"/>
      <c r="THT22" s="4" t="n"/>
      <c r="THU22" s="1" t="n"/>
      <c r="THV22" s="1" t="n"/>
      <c r="THW22" s="3" t="n"/>
      <c r="THX22" s="4" t="n"/>
      <c r="THY22" s="1" t="n"/>
      <c r="THZ22" s="1" t="n"/>
      <c r="TIA22" s="3" t="n"/>
      <c r="TIB22" s="4" t="n"/>
      <c r="TIC22" s="1" t="n"/>
      <c r="TID22" s="1" t="n"/>
      <c r="TIE22" s="3" t="n"/>
      <c r="TIF22" s="4" t="n"/>
      <c r="TIG22" s="1" t="n"/>
      <c r="TIH22" s="1" t="n"/>
      <c r="TII22" s="3" t="n"/>
      <c r="TIJ22" s="4" t="n"/>
      <c r="TIK22" s="1" t="n"/>
      <c r="TIL22" s="1" t="n"/>
      <c r="TIM22" s="3" t="n"/>
      <c r="TIN22" s="4" t="n"/>
      <c r="TIO22" s="1" t="n"/>
      <c r="TIP22" s="1" t="n"/>
      <c r="TIQ22" s="3" t="n"/>
      <c r="TIR22" s="4" t="n"/>
      <c r="TIS22" s="1" t="n"/>
      <c r="TIT22" s="1" t="n"/>
      <c r="TIU22" s="3" t="n"/>
      <c r="TIV22" s="4" t="n"/>
      <c r="TIW22" s="1" t="n"/>
      <c r="TIX22" s="1" t="n"/>
      <c r="TIY22" s="3" t="n"/>
      <c r="TIZ22" s="4" t="n"/>
      <c r="TJA22" s="1" t="n"/>
      <c r="TJB22" s="1" t="n"/>
      <c r="TJC22" s="3" t="n"/>
      <c r="TJD22" s="4" t="n"/>
      <c r="TJE22" s="1" t="n"/>
      <c r="TJF22" s="1" t="n"/>
      <c r="TJG22" s="3" t="n"/>
      <c r="TJH22" s="4" t="n"/>
      <c r="TJI22" s="1" t="n"/>
      <c r="TJJ22" s="1" t="n"/>
      <c r="TJK22" s="3" t="n"/>
      <c r="TJL22" s="4" t="n"/>
      <c r="TJM22" s="1" t="n"/>
      <c r="TJN22" s="1" t="n"/>
      <c r="TJO22" s="3" t="n"/>
      <c r="TJP22" s="4" t="n"/>
      <c r="TJQ22" s="1" t="n"/>
      <c r="TJR22" s="1" t="n"/>
      <c r="TJS22" s="3" t="n"/>
      <c r="TJT22" s="4" t="n"/>
      <c r="TJU22" s="1" t="n"/>
      <c r="TJV22" s="1" t="n"/>
      <c r="TJW22" s="3" t="n"/>
      <c r="TJX22" s="4" t="n"/>
      <c r="TJY22" s="1" t="n"/>
      <c r="TJZ22" s="1" t="n"/>
      <c r="TKA22" s="3" t="n"/>
      <c r="TKB22" s="4" t="n"/>
      <c r="TKC22" s="1" t="n"/>
      <c r="TKD22" s="1" t="n"/>
      <c r="TKE22" s="3" t="n"/>
      <c r="TKF22" s="4" t="n"/>
      <c r="TKG22" s="1" t="n"/>
      <c r="TKH22" s="1" t="n"/>
      <c r="TKI22" s="3" t="n"/>
      <c r="TKJ22" s="4" t="n"/>
      <c r="TKK22" s="1" t="n"/>
      <c r="TKL22" s="1" t="n"/>
      <c r="TKM22" s="3" t="n"/>
      <c r="TKN22" s="4" t="n"/>
      <c r="TKO22" s="1" t="n"/>
      <c r="TKP22" s="1" t="n"/>
      <c r="TKQ22" s="3" t="n"/>
      <c r="TKR22" s="4" t="n"/>
      <c r="TKS22" s="1" t="n"/>
      <c r="TKT22" s="1" t="n"/>
      <c r="TKU22" s="3" t="n"/>
      <c r="TKV22" s="4" t="n"/>
      <c r="TKW22" s="1" t="n"/>
      <c r="TKX22" s="1" t="n"/>
      <c r="TKY22" s="3" t="n"/>
      <c r="TKZ22" s="4" t="n"/>
      <c r="TLA22" s="1" t="n"/>
      <c r="TLB22" s="1" t="n"/>
      <c r="TLC22" s="3" t="n"/>
      <c r="TLD22" s="4" t="n"/>
      <c r="TLE22" s="1" t="n"/>
      <c r="TLF22" s="1" t="n"/>
      <c r="TLG22" s="3" t="n"/>
      <c r="TLH22" s="4" t="n"/>
      <c r="TLI22" s="1" t="n"/>
      <c r="TLJ22" s="1" t="n"/>
      <c r="TLK22" s="3" t="n"/>
      <c r="TLL22" s="4" t="n"/>
      <c r="TLM22" s="1" t="n"/>
      <c r="TLN22" s="1" t="n"/>
      <c r="TLO22" s="3" t="n"/>
      <c r="TLP22" s="4" t="n"/>
      <c r="TLQ22" s="1" t="n"/>
      <c r="TLR22" s="1" t="n"/>
      <c r="TLS22" s="3" t="n"/>
      <c r="TLT22" s="4" t="n"/>
      <c r="TLU22" s="1" t="n"/>
      <c r="TLV22" s="1" t="n"/>
      <c r="TLW22" s="3" t="n"/>
      <c r="TLX22" s="4" t="n"/>
      <c r="TLY22" s="1" t="n"/>
      <c r="TLZ22" s="1" t="n"/>
      <c r="TMA22" s="3" t="n"/>
      <c r="TMB22" s="4" t="n"/>
      <c r="TMC22" s="1" t="n"/>
      <c r="TMD22" s="1" t="n"/>
      <c r="TME22" s="3" t="n"/>
      <c r="TMF22" s="4" t="n"/>
      <c r="TMG22" s="1" t="n"/>
      <c r="TMH22" s="1" t="n"/>
      <c r="TMI22" s="3" t="n"/>
      <c r="TMJ22" s="4" t="n"/>
      <c r="TMK22" s="1" t="n"/>
      <c r="TML22" s="1" t="n"/>
      <c r="TMM22" s="3" t="n"/>
      <c r="TMN22" s="4" t="n"/>
      <c r="TMO22" s="1" t="n"/>
      <c r="TMP22" s="1" t="n"/>
      <c r="TMQ22" s="3" t="n"/>
      <c r="TMR22" s="4" t="n"/>
      <c r="TMS22" s="1" t="n"/>
      <c r="TMT22" s="1" t="n"/>
      <c r="TMU22" s="3" t="n"/>
      <c r="TMV22" s="4" t="n"/>
      <c r="TMW22" s="1" t="n"/>
      <c r="TMX22" s="1" t="n"/>
      <c r="TMY22" s="3" t="n"/>
      <c r="TMZ22" s="4" t="n"/>
      <c r="TNA22" s="1" t="n"/>
      <c r="TNB22" s="1" t="n"/>
      <c r="TNC22" s="3" t="n"/>
      <c r="TND22" s="4" t="n"/>
      <c r="TNE22" s="1" t="n"/>
      <c r="TNF22" s="1" t="n"/>
      <c r="TNG22" s="3" t="n"/>
      <c r="TNH22" s="4" t="n"/>
      <c r="TNI22" s="1" t="n"/>
      <c r="TNJ22" s="1" t="n"/>
      <c r="TNK22" s="3" t="n"/>
      <c r="TNL22" s="4" t="n"/>
      <c r="TNM22" s="1" t="n"/>
      <c r="TNN22" s="1" t="n"/>
      <c r="TNO22" s="3" t="n"/>
      <c r="TNP22" s="4" t="n"/>
      <c r="TNQ22" s="1" t="n"/>
      <c r="TNR22" s="1" t="n"/>
      <c r="TNS22" s="3" t="n"/>
      <c r="TNT22" s="4" t="n"/>
      <c r="TNU22" s="1" t="n"/>
      <c r="TNV22" s="1" t="n"/>
      <c r="TNW22" s="3" t="n"/>
      <c r="TNX22" s="4" t="n"/>
      <c r="TNY22" s="1" t="n"/>
      <c r="TNZ22" s="1" t="n"/>
      <c r="TOA22" s="3" t="n"/>
      <c r="TOB22" s="4" t="n"/>
      <c r="TOC22" s="1" t="n"/>
      <c r="TOD22" s="1" t="n"/>
      <c r="TOE22" s="3" t="n"/>
      <c r="TOF22" s="4" t="n"/>
      <c r="TOG22" s="1" t="n"/>
      <c r="TOH22" s="1" t="n"/>
      <c r="TOI22" s="3" t="n"/>
      <c r="TOJ22" s="4" t="n"/>
      <c r="TOK22" s="1" t="n"/>
      <c r="TOL22" s="1" t="n"/>
      <c r="TOM22" s="3" t="n"/>
      <c r="TON22" s="4" t="n"/>
      <c r="TOO22" s="1" t="n"/>
      <c r="TOP22" s="1" t="n"/>
      <c r="TOQ22" s="3" t="n"/>
      <c r="TOR22" s="4" t="n"/>
      <c r="TOS22" s="1" t="n"/>
      <c r="TOT22" s="1" t="n"/>
      <c r="TOU22" s="3" t="n"/>
      <c r="TOV22" s="4" t="n"/>
      <c r="TOW22" s="1" t="n"/>
      <c r="TOX22" s="1" t="n"/>
      <c r="TOY22" s="3" t="n"/>
      <c r="TOZ22" s="4" t="n"/>
      <c r="TPA22" s="1" t="n"/>
      <c r="TPB22" s="1" t="n"/>
      <c r="TPC22" s="3" t="n"/>
      <c r="TPD22" s="4" t="n"/>
      <c r="TPE22" s="1" t="n"/>
      <c r="TPF22" s="1" t="n"/>
      <c r="TPG22" s="3" t="n"/>
      <c r="TPH22" s="4" t="n"/>
      <c r="TPI22" s="1" t="n"/>
      <c r="TPJ22" s="1" t="n"/>
      <c r="TPK22" s="3" t="n"/>
      <c r="TPL22" s="4" t="n"/>
      <c r="TPM22" s="1" t="n"/>
      <c r="TPN22" s="1" t="n"/>
      <c r="TPO22" s="3" t="n"/>
      <c r="TPP22" s="4" t="n"/>
      <c r="TPQ22" s="1" t="n"/>
      <c r="TPR22" s="1" t="n"/>
      <c r="TPS22" s="3" t="n"/>
      <c r="TPT22" s="4" t="n"/>
      <c r="TPU22" s="1" t="n"/>
      <c r="TPV22" s="1" t="n"/>
      <c r="TPW22" s="3" t="n"/>
      <c r="TPX22" s="4" t="n"/>
      <c r="TPY22" s="1" t="n"/>
      <c r="TPZ22" s="1" t="n"/>
      <c r="TQA22" s="3" t="n"/>
      <c r="TQB22" s="4" t="n"/>
      <c r="TQC22" s="1" t="n"/>
      <c r="TQD22" s="1" t="n"/>
      <c r="TQE22" s="3" t="n"/>
      <c r="TQF22" s="4" t="n"/>
      <c r="TQG22" s="1" t="n"/>
      <c r="TQH22" s="1" t="n"/>
      <c r="TQI22" s="3" t="n"/>
      <c r="TQJ22" s="4" t="n"/>
      <c r="TQK22" s="1" t="n"/>
      <c r="TQL22" s="1" t="n"/>
      <c r="TQM22" s="3" t="n"/>
      <c r="TQN22" s="4" t="n"/>
      <c r="TQO22" s="1" t="n"/>
      <c r="TQP22" s="1" t="n"/>
      <c r="TQQ22" s="3" t="n"/>
      <c r="TQR22" s="4" t="n"/>
      <c r="TQS22" s="1" t="n"/>
      <c r="TQT22" s="1" t="n"/>
      <c r="TQU22" s="3" t="n"/>
      <c r="TQV22" s="4" t="n"/>
      <c r="TQW22" s="1" t="n"/>
      <c r="TQX22" s="1" t="n"/>
      <c r="TQY22" s="3" t="n"/>
      <c r="TQZ22" s="4" t="n"/>
      <c r="TRA22" s="1" t="n"/>
      <c r="TRB22" s="1" t="n"/>
      <c r="TRC22" s="3" t="n"/>
      <c r="TRD22" s="4" t="n"/>
      <c r="TRE22" s="1" t="n"/>
      <c r="TRF22" s="1" t="n"/>
      <c r="TRG22" s="3" t="n"/>
      <c r="TRH22" s="4" t="n"/>
      <c r="TRI22" s="1" t="n"/>
      <c r="TRJ22" s="1" t="n"/>
      <c r="TRK22" s="3" t="n"/>
      <c r="TRL22" s="4" t="n"/>
      <c r="TRM22" s="1" t="n"/>
      <c r="TRN22" s="1" t="n"/>
      <c r="TRO22" s="3" t="n"/>
      <c r="TRP22" s="4" t="n"/>
      <c r="TRQ22" s="1" t="n"/>
      <c r="TRR22" s="1" t="n"/>
      <c r="TRS22" s="3" t="n"/>
      <c r="TRT22" s="4" t="n"/>
      <c r="TRU22" s="1" t="n"/>
      <c r="TRV22" s="1" t="n"/>
      <c r="TRW22" s="3" t="n"/>
      <c r="TRX22" s="4" t="n"/>
      <c r="TRY22" s="1" t="n"/>
      <c r="TRZ22" s="1" t="n"/>
      <c r="TSA22" s="3" t="n"/>
      <c r="TSB22" s="4" t="n"/>
      <c r="TSC22" s="1" t="n"/>
      <c r="TSD22" s="1" t="n"/>
      <c r="TSE22" s="3" t="n"/>
      <c r="TSF22" s="4" t="n"/>
      <c r="TSG22" s="1" t="n"/>
      <c r="TSH22" s="1" t="n"/>
      <c r="TSI22" s="3" t="n"/>
      <c r="TSJ22" s="4" t="n"/>
      <c r="TSK22" s="1" t="n"/>
      <c r="TSL22" s="1" t="n"/>
      <c r="TSM22" s="3" t="n"/>
      <c r="TSN22" s="4" t="n"/>
      <c r="TSO22" s="1" t="n"/>
      <c r="TSP22" s="1" t="n"/>
      <c r="TSQ22" s="3" t="n"/>
      <c r="TSR22" s="4" t="n"/>
      <c r="TSS22" s="1" t="n"/>
      <c r="TST22" s="1" t="n"/>
      <c r="TSU22" s="3" t="n"/>
      <c r="TSV22" s="4" t="n"/>
      <c r="TSW22" s="1" t="n"/>
      <c r="TSX22" s="1" t="n"/>
      <c r="TSY22" s="3" t="n"/>
      <c r="TSZ22" s="4" t="n"/>
      <c r="TTA22" s="1" t="n"/>
      <c r="TTB22" s="1" t="n"/>
      <c r="TTC22" s="3" t="n"/>
      <c r="TTD22" s="4" t="n"/>
      <c r="TTE22" s="1" t="n"/>
      <c r="TTF22" s="1" t="n"/>
      <c r="TTG22" s="3" t="n"/>
      <c r="TTH22" s="4" t="n"/>
      <c r="TTI22" s="1" t="n"/>
      <c r="TTJ22" s="1" t="n"/>
      <c r="TTK22" s="3" t="n"/>
      <c r="TTL22" s="4" t="n"/>
      <c r="TTM22" s="1" t="n"/>
      <c r="TTN22" s="1" t="n"/>
      <c r="TTO22" s="3" t="n"/>
      <c r="TTP22" s="4" t="n"/>
      <c r="TTQ22" s="1" t="n"/>
      <c r="TTR22" s="1" t="n"/>
      <c r="TTS22" s="3" t="n"/>
      <c r="TTT22" s="4" t="n"/>
      <c r="TTU22" s="1" t="n"/>
      <c r="TTV22" s="1" t="n"/>
      <c r="TTW22" s="3" t="n"/>
      <c r="TTX22" s="4" t="n"/>
      <c r="TTY22" s="1" t="n"/>
      <c r="TTZ22" s="1" t="n"/>
      <c r="TUA22" s="3" t="n"/>
      <c r="TUB22" s="4" t="n"/>
      <c r="TUC22" s="1" t="n"/>
      <c r="TUD22" s="1" t="n"/>
      <c r="TUE22" s="3" t="n"/>
      <c r="TUF22" s="4" t="n"/>
      <c r="TUG22" s="1" t="n"/>
      <c r="TUH22" s="1" t="n"/>
      <c r="TUI22" s="3" t="n"/>
      <c r="TUJ22" s="4" t="n"/>
      <c r="TUK22" s="1" t="n"/>
      <c r="TUL22" s="1" t="n"/>
      <c r="TUM22" s="3" t="n"/>
      <c r="TUN22" s="4" t="n"/>
      <c r="TUO22" s="1" t="n"/>
      <c r="TUP22" s="1" t="n"/>
      <c r="TUQ22" s="3" t="n"/>
      <c r="TUR22" s="4" t="n"/>
      <c r="TUS22" s="1" t="n"/>
      <c r="TUT22" s="1" t="n"/>
      <c r="TUU22" s="3" t="n"/>
      <c r="TUV22" s="4" t="n"/>
      <c r="TUW22" s="1" t="n"/>
      <c r="TUX22" s="1" t="n"/>
      <c r="TUY22" s="3" t="n"/>
      <c r="TUZ22" s="4" t="n"/>
      <c r="TVA22" s="1" t="n"/>
      <c r="TVB22" s="1" t="n"/>
      <c r="TVC22" s="3" t="n"/>
      <c r="TVD22" s="4" t="n"/>
      <c r="TVE22" s="1" t="n"/>
      <c r="TVF22" s="1" t="n"/>
      <c r="TVG22" s="3" t="n"/>
      <c r="TVH22" s="4" t="n"/>
      <c r="TVI22" s="1" t="n"/>
      <c r="TVJ22" s="1" t="n"/>
      <c r="TVK22" s="3" t="n"/>
      <c r="TVL22" s="4" t="n"/>
      <c r="TVM22" s="1" t="n"/>
      <c r="TVN22" s="1" t="n"/>
      <c r="TVO22" s="3" t="n"/>
      <c r="TVP22" s="4" t="n"/>
      <c r="TVQ22" s="1" t="n"/>
      <c r="TVR22" s="1" t="n"/>
      <c r="TVS22" s="3" t="n"/>
      <c r="TVT22" s="4" t="n"/>
      <c r="TVU22" s="1" t="n"/>
      <c r="TVV22" s="1" t="n"/>
      <c r="TVW22" s="3" t="n"/>
      <c r="TVX22" s="4" t="n"/>
      <c r="TVY22" s="1" t="n"/>
      <c r="TVZ22" s="1" t="n"/>
      <c r="TWA22" s="3" t="n"/>
      <c r="TWB22" s="4" t="n"/>
      <c r="TWC22" s="1" t="n"/>
      <c r="TWD22" s="1" t="n"/>
      <c r="TWE22" s="3" t="n"/>
      <c r="TWF22" s="4" t="n"/>
      <c r="TWG22" s="1" t="n"/>
      <c r="TWH22" s="1" t="n"/>
      <c r="TWI22" s="3" t="n"/>
      <c r="TWJ22" s="4" t="n"/>
      <c r="TWK22" s="1" t="n"/>
      <c r="TWL22" s="1" t="n"/>
      <c r="TWM22" s="3" t="n"/>
      <c r="TWN22" s="4" t="n"/>
      <c r="TWO22" s="1" t="n"/>
      <c r="TWP22" s="1" t="n"/>
      <c r="TWQ22" s="3" t="n"/>
      <c r="TWR22" s="4" t="n"/>
      <c r="TWS22" s="1" t="n"/>
      <c r="TWT22" s="1" t="n"/>
      <c r="TWU22" s="3" t="n"/>
      <c r="TWV22" s="4" t="n"/>
      <c r="TWW22" s="1" t="n"/>
      <c r="TWX22" s="1" t="n"/>
      <c r="TWY22" s="3" t="n"/>
      <c r="TWZ22" s="4" t="n"/>
      <c r="TXA22" s="1" t="n"/>
      <c r="TXB22" s="1" t="n"/>
      <c r="TXC22" s="3" t="n"/>
      <c r="TXD22" s="4" t="n"/>
      <c r="TXE22" s="1" t="n"/>
      <c r="TXF22" s="1" t="n"/>
      <c r="TXG22" s="3" t="n"/>
      <c r="TXH22" s="4" t="n"/>
      <c r="TXI22" s="1" t="n"/>
      <c r="TXJ22" s="1" t="n"/>
      <c r="TXK22" s="3" t="n"/>
      <c r="TXL22" s="4" t="n"/>
      <c r="TXM22" s="1" t="n"/>
      <c r="TXN22" s="1" t="n"/>
      <c r="TXO22" s="3" t="n"/>
      <c r="TXP22" s="4" t="n"/>
      <c r="TXQ22" s="1" t="n"/>
      <c r="TXR22" s="1" t="n"/>
      <c r="TXS22" s="3" t="n"/>
      <c r="TXT22" s="4" t="n"/>
      <c r="TXU22" s="1" t="n"/>
      <c r="TXV22" s="1" t="n"/>
      <c r="TXW22" s="3" t="n"/>
      <c r="TXX22" s="4" t="n"/>
      <c r="TXY22" s="1" t="n"/>
      <c r="TXZ22" s="1" t="n"/>
      <c r="TYA22" s="3" t="n"/>
      <c r="TYB22" s="4" t="n"/>
      <c r="TYC22" s="1" t="n"/>
      <c r="TYD22" s="1" t="n"/>
      <c r="TYE22" s="3" t="n"/>
      <c r="TYF22" s="4" t="n"/>
      <c r="TYG22" s="1" t="n"/>
      <c r="TYH22" s="1" t="n"/>
      <c r="TYI22" s="3" t="n"/>
      <c r="TYJ22" s="4" t="n"/>
      <c r="TYK22" s="1" t="n"/>
      <c r="TYL22" s="1" t="n"/>
      <c r="TYM22" s="3" t="n"/>
      <c r="TYN22" s="4" t="n"/>
      <c r="TYO22" s="1" t="n"/>
      <c r="TYP22" s="1" t="n"/>
      <c r="TYQ22" s="3" t="n"/>
      <c r="TYR22" s="4" t="n"/>
      <c r="TYS22" s="1" t="n"/>
      <c r="TYT22" s="1" t="n"/>
      <c r="TYU22" s="3" t="n"/>
      <c r="TYV22" s="4" t="n"/>
      <c r="TYW22" s="1" t="n"/>
      <c r="TYX22" s="1" t="n"/>
      <c r="TYY22" s="3" t="n"/>
      <c r="TYZ22" s="4" t="n"/>
      <c r="TZA22" s="1" t="n"/>
      <c r="TZB22" s="1" t="n"/>
      <c r="TZC22" s="3" t="n"/>
      <c r="TZD22" s="4" t="n"/>
      <c r="TZE22" s="1" t="n"/>
      <c r="TZF22" s="1" t="n"/>
      <c r="TZG22" s="3" t="n"/>
      <c r="TZH22" s="4" t="n"/>
      <c r="TZI22" s="1" t="n"/>
      <c r="TZJ22" s="1" t="n"/>
      <c r="TZK22" s="3" t="n"/>
      <c r="TZL22" s="4" t="n"/>
      <c r="TZM22" s="1" t="n"/>
      <c r="TZN22" s="1" t="n"/>
      <c r="TZO22" s="3" t="n"/>
      <c r="TZP22" s="4" t="n"/>
      <c r="TZQ22" s="1" t="n"/>
      <c r="TZR22" s="1" t="n"/>
      <c r="TZS22" s="3" t="n"/>
      <c r="TZT22" s="4" t="n"/>
      <c r="TZU22" s="1" t="n"/>
      <c r="TZV22" s="1" t="n"/>
      <c r="TZW22" s="3" t="n"/>
      <c r="TZX22" s="4" t="n"/>
      <c r="TZY22" s="1" t="n"/>
      <c r="TZZ22" s="1" t="n"/>
      <c r="UAA22" s="3" t="n"/>
      <c r="UAB22" s="4" t="n"/>
      <c r="UAC22" s="1" t="n"/>
      <c r="UAD22" s="1" t="n"/>
      <c r="UAE22" s="3" t="n"/>
      <c r="UAF22" s="4" t="n"/>
      <c r="UAG22" s="1" t="n"/>
      <c r="UAH22" s="1" t="n"/>
      <c r="UAI22" s="3" t="n"/>
      <c r="UAJ22" s="4" t="n"/>
      <c r="UAK22" s="1" t="n"/>
      <c r="UAL22" s="1" t="n"/>
      <c r="UAM22" s="3" t="n"/>
      <c r="UAN22" s="4" t="n"/>
      <c r="UAO22" s="1" t="n"/>
      <c r="UAP22" s="1" t="n"/>
      <c r="UAQ22" s="3" t="n"/>
      <c r="UAR22" s="4" t="n"/>
      <c r="UAS22" s="1" t="n"/>
      <c r="UAT22" s="1" t="n"/>
      <c r="UAU22" s="3" t="n"/>
      <c r="UAV22" s="4" t="n"/>
      <c r="UAW22" s="1" t="n"/>
      <c r="UAX22" s="1" t="n"/>
      <c r="UAY22" s="3" t="n"/>
      <c r="UAZ22" s="4" t="n"/>
      <c r="UBA22" s="1" t="n"/>
      <c r="UBB22" s="1" t="n"/>
      <c r="UBC22" s="3" t="n"/>
      <c r="UBD22" s="4" t="n"/>
      <c r="UBE22" s="1" t="n"/>
      <c r="UBF22" s="1" t="n"/>
      <c r="UBG22" s="3" t="n"/>
      <c r="UBH22" s="4" t="n"/>
      <c r="UBI22" s="1" t="n"/>
      <c r="UBJ22" s="1" t="n"/>
      <c r="UBK22" s="3" t="n"/>
      <c r="UBL22" s="4" t="n"/>
      <c r="UBM22" s="1" t="n"/>
      <c r="UBN22" s="1" t="n"/>
      <c r="UBO22" s="3" t="n"/>
      <c r="UBP22" s="4" t="n"/>
      <c r="UBQ22" s="1" t="n"/>
      <c r="UBR22" s="1" t="n"/>
      <c r="UBS22" s="3" t="n"/>
      <c r="UBT22" s="4" t="n"/>
      <c r="UBU22" s="1" t="n"/>
      <c r="UBV22" s="1" t="n"/>
      <c r="UBW22" s="3" t="n"/>
      <c r="UBX22" s="4" t="n"/>
      <c r="UBY22" s="1" t="n"/>
      <c r="UBZ22" s="1" t="n"/>
      <c r="UCA22" s="3" t="n"/>
      <c r="UCB22" s="4" t="n"/>
      <c r="UCC22" s="1" t="n"/>
      <c r="UCD22" s="1" t="n"/>
      <c r="UCE22" s="3" t="n"/>
      <c r="UCF22" s="4" t="n"/>
      <c r="UCG22" s="1" t="n"/>
      <c r="UCH22" s="1" t="n"/>
      <c r="UCI22" s="3" t="n"/>
      <c r="UCJ22" s="4" t="n"/>
      <c r="UCK22" s="1" t="n"/>
      <c r="UCL22" s="1" t="n"/>
      <c r="UCM22" s="3" t="n"/>
      <c r="UCN22" s="4" t="n"/>
      <c r="UCO22" s="1" t="n"/>
      <c r="UCP22" s="1" t="n"/>
      <c r="UCQ22" s="3" t="n"/>
      <c r="UCR22" s="4" t="n"/>
      <c r="UCS22" s="1" t="n"/>
      <c r="UCT22" s="1" t="n"/>
      <c r="UCU22" s="3" t="n"/>
      <c r="UCV22" s="4" t="n"/>
      <c r="UCW22" s="1" t="n"/>
      <c r="UCX22" s="1" t="n"/>
      <c r="UCY22" s="3" t="n"/>
      <c r="UCZ22" s="4" t="n"/>
      <c r="UDA22" s="1" t="n"/>
      <c r="UDB22" s="1" t="n"/>
      <c r="UDC22" s="3" t="n"/>
      <c r="UDD22" s="4" t="n"/>
      <c r="UDE22" s="1" t="n"/>
      <c r="UDF22" s="1" t="n"/>
      <c r="UDG22" s="3" t="n"/>
      <c r="UDH22" s="4" t="n"/>
      <c r="UDI22" s="1" t="n"/>
      <c r="UDJ22" s="1" t="n"/>
      <c r="UDK22" s="3" t="n"/>
      <c r="UDL22" s="4" t="n"/>
      <c r="UDM22" s="1" t="n"/>
      <c r="UDN22" s="1" t="n"/>
      <c r="UDO22" s="3" t="n"/>
      <c r="UDP22" s="4" t="n"/>
      <c r="UDQ22" s="1" t="n"/>
      <c r="UDR22" s="1" t="n"/>
      <c r="UDS22" s="3" t="n"/>
      <c r="UDT22" s="4" t="n"/>
      <c r="UDU22" s="1" t="n"/>
      <c r="UDV22" s="1" t="n"/>
      <c r="UDW22" s="3" t="n"/>
      <c r="UDX22" s="4" t="n"/>
      <c r="UDY22" s="1" t="n"/>
      <c r="UDZ22" s="1" t="n"/>
      <c r="UEA22" s="3" t="n"/>
      <c r="UEB22" s="4" t="n"/>
      <c r="UEC22" s="1" t="n"/>
      <c r="UED22" s="1" t="n"/>
      <c r="UEE22" s="3" t="n"/>
      <c r="UEF22" s="4" t="n"/>
      <c r="UEG22" s="1" t="n"/>
      <c r="UEH22" s="1" t="n"/>
      <c r="UEI22" s="3" t="n"/>
      <c r="UEJ22" s="4" t="n"/>
      <c r="UEK22" s="1" t="n"/>
      <c r="UEL22" s="1" t="n"/>
      <c r="UEM22" s="3" t="n"/>
      <c r="UEN22" s="4" t="n"/>
      <c r="UEO22" s="1" t="n"/>
      <c r="UEP22" s="1" t="n"/>
      <c r="UEQ22" s="3" t="n"/>
      <c r="UER22" s="4" t="n"/>
      <c r="UES22" s="1" t="n"/>
      <c r="UET22" s="1" t="n"/>
      <c r="UEU22" s="3" t="n"/>
      <c r="UEV22" s="4" t="n"/>
      <c r="UEW22" s="1" t="n"/>
      <c r="UEX22" s="1" t="n"/>
      <c r="UEY22" s="3" t="n"/>
      <c r="UEZ22" s="4" t="n"/>
      <c r="UFA22" s="1" t="n"/>
      <c r="UFB22" s="1" t="n"/>
      <c r="UFC22" s="3" t="n"/>
      <c r="UFD22" s="4" t="n"/>
      <c r="UFE22" s="1" t="n"/>
      <c r="UFF22" s="1" t="n"/>
      <c r="UFG22" s="3" t="n"/>
      <c r="UFH22" s="4" t="n"/>
      <c r="UFI22" s="1" t="n"/>
      <c r="UFJ22" s="1" t="n"/>
      <c r="UFK22" s="3" t="n"/>
      <c r="UFL22" s="4" t="n"/>
      <c r="UFM22" s="1" t="n"/>
      <c r="UFN22" s="1" t="n"/>
      <c r="UFO22" s="3" t="n"/>
      <c r="UFP22" s="4" t="n"/>
      <c r="UFQ22" s="1" t="n"/>
      <c r="UFR22" s="1" t="n"/>
      <c r="UFS22" s="3" t="n"/>
      <c r="UFT22" s="4" t="n"/>
      <c r="UFU22" s="1" t="n"/>
      <c r="UFV22" s="1" t="n"/>
      <c r="UFW22" s="3" t="n"/>
      <c r="UFX22" s="4" t="n"/>
      <c r="UFY22" s="1" t="n"/>
      <c r="UFZ22" s="1" t="n"/>
      <c r="UGA22" s="3" t="n"/>
      <c r="UGB22" s="4" t="n"/>
      <c r="UGC22" s="1" t="n"/>
      <c r="UGD22" s="1" t="n"/>
      <c r="UGE22" s="3" t="n"/>
      <c r="UGF22" s="4" t="n"/>
      <c r="UGG22" s="1" t="n"/>
      <c r="UGH22" s="1" t="n"/>
      <c r="UGI22" s="3" t="n"/>
      <c r="UGJ22" s="4" t="n"/>
      <c r="UGK22" s="1" t="n"/>
      <c r="UGL22" s="1" t="n"/>
      <c r="UGM22" s="3" t="n"/>
      <c r="UGN22" s="4" t="n"/>
      <c r="UGO22" s="1" t="n"/>
      <c r="UGP22" s="1" t="n"/>
      <c r="UGQ22" s="3" t="n"/>
      <c r="UGR22" s="4" t="n"/>
      <c r="UGS22" s="1" t="n"/>
      <c r="UGT22" s="1" t="n"/>
      <c r="UGU22" s="3" t="n"/>
      <c r="UGV22" s="4" t="n"/>
      <c r="UGW22" s="1" t="n"/>
      <c r="UGX22" s="1" t="n"/>
      <c r="UGY22" s="3" t="n"/>
      <c r="UGZ22" s="4" t="n"/>
      <c r="UHA22" s="1" t="n"/>
      <c r="UHB22" s="1" t="n"/>
      <c r="UHC22" s="3" t="n"/>
      <c r="UHD22" s="4" t="n"/>
      <c r="UHE22" s="1" t="n"/>
      <c r="UHF22" s="1" t="n"/>
      <c r="UHG22" s="3" t="n"/>
      <c r="UHH22" s="4" t="n"/>
      <c r="UHI22" s="1" t="n"/>
      <c r="UHJ22" s="1" t="n"/>
      <c r="UHK22" s="3" t="n"/>
      <c r="UHL22" s="4" t="n"/>
      <c r="UHM22" s="1" t="n"/>
      <c r="UHN22" s="1" t="n"/>
      <c r="UHO22" s="3" t="n"/>
      <c r="UHP22" s="4" t="n"/>
      <c r="UHQ22" s="1" t="n"/>
      <c r="UHR22" s="1" t="n"/>
      <c r="UHS22" s="3" t="n"/>
      <c r="UHT22" s="4" t="n"/>
      <c r="UHU22" s="1" t="n"/>
      <c r="UHV22" s="1" t="n"/>
      <c r="UHW22" s="3" t="n"/>
      <c r="UHX22" s="4" t="n"/>
      <c r="UHY22" s="1" t="n"/>
      <c r="UHZ22" s="1" t="n"/>
      <c r="UIA22" s="3" t="n"/>
      <c r="UIB22" s="4" t="n"/>
      <c r="UIC22" s="1" t="n"/>
      <c r="UID22" s="1" t="n"/>
      <c r="UIE22" s="3" t="n"/>
      <c r="UIF22" s="4" t="n"/>
      <c r="UIG22" s="1" t="n"/>
      <c r="UIH22" s="1" t="n"/>
      <c r="UII22" s="3" t="n"/>
      <c r="UIJ22" s="4" t="n"/>
      <c r="UIK22" s="1" t="n"/>
      <c r="UIL22" s="1" t="n"/>
      <c r="UIM22" s="3" t="n"/>
      <c r="UIN22" s="4" t="n"/>
      <c r="UIO22" s="1" t="n"/>
      <c r="UIP22" s="1" t="n"/>
      <c r="UIQ22" s="3" t="n"/>
      <c r="UIR22" s="4" t="n"/>
      <c r="UIS22" s="1" t="n"/>
      <c r="UIT22" s="1" t="n"/>
      <c r="UIU22" s="3" t="n"/>
      <c r="UIV22" s="4" t="n"/>
      <c r="UIW22" s="1" t="n"/>
      <c r="UIX22" s="1" t="n"/>
      <c r="UIY22" s="3" t="n"/>
      <c r="UIZ22" s="4" t="n"/>
      <c r="UJA22" s="1" t="n"/>
      <c r="UJB22" s="1" t="n"/>
      <c r="UJC22" s="3" t="n"/>
      <c r="UJD22" s="4" t="n"/>
      <c r="UJE22" s="1" t="n"/>
      <c r="UJF22" s="1" t="n"/>
      <c r="UJG22" s="3" t="n"/>
      <c r="UJH22" s="4" t="n"/>
      <c r="UJI22" s="1" t="n"/>
      <c r="UJJ22" s="1" t="n"/>
      <c r="UJK22" s="3" t="n"/>
      <c r="UJL22" s="4" t="n"/>
      <c r="UJM22" s="1" t="n"/>
      <c r="UJN22" s="1" t="n"/>
      <c r="UJO22" s="3" t="n"/>
      <c r="UJP22" s="4" t="n"/>
      <c r="UJQ22" s="1" t="n"/>
      <c r="UJR22" s="1" t="n"/>
      <c r="UJS22" s="3" t="n"/>
      <c r="UJT22" s="4" t="n"/>
      <c r="UJU22" s="1" t="n"/>
      <c r="UJV22" s="1" t="n"/>
      <c r="UJW22" s="3" t="n"/>
      <c r="UJX22" s="4" t="n"/>
      <c r="UJY22" s="1" t="n"/>
      <c r="UJZ22" s="1" t="n"/>
      <c r="UKA22" s="3" t="n"/>
      <c r="UKB22" s="4" t="n"/>
      <c r="UKC22" s="1" t="n"/>
      <c r="UKD22" s="1" t="n"/>
      <c r="UKE22" s="3" t="n"/>
      <c r="UKF22" s="4" t="n"/>
      <c r="UKG22" s="1" t="n"/>
      <c r="UKH22" s="1" t="n"/>
      <c r="UKI22" s="3" t="n"/>
      <c r="UKJ22" s="4" t="n"/>
      <c r="UKK22" s="1" t="n"/>
      <c r="UKL22" s="1" t="n"/>
      <c r="UKM22" s="3" t="n"/>
      <c r="UKN22" s="4" t="n"/>
      <c r="UKO22" s="1" t="n"/>
      <c r="UKP22" s="1" t="n"/>
      <c r="UKQ22" s="3" t="n"/>
      <c r="UKR22" s="4" t="n"/>
      <c r="UKS22" s="1" t="n"/>
      <c r="UKT22" s="1" t="n"/>
      <c r="UKU22" s="3" t="n"/>
      <c r="UKV22" s="4" t="n"/>
      <c r="UKW22" s="1" t="n"/>
      <c r="UKX22" s="1" t="n"/>
      <c r="UKY22" s="3" t="n"/>
      <c r="UKZ22" s="4" t="n"/>
      <c r="ULA22" s="1" t="n"/>
      <c r="ULB22" s="1" t="n"/>
      <c r="ULC22" s="3" t="n"/>
      <c r="ULD22" s="4" t="n"/>
      <c r="ULE22" s="1" t="n"/>
      <c r="ULF22" s="1" t="n"/>
      <c r="ULG22" s="3" t="n"/>
      <c r="ULH22" s="4" t="n"/>
      <c r="ULI22" s="1" t="n"/>
      <c r="ULJ22" s="1" t="n"/>
      <c r="ULK22" s="3" t="n"/>
      <c r="ULL22" s="4" t="n"/>
      <c r="ULM22" s="1" t="n"/>
      <c r="ULN22" s="1" t="n"/>
      <c r="ULO22" s="3" t="n"/>
      <c r="ULP22" s="4" t="n"/>
      <c r="ULQ22" s="1" t="n"/>
      <c r="ULR22" s="1" t="n"/>
      <c r="ULS22" s="3" t="n"/>
      <c r="ULT22" s="4" t="n"/>
      <c r="ULU22" s="1" t="n"/>
      <c r="ULV22" s="1" t="n"/>
      <c r="ULW22" s="3" t="n"/>
      <c r="ULX22" s="4" t="n"/>
      <c r="ULY22" s="1" t="n"/>
      <c r="ULZ22" s="1" t="n"/>
      <c r="UMA22" s="3" t="n"/>
      <c r="UMB22" s="4" t="n"/>
      <c r="UMC22" s="1" t="n"/>
      <c r="UMD22" s="1" t="n"/>
      <c r="UME22" s="3" t="n"/>
      <c r="UMF22" s="4" t="n"/>
      <c r="UMG22" s="1" t="n"/>
      <c r="UMH22" s="1" t="n"/>
      <c r="UMI22" s="3" t="n"/>
      <c r="UMJ22" s="4" t="n"/>
      <c r="UMK22" s="1" t="n"/>
      <c r="UML22" s="1" t="n"/>
      <c r="UMM22" s="3" t="n"/>
      <c r="UMN22" s="4" t="n"/>
      <c r="UMO22" s="1" t="n"/>
      <c r="UMP22" s="1" t="n"/>
      <c r="UMQ22" s="3" t="n"/>
      <c r="UMR22" s="4" t="n"/>
      <c r="UMS22" s="1" t="n"/>
      <c r="UMT22" s="1" t="n"/>
      <c r="UMU22" s="3" t="n"/>
      <c r="UMV22" s="4" t="n"/>
      <c r="UMW22" s="1" t="n"/>
      <c r="UMX22" s="1" t="n"/>
      <c r="UMY22" s="3" t="n"/>
      <c r="UMZ22" s="4" t="n"/>
      <c r="UNA22" s="1" t="n"/>
      <c r="UNB22" s="1" t="n"/>
      <c r="UNC22" s="3" t="n"/>
      <c r="UND22" s="4" t="n"/>
      <c r="UNE22" s="1" t="n"/>
      <c r="UNF22" s="1" t="n"/>
      <c r="UNG22" s="3" t="n"/>
      <c r="UNH22" s="4" t="n"/>
      <c r="UNI22" s="1" t="n"/>
      <c r="UNJ22" s="1" t="n"/>
      <c r="UNK22" s="3" t="n"/>
      <c r="UNL22" s="4" t="n"/>
      <c r="UNM22" s="1" t="n"/>
      <c r="UNN22" s="1" t="n"/>
      <c r="UNO22" s="3" t="n"/>
      <c r="UNP22" s="4" t="n"/>
      <c r="UNQ22" s="1" t="n"/>
      <c r="UNR22" s="1" t="n"/>
      <c r="UNS22" s="3" t="n"/>
      <c r="UNT22" s="4" t="n"/>
      <c r="UNU22" s="1" t="n"/>
      <c r="UNV22" s="1" t="n"/>
      <c r="UNW22" s="3" t="n"/>
      <c r="UNX22" s="4" t="n"/>
      <c r="UNY22" s="1" t="n"/>
      <c r="UNZ22" s="1" t="n"/>
      <c r="UOA22" s="3" t="n"/>
      <c r="UOB22" s="4" t="n"/>
      <c r="UOC22" s="1" t="n"/>
      <c r="UOD22" s="1" t="n"/>
      <c r="UOE22" s="3" t="n"/>
      <c r="UOF22" s="4" t="n"/>
      <c r="UOG22" s="1" t="n"/>
      <c r="UOH22" s="1" t="n"/>
      <c r="UOI22" s="3" t="n"/>
      <c r="UOJ22" s="4" t="n"/>
      <c r="UOK22" s="1" t="n"/>
      <c r="UOL22" s="1" t="n"/>
      <c r="UOM22" s="3" t="n"/>
      <c r="UON22" s="4" t="n"/>
      <c r="UOO22" s="1" t="n"/>
      <c r="UOP22" s="1" t="n"/>
      <c r="UOQ22" s="3" t="n"/>
      <c r="UOR22" s="4" t="n"/>
      <c r="UOS22" s="1" t="n"/>
      <c r="UOT22" s="1" t="n"/>
      <c r="UOU22" s="3" t="n"/>
      <c r="UOV22" s="4" t="n"/>
      <c r="UOW22" s="1" t="n"/>
      <c r="UOX22" s="1" t="n"/>
      <c r="UOY22" s="3" t="n"/>
      <c r="UOZ22" s="4" t="n"/>
      <c r="UPA22" s="1" t="n"/>
      <c r="UPB22" s="1" t="n"/>
      <c r="UPC22" s="3" t="n"/>
      <c r="UPD22" s="4" t="n"/>
      <c r="UPE22" s="1" t="n"/>
      <c r="UPF22" s="1" t="n"/>
      <c r="UPG22" s="3" t="n"/>
      <c r="UPH22" s="4" t="n"/>
      <c r="UPI22" s="1" t="n"/>
      <c r="UPJ22" s="1" t="n"/>
      <c r="UPK22" s="3" t="n"/>
      <c r="UPL22" s="4" t="n"/>
      <c r="UPM22" s="1" t="n"/>
      <c r="UPN22" s="1" t="n"/>
      <c r="UPO22" s="3" t="n"/>
      <c r="UPP22" s="4" t="n"/>
      <c r="UPQ22" s="1" t="n"/>
      <c r="UPR22" s="1" t="n"/>
      <c r="UPS22" s="3" t="n"/>
      <c r="UPT22" s="4" t="n"/>
      <c r="UPU22" s="1" t="n"/>
      <c r="UPV22" s="1" t="n"/>
      <c r="UPW22" s="3" t="n"/>
      <c r="UPX22" s="4" t="n"/>
      <c r="UPY22" s="1" t="n"/>
      <c r="UPZ22" s="1" t="n"/>
      <c r="UQA22" s="3" t="n"/>
      <c r="UQB22" s="4" t="n"/>
      <c r="UQC22" s="1" t="n"/>
      <c r="UQD22" s="1" t="n"/>
      <c r="UQE22" s="3" t="n"/>
      <c r="UQF22" s="4" t="n"/>
      <c r="UQG22" s="1" t="n"/>
      <c r="UQH22" s="1" t="n"/>
      <c r="UQI22" s="3" t="n"/>
      <c r="UQJ22" s="4" t="n"/>
      <c r="UQK22" s="1" t="n"/>
      <c r="UQL22" s="1" t="n"/>
      <c r="UQM22" s="3" t="n"/>
      <c r="UQN22" s="4" t="n"/>
      <c r="UQO22" s="1" t="n"/>
      <c r="UQP22" s="1" t="n"/>
      <c r="UQQ22" s="3" t="n"/>
      <c r="UQR22" s="4" t="n"/>
      <c r="UQS22" s="1" t="n"/>
      <c r="UQT22" s="1" t="n"/>
      <c r="UQU22" s="3" t="n"/>
      <c r="UQV22" s="4" t="n"/>
      <c r="UQW22" s="1" t="n"/>
      <c r="UQX22" s="1" t="n"/>
      <c r="UQY22" s="3" t="n"/>
      <c r="UQZ22" s="4" t="n"/>
      <c r="URA22" s="1" t="n"/>
      <c r="URB22" s="1" t="n"/>
      <c r="URC22" s="3" t="n"/>
      <c r="URD22" s="4" t="n"/>
      <c r="URE22" s="1" t="n"/>
      <c r="URF22" s="1" t="n"/>
      <c r="URG22" s="3" t="n"/>
      <c r="URH22" s="4" t="n"/>
      <c r="URI22" s="1" t="n"/>
      <c r="URJ22" s="1" t="n"/>
      <c r="URK22" s="3" t="n"/>
      <c r="URL22" s="4" t="n"/>
      <c r="URM22" s="1" t="n"/>
      <c r="URN22" s="1" t="n"/>
      <c r="URO22" s="3" t="n"/>
      <c r="URP22" s="4" t="n"/>
      <c r="URQ22" s="1" t="n"/>
      <c r="URR22" s="1" t="n"/>
      <c r="URS22" s="3" t="n"/>
      <c r="URT22" s="4" t="n"/>
      <c r="URU22" s="1" t="n"/>
      <c r="URV22" s="1" t="n"/>
      <c r="URW22" s="3" t="n"/>
      <c r="URX22" s="4" t="n"/>
      <c r="URY22" s="1" t="n"/>
      <c r="URZ22" s="1" t="n"/>
      <c r="USA22" s="3" t="n"/>
      <c r="USB22" s="4" t="n"/>
      <c r="USC22" s="1" t="n"/>
      <c r="USD22" s="1" t="n"/>
      <c r="USE22" s="3" t="n"/>
      <c r="USF22" s="4" t="n"/>
      <c r="USG22" s="1" t="n"/>
      <c r="USH22" s="1" t="n"/>
      <c r="USI22" s="3" t="n"/>
      <c r="USJ22" s="4" t="n"/>
      <c r="USK22" s="1" t="n"/>
      <c r="USL22" s="1" t="n"/>
      <c r="USM22" s="3" t="n"/>
      <c r="USN22" s="4" t="n"/>
      <c r="USO22" s="1" t="n"/>
      <c r="USP22" s="1" t="n"/>
      <c r="USQ22" s="3" t="n"/>
      <c r="USR22" s="4" t="n"/>
      <c r="USS22" s="1" t="n"/>
      <c r="UST22" s="1" t="n"/>
      <c r="USU22" s="3" t="n"/>
      <c r="USV22" s="4" t="n"/>
      <c r="USW22" s="1" t="n"/>
      <c r="USX22" s="1" t="n"/>
      <c r="USY22" s="3" t="n"/>
      <c r="USZ22" s="4" t="n"/>
      <c r="UTA22" s="1" t="n"/>
      <c r="UTB22" s="1" t="n"/>
      <c r="UTC22" s="3" t="n"/>
      <c r="UTD22" s="4" t="n"/>
      <c r="UTE22" s="1" t="n"/>
      <c r="UTF22" s="1" t="n"/>
      <c r="UTG22" s="3" t="n"/>
      <c r="UTH22" s="4" t="n"/>
      <c r="UTI22" s="1" t="n"/>
      <c r="UTJ22" s="1" t="n"/>
      <c r="UTK22" s="3" t="n"/>
      <c r="UTL22" s="4" t="n"/>
      <c r="UTM22" s="1" t="n"/>
      <c r="UTN22" s="1" t="n"/>
      <c r="UTO22" s="3" t="n"/>
      <c r="UTP22" s="4" t="n"/>
      <c r="UTQ22" s="1" t="n"/>
      <c r="UTR22" s="1" t="n"/>
      <c r="UTS22" s="3" t="n"/>
      <c r="UTT22" s="4" t="n"/>
      <c r="UTU22" s="1" t="n"/>
      <c r="UTV22" s="1" t="n"/>
      <c r="UTW22" s="3" t="n"/>
      <c r="UTX22" s="4" t="n"/>
      <c r="UTY22" s="1" t="n"/>
      <c r="UTZ22" s="1" t="n"/>
      <c r="UUA22" s="3" t="n"/>
      <c r="UUB22" s="4" t="n"/>
      <c r="UUC22" s="1" t="n"/>
      <c r="UUD22" s="1" t="n"/>
      <c r="UUE22" s="3" t="n"/>
      <c r="UUF22" s="4" t="n"/>
      <c r="UUG22" s="1" t="n"/>
      <c r="UUH22" s="1" t="n"/>
      <c r="UUI22" s="3" t="n"/>
      <c r="UUJ22" s="4" t="n"/>
      <c r="UUK22" s="1" t="n"/>
      <c r="UUL22" s="1" t="n"/>
      <c r="UUM22" s="3" t="n"/>
      <c r="UUN22" s="4" t="n"/>
      <c r="UUO22" s="1" t="n"/>
      <c r="UUP22" s="1" t="n"/>
      <c r="UUQ22" s="3" t="n"/>
      <c r="UUR22" s="4" t="n"/>
      <c r="UUS22" s="1" t="n"/>
      <c r="UUT22" s="1" t="n"/>
      <c r="UUU22" s="3" t="n"/>
      <c r="UUV22" s="4" t="n"/>
      <c r="UUW22" s="1" t="n"/>
      <c r="UUX22" s="1" t="n"/>
      <c r="UUY22" s="3" t="n"/>
      <c r="UUZ22" s="4" t="n"/>
      <c r="UVA22" s="1" t="n"/>
      <c r="UVB22" s="1" t="n"/>
      <c r="UVC22" s="3" t="n"/>
      <c r="UVD22" s="4" t="n"/>
      <c r="UVE22" s="1" t="n"/>
      <c r="UVF22" s="1" t="n"/>
      <c r="UVG22" s="3" t="n"/>
      <c r="UVH22" s="4" t="n"/>
      <c r="UVI22" s="1" t="n"/>
      <c r="UVJ22" s="1" t="n"/>
      <c r="UVK22" s="3" t="n"/>
      <c r="UVL22" s="4" t="n"/>
      <c r="UVM22" s="1" t="n"/>
      <c r="UVN22" s="1" t="n"/>
      <c r="UVO22" s="3" t="n"/>
      <c r="UVP22" s="4" t="n"/>
      <c r="UVQ22" s="1" t="n"/>
      <c r="UVR22" s="1" t="n"/>
      <c r="UVS22" s="3" t="n"/>
      <c r="UVT22" s="4" t="n"/>
      <c r="UVU22" s="1" t="n"/>
      <c r="UVV22" s="1" t="n"/>
      <c r="UVW22" s="3" t="n"/>
      <c r="UVX22" s="4" t="n"/>
      <c r="UVY22" s="1" t="n"/>
      <c r="UVZ22" s="1" t="n"/>
      <c r="UWA22" s="3" t="n"/>
      <c r="UWB22" s="4" t="n"/>
      <c r="UWC22" s="1" t="n"/>
      <c r="UWD22" s="1" t="n"/>
      <c r="UWE22" s="3" t="n"/>
      <c r="UWF22" s="4" t="n"/>
      <c r="UWG22" s="1" t="n"/>
      <c r="UWH22" s="1" t="n"/>
      <c r="UWI22" s="3" t="n"/>
      <c r="UWJ22" s="4" t="n"/>
      <c r="UWK22" s="1" t="n"/>
      <c r="UWL22" s="1" t="n"/>
      <c r="UWM22" s="3" t="n"/>
      <c r="UWN22" s="4" t="n"/>
      <c r="UWO22" s="1" t="n"/>
      <c r="UWP22" s="1" t="n"/>
      <c r="UWQ22" s="3" t="n"/>
      <c r="UWR22" s="4" t="n"/>
      <c r="UWS22" s="1" t="n"/>
      <c r="UWT22" s="1" t="n"/>
      <c r="UWU22" s="3" t="n"/>
      <c r="UWV22" s="4" t="n"/>
      <c r="UWW22" s="1" t="n"/>
      <c r="UWX22" s="1" t="n"/>
      <c r="UWY22" s="3" t="n"/>
      <c r="UWZ22" s="4" t="n"/>
      <c r="UXA22" s="1" t="n"/>
      <c r="UXB22" s="1" t="n"/>
      <c r="UXC22" s="3" t="n"/>
      <c r="UXD22" s="4" t="n"/>
      <c r="UXE22" s="1" t="n"/>
      <c r="UXF22" s="1" t="n"/>
      <c r="UXG22" s="3" t="n"/>
      <c r="UXH22" s="4" t="n"/>
      <c r="UXI22" s="1" t="n"/>
      <c r="UXJ22" s="1" t="n"/>
      <c r="UXK22" s="3" t="n"/>
      <c r="UXL22" s="4" t="n"/>
      <c r="UXM22" s="1" t="n"/>
      <c r="UXN22" s="1" t="n"/>
      <c r="UXO22" s="3" t="n"/>
      <c r="UXP22" s="4" t="n"/>
      <c r="UXQ22" s="1" t="n"/>
      <c r="UXR22" s="1" t="n"/>
      <c r="UXS22" s="3" t="n"/>
      <c r="UXT22" s="4" t="n"/>
      <c r="UXU22" s="1" t="n"/>
      <c r="UXV22" s="1" t="n"/>
      <c r="UXW22" s="3" t="n"/>
      <c r="UXX22" s="4" t="n"/>
      <c r="UXY22" s="1" t="n"/>
      <c r="UXZ22" s="1" t="n"/>
      <c r="UYA22" s="3" t="n"/>
      <c r="UYB22" s="4" t="n"/>
      <c r="UYC22" s="1" t="n"/>
      <c r="UYD22" s="1" t="n"/>
      <c r="UYE22" s="3" t="n"/>
      <c r="UYF22" s="4" t="n"/>
      <c r="UYG22" s="1" t="n"/>
      <c r="UYH22" s="1" t="n"/>
      <c r="UYI22" s="3" t="n"/>
      <c r="UYJ22" s="4" t="n"/>
      <c r="UYK22" s="1" t="n"/>
      <c r="UYL22" s="1" t="n"/>
      <c r="UYM22" s="3" t="n"/>
      <c r="UYN22" s="4" t="n"/>
      <c r="UYO22" s="1" t="n"/>
      <c r="UYP22" s="1" t="n"/>
      <c r="UYQ22" s="3" t="n"/>
      <c r="UYR22" s="4" t="n"/>
      <c r="UYS22" s="1" t="n"/>
      <c r="UYT22" s="1" t="n"/>
      <c r="UYU22" s="3" t="n"/>
      <c r="UYV22" s="4" t="n"/>
      <c r="UYW22" s="1" t="n"/>
      <c r="UYX22" s="1" t="n"/>
      <c r="UYY22" s="3" t="n"/>
      <c r="UYZ22" s="4" t="n"/>
      <c r="UZA22" s="1" t="n"/>
      <c r="UZB22" s="1" t="n"/>
      <c r="UZC22" s="3" t="n"/>
      <c r="UZD22" s="4" t="n"/>
      <c r="UZE22" s="1" t="n"/>
      <c r="UZF22" s="1" t="n"/>
      <c r="UZG22" s="3" t="n"/>
      <c r="UZH22" s="4" t="n"/>
      <c r="UZI22" s="1" t="n"/>
      <c r="UZJ22" s="1" t="n"/>
      <c r="UZK22" s="3" t="n"/>
      <c r="UZL22" s="4" t="n"/>
      <c r="UZM22" s="1" t="n"/>
      <c r="UZN22" s="1" t="n"/>
      <c r="UZO22" s="3" t="n"/>
      <c r="UZP22" s="4" t="n"/>
      <c r="UZQ22" s="1" t="n"/>
      <c r="UZR22" s="1" t="n"/>
      <c r="UZS22" s="3" t="n"/>
      <c r="UZT22" s="4" t="n"/>
      <c r="UZU22" s="1" t="n"/>
      <c r="UZV22" s="1" t="n"/>
      <c r="UZW22" s="3" t="n"/>
      <c r="UZX22" s="4" t="n"/>
      <c r="UZY22" s="1" t="n"/>
      <c r="UZZ22" s="1" t="n"/>
      <c r="VAA22" s="3" t="n"/>
      <c r="VAB22" s="4" t="n"/>
      <c r="VAC22" s="1" t="n"/>
      <c r="VAD22" s="1" t="n"/>
      <c r="VAE22" s="3" t="n"/>
      <c r="VAF22" s="4" t="n"/>
      <c r="VAG22" s="1" t="n"/>
      <c r="VAH22" s="1" t="n"/>
      <c r="VAI22" s="3" t="n"/>
      <c r="VAJ22" s="4" t="n"/>
      <c r="VAK22" s="1" t="n"/>
      <c r="VAL22" s="1" t="n"/>
      <c r="VAM22" s="3" t="n"/>
      <c r="VAN22" s="4" t="n"/>
      <c r="VAO22" s="1" t="n"/>
      <c r="VAP22" s="1" t="n"/>
      <c r="VAQ22" s="3" t="n"/>
      <c r="VAR22" s="4" t="n"/>
      <c r="VAS22" s="1" t="n"/>
      <c r="VAT22" s="1" t="n"/>
      <c r="VAU22" s="3" t="n"/>
      <c r="VAV22" s="4" t="n"/>
      <c r="VAW22" s="1" t="n"/>
      <c r="VAX22" s="1" t="n"/>
      <c r="VAY22" s="3" t="n"/>
      <c r="VAZ22" s="4" t="n"/>
      <c r="VBA22" s="1" t="n"/>
      <c r="VBB22" s="1" t="n"/>
      <c r="VBC22" s="3" t="n"/>
      <c r="VBD22" s="4" t="n"/>
      <c r="VBE22" s="1" t="n"/>
      <c r="VBF22" s="1" t="n"/>
      <c r="VBG22" s="3" t="n"/>
      <c r="VBH22" s="4" t="n"/>
      <c r="VBI22" s="1" t="n"/>
      <c r="VBJ22" s="1" t="n"/>
      <c r="VBK22" s="3" t="n"/>
      <c r="VBL22" s="4" t="n"/>
      <c r="VBM22" s="1" t="n"/>
      <c r="VBN22" s="1" t="n"/>
      <c r="VBO22" s="3" t="n"/>
      <c r="VBP22" s="4" t="n"/>
      <c r="VBQ22" s="1" t="n"/>
      <c r="VBR22" s="1" t="n"/>
      <c r="VBS22" s="3" t="n"/>
      <c r="VBT22" s="4" t="n"/>
      <c r="VBU22" s="1" t="n"/>
      <c r="VBV22" s="1" t="n"/>
      <c r="VBW22" s="3" t="n"/>
      <c r="VBX22" s="4" t="n"/>
      <c r="VBY22" s="1" t="n"/>
      <c r="VBZ22" s="1" t="n"/>
      <c r="VCA22" s="3" t="n"/>
      <c r="VCB22" s="4" t="n"/>
      <c r="VCC22" s="1" t="n"/>
      <c r="VCD22" s="1" t="n"/>
      <c r="VCE22" s="3" t="n"/>
      <c r="VCF22" s="4" t="n"/>
      <c r="VCG22" s="1" t="n"/>
      <c r="VCH22" s="1" t="n"/>
      <c r="VCI22" s="3" t="n"/>
      <c r="VCJ22" s="4" t="n"/>
      <c r="VCK22" s="1" t="n"/>
      <c r="VCL22" s="1" t="n"/>
      <c r="VCM22" s="3" t="n"/>
      <c r="VCN22" s="4" t="n"/>
      <c r="VCO22" s="1" t="n"/>
      <c r="VCP22" s="1" t="n"/>
      <c r="VCQ22" s="3" t="n"/>
      <c r="VCR22" s="4" t="n"/>
      <c r="VCS22" s="1" t="n"/>
      <c r="VCT22" s="1" t="n"/>
      <c r="VCU22" s="3" t="n"/>
      <c r="VCV22" s="4" t="n"/>
      <c r="VCW22" s="1" t="n"/>
      <c r="VCX22" s="1" t="n"/>
      <c r="VCY22" s="3" t="n"/>
      <c r="VCZ22" s="4" t="n"/>
      <c r="VDA22" s="1" t="n"/>
      <c r="VDB22" s="1" t="n"/>
      <c r="VDC22" s="3" t="n"/>
      <c r="VDD22" s="4" t="n"/>
      <c r="VDE22" s="1" t="n"/>
      <c r="VDF22" s="1" t="n"/>
      <c r="VDG22" s="3" t="n"/>
      <c r="VDH22" s="4" t="n"/>
      <c r="VDI22" s="1" t="n"/>
      <c r="VDJ22" s="1" t="n"/>
      <c r="VDK22" s="3" t="n"/>
      <c r="VDL22" s="4" t="n"/>
      <c r="VDM22" s="1" t="n"/>
      <c r="VDN22" s="1" t="n"/>
      <c r="VDO22" s="3" t="n"/>
      <c r="VDP22" s="4" t="n"/>
      <c r="VDQ22" s="1" t="n"/>
      <c r="VDR22" s="1" t="n"/>
      <c r="VDS22" s="3" t="n"/>
      <c r="VDT22" s="4" t="n"/>
      <c r="VDU22" s="1" t="n"/>
      <c r="VDV22" s="1" t="n"/>
      <c r="VDW22" s="3" t="n"/>
      <c r="VDX22" s="4" t="n"/>
      <c r="VDY22" s="1" t="n"/>
      <c r="VDZ22" s="1" t="n"/>
      <c r="VEA22" s="3" t="n"/>
      <c r="VEB22" s="4" t="n"/>
      <c r="VEC22" s="1" t="n"/>
      <c r="VED22" s="1" t="n"/>
      <c r="VEE22" s="3" t="n"/>
      <c r="VEF22" s="4" t="n"/>
      <c r="VEG22" s="1" t="n"/>
      <c r="VEH22" s="1" t="n"/>
      <c r="VEI22" s="3" t="n"/>
      <c r="VEJ22" s="4" t="n"/>
      <c r="VEK22" s="1" t="n"/>
      <c r="VEL22" s="1" t="n"/>
      <c r="VEM22" s="3" t="n"/>
      <c r="VEN22" s="4" t="n"/>
      <c r="VEO22" s="1" t="n"/>
      <c r="VEP22" s="1" t="n"/>
      <c r="VEQ22" s="3" t="n"/>
      <c r="VER22" s="4" t="n"/>
      <c r="VES22" s="1" t="n"/>
      <c r="VET22" s="1" t="n"/>
      <c r="VEU22" s="3" t="n"/>
      <c r="VEV22" s="4" t="n"/>
      <c r="VEW22" s="1" t="n"/>
      <c r="VEX22" s="1" t="n"/>
      <c r="VEY22" s="3" t="n"/>
      <c r="VEZ22" s="4" t="n"/>
      <c r="VFA22" s="1" t="n"/>
      <c r="VFB22" s="1" t="n"/>
      <c r="VFC22" s="3" t="n"/>
      <c r="VFD22" s="4" t="n"/>
      <c r="VFE22" s="1" t="n"/>
      <c r="VFF22" s="1" t="n"/>
      <c r="VFG22" s="3" t="n"/>
      <c r="VFH22" s="4" t="n"/>
      <c r="VFI22" s="1" t="n"/>
      <c r="VFJ22" s="1" t="n"/>
      <c r="VFK22" s="3" t="n"/>
      <c r="VFL22" s="4" t="n"/>
      <c r="VFM22" s="1" t="n"/>
      <c r="VFN22" s="1" t="n"/>
      <c r="VFO22" s="3" t="n"/>
      <c r="VFP22" s="4" t="n"/>
      <c r="VFQ22" s="1" t="n"/>
      <c r="VFR22" s="1" t="n"/>
      <c r="VFS22" s="3" t="n"/>
      <c r="VFT22" s="4" t="n"/>
      <c r="VFU22" s="1" t="n"/>
      <c r="VFV22" s="1" t="n"/>
      <c r="VFW22" s="3" t="n"/>
      <c r="VFX22" s="4" t="n"/>
      <c r="VFY22" s="1" t="n"/>
      <c r="VFZ22" s="1" t="n"/>
      <c r="VGA22" s="3" t="n"/>
      <c r="VGB22" s="4" t="n"/>
      <c r="VGC22" s="1" t="n"/>
      <c r="VGD22" s="1" t="n"/>
      <c r="VGE22" s="3" t="n"/>
      <c r="VGF22" s="4" t="n"/>
      <c r="VGG22" s="1" t="n"/>
      <c r="VGH22" s="1" t="n"/>
      <c r="VGI22" s="3" t="n"/>
      <c r="VGJ22" s="4" t="n"/>
      <c r="VGK22" s="1" t="n"/>
      <c r="VGL22" s="1" t="n"/>
      <c r="VGM22" s="3" t="n"/>
      <c r="VGN22" s="4" t="n"/>
      <c r="VGO22" s="1" t="n"/>
      <c r="VGP22" s="1" t="n"/>
      <c r="VGQ22" s="3" t="n"/>
      <c r="VGR22" s="4" t="n"/>
      <c r="VGS22" s="1" t="n"/>
      <c r="VGT22" s="1" t="n"/>
      <c r="VGU22" s="3" t="n"/>
      <c r="VGV22" s="4" t="n"/>
      <c r="VGW22" s="1" t="n"/>
      <c r="VGX22" s="1" t="n"/>
      <c r="VGY22" s="3" t="n"/>
      <c r="VGZ22" s="4" t="n"/>
      <c r="VHA22" s="1" t="n"/>
      <c r="VHB22" s="1" t="n"/>
      <c r="VHC22" s="3" t="n"/>
      <c r="VHD22" s="4" t="n"/>
      <c r="VHE22" s="1" t="n"/>
      <c r="VHF22" s="1" t="n"/>
      <c r="VHG22" s="3" t="n"/>
      <c r="VHH22" s="4" t="n"/>
      <c r="VHI22" s="1" t="n"/>
      <c r="VHJ22" s="1" t="n"/>
      <c r="VHK22" s="3" t="n"/>
      <c r="VHL22" s="4" t="n"/>
      <c r="VHM22" s="1" t="n"/>
      <c r="VHN22" s="1" t="n"/>
      <c r="VHO22" s="3" t="n"/>
      <c r="VHP22" s="4" t="n"/>
      <c r="VHQ22" s="1" t="n"/>
      <c r="VHR22" s="1" t="n"/>
      <c r="VHS22" s="3" t="n"/>
      <c r="VHT22" s="4" t="n"/>
      <c r="VHU22" s="1" t="n"/>
      <c r="VHV22" s="1" t="n"/>
      <c r="VHW22" s="3" t="n"/>
      <c r="VHX22" s="4" t="n"/>
      <c r="VHY22" s="1" t="n"/>
      <c r="VHZ22" s="1" t="n"/>
      <c r="VIA22" s="3" t="n"/>
      <c r="VIB22" s="4" t="n"/>
      <c r="VIC22" s="1" t="n"/>
      <c r="VID22" s="1" t="n"/>
      <c r="VIE22" s="3" t="n"/>
      <c r="VIF22" s="4" t="n"/>
      <c r="VIG22" s="1" t="n"/>
      <c r="VIH22" s="1" t="n"/>
      <c r="VII22" s="3" t="n"/>
      <c r="VIJ22" s="4" t="n"/>
      <c r="VIK22" s="1" t="n"/>
      <c r="VIL22" s="1" t="n"/>
      <c r="VIM22" s="3" t="n"/>
      <c r="VIN22" s="4" t="n"/>
      <c r="VIO22" s="1" t="n"/>
      <c r="VIP22" s="1" t="n"/>
      <c r="VIQ22" s="3" t="n"/>
      <c r="VIR22" s="4" t="n"/>
      <c r="VIS22" s="1" t="n"/>
      <c r="VIT22" s="1" t="n"/>
      <c r="VIU22" s="3" t="n"/>
      <c r="VIV22" s="4" t="n"/>
      <c r="VIW22" s="1" t="n"/>
      <c r="VIX22" s="1" t="n"/>
      <c r="VIY22" s="3" t="n"/>
      <c r="VIZ22" s="4" t="n"/>
      <c r="VJA22" s="1" t="n"/>
      <c r="VJB22" s="1" t="n"/>
      <c r="VJC22" s="3" t="n"/>
      <c r="VJD22" s="4" t="n"/>
      <c r="VJE22" s="1" t="n"/>
      <c r="VJF22" s="1" t="n"/>
      <c r="VJG22" s="3" t="n"/>
      <c r="VJH22" s="4" t="n"/>
      <c r="VJI22" s="1" t="n"/>
      <c r="VJJ22" s="1" t="n"/>
      <c r="VJK22" s="3" t="n"/>
      <c r="VJL22" s="4" t="n"/>
      <c r="VJM22" s="1" t="n"/>
      <c r="VJN22" s="1" t="n"/>
      <c r="VJO22" s="3" t="n"/>
      <c r="VJP22" s="4" t="n"/>
      <c r="VJQ22" s="1" t="n"/>
      <c r="VJR22" s="1" t="n"/>
      <c r="VJS22" s="3" t="n"/>
      <c r="VJT22" s="4" t="n"/>
      <c r="VJU22" s="1" t="n"/>
      <c r="VJV22" s="1" t="n"/>
      <c r="VJW22" s="3" t="n"/>
      <c r="VJX22" s="4" t="n"/>
      <c r="VJY22" s="1" t="n"/>
      <c r="VJZ22" s="1" t="n"/>
      <c r="VKA22" s="3" t="n"/>
      <c r="VKB22" s="4" t="n"/>
      <c r="VKC22" s="1" t="n"/>
      <c r="VKD22" s="1" t="n"/>
      <c r="VKE22" s="3" t="n"/>
      <c r="VKF22" s="4" t="n"/>
      <c r="VKG22" s="1" t="n"/>
      <c r="VKH22" s="1" t="n"/>
      <c r="VKI22" s="3" t="n"/>
      <c r="VKJ22" s="4" t="n"/>
      <c r="VKK22" s="1" t="n"/>
      <c r="VKL22" s="1" t="n"/>
      <c r="VKM22" s="3" t="n"/>
      <c r="VKN22" s="4" t="n"/>
      <c r="VKO22" s="1" t="n"/>
      <c r="VKP22" s="1" t="n"/>
      <c r="VKQ22" s="3" t="n"/>
      <c r="VKR22" s="4" t="n"/>
      <c r="VKS22" s="1" t="n"/>
      <c r="VKT22" s="1" t="n"/>
      <c r="VKU22" s="3" t="n"/>
      <c r="VKV22" s="4" t="n"/>
      <c r="VKW22" s="1" t="n"/>
      <c r="VKX22" s="1" t="n"/>
      <c r="VKY22" s="3" t="n"/>
      <c r="VKZ22" s="4" t="n"/>
      <c r="VLA22" s="1" t="n"/>
      <c r="VLB22" s="1" t="n"/>
      <c r="VLC22" s="3" t="n"/>
      <c r="VLD22" s="4" t="n"/>
      <c r="VLE22" s="1" t="n"/>
      <c r="VLF22" s="1" t="n"/>
      <c r="VLG22" s="3" t="n"/>
      <c r="VLH22" s="4" t="n"/>
      <c r="VLI22" s="1" t="n"/>
      <c r="VLJ22" s="1" t="n"/>
      <c r="VLK22" s="3" t="n"/>
      <c r="VLL22" s="4" t="n"/>
      <c r="VLM22" s="1" t="n"/>
      <c r="VLN22" s="1" t="n"/>
      <c r="VLO22" s="3" t="n"/>
      <c r="VLP22" s="4" t="n"/>
      <c r="VLQ22" s="1" t="n"/>
      <c r="VLR22" s="1" t="n"/>
      <c r="VLS22" s="3" t="n"/>
      <c r="VLT22" s="4" t="n"/>
      <c r="VLU22" s="1" t="n"/>
      <c r="VLV22" s="1" t="n"/>
      <c r="VLW22" s="3" t="n"/>
      <c r="VLX22" s="4" t="n"/>
      <c r="VLY22" s="1" t="n"/>
      <c r="VLZ22" s="1" t="n"/>
      <c r="VMA22" s="3" t="n"/>
      <c r="VMB22" s="4" t="n"/>
      <c r="VMC22" s="1" t="n"/>
      <c r="VMD22" s="1" t="n"/>
      <c r="VME22" s="3" t="n"/>
      <c r="VMF22" s="4" t="n"/>
      <c r="VMG22" s="1" t="n"/>
      <c r="VMH22" s="1" t="n"/>
      <c r="VMI22" s="3" t="n"/>
      <c r="VMJ22" s="4" t="n"/>
      <c r="VMK22" s="1" t="n"/>
      <c r="VML22" s="1" t="n"/>
      <c r="VMM22" s="3" t="n"/>
      <c r="VMN22" s="4" t="n"/>
      <c r="VMO22" s="1" t="n"/>
      <c r="VMP22" s="1" t="n"/>
      <c r="VMQ22" s="3" t="n"/>
      <c r="VMR22" s="4" t="n"/>
      <c r="VMS22" s="1" t="n"/>
      <c r="VMT22" s="1" t="n"/>
      <c r="VMU22" s="3" t="n"/>
      <c r="VMV22" s="4" t="n"/>
      <c r="VMW22" s="1" t="n"/>
      <c r="VMX22" s="1" t="n"/>
      <c r="VMY22" s="3" t="n"/>
      <c r="VMZ22" s="4" t="n"/>
      <c r="VNA22" s="1" t="n"/>
      <c r="VNB22" s="1" t="n"/>
      <c r="VNC22" s="3" t="n"/>
      <c r="VND22" s="4" t="n"/>
      <c r="VNE22" s="1" t="n"/>
      <c r="VNF22" s="1" t="n"/>
      <c r="VNG22" s="3" t="n"/>
      <c r="VNH22" s="4" t="n"/>
      <c r="VNI22" s="1" t="n"/>
      <c r="VNJ22" s="1" t="n"/>
      <c r="VNK22" s="3" t="n"/>
      <c r="VNL22" s="4" t="n"/>
      <c r="VNM22" s="1" t="n"/>
      <c r="VNN22" s="1" t="n"/>
      <c r="VNO22" s="3" t="n"/>
      <c r="VNP22" s="4" t="n"/>
      <c r="VNQ22" s="1" t="n"/>
      <c r="VNR22" s="1" t="n"/>
      <c r="VNS22" s="3" t="n"/>
      <c r="VNT22" s="4" t="n"/>
      <c r="VNU22" s="1" t="n"/>
      <c r="VNV22" s="1" t="n"/>
      <c r="VNW22" s="3" t="n"/>
      <c r="VNX22" s="4" t="n"/>
      <c r="VNY22" s="1" t="n"/>
      <c r="VNZ22" s="1" t="n"/>
      <c r="VOA22" s="3" t="n"/>
      <c r="VOB22" s="4" t="n"/>
      <c r="VOC22" s="1" t="n"/>
      <c r="VOD22" s="1" t="n"/>
      <c r="VOE22" s="3" t="n"/>
      <c r="VOF22" s="4" t="n"/>
      <c r="VOG22" s="1" t="n"/>
      <c r="VOH22" s="1" t="n"/>
      <c r="VOI22" s="3" t="n"/>
      <c r="VOJ22" s="4" t="n"/>
      <c r="VOK22" s="1" t="n"/>
      <c r="VOL22" s="1" t="n"/>
      <c r="VOM22" s="3" t="n"/>
      <c r="VON22" s="4" t="n"/>
      <c r="VOO22" s="1" t="n"/>
      <c r="VOP22" s="1" t="n"/>
      <c r="VOQ22" s="3" t="n"/>
      <c r="VOR22" s="4" t="n"/>
      <c r="VOS22" s="1" t="n"/>
      <c r="VOT22" s="1" t="n"/>
      <c r="VOU22" s="3" t="n"/>
      <c r="VOV22" s="4" t="n"/>
      <c r="VOW22" s="1" t="n"/>
      <c r="VOX22" s="1" t="n"/>
      <c r="VOY22" s="3" t="n"/>
      <c r="VOZ22" s="4" t="n"/>
      <c r="VPA22" s="1" t="n"/>
      <c r="VPB22" s="1" t="n"/>
      <c r="VPC22" s="3" t="n"/>
      <c r="VPD22" s="4" t="n"/>
      <c r="VPE22" s="1" t="n"/>
      <c r="VPF22" s="1" t="n"/>
      <c r="VPG22" s="3" t="n"/>
      <c r="VPH22" s="4" t="n"/>
      <c r="VPI22" s="1" t="n"/>
      <c r="VPJ22" s="1" t="n"/>
      <c r="VPK22" s="3" t="n"/>
      <c r="VPL22" s="4" t="n"/>
      <c r="VPM22" s="1" t="n"/>
      <c r="VPN22" s="1" t="n"/>
      <c r="VPO22" s="3" t="n"/>
      <c r="VPP22" s="4" t="n"/>
      <c r="VPQ22" s="1" t="n"/>
      <c r="VPR22" s="1" t="n"/>
      <c r="VPS22" s="3" t="n"/>
      <c r="VPT22" s="4" t="n"/>
      <c r="VPU22" s="1" t="n"/>
      <c r="VPV22" s="1" t="n"/>
      <c r="VPW22" s="3" t="n"/>
      <c r="VPX22" s="4" t="n"/>
      <c r="VPY22" s="1" t="n"/>
      <c r="VPZ22" s="1" t="n"/>
      <c r="VQA22" s="3" t="n"/>
      <c r="VQB22" s="4" t="n"/>
      <c r="VQC22" s="1" t="n"/>
      <c r="VQD22" s="1" t="n"/>
      <c r="VQE22" s="3" t="n"/>
      <c r="VQF22" s="4" t="n"/>
      <c r="VQG22" s="1" t="n"/>
      <c r="VQH22" s="1" t="n"/>
      <c r="VQI22" s="3" t="n"/>
      <c r="VQJ22" s="4" t="n"/>
      <c r="VQK22" s="1" t="n"/>
      <c r="VQL22" s="1" t="n"/>
      <c r="VQM22" s="3" t="n"/>
      <c r="VQN22" s="4" t="n"/>
      <c r="VQO22" s="1" t="n"/>
      <c r="VQP22" s="1" t="n"/>
      <c r="VQQ22" s="3" t="n"/>
      <c r="VQR22" s="4" t="n"/>
      <c r="VQS22" s="1" t="n"/>
      <c r="VQT22" s="1" t="n"/>
      <c r="VQU22" s="3" t="n"/>
      <c r="VQV22" s="4" t="n"/>
      <c r="VQW22" s="1" t="n"/>
      <c r="VQX22" s="1" t="n"/>
      <c r="VQY22" s="3" t="n"/>
      <c r="VQZ22" s="4" t="n"/>
      <c r="VRA22" s="1" t="n"/>
      <c r="VRB22" s="1" t="n"/>
      <c r="VRC22" s="3" t="n"/>
      <c r="VRD22" s="4" t="n"/>
      <c r="VRE22" s="1" t="n"/>
      <c r="VRF22" s="1" t="n"/>
      <c r="VRG22" s="3" t="n"/>
      <c r="VRH22" s="4" t="n"/>
      <c r="VRI22" s="1" t="n"/>
      <c r="VRJ22" s="1" t="n"/>
      <c r="VRK22" s="3" t="n"/>
      <c r="VRL22" s="4" t="n"/>
      <c r="VRM22" s="1" t="n"/>
      <c r="VRN22" s="1" t="n"/>
      <c r="VRO22" s="3" t="n"/>
      <c r="VRP22" s="4" t="n"/>
      <c r="VRQ22" s="1" t="n"/>
      <c r="VRR22" s="1" t="n"/>
      <c r="VRS22" s="3" t="n"/>
      <c r="VRT22" s="4" t="n"/>
      <c r="VRU22" s="1" t="n"/>
      <c r="VRV22" s="1" t="n"/>
      <c r="VRW22" s="3" t="n"/>
      <c r="VRX22" s="4" t="n"/>
      <c r="VRY22" s="1" t="n"/>
      <c r="VRZ22" s="1" t="n"/>
      <c r="VSA22" s="3" t="n"/>
      <c r="VSB22" s="4" t="n"/>
      <c r="VSC22" s="1" t="n"/>
      <c r="VSD22" s="1" t="n"/>
      <c r="VSE22" s="3" t="n"/>
      <c r="VSF22" s="4" t="n"/>
      <c r="VSG22" s="1" t="n"/>
      <c r="VSH22" s="1" t="n"/>
      <c r="VSI22" s="3" t="n"/>
      <c r="VSJ22" s="4" t="n"/>
      <c r="VSK22" s="1" t="n"/>
      <c r="VSL22" s="1" t="n"/>
      <c r="VSM22" s="3" t="n"/>
      <c r="VSN22" s="4" t="n"/>
      <c r="VSO22" s="1" t="n"/>
      <c r="VSP22" s="1" t="n"/>
      <c r="VSQ22" s="3" t="n"/>
      <c r="VSR22" s="4" t="n"/>
      <c r="VSS22" s="1" t="n"/>
      <c r="VST22" s="1" t="n"/>
      <c r="VSU22" s="3" t="n"/>
      <c r="VSV22" s="4" t="n"/>
      <c r="VSW22" s="1" t="n"/>
      <c r="VSX22" s="1" t="n"/>
      <c r="VSY22" s="3" t="n"/>
      <c r="VSZ22" s="4" t="n"/>
      <c r="VTA22" s="1" t="n"/>
      <c r="VTB22" s="1" t="n"/>
      <c r="VTC22" s="3" t="n"/>
      <c r="VTD22" s="4" t="n"/>
      <c r="VTE22" s="1" t="n"/>
      <c r="VTF22" s="1" t="n"/>
      <c r="VTG22" s="3" t="n"/>
      <c r="VTH22" s="4" t="n"/>
      <c r="VTI22" s="1" t="n"/>
      <c r="VTJ22" s="1" t="n"/>
      <c r="VTK22" s="3" t="n"/>
      <c r="VTL22" s="4" t="n"/>
      <c r="VTM22" s="1" t="n"/>
      <c r="VTN22" s="1" t="n"/>
      <c r="VTO22" s="3" t="n"/>
      <c r="VTP22" s="4" t="n"/>
      <c r="VTQ22" s="1" t="n"/>
      <c r="VTR22" s="1" t="n"/>
      <c r="VTS22" s="3" t="n"/>
      <c r="VTT22" s="4" t="n"/>
      <c r="VTU22" s="1" t="n"/>
      <c r="VTV22" s="1" t="n"/>
      <c r="VTW22" s="3" t="n"/>
      <c r="VTX22" s="4" t="n"/>
      <c r="VTY22" s="1" t="n"/>
      <c r="VTZ22" s="1" t="n"/>
      <c r="VUA22" s="3" t="n"/>
      <c r="VUB22" s="4" t="n"/>
      <c r="VUC22" s="1" t="n"/>
      <c r="VUD22" s="1" t="n"/>
      <c r="VUE22" s="3" t="n"/>
      <c r="VUF22" s="4" t="n"/>
      <c r="VUG22" s="1" t="n"/>
      <c r="VUH22" s="1" t="n"/>
      <c r="VUI22" s="3" t="n"/>
      <c r="VUJ22" s="4" t="n"/>
      <c r="VUK22" s="1" t="n"/>
      <c r="VUL22" s="1" t="n"/>
      <c r="VUM22" s="3" t="n"/>
      <c r="VUN22" s="4" t="n"/>
      <c r="VUO22" s="1" t="n"/>
      <c r="VUP22" s="1" t="n"/>
      <c r="VUQ22" s="3" t="n"/>
      <c r="VUR22" s="4" t="n"/>
      <c r="VUS22" s="1" t="n"/>
      <c r="VUT22" s="1" t="n"/>
      <c r="VUU22" s="3" t="n"/>
      <c r="VUV22" s="4" t="n"/>
      <c r="VUW22" s="1" t="n"/>
      <c r="VUX22" s="1" t="n"/>
      <c r="VUY22" s="3" t="n"/>
      <c r="VUZ22" s="4" t="n"/>
      <c r="VVA22" s="1" t="n"/>
      <c r="VVB22" s="1" t="n"/>
      <c r="VVC22" s="3" t="n"/>
      <c r="VVD22" s="4" t="n"/>
      <c r="VVE22" s="1" t="n"/>
      <c r="VVF22" s="1" t="n"/>
      <c r="VVG22" s="3" t="n"/>
      <c r="VVH22" s="4" t="n"/>
      <c r="VVI22" s="1" t="n"/>
      <c r="VVJ22" s="1" t="n"/>
      <c r="VVK22" s="3" t="n"/>
      <c r="VVL22" s="4" t="n"/>
      <c r="VVM22" s="1" t="n"/>
      <c r="VVN22" s="1" t="n"/>
      <c r="VVO22" s="3" t="n"/>
      <c r="VVP22" s="4" t="n"/>
      <c r="VVQ22" s="1" t="n"/>
      <c r="VVR22" s="1" t="n"/>
      <c r="VVS22" s="3" t="n"/>
      <c r="VVT22" s="4" t="n"/>
      <c r="VVU22" s="1" t="n"/>
      <c r="VVV22" s="1" t="n"/>
      <c r="VVW22" s="3" t="n"/>
      <c r="VVX22" s="4" t="n"/>
      <c r="VVY22" s="1" t="n"/>
      <c r="VVZ22" s="1" t="n"/>
      <c r="VWA22" s="3" t="n"/>
      <c r="VWB22" s="4" t="n"/>
      <c r="VWC22" s="1" t="n"/>
      <c r="VWD22" s="1" t="n"/>
      <c r="VWE22" s="3" t="n"/>
      <c r="VWF22" s="4" t="n"/>
      <c r="VWG22" s="1" t="n"/>
      <c r="VWH22" s="1" t="n"/>
      <c r="VWI22" s="3" t="n"/>
      <c r="VWJ22" s="4" t="n"/>
      <c r="VWK22" s="1" t="n"/>
      <c r="VWL22" s="1" t="n"/>
      <c r="VWM22" s="3" t="n"/>
      <c r="VWN22" s="4" t="n"/>
      <c r="VWO22" s="1" t="n"/>
      <c r="VWP22" s="1" t="n"/>
      <c r="VWQ22" s="3" t="n"/>
      <c r="VWR22" s="4" t="n"/>
      <c r="VWS22" s="1" t="n"/>
      <c r="VWT22" s="1" t="n"/>
      <c r="VWU22" s="3" t="n"/>
      <c r="VWV22" s="4" t="n"/>
      <c r="VWW22" s="1" t="n"/>
      <c r="VWX22" s="1" t="n"/>
      <c r="VWY22" s="3" t="n"/>
      <c r="VWZ22" s="4" t="n"/>
      <c r="VXA22" s="1" t="n"/>
      <c r="VXB22" s="1" t="n"/>
      <c r="VXC22" s="3" t="n"/>
      <c r="VXD22" s="4" t="n"/>
      <c r="VXE22" s="1" t="n"/>
      <c r="VXF22" s="1" t="n"/>
      <c r="VXG22" s="3" t="n"/>
      <c r="VXH22" s="4" t="n"/>
      <c r="VXI22" s="1" t="n"/>
      <c r="VXJ22" s="1" t="n"/>
      <c r="VXK22" s="3" t="n"/>
      <c r="VXL22" s="4" t="n"/>
      <c r="VXM22" s="1" t="n"/>
      <c r="VXN22" s="1" t="n"/>
      <c r="VXO22" s="3" t="n"/>
      <c r="VXP22" s="4" t="n"/>
      <c r="VXQ22" s="1" t="n"/>
      <c r="VXR22" s="1" t="n"/>
      <c r="VXS22" s="3" t="n"/>
      <c r="VXT22" s="4" t="n"/>
      <c r="VXU22" s="1" t="n"/>
      <c r="VXV22" s="1" t="n"/>
      <c r="VXW22" s="3" t="n"/>
      <c r="VXX22" s="4" t="n"/>
      <c r="VXY22" s="1" t="n"/>
      <c r="VXZ22" s="1" t="n"/>
      <c r="VYA22" s="3" t="n"/>
      <c r="VYB22" s="4" t="n"/>
      <c r="VYC22" s="1" t="n"/>
      <c r="VYD22" s="1" t="n"/>
      <c r="VYE22" s="3" t="n"/>
      <c r="VYF22" s="4" t="n"/>
      <c r="VYG22" s="1" t="n"/>
      <c r="VYH22" s="1" t="n"/>
      <c r="VYI22" s="3" t="n"/>
      <c r="VYJ22" s="4" t="n"/>
      <c r="VYK22" s="1" t="n"/>
      <c r="VYL22" s="1" t="n"/>
      <c r="VYM22" s="3" t="n"/>
      <c r="VYN22" s="4" t="n"/>
      <c r="VYO22" s="1" t="n"/>
      <c r="VYP22" s="1" t="n"/>
      <c r="VYQ22" s="3" t="n"/>
      <c r="VYR22" s="4" t="n"/>
      <c r="VYS22" s="1" t="n"/>
      <c r="VYT22" s="1" t="n"/>
      <c r="VYU22" s="3" t="n"/>
      <c r="VYV22" s="4" t="n"/>
      <c r="VYW22" s="1" t="n"/>
      <c r="VYX22" s="1" t="n"/>
      <c r="VYY22" s="3" t="n"/>
      <c r="VYZ22" s="4" t="n"/>
      <c r="VZA22" s="1" t="n"/>
      <c r="VZB22" s="1" t="n"/>
      <c r="VZC22" s="3" t="n"/>
      <c r="VZD22" s="4" t="n"/>
      <c r="VZE22" s="1" t="n"/>
      <c r="VZF22" s="1" t="n"/>
      <c r="VZG22" s="3" t="n"/>
      <c r="VZH22" s="4" t="n"/>
      <c r="VZI22" s="1" t="n"/>
      <c r="VZJ22" s="1" t="n"/>
      <c r="VZK22" s="3" t="n"/>
      <c r="VZL22" s="4" t="n"/>
      <c r="VZM22" s="1" t="n"/>
      <c r="VZN22" s="1" t="n"/>
      <c r="VZO22" s="3" t="n"/>
      <c r="VZP22" s="4" t="n"/>
      <c r="VZQ22" s="1" t="n"/>
      <c r="VZR22" s="1" t="n"/>
      <c r="VZS22" s="3" t="n"/>
      <c r="VZT22" s="4" t="n"/>
      <c r="VZU22" s="1" t="n"/>
      <c r="VZV22" s="1" t="n"/>
      <c r="VZW22" s="3" t="n"/>
      <c r="VZX22" s="4" t="n"/>
      <c r="VZY22" s="1" t="n"/>
      <c r="VZZ22" s="1" t="n"/>
      <c r="WAA22" s="3" t="n"/>
      <c r="WAB22" s="4" t="n"/>
      <c r="WAC22" s="1" t="n"/>
      <c r="WAD22" s="1" t="n"/>
      <c r="WAE22" s="3" t="n"/>
      <c r="WAF22" s="4" t="n"/>
      <c r="WAG22" s="1" t="n"/>
      <c r="WAH22" s="1" t="n"/>
      <c r="WAI22" s="3" t="n"/>
      <c r="WAJ22" s="4" t="n"/>
      <c r="WAK22" s="1" t="n"/>
      <c r="WAL22" s="1" t="n"/>
      <c r="WAM22" s="3" t="n"/>
      <c r="WAN22" s="4" t="n"/>
      <c r="WAO22" s="1" t="n"/>
      <c r="WAP22" s="1" t="n"/>
      <c r="WAQ22" s="3" t="n"/>
      <c r="WAR22" s="4" t="n"/>
      <c r="WAS22" s="1" t="n"/>
      <c r="WAT22" s="1" t="n"/>
      <c r="WAU22" s="3" t="n"/>
      <c r="WAV22" s="4" t="n"/>
      <c r="WAW22" s="1" t="n"/>
      <c r="WAX22" s="1" t="n"/>
      <c r="WAY22" s="3" t="n"/>
      <c r="WAZ22" s="4" t="n"/>
      <c r="WBA22" s="1" t="n"/>
      <c r="WBB22" s="1" t="n"/>
      <c r="WBC22" s="3" t="n"/>
      <c r="WBD22" s="4" t="n"/>
      <c r="WBE22" s="1" t="n"/>
      <c r="WBF22" s="1" t="n"/>
      <c r="WBG22" s="3" t="n"/>
      <c r="WBH22" s="4" t="n"/>
      <c r="WBI22" s="1" t="n"/>
      <c r="WBJ22" s="1" t="n"/>
      <c r="WBK22" s="3" t="n"/>
      <c r="WBL22" s="4" t="n"/>
      <c r="WBM22" s="1" t="n"/>
      <c r="WBN22" s="1" t="n"/>
      <c r="WBO22" s="3" t="n"/>
      <c r="WBP22" s="4" t="n"/>
      <c r="WBQ22" s="1" t="n"/>
      <c r="WBR22" s="1" t="n"/>
      <c r="WBS22" s="3" t="n"/>
      <c r="WBT22" s="4" t="n"/>
      <c r="WBU22" s="1" t="n"/>
      <c r="WBV22" s="1" t="n"/>
      <c r="WBW22" s="3" t="n"/>
      <c r="WBX22" s="4" t="n"/>
      <c r="WBY22" s="1" t="n"/>
      <c r="WBZ22" s="1" t="n"/>
      <c r="WCA22" s="3" t="n"/>
      <c r="WCB22" s="4" t="n"/>
      <c r="WCC22" s="1" t="n"/>
      <c r="WCD22" s="1" t="n"/>
      <c r="WCE22" s="3" t="n"/>
      <c r="WCF22" s="4" t="n"/>
      <c r="WCG22" s="1" t="n"/>
      <c r="WCH22" s="1" t="n"/>
      <c r="WCI22" s="3" t="n"/>
      <c r="WCJ22" s="4" t="n"/>
      <c r="WCK22" s="1" t="n"/>
      <c r="WCL22" s="1" t="n"/>
      <c r="WCM22" s="3" t="n"/>
      <c r="WCN22" s="4" t="n"/>
      <c r="WCO22" s="1" t="n"/>
      <c r="WCP22" s="1" t="n"/>
      <c r="WCQ22" s="3" t="n"/>
      <c r="WCR22" s="4" t="n"/>
      <c r="WCS22" s="1" t="n"/>
      <c r="WCT22" s="1" t="n"/>
      <c r="WCU22" s="3" t="n"/>
      <c r="WCV22" s="4" t="n"/>
      <c r="WCW22" s="1" t="n"/>
      <c r="WCX22" s="1" t="n"/>
      <c r="WCY22" s="3" t="n"/>
      <c r="WCZ22" s="4" t="n"/>
      <c r="WDA22" s="1" t="n"/>
      <c r="WDB22" s="1" t="n"/>
      <c r="WDC22" s="3" t="n"/>
      <c r="WDD22" s="4" t="n"/>
      <c r="WDE22" s="1" t="n"/>
      <c r="WDF22" s="1" t="n"/>
      <c r="WDG22" s="3" t="n"/>
      <c r="WDH22" s="4" t="n"/>
      <c r="WDI22" s="1" t="n"/>
      <c r="WDJ22" s="1" t="n"/>
      <c r="WDK22" s="3" t="n"/>
      <c r="WDL22" s="4" t="n"/>
      <c r="WDM22" s="1" t="n"/>
      <c r="WDN22" s="1" t="n"/>
      <c r="WDO22" s="3" t="n"/>
      <c r="WDP22" s="4" t="n"/>
      <c r="WDQ22" s="1" t="n"/>
      <c r="WDR22" s="1" t="n"/>
      <c r="WDS22" s="3" t="n"/>
      <c r="WDT22" s="4" t="n"/>
      <c r="WDU22" s="1" t="n"/>
      <c r="WDV22" s="1" t="n"/>
      <c r="WDW22" s="3" t="n"/>
      <c r="WDX22" s="4" t="n"/>
      <c r="WDY22" s="1" t="n"/>
      <c r="WDZ22" s="1" t="n"/>
      <c r="WEA22" s="3" t="n"/>
      <c r="WEB22" s="4" t="n"/>
      <c r="WEC22" s="1" t="n"/>
      <c r="WED22" s="1" t="n"/>
      <c r="WEE22" s="3" t="n"/>
      <c r="WEF22" s="4" t="n"/>
      <c r="WEG22" s="1" t="n"/>
      <c r="WEH22" s="1" t="n"/>
      <c r="WEI22" s="3" t="n"/>
      <c r="WEJ22" s="4" t="n"/>
      <c r="WEK22" s="1" t="n"/>
      <c r="WEL22" s="1" t="n"/>
      <c r="WEM22" s="3" t="n"/>
      <c r="WEN22" s="4" t="n"/>
      <c r="WEO22" s="1" t="n"/>
      <c r="WEP22" s="1" t="n"/>
      <c r="WEQ22" s="3" t="n"/>
      <c r="WER22" s="4" t="n"/>
      <c r="WES22" s="1" t="n"/>
      <c r="WET22" s="1" t="n"/>
      <c r="WEU22" s="3" t="n"/>
      <c r="WEV22" s="4" t="n"/>
      <c r="WEW22" s="1" t="n"/>
      <c r="WEX22" s="1" t="n"/>
      <c r="WEY22" s="3" t="n"/>
      <c r="WEZ22" s="4" t="n"/>
      <c r="WFA22" s="1" t="n"/>
      <c r="WFB22" s="1" t="n"/>
      <c r="WFC22" s="3" t="n"/>
      <c r="WFD22" s="4" t="n"/>
      <c r="WFE22" s="1" t="n"/>
      <c r="WFF22" s="1" t="n"/>
      <c r="WFG22" s="3" t="n"/>
      <c r="WFH22" s="4" t="n"/>
      <c r="WFI22" s="1" t="n"/>
      <c r="WFJ22" s="1" t="n"/>
      <c r="WFK22" s="3" t="n"/>
      <c r="WFL22" s="4" t="n"/>
      <c r="WFM22" s="1" t="n"/>
      <c r="WFN22" s="1" t="n"/>
      <c r="WFO22" s="3" t="n"/>
      <c r="WFP22" s="4" t="n"/>
      <c r="WFQ22" s="1" t="n"/>
      <c r="WFR22" s="1" t="n"/>
      <c r="WFS22" s="3" t="n"/>
      <c r="WFT22" s="4" t="n"/>
      <c r="WFU22" s="1" t="n"/>
      <c r="WFV22" s="1" t="n"/>
      <c r="WFW22" s="3" t="n"/>
      <c r="WFX22" s="4" t="n"/>
      <c r="WFY22" s="1" t="n"/>
      <c r="WFZ22" s="1" t="n"/>
      <c r="WGA22" s="3" t="n"/>
      <c r="WGB22" s="4" t="n"/>
      <c r="WGC22" s="1" t="n"/>
      <c r="WGD22" s="1" t="n"/>
      <c r="WGE22" s="3" t="n"/>
      <c r="WGF22" s="4" t="n"/>
      <c r="WGG22" s="1" t="n"/>
      <c r="WGH22" s="1" t="n"/>
      <c r="WGI22" s="3" t="n"/>
      <c r="WGJ22" s="4" t="n"/>
      <c r="WGK22" s="1" t="n"/>
      <c r="WGL22" s="1" t="n"/>
      <c r="WGM22" s="3" t="n"/>
      <c r="WGN22" s="4" t="n"/>
      <c r="WGO22" s="1" t="n"/>
      <c r="WGP22" s="1" t="n"/>
      <c r="WGQ22" s="3" t="n"/>
      <c r="WGR22" s="4" t="n"/>
      <c r="WGS22" s="1" t="n"/>
      <c r="WGT22" s="1" t="n"/>
      <c r="WGU22" s="3" t="n"/>
      <c r="WGV22" s="4" t="n"/>
      <c r="WGW22" s="1" t="n"/>
      <c r="WGX22" s="1" t="n"/>
      <c r="WGY22" s="3" t="n"/>
      <c r="WGZ22" s="4" t="n"/>
      <c r="WHA22" s="1" t="n"/>
      <c r="WHB22" s="1" t="n"/>
      <c r="WHC22" s="3" t="n"/>
      <c r="WHD22" s="4" t="n"/>
      <c r="WHE22" s="1" t="n"/>
      <c r="WHF22" s="1" t="n"/>
      <c r="WHG22" s="3" t="n"/>
      <c r="WHH22" s="4" t="n"/>
      <c r="WHI22" s="1" t="n"/>
      <c r="WHJ22" s="1" t="n"/>
      <c r="WHK22" s="3" t="n"/>
      <c r="WHL22" s="4" t="n"/>
      <c r="WHM22" s="1" t="n"/>
      <c r="WHN22" s="1" t="n"/>
      <c r="WHO22" s="3" t="n"/>
      <c r="WHP22" s="4" t="n"/>
      <c r="WHQ22" s="1" t="n"/>
      <c r="WHR22" s="1" t="n"/>
      <c r="WHS22" s="3" t="n"/>
      <c r="WHT22" s="4" t="n"/>
      <c r="WHU22" s="1" t="n"/>
      <c r="WHV22" s="1" t="n"/>
      <c r="WHW22" s="3" t="n"/>
      <c r="WHX22" s="4" t="n"/>
      <c r="WHY22" s="1" t="n"/>
      <c r="WHZ22" s="1" t="n"/>
      <c r="WIA22" s="3" t="n"/>
      <c r="WIB22" s="4" t="n"/>
      <c r="WIC22" s="1" t="n"/>
      <c r="WID22" s="1" t="n"/>
      <c r="WIE22" s="3" t="n"/>
      <c r="WIF22" s="4" t="n"/>
      <c r="WIG22" s="1" t="n"/>
      <c r="WIH22" s="1" t="n"/>
      <c r="WII22" s="3" t="n"/>
      <c r="WIJ22" s="4" t="n"/>
      <c r="WIK22" s="1" t="n"/>
      <c r="WIL22" s="1" t="n"/>
      <c r="WIM22" s="3" t="n"/>
      <c r="WIN22" s="4" t="n"/>
      <c r="WIO22" s="1" t="n"/>
      <c r="WIP22" s="1" t="n"/>
      <c r="WIQ22" s="3" t="n"/>
      <c r="WIR22" s="4" t="n"/>
      <c r="WIS22" s="1" t="n"/>
      <c r="WIT22" s="1" t="n"/>
      <c r="WIU22" s="3" t="n"/>
      <c r="WIV22" s="4" t="n"/>
      <c r="WIW22" s="1" t="n"/>
      <c r="WIX22" s="1" t="n"/>
      <c r="WIY22" s="3" t="n"/>
      <c r="WIZ22" s="4" t="n"/>
      <c r="WJA22" s="1" t="n"/>
      <c r="WJB22" s="1" t="n"/>
      <c r="WJC22" s="3" t="n"/>
      <c r="WJD22" s="4" t="n"/>
      <c r="WJE22" s="1" t="n"/>
      <c r="WJF22" s="1" t="n"/>
      <c r="WJG22" s="3" t="n"/>
      <c r="WJH22" s="4" t="n"/>
      <c r="WJI22" s="1" t="n"/>
      <c r="WJJ22" s="1" t="n"/>
      <c r="WJK22" s="3" t="n"/>
      <c r="WJL22" s="4" t="n"/>
      <c r="WJM22" s="1" t="n"/>
      <c r="WJN22" s="1" t="n"/>
      <c r="WJO22" s="3" t="n"/>
      <c r="WJP22" s="4" t="n"/>
      <c r="WJQ22" s="1" t="n"/>
      <c r="WJR22" s="1" t="n"/>
      <c r="WJS22" s="3" t="n"/>
      <c r="WJT22" s="4" t="n"/>
      <c r="WJU22" s="1" t="n"/>
      <c r="WJV22" s="1" t="n"/>
      <c r="WJW22" s="3" t="n"/>
      <c r="WJX22" s="4" t="n"/>
      <c r="WJY22" s="1" t="n"/>
      <c r="WJZ22" s="1" t="n"/>
      <c r="WKA22" s="3" t="n"/>
      <c r="WKB22" s="4" t="n"/>
      <c r="WKC22" s="1" t="n"/>
      <c r="WKD22" s="1" t="n"/>
      <c r="WKE22" s="3" t="n"/>
      <c r="WKF22" s="4" t="n"/>
      <c r="WKG22" s="1" t="n"/>
      <c r="WKH22" s="1" t="n"/>
      <c r="WKI22" s="3" t="n"/>
      <c r="WKJ22" s="4" t="n"/>
      <c r="WKK22" s="1" t="n"/>
      <c r="WKL22" s="1" t="n"/>
      <c r="WKM22" s="3" t="n"/>
      <c r="WKN22" s="4" t="n"/>
      <c r="WKO22" s="1" t="n"/>
      <c r="WKP22" s="1" t="n"/>
      <c r="WKQ22" s="3" t="n"/>
      <c r="WKR22" s="4" t="n"/>
      <c r="WKS22" s="1" t="n"/>
      <c r="WKT22" s="1" t="n"/>
      <c r="WKU22" s="3" t="n"/>
      <c r="WKV22" s="4" t="n"/>
      <c r="WKW22" s="1" t="n"/>
      <c r="WKX22" s="1" t="n"/>
      <c r="WKY22" s="3" t="n"/>
      <c r="WKZ22" s="4" t="n"/>
      <c r="WLA22" s="1" t="n"/>
      <c r="WLB22" s="1" t="n"/>
      <c r="WLC22" s="3" t="n"/>
      <c r="WLD22" s="4" t="n"/>
      <c r="WLE22" s="1" t="n"/>
      <c r="WLF22" s="1" t="n"/>
      <c r="WLG22" s="3" t="n"/>
      <c r="WLH22" s="4" t="n"/>
      <c r="WLI22" s="1" t="n"/>
      <c r="WLJ22" s="1" t="n"/>
      <c r="WLK22" s="3" t="n"/>
      <c r="WLL22" s="4" t="n"/>
      <c r="WLM22" s="1" t="n"/>
      <c r="WLN22" s="1" t="n"/>
      <c r="WLO22" s="3" t="n"/>
      <c r="WLP22" s="4" t="n"/>
      <c r="WLQ22" s="1" t="n"/>
      <c r="WLR22" s="1" t="n"/>
      <c r="WLS22" s="3" t="n"/>
      <c r="WLT22" s="4" t="n"/>
      <c r="WLU22" s="1" t="n"/>
      <c r="WLV22" s="1" t="n"/>
      <c r="WLW22" s="3" t="n"/>
      <c r="WLX22" s="4" t="n"/>
      <c r="WLY22" s="1" t="n"/>
      <c r="WLZ22" s="1" t="n"/>
      <c r="WMA22" s="3" t="n"/>
      <c r="WMB22" s="4" t="n"/>
      <c r="WMC22" s="1" t="n"/>
      <c r="WMD22" s="1" t="n"/>
      <c r="WME22" s="3" t="n"/>
      <c r="WMF22" s="4" t="n"/>
      <c r="WMG22" s="1" t="n"/>
      <c r="WMH22" s="1" t="n"/>
      <c r="WMI22" s="3" t="n"/>
      <c r="WMJ22" s="4" t="n"/>
      <c r="WMK22" s="1" t="n"/>
      <c r="WML22" s="1" t="n"/>
      <c r="WMM22" s="3" t="n"/>
      <c r="WMN22" s="4" t="n"/>
      <c r="WMO22" s="1" t="n"/>
      <c r="WMP22" s="1" t="n"/>
      <c r="WMQ22" s="3" t="n"/>
      <c r="WMR22" s="4" t="n"/>
      <c r="WMS22" s="1" t="n"/>
      <c r="WMT22" s="1" t="n"/>
      <c r="WMU22" s="3" t="n"/>
      <c r="WMV22" s="4" t="n"/>
      <c r="WMW22" s="1" t="n"/>
      <c r="WMX22" s="1" t="n"/>
      <c r="WMY22" s="3" t="n"/>
      <c r="WMZ22" s="4" t="n"/>
      <c r="WNA22" s="1" t="n"/>
      <c r="WNB22" s="1" t="n"/>
      <c r="WNC22" s="3" t="n"/>
      <c r="WND22" s="4" t="n"/>
      <c r="WNE22" s="1" t="n"/>
      <c r="WNF22" s="1" t="n"/>
      <c r="WNG22" s="3" t="n"/>
      <c r="WNH22" s="4" t="n"/>
      <c r="WNI22" s="1" t="n"/>
      <c r="WNJ22" s="1" t="n"/>
      <c r="WNK22" s="3" t="n"/>
      <c r="WNL22" s="4" t="n"/>
      <c r="WNM22" s="1" t="n"/>
      <c r="WNN22" s="1" t="n"/>
      <c r="WNO22" s="3" t="n"/>
      <c r="WNP22" s="4" t="n"/>
      <c r="WNQ22" s="1" t="n"/>
      <c r="WNR22" s="1" t="n"/>
      <c r="WNS22" s="3" t="n"/>
      <c r="WNT22" s="4" t="n"/>
      <c r="WNU22" s="1" t="n"/>
      <c r="WNV22" s="1" t="n"/>
      <c r="WNW22" s="3" t="n"/>
      <c r="WNX22" s="4" t="n"/>
      <c r="WNY22" s="1" t="n"/>
      <c r="WNZ22" s="1" t="n"/>
      <c r="WOA22" s="3" t="n"/>
      <c r="WOB22" s="4" t="n"/>
      <c r="WOC22" s="1" t="n"/>
      <c r="WOD22" s="1" t="n"/>
      <c r="WOE22" s="3" t="n"/>
      <c r="WOF22" s="4" t="n"/>
      <c r="WOG22" s="1" t="n"/>
      <c r="WOH22" s="1" t="n"/>
      <c r="WOI22" s="3" t="n"/>
      <c r="WOJ22" s="4" t="n"/>
      <c r="WOK22" s="1" t="n"/>
      <c r="WOL22" s="1" t="n"/>
      <c r="WOM22" s="3" t="n"/>
      <c r="WON22" s="4" t="n"/>
      <c r="WOO22" s="1" t="n"/>
      <c r="WOP22" s="1" t="n"/>
      <c r="WOQ22" s="3" t="n"/>
      <c r="WOR22" s="4" t="n"/>
      <c r="WOS22" s="1" t="n"/>
      <c r="WOT22" s="1" t="n"/>
      <c r="WOU22" s="3" t="n"/>
      <c r="WOV22" s="4" t="n"/>
      <c r="WOW22" s="1" t="n"/>
      <c r="WOX22" s="1" t="n"/>
      <c r="WOY22" s="3" t="n"/>
      <c r="WOZ22" s="4" t="n"/>
      <c r="WPA22" s="1" t="n"/>
      <c r="WPB22" s="1" t="n"/>
      <c r="WPC22" s="3" t="n"/>
      <c r="WPD22" s="4" t="n"/>
      <c r="WPE22" s="1" t="n"/>
      <c r="WPF22" s="1" t="n"/>
      <c r="WPG22" s="3" t="n"/>
      <c r="WPH22" s="4" t="n"/>
      <c r="WPI22" s="1" t="n"/>
      <c r="WPJ22" s="1" t="n"/>
      <c r="WPK22" s="3" t="n"/>
      <c r="WPL22" s="4" t="n"/>
      <c r="WPM22" s="1" t="n"/>
      <c r="WPN22" s="1" t="n"/>
      <c r="WPO22" s="3" t="n"/>
      <c r="WPP22" s="4" t="n"/>
      <c r="WPQ22" s="1" t="n"/>
      <c r="WPR22" s="1" t="n"/>
      <c r="WPS22" s="3" t="n"/>
      <c r="WPT22" s="4" t="n"/>
      <c r="WPU22" s="1" t="n"/>
      <c r="WPV22" s="1" t="n"/>
      <c r="WPW22" s="3" t="n"/>
      <c r="WPX22" s="4" t="n"/>
      <c r="WPY22" s="1" t="n"/>
      <c r="WPZ22" s="1" t="n"/>
      <c r="WQA22" s="3" t="n"/>
      <c r="WQB22" s="4" t="n"/>
      <c r="WQC22" s="1" t="n"/>
      <c r="WQD22" s="1" t="n"/>
      <c r="WQE22" s="3" t="n"/>
      <c r="WQF22" s="4" t="n"/>
      <c r="WQG22" s="1" t="n"/>
      <c r="WQH22" s="1" t="n"/>
      <c r="WQI22" s="3" t="n"/>
      <c r="WQJ22" s="4" t="n"/>
      <c r="WQK22" s="1" t="n"/>
      <c r="WQL22" s="1" t="n"/>
      <c r="WQM22" s="3" t="n"/>
      <c r="WQN22" s="4" t="n"/>
      <c r="WQO22" s="1" t="n"/>
      <c r="WQP22" s="1" t="n"/>
      <c r="WQQ22" s="3" t="n"/>
      <c r="WQR22" s="4" t="n"/>
      <c r="WQS22" s="1" t="n"/>
      <c r="WQT22" s="1" t="n"/>
      <c r="WQU22" s="3" t="n"/>
      <c r="WQV22" s="4" t="n"/>
      <c r="WQW22" s="1" t="n"/>
      <c r="WQX22" s="1" t="n"/>
      <c r="WQY22" s="3" t="n"/>
      <c r="WQZ22" s="4" t="n"/>
      <c r="WRA22" s="1" t="n"/>
      <c r="WRB22" s="1" t="n"/>
      <c r="WRC22" s="3" t="n"/>
      <c r="WRD22" s="4" t="n"/>
      <c r="WRE22" s="1" t="n"/>
      <c r="WRF22" s="1" t="n"/>
      <c r="WRG22" s="3" t="n"/>
      <c r="WRH22" s="4" t="n"/>
      <c r="WRI22" s="1" t="n"/>
      <c r="WRJ22" s="1" t="n"/>
      <c r="WRK22" s="3" t="n"/>
      <c r="WRL22" s="4" t="n"/>
      <c r="WRM22" s="1" t="n"/>
      <c r="WRN22" s="1" t="n"/>
      <c r="WRO22" s="3" t="n"/>
      <c r="WRP22" s="4" t="n"/>
      <c r="WRQ22" s="1" t="n"/>
      <c r="WRR22" s="1" t="n"/>
      <c r="WRS22" s="3" t="n"/>
      <c r="WRT22" s="4" t="n"/>
      <c r="WRU22" s="1" t="n"/>
      <c r="WRV22" s="1" t="n"/>
      <c r="WRW22" s="3" t="n"/>
      <c r="WRX22" s="4" t="n"/>
      <c r="WRY22" s="1" t="n"/>
      <c r="WRZ22" s="1" t="n"/>
      <c r="WSA22" s="3" t="n"/>
      <c r="WSB22" s="4" t="n"/>
      <c r="WSC22" s="1" t="n"/>
      <c r="WSD22" s="1" t="n"/>
      <c r="WSE22" s="3" t="n"/>
      <c r="WSF22" s="4" t="n"/>
      <c r="WSG22" s="1" t="n"/>
      <c r="WSH22" s="1" t="n"/>
      <c r="WSI22" s="3" t="n"/>
      <c r="WSJ22" s="4" t="n"/>
      <c r="WSK22" s="1" t="n"/>
      <c r="WSL22" s="1" t="n"/>
      <c r="WSM22" s="3" t="n"/>
      <c r="WSN22" s="4" t="n"/>
      <c r="WSO22" s="1" t="n"/>
      <c r="WSP22" s="1" t="n"/>
      <c r="WSQ22" s="3" t="n"/>
      <c r="WSR22" s="4" t="n"/>
      <c r="WSS22" s="1" t="n"/>
      <c r="WST22" s="1" t="n"/>
      <c r="WSU22" s="3" t="n"/>
      <c r="WSV22" s="4" t="n"/>
      <c r="WSW22" s="1" t="n"/>
      <c r="WSX22" s="1" t="n"/>
      <c r="WSY22" s="3" t="n"/>
      <c r="WSZ22" s="4" t="n"/>
      <c r="WTA22" s="1" t="n"/>
      <c r="WTB22" s="1" t="n"/>
      <c r="WTC22" s="3" t="n"/>
      <c r="WTD22" s="4" t="n"/>
      <c r="WTE22" s="1" t="n"/>
      <c r="WTF22" s="1" t="n"/>
      <c r="WTG22" s="3" t="n"/>
      <c r="WTH22" s="4" t="n"/>
      <c r="WTI22" s="1" t="n"/>
      <c r="WTJ22" s="1" t="n"/>
      <c r="WTK22" s="3" t="n"/>
      <c r="WTL22" s="4" t="n"/>
      <c r="WTM22" s="1" t="n"/>
      <c r="WTN22" s="1" t="n"/>
      <c r="WTO22" s="3" t="n"/>
      <c r="WTP22" s="4" t="n"/>
      <c r="WTQ22" s="1" t="n"/>
      <c r="WTR22" s="1" t="n"/>
      <c r="WTS22" s="3" t="n"/>
      <c r="WTT22" s="4" t="n"/>
      <c r="WTU22" s="1" t="n"/>
      <c r="WTV22" s="1" t="n"/>
      <c r="WTW22" s="3" t="n"/>
      <c r="WTX22" s="4" t="n"/>
      <c r="WTY22" s="1" t="n"/>
      <c r="WTZ22" s="1" t="n"/>
      <c r="WUA22" s="3" t="n"/>
      <c r="WUB22" s="4" t="n"/>
      <c r="WUC22" s="1" t="n"/>
      <c r="WUD22" s="1" t="n"/>
      <c r="WUE22" s="3" t="n"/>
      <c r="WUF22" s="4" t="n"/>
      <c r="WUG22" s="1" t="n"/>
      <c r="WUH22" s="1" t="n"/>
      <c r="WUI22" s="3" t="n"/>
      <c r="WUJ22" s="4" t="n"/>
      <c r="WUK22" s="1" t="n"/>
      <c r="WUL22" s="1" t="n"/>
      <c r="WUM22" s="3" t="n"/>
      <c r="WUN22" s="4" t="n"/>
      <c r="WUO22" s="1" t="n"/>
      <c r="WUP22" s="1" t="n"/>
      <c r="WUQ22" s="3" t="n"/>
      <c r="WUR22" s="4" t="n"/>
      <c r="WUS22" s="1" t="n"/>
      <c r="WUT22" s="1" t="n"/>
      <c r="WUU22" s="3" t="n"/>
      <c r="WUV22" s="4" t="n"/>
      <c r="WUW22" s="1" t="n"/>
      <c r="WUX22" s="1" t="n"/>
      <c r="WUY22" s="3" t="n"/>
      <c r="WUZ22" s="4" t="n"/>
      <c r="WVA22" s="1" t="n"/>
      <c r="WVB22" s="1" t="n"/>
      <c r="WVC22" s="3" t="n"/>
      <c r="WVD22" s="4" t="n"/>
      <c r="WVE22" s="1" t="n"/>
      <c r="WVF22" s="1" t="n"/>
      <c r="WVG22" s="3" t="n"/>
      <c r="WVH22" s="4" t="n"/>
      <c r="WVI22" s="1" t="n"/>
      <c r="WVJ22" s="1" t="n"/>
      <c r="WVK22" s="3" t="n"/>
      <c r="WVL22" s="4" t="n"/>
      <c r="WVM22" s="1" t="n"/>
      <c r="WVN22" s="1" t="n"/>
      <c r="WVO22" s="3" t="n"/>
      <c r="WVP22" s="4" t="n"/>
      <c r="WVQ22" s="1" t="n"/>
      <c r="WVR22" s="1" t="n"/>
      <c r="WVS22" s="3" t="n"/>
      <c r="WVT22" s="4" t="n"/>
      <c r="WVU22" s="1" t="n"/>
      <c r="WVV22" s="1" t="n"/>
      <c r="WVW22" s="3" t="n"/>
      <c r="WVX22" s="4" t="n"/>
      <c r="WVY22" s="1" t="n"/>
      <c r="WVZ22" s="1" t="n"/>
      <c r="WWA22" s="3" t="n"/>
      <c r="WWB22" s="4" t="n"/>
      <c r="WWC22" s="1" t="n"/>
      <c r="WWD22" s="1" t="n"/>
      <c r="WWE22" s="3" t="n"/>
      <c r="WWF22" s="4" t="n"/>
      <c r="WWG22" s="1" t="n"/>
      <c r="WWH22" s="1" t="n"/>
      <c r="WWI22" s="3" t="n"/>
      <c r="WWJ22" s="4" t="n"/>
      <c r="WWK22" s="1" t="n"/>
      <c r="WWL22" s="1" t="n"/>
      <c r="WWM22" s="3" t="n"/>
      <c r="WWN22" s="4" t="n"/>
      <c r="WWO22" s="1" t="n"/>
      <c r="WWP22" s="1" t="n"/>
      <c r="WWQ22" s="3" t="n"/>
      <c r="WWR22" s="4" t="n"/>
      <c r="WWS22" s="1" t="n"/>
      <c r="WWT22" s="1" t="n"/>
      <c r="WWU22" s="3" t="n"/>
      <c r="WWV22" s="4" t="n"/>
      <c r="WWW22" s="1" t="n"/>
      <c r="WWX22" s="1" t="n"/>
      <c r="WWY22" s="3" t="n"/>
      <c r="WWZ22" s="4" t="n"/>
      <c r="WXA22" s="1" t="n"/>
      <c r="WXB22" s="1" t="n"/>
      <c r="WXC22" s="3" t="n"/>
      <c r="WXD22" s="4" t="n"/>
      <c r="WXE22" s="1" t="n"/>
      <c r="WXF22" s="1" t="n"/>
      <c r="WXG22" s="3" t="n"/>
      <c r="WXH22" s="4" t="n"/>
      <c r="WXI22" s="1" t="n"/>
      <c r="WXJ22" s="1" t="n"/>
      <c r="WXK22" s="3" t="n"/>
      <c r="WXL22" s="4" t="n"/>
      <c r="WXM22" s="1" t="n"/>
      <c r="WXN22" s="1" t="n"/>
      <c r="WXO22" s="3" t="n"/>
      <c r="WXP22" s="4" t="n"/>
      <c r="WXQ22" s="1" t="n"/>
      <c r="WXR22" s="1" t="n"/>
      <c r="WXS22" s="3" t="n"/>
      <c r="WXT22" s="4" t="n"/>
      <c r="WXU22" s="1" t="n"/>
      <c r="WXV22" s="1" t="n"/>
      <c r="WXW22" s="3" t="n"/>
      <c r="WXX22" s="4" t="n"/>
      <c r="WXY22" s="1" t="n"/>
      <c r="WXZ22" s="1" t="n"/>
      <c r="WYA22" s="3" t="n"/>
      <c r="WYB22" s="4" t="n"/>
      <c r="WYC22" s="1" t="n"/>
      <c r="WYD22" s="1" t="n"/>
      <c r="WYE22" s="3" t="n"/>
      <c r="WYF22" s="4" t="n"/>
      <c r="WYG22" s="1" t="n"/>
      <c r="WYH22" s="1" t="n"/>
      <c r="WYI22" s="3" t="n"/>
      <c r="WYJ22" s="4" t="n"/>
      <c r="WYK22" s="1" t="n"/>
      <c r="WYL22" s="1" t="n"/>
      <c r="WYM22" s="3" t="n"/>
      <c r="WYN22" s="4" t="n"/>
      <c r="WYO22" s="1" t="n"/>
      <c r="WYP22" s="1" t="n"/>
      <c r="WYQ22" s="3" t="n"/>
      <c r="WYR22" s="4" t="n"/>
      <c r="WYS22" s="1" t="n"/>
      <c r="WYT22" s="1" t="n"/>
      <c r="WYU22" s="3" t="n"/>
      <c r="WYV22" s="4" t="n"/>
      <c r="WYW22" s="1" t="n"/>
      <c r="WYX22" s="1" t="n"/>
      <c r="WYY22" s="3" t="n"/>
      <c r="WYZ22" s="4" t="n"/>
      <c r="WZA22" s="1" t="n"/>
      <c r="WZB22" s="1" t="n"/>
      <c r="WZC22" s="3" t="n"/>
      <c r="WZD22" s="4" t="n"/>
      <c r="WZE22" s="1" t="n"/>
      <c r="WZF22" s="1" t="n"/>
      <c r="WZG22" s="3" t="n"/>
      <c r="WZH22" s="4" t="n"/>
      <c r="WZI22" s="1" t="n"/>
      <c r="WZJ22" s="1" t="n"/>
      <c r="WZK22" s="3" t="n"/>
      <c r="WZL22" s="4" t="n"/>
      <c r="WZM22" s="1" t="n"/>
      <c r="WZN22" s="1" t="n"/>
      <c r="WZO22" s="3" t="n"/>
      <c r="WZP22" s="4" t="n"/>
      <c r="WZQ22" s="1" t="n"/>
      <c r="WZR22" s="1" t="n"/>
      <c r="WZS22" s="3" t="n"/>
      <c r="WZT22" s="4" t="n"/>
      <c r="WZU22" s="1" t="n"/>
      <c r="WZV22" s="1" t="n"/>
      <c r="WZW22" s="3" t="n"/>
      <c r="WZX22" s="4" t="n"/>
      <c r="WZY22" s="1" t="n"/>
      <c r="WZZ22" s="1" t="n"/>
      <c r="XAA22" s="3" t="n"/>
      <c r="XAB22" s="4" t="n"/>
      <c r="XAC22" s="1" t="n"/>
      <c r="XAD22" s="1" t="n"/>
      <c r="XAE22" s="3" t="n"/>
      <c r="XAF22" s="4" t="n"/>
      <c r="XAG22" s="1" t="n"/>
      <c r="XAH22" s="1" t="n"/>
      <c r="XAI22" s="3" t="n"/>
      <c r="XAJ22" s="4" t="n"/>
      <c r="XAK22" s="1" t="n"/>
      <c r="XAL22" s="1" t="n"/>
      <c r="XAM22" s="3" t="n"/>
      <c r="XAN22" s="4" t="n"/>
      <c r="XAO22" s="1" t="n"/>
      <c r="XAP22" s="1" t="n"/>
      <c r="XAQ22" s="3" t="n"/>
      <c r="XAR22" s="4" t="n"/>
      <c r="XAS22" s="1" t="n"/>
      <c r="XAT22" s="1" t="n"/>
      <c r="XAU22" s="3" t="n"/>
      <c r="XAV22" s="4" t="n"/>
      <c r="XAW22" s="1" t="n"/>
      <c r="XAX22" s="1" t="n"/>
      <c r="XAY22" s="3" t="n"/>
      <c r="XAZ22" s="4" t="n"/>
      <c r="XBA22" s="1" t="n"/>
      <c r="XBB22" s="1" t="n"/>
      <c r="XBC22" s="3" t="n"/>
      <c r="XBD22" s="4" t="n"/>
      <c r="XBE22" s="1" t="n"/>
      <c r="XBF22" s="1" t="n"/>
      <c r="XBG22" s="3" t="n"/>
      <c r="XBH22" s="4" t="n"/>
      <c r="XBI22" s="1" t="n"/>
      <c r="XBJ22" s="1" t="n"/>
      <c r="XBK22" s="3" t="n"/>
      <c r="XBL22" s="4" t="n"/>
      <c r="XBM22" s="1" t="n"/>
      <c r="XBN22" s="1" t="n"/>
      <c r="XBO22" s="3" t="n"/>
      <c r="XBP22" s="4" t="n"/>
      <c r="XBQ22" s="1" t="n"/>
      <c r="XBR22" s="1" t="n"/>
      <c r="XBS22" s="3" t="n"/>
      <c r="XBT22" s="4" t="n"/>
      <c r="XBU22" s="1" t="n"/>
      <c r="XBV22" s="1" t="n"/>
      <c r="XBW22" s="3" t="n"/>
      <c r="XBX22" s="4" t="n"/>
      <c r="XBY22" s="1" t="n"/>
      <c r="XBZ22" s="1" t="n"/>
      <c r="XCA22" s="3" t="n"/>
      <c r="XCB22" s="4" t="n"/>
      <c r="XCC22" s="1" t="n"/>
      <c r="XCD22" s="1" t="n"/>
      <c r="XCE22" s="3" t="n"/>
      <c r="XCF22" s="4" t="n"/>
      <c r="XCG22" s="1" t="n"/>
      <c r="XCH22" s="1" t="n"/>
      <c r="XCI22" s="3" t="n"/>
      <c r="XCJ22" s="4" t="n"/>
      <c r="XCK22" s="1" t="n"/>
      <c r="XCL22" s="1" t="n"/>
      <c r="XCM22" s="3" t="n"/>
      <c r="XCN22" s="4" t="n"/>
      <c r="XCO22" s="1" t="n"/>
      <c r="XCP22" s="1" t="n"/>
      <c r="XCQ22" s="3" t="n"/>
      <c r="XCR22" s="4" t="n"/>
      <c r="XCS22" s="1" t="n"/>
      <c r="XCT22" s="1" t="n"/>
      <c r="XCU22" s="3" t="n"/>
      <c r="XCV22" s="4" t="n"/>
      <c r="XCW22" s="1" t="n"/>
      <c r="XCX22" s="1" t="n"/>
      <c r="XCY22" s="3" t="n"/>
      <c r="XCZ22" s="4" t="n"/>
      <c r="XDA22" s="1" t="n"/>
      <c r="XDB22" s="1" t="n"/>
      <c r="XDC22" s="3" t="n"/>
      <c r="XDD22" s="4" t="n"/>
      <c r="XDE22" s="1" t="n"/>
      <c r="XDF22" s="1" t="n"/>
      <c r="XDG22" s="3" t="n"/>
      <c r="XDH22" s="4" t="n"/>
      <c r="XDI22" s="1" t="n"/>
      <c r="XDJ22" s="1" t="n"/>
      <c r="XDK22" s="3" t="n"/>
      <c r="XDL22" s="4" t="n"/>
      <c r="XDM22" s="1" t="n"/>
      <c r="XDN22" s="1" t="n"/>
      <c r="XDO22" s="3" t="n"/>
      <c r="XDP22" s="4" t="n"/>
      <c r="XDQ22" s="1" t="n"/>
      <c r="XDR22" s="1" t="n"/>
      <c r="XDS22" s="3" t="n"/>
      <c r="XDT22" s="4" t="n"/>
      <c r="XDU22" s="1" t="n"/>
      <c r="XDV22" s="1" t="n"/>
      <c r="XDW22" s="3" t="n"/>
      <c r="XDX22" s="4" t="n"/>
      <c r="XDY22" s="1" t="n"/>
      <c r="XDZ22" s="1" t="n"/>
      <c r="XEA22" s="3" t="n"/>
      <c r="XEB22" s="4" t="n"/>
      <c r="XEC22" s="1" t="n"/>
      <c r="XED22" s="1" t="n"/>
      <c r="XEE22" s="3" t="n"/>
      <c r="XEF22" s="4" t="n"/>
      <c r="XEG22" s="1" t="n"/>
      <c r="XEH22" s="1" t="n"/>
      <c r="XEI22" s="3" t="n"/>
      <c r="XEJ22" s="4" t="n"/>
      <c r="XEK22" s="1" t="n"/>
      <c r="XEL22" s="1" t="n"/>
      <c r="XEM22" s="3" t="n"/>
      <c r="XEN22" s="4" t="n"/>
      <c r="XEO22" s="1" t="n"/>
      <c r="XEP22" s="1" t="n"/>
      <c r="XEQ22" s="3" t="n"/>
      <c r="XER22" s="4" t="n"/>
      <c r="XES22" s="1" t="n"/>
      <c r="XET22" s="1" t="n"/>
      <c r="XEU22" s="3" t="n"/>
      <c r="XEV22" s="4" t="n"/>
      <c r="XEW22" s="1" t="n"/>
      <c r="XEX22" s="1" t="n"/>
      <c r="XEY22" s="3" t="n"/>
      <c r="XEZ22" s="4" t="n"/>
      <c r="XFA22" s="1" t="n"/>
      <c r="XFB22" s="1" t="n"/>
      <c r="XFC22" s="3" t="n"/>
      <c r="XFD22" s="4" t="n"/>
    </row>
    <row r="23">
      <c r="A23" s="590" t="n"/>
      <c r="B23" s="1" t="inlineStr">
        <is>
          <t>ES Garrovers Energía Solar S.L.U.</t>
        </is>
      </c>
      <c r="C23" s="1" t="inlineStr">
        <is>
          <t>CIF B57463663</t>
        </is>
      </c>
      <c r="D23" s="3" t="inlineStr">
        <is>
          <t>c/ Las Cruzadas 3A, local D</t>
        </is>
      </c>
      <c r="E23" s="4" t="inlineStr">
        <is>
          <t>41004 Sevilla</t>
        </is>
      </c>
      <c r="F23" s="1" t="n">
        <v>2</v>
      </c>
      <c r="G23" s="266" t="inlineStr">
        <is>
          <t>WOC</t>
        </is>
      </c>
      <c r="H23" s="4" t="n"/>
    </row>
    <row r="24">
      <c r="A24" s="590" t="n"/>
      <c r="B24" s="1" t="inlineStr">
        <is>
          <t>WOC Fotovoltaica España 2.4 S.L. S. Com.</t>
        </is>
      </c>
      <c r="C24" s="1" t="inlineStr">
        <is>
          <t>CIF D91882142</t>
        </is>
      </c>
      <c r="D24" s="3" t="inlineStr">
        <is>
          <t>c/ Las Cruzadas 3A, local D</t>
        </is>
      </c>
      <c r="E24" s="4" t="inlineStr">
        <is>
          <t>41004 Sevilla</t>
        </is>
      </c>
      <c r="F24" t="n">
        <v>2</v>
      </c>
      <c r="G24" t="inlineStr">
        <is>
          <t>WOC</t>
        </is>
      </c>
    </row>
    <row r="25">
      <c r="A25" s="590" t="n"/>
      <c r="B25" s="1" t="inlineStr">
        <is>
          <t>WOC Fotovoltaica España 2.4 S.L.U.</t>
        </is>
      </c>
      <c r="C25" s="1" t="inlineStr">
        <is>
          <t>CIF B91881870</t>
        </is>
      </c>
      <c r="D25" s="3" t="inlineStr">
        <is>
          <t>c/ Las Cruzadas 3A, local D</t>
        </is>
      </c>
      <c r="E25" s="4" t="inlineStr">
        <is>
          <t>41004 Sevilla</t>
        </is>
      </c>
      <c r="F25" t="n">
        <v>2</v>
      </c>
      <c r="G25" t="inlineStr">
        <is>
          <t>WOC</t>
        </is>
      </c>
    </row>
    <row r="26">
      <c r="A26" s="590" t="inlineStr">
        <is>
          <t>Casa Roja</t>
        </is>
      </c>
      <c r="B26" s="1" t="inlineStr">
        <is>
          <t>WOC Fotovoltaica España 2.5 S.L. S. Com.</t>
        </is>
      </c>
      <c r="C26" s="1" t="inlineStr">
        <is>
          <t>CIF D91882167</t>
        </is>
      </c>
      <c r="D26" s="3" t="inlineStr">
        <is>
          <t>c/ Las Cruzadas 3A, local D</t>
        </is>
      </c>
      <c r="E26" s="4" t="inlineStr">
        <is>
          <t>41004 Sevilla</t>
        </is>
      </c>
      <c r="F26" t="n">
        <v>2</v>
      </c>
      <c r="G26" t="inlineStr">
        <is>
          <t>WOC</t>
        </is>
      </c>
    </row>
    <row r="27">
      <c r="A27" s="590" t="n"/>
      <c r="B27" s="1" t="inlineStr">
        <is>
          <t>WOC Fotovoltaica España 2.5 S.L.U.</t>
        </is>
      </c>
      <c r="C27" s="1" t="inlineStr">
        <is>
          <t>CIF B91881854</t>
        </is>
      </c>
      <c r="D27" s="3" t="inlineStr">
        <is>
          <t>c/ Las Cruzadas 3A, local D</t>
        </is>
      </c>
      <c r="E27" s="4" t="inlineStr">
        <is>
          <t>41004 Sevilla</t>
        </is>
      </c>
      <c r="F27" t="n">
        <v>2</v>
      </c>
      <c r="G27" t="inlineStr">
        <is>
          <t>WOC</t>
        </is>
      </c>
    </row>
    <row r="28">
      <c r="A28" s="590" t="n"/>
      <c r="B28" s="1" t="inlineStr">
        <is>
          <t>Contreras Parque Solar S.L.U.</t>
        </is>
      </c>
      <c r="C28" s="1" t="inlineStr">
        <is>
          <t>CIF B85978294</t>
        </is>
      </c>
      <c r="D28" s="3" t="inlineStr">
        <is>
          <t>c/ Las Cruzadas 3A, local D</t>
        </is>
      </c>
      <c r="E28" s="4" t="inlineStr">
        <is>
          <t>41004 Sevilla</t>
        </is>
      </c>
      <c r="F28" t="n">
        <v>2</v>
      </c>
      <c r="G28" t="inlineStr">
        <is>
          <t>WOC</t>
        </is>
      </c>
    </row>
    <row r="29">
      <c r="A29" s="590" t="n"/>
      <c r="B29" s="1" t="inlineStr">
        <is>
          <t>Lo Illán Parque Solar S.L.U.</t>
        </is>
      </c>
      <c r="C29" s="1" t="inlineStr">
        <is>
          <t>CIF B85978302</t>
        </is>
      </c>
      <c r="D29" s="3" t="inlineStr">
        <is>
          <t>c/ Las Cruzadas 3A, local D</t>
        </is>
      </c>
      <c r="E29" s="4" t="inlineStr">
        <is>
          <t>41004 Sevilla</t>
        </is>
      </c>
      <c r="F29" t="n">
        <v>2</v>
      </c>
      <c r="G29" t="inlineStr">
        <is>
          <t>WOC</t>
        </is>
      </c>
    </row>
    <row r="30">
      <c r="A30" s="590" t="n"/>
      <c r="B30" s="1" t="inlineStr">
        <is>
          <t>Turbinto Parque Solar S.L.U.</t>
        </is>
      </c>
      <c r="C30" s="1" t="inlineStr">
        <is>
          <t>CIF B85978393</t>
        </is>
      </c>
      <c r="D30" s="3" t="inlineStr">
        <is>
          <t>c/ Las Cruzadas 3A, local D</t>
        </is>
      </c>
      <c r="E30" s="4" t="inlineStr">
        <is>
          <t>41004 Sevilla</t>
        </is>
      </c>
      <c r="F30" t="n">
        <v>2</v>
      </c>
      <c r="G30" t="inlineStr">
        <is>
          <t>WOC</t>
        </is>
      </c>
    </row>
    <row r="31">
      <c r="A31" s="590" t="n"/>
      <c r="B31" s="1" t="inlineStr">
        <is>
          <t>Rodríguez I Parque Solar S.L.U.</t>
        </is>
      </c>
      <c r="C31" s="1" t="inlineStr">
        <is>
          <t>CIF B85978328</t>
        </is>
      </c>
      <c r="D31" s="3" t="inlineStr">
        <is>
          <t>c/ Las Cruzadas 3A, local D</t>
        </is>
      </c>
      <c r="E31" s="4" t="inlineStr">
        <is>
          <t>41004 Sevilla</t>
        </is>
      </c>
      <c r="F31" t="n">
        <v>2</v>
      </c>
      <c r="G31" t="inlineStr">
        <is>
          <t>WOC</t>
        </is>
      </c>
    </row>
    <row r="32">
      <c r="A32" s="590" t="n"/>
      <c r="B32" s="1" t="inlineStr">
        <is>
          <t>Rodríguez II Parque Solar S.L.U.</t>
        </is>
      </c>
      <c r="C32" s="1" t="inlineStr">
        <is>
          <t>CIF B85978369</t>
        </is>
      </c>
      <c r="D32" s="3" t="inlineStr">
        <is>
          <t>c/ Las Cruzadas 3A, local D</t>
        </is>
      </c>
      <c r="E32" s="4" t="inlineStr">
        <is>
          <t>41004 Sevilla</t>
        </is>
      </c>
      <c r="F32" t="n">
        <v>2</v>
      </c>
      <c r="G32" t="inlineStr">
        <is>
          <t>WOC</t>
        </is>
      </c>
    </row>
    <row r="33">
      <c r="A33" s="590" t="n"/>
      <c r="B33" s="1" t="inlineStr">
        <is>
          <t>WOC Fotovoltaica España 2.6 S.L. S. Com.</t>
        </is>
      </c>
      <c r="C33" s="1" t="inlineStr">
        <is>
          <t>CIF D91882167</t>
        </is>
      </c>
      <c r="D33" s="3" t="inlineStr">
        <is>
          <t>c/ Las Cruzadas 3A, local D</t>
        </is>
      </c>
      <c r="E33" s="4" t="inlineStr">
        <is>
          <t>41004 Sevilla</t>
        </is>
      </c>
      <c r="F33" t="n">
        <v>2</v>
      </c>
      <c r="G33" t="inlineStr">
        <is>
          <t>WOC</t>
        </is>
      </c>
    </row>
    <row r="34">
      <c r="A34" s="590" t="n"/>
      <c r="B34" s="1" t="inlineStr">
        <is>
          <t>WOC Fotovoltaica España 2.6 S.L.U.</t>
        </is>
      </c>
      <c r="C34" s="1" t="inlineStr">
        <is>
          <t>CIF B91881854</t>
        </is>
      </c>
      <c r="D34" s="3" t="inlineStr">
        <is>
          <t>c/ Las Cruzadas 3A, local D</t>
        </is>
      </c>
      <c r="E34" s="4" t="inlineStr">
        <is>
          <t>41004 Sevilla</t>
        </is>
      </c>
      <c r="F34" t="n">
        <v>2</v>
      </c>
      <c r="G34" t="inlineStr">
        <is>
          <t>WOC</t>
        </is>
      </c>
    </row>
    <row r="35">
      <c r="A35" s="590" t="inlineStr">
        <is>
          <t>AE3000</t>
        </is>
      </c>
      <c r="B35" s="1" t="inlineStr">
        <is>
          <t>WOC Fotovoltaica España, 2.7, S.L.U.</t>
        </is>
      </c>
      <c r="C35" s="1" t="inlineStr">
        <is>
          <t>CIF B91902007</t>
        </is>
      </c>
      <c r="D35" s="3" t="inlineStr">
        <is>
          <t>c/ Las Cruzadas 3A, local D</t>
        </is>
      </c>
      <c r="E35" s="4" t="inlineStr">
        <is>
          <t>41004 Sevilla</t>
        </is>
      </c>
      <c r="F35" t="n">
        <v>2</v>
      </c>
      <c r="G35" t="inlineStr">
        <is>
          <t>WOC</t>
        </is>
      </c>
    </row>
    <row r="36">
      <c r="A36" s="590" t="n"/>
      <c r="B36" s="1" t="inlineStr">
        <is>
          <t>WOC Fotovoltaica España, 2.7, S.L, S.Com</t>
        </is>
      </c>
      <c r="C36" s="1" t="inlineStr">
        <is>
          <t>CIF D91902031</t>
        </is>
      </c>
      <c r="D36" s="3" t="inlineStr">
        <is>
          <t>c/ Las Cruzadas 3A, local D</t>
        </is>
      </c>
      <c r="E36" s="4" t="inlineStr">
        <is>
          <t>41004 Sevilla</t>
        </is>
      </c>
      <c r="F36" t="n">
        <v>2</v>
      </c>
      <c r="G36" t="inlineStr">
        <is>
          <t>WOC</t>
        </is>
      </c>
    </row>
    <row r="37">
      <c r="A37" s="590" t="n"/>
      <c r="B37" s="1" t="inlineStr">
        <is>
          <t>Amberg V S.L.U.</t>
        </is>
      </c>
      <c r="C37" s="1" t="inlineStr">
        <is>
          <t>CIF B25703653</t>
        </is>
      </c>
      <c r="D37" s="3" t="inlineStr">
        <is>
          <t>c/ Las Cruzadas 3A, local D</t>
        </is>
      </c>
      <c r="E37" s="4" t="inlineStr">
        <is>
          <t>41004 Sevilla</t>
        </is>
      </c>
      <c r="F37" t="n">
        <v>2</v>
      </c>
      <c r="G37" t="inlineStr">
        <is>
          <t>WOC</t>
        </is>
      </c>
    </row>
    <row r="38">
      <c r="A38" s="590" t="n"/>
      <c r="B38" s="1" t="inlineStr">
        <is>
          <t>Solar Photo Collect S.L.U.</t>
        </is>
      </c>
      <c r="C38" s="1" t="inlineStr">
        <is>
          <t>CIF B98133861</t>
        </is>
      </c>
      <c r="D38" s="3" t="inlineStr">
        <is>
          <t>c/ Las Cruzadas 3A, local D</t>
        </is>
      </c>
      <c r="E38" s="4" t="inlineStr">
        <is>
          <t>41004 Sevilla</t>
        </is>
      </c>
      <c r="F38" t="n">
        <v>2</v>
      </c>
      <c r="G38" t="inlineStr">
        <is>
          <t>WOC</t>
        </is>
      </c>
    </row>
    <row r="39" ht="15" customFormat="1" customHeight="1" s="25">
      <c r="A39" s="590" t="n"/>
      <c r="B39" s="1" t="inlineStr">
        <is>
          <t xml:space="preserve">Rasteding PV I, S.L.U. </t>
        </is>
      </c>
      <c r="C39" s="1" t="inlineStr">
        <is>
          <t>CIF B25690827</t>
        </is>
      </c>
      <c r="D39" s="3" t="inlineStr">
        <is>
          <t>c/ Las Cruzadas 3A, local D</t>
        </is>
      </c>
      <c r="E39" s="4" t="inlineStr">
        <is>
          <t>41004 Sevilla</t>
        </is>
      </c>
      <c r="F39" t="n">
        <v>2</v>
      </c>
      <c r="G39" t="inlineStr">
        <is>
          <t>WOC</t>
        </is>
      </c>
    </row>
    <row r="40" ht="15" customFormat="1" customHeight="1" s="25">
      <c r="A40" s="590" t="n"/>
      <c r="B40" s="25" t="inlineStr">
        <is>
          <t>Amberg II S.L.U.</t>
        </is>
      </c>
      <c r="C40" s="25" t="inlineStr">
        <is>
          <t>CIF B25703596</t>
        </is>
      </c>
      <c r="D40" s="3" t="inlineStr">
        <is>
          <t>c/ Las Cruzadas 3A, local D</t>
        </is>
      </c>
      <c r="E40" s="4" t="inlineStr">
        <is>
          <t>41004 Sevilla</t>
        </is>
      </c>
      <c r="F40" t="n">
        <v>2</v>
      </c>
      <c r="G40" t="inlineStr">
        <is>
          <t>WOC</t>
        </is>
      </c>
    </row>
    <row r="41" ht="15" customFormat="1" customHeight="1" s="25">
      <c r="A41" s="590" t="n"/>
      <c r="B41" s="25" t="inlineStr">
        <is>
          <t>Tiksi PV II S.L.U.</t>
        </is>
      </c>
      <c r="C41" s="25" t="inlineStr">
        <is>
          <t>CIF B25680067</t>
        </is>
      </c>
      <c r="D41" s="3" t="inlineStr">
        <is>
          <t>c/ Las Cruzadas 3A, local D</t>
        </is>
      </c>
      <c r="E41" s="4" t="inlineStr">
        <is>
          <t>41004 Sevilla</t>
        </is>
      </c>
      <c r="F41" t="n">
        <v>2</v>
      </c>
      <c r="G41" t="inlineStr">
        <is>
          <t>WOC</t>
        </is>
      </c>
    </row>
    <row r="42">
      <c r="A42" s="590" t="n"/>
      <c r="B42" s="25" t="inlineStr">
        <is>
          <t>Solar Photo Corp S.L.U.</t>
        </is>
      </c>
      <c r="C42" s="25" t="inlineStr">
        <is>
          <t>CIF B98174642</t>
        </is>
      </c>
      <c r="D42" s="3" t="inlineStr">
        <is>
          <t>c/ Las Cruzadas 3A, local D</t>
        </is>
      </c>
      <c r="E42" s="4" t="inlineStr">
        <is>
          <t>41004 Sevilla</t>
        </is>
      </c>
      <c r="F42" t="n">
        <v>2</v>
      </c>
      <c r="G42" t="inlineStr">
        <is>
          <t>WOC</t>
        </is>
      </c>
      <c r="H42" s="25" t="n"/>
    </row>
    <row r="43">
      <c r="A43" s="590" t="n"/>
      <c r="B43" s="1" t="inlineStr">
        <is>
          <t xml:space="preserve">WOC Fotovoltaica España, 2.8, S.L.U. </t>
        </is>
      </c>
      <c r="C43" s="1" t="inlineStr">
        <is>
          <t>CIF B91902049</t>
        </is>
      </c>
      <c r="D43" s="3" t="inlineStr">
        <is>
          <t>c/ Las Cruzadas 3A, local D</t>
        </is>
      </c>
      <c r="E43" s="4" t="inlineStr">
        <is>
          <t>41004 Sevilla</t>
        </is>
      </c>
      <c r="F43" t="n">
        <v>2</v>
      </c>
      <c r="G43" t="inlineStr">
        <is>
          <t>WOC</t>
        </is>
      </c>
    </row>
    <row r="44">
      <c r="A44" s="590" t="n"/>
      <c r="B44" s="1" t="inlineStr">
        <is>
          <t>WOC Fotovoltaica España, 2.8, S.L, S.Com</t>
        </is>
      </c>
      <c r="C44" s="1" t="inlineStr">
        <is>
          <t>CIF D91902064</t>
        </is>
      </c>
      <c r="D44" s="3" t="inlineStr">
        <is>
          <t>c/ Las Cruzadas 3A, local D</t>
        </is>
      </c>
      <c r="E44" s="4" t="inlineStr">
        <is>
          <t>41004 Sevilla</t>
        </is>
      </c>
      <c r="F44" t="n">
        <v>2</v>
      </c>
      <c r="G44" t="inlineStr">
        <is>
          <t>WOC</t>
        </is>
      </c>
    </row>
    <row r="45">
      <c r="A45" s="590" t="n"/>
      <c r="B45" s="1" t="inlineStr">
        <is>
          <t xml:space="preserve">WOC Fotovoltaica España, 2.9, S.L.U. </t>
        </is>
      </c>
      <c r="C45" s="1" t="inlineStr">
        <is>
          <t>CIF B91902072</t>
        </is>
      </c>
      <c r="D45" s="3" t="inlineStr">
        <is>
          <t>c/ Las Cruzadas 3A, local D</t>
        </is>
      </c>
      <c r="E45" s="4" t="inlineStr">
        <is>
          <t>41004 Sevilla</t>
        </is>
      </c>
      <c r="F45" t="n">
        <v>2</v>
      </c>
      <c r="G45" t="inlineStr">
        <is>
          <t>WOC</t>
        </is>
      </c>
    </row>
    <row r="46">
      <c r="A46" s="590" t="n"/>
      <c r="B46" s="1" t="inlineStr">
        <is>
          <t>WOC Fotovoltaica España 2.9 S.L. S. Com.</t>
        </is>
      </c>
      <c r="C46" s="1" t="inlineStr">
        <is>
          <t>CIF D91902098</t>
        </is>
      </c>
      <c r="D46" s="3" t="inlineStr">
        <is>
          <t>c/ Las Cruzadas 3A, local D</t>
        </is>
      </c>
      <c r="E46" s="4" t="inlineStr">
        <is>
          <t>41004 Sevilla</t>
        </is>
      </c>
      <c r="F46" t="n">
        <v>2</v>
      </c>
      <c r="G46" t="inlineStr">
        <is>
          <t>WOC</t>
        </is>
      </c>
    </row>
    <row r="47">
      <c r="A47" s="590" t="n"/>
      <c r="B47" s="1" t="inlineStr">
        <is>
          <t xml:space="preserve">WOC Fotovoltaica España, 2.10, S.L.U. </t>
        </is>
      </c>
      <c r="C47" s="1" t="inlineStr">
        <is>
          <t>CIF B91902114</t>
        </is>
      </c>
      <c r="D47" s="3" t="inlineStr">
        <is>
          <t>c/ Las Cruzadas 3A, local D</t>
        </is>
      </c>
      <c r="E47" s="4" t="inlineStr">
        <is>
          <t>41004 Sevilla</t>
        </is>
      </c>
      <c r="F47" t="n">
        <v>2</v>
      </c>
      <c r="G47" t="inlineStr">
        <is>
          <t>WOC</t>
        </is>
      </c>
    </row>
    <row r="48">
      <c r="A48" s="590" t="n"/>
      <c r="B48" s="1" t="inlineStr">
        <is>
          <t>WOC Fotovoltaica España, 2.10, S.L, S.Com</t>
        </is>
      </c>
      <c r="C48" s="1" t="inlineStr">
        <is>
          <t>CIF D91902130</t>
        </is>
      </c>
      <c r="D48" s="3" t="inlineStr">
        <is>
          <t>c/ Las Cruzadas 3A, local D</t>
        </is>
      </c>
      <c r="E48" s="4" t="inlineStr">
        <is>
          <t>41004 Sevilla</t>
        </is>
      </c>
      <c r="F48" t="n">
        <v>2</v>
      </c>
      <c r="G48" t="inlineStr">
        <is>
          <t>WOC</t>
        </is>
      </c>
    </row>
    <row r="49" customFormat="1" s="98">
      <c r="A49" t="inlineStr">
        <is>
          <t>Golf El Puerto</t>
        </is>
      </c>
      <c r="B49" s="1" t="inlineStr">
        <is>
          <t>Golf de El Puerto, S.A.</t>
        </is>
      </c>
      <c r="C49" s="1" t="inlineStr">
        <is>
          <t>CIF A11454345</t>
        </is>
      </c>
      <c r="D49" s="3" t="inlineStr">
        <is>
          <t>Avda. Ramón de Carranza</t>
        </is>
      </c>
      <c r="E49" s="4" t="inlineStr">
        <is>
          <t>11006 Cádiz</t>
        </is>
      </c>
    </row>
    <row r="50">
      <c r="A50" s="98" t="n"/>
      <c r="B50" s="99" t="inlineStr">
        <is>
          <t>Tractebel Engineering S.A. (Dubai Branch)</t>
        </is>
      </c>
      <c r="C50" s="100" t="n"/>
      <c r="D50" s="101" t="inlineStr">
        <is>
          <t>2502, Al-Shafar Tower 1, Al-Barsha Area - Tecom</t>
        </is>
      </c>
      <c r="E50" s="102" t="inlineStr">
        <is>
          <t>P.O. Box 191795, Dubai, U.A.E.</t>
        </is>
      </c>
      <c r="F50" s="98" t="n"/>
      <c r="G50" s="98" t="n"/>
      <c r="H50" s="98" t="n"/>
    </row>
    <row r="51">
      <c r="A51" s="590" t="inlineStr">
        <is>
          <t>Valverde</t>
        </is>
      </c>
      <c r="B51" s="1" t="inlineStr">
        <is>
          <t>Agrupación  Solar Valverde S.L.U.</t>
        </is>
      </c>
      <c r="C51" s="1" t="inlineStr">
        <is>
          <t>CIF B98041171</t>
        </is>
      </c>
      <c r="D51" s="3" t="inlineStr">
        <is>
          <t>c/ Las Cruzadas 3A, local D</t>
        </is>
      </c>
      <c r="E51" s="4" t="inlineStr">
        <is>
          <t>41004 Sevilla</t>
        </is>
      </c>
      <c r="F51" t="n">
        <v>1</v>
      </c>
      <c r="G51" t="inlineStr">
        <is>
          <t>WOC</t>
        </is>
      </c>
    </row>
    <row r="52">
      <c r="A52" s="590" t="n"/>
      <c r="B52" s="1" t="inlineStr">
        <is>
          <t>Badsolar Inversión 2008 S.L.U.</t>
        </is>
      </c>
      <c r="C52" s="1" t="inlineStr">
        <is>
          <t>CIF B98041429</t>
        </is>
      </c>
      <c r="D52" s="3" t="inlineStr">
        <is>
          <t>c/ Las Cruzadas 3A, local D</t>
        </is>
      </c>
      <c r="E52" s="4" t="inlineStr">
        <is>
          <t>41004 Sevilla</t>
        </is>
      </c>
      <c r="F52" t="n">
        <v>1</v>
      </c>
      <c r="G52" t="inlineStr">
        <is>
          <t>WOC</t>
        </is>
      </c>
    </row>
    <row r="53">
      <c r="A53" s="590" t="n"/>
      <c r="B53" s="1" t="inlineStr">
        <is>
          <t>Benefits de Valverde 2008 S.L.U.</t>
        </is>
      </c>
      <c r="C53" s="1" t="inlineStr">
        <is>
          <t>CIF B98041270</t>
        </is>
      </c>
      <c r="D53" s="3" t="inlineStr">
        <is>
          <t>c/ Las Cruzadas 3A, local D</t>
        </is>
      </c>
      <c r="E53" s="4" t="inlineStr">
        <is>
          <t>41004 Sevilla</t>
        </is>
      </c>
      <c r="F53" t="n">
        <v>1</v>
      </c>
      <c r="G53" t="inlineStr">
        <is>
          <t>WOC</t>
        </is>
      </c>
    </row>
    <row r="54">
      <c r="A54" s="590" t="n"/>
      <c r="B54" s="1" t="inlineStr">
        <is>
          <t>Deasom Solar de Valverde S.L.U.</t>
        </is>
      </c>
      <c r="C54" s="1" t="inlineStr">
        <is>
          <t>CIF B98041387</t>
        </is>
      </c>
      <c r="D54" s="3" t="inlineStr">
        <is>
          <t>c/ Las Cruzadas 3A, local D</t>
        </is>
      </c>
      <c r="E54" s="4" t="inlineStr">
        <is>
          <t>41004 Sevilla</t>
        </is>
      </c>
      <c r="F54" t="n">
        <v>1</v>
      </c>
      <c r="G54" t="inlineStr">
        <is>
          <t>WOC</t>
        </is>
      </c>
    </row>
    <row r="55">
      <c r="A55" s="590" t="n"/>
      <c r="B55" s="1" t="inlineStr">
        <is>
          <t>Dehesa Solar 2008 S.L.U.</t>
        </is>
      </c>
      <c r="C55" s="1" t="inlineStr">
        <is>
          <t>CIF B98041262</t>
        </is>
      </c>
      <c r="D55" s="3" t="inlineStr">
        <is>
          <t>c/ Las Cruzadas 3A, local D</t>
        </is>
      </c>
      <c r="E55" s="4" t="inlineStr">
        <is>
          <t>41004 Sevilla</t>
        </is>
      </c>
      <c r="F55" t="n">
        <v>1</v>
      </c>
      <c r="G55" t="inlineStr">
        <is>
          <t>WOC</t>
        </is>
      </c>
    </row>
    <row r="56">
      <c r="A56" s="590" t="n"/>
      <c r="B56" s="1" t="inlineStr">
        <is>
          <t>Explotación Olivenza 1 S.L.U.</t>
        </is>
      </c>
      <c r="C56" s="1" t="inlineStr">
        <is>
          <t>CIF B98041221</t>
        </is>
      </c>
      <c r="D56" s="3" t="inlineStr">
        <is>
          <t>c/ Las Cruzadas 3A, local D</t>
        </is>
      </c>
      <c r="E56" s="4" t="inlineStr">
        <is>
          <t>41004 Sevilla</t>
        </is>
      </c>
      <c r="F56" t="n">
        <v>1</v>
      </c>
      <c r="G56" t="inlineStr">
        <is>
          <t>WOC</t>
        </is>
      </c>
    </row>
    <row r="57">
      <c r="A57" s="590" t="n"/>
      <c r="B57" s="1" t="inlineStr">
        <is>
          <t>Explotación Solar Valverde 1S.L.U.</t>
        </is>
      </c>
      <c r="C57" s="1" t="inlineStr">
        <is>
          <t>CIF B98041379</t>
        </is>
      </c>
      <c r="D57" s="3" t="inlineStr">
        <is>
          <t>c/ Las Cruzadas 3A, local D</t>
        </is>
      </c>
      <c r="E57" s="4" t="inlineStr">
        <is>
          <t>41004 Sevilla</t>
        </is>
      </c>
      <c r="F57" t="n">
        <v>1</v>
      </c>
      <c r="G57" t="inlineStr">
        <is>
          <t>WOC</t>
        </is>
      </c>
    </row>
    <row r="58">
      <c r="A58" s="590" t="n"/>
      <c r="B58" s="1" t="inlineStr">
        <is>
          <t>Inlugesc Inversiones Solares S.L.U.</t>
        </is>
      </c>
      <c r="C58" s="1" t="inlineStr">
        <is>
          <t>CIF B98041346</t>
        </is>
      </c>
      <c r="D58" s="3" t="inlineStr">
        <is>
          <t>c/ Las Cruzadas 3A, local D</t>
        </is>
      </c>
      <c r="E58" s="4" t="inlineStr">
        <is>
          <t>41004 Sevilla</t>
        </is>
      </c>
      <c r="F58" t="n">
        <v>1</v>
      </c>
      <c r="G58" t="inlineStr">
        <is>
          <t>WOC</t>
        </is>
      </c>
    </row>
    <row r="59">
      <c r="A59" s="590" t="n"/>
      <c r="B59" s="1" t="inlineStr">
        <is>
          <t>Insolia Extremadura S.L.U.</t>
        </is>
      </c>
      <c r="C59" s="1" t="inlineStr">
        <is>
          <t>CIF B98041411</t>
        </is>
      </c>
      <c r="D59" s="3" t="inlineStr">
        <is>
          <t>c/ Las Cruzadas 3A, local D</t>
        </is>
      </c>
      <c r="E59" s="4" t="inlineStr">
        <is>
          <t>41004 Sevilla</t>
        </is>
      </c>
      <c r="F59" t="n">
        <v>1</v>
      </c>
      <c r="G59" t="inlineStr">
        <is>
          <t>WOC</t>
        </is>
      </c>
    </row>
    <row r="60">
      <c r="A60" s="590" t="n"/>
      <c r="B60" s="1" t="inlineStr">
        <is>
          <t>Invesolar Vale 2008 S.L.U.</t>
        </is>
      </c>
      <c r="C60" s="1" t="inlineStr">
        <is>
          <t>CIF B98041486</t>
        </is>
      </c>
      <c r="D60" s="3" t="inlineStr">
        <is>
          <t>c/ Las Cruzadas 3A, local D</t>
        </is>
      </c>
      <c r="E60" s="4" t="inlineStr">
        <is>
          <t>41004 Sevilla</t>
        </is>
      </c>
      <c r="F60" t="n">
        <v>1</v>
      </c>
      <c r="G60" t="inlineStr">
        <is>
          <t>WOC</t>
        </is>
      </c>
    </row>
    <row r="61">
      <c r="A61" s="590" t="n"/>
      <c r="B61" s="1" t="inlineStr">
        <is>
          <t>Invren Solar 2008 S.L.U.</t>
        </is>
      </c>
      <c r="C61" s="1" t="inlineStr">
        <is>
          <t xml:space="preserve">CIF B98041460                                 </t>
        </is>
      </c>
      <c r="D61" s="3" t="inlineStr">
        <is>
          <t>c/ Las Cruzadas 3A, local D</t>
        </is>
      </c>
      <c r="E61" s="4" t="inlineStr">
        <is>
          <t>41004 Sevilla</t>
        </is>
      </c>
      <c r="F61" t="n">
        <v>1</v>
      </c>
      <c r="G61" t="inlineStr">
        <is>
          <t>WOC</t>
        </is>
      </c>
    </row>
    <row r="62">
      <c r="A62" s="590" t="n"/>
      <c r="B62" s="1" t="inlineStr">
        <is>
          <t>Línea Olivenza 25 S.L.U.</t>
        </is>
      </c>
      <c r="C62" s="1" t="inlineStr">
        <is>
          <t>CIF B98041437</t>
        </is>
      </c>
      <c r="D62" s="3" t="inlineStr">
        <is>
          <t>c/ Las Cruzadas 3A, local D</t>
        </is>
      </c>
      <c r="E62" s="4" t="inlineStr">
        <is>
          <t>41004 Sevilla</t>
        </is>
      </c>
      <c r="F62" t="n">
        <v>1</v>
      </c>
      <c r="G62" t="inlineStr">
        <is>
          <t>WOC</t>
        </is>
      </c>
    </row>
    <row r="63">
      <c r="A63" s="590" t="n"/>
      <c r="B63" s="1" t="inlineStr">
        <is>
          <t>Línea Olivenza Solar S.L.U.</t>
        </is>
      </c>
      <c r="C63" s="1" t="inlineStr">
        <is>
          <t>CIF B98041239</t>
        </is>
      </c>
      <c r="D63" s="3" t="inlineStr">
        <is>
          <t>c/ Las Cruzadas 3A, local D</t>
        </is>
      </c>
      <c r="E63" s="4" t="inlineStr">
        <is>
          <t>41004 Sevilla</t>
        </is>
      </c>
      <c r="F63" t="n">
        <v>1</v>
      </c>
      <c r="G63" t="inlineStr">
        <is>
          <t>WOC</t>
        </is>
      </c>
    </row>
    <row r="64">
      <c r="A64" s="590" t="n"/>
      <c r="B64" s="1" t="inlineStr">
        <is>
          <t>Olival Solar 2008 S.L.U.</t>
        </is>
      </c>
      <c r="C64" s="1" t="inlineStr">
        <is>
          <t>CIF B98041338</t>
        </is>
      </c>
      <c r="D64" s="3" t="inlineStr">
        <is>
          <t>c/ Las Cruzadas 3A, local D</t>
        </is>
      </c>
      <c r="E64" s="4" t="inlineStr">
        <is>
          <t>41004 Sevilla</t>
        </is>
      </c>
      <c r="F64" t="n">
        <v>1</v>
      </c>
      <c r="G64" t="inlineStr">
        <is>
          <t>WOC</t>
        </is>
      </c>
    </row>
    <row r="65">
      <c r="A65" s="590" t="n"/>
      <c r="B65" s="1" t="inlineStr">
        <is>
          <t>Polígono 1 Parcela 37 Solar S.L.U.</t>
        </is>
      </c>
      <c r="C65" s="1" t="inlineStr">
        <is>
          <t>CIF B98041395</t>
        </is>
      </c>
      <c r="D65" s="3" t="inlineStr">
        <is>
          <t>c/ Las Cruzadas 3A, local D</t>
        </is>
      </c>
      <c r="E65" s="4" t="inlineStr">
        <is>
          <t>41004 Sevilla</t>
        </is>
      </c>
      <c r="F65" t="n">
        <v>1</v>
      </c>
      <c r="G65" t="inlineStr">
        <is>
          <t>WOC</t>
        </is>
      </c>
    </row>
    <row r="66">
      <c r="A66" s="590" t="n"/>
      <c r="B66" s="1" t="inlineStr">
        <is>
          <t>Pozomasa Solar 2008 S.L.U.</t>
        </is>
      </c>
      <c r="C66" s="1" t="inlineStr">
        <is>
          <t>CIF B98041452</t>
        </is>
      </c>
      <c r="D66" s="3" t="inlineStr">
        <is>
          <t>c/ Las Cruzadas 3A, local D</t>
        </is>
      </c>
      <c r="E66" s="4" t="inlineStr">
        <is>
          <t>41004 Sevilla</t>
        </is>
      </c>
      <c r="F66" t="n">
        <v>1</v>
      </c>
      <c r="G66" t="inlineStr">
        <is>
          <t>WOC</t>
        </is>
      </c>
    </row>
    <row r="67">
      <c r="A67" s="590" t="n"/>
      <c r="B67" s="1" t="inlineStr">
        <is>
          <t>Rad Solar 2008 S.L.U.</t>
        </is>
      </c>
      <c r="C67" s="1" t="inlineStr">
        <is>
          <t>CIF B98041254</t>
        </is>
      </c>
      <c r="D67" s="3" t="inlineStr">
        <is>
          <t>c/ Las Cruzadas 3A, local D</t>
        </is>
      </c>
      <c r="E67" s="4" t="inlineStr">
        <is>
          <t>41004 Sevilla</t>
        </is>
      </c>
      <c r="F67" t="n">
        <v>1</v>
      </c>
      <c r="G67" t="inlineStr">
        <is>
          <t>WOC</t>
        </is>
      </c>
    </row>
    <row r="68">
      <c r="A68" s="590" t="n"/>
      <c r="B68" s="1" t="inlineStr">
        <is>
          <t>Renex de Inversiones S.L.U.</t>
        </is>
      </c>
      <c r="C68" s="1" t="inlineStr">
        <is>
          <t>CIF B98041130</t>
        </is>
      </c>
      <c r="D68" s="3" t="inlineStr">
        <is>
          <t>c/ Las Cruzadas 3A, local D</t>
        </is>
      </c>
      <c r="E68" s="4" t="inlineStr">
        <is>
          <t>41004 Sevilla</t>
        </is>
      </c>
      <c r="F68" t="n">
        <v>1</v>
      </c>
      <c r="G68" t="inlineStr">
        <is>
          <t>WOC</t>
        </is>
      </c>
    </row>
    <row r="69">
      <c r="A69" s="590" t="n"/>
      <c r="B69" s="1" t="inlineStr">
        <is>
          <t>Renova Valverde Leganés S.L.U.</t>
        </is>
      </c>
      <c r="C69" s="1" t="inlineStr">
        <is>
          <t>CIF B98041445</t>
        </is>
      </c>
      <c r="D69" s="3" t="inlineStr">
        <is>
          <t>c/ Las Cruzadas 3A, local D</t>
        </is>
      </c>
      <c r="E69" s="4" t="inlineStr">
        <is>
          <t>41004 Sevilla</t>
        </is>
      </c>
      <c r="F69" t="n">
        <v>1</v>
      </c>
      <c r="G69" t="inlineStr">
        <is>
          <t>WOC</t>
        </is>
      </c>
    </row>
    <row r="70">
      <c r="A70" s="590" t="n"/>
      <c r="B70" s="1" t="inlineStr">
        <is>
          <t>San Rafael Solar S.L.U.</t>
        </is>
      </c>
      <c r="C70" s="1" t="inlineStr">
        <is>
          <t>CIF B98041247</t>
        </is>
      </c>
      <c r="D70" s="3" t="inlineStr">
        <is>
          <t>c/ Las Cruzadas 3A, local D</t>
        </is>
      </c>
      <c r="E70" s="4" t="inlineStr">
        <is>
          <t>41004 Sevilla</t>
        </is>
      </c>
      <c r="F70" t="n">
        <v>1</v>
      </c>
      <c r="G70" t="inlineStr">
        <is>
          <t>WOC</t>
        </is>
      </c>
    </row>
    <row r="71">
      <c r="A71" s="590" t="n"/>
      <c r="B71" s="1" t="inlineStr">
        <is>
          <t>Solar Trading 2008 S.L.U.</t>
        </is>
      </c>
      <c r="C71" s="1" t="inlineStr">
        <is>
          <t>CIF B98041353</t>
        </is>
      </c>
      <c r="D71" s="3" t="inlineStr">
        <is>
          <t>c/ Las Cruzadas 3A, local D</t>
        </is>
      </c>
      <c r="E71" s="4" t="inlineStr">
        <is>
          <t>41004 Sevilla</t>
        </is>
      </c>
      <c r="F71" t="n">
        <v>1</v>
      </c>
      <c r="G71" t="inlineStr">
        <is>
          <t>WOC</t>
        </is>
      </c>
    </row>
    <row r="72">
      <c r="A72" s="590" t="n"/>
      <c r="B72" s="1" t="inlineStr">
        <is>
          <t>Sun Garden 27 S.L.U.</t>
        </is>
      </c>
      <c r="C72" s="1" t="inlineStr">
        <is>
          <t>CIF B98041197</t>
        </is>
      </c>
      <c r="D72" s="3" t="inlineStr">
        <is>
          <t>c/ Las Cruzadas 3A, local D</t>
        </is>
      </c>
      <c r="E72" s="4" t="inlineStr">
        <is>
          <t>41004 Sevilla</t>
        </is>
      </c>
      <c r="F72" t="n">
        <v>1</v>
      </c>
      <c r="G72" t="inlineStr">
        <is>
          <t>WOC</t>
        </is>
      </c>
    </row>
    <row r="73">
      <c r="A73" s="590" t="n"/>
      <c r="B73" s="1" t="inlineStr">
        <is>
          <t>Valega de Inversión Solar S.L.U.</t>
        </is>
      </c>
      <c r="C73" s="1" t="inlineStr">
        <is>
          <t>CIF B98041478</t>
        </is>
      </c>
      <c r="D73" s="3" t="inlineStr">
        <is>
          <t>c/ Las Cruzadas 3A, local D</t>
        </is>
      </c>
      <c r="E73" s="4" t="inlineStr">
        <is>
          <t>41004 Sevilla</t>
        </is>
      </c>
      <c r="F73" t="n">
        <v>1</v>
      </c>
      <c r="G73" t="inlineStr">
        <is>
          <t>WOC</t>
        </is>
      </c>
    </row>
    <row r="74">
      <c r="A74" s="590" t="n"/>
      <c r="B74" s="1" t="inlineStr">
        <is>
          <t>Valex 2033 S.L.U.</t>
        </is>
      </c>
      <c r="C74" s="1" t="inlineStr">
        <is>
          <t>CIF B98041163</t>
        </is>
      </c>
      <c r="D74" s="3" t="inlineStr">
        <is>
          <t>c/ Las Cruzadas 3A, local D</t>
        </is>
      </c>
      <c r="E74" s="4" t="inlineStr">
        <is>
          <t>41004 Sevilla</t>
        </is>
      </c>
      <c r="F74" t="n">
        <v>1</v>
      </c>
      <c r="G74" t="inlineStr">
        <is>
          <t>WOC</t>
        </is>
      </c>
    </row>
    <row r="75">
      <c r="A75" s="590" t="n"/>
      <c r="B75" s="1" t="inlineStr">
        <is>
          <t>Valverde Bussines 2008 S.L.U.</t>
        </is>
      </c>
      <c r="C75" s="1" t="inlineStr">
        <is>
          <t>CIF B98041098</t>
        </is>
      </c>
      <c r="D75" s="3" t="inlineStr">
        <is>
          <t>c/ Las Cruzadas 3A, local D</t>
        </is>
      </c>
      <c r="E75" s="4" t="inlineStr">
        <is>
          <t>41004 Sevilla</t>
        </is>
      </c>
      <c r="F75" t="n">
        <v>1</v>
      </c>
      <c r="G75" t="inlineStr">
        <is>
          <t>WOC</t>
        </is>
      </c>
    </row>
    <row r="76">
      <c r="A76" s="590" t="inlineStr">
        <is>
          <t>Castuera</t>
        </is>
      </c>
      <c r="B76" s="1" t="inlineStr">
        <is>
          <t>Asoma Solar 16 S.L.U.</t>
        </is>
      </c>
      <c r="C76" s="1" t="inlineStr">
        <is>
          <t>CIF B97966436</t>
        </is>
      </c>
      <c r="D76" s="3" t="inlineStr">
        <is>
          <t>c/ Las Cruzadas 3A, local D</t>
        </is>
      </c>
      <c r="E76" s="4" t="inlineStr">
        <is>
          <t>41004 Sevilla</t>
        </is>
      </c>
      <c r="F76" t="n">
        <v>1</v>
      </c>
      <c r="G76" t="inlineStr">
        <is>
          <t>WOC</t>
        </is>
      </c>
    </row>
    <row r="77">
      <c r="A77" s="590" t="n"/>
      <c r="B77" s="1" t="inlineStr">
        <is>
          <t>Avoner PS Castuera S.L.U.</t>
        </is>
      </c>
      <c r="C77" s="1" t="inlineStr">
        <is>
          <t>CIF B97966428</t>
        </is>
      </c>
      <c r="D77" s="3" t="inlineStr">
        <is>
          <t>c/ Las Cruzadas 3A, local D</t>
        </is>
      </c>
      <c r="E77" s="4" t="inlineStr">
        <is>
          <t>41004 Sevilla</t>
        </is>
      </c>
      <c r="F77" t="n">
        <v>1</v>
      </c>
      <c r="G77" t="inlineStr">
        <is>
          <t>WOC</t>
        </is>
      </c>
    </row>
    <row r="78">
      <c r="A78" s="590" t="n"/>
      <c r="B78" s="1" t="inlineStr">
        <is>
          <t>BLC Pasol de Energias S.L.U.</t>
        </is>
      </c>
      <c r="C78" s="1" t="inlineStr">
        <is>
          <t>CIF B97966444</t>
        </is>
      </c>
      <c r="D78" s="3" t="inlineStr">
        <is>
          <t>c/ Las Cruzadas 3A, local D</t>
        </is>
      </c>
      <c r="E78" s="4" t="inlineStr">
        <is>
          <t>41004 Sevilla</t>
        </is>
      </c>
      <c r="F78" t="n">
        <v>1</v>
      </c>
      <c r="G78" t="inlineStr">
        <is>
          <t>WOC</t>
        </is>
      </c>
    </row>
    <row r="79">
      <c r="A79" s="590" t="n"/>
      <c r="B79" s="1" t="inlineStr">
        <is>
          <t>Energias PCRV de la Serna S.L.U.</t>
        </is>
      </c>
      <c r="C79" s="1" t="inlineStr">
        <is>
          <t>CIF B97966451</t>
        </is>
      </c>
      <c r="D79" s="3" t="inlineStr">
        <is>
          <t>c/ Las Cruzadas 3A, local D</t>
        </is>
      </c>
      <c r="E79" s="4" t="inlineStr">
        <is>
          <t>41004 Sevilla</t>
        </is>
      </c>
      <c r="F79" t="n">
        <v>1</v>
      </c>
      <c r="G79" t="inlineStr">
        <is>
          <t>WOC</t>
        </is>
      </c>
    </row>
    <row r="80">
      <c r="A80" s="590" t="n"/>
      <c r="B80" s="1" t="inlineStr">
        <is>
          <t>Explotación Solar Planta Asomadilla S.L.U.</t>
        </is>
      </c>
      <c r="C80" s="1" t="inlineStr">
        <is>
          <t>CIF B97966311</t>
        </is>
      </c>
      <c r="D80" s="3" t="inlineStr">
        <is>
          <t>c/ Las Cruzadas 3A, local D</t>
        </is>
      </c>
      <c r="E80" s="4" t="inlineStr">
        <is>
          <t>41004 Sevilla</t>
        </is>
      </c>
      <c r="F80" t="n">
        <v>1</v>
      </c>
      <c r="G80" t="inlineStr">
        <is>
          <t>WOC</t>
        </is>
      </c>
    </row>
    <row r="81">
      <c r="A81" s="590" t="n"/>
      <c r="B81" s="1" t="inlineStr">
        <is>
          <t>Expoinver Castuera 2007 S.L.U.</t>
        </is>
      </c>
      <c r="C81" s="1" t="inlineStr">
        <is>
          <t>CIF B97966303</t>
        </is>
      </c>
      <c r="D81" s="3" t="inlineStr">
        <is>
          <t>c/ Las Cruzadas 3A, local D</t>
        </is>
      </c>
      <c r="E81" s="4" t="inlineStr">
        <is>
          <t>41004 Sevilla</t>
        </is>
      </c>
      <c r="F81" t="n">
        <v>1</v>
      </c>
      <c r="G81" t="inlineStr">
        <is>
          <t>WOC</t>
        </is>
      </c>
    </row>
    <row r="82">
      <c r="A82" s="590" t="n"/>
      <c r="B82" s="1" t="inlineStr">
        <is>
          <t>Finca Asomadilla 16 S.L.U.</t>
        </is>
      </c>
      <c r="C82" s="1" t="inlineStr">
        <is>
          <t>CIF B97966279</t>
        </is>
      </c>
      <c r="D82" s="3" t="inlineStr">
        <is>
          <t>c/ Las Cruzadas 3A, local D</t>
        </is>
      </c>
      <c r="E82" s="4" t="inlineStr">
        <is>
          <t>41004 Sevilla</t>
        </is>
      </c>
      <c r="F82" t="n">
        <v>1</v>
      </c>
      <c r="G82" t="inlineStr">
        <is>
          <t>WOC</t>
        </is>
      </c>
    </row>
    <row r="83">
      <c r="A83" s="590" t="n"/>
      <c r="B83" s="1" t="inlineStr">
        <is>
          <t>ILCG Inversiones Solares de Levante S.L.U.</t>
        </is>
      </c>
      <c r="C83" s="1" t="inlineStr">
        <is>
          <t>CIF B97966295</t>
        </is>
      </c>
      <c r="D83" s="3" t="inlineStr">
        <is>
          <t>c/ Las Cruzadas 3A, local D</t>
        </is>
      </c>
      <c r="E83" s="4" t="inlineStr">
        <is>
          <t>41004 Sevilla</t>
        </is>
      </c>
      <c r="F83" t="n">
        <v>1</v>
      </c>
      <c r="G83" t="inlineStr">
        <is>
          <t>WOC</t>
        </is>
      </c>
    </row>
    <row r="84">
      <c r="A84" s="590" t="n"/>
      <c r="B84" s="1" t="inlineStr">
        <is>
          <t>Invallalb Energia del Mediterraneo S.L.U.</t>
        </is>
      </c>
      <c r="C84" s="1" t="inlineStr">
        <is>
          <t>CIF B97966329</t>
        </is>
      </c>
      <c r="D84" s="3" t="inlineStr">
        <is>
          <t>c/ Las Cruzadas 3A, local D</t>
        </is>
      </c>
      <c r="E84" s="4" t="inlineStr">
        <is>
          <t>41004 Sevilla</t>
        </is>
      </c>
      <c r="F84" t="n">
        <v>1</v>
      </c>
      <c r="G84" t="inlineStr">
        <is>
          <t>WOC</t>
        </is>
      </c>
    </row>
    <row r="85">
      <c r="A85" s="590" t="n"/>
      <c r="B85" s="1" t="inlineStr">
        <is>
          <t>Inversiones Energeticas RN de Levante S.L.U.</t>
        </is>
      </c>
      <c r="C85" s="1" t="inlineStr">
        <is>
          <t>CIF B97966345</t>
        </is>
      </c>
      <c r="D85" s="3" t="inlineStr">
        <is>
          <t>c/ Las Cruzadas 3A, local D</t>
        </is>
      </c>
      <c r="E85" s="4" t="inlineStr">
        <is>
          <t>41004 Sevilla</t>
        </is>
      </c>
      <c r="F85" t="n">
        <v>1</v>
      </c>
      <c r="G85" t="inlineStr">
        <is>
          <t>WOC</t>
        </is>
      </c>
    </row>
    <row r="86">
      <c r="A86" s="590" t="n"/>
      <c r="B86" s="1" t="inlineStr">
        <is>
          <t>Inversiones RENVA3 Extremadura S.L.U.</t>
        </is>
      </c>
      <c r="C86" s="1" t="inlineStr">
        <is>
          <t>CIF B97966410</t>
        </is>
      </c>
      <c r="D86" s="3" t="inlineStr">
        <is>
          <t>c/ Las Cruzadas 3A, local D</t>
        </is>
      </c>
      <c r="E86" s="4" t="inlineStr">
        <is>
          <t>41004 Sevilla</t>
        </is>
      </c>
      <c r="F86" t="n">
        <v>1</v>
      </c>
      <c r="G86" t="inlineStr">
        <is>
          <t>WOC</t>
        </is>
      </c>
    </row>
    <row r="87">
      <c r="A87" s="590" t="n"/>
      <c r="B87" s="1" t="inlineStr">
        <is>
          <t>Inversiones Renovables Valverde S.L.U.</t>
        </is>
      </c>
      <c r="C87" s="1" t="inlineStr">
        <is>
          <t>CIF B97966394</t>
        </is>
      </c>
      <c r="D87" s="3" t="inlineStr">
        <is>
          <t>c/ Las Cruzadas 3A, local D</t>
        </is>
      </c>
      <c r="E87" s="4" t="inlineStr">
        <is>
          <t>41004 Sevilla</t>
        </is>
      </c>
      <c r="F87" t="n">
        <v>1</v>
      </c>
      <c r="G87" t="inlineStr">
        <is>
          <t>WOC</t>
        </is>
      </c>
    </row>
    <row r="88">
      <c r="A88" s="590" t="n"/>
      <c r="B88" s="1" t="inlineStr">
        <is>
          <t>Planta Dehesa Asomadillas Solar S.L.U.</t>
        </is>
      </c>
      <c r="C88" s="1" t="inlineStr">
        <is>
          <t>CIF B97966360</t>
        </is>
      </c>
      <c r="D88" s="3" t="inlineStr">
        <is>
          <t>c/ Las Cruzadas 3A, local D</t>
        </is>
      </c>
      <c r="E88" s="4" t="inlineStr">
        <is>
          <t>41004 Sevilla</t>
        </is>
      </c>
      <c r="F88" t="n">
        <v>1</v>
      </c>
      <c r="G88" t="inlineStr">
        <is>
          <t>WOC</t>
        </is>
      </c>
    </row>
    <row r="89">
      <c r="A89" s="590" t="n"/>
      <c r="B89" s="1" t="inlineStr">
        <is>
          <t>Polígono 39 Castuera S.L.U.</t>
        </is>
      </c>
      <c r="C89" s="1" t="inlineStr">
        <is>
          <t>CIF B97966378</t>
        </is>
      </c>
      <c r="D89" s="3" t="inlineStr">
        <is>
          <t>c/ Las Cruzadas 3A, local D</t>
        </is>
      </c>
      <c r="E89" s="4" t="inlineStr">
        <is>
          <t>41004 Sevilla</t>
        </is>
      </c>
      <c r="F89" t="n">
        <v>1</v>
      </c>
      <c r="G89" t="inlineStr">
        <is>
          <t>WOC</t>
        </is>
      </c>
    </row>
    <row r="90">
      <c r="A90" s="590" t="n"/>
      <c r="B90" s="1" t="inlineStr">
        <is>
          <t>RNSR Invest 2007 de la Serena S.L.U.</t>
        </is>
      </c>
      <c r="C90" s="1" t="inlineStr">
        <is>
          <t>CIF B97966337</t>
        </is>
      </c>
      <c r="D90" s="3" t="inlineStr">
        <is>
          <t>c/ Las Cruzadas 3A, local D</t>
        </is>
      </c>
      <c r="E90" s="4" t="inlineStr">
        <is>
          <t>41004 Sevilla</t>
        </is>
      </c>
      <c r="F90" t="n">
        <v>1</v>
      </c>
      <c r="G90" t="inlineStr">
        <is>
          <t>WOC</t>
        </is>
      </c>
    </row>
    <row r="91">
      <c r="A91" s="590" t="n"/>
      <c r="B91" s="1" t="inlineStr">
        <is>
          <t>Valcast Solar 2007 S.L.U.</t>
        </is>
      </c>
      <c r="C91" s="1" t="inlineStr">
        <is>
          <t>CIF B97966352</t>
        </is>
      </c>
      <c r="D91" s="3" t="inlineStr">
        <is>
          <t>c/ Las Cruzadas 3A, local D</t>
        </is>
      </c>
      <c r="E91" s="4" t="inlineStr">
        <is>
          <t>41004 Sevilla</t>
        </is>
      </c>
      <c r="F91" t="n">
        <v>1</v>
      </c>
      <c r="G91" t="inlineStr">
        <is>
          <t>WOC</t>
        </is>
      </c>
    </row>
    <row r="92">
      <c r="A92" s="590" t="inlineStr">
        <is>
          <t>Bonaire</t>
        </is>
      </c>
      <c r="B92" s="1" t="inlineStr">
        <is>
          <t>Bonsolar de Levante S.L.U.</t>
        </is>
      </c>
      <c r="C92" s="1" t="inlineStr">
        <is>
          <t>CIF B97959845</t>
        </is>
      </c>
      <c r="D92" s="3" t="inlineStr">
        <is>
          <t>c/ Las Cruzadas 3A, local D</t>
        </is>
      </c>
      <c r="E92" s="4" t="inlineStr">
        <is>
          <t>41004 Sevilla</t>
        </is>
      </c>
      <c r="F92" t="n">
        <v>1</v>
      </c>
      <c r="G92" t="inlineStr">
        <is>
          <t>WOC</t>
        </is>
      </c>
    </row>
    <row r="93">
      <c r="A93" s="590" t="n"/>
      <c r="B93" s="1" t="inlineStr">
        <is>
          <t>Invercubiertas de Levante S.L.U.</t>
        </is>
      </c>
      <c r="C93" s="1" t="inlineStr">
        <is>
          <t>CIF B97959860</t>
        </is>
      </c>
      <c r="D93" s="3" t="inlineStr">
        <is>
          <t>c/ Las Cruzadas 3A, local D</t>
        </is>
      </c>
      <c r="E93" s="4" t="inlineStr">
        <is>
          <t>41004 Sevilla</t>
        </is>
      </c>
      <c r="F93" t="n">
        <v>1</v>
      </c>
      <c r="G93" t="inlineStr">
        <is>
          <t>WOC</t>
        </is>
      </c>
    </row>
    <row r="94">
      <c r="A94" s="590" t="n"/>
      <c r="B94" s="1" t="inlineStr">
        <is>
          <t>Watios Pico de Levante S.L.U.</t>
        </is>
      </c>
      <c r="C94" s="1" t="inlineStr">
        <is>
          <t>CIF B97959878</t>
        </is>
      </c>
      <c r="D94" s="3" t="inlineStr">
        <is>
          <t>c/ Las Cruzadas 3A, local D</t>
        </is>
      </c>
      <c r="E94" s="4" t="inlineStr">
        <is>
          <t>41004 Sevilla</t>
        </is>
      </c>
      <c r="F94" t="n">
        <v>1</v>
      </c>
      <c r="G94" t="inlineStr">
        <is>
          <t>WOC</t>
        </is>
      </c>
    </row>
    <row r="95" ht="15" customFormat="1" customHeight="1" s="25">
      <c r="B95" s="25" t="inlineStr">
        <is>
          <t>Astrom aBalados S.L.</t>
        </is>
      </c>
      <c r="C95" s="25" t="inlineStr">
        <is>
          <t>CIF B85978393</t>
        </is>
      </c>
      <c r="D95" s="3" t="inlineStr">
        <is>
          <t>c/ Las Cruzadas 3A, local D</t>
        </is>
      </c>
      <c r="E95" s="4" t="inlineStr">
        <is>
          <t>41004 Sevilla</t>
        </is>
      </c>
    </row>
    <row r="96">
      <c r="A96" s="25" t="n"/>
      <c r="B96" s="685" t="inlineStr">
        <is>
          <t>Boralex Solaire Lauragais SAS</t>
        </is>
      </c>
      <c r="C96" s="25" t="inlineStr">
        <is>
          <t>FR62520618158</t>
        </is>
      </c>
      <c r="D96" s="25" t="inlineStr">
        <is>
          <t>71, rue Jean Jaures</t>
        </is>
      </c>
      <c r="E96" s="25" t="inlineStr">
        <is>
          <t>62575 Blendecques (France)</t>
        </is>
      </c>
      <c r="F96" s="25" t="n"/>
      <c r="G96" s="25" t="n"/>
      <c r="H96" s="25" t="n"/>
    </row>
    <row r="97">
      <c r="B97" s="25" t="inlineStr">
        <is>
          <t>Generacio Fotovoltaica SL</t>
        </is>
      </c>
      <c r="C97" s="25" t="inlineStr">
        <is>
          <t>CIF B57240939</t>
        </is>
      </c>
      <c r="D97" s="3" t="inlineStr">
        <is>
          <t>C/ Parellades, 6 1º Pta B</t>
        </is>
      </c>
      <c r="E97" s="4" t="inlineStr">
        <is>
          <t>07003 Palma de Mallorca</t>
        </is>
      </c>
    </row>
    <row r="98">
      <c r="A98" s="590" t="inlineStr">
        <is>
          <t>Italia</t>
        </is>
      </c>
      <c r="B98" s="25" t="inlineStr">
        <is>
          <t xml:space="preserve">Progetti FV 6 di Progetti FV 6 SRL &amp; C. SAS </t>
        </is>
      </c>
      <c r="C98" s="25" t="inlineStr">
        <is>
          <t>07479180965</t>
        </is>
      </c>
      <c r="D98" s="3" t="inlineStr">
        <is>
          <t>Via Buenos Aires 64a (1st Floor)</t>
        </is>
      </c>
      <c r="E98" s="4" t="inlineStr">
        <is>
          <t>20124 Milano (Italia)</t>
        </is>
      </c>
      <c r="G98" t="inlineStr">
        <is>
          <t>WOC</t>
        </is>
      </c>
    </row>
    <row r="99">
      <c r="A99" s="590" t="n"/>
      <c r="B99" s="25" t="inlineStr">
        <is>
          <t xml:space="preserve">Progetti FV 4 di Progetti FV 4 SRL &amp; C. SAS </t>
        </is>
      </c>
      <c r="C99" s="25" t="inlineStr">
        <is>
          <t>07479130960</t>
        </is>
      </c>
      <c r="D99" s="3" t="inlineStr">
        <is>
          <t>Via Buenos Aires 64a (1st Floor)</t>
        </is>
      </c>
      <c r="E99" s="4" t="inlineStr">
        <is>
          <t>20124 Milano (Italia)</t>
        </is>
      </c>
      <c r="G99" t="inlineStr">
        <is>
          <t>WOC</t>
        </is>
      </c>
    </row>
    <row r="100">
      <c r="A100" s="590" t="n"/>
      <c r="B100" s="25" t="inlineStr">
        <is>
          <t xml:space="preserve">Progetti FV 5 di Progetti FV 5 SRL &amp; C. SAS </t>
        </is>
      </c>
      <c r="C100" s="25" t="inlineStr">
        <is>
          <t>07479160967</t>
        </is>
      </c>
      <c r="D100" s="3" t="inlineStr">
        <is>
          <t>Via Buenos Aires 64a (1st Floor)</t>
        </is>
      </c>
      <c r="E100" s="4" t="inlineStr">
        <is>
          <t>20124 Milano (Italia)</t>
        </is>
      </c>
      <c r="G100" t="inlineStr">
        <is>
          <t>WOC</t>
        </is>
      </c>
    </row>
    <row r="101">
      <c r="A101" s="590" t="n"/>
      <c r="B101" s="25" t="inlineStr">
        <is>
          <t xml:space="preserve">Progetti FV 8 di Progetti FV 8 SRL &amp; C. SAS </t>
        </is>
      </c>
      <c r="C101" s="25" t="inlineStr">
        <is>
          <t>07479260965</t>
        </is>
      </c>
      <c r="D101" s="3" t="inlineStr">
        <is>
          <t>Via Buenos Aires 64a (1st Floor)</t>
        </is>
      </c>
      <c r="E101" s="4" t="inlineStr">
        <is>
          <t>20124 Milano (Italia)</t>
        </is>
      </c>
      <c r="G101" t="inlineStr">
        <is>
          <t>WOC</t>
        </is>
      </c>
    </row>
    <row r="102">
      <c r="A102" s="590" t="n"/>
      <c r="B102" s="25" t="inlineStr">
        <is>
          <t>Progetti FV 9 di Progetti FV 9 SRL &amp; C. SAS</t>
        </is>
      </c>
      <c r="C102" s="25" t="inlineStr">
        <is>
          <t>07479270964</t>
        </is>
      </c>
      <c r="D102" s="3" t="inlineStr">
        <is>
          <t>Via Buenos Aires 64a (1st Floor)</t>
        </is>
      </c>
      <c r="E102" s="4" t="inlineStr">
        <is>
          <t>20124 Milano (Italia)</t>
        </is>
      </c>
      <c r="G102" t="inlineStr">
        <is>
          <t>WOC</t>
        </is>
      </c>
    </row>
    <row r="103">
      <c r="B103" s="25" t="inlineStr">
        <is>
          <t>WOC Asset Management GmbH</t>
        </is>
      </c>
      <c r="C103" s="25" t="inlineStr">
        <is>
          <t>DE270589072</t>
        </is>
      </c>
      <c r="D103" s="3" t="inlineStr">
        <is>
          <t>Ida-Ehre-Platz 12</t>
        </is>
      </c>
      <c r="E103" s="4" t="inlineStr">
        <is>
          <t>20095 Hamburg</t>
        </is>
      </c>
    </row>
    <row r="104">
      <c r="B104" s="25" t="inlineStr">
        <is>
          <t>The World Bank</t>
        </is>
      </c>
      <c r="D104" s="3" t="inlineStr">
        <is>
          <t>1818 H Street, N. W</t>
        </is>
      </c>
      <c r="E104" s="4" t="inlineStr">
        <is>
          <t xml:space="preserve">20433 Washington, DC </t>
        </is>
      </c>
    </row>
    <row r="105">
      <c r="B105" s="25" t="inlineStr">
        <is>
          <t>Universidad Politécnica de Madrid. Instituto de Energía Solar</t>
        </is>
      </c>
      <c r="C105" t="inlineStr">
        <is>
          <t>Q2818015F</t>
        </is>
      </c>
      <c r="D105" s="3" t="inlineStr">
        <is>
          <t>Campus Sur. Ctra. de Valencia, km. 7</t>
        </is>
      </c>
      <c r="E105" s="4" t="inlineStr">
        <is>
          <t>28031 Madrid</t>
        </is>
      </c>
      <c r="G105" s="25" t="inlineStr">
        <is>
          <t>ETS Ingeniería y Sistemas de Telecomunicación. Grupo de Sistemas Fotovoltaicos</t>
        </is>
      </c>
    </row>
    <row r="106">
      <c r="B106" s="25" t="inlineStr">
        <is>
          <t>KRK Energy Service S.r.l.</t>
        </is>
      </c>
      <c r="C106" t="inlineStr">
        <is>
          <t>IT03872700160</t>
        </is>
      </c>
      <c r="D106" s="3" t="inlineStr">
        <is>
          <t xml:space="preserve">Via Trieste, 37 </t>
        </is>
      </c>
      <c r="E106" s="4" t="inlineStr">
        <is>
          <t>24057 Martinengo (BG) (Italia)</t>
        </is>
      </c>
    </row>
    <row r="107">
      <c r="B107" s="25" t="inlineStr">
        <is>
          <t>Álvaro Pérez San Segundo</t>
        </is>
      </c>
      <c r="C107" t="inlineStr">
        <is>
          <t>28.910.474-A</t>
        </is>
      </c>
      <c r="D107" s="130" t="inlineStr">
        <is>
          <t>c/ Virgen de Luján 3-2F</t>
        </is>
      </c>
      <c r="E107" s="4" t="inlineStr">
        <is>
          <t>41011 Sevilla</t>
        </is>
      </c>
    </row>
    <row r="108">
      <c r="B108" s="25" t="inlineStr">
        <is>
          <t>Cintia Martínez Prieto</t>
        </is>
      </c>
      <c r="C108" t="inlineStr">
        <is>
          <t>28.622.802-S</t>
        </is>
      </c>
      <c r="D108" s="3" t="inlineStr">
        <is>
          <t>Plaza Nueva 13, esc. B Planta 2ª</t>
        </is>
      </c>
      <c r="E108" s="4" t="inlineStr">
        <is>
          <t>41001 Sevilla</t>
        </is>
      </c>
    </row>
    <row r="109">
      <c r="B109" s="25" t="inlineStr">
        <is>
          <t>Pedro Mañas Escorza</t>
        </is>
      </c>
      <c r="C109" s="3" t="inlineStr">
        <is>
          <t>28.640.173-K</t>
        </is>
      </c>
      <c r="D109" s="3" t="inlineStr">
        <is>
          <t>San Salvador 32, bl3 2ºA</t>
        </is>
      </c>
      <c r="E109" t="inlineStr">
        <is>
          <t>41013 Sevilla</t>
        </is>
      </c>
    </row>
    <row r="110">
      <c r="A110" t="inlineStr">
        <is>
          <t>Pericial</t>
        </is>
      </c>
      <c r="B110" s="25" t="inlineStr">
        <is>
          <t>Schletter GmbH</t>
        </is>
      </c>
      <c r="C110" s="3" t="inlineStr">
        <is>
          <t>DE 129257294</t>
        </is>
      </c>
      <c r="D110" s="3" t="inlineStr">
        <is>
          <t>Alustraße 1</t>
        </is>
      </c>
      <c r="E110" t="inlineStr">
        <is>
          <t>83527 Kirchdorf</t>
        </is>
      </c>
    </row>
    <row r="111">
      <c r="B111" s="25" t="inlineStr">
        <is>
          <t>C.P. PUENTE Y PELLON 14</t>
        </is>
      </c>
      <c r="C111" s="25" t="inlineStr">
        <is>
          <t>CIF H90017989</t>
        </is>
      </c>
      <c r="D111" s="3" t="inlineStr">
        <is>
          <t>Puente y Pellón 14</t>
        </is>
      </c>
      <c r="E111" s="4" t="inlineStr">
        <is>
          <t>41004 Sevilla</t>
        </is>
      </c>
    </row>
    <row r="112">
      <c r="B112" s="25" t="inlineStr">
        <is>
          <t>Javier Valladares Ruiz</t>
        </is>
      </c>
      <c r="C112" s="25" t="inlineStr">
        <is>
          <t>NIF 45658133M</t>
        </is>
      </c>
      <c r="D112" s="3" t="inlineStr">
        <is>
          <t>Avenida Eduardo Dato 22 205</t>
        </is>
      </c>
      <c r="E112" s="4" t="inlineStr">
        <is>
          <t>41018 Sevilla</t>
        </is>
      </c>
    </row>
    <row r="113">
      <c r="B113" s="1" t="inlineStr">
        <is>
          <t>KGAL ESPF 4 Holding SARL</t>
        </is>
      </c>
      <c r="C113" s="1" t="inlineStr">
        <is>
          <t>LU30260606</t>
        </is>
      </c>
      <c r="D113" s="1" t="inlineStr">
        <is>
          <t>1c rue Gabriel Lippmann</t>
        </is>
      </c>
      <c r="E113" s="1" t="inlineStr">
        <is>
          <t>5356 Munsbach (LUX)</t>
        </is>
      </c>
    </row>
    <row r="114">
      <c r="B114" s="25" t="inlineStr">
        <is>
          <t>aBalados Management S.L.</t>
        </is>
      </c>
      <c r="C114" s="4" t="inlineStr">
        <is>
          <t>CIF B90029729</t>
        </is>
      </c>
      <c r="D114" s="3" t="inlineStr">
        <is>
          <t>c/ Las Cruzadas 3A, local D</t>
        </is>
      </c>
      <c r="E114" t="inlineStr">
        <is>
          <t>41004 Sevilla</t>
        </is>
      </c>
    </row>
    <row r="115">
      <c r="B115" s="597" t="inlineStr">
        <is>
          <t>Transportes Apiche S.L.</t>
        </is>
      </c>
      <c r="C115" s="150" t="inlineStr">
        <is>
          <t>CIF B73149965</t>
        </is>
      </c>
      <c r="D115" s="150" t="inlineStr">
        <is>
          <t>Crta Granada s/n Apdo 491</t>
        </is>
      </c>
      <c r="E115" s="150" t="inlineStr">
        <is>
          <t>30800 Lorca (MU)</t>
        </is>
      </c>
    </row>
    <row r="116">
      <c r="B116" s="597" t="inlineStr">
        <is>
          <t>Reciclados Llorca S.L.</t>
        </is>
      </c>
      <c r="C116" s="150" t="inlineStr">
        <is>
          <t>CIF B91610709</t>
        </is>
      </c>
      <c r="D116" s="150" t="inlineStr">
        <is>
          <t>c/ Leonardo Da Vinci 51</t>
        </is>
      </c>
      <c r="E116" s="150" t="inlineStr">
        <is>
          <t>41300 San José de la Rinconada</t>
        </is>
      </c>
    </row>
    <row r="117">
      <c r="B117" t="inlineStr">
        <is>
          <t>Elecnor S.A.</t>
        </is>
      </c>
      <c r="C117" t="inlineStr">
        <is>
          <t>CIF A48027056</t>
        </is>
      </c>
      <c r="D117" t="inlineStr">
        <is>
          <t>c/ Marqués Mondéjar, 33</t>
        </is>
      </c>
      <c r="E117" t="inlineStr">
        <is>
          <t>28028 Madrid</t>
        </is>
      </c>
    </row>
    <row r="118">
      <c r="A118" t="inlineStr">
        <is>
          <t>Monitorización IT</t>
        </is>
      </c>
      <c r="B118" s="1" t="inlineStr">
        <is>
          <t>TCO SOLAR SAS</t>
        </is>
      </c>
      <c r="C118" s="1" t="inlineStr">
        <is>
          <t>FR25 533 970 034</t>
        </is>
      </c>
      <c r="D118" s="1" t="inlineStr">
        <is>
          <t>7 rue des mauvestis</t>
        </is>
      </c>
      <c r="E118" s="1" t="inlineStr">
        <is>
          <t>13002 Marseille (Francia)</t>
        </is>
      </c>
    </row>
    <row r="119">
      <c r="A119" t="inlineStr">
        <is>
          <t>Containers</t>
        </is>
      </c>
      <c r="B119" s="25" t="inlineStr">
        <is>
          <t>Aneltia Trading S.L.U</t>
        </is>
      </c>
      <c r="C119" s="1" t="inlineStr">
        <is>
          <t>CIF B99413403</t>
        </is>
      </c>
      <c r="D119" s="1" t="inlineStr">
        <is>
          <t>Paseo de Sagasta 17, 3º Izquierda B</t>
        </is>
      </c>
      <c r="E119" s="1" t="inlineStr">
        <is>
          <t>50008 Zaragoza</t>
        </is>
      </c>
    </row>
    <row r="120">
      <c r="B120" s="25" t="inlineStr">
        <is>
          <t>FLP Renewables Promotion S.L.U.</t>
        </is>
      </c>
      <c r="C120" s="25" t="inlineStr">
        <is>
          <t>CIF B85726297</t>
        </is>
      </c>
      <c r="D120" t="inlineStr">
        <is>
          <t>c/ Las Cruzadas 3A, local D</t>
        </is>
      </c>
      <c r="E120" s="1" t="inlineStr">
        <is>
          <t>41004 Sevilla</t>
        </is>
      </c>
    </row>
    <row r="121">
      <c r="B121" s="1" t="inlineStr">
        <is>
          <t>GCE Invest Renewable GmbH</t>
        </is>
      </c>
      <c r="C121" s="1" t="inlineStr">
        <is>
          <t>DE313956702</t>
        </is>
      </c>
      <c r="D121" s="1" t="inlineStr">
        <is>
          <t>Zirkus-Krone-Strasse 10</t>
        </is>
      </c>
      <c r="E121" s="1" t="inlineStr">
        <is>
          <t>80335 München (Alemania)</t>
        </is>
      </c>
    </row>
    <row r="122">
      <c r="A122" t="inlineStr">
        <is>
          <t>El Marqués</t>
        </is>
      </c>
      <c r="B122" s="25" t="inlineStr">
        <is>
          <t>Alectoris Energía Sostenible 5, S.L.</t>
        </is>
      </c>
      <c r="C122" s="25" t="inlineStr">
        <is>
          <t>CIF B99453326</t>
        </is>
      </c>
      <c r="D122" s="1" t="inlineStr">
        <is>
          <t>c/ Las Cruzadas 3A, local D</t>
        </is>
      </c>
      <c r="E122" s="1" t="inlineStr">
        <is>
          <t>41004 Sevilla</t>
        </is>
      </c>
    </row>
    <row r="123">
      <c r="B123" s="25" t="inlineStr">
        <is>
          <t>Kurt Beer</t>
        </is>
      </c>
      <c r="C123" s="25" t="inlineStr">
        <is>
          <t>NIE X1516030P</t>
        </is>
      </c>
      <c r="D123" s="1" t="inlineStr">
        <is>
          <t>Loma Los Lirios, Los Llanos, 252</t>
        </is>
      </c>
      <c r="E123" s="1" t="inlineStr">
        <is>
          <t>29680 Estepona (Málaga)</t>
        </is>
      </c>
    </row>
    <row r="124">
      <c r="B124" s="25" t="inlineStr">
        <is>
          <t>José Antonio Salazar Murillo</t>
        </is>
      </c>
      <c r="C124" s="25" t="inlineStr">
        <is>
          <t>NIF 28250865B</t>
        </is>
      </c>
      <c r="D124" s="1" t="inlineStr">
        <is>
          <t>c/ Las Cruzadas 3A</t>
        </is>
      </c>
      <c r="E124" s="1" t="inlineStr">
        <is>
          <t>41004 Sevilla</t>
        </is>
      </c>
    </row>
    <row r="125">
      <c r="B125" s="25" t="inlineStr">
        <is>
          <t>Evergy Engineering GmbH</t>
        </is>
      </c>
      <c r="C125" s="25" t="inlineStr">
        <is>
          <t>DE813934801</t>
        </is>
      </c>
      <c r="D125" s="1" t="inlineStr">
        <is>
          <t>Malsenstrasse 84</t>
        </is>
      </c>
      <c r="E125" s="1" t="inlineStr">
        <is>
          <t>80638 München (Alemania)</t>
        </is>
      </c>
    </row>
    <row r="126">
      <c r="A126" t="inlineStr">
        <is>
          <t>Calaverón</t>
        </is>
      </c>
      <c r="B126" s="25" t="inlineStr">
        <is>
          <t>PLANTA SOLAR EL CALAVERÓN A.I.E.</t>
        </is>
      </c>
      <c r="C126" s="25" t="inlineStr">
        <is>
          <t>CIF V13471149</t>
        </is>
      </c>
      <c r="D126" s="1" t="inlineStr">
        <is>
          <t>C/ Serrano 27, 3º izq.</t>
        </is>
      </c>
      <c r="E126" s="1" t="inlineStr">
        <is>
          <t>28001 Madrid</t>
        </is>
      </c>
      <c r="G126" t="inlineStr">
        <is>
          <t>Planta El Calaverón</t>
        </is>
      </c>
    </row>
    <row r="127">
      <c r="A127" t="inlineStr">
        <is>
          <t>La Isla</t>
        </is>
      </c>
      <c r="B127" s="25" t="inlineStr">
        <is>
          <t>White Summit Capital Asesores, S.L.</t>
        </is>
      </c>
      <c r="C127" s="25" t="inlineStr">
        <is>
          <t>CIF B87779468</t>
        </is>
      </c>
      <c r="D127" s="1" t="inlineStr">
        <is>
          <t>c/ Serrano 41 4º</t>
        </is>
      </c>
      <c r="E127" s="1" t="inlineStr">
        <is>
          <t>28001 Madrid</t>
        </is>
      </c>
      <c r="G127" t="inlineStr">
        <is>
          <t>NILI</t>
        </is>
      </c>
    </row>
    <row r="128">
      <c r="A128" t="inlineStr">
        <is>
          <t>Principico</t>
        </is>
      </c>
      <c r="B128" s="25" t="inlineStr">
        <is>
          <t>Gestora del kiosko SL</t>
        </is>
      </c>
      <c r="C128" s="25" t="inlineStr">
        <is>
          <t>CIF B90316266</t>
        </is>
      </c>
      <c r="D128" s="1" t="inlineStr">
        <is>
          <t>Virgen de la Oliva - Quiosco</t>
        </is>
      </c>
      <c r="E128" s="1" t="inlineStr">
        <is>
          <t>41011 Sevilla</t>
        </is>
      </c>
    </row>
    <row r="129">
      <c r="A129" t="inlineStr">
        <is>
          <t>Thorsten Ch.</t>
        </is>
      </c>
      <c r="B129" s="25" t="inlineStr">
        <is>
          <t>Watio Capital</t>
        </is>
      </c>
      <c r="C129" s="25" t="inlineStr">
        <is>
          <t>CIF B87036521</t>
        </is>
      </c>
      <c r="D129" s="1" t="inlineStr">
        <is>
          <t>c/ Fernández de la Hoz 70, 1B</t>
        </is>
      </c>
      <c r="E129" s="1" t="inlineStr">
        <is>
          <t>28003 Madrid</t>
        </is>
      </c>
    </row>
    <row r="130">
      <c r="A130" t="inlineStr">
        <is>
          <t>Contabilidad</t>
        </is>
      </c>
      <c r="B130" s="25" t="inlineStr">
        <is>
          <t>Soluciones Aeconova S.L.</t>
        </is>
      </c>
      <c r="C130" s="25" t="inlineStr">
        <is>
          <t>CIF B90418427</t>
        </is>
      </c>
      <c r="D130" s="1" t="inlineStr">
        <is>
          <t>Avda. de La Raza 1A mód 18</t>
        </is>
      </c>
      <c r="E130" s="1" t="inlineStr">
        <is>
          <t>41012 Sevilla</t>
        </is>
      </c>
    </row>
    <row r="131">
      <c r="A131" t="inlineStr">
        <is>
          <t>Verdinales</t>
        </is>
      </c>
      <c r="B131" s="25" t="inlineStr">
        <is>
          <t>FP LUX REIO PV VALLADOLID, S.L.U.</t>
        </is>
      </c>
      <c r="C131" s="25" t="inlineStr">
        <is>
          <t>CIF B71334833</t>
        </is>
      </c>
      <c r="D131" t="inlineStr">
        <is>
          <t>c/ Las Cruzadas 3A, local D</t>
        </is>
      </c>
      <c r="E131" s="1" t="inlineStr">
        <is>
          <t>41004 Sevilla</t>
        </is>
      </c>
    </row>
    <row r="132">
      <c r="A132" t="inlineStr">
        <is>
          <t>La Isla</t>
        </is>
      </c>
      <c r="B132" s="25" t="inlineStr">
        <is>
          <t>NOVASOL INVEST LA ISLA S.L.</t>
        </is>
      </c>
      <c r="C132" s="25" t="inlineStr">
        <is>
          <t>NIF B91822882</t>
        </is>
      </c>
      <c r="D132" s="1" t="inlineStr">
        <is>
          <t>CL/FEDERICO SANCHEZ BEDOYA,2-I 7</t>
        </is>
      </c>
      <c r="E132" s="1" t="inlineStr">
        <is>
          <t>41013 Sevilla</t>
        </is>
      </c>
    </row>
    <row r="133">
      <c r="A133" t="inlineStr">
        <is>
          <t>Solara4</t>
        </is>
      </c>
      <c r="B133" s="25" t="inlineStr">
        <is>
          <t>China Triumph International Engineering Co.,Ltd.</t>
        </is>
      </c>
      <c r="C133" s="187" t="inlineStr">
        <is>
          <t>91310000102016281D</t>
        </is>
      </c>
      <c r="D133" s="25" t="inlineStr">
        <is>
          <t>27fl Zhongqi building, 2000 North Zhongshan Road</t>
        </is>
      </c>
      <c r="E133" s="1" t="inlineStr">
        <is>
          <t>200063 Shanghai (China)</t>
        </is>
      </c>
    </row>
    <row r="134">
      <c r="A134" t="inlineStr">
        <is>
          <t>Moguer</t>
        </is>
      </c>
      <c r="B134" s="25" t="inlineStr">
        <is>
          <t>ALMIRANS, S.L.U.</t>
        </is>
      </c>
      <c r="C134" s="25" t="inlineStr">
        <is>
          <t>CIF B21390463</t>
        </is>
      </c>
      <c r="D134" s="1" t="inlineStr">
        <is>
          <t>C/Almirante Hernández-Pinzón número 1</t>
        </is>
      </c>
      <c r="E134" s="1" t="inlineStr">
        <is>
          <t>21800 Moguer (Huelva)</t>
        </is>
      </c>
    </row>
    <row r="135">
      <c r="A135" t="inlineStr">
        <is>
          <t>Baywa</t>
        </is>
      </c>
      <c r="B135" s="25" t="inlineStr">
        <is>
          <t>BayWa r.e. España S.L.U.</t>
        </is>
      </c>
      <c r="C135" s="25" t="inlineStr">
        <is>
          <t>CIF B65415762</t>
        </is>
      </c>
      <c r="D135" s="1" t="inlineStr">
        <is>
          <t>Gran Vía de les Corts Catalanes 657, Entresuelo</t>
        </is>
      </c>
      <c r="E135" s="1" t="inlineStr">
        <is>
          <t>08010 Barcelona</t>
        </is>
      </c>
    </row>
    <row r="136">
      <c r="A136" t="inlineStr">
        <is>
          <t>SET Valcabado</t>
        </is>
      </c>
      <c r="B136" s="25" t="inlineStr">
        <is>
          <t>Valcabado Renovables 220 kV, S.L.</t>
        </is>
      </c>
      <c r="C136" s="25" t="inlineStr">
        <is>
          <t>CIF B42768697</t>
        </is>
      </c>
      <c r="D136" s="1" t="inlineStr">
        <is>
          <t>c/ Princesa 2</t>
        </is>
      </c>
      <c r="E136" s="1" t="inlineStr">
        <is>
          <t>28008 Madrid</t>
        </is>
      </c>
    </row>
    <row r="137">
      <c r="A137" t="inlineStr">
        <is>
          <t>Calaverón</t>
        </is>
      </c>
      <c r="B137" s="25" t="inlineStr">
        <is>
          <t>Langsyne Spain S.L.U.</t>
        </is>
      </c>
      <c r="C137" s="25" t="inlineStr">
        <is>
          <t>CIF B85277762</t>
        </is>
      </c>
      <c r="D137" s="25" t="inlineStr">
        <is>
          <t>Calle Serrano, 27. Piso 4 IZQ</t>
        </is>
      </c>
      <c r="E137" s="1" t="inlineStr">
        <is>
          <t>28001 Madrid</t>
        </is>
      </c>
      <c r="G137" t="inlineStr">
        <is>
          <t>Planta El Calaverón</t>
        </is>
      </c>
    </row>
    <row r="138">
      <c r="A138" t="inlineStr">
        <is>
          <t>El Marqués</t>
        </is>
      </c>
      <c r="B138" s="25" t="inlineStr">
        <is>
          <t>FP LUX REIO PV ZARAGOZA SL.</t>
        </is>
      </c>
      <c r="C138" s="25" t="inlineStr">
        <is>
          <t>CIF B99453326</t>
        </is>
      </c>
      <c r="D138" s="1" t="inlineStr">
        <is>
          <t>c/ Las Cruzadas 3A, local D</t>
        </is>
      </c>
      <c r="E138" s="1" t="inlineStr">
        <is>
          <t>41004 Sevilla</t>
        </is>
      </c>
    </row>
    <row r="139">
      <c r="A139" t="inlineStr">
        <is>
          <t>SET Grijota</t>
        </is>
      </c>
      <c r="B139" s="25" t="inlineStr">
        <is>
          <t>Grijota Renovables, S.L.</t>
        </is>
      </c>
      <c r="C139" s="25" t="inlineStr">
        <is>
          <t>CIF B02963767</t>
        </is>
      </c>
      <c r="D139" s="1" t="inlineStr">
        <is>
          <t>c/ Princesa 2</t>
        </is>
      </c>
      <c r="E139" s="1" t="inlineStr">
        <is>
          <t>28008 Madrid</t>
        </is>
      </c>
    </row>
    <row r="140">
      <c r="A140" t="inlineStr">
        <is>
          <t>SET Majuelo</t>
        </is>
      </c>
      <c r="B140" s="1" t="inlineStr">
        <is>
          <t>Cubillos Renovables, S.L.</t>
        </is>
      </c>
      <c r="C140" s="1" t="inlineStr">
        <is>
          <t>CIF B05457049</t>
        </is>
      </c>
      <c r="D140" s="1" t="inlineStr">
        <is>
          <t>c/ Princesa 2</t>
        </is>
      </c>
      <c r="E140" s="1" t="inlineStr">
        <is>
          <t>28008 Madrid</t>
        </is>
      </c>
    </row>
    <row r="141">
      <c r="A141" t="inlineStr">
        <is>
          <t>Castillejo</t>
        </is>
      </c>
      <c r="B141" s="1" t="inlineStr">
        <is>
          <t>Sun Tol I, S.L.U.</t>
        </is>
      </c>
      <c r="C141" s="1" t="inlineStr">
        <is>
          <t>CIF B88187612</t>
        </is>
      </c>
      <c r="D141" s="1" t="inlineStr">
        <is>
          <t>c/ Serrano 27, 3º derecha</t>
        </is>
      </c>
      <c r="E141" s="1" t="inlineStr">
        <is>
          <t>28008 Madrid</t>
        </is>
      </c>
    </row>
    <row r="142">
      <c r="A142" t="inlineStr">
        <is>
          <t>SAECO</t>
        </is>
      </c>
      <c r="B142" s="25" t="inlineStr">
        <is>
          <t>SAECO de la Dirección de infraestructura del E.T.</t>
        </is>
      </c>
      <c r="C142" t="inlineStr">
        <is>
          <t>NIF S2830108C</t>
        </is>
      </c>
      <c r="D142" s="1" t="inlineStr">
        <is>
          <t>c/ Prim, 4-6. Cuarter General del Ejército.</t>
        </is>
      </c>
      <c r="E142" t="inlineStr">
        <is>
          <t>28071 Madrid</t>
        </is>
      </c>
    </row>
    <row r="143">
      <c r="A143" t="inlineStr">
        <is>
          <t>CTIEC_EP-ESP</t>
        </is>
      </c>
      <c r="B143" s="215" t="inlineStr">
        <is>
          <t>China Triumph International Engineering Co., LTD EP EN SPAIN</t>
        </is>
      </c>
      <c r="C143" s="1" t="inlineStr">
        <is>
          <t>CIF W7203013C</t>
        </is>
      </c>
      <c r="D143" s="1" t="inlineStr">
        <is>
          <t>c/ Arturo Soria 263, escalera D, Puerta B</t>
        </is>
      </c>
      <c r="E143" s="1" t="inlineStr">
        <is>
          <t>28033 Madrid</t>
        </is>
      </c>
    </row>
    <row r="144">
      <c r="B144" s="1" t="inlineStr">
        <is>
          <t>SMP Power GmbH</t>
        </is>
      </c>
      <c r="C144" s="1" t="inlineStr">
        <is>
          <t>DE345388995</t>
        </is>
      </c>
      <c r="D144" s="1" t="inlineStr">
        <is>
          <t>Nobistor 16</t>
        </is>
      </c>
      <c r="E144" s="1" t="inlineStr">
        <is>
          <t>22767 Hamburg (Alemania)</t>
        </is>
      </c>
    </row>
    <row r="145">
      <c r="A145" t="inlineStr">
        <is>
          <t>SET Tordesillas</t>
        </is>
      </c>
      <c r="B145" s="1" t="inlineStr">
        <is>
          <t>Tordesillas Renovables, S.L.</t>
        </is>
      </c>
      <c r="C145" s="1" t="inlineStr">
        <is>
          <t>CIF B02750818</t>
        </is>
      </c>
      <c r="D145" s="1" t="inlineStr">
        <is>
          <t>c/ Ombú 3, planta 10</t>
        </is>
      </c>
      <c r="E145" s="1" t="inlineStr">
        <is>
          <t>28045 Madrid</t>
        </is>
      </c>
    </row>
    <row r="146">
      <c r="A146" t="inlineStr">
        <is>
          <t>SET MonteReina</t>
        </is>
      </c>
      <c r="B146" s="1" t="inlineStr">
        <is>
          <t>Monte Reina Renovables, S.L.</t>
        </is>
      </c>
      <c r="C146" s="1" t="inlineStr">
        <is>
          <t>CIF B06879290</t>
        </is>
      </c>
      <c r="D146" s="1" t="inlineStr">
        <is>
          <t>c/ Ombú 3, planta 6</t>
        </is>
      </c>
      <c r="E146" s="1" t="inlineStr">
        <is>
          <t>28045 Madrid</t>
        </is>
      </c>
    </row>
    <row r="147">
      <c r="A147" t="inlineStr">
        <is>
          <t>SET Gazules</t>
        </is>
      </c>
      <c r="B147" s="1" t="inlineStr">
        <is>
          <t>Gazules Renovables, S.L.</t>
        </is>
      </c>
      <c r="C147" s="1" t="inlineStr">
        <is>
          <t>CIF B67864884</t>
        </is>
      </c>
      <c r="D147" s="1" t="inlineStr">
        <is>
          <t>c/ Las Cruzadas 3A, local D</t>
        </is>
      </c>
      <c r="E147" s="1" t="inlineStr">
        <is>
          <t>41004 Sevilla</t>
        </is>
      </c>
    </row>
    <row r="148">
      <c r="A148" t="inlineStr">
        <is>
          <t>LAAT T3 (torde)</t>
        </is>
      </c>
      <c r="B148" s="1" t="inlineStr">
        <is>
          <t>LAAT 132 kV Doble Circuito-Tordesillas 400 kV, S.L.</t>
        </is>
      </c>
      <c r="C148" s="1" t="inlineStr">
        <is>
          <t>CIF B06808273</t>
        </is>
      </c>
      <c r="D148" s="1" t="inlineStr">
        <is>
          <t>c/ Cardenal Marcelo Spínola 42, planta 5</t>
        </is>
      </c>
      <c r="E148" s="1" t="inlineStr">
        <is>
          <t>28016 Madrid</t>
        </is>
      </c>
    </row>
    <row r="149">
      <c r="A149" t="inlineStr">
        <is>
          <t>SET Herrera</t>
        </is>
      </c>
      <c r="B149" s="1" t="inlineStr">
        <is>
          <t>Herrera Renovables 400, A.I.E.</t>
        </is>
      </c>
      <c r="C149" s="1" t="inlineStr">
        <is>
          <t>CIF V06775555</t>
        </is>
      </c>
      <c r="D149" s="1" t="inlineStr">
        <is>
          <t>Avda. de la Carrera 3 1, Oficina 1</t>
        </is>
      </c>
      <c r="E149" s="1" t="inlineStr">
        <is>
          <t>28223 Pozuelo de Alarcón</t>
        </is>
      </c>
    </row>
    <row r="150">
      <c r="A150" t="inlineStr">
        <is>
          <t>SETCarmona 220</t>
        </is>
      </c>
      <c r="B150" s="1" t="inlineStr">
        <is>
          <t>Energías Limpias de Carmona, S.L.</t>
        </is>
      </c>
      <c r="C150" s="1" t="inlineStr">
        <is>
          <t>CIF B09828153</t>
        </is>
      </c>
      <c r="D150" s="1" t="inlineStr">
        <is>
          <t>c/ Las Cruzadas 3A, local D</t>
        </is>
      </c>
      <c r="E150" s="1" t="inlineStr">
        <is>
          <t>41004 Sevilla</t>
        </is>
      </c>
    </row>
    <row r="151">
      <c r="A151" t="inlineStr">
        <is>
          <t>LAAT T2 (torde)</t>
        </is>
      </c>
      <c r="B151" s="1" t="inlineStr">
        <is>
          <t>Evacuación Tordesillas 400 kV, S.L.</t>
        </is>
      </c>
      <c r="C151" s="1" t="inlineStr">
        <is>
          <t>CIF B16747685</t>
        </is>
      </c>
      <c r="D151" s="1" t="inlineStr">
        <is>
          <t>Avda. General Perón 27, 6º planta</t>
        </is>
      </c>
      <c r="E151" s="1" t="inlineStr">
        <is>
          <t>28020 Madrid</t>
        </is>
      </c>
    </row>
    <row r="152">
      <c r="B152" s="1" t="inlineStr">
        <is>
          <t>Jerez Motor S.A.</t>
        </is>
      </c>
      <c r="C152" s="1" t="inlineStr">
        <is>
          <t>CIF A11621448</t>
        </is>
      </c>
      <c r="D152" t="inlineStr">
        <is>
          <t>Avda. Tio Pepe 35</t>
        </is>
      </c>
      <c r="E152" t="inlineStr">
        <is>
          <t>11407 Jerez</t>
        </is>
      </c>
    </row>
    <row r="153">
      <c r="A153" t="inlineStr">
        <is>
          <t>SPV Taaleri</t>
        </is>
      </c>
      <c r="B153" s="685" t="inlineStr">
        <is>
          <t>Planta Solar Niebla I, S.L.</t>
        </is>
      </c>
      <c r="C153" s="1" t="inlineStr">
        <is>
          <t>CIF B44506038</t>
        </is>
      </c>
      <c r="D153" s="1" t="inlineStr">
        <is>
          <t>c/ Suero de Quiñones 34-36, 1a Planta</t>
        </is>
      </c>
      <c r="E153" s="1" t="inlineStr">
        <is>
          <t>28002 Madrid</t>
        </is>
      </c>
    </row>
    <row r="154">
      <c r="A154" t="inlineStr">
        <is>
          <t>SETCarmona 400</t>
        </is>
      </c>
      <c r="B154" s="1" t="inlineStr">
        <is>
          <t>SET Carmona 400 kV Renovables, S.L.</t>
        </is>
      </c>
      <c r="C154" s="1" t="inlineStr">
        <is>
          <t>CIF B09862491</t>
        </is>
      </c>
      <c r="D154" s="1" t="inlineStr">
        <is>
          <t>c/ Las Cruzadas 3A, local D</t>
        </is>
      </c>
      <c r="E154" s="1" t="inlineStr">
        <is>
          <t>41004 Sevilla</t>
        </is>
      </c>
    </row>
    <row r="155">
      <c r="A155" t="inlineStr">
        <is>
          <t>LAAT 220-400</t>
        </is>
      </c>
      <c r="B155" s="1" t="inlineStr">
        <is>
          <t>Evacuación Carmona 400-220 kV Renovables, S.L.</t>
        </is>
      </c>
      <c r="C155" s="1" t="inlineStr">
        <is>
          <t>CIF B09744517</t>
        </is>
      </c>
      <c r="D155" s="1" t="inlineStr">
        <is>
          <t>c/ Las Cruzadas 3A, local D</t>
        </is>
      </c>
      <c r="E155" s="1" t="inlineStr">
        <is>
          <t>41004 Sevilla</t>
        </is>
      </c>
    </row>
    <row r="156">
      <c r="B156" s="1" t="inlineStr">
        <is>
          <t>Línea Covatillas, A.I.E.</t>
        </is>
      </c>
      <c r="C156" s="1" t="inlineStr">
        <is>
          <t>CIF V09962655</t>
        </is>
      </c>
      <c r="D156" s="1" t="inlineStr">
        <is>
          <t>c/ Cardenal Marcelo Spínola 42, planta 5</t>
        </is>
      </c>
      <c r="E156" s="1" t="inlineStr">
        <is>
          <t>28016 Madrid</t>
        </is>
      </c>
    </row>
    <row r="157">
      <c r="B157" s="1" t="inlineStr">
        <is>
          <t>Novasol Invest La Isla, S.L.U</t>
        </is>
      </c>
      <c r="C157" s="1" t="inlineStr">
        <is>
          <t>CIF B91822882</t>
        </is>
      </c>
      <c r="D157" s="1" t="inlineStr">
        <is>
          <t>C/ Las Cruzadas 3 A Local D</t>
        </is>
      </c>
      <c r="E157" t="inlineStr">
        <is>
          <t>41004 Sevilla</t>
        </is>
      </c>
      <c r="F157" s="1" t="n"/>
    </row>
    <row r="158">
      <c r="A158" t="inlineStr">
        <is>
          <t>SETSerranilla</t>
        </is>
      </c>
      <c r="B158" s="1" t="inlineStr">
        <is>
          <t>La Serranilla Renovables 132 kV, A.I.E.</t>
        </is>
      </c>
      <c r="C158" s="1" t="inlineStr">
        <is>
          <t>CIF V01683150</t>
        </is>
      </c>
      <c r="D158" s="1" t="inlineStr">
        <is>
          <t>c/ Cardenal Marcelo Spínola 42</t>
        </is>
      </c>
      <c r="E158" s="1" t="inlineStr">
        <is>
          <t>28016 Madrid</t>
        </is>
      </c>
    </row>
    <row r="159">
      <c r="A159" t="inlineStr">
        <is>
          <t>SET Sotillo132</t>
        </is>
      </c>
      <c r="B159" s="1" t="inlineStr">
        <is>
          <t>Herrera Sotillo Renovables, A.I.E.</t>
        </is>
      </c>
      <c r="C159" s="1" t="inlineStr">
        <is>
          <t>CIF V72553548</t>
        </is>
      </c>
      <c r="D159" s="1" t="inlineStr">
        <is>
          <t>c/ Cardenal Marcelo Spínola 10</t>
        </is>
      </c>
      <c r="E159" s="1" t="inlineStr">
        <is>
          <t>28016 Madrid</t>
        </is>
      </c>
    </row>
    <row r="160">
      <c r="B160" s="1" t="inlineStr">
        <is>
          <t>Automares, S.L.</t>
        </is>
      </c>
      <c r="C160" s="1" t="inlineStr">
        <is>
          <t>CIF B41261330</t>
        </is>
      </c>
      <c r="D160" s="1" t="inlineStr">
        <is>
          <t>Ctra. de Su Eminencia, S/N</t>
        </is>
      </c>
      <c r="E160" s="1" t="inlineStr">
        <is>
          <t>41006 Sevilla</t>
        </is>
      </c>
    </row>
    <row r="161">
      <c r="A161" t="inlineStr">
        <is>
          <t>Privativas OPDE</t>
        </is>
      </c>
      <c r="B161" s="1" t="inlineStr">
        <is>
          <t>OTRAS PRODUCCIONES DE ENERGÍA FOTOVOLTAICA, S.A.</t>
        </is>
      </c>
      <c r="C161" s="1" t="inlineStr">
        <is>
          <t>CIF B71004378</t>
        </is>
      </c>
      <c r="D161" s="1" t="inlineStr">
        <is>
          <t>c/ Cardenal Marcelo Spínola 42</t>
        </is>
      </c>
      <c r="E161" s="1" t="inlineStr">
        <is>
          <t>28016 Madrid</t>
        </is>
      </c>
    </row>
    <row r="162">
      <c r="B162" s="1" t="inlineStr">
        <is>
          <t>ENEL GREEN POWER ESPAÑA, S.L.</t>
        </is>
      </c>
      <c r="C162" s="1" t="inlineStr">
        <is>
          <t>CIF B61234613</t>
        </is>
      </c>
      <c r="D162" s="1" t="inlineStr">
        <is>
          <t>c/ Ribera del Loira, num.60</t>
        </is>
      </c>
      <c r="E162" s="1" t="inlineStr">
        <is>
          <t>28042 Madrid</t>
        </is>
      </c>
    </row>
    <row r="163">
      <c r="B163" s="1" t="inlineStr">
        <is>
          <t>Sonnedix España Management S.L.</t>
        </is>
      </c>
      <c r="C163" s="1" t="inlineStr">
        <is>
          <t>CIF B87633822</t>
        </is>
      </c>
      <c r="D163" s="1" t="inlineStr">
        <is>
          <t>c/ Príncipe de Vergara 108, Planta 12</t>
        </is>
      </c>
      <c r="E163" s="1" t="inlineStr">
        <is>
          <t>28002 Madrid</t>
        </is>
      </c>
    </row>
    <row r="164">
      <c r="A164" t="inlineStr">
        <is>
          <t>LAAT132 Belinchón</t>
        </is>
      </c>
      <c r="B164" s="1" t="inlineStr">
        <is>
          <t>Cuádruple Belinchón, S.L.</t>
        </is>
      </c>
      <c r="C164" s="1" t="inlineStr">
        <is>
          <t>CIF B09737602</t>
        </is>
      </c>
      <c r="D164" s="1" t="inlineStr">
        <is>
          <t>c/ Rafael Botí, 26</t>
        </is>
      </c>
      <c r="E164" s="1" t="inlineStr">
        <is>
          <t>28023 Madrid</t>
        </is>
      </c>
    </row>
    <row r="165">
      <c r="A165" t="inlineStr">
        <is>
          <t>Apicio. Brova1</t>
        </is>
      </c>
      <c r="B165" s="1" t="inlineStr">
        <is>
          <t>Renovables Brovales 400 kV, S.L.</t>
        </is>
      </c>
      <c r="C165" s="1" t="inlineStr">
        <is>
          <t>CIF B09737263</t>
        </is>
      </c>
      <c r="D165" s="1" t="inlineStr">
        <is>
          <t>Avenida de la Borbolla 5</t>
        </is>
      </c>
      <c r="E165" s="1" t="inlineStr">
        <is>
          <t>41004 Sevilla</t>
        </is>
      </c>
    </row>
    <row r="166">
      <c r="A166" t="inlineStr">
        <is>
          <t>Brovales3</t>
        </is>
      </c>
      <c r="B166" s="1" t="inlineStr">
        <is>
          <t>Huerta Sevilla Renovables, S.L.</t>
        </is>
      </c>
      <c r="C166" s="1" t="inlineStr">
        <is>
          <t>CIF B72559875</t>
        </is>
      </c>
      <c r="D166" s="1" t="inlineStr">
        <is>
          <t>c/ Cardenal Marcelo Spínola 42, planta 5</t>
        </is>
      </c>
      <c r="E166" s="1" t="inlineStr">
        <is>
          <t>28016 Madrid</t>
        </is>
      </c>
    </row>
    <row r="167">
      <c r="A167" t="inlineStr">
        <is>
          <t>Priv.Carmona</t>
        </is>
      </c>
      <c r="B167" s="1" t="inlineStr">
        <is>
          <t>Arcadia Renovables 1, S.L.U.</t>
        </is>
      </c>
      <c r="C167" s="1" t="inlineStr">
        <is>
          <t>CIF B90486390</t>
        </is>
      </c>
      <c r="D167" s="1" t="inlineStr">
        <is>
          <t xml:space="preserve">C/ Serrano 41, 4ª  </t>
        </is>
      </c>
      <c r="E167" t="inlineStr">
        <is>
          <t>28001 Madrid</t>
        </is>
      </c>
    </row>
    <row r="168">
      <c r="B168" s="1" t="inlineStr">
        <is>
          <t>Belisol 132 kV, S.L.</t>
        </is>
      </c>
      <c r="C168" s="1" t="inlineStr">
        <is>
          <t>CIF B72917263</t>
        </is>
      </c>
      <c r="D168" s="1" t="inlineStr">
        <is>
          <t>c/ Teodoro Camino 17, Bajo</t>
        </is>
      </c>
      <c r="E168" s="1" t="inlineStr">
        <is>
          <t>02002 Albacete</t>
        </is>
      </c>
    </row>
    <row r="169">
      <c r="B169" s="1" t="inlineStr">
        <is>
          <t>Generación Fotovoltaica de Bargas, S.L.</t>
        </is>
      </c>
      <c r="C169" s="1" t="inlineStr">
        <is>
          <t>CIF B73939902</t>
        </is>
      </c>
      <c r="D169" s="1" t="inlineStr">
        <is>
          <t>Avda. Matapiñonera 11, Edif.2 - Oficina 115</t>
        </is>
      </c>
      <c r="E169" s="1" t="inlineStr">
        <is>
          <t>28703 San Sebastian de los Reyes</t>
        </is>
      </c>
    </row>
    <row r="170">
      <c r="B170" s="1" t="inlineStr">
        <is>
          <t>Evacuación Liquesun, S.L.</t>
        </is>
      </c>
      <c r="C170" s="1" t="inlineStr">
        <is>
          <t>CIF B44721868</t>
        </is>
      </c>
      <c r="D170" s="1" t="inlineStr">
        <is>
          <t>C/ Las Cruzadas 3 A Local D</t>
        </is>
      </c>
      <c r="E170" t="inlineStr">
        <is>
          <t>41004 Sevilla</t>
        </is>
      </c>
    </row>
    <row r="171">
      <c r="B171" s="1" t="inlineStr">
        <is>
          <t>Sonnedix España Services, S.L.</t>
        </is>
      </c>
      <c r="C171" s="1" t="inlineStr">
        <is>
          <t>CIF B87126413</t>
        </is>
      </c>
      <c r="D171" s="1" t="inlineStr">
        <is>
          <t>C/ Principe de Vegara, 108, 12ª planta</t>
        </is>
      </c>
      <c r="E171" s="1" t="inlineStr">
        <is>
          <t>28002 Madrid</t>
        </is>
      </c>
    </row>
    <row r="172">
      <c r="B172" s="1" t="inlineStr">
        <is>
          <t>Brazatortas 220 Renovables, S.L.</t>
        </is>
      </c>
      <c r="C172" s="1" t="inlineStr">
        <is>
          <t>CIF B72669237</t>
        </is>
      </c>
      <c r="D172" s="1" t="inlineStr">
        <is>
          <t>c/ Ribera del Loira, num.60</t>
        </is>
      </c>
      <c r="E172" s="1" t="inlineStr">
        <is>
          <t>28042 Madrid</t>
        </is>
      </c>
    </row>
    <row r="173">
      <c r="B173" s="1" t="inlineStr">
        <is>
          <t>Colectora Carmona, S.L.</t>
        </is>
      </c>
      <c r="C173" s="1" t="inlineStr">
        <is>
          <t>CIF B72861768</t>
        </is>
      </c>
      <c r="D173" s="1" t="inlineStr">
        <is>
          <t>C/ Las Cruzadas 3 A Local D</t>
        </is>
      </c>
      <c r="E173" t="inlineStr">
        <is>
          <t>41004 Sevilla</t>
        </is>
      </c>
    </row>
    <row r="174">
      <c r="A174" s="591" t="inlineStr">
        <is>
          <t>Empresas Arcadia</t>
        </is>
      </c>
      <c r="B174" s="1" t="inlineStr">
        <is>
          <t>CAROSAN CAPITAL INVEST, S.L.</t>
        </is>
      </c>
      <c r="C174" s="1" t="inlineStr">
        <is>
          <t>CIF B19251214</t>
        </is>
      </c>
      <c r="D174" t="inlineStr">
        <is>
          <t>Pol. Empresaral Neinor Henares, Bloque 2, Nave 1</t>
        </is>
      </c>
      <c r="E174" t="inlineStr">
        <is>
          <t>28880 Meco</t>
        </is>
      </c>
    </row>
    <row r="175">
      <c r="A175" s="591" t="n"/>
      <c r="B175" s="1" t="inlineStr">
        <is>
          <t>ALDARIS WORLD, S.L.</t>
        </is>
      </c>
      <c r="C175" s="1" t="inlineStr">
        <is>
          <t>CIF B91838243</t>
        </is>
      </c>
      <c r="D175" t="inlineStr">
        <is>
          <t>Avenida de la Buhaira 17, Bloque 3, 6ºA</t>
        </is>
      </c>
      <c r="E175" t="inlineStr">
        <is>
          <t>41018 Sevilla</t>
        </is>
      </c>
    </row>
    <row r="176">
      <c r="A176" s="591" t="n"/>
      <c r="B176" s="1" t="inlineStr">
        <is>
          <t>LESMONT KAPITAL, S.L.</t>
        </is>
      </c>
      <c r="C176" s="1" t="inlineStr">
        <is>
          <t>CIF B90034125</t>
        </is>
      </c>
      <c r="D176" t="inlineStr">
        <is>
          <t>c/ Magnolia 4, Urbanización la Juliana</t>
        </is>
      </c>
      <c r="E176" t="inlineStr">
        <is>
          <t>41110 Bollullos de la Mitación</t>
        </is>
      </c>
    </row>
    <row r="177">
      <c r="A177" s="591" t="n"/>
      <c r="B177" s="1" t="inlineStr">
        <is>
          <t>ALMENAVE INVERSIONES, S.L.</t>
        </is>
      </c>
      <c r="C177" s="1" t="inlineStr">
        <is>
          <t>CIF B90008517</t>
        </is>
      </c>
      <c r="D177" t="inlineStr">
        <is>
          <t>Glorieta de Letonia 1, Bloque C, 10ºD</t>
        </is>
      </c>
      <c r="E177" t="inlineStr">
        <is>
          <t>41012 Sevilla</t>
        </is>
      </c>
    </row>
    <row r="178">
      <c r="A178" t="inlineStr">
        <is>
          <t>SET400 Toro</t>
        </is>
      </c>
      <c r="B178" s="1" t="inlineStr">
        <is>
          <t>Toro Renovables, S.L.</t>
        </is>
      </c>
      <c r="C178" s="1" t="inlineStr">
        <is>
          <t>CIF B16723512</t>
        </is>
      </c>
      <c r="D178" t="inlineStr">
        <is>
          <t>c/ Princesa 2</t>
        </is>
      </c>
      <c r="E178" t="inlineStr">
        <is>
          <t>28008 Madrid</t>
        </is>
      </c>
    </row>
    <row r="179">
      <c r="A179" t="inlineStr">
        <is>
          <t>Brovales2</t>
        </is>
      </c>
      <c r="B179" s="1" t="inlineStr">
        <is>
          <t>Renovables Brovales Segura de León 400 kV, S.L.</t>
        </is>
      </c>
      <c r="C179" s="1" t="inlineStr">
        <is>
          <t>CIF B44670412</t>
        </is>
      </c>
      <c r="D179" t="inlineStr">
        <is>
          <t>Avenida de la Borbolla 5</t>
        </is>
      </c>
      <c r="E179" t="inlineStr">
        <is>
          <t>41004 Sevilla</t>
        </is>
      </c>
    </row>
    <row r="180">
      <c r="A180" t="inlineStr">
        <is>
          <t>Benejama-REE</t>
        </is>
      </c>
      <c r="B180" s="1" t="inlineStr">
        <is>
          <t>Promotores Benejama Generación, S.L.</t>
        </is>
      </c>
      <c r="C180" s="1" t="inlineStr">
        <is>
          <t>CIF B44912285</t>
        </is>
      </c>
      <c r="D180" s="1" t="inlineStr">
        <is>
          <t>C/ Las Cruzadas 3 A Local D</t>
        </is>
      </c>
      <c r="E180" t="inlineStr">
        <is>
          <t>41004 Sevilla</t>
        </is>
      </c>
    </row>
    <row r="181">
      <c r="B181" s="1" t="inlineStr">
        <is>
          <t>ICE Santa Engracia, S.L.</t>
        </is>
      </c>
      <c r="C181" s="1" t="inlineStr">
        <is>
          <t>CIF B44854842</t>
        </is>
      </c>
      <c r="D181" t="inlineStr">
        <is>
          <t>c/ Portalada 50, Nave 8</t>
        </is>
      </c>
      <c r="E181" t="inlineStr">
        <is>
          <t>26006 Logroño</t>
        </is>
      </c>
    </row>
    <row r="182">
      <c r="B182" s="1" t="inlineStr">
        <is>
          <t>aBalados Recycling, S.L.</t>
        </is>
      </c>
      <c r="C182" s="1" t="inlineStr">
        <is>
          <t>CIF B16867533</t>
        </is>
      </c>
      <c r="D182" s="1" t="inlineStr">
        <is>
          <t>C/ Las Cruzadas 3 A Local D</t>
        </is>
      </c>
      <c r="E182" t="inlineStr">
        <is>
          <t>41004 Sevilla</t>
        </is>
      </c>
    </row>
    <row r="183">
      <c r="B183" s="1" t="inlineStr">
        <is>
          <t>EKHI ENERGY S.L.U.</t>
        </is>
      </c>
      <c r="C183" s="1" t="inlineStr">
        <is>
          <t>CIF B88278098</t>
        </is>
      </c>
      <c r="D183" t="inlineStr">
        <is>
          <t>Paseo de la Castellana 178, 3ª planta, izq</t>
        </is>
      </c>
      <c r="E183" t="inlineStr">
        <is>
          <t>28046 Madrid</t>
        </is>
      </c>
    </row>
    <row r="184">
      <c r="B184" s="1" t="inlineStr">
        <is>
          <t>Maria Renovables, S.L.</t>
        </is>
      </c>
      <c r="C184" s="1" t="inlineStr">
        <is>
          <t>CIF B44834927</t>
        </is>
      </c>
      <c r="D184" s="1" t="inlineStr">
        <is>
          <t>C/ Cosso, 33, 7ª planta</t>
        </is>
      </c>
      <c r="E184" t="inlineStr">
        <is>
          <t>50003 Zaragoza</t>
        </is>
      </c>
    </row>
    <row r="185">
      <c r="A185" t="inlineStr">
        <is>
          <t>SET220 Ciguñuela</t>
        </is>
      </c>
      <c r="B185" s="1" t="inlineStr">
        <is>
          <t>Nudo SE Zaratan 220 kV, S.L.</t>
        </is>
      </c>
      <c r="C185" s="1" t="inlineStr">
        <is>
          <t>CIF B44796217</t>
        </is>
      </c>
      <c r="D185" t="inlineStr">
        <is>
          <t>C/ Cardenal Marcelo Spínola, 4, 1º Derecha</t>
        </is>
      </c>
      <c r="E185" s="1" t="inlineStr">
        <is>
          <t>28016 Madrid</t>
        </is>
      </c>
    </row>
    <row r="186">
      <c r="A186" t="inlineStr">
        <is>
          <t>Set Benejama</t>
        </is>
      </c>
      <c r="B186" s="1" t="inlineStr">
        <is>
          <t>Promotores Benejama Colectora, S.L.</t>
        </is>
      </c>
      <c r="C186" s="1" t="inlineStr">
        <is>
          <t>CIF B44912293</t>
        </is>
      </c>
      <c r="D186" s="1" t="inlineStr">
        <is>
          <t>C/ Las Cruzadas 3 A Local D</t>
        </is>
      </c>
      <c r="E186" t="inlineStr">
        <is>
          <t>41004 Sevilla</t>
        </is>
      </c>
    </row>
    <row r="187">
      <c r="B187" s="1" t="inlineStr">
        <is>
          <t>Becerril Renovables, S.L.</t>
        </is>
      </c>
      <c r="C187" s="1" t="inlineStr">
        <is>
          <t>CIF B06989537</t>
        </is>
      </c>
      <c r="D187" t="inlineStr">
        <is>
          <t>C/ López de Hoyos 15, 3º</t>
        </is>
      </c>
      <c r="E187" s="1" t="inlineStr">
        <is>
          <t>28006 Madrid</t>
        </is>
      </c>
    </row>
    <row r="188">
      <c r="B188" s="1" t="inlineStr">
        <is>
          <t>Transformadora Almodóvar Renovables, S.L.</t>
        </is>
      </c>
      <c r="C188" s="1" t="inlineStr">
        <is>
          <t>CIF B72779663</t>
        </is>
      </c>
      <c r="D188" s="1" t="inlineStr">
        <is>
          <t>C/ Las Cruzadas 3 A Local D</t>
        </is>
      </c>
      <c r="E188" t="inlineStr">
        <is>
          <t>41004 Sevilla</t>
        </is>
      </c>
    </row>
    <row r="189">
      <c r="B189" s="1" t="inlineStr">
        <is>
          <t>Teodomiro Renovables, S.L.</t>
        </is>
      </c>
      <c r="C189" s="1" t="inlineStr">
        <is>
          <t>CIF B44834430</t>
        </is>
      </c>
      <c r="D189" s="1" t="inlineStr">
        <is>
          <t>C/ Las Cruzadas 3 A Local D</t>
        </is>
      </c>
      <c r="E189" t="inlineStr">
        <is>
          <t>41004 Sevilla</t>
        </is>
      </c>
    </row>
    <row r="190">
      <c r="B190" s="1" t="inlineStr">
        <is>
          <t>Arcadia Renovables, S.L.</t>
        </is>
      </c>
      <c r="C190" s="1" t="inlineStr">
        <is>
          <t>CIF B90008533</t>
        </is>
      </c>
      <c r="D190" s="1" t="inlineStr">
        <is>
          <t xml:space="preserve">C/ Serrano 41, 4ª  </t>
        </is>
      </c>
      <c r="E190" t="inlineStr">
        <is>
          <t>28001 Madrid</t>
        </is>
      </c>
    </row>
    <row r="191">
      <c r="A191" t="inlineStr">
        <is>
          <t>T3</t>
        </is>
      </c>
      <c r="B191" s="1" t="inlineStr">
        <is>
          <t>Martinez Montes Tordesillas, S.L.</t>
        </is>
      </c>
      <c r="C191" s="1" t="inlineStr">
        <is>
          <t>CIF B06808273</t>
        </is>
      </c>
      <c r="D191" s="1" t="inlineStr">
        <is>
          <t>c/ Cardenal Marcelo Spínola 42, planta 5</t>
        </is>
      </c>
      <c r="E191" s="1" t="inlineStr">
        <is>
          <t>28016 Madrid</t>
        </is>
      </c>
    </row>
    <row r="192">
      <c r="B192" s="1" t="inlineStr">
        <is>
          <t>Las Monas Gallego, A.I.E.</t>
        </is>
      </c>
      <c r="C192" s="1" t="inlineStr">
        <is>
          <t>CIF V13916036</t>
        </is>
      </c>
      <c r="D192" s="1" t="inlineStr">
        <is>
          <t>c/ Francisca Delgado 11, plantas 4 y 5</t>
        </is>
      </c>
      <c r="E192" t="inlineStr">
        <is>
          <t>28108 Alcobendas</t>
        </is>
      </c>
    </row>
    <row r="193">
      <c r="B193" s="1" t="inlineStr">
        <is>
          <t>Escatrón Promotores 400 y 220, S.L.</t>
        </is>
      </c>
      <c r="C193" s="1" t="inlineStr">
        <is>
          <t>CIF B56214679</t>
        </is>
      </c>
      <c r="D193" s="1" t="inlineStr">
        <is>
          <t>C/ Cosso, 33, 6ª planta</t>
        </is>
      </c>
      <c r="E193" t="inlineStr">
        <is>
          <t>50003 Zaragoza</t>
        </is>
      </c>
    </row>
    <row r="194">
      <c r="A194" t="inlineStr">
        <is>
          <t>ST Almansol</t>
        </is>
      </c>
      <c r="B194" s="1" t="inlineStr">
        <is>
          <t>Comunidad de Bienes Grupotec Rotonda</t>
        </is>
      </c>
      <c r="C194" s="1" t="inlineStr">
        <is>
          <t>CIF E40559320</t>
        </is>
      </c>
      <c r="D194" s="1" t="inlineStr">
        <is>
          <t>Avenida Tarongers 33</t>
        </is>
      </c>
      <c r="E194" t="inlineStr">
        <is>
          <t>46011 Valencia</t>
        </is>
      </c>
    </row>
    <row r="195">
      <c r="A195" t="inlineStr">
        <is>
          <t>Colectora Sequero</t>
        </is>
      </c>
      <c r="B195" s="1" t="inlineStr">
        <is>
          <t>ICE Sequero, S.L.</t>
        </is>
      </c>
      <c r="C195" s="1" t="inlineStr">
        <is>
          <t>CIF B13873898</t>
        </is>
      </c>
      <c r="D195" s="1" t="inlineStr">
        <is>
          <t>Avda República Argentina 9-1, D</t>
        </is>
      </c>
      <c r="E195" t="inlineStr">
        <is>
          <t>41011 Sevilla</t>
        </is>
      </c>
    </row>
    <row r="196">
      <c r="B196" s="1" t="inlineStr">
        <is>
          <t>Asociación Molinos de Guadaíra</t>
        </is>
      </c>
      <c r="C196" s="1" t="inlineStr">
        <is>
          <t>CIF G91938464</t>
        </is>
      </c>
      <c r="D196" s="1" t="inlineStr">
        <is>
          <t>Ctra A-8033, km 1.5</t>
        </is>
      </c>
      <c r="E196" t="inlineStr">
        <is>
          <t>41500 Alcalá de Guadaíra</t>
        </is>
      </c>
    </row>
    <row r="197">
      <c r="B197" s="1" t="inlineStr">
        <is>
          <t>Aventron España, S.L.</t>
        </is>
      </c>
      <c r="C197" s="1" t="inlineStr">
        <is>
          <t>CIF B88233317</t>
        </is>
      </c>
      <c r="D197" s="1" t="inlineStr">
        <is>
          <t>Avda. Matapiñonera 11, Edif.2 - Oficina 115</t>
        </is>
      </c>
      <c r="E197" t="inlineStr">
        <is>
          <t>28703 San Sebastian de los Reyes</t>
        </is>
      </c>
    </row>
    <row r="198">
      <c r="B198" s="1" t="inlineStr">
        <is>
          <t>Gubier Investments, S.L.</t>
        </is>
      </c>
      <c r="C198" s="1" t="inlineStr">
        <is>
          <t>CIF B06980866</t>
        </is>
      </c>
      <c r="D198" s="1" t="inlineStr">
        <is>
          <t>C/ Las Cruzadas 3 A Local D</t>
        </is>
      </c>
      <c r="E198" t="inlineStr">
        <is>
          <t>41004 Sevilla</t>
        </is>
      </c>
    </row>
    <row r="199">
      <c r="B199" s="1" t="inlineStr">
        <is>
          <t>Arcadia Renovables 2, S.L.U.</t>
        </is>
      </c>
      <c r="C199" s="1" t="inlineStr">
        <is>
          <t>CIF B90486416</t>
        </is>
      </c>
      <c r="D199" s="1" t="inlineStr">
        <is>
          <t xml:space="preserve">C/ Serrano 41, 4ª  </t>
        </is>
      </c>
      <c r="E199" t="inlineStr">
        <is>
          <t>28001 Madrid</t>
        </is>
      </c>
    </row>
    <row r="200">
      <c r="B200" s="1" t="inlineStr">
        <is>
          <t>Arcadia Renovables 3, S.L.U.</t>
        </is>
      </c>
      <c r="C200" s="1" t="inlineStr">
        <is>
          <t>CIF B90486408</t>
        </is>
      </c>
      <c r="D200" s="1" t="inlineStr">
        <is>
          <t xml:space="preserve">C/ Serrano 41, 4ª  </t>
        </is>
      </c>
      <c r="E200" t="inlineStr">
        <is>
          <t>28001 Madrid</t>
        </is>
      </c>
    </row>
    <row r="201">
      <c r="B201" s="1" t="inlineStr">
        <is>
          <t>Renedo Renovables, S.L.</t>
        </is>
      </c>
      <c r="C201" s="1" t="inlineStr">
        <is>
          <t>CIF B05405584</t>
        </is>
      </c>
      <c r="D201" s="1" t="inlineStr">
        <is>
          <t>C/ López de Hoyos 15, 3ºDerecha</t>
        </is>
      </c>
      <c r="E201" s="1" t="inlineStr">
        <is>
          <t>28006 Madrid</t>
        </is>
      </c>
    </row>
    <row r="202">
      <c r="B202" s="1" t="inlineStr">
        <is>
          <t>Irina Generación 220, A.I.E.</t>
        </is>
      </c>
      <c r="C202" s="1" t="inlineStr">
        <is>
          <t>CIF V10824928</t>
        </is>
      </c>
      <c r="D202" s="1" t="inlineStr">
        <is>
          <t>c/ Cardenal Marcelo Spínola 4, 1ºDerecha</t>
        </is>
      </c>
      <c r="E202" s="1" t="inlineStr">
        <is>
          <t>28016 Madrid</t>
        </is>
      </c>
    </row>
    <row r="203">
      <c r="B203" s="1" t="inlineStr">
        <is>
          <t>Manzasol 132 kV, S.L.</t>
        </is>
      </c>
      <c r="C203" s="1" t="inlineStr">
        <is>
          <t>CIF B10875516</t>
        </is>
      </c>
      <c r="D203" s="1" t="inlineStr">
        <is>
          <t>c/ Teodoro Camino 17, Bajo</t>
        </is>
      </c>
      <c r="E203" t="inlineStr">
        <is>
          <t>02002 Albacete</t>
        </is>
      </c>
    </row>
    <row r="204">
      <c r="B204" s="1" t="inlineStr">
        <is>
          <t>SE Colectora Ayora Renovables, A.I.E.</t>
        </is>
      </c>
      <c r="C204" s="1" t="inlineStr">
        <is>
          <t>CIF V13734439</t>
        </is>
      </c>
      <c r="D204" s="1" t="inlineStr">
        <is>
          <t>Avda. Ronda de Nazaret 9, Bajo</t>
        </is>
      </c>
      <c r="E204" t="inlineStr">
        <is>
          <t>46024 Valencia</t>
        </is>
      </c>
    </row>
    <row r="205">
      <c r="B205" s="1" t="inlineStr">
        <is>
          <t>Renovables Valle Solar Fotovoltaica, A.I.E.</t>
        </is>
      </c>
      <c r="C205" s="1" t="inlineStr">
        <is>
          <t>CIF V13734348</t>
        </is>
      </c>
      <c r="D205" s="1" t="inlineStr">
        <is>
          <t>Avda. Ronda de Nazaret 9, Bajo</t>
        </is>
      </c>
      <c r="E205" t="inlineStr">
        <is>
          <t>46024 Valencia</t>
        </is>
      </c>
    </row>
    <row r="206">
      <c r="B206" s="1" t="inlineStr">
        <is>
          <t>China Building Material International Technology Investment Co., Limited</t>
        </is>
      </c>
      <c r="C206" s="365" t="inlineStr">
        <is>
          <t>59946348-000-06-18-1</t>
        </is>
      </c>
      <c r="D206" s="1" t="inlineStr">
        <is>
          <t>Flat 1506,15/F ; Lucky Center No.165-171 ; Wan Chai Road</t>
        </is>
      </c>
      <c r="E206" t="inlineStr">
        <is>
          <t>Wan Chai, Hong Kong</t>
        </is>
      </c>
    </row>
    <row r="207">
      <c r="B207" s="1" t="inlineStr">
        <is>
          <t>Piquito Olé S.L.</t>
        </is>
      </c>
      <c r="C207" t="inlineStr">
        <is>
          <t>CIF B90482050</t>
        </is>
      </c>
      <c r="D207" s="1" t="inlineStr">
        <is>
          <t>Calle Virgen de Luján 3, 2F</t>
        </is>
      </c>
      <c r="E207" t="inlineStr">
        <is>
          <t>41011 Sevilla</t>
        </is>
      </c>
    </row>
    <row r="208">
      <c r="B208" s="1" t="inlineStr">
        <is>
          <t>ABO WIND S.A.U.</t>
        </is>
      </c>
      <c r="C208" s="1" t="inlineStr">
        <is>
          <t>CIF A97066914</t>
        </is>
      </c>
      <c r="D208" s="366" t="inlineStr">
        <is>
          <t>C/ Gran vía del Marques del Turia, 25-4</t>
        </is>
      </c>
      <c r="E208" t="inlineStr">
        <is>
          <t>46005 Valencia</t>
        </is>
      </c>
    </row>
    <row r="209">
      <c r="B209" s="1" t="inlineStr">
        <is>
          <t>Encavis Asset Management AG</t>
        </is>
      </c>
      <c r="C209" t="inlineStr">
        <is>
          <t>DE 197110652</t>
        </is>
      </c>
      <c r="D209" s="1" t="inlineStr">
        <is>
          <t>Professor-Messerschmitt-Str. 3</t>
        </is>
      </c>
      <c r="E209" t="inlineStr">
        <is>
          <t>85579 Neubiberg, Germany</t>
        </is>
      </c>
    </row>
    <row r="210">
      <c r="A210" t="inlineStr">
        <is>
          <t>Propietarios Tecnol</t>
        </is>
      </c>
      <c r="B210" s="1" t="inlineStr">
        <is>
          <t>Delafruit S.L.U.</t>
        </is>
      </c>
      <c r="C210" s="1" t="inlineStr">
        <is>
          <t>CIF B61690848</t>
        </is>
      </c>
      <c r="D210" s="1" t="inlineStr">
        <is>
          <t xml:space="preserve">Avda Carintia S/N - Polígono Industrial Millenium </t>
        </is>
      </c>
      <c r="E210" t="inlineStr">
        <is>
          <t>43470 La Selva del Camp, Tarragona</t>
        </is>
      </c>
    </row>
    <row r="211">
      <c r="B211" s="1" t="inlineStr">
        <is>
          <t>San Pedro Pinatar Renovables, S.L.</t>
        </is>
      </c>
      <c r="C211" s="1" t="inlineStr">
        <is>
          <t>CIF B56880321</t>
        </is>
      </c>
      <c r="D211" s="1" t="inlineStr">
        <is>
          <t>c/ Ribera del Loira, 38, 3</t>
        </is>
      </c>
      <c r="E211" t="inlineStr">
        <is>
          <t>28042 Madrid</t>
        </is>
      </c>
    </row>
    <row r="212">
      <c r="A212" t="inlineStr">
        <is>
          <t>ST Campofrío</t>
        </is>
      </c>
      <c r="B212" s="1" t="inlineStr">
        <is>
          <t>Evacuación Salteras, S.L.</t>
        </is>
      </c>
      <c r="C212" s="1" t="inlineStr">
        <is>
          <t>CIF B56363484</t>
        </is>
      </c>
      <c r="D212" s="1" t="inlineStr">
        <is>
          <t>Gran Vía de les Corts Catalanes 657, P</t>
        </is>
      </c>
      <c r="E212" t="inlineStr">
        <is>
          <t>08004 Barcelona</t>
        </is>
      </c>
    </row>
    <row r="213">
      <c r="B213" s="1" t="inlineStr">
        <is>
          <t>Tordesillas T2Prima 132kV, S.L.</t>
        </is>
      </c>
      <c r="C213" s="1" t="inlineStr">
        <is>
          <t>CIF B56999758</t>
        </is>
      </c>
      <c r="D213" s="1" t="inlineStr">
        <is>
          <t>c/ Ombú 3, planta 10</t>
        </is>
      </c>
      <c r="E213" s="1" t="inlineStr">
        <is>
          <t>28045 Madrid</t>
        </is>
      </c>
    </row>
    <row r="214">
      <c r="B214" s="1" t="inlineStr">
        <is>
          <t>Ferimet, S.L.</t>
        </is>
      </c>
      <c r="C214" s="1" t="inlineStr">
        <is>
          <t>CIF B17327610</t>
        </is>
      </c>
      <c r="D214" s="1" t="inlineStr">
        <is>
          <t>c/ Ferralla 12 - Pol.Ind. San Vicente</t>
        </is>
      </c>
      <c r="E214" t="inlineStr">
        <is>
          <t>08755 Castellbisbal (Barcelona)</t>
        </is>
      </c>
    </row>
    <row r="215">
      <c r="B215" s="1" t="inlineStr">
        <is>
          <t>Crisol Alcores, S.L.</t>
        </is>
      </c>
      <c r="C215" s="1" t="inlineStr">
        <is>
          <t>CIF B90387291</t>
        </is>
      </c>
      <c r="D215" s="1" t="inlineStr">
        <is>
          <t>Paseo de la Castellana 141, 15 A</t>
        </is>
      </c>
      <c r="E215" t="inlineStr">
        <is>
          <t>28046 Madrid</t>
        </is>
      </c>
    </row>
    <row r="216">
      <c r="B216" s="1" t="inlineStr">
        <is>
          <t>Jaime García de Viguera Enrile</t>
        </is>
      </c>
      <c r="C216" s="1" t="inlineStr">
        <is>
          <t>NIF 31030385G</t>
        </is>
      </c>
      <c r="D216" s="1" t="inlineStr">
        <is>
          <t>Carretera de las Ermitas 33</t>
        </is>
      </c>
      <c r="E216" t="inlineStr">
        <is>
          <t>14012, Córdoba</t>
        </is>
      </c>
    </row>
    <row r="217">
      <c r="A217" s="375" t="inlineStr">
        <is>
          <t>PVs Granada Aventrón</t>
        </is>
      </c>
      <c r="B217" s="1" t="inlineStr">
        <is>
          <t>Saja Renovables, S.L.</t>
        </is>
      </c>
      <c r="C217" s="1" t="inlineStr">
        <is>
          <t>CIF B39711734</t>
        </is>
      </c>
      <c r="D217" s="1" t="inlineStr">
        <is>
          <t>Avda. Matapiñonera 11, Edif.2 - Oficina 114-115</t>
        </is>
      </c>
      <c r="E217" t="inlineStr">
        <is>
          <t>28703, San Sebastián de los Reyes</t>
        </is>
      </c>
    </row>
    <row r="218">
      <c r="A218" s="375" t="inlineStr">
        <is>
          <t>PV Huelva Aventrón</t>
        </is>
      </c>
      <c r="B218" t="inlineStr">
        <is>
          <t>C2C Inver Park, S.L.</t>
        </is>
      </c>
      <c r="C218" t="inlineStr">
        <is>
          <t>CIF B65166779</t>
        </is>
      </c>
      <c r="D218" s="1" t="inlineStr">
        <is>
          <t>Avda. Matapiñonera 11, Edif.2 - Oficina 114-115</t>
        </is>
      </c>
      <c r="E218" t="inlineStr">
        <is>
          <t>28703, San Sebastián de los Reyes</t>
        </is>
      </c>
    </row>
    <row r="219">
      <c r="A219" s="375" t="inlineStr">
        <is>
          <t>PV Alicante Aventrón</t>
        </is>
      </c>
      <c r="B219" t="inlineStr">
        <is>
          <t>Desarrollos Fotovoltaicos Mas del Bou, S.L.</t>
        </is>
      </c>
      <c r="C219" t="inlineStr">
        <is>
          <t>CIF B12817508</t>
        </is>
      </c>
      <c r="D219" s="1" t="inlineStr">
        <is>
          <t>Avda. Matapiñonera 11, Edif.2 - Oficina 114-115</t>
        </is>
      </c>
      <c r="E219" t="inlineStr">
        <is>
          <t>28703, San Sebastián de los Reyes</t>
        </is>
      </c>
    </row>
    <row r="220">
      <c r="B220" s="1" t="inlineStr">
        <is>
          <t>Energías Renovables El Canto, S.L.</t>
        </is>
      </c>
      <c r="C220" s="1" t="inlineStr">
        <is>
          <t>CIF B19908854</t>
        </is>
      </c>
      <c r="D220" s="1" t="inlineStr">
        <is>
          <t>C/ Las Cruzadas 3 A Local D</t>
        </is>
      </c>
      <c r="E220" t="inlineStr">
        <is>
          <t>41004 Sevilla</t>
        </is>
      </c>
    </row>
    <row r="221">
      <c r="A221" s="375" t="inlineStr">
        <is>
          <t>TYSA</t>
        </is>
      </c>
      <c r="B221" s="1" t="inlineStr">
        <is>
          <t>Técnicas y Servicios de Automoción, S.A.</t>
        </is>
      </c>
      <c r="C221" s="1" t="inlineStr">
        <is>
          <t>CIF A41121336</t>
        </is>
      </c>
      <c r="D221" s="1" t="inlineStr">
        <is>
          <t>Calle del Motor, 11</t>
        </is>
      </c>
      <c r="E221" t="inlineStr">
        <is>
          <t>41007 Sevilla</t>
        </is>
      </c>
    </row>
    <row r="222">
      <c r="B222" s="1" t="inlineStr">
        <is>
          <t>Jerte Renovables, S.L.</t>
        </is>
      </c>
      <c r="C222" s="1" t="inlineStr">
        <is>
          <t>CIF B42825224</t>
        </is>
      </c>
      <c r="D222" s="1" t="inlineStr">
        <is>
          <t>C/ Serrano, 213</t>
        </is>
      </c>
      <c r="E222" t="inlineStr">
        <is>
          <t xml:space="preserve">28016 Madrid </t>
        </is>
      </c>
    </row>
    <row r="223">
      <c r="B223" s="1" t="inlineStr">
        <is>
          <t>ICE Andújar, S.L.</t>
        </is>
      </c>
      <c r="C223" s="1" t="inlineStr">
        <is>
          <t>CIF B44755106</t>
        </is>
      </c>
      <c r="D223" s="1" t="inlineStr">
        <is>
          <t>Avenida de América nº38</t>
        </is>
      </c>
      <c r="E223" t="inlineStr">
        <is>
          <t>28028 Madrid</t>
        </is>
      </c>
    </row>
    <row r="224">
      <c r="A224" s="375" t="inlineStr">
        <is>
          <t>Vecino Labrador</t>
        </is>
      </c>
      <c r="B224" s="1" t="inlineStr">
        <is>
          <t>Manuel Castro Crespo</t>
        </is>
      </c>
      <c r="C224" s="1" t="inlineStr">
        <is>
          <t>NIF 28506223T</t>
        </is>
      </c>
      <c r="D224" s="1" t="inlineStr">
        <is>
          <t>Avda. Alcalde Luis Uruñuela 8, 10 P03-B</t>
        </is>
      </c>
      <c r="E224" t="inlineStr">
        <is>
          <t>41020 Sevilla</t>
        </is>
      </c>
    </row>
    <row r="225">
      <c r="B225" s="1" t="inlineStr">
        <is>
          <t>Promotores Albatarrec 220 kV, S.L.</t>
        </is>
      </c>
      <c r="C225" s="1" t="inlineStr">
        <is>
          <t>CIF B19399831</t>
        </is>
      </c>
      <c r="D225" s="1" t="inlineStr">
        <is>
          <t>c/O'Donnell 12, 4º planta</t>
        </is>
      </c>
      <c r="E225" t="inlineStr">
        <is>
          <t>28009 Madrid</t>
        </is>
      </c>
    </row>
    <row r="226">
      <c r="A226" s="375" t="inlineStr">
        <is>
          <t>GTC (Huelva 22MW)</t>
        </is>
      </c>
      <c r="B226" s="1" t="inlineStr">
        <is>
          <t>VALCASADO SOLAR, S.L.U.</t>
        </is>
      </c>
      <c r="C226" s="1" t="inlineStr">
        <is>
          <t>CIF B90348301</t>
        </is>
      </c>
      <c r="D226" s="1" t="inlineStr">
        <is>
          <t>Avda. Diego Martinez Barrio 4, planta 5</t>
        </is>
      </c>
      <c r="E226" t="inlineStr">
        <is>
          <t>41013 Sevilla</t>
        </is>
      </c>
    </row>
    <row r="227">
      <c r="A227" s="375" t="inlineStr">
        <is>
          <t>Grupo Arcadia</t>
        </is>
      </c>
      <c r="B227" s="1" t="inlineStr">
        <is>
          <t>Corresol Innovación Agrícola SL</t>
        </is>
      </c>
      <c r="C227" s="1" t="inlineStr">
        <is>
          <t>CIF B02809861</t>
        </is>
      </c>
      <c r="D227" s="1" t="inlineStr">
        <is>
          <t>C/ Cofia 6 - Atico Cp</t>
        </is>
      </c>
      <c r="E227" t="inlineStr">
        <is>
          <t>41018 Sevilla</t>
        </is>
      </c>
    </row>
    <row r="228">
      <c r="B228" s="1" t="inlineStr">
        <is>
          <t>Bustper, S.A.</t>
        </is>
      </c>
      <c r="C228" s="1" t="inlineStr">
        <is>
          <t>CIF A43035971</t>
        </is>
      </c>
      <c r="D228" s="1" t="inlineStr">
        <is>
          <t>Carretera Ulldecona km14.2</t>
        </is>
      </c>
      <c r="E228" t="inlineStr">
        <is>
          <t>43560 La Senia (Tarragona)</t>
        </is>
      </c>
    </row>
    <row r="229">
      <c r="A229" s="375" t="inlineStr">
        <is>
          <t>(Propietario Bustper)</t>
        </is>
      </c>
      <c r="B229" t="inlineStr">
        <is>
          <t>Lara C.B.</t>
        </is>
      </c>
      <c r="C229" s="1" t="inlineStr">
        <is>
          <t>CIF E43125384</t>
        </is>
      </c>
      <c r="D229" s="1" t="inlineStr">
        <is>
          <t>Carretera Ulldecona (null)</t>
        </is>
      </c>
      <c r="E229" t="inlineStr">
        <is>
          <t>43560 La Senia (Tarragona)</t>
        </is>
      </c>
    </row>
    <row r="230">
      <c r="B230" s="1" t="inlineStr">
        <is>
          <t>Pujalt Infras Privativas Ignis Forestalia, S.L.</t>
        </is>
      </c>
      <c r="C230" s="1" t="inlineStr">
        <is>
          <t>CIF B75640383</t>
        </is>
      </c>
      <c r="D230" s="1" t="inlineStr">
        <is>
          <t>Calle Coso 33, 7º planta</t>
        </is>
      </c>
      <c r="E230" t="inlineStr">
        <is>
          <t>50003 Zaragoza</t>
        </is>
      </c>
    </row>
    <row r="231">
      <c r="A231" s="375" t="inlineStr">
        <is>
          <t>Vecino Cruzadas</t>
        </is>
      </c>
      <c r="B231" s="1" t="inlineStr">
        <is>
          <t>ASINPE S.L.</t>
        </is>
      </c>
      <c r="C231" s="1" t="inlineStr">
        <is>
          <t>CIF B91337030</t>
        </is>
      </c>
      <c r="D231" s="1" t="inlineStr">
        <is>
          <t>Calle Las Cruzadas 3A</t>
        </is>
      </c>
      <c r="E231" t="inlineStr">
        <is>
          <t>41004 Sevilla</t>
        </is>
      </c>
    </row>
    <row r="232">
      <c r="B232" s="1" t="inlineStr">
        <is>
          <t>Tábara 400kV Renovables, SL</t>
        </is>
      </c>
      <c r="C232" s="1" t="inlineStr">
        <is>
          <t>CIF B72939283</t>
        </is>
      </c>
      <c r="D232" s="1" t="inlineStr">
        <is>
          <t>c/ Cardenal Marcelo Spínola 4, 1ºDerecha</t>
        </is>
      </c>
      <c r="E232" s="1" t="inlineStr">
        <is>
          <t>28016 Madrid</t>
        </is>
      </c>
    </row>
    <row r="233">
      <c r="B233" s="1" t="inlineStr">
        <is>
          <t>Garnacha Solar, S.L</t>
        </is>
      </c>
      <c r="C233" s="1" t="inlineStr">
        <is>
          <t>CIF B88184700</t>
        </is>
      </c>
      <c r="D233" s="1" t="inlineStr">
        <is>
          <t>Calle Serrano núm.41, 4</t>
        </is>
      </c>
      <c r="E233" t="inlineStr">
        <is>
          <t>28001 Madrid</t>
        </is>
      </c>
    </row>
    <row r="234">
      <c r="B234" s="1" t="inlineStr">
        <is>
          <t xml:space="preserve">SSE RENEWABLES SPAIN, S.L. </t>
        </is>
      </c>
      <c r="C234" s="1" t="inlineStr">
        <is>
          <t>CIF B47528310</t>
        </is>
      </c>
      <c r="D234" s="366" t="inlineStr">
        <is>
          <t>C/ BUENOS AIRES N.12</t>
        </is>
      </c>
      <c r="E234" t="inlineStr">
        <is>
          <t>48001 BILBAO, BIZKAIA</t>
        </is>
      </c>
    </row>
    <row r="235">
      <c r="B235" s="1" t="inlineStr">
        <is>
          <t>Sistemas Energeticos Terral, S.L.</t>
        </is>
      </c>
      <c r="C235" s="1" t="inlineStr">
        <is>
          <t>CIF B01917194</t>
        </is>
      </c>
      <c r="D235" s="366" t="inlineStr">
        <is>
          <t>C/ BUENOS AIRES N.12</t>
        </is>
      </c>
      <c r="E235" t="inlineStr">
        <is>
          <t>48001 BILBAO, BIZKAIA</t>
        </is>
      </c>
    </row>
    <row r="236">
      <c r="B236" s="1" t="inlineStr">
        <is>
          <t>ICE TORRECILLA RENOVABLES, S.L.</t>
        </is>
      </c>
      <c r="C236" s="1" t="inlineStr">
        <is>
          <t>CIF B22809321</t>
        </is>
      </c>
      <c r="D236" t="inlineStr">
        <is>
          <t>Avda. Gómez Laguna 25</t>
        </is>
      </c>
      <c r="E236" t="inlineStr">
        <is>
          <t>50009 Zaragoza</t>
        </is>
      </c>
    </row>
    <row r="237">
      <c r="B237" s="1" t="inlineStr">
        <is>
          <t>Recuperados Solares aBalados Sevilla, S.L.</t>
        </is>
      </c>
      <c r="C237" s="1" t="inlineStr">
        <is>
          <t>CIF B21799317</t>
        </is>
      </c>
      <c r="D237" s="1" t="inlineStr">
        <is>
          <t>C/ Las Cruzadas 3 A Local D</t>
        </is>
      </c>
      <c r="E237" t="inlineStr">
        <is>
          <t>41004 Sevilla</t>
        </is>
      </c>
    </row>
    <row r="238">
      <c r="B238" s="1" t="inlineStr">
        <is>
          <t>The GafaPasta Company, S.L.</t>
        </is>
      </c>
      <c r="C238" s="1" t="inlineStr">
        <is>
          <t>CIF B90303207</t>
        </is>
      </c>
      <c r="D238" s="1" t="inlineStr">
        <is>
          <t>C/ Las Cruzadas 3 A Local D</t>
        </is>
      </c>
      <c r="E238" t="inlineStr">
        <is>
          <t>41004 Sevilla</t>
        </is>
      </c>
    </row>
    <row r="239">
      <c r="B239" s="1" t="inlineStr">
        <is>
          <t>aBalados Consulting, S.L.</t>
        </is>
      </c>
      <c r="C239" s="1" t="inlineStr">
        <is>
          <t>CIF B23830805</t>
        </is>
      </c>
      <c r="D239" s="1" t="inlineStr">
        <is>
          <t>C/ Las Cruzadas 3 A Local D</t>
        </is>
      </c>
      <c r="E239" t="inlineStr">
        <is>
          <t>41004 Sevilla</t>
        </is>
      </c>
    </row>
  </sheetData>
  <conditionalFormatting sqref="C184:C185">
    <cfRule type="duplicateValues" priority="46" dxfId="10"/>
  </conditionalFormatting>
  <conditionalFormatting sqref="C189:C190">
    <cfRule type="duplicateValues" priority="45" dxfId="10"/>
  </conditionalFormatting>
  <conditionalFormatting sqref="C190:C191">
    <cfRule type="duplicateValues" priority="44" dxfId="10"/>
  </conditionalFormatting>
  <conditionalFormatting sqref="C191:C192">
    <cfRule type="duplicateValues" priority="43" dxfId="10"/>
  </conditionalFormatting>
  <conditionalFormatting sqref="C192:C193">
    <cfRule type="duplicateValues" priority="42" dxfId="10"/>
  </conditionalFormatting>
  <conditionalFormatting sqref="C193:C194">
    <cfRule type="duplicateValues" priority="41" dxfId="10"/>
  </conditionalFormatting>
  <conditionalFormatting sqref="C194:C195">
    <cfRule type="duplicateValues" priority="40" dxfId="10"/>
  </conditionalFormatting>
  <conditionalFormatting sqref="C195:C196">
    <cfRule type="duplicateValues" priority="39" dxfId="10"/>
  </conditionalFormatting>
  <conditionalFormatting sqref="C196:C197">
    <cfRule type="duplicateValues" priority="38" dxfId="10"/>
  </conditionalFormatting>
  <conditionalFormatting sqref="C197:C198">
    <cfRule type="duplicateValues" priority="37" dxfId="10"/>
  </conditionalFormatting>
  <conditionalFormatting sqref="C198:C200">
    <cfRule type="duplicateValues" priority="36" dxfId="10"/>
  </conditionalFormatting>
  <conditionalFormatting sqref="C200:C201">
    <cfRule type="duplicateValues" priority="35" dxfId="10"/>
  </conditionalFormatting>
  <conditionalFormatting sqref="C201:C202">
    <cfRule type="duplicateValues" priority="34" dxfId="10"/>
  </conditionalFormatting>
  <conditionalFormatting sqref="C202:C203">
    <cfRule type="duplicateValues" priority="33" dxfId="10"/>
  </conditionalFormatting>
  <conditionalFormatting sqref="C203:C204">
    <cfRule type="duplicateValues" priority="32" dxfId="10"/>
  </conditionalFormatting>
  <conditionalFormatting sqref="C204:C205">
    <cfRule type="duplicateValues" priority="31" dxfId="10"/>
  </conditionalFormatting>
  <conditionalFormatting sqref="C205:C206">
    <cfRule type="duplicateValues" priority="30" dxfId="10"/>
  </conditionalFormatting>
  <conditionalFormatting sqref="C207:C208">
    <cfRule type="duplicateValues" priority="29" dxfId="10"/>
  </conditionalFormatting>
  <conditionalFormatting sqref="C209:C210">
    <cfRule type="duplicateValues" priority="28" dxfId="10"/>
  </conditionalFormatting>
  <conditionalFormatting sqref="C210:C211">
    <cfRule type="duplicateValues" priority="27" dxfId="10"/>
  </conditionalFormatting>
  <conditionalFormatting sqref="C211:C212">
    <cfRule type="duplicateValues" priority="26" dxfId="10"/>
  </conditionalFormatting>
  <conditionalFormatting sqref="C212:C213">
    <cfRule type="duplicateValues" priority="25" dxfId="10"/>
  </conditionalFormatting>
  <conditionalFormatting sqref="C213:C214">
    <cfRule type="duplicateValues" priority="24" dxfId="10"/>
  </conditionalFormatting>
  <conditionalFormatting sqref="C214:C215">
    <cfRule type="duplicateValues" priority="23" dxfId="10"/>
  </conditionalFormatting>
  <conditionalFormatting sqref="C215:C216">
    <cfRule type="duplicateValues" priority="22" dxfId="10"/>
  </conditionalFormatting>
  <conditionalFormatting sqref="C216:C217">
    <cfRule type="duplicateValues" priority="21" dxfId="10"/>
  </conditionalFormatting>
  <conditionalFormatting sqref="C219:C220">
    <cfRule type="duplicateValues" priority="20" dxfId="10"/>
  </conditionalFormatting>
  <conditionalFormatting sqref="C220:C221">
    <cfRule type="duplicateValues" priority="19" dxfId="10"/>
  </conditionalFormatting>
  <conditionalFormatting sqref="C221:C222">
    <cfRule type="duplicateValues" priority="18" dxfId="10"/>
  </conditionalFormatting>
  <conditionalFormatting sqref="C222:C223">
    <cfRule type="duplicateValues" priority="17" dxfId="10"/>
  </conditionalFormatting>
  <conditionalFormatting sqref="C223:C224">
    <cfRule type="duplicateValues" priority="16" dxfId="10"/>
  </conditionalFormatting>
  <conditionalFormatting sqref="C224:C225">
    <cfRule type="duplicateValues" priority="15" dxfId="10"/>
  </conditionalFormatting>
  <conditionalFormatting sqref="C225:C226">
    <cfRule type="duplicateValues" priority="14" dxfId="10"/>
  </conditionalFormatting>
  <conditionalFormatting sqref="C226:C227">
    <cfRule type="duplicateValues" priority="13" dxfId="10"/>
  </conditionalFormatting>
  <conditionalFormatting sqref="C227:C228">
    <cfRule type="duplicateValues" priority="12" dxfId="10"/>
  </conditionalFormatting>
  <conditionalFormatting sqref="C228:C229">
    <cfRule type="duplicateValues" priority="11" dxfId="10"/>
  </conditionalFormatting>
  <conditionalFormatting sqref="C229:C230">
    <cfRule type="duplicateValues" priority="10" dxfId="10"/>
  </conditionalFormatting>
  <conditionalFormatting sqref="C230:C231">
    <cfRule type="duplicateValues" priority="9" dxfId="10"/>
  </conditionalFormatting>
  <conditionalFormatting sqref="C232:C233">
    <cfRule type="duplicateValues" priority="8" dxfId="10"/>
  </conditionalFormatting>
  <conditionalFormatting sqref="C231:C232">
    <cfRule type="duplicateValues" priority="7" dxfId="10"/>
  </conditionalFormatting>
  <conditionalFormatting sqref="C233:C234">
    <cfRule type="duplicateValues" priority="6" dxfId="10"/>
  </conditionalFormatting>
  <conditionalFormatting sqref="C234:C235">
    <cfRule type="duplicateValues" priority="5" dxfId="10"/>
  </conditionalFormatting>
  <conditionalFormatting sqref="C112">
    <cfRule type="duplicateValues" priority="4" dxfId="10"/>
  </conditionalFormatting>
  <conditionalFormatting sqref="C237">
    <cfRule type="duplicateValues" priority="3" dxfId="10"/>
  </conditionalFormatting>
  <conditionalFormatting sqref="C238">
    <cfRule type="duplicateValues" priority="2" dxfId="10"/>
  </conditionalFormatting>
  <conditionalFormatting sqref="C239">
    <cfRule type="duplicateValues" priority="1" dxfId="10"/>
  </conditionalFormatting>
  <dataValidations disablePrompts="1" count="1">
    <dataValidation sqref="B15" showDropDown="0" showInputMessage="1" showErrorMessage="1" allowBlank="1" type="list">
      <formula1>$Z$3:$Z$14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>
  <sheetPr codeName="Hoja6">
    <outlinePr summaryBelow="1" summaryRight="1"/>
    <pageSetUpPr/>
  </sheetPr>
  <dimension ref="A1:Q182"/>
  <sheetViews>
    <sheetView workbookViewId="0">
      <selection activeCell="B34" sqref="B34"/>
    </sheetView>
  </sheetViews>
  <sheetFormatPr baseColWidth="10" defaultColWidth="11.3828125" defaultRowHeight="14.6"/>
  <cols>
    <col width="4.53515625" customWidth="1" style="700" min="1" max="1"/>
    <col width="27.3828125" customWidth="1" style="700" min="2" max="2"/>
    <col width="13.15234375" customWidth="1" style="700" min="3" max="3"/>
    <col width="11.15234375" customWidth="1" style="700" min="4" max="4"/>
    <col width="9.3828125" bestFit="1" customWidth="1" style="700" min="5" max="5"/>
    <col width="12.84375" customWidth="1" style="700" min="6" max="6"/>
    <col width="11" customWidth="1" style="700" min="7" max="7"/>
    <col width="9.3828125" bestFit="1" customWidth="1" style="700" min="8" max="8"/>
    <col width="15" customWidth="1" style="700" min="9" max="9"/>
    <col width="9.3828125" customWidth="1" style="700" min="10" max="11"/>
    <col width="12" bestFit="1" customWidth="1" style="700" min="12" max="12"/>
    <col width="14.3828125" customWidth="1" style="700" min="13" max="13"/>
  </cols>
  <sheetData>
    <row r="1">
      <c r="A1" s="28" t="n"/>
      <c r="B1" s="28" t="n"/>
      <c r="C1" s="28" t="n"/>
      <c r="D1" s="28" t="n"/>
      <c r="E1" s="28" t="n"/>
      <c r="F1" s="28" t="n"/>
      <c r="G1" s="28" t="n"/>
      <c r="H1" s="28" t="n"/>
      <c r="I1" s="28" t="n"/>
      <c r="J1" s="28" t="n"/>
      <c r="K1" s="28" t="n"/>
      <c r="L1" s="28" t="n"/>
      <c r="M1" s="28" t="n"/>
      <c r="N1" s="28" t="n"/>
      <c r="O1" s="28" t="n"/>
      <c r="P1" s="28" t="n"/>
      <c r="Q1" s="28" t="n"/>
    </row>
    <row r="2">
      <c r="A2" s="28" t="n"/>
      <c r="B2" s="28" t="n"/>
      <c r="C2" s="28" t="n"/>
      <c r="D2" s="28" t="n"/>
      <c r="E2" s="28" t="n"/>
      <c r="F2" s="28" t="n"/>
      <c r="G2" s="28" t="n"/>
      <c r="H2" s="28" t="n"/>
      <c r="I2" s="28" t="n"/>
      <c r="J2" s="28" t="n"/>
      <c r="K2" s="28" t="n"/>
      <c r="L2" s="28" t="n"/>
      <c r="M2" s="28" t="n"/>
      <c r="N2" s="28" t="n"/>
      <c r="O2" s="28" t="n"/>
      <c r="P2" s="28" t="n"/>
      <c r="Q2" s="28" t="n"/>
    </row>
    <row r="3" ht="69" customHeight="1" s="700">
      <c r="A3" s="28" t="n"/>
      <c r="B3" s="28" t="n"/>
      <c r="C3" s="32" t="inlineStr">
        <is>
          <t>Importe TOTAL (actualización - 60 %)</t>
        </is>
      </c>
      <c r="D3" s="33" t="inlineStr">
        <is>
          <t>70% del total</t>
        </is>
      </c>
      <c r="E3" s="33" t="inlineStr">
        <is>
          <t>30% del total</t>
        </is>
      </c>
      <c r="F3" s="32" t="inlineStr">
        <is>
          <t>Importe TOTAL (actualización - 25 %)</t>
        </is>
      </c>
      <c r="G3" s="33" t="inlineStr">
        <is>
          <t>50% del total</t>
        </is>
      </c>
      <c r="H3" s="33" t="inlineStr">
        <is>
          <t>30% del total</t>
        </is>
      </c>
      <c r="I3" s="32" t="inlineStr">
        <is>
          <t>Importe TOTAL (actualización - 60 %)</t>
        </is>
      </c>
      <c r="J3" s="34" t="inlineStr">
        <is>
          <t>15% Bonus</t>
        </is>
      </c>
      <c r="L3" s="28" t="n"/>
      <c r="M3" s="28" t="n"/>
      <c r="N3" s="28" t="n"/>
      <c r="O3" s="28" t="n"/>
      <c r="P3" s="28" t="n"/>
      <c r="Q3" s="28" t="n"/>
    </row>
    <row r="4" ht="18.75" customHeight="1" s="700">
      <c r="A4" s="28" t="n"/>
      <c r="B4" s="37" t="inlineStr">
        <is>
          <t>FONDO I</t>
        </is>
      </c>
      <c r="C4" s="697" t="inlineStr">
        <is>
          <t>SPV</t>
        </is>
      </c>
      <c r="D4" s="651" t="n"/>
      <c r="E4" s="644" t="n"/>
      <c r="F4" s="698" t="inlineStr">
        <is>
          <t>ACC</t>
        </is>
      </c>
      <c r="G4" s="651" t="n"/>
      <c r="H4" s="644" t="n"/>
      <c r="I4" s="694" t="inlineStr">
        <is>
          <t>O&amp;M</t>
        </is>
      </c>
      <c r="J4" s="644" t="n"/>
      <c r="K4" s="28" t="n"/>
      <c r="L4" s="28" t="n"/>
      <c r="M4" s="28" t="n"/>
      <c r="N4" s="28" t="n"/>
      <c r="O4" s="28" t="n"/>
      <c r="P4" s="28" t="n"/>
      <c r="Q4" s="28" t="n"/>
    </row>
    <row r="5">
      <c r="A5" s="699" t="inlineStr">
        <is>
          <t>Renova</t>
        </is>
      </c>
      <c r="B5" s="7" t="inlineStr">
        <is>
          <t>Valverde</t>
        </is>
      </c>
      <c r="C5" s="695">
        <f>3750*0.4*(1+$N$5)</f>
        <v/>
      </c>
      <c r="D5" s="701">
        <f>C5*0.7</f>
        <v/>
      </c>
      <c r="E5" s="701">
        <f>C5*0.3*(1+$N$5)</f>
        <v/>
      </c>
      <c r="F5" s="695">
        <f>3400*0.75*(1+$N$5)</f>
        <v/>
      </c>
      <c r="G5" s="701">
        <f>F5*0.5</f>
        <v/>
      </c>
      <c r="H5" s="701">
        <f>F5*0.3</f>
        <v/>
      </c>
      <c r="I5" s="35">
        <f>820*0.4*(1+$N$5)</f>
        <v/>
      </c>
      <c r="J5" s="36" t="inlineStr">
        <is>
          <t>n/a</t>
        </is>
      </c>
      <c r="K5" s="696" t="inlineStr">
        <is>
          <t>Gastos generales: 3,5 % del honorario global</t>
        </is>
      </c>
      <c r="L5" s="28" t="n"/>
      <c r="M5" s="39" t="inlineStr">
        <is>
          <t>Revisión 2011</t>
        </is>
      </c>
      <c r="N5" s="40" t="n">
        <v>0.0208</v>
      </c>
      <c r="O5" s="28" t="n"/>
      <c r="P5" s="28" t="n"/>
      <c r="Q5" s="28" t="n"/>
    </row>
    <row r="6">
      <c r="B6" s="7" t="inlineStr">
        <is>
          <t>Castuera</t>
        </is>
      </c>
      <c r="C6" s="646" t="n"/>
      <c r="D6" s="646" t="n"/>
      <c r="E6" s="646" t="n"/>
      <c r="F6" s="646" t="n"/>
      <c r="G6" s="646" t="n"/>
      <c r="H6" s="646" t="n"/>
      <c r="I6" s="18">
        <f>820*0.4*(1+$N$5)</f>
        <v/>
      </c>
      <c r="J6" s="30" t="inlineStr">
        <is>
          <t>n/a</t>
        </is>
      </c>
      <c r="K6" s="649" t="n"/>
      <c r="L6" s="28" t="n"/>
      <c r="M6" s="28" t="n"/>
      <c r="N6" s="28" t="n"/>
      <c r="O6" s="28" t="n"/>
      <c r="P6" s="28" t="n"/>
      <c r="Q6" s="28" t="n"/>
    </row>
    <row r="7">
      <c r="B7" s="7" t="inlineStr">
        <is>
          <t>Paiporta</t>
        </is>
      </c>
      <c r="C7" s="646" t="n"/>
      <c r="D7" s="646" t="n"/>
      <c r="E7" s="646" t="n"/>
      <c r="F7" s="646" t="n"/>
      <c r="G7" s="646" t="n"/>
      <c r="H7" s="646" t="n"/>
      <c r="I7" s="18">
        <f>820*0.4*(1+$N$5)</f>
        <v/>
      </c>
      <c r="J7" s="30" t="inlineStr">
        <is>
          <t>n/a</t>
        </is>
      </c>
      <c r="K7" s="649" t="n"/>
      <c r="L7" s="28" t="n"/>
      <c r="M7" s="29" t="n"/>
      <c r="N7" s="28" t="n"/>
      <c r="O7" s="28" t="n"/>
      <c r="P7" s="28" t="n"/>
      <c r="Q7" s="28" t="n"/>
    </row>
    <row r="8">
      <c r="B8" s="7" t="inlineStr">
        <is>
          <t>Bonaire</t>
        </is>
      </c>
      <c r="C8" s="647" t="n"/>
      <c r="D8" s="647" t="n"/>
      <c r="E8" s="647" t="n"/>
      <c r="F8" s="647" t="n"/>
      <c r="G8" s="647" t="n"/>
      <c r="H8" s="647" t="n"/>
      <c r="I8" s="18">
        <f>820*0.4*(1+$N$5)</f>
        <v/>
      </c>
      <c r="J8" s="30" t="inlineStr">
        <is>
          <t>n/a</t>
        </is>
      </c>
      <c r="K8" s="649" t="n"/>
      <c r="L8" s="28" t="n"/>
      <c r="M8" s="28" t="n"/>
      <c r="N8" s="28" t="n"/>
      <c r="O8" s="28" t="n"/>
      <c r="P8" s="28" t="n"/>
      <c r="Q8" s="28" t="n"/>
    </row>
    <row r="9">
      <c r="A9" s="28" t="n"/>
      <c r="B9" s="7" t="inlineStr">
        <is>
          <t>Coreses</t>
        </is>
      </c>
      <c r="C9" s="18">
        <f>980*(1+$N$5)</f>
        <v/>
      </c>
      <c r="D9" s="17">
        <f>C9*0.7</f>
        <v/>
      </c>
      <c r="E9" s="17">
        <f>C9*0.3</f>
        <v/>
      </c>
      <c r="F9" s="18">
        <f>980*(1+$N$5)</f>
        <v/>
      </c>
      <c r="G9" s="17">
        <f>F9*0.5</f>
        <v/>
      </c>
      <c r="H9" s="17">
        <f>G9*0.3</f>
        <v/>
      </c>
      <c r="I9" s="18">
        <f>820*(1+$N$5)</f>
        <v/>
      </c>
      <c r="J9" s="30" t="inlineStr">
        <is>
          <t>n/a</t>
        </is>
      </c>
      <c r="K9" s="649" t="n"/>
      <c r="L9" s="28" t="n"/>
      <c r="M9" s="28" t="n"/>
      <c r="N9" s="28" t="n"/>
      <c r="O9" s="28" t="n"/>
      <c r="P9" s="28" t="n"/>
      <c r="Q9" s="28" t="n"/>
    </row>
    <row r="10">
      <c r="A10" s="28" t="n"/>
      <c r="B10" s="7" t="inlineStr">
        <is>
          <t>Ejea de los Caballeros (1.2)</t>
        </is>
      </c>
      <c r="C10" s="17">
        <f>950*0.4*(1+$N$5)</f>
        <v/>
      </c>
      <c r="D10" s="17">
        <f>C10*0.7</f>
        <v/>
      </c>
      <c r="E10" s="18">
        <f>C10*0.3</f>
        <v/>
      </c>
      <c r="F10" s="17">
        <f>1000*0.75*(1+$N$5)</f>
        <v/>
      </c>
      <c r="G10" s="17">
        <f>F10*0.5</f>
        <v/>
      </c>
      <c r="H10" s="18">
        <f>F10*0.3</f>
        <v/>
      </c>
      <c r="I10" s="14">
        <f>820*(1+$N$5)</f>
        <v/>
      </c>
      <c r="J10" s="30" t="inlineStr">
        <is>
          <t>n/a</t>
        </is>
      </c>
      <c r="K10" s="649" t="n"/>
      <c r="L10" s="28" t="n"/>
      <c r="M10" s="28" t="n"/>
      <c r="N10" s="28" t="n"/>
      <c r="O10" s="28" t="n"/>
      <c r="P10" s="28" t="n"/>
      <c r="Q10" s="28" t="n"/>
    </row>
    <row r="11">
      <c r="A11" s="28" t="n"/>
      <c r="B11" s="28" t="n"/>
      <c r="C11" s="29" t="n"/>
      <c r="D11" s="29" t="n"/>
      <c r="E11" s="29" t="n"/>
      <c r="F11" s="29" t="n"/>
      <c r="G11" s="29" t="n"/>
      <c r="H11" s="29" t="n"/>
      <c r="I11" s="29" t="n"/>
      <c r="J11" s="28" t="n"/>
      <c r="K11" s="28" t="n"/>
      <c r="L11" s="28" t="n"/>
      <c r="M11" s="28" t="n"/>
      <c r="N11" s="28" t="n"/>
      <c r="O11" s="28" t="n"/>
      <c r="P11" s="28" t="n"/>
      <c r="Q11" s="28" t="n"/>
    </row>
    <row r="12" ht="18.75" customHeight="1" s="700">
      <c r="A12" s="28" t="n"/>
      <c r="B12" s="38" t="inlineStr">
        <is>
          <t>FONDO II</t>
        </is>
      </c>
      <c r="C12" s="697" t="inlineStr">
        <is>
          <t>SPV</t>
        </is>
      </c>
      <c r="D12" s="651" t="n"/>
      <c r="E12" s="644" t="n"/>
      <c r="F12" s="698" t="inlineStr">
        <is>
          <t>ACC</t>
        </is>
      </c>
      <c r="G12" s="651" t="n"/>
      <c r="H12" s="644" t="n"/>
      <c r="I12" s="694" t="inlineStr">
        <is>
          <t>O&amp;M</t>
        </is>
      </c>
      <c r="J12" s="644" t="n"/>
      <c r="K12" s="28" t="n"/>
      <c r="L12" s="28" t="n"/>
      <c r="M12" s="28" t="n"/>
      <c r="N12" s="28" t="n"/>
      <c r="O12" s="28" t="n"/>
      <c r="P12" s="28" t="n"/>
      <c r="Q12" s="28" t="n"/>
    </row>
    <row r="13">
      <c r="A13" s="28" t="n"/>
      <c r="B13" s="16" t="inlineStr">
        <is>
          <t>Todas 2.1 - 2.10</t>
        </is>
      </c>
      <c r="C13" s="17">
        <f>950*(1+$N$5)</f>
        <v/>
      </c>
      <c r="D13" s="17">
        <f>C13*0.7</f>
        <v/>
      </c>
      <c r="E13" s="17">
        <f>C13*0.3</f>
        <v/>
      </c>
      <c r="F13" s="17">
        <f>1000*(1+$N$5)</f>
        <v/>
      </c>
      <c r="G13" s="17">
        <f>F13*0.5</f>
        <v/>
      </c>
      <c r="H13" s="17">
        <f>F13*0.3</f>
        <v/>
      </c>
      <c r="I13" s="17">
        <f>820*(1+$N$5)</f>
        <v/>
      </c>
      <c r="J13" s="30" t="inlineStr">
        <is>
          <t>n/a</t>
        </is>
      </c>
      <c r="K13" s="696" t="inlineStr">
        <is>
          <t>Gastos generales: 3,5 % del honorario global</t>
        </is>
      </c>
      <c r="L13" s="28" t="n"/>
      <c r="M13" s="28" t="n"/>
      <c r="N13" s="28" t="n"/>
      <c r="O13" s="28" t="n"/>
      <c r="P13" s="28" t="n"/>
      <c r="Q13" s="28" t="n"/>
    </row>
    <row r="14">
      <c r="A14" s="28" t="n"/>
      <c r="B14" s="7" t="inlineStr">
        <is>
          <t>Villamartín</t>
        </is>
      </c>
      <c r="C14" s="18">
        <f>1200*(1+$N$5)</f>
        <v/>
      </c>
      <c r="D14" s="17">
        <f>C14*0.7</f>
        <v/>
      </c>
      <c r="E14" s="17">
        <f>C14*0.3</f>
        <v/>
      </c>
      <c r="F14" s="18">
        <f>1400*(1+$N$5)</f>
        <v/>
      </c>
      <c r="G14" s="17">
        <f>F14*0.5</f>
        <v/>
      </c>
      <c r="H14" s="17">
        <f>F14*0.3</f>
        <v/>
      </c>
      <c r="I14" s="18">
        <f>820*(1+$N$5)</f>
        <v/>
      </c>
      <c r="J14" s="30" t="inlineStr">
        <is>
          <t>n/a</t>
        </is>
      </c>
      <c r="K14" s="649" t="n"/>
      <c r="L14" s="28" t="n"/>
      <c r="M14" s="28" t="n"/>
      <c r="N14" s="28" t="n"/>
      <c r="O14" s="28" t="n"/>
      <c r="P14" s="28" t="n"/>
      <c r="Q14" s="28" t="n"/>
    </row>
    <row r="15">
      <c r="A15" s="28" t="n"/>
      <c r="B15" s="7" t="inlineStr">
        <is>
          <t>Sollana (2.1)</t>
        </is>
      </c>
      <c r="C15" s="18">
        <f>950*(1+$N$5)</f>
        <v/>
      </c>
      <c r="D15" s="17">
        <f>C15*0.7</f>
        <v/>
      </c>
      <c r="E15" s="17">
        <f>C15*0.3</f>
        <v/>
      </c>
      <c r="F15" s="18">
        <f>1000*(1+$N$5)</f>
        <v/>
      </c>
      <c r="G15" s="17">
        <f>F15*0.5</f>
        <v/>
      </c>
      <c r="H15" s="17">
        <f>F15*0.3</f>
        <v/>
      </c>
      <c r="I15" s="18">
        <f>820*(1+$N$5)</f>
        <v/>
      </c>
      <c r="J15" s="30" t="inlineStr">
        <is>
          <t>n/a</t>
        </is>
      </c>
      <c r="K15" s="649" t="n"/>
      <c r="L15" s="28" t="n"/>
      <c r="M15" s="28" t="n"/>
      <c r="N15" s="28" t="n"/>
      <c r="O15" s="28" t="n"/>
      <c r="P15" s="28" t="n"/>
      <c r="Q15" s="28" t="n"/>
    </row>
    <row r="16" ht="15" customHeight="1" s="700">
      <c r="A16" s="28" t="n"/>
      <c r="B16" s="7" t="inlineStr">
        <is>
          <t>Bailadero (2.2)</t>
        </is>
      </c>
      <c r="C16" s="17">
        <f>950*(1+$N$5)</f>
        <v/>
      </c>
      <c r="D16" s="17">
        <f>C16*0.7</f>
        <v/>
      </c>
      <c r="E16" s="18">
        <f>C16*0.3</f>
        <v/>
      </c>
      <c r="F16" s="17">
        <f>1000*(1+$N$5)</f>
        <v/>
      </c>
      <c r="G16" s="17">
        <f>F16*0.5</f>
        <v/>
      </c>
      <c r="H16" s="18">
        <f>F16*0.3</f>
        <v/>
      </c>
      <c r="I16" s="17">
        <f>820*(1+$N$5)</f>
        <v/>
      </c>
      <c r="J16" s="30" t="inlineStr">
        <is>
          <t>n/a</t>
        </is>
      </c>
      <c r="K16" s="649" t="n"/>
      <c r="L16" s="28" t="n"/>
      <c r="M16" s="28" t="n"/>
      <c r="N16" s="28" t="n"/>
      <c r="O16" s="28" t="n"/>
      <c r="P16" s="28" t="n"/>
      <c r="Q16" s="28" t="n"/>
    </row>
    <row r="17">
      <c r="A17" s="28" t="n"/>
      <c r="B17" s="7" t="inlineStr">
        <is>
          <t>Artá (2.3)</t>
        </is>
      </c>
      <c r="C17" s="18">
        <f>950*(1+$N$5)</f>
        <v/>
      </c>
      <c r="D17" s="17">
        <f>C17*0.7</f>
        <v/>
      </c>
      <c r="E17" s="17">
        <f>C17*0.3</f>
        <v/>
      </c>
      <c r="F17" s="18">
        <f>1000*(1+$N$5)</f>
        <v/>
      </c>
      <c r="G17" s="17">
        <f>F17*0.5</f>
        <v/>
      </c>
      <c r="H17" s="17">
        <f>F17*0.3</f>
        <v/>
      </c>
      <c r="I17" s="18">
        <f>820*(1+$N$5)</f>
        <v/>
      </c>
      <c r="J17" s="30" t="inlineStr">
        <is>
          <t>n/a</t>
        </is>
      </c>
      <c r="K17" s="649" t="n"/>
      <c r="L17" s="28" t="n"/>
      <c r="M17" s="28" t="n"/>
      <c r="N17" s="28" t="n"/>
      <c r="O17" s="28" t="n"/>
      <c r="P17" s="28" t="n"/>
      <c r="Q17" s="28" t="n"/>
    </row>
    <row r="18">
      <c r="A18" s="28" t="n"/>
      <c r="B18" s="7" t="inlineStr">
        <is>
          <t>2.4</t>
        </is>
      </c>
      <c r="C18" s="17">
        <f>950*(1+$N$5)</f>
        <v/>
      </c>
      <c r="D18" s="17">
        <f>C18*0.7</f>
        <v/>
      </c>
      <c r="E18" s="18">
        <f>C18*0.3</f>
        <v/>
      </c>
      <c r="F18" s="17">
        <f>1000*(1+$N$5)</f>
        <v/>
      </c>
      <c r="G18" s="17">
        <f>F18*0.5</f>
        <v/>
      </c>
      <c r="H18" s="18">
        <f>F18*0.3</f>
        <v/>
      </c>
      <c r="I18" s="17">
        <f>820*(1+$N$5)</f>
        <v/>
      </c>
      <c r="J18" s="30" t="inlineStr">
        <is>
          <t>n/a</t>
        </is>
      </c>
      <c r="K18" s="649" t="n"/>
      <c r="L18" s="28" t="n"/>
      <c r="M18" s="28" t="n"/>
      <c r="N18" s="28" t="n"/>
      <c r="O18" s="28" t="n"/>
      <c r="P18" s="28" t="n"/>
      <c r="Q18" s="28" t="n"/>
    </row>
    <row r="19">
      <c r="A19" s="28" t="n"/>
      <c r="B19" s="7" t="inlineStr">
        <is>
          <t>Casa Roja (2.5) - Lo Illán</t>
        </is>
      </c>
      <c r="C19" s="18">
        <f>950*(1+$N$5)</f>
        <v/>
      </c>
      <c r="D19" s="17">
        <f>C19*0.7</f>
        <v/>
      </c>
      <c r="E19" s="17">
        <f>C19*0.3</f>
        <v/>
      </c>
      <c r="F19" s="18">
        <f>1000*(1+$N$5)</f>
        <v/>
      </c>
      <c r="G19" s="17">
        <f>F19*0.5</f>
        <v/>
      </c>
      <c r="H19" s="17">
        <f>F19*0.3</f>
        <v/>
      </c>
      <c r="I19" s="18">
        <f>820*(1+$N$5)</f>
        <v/>
      </c>
      <c r="J19" s="30" t="inlineStr">
        <is>
          <t>n/a</t>
        </is>
      </c>
      <c r="K19" s="649" t="n"/>
      <c r="L19" s="28" t="n"/>
      <c r="M19" s="28" t="n"/>
      <c r="N19" s="28" t="n"/>
      <c r="O19" s="28" t="n"/>
      <c r="P19" s="28" t="n"/>
      <c r="Q19" s="28" t="n"/>
    </row>
    <row r="20">
      <c r="A20" s="28" t="n"/>
      <c r="B20" s="7" t="inlineStr">
        <is>
          <t>Casa Roja (2.5) - Contreras</t>
        </is>
      </c>
      <c r="C20" s="18">
        <f>950*(1+$N$5)</f>
        <v/>
      </c>
      <c r="D20" s="17">
        <f>C20*0.7</f>
        <v/>
      </c>
      <c r="E20" s="17">
        <f>C20*0.3</f>
        <v/>
      </c>
      <c r="F20" s="18">
        <f>1000*(1+$N$5)</f>
        <v/>
      </c>
      <c r="G20" s="17">
        <f>F20*0.5</f>
        <v/>
      </c>
      <c r="H20" s="17">
        <f>F20*0.3</f>
        <v/>
      </c>
      <c r="I20" s="18">
        <f>820*(1+$N$5)</f>
        <v/>
      </c>
      <c r="J20" s="30" t="inlineStr">
        <is>
          <t>n/a</t>
        </is>
      </c>
      <c r="K20" s="649" t="n"/>
      <c r="L20" s="28" t="n"/>
      <c r="M20" s="28" t="n"/>
      <c r="N20" s="28" t="n"/>
      <c r="O20" s="28" t="n"/>
      <c r="P20" s="28" t="n"/>
      <c r="Q20" s="28" t="n"/>
    </row>
    <row r="21">
      <c r="A21" s="28" t="n"/>
      <c r="B21" s="7" t="inlineStr">
        <is>
          <t>Casa Roja (2.5) - Turbinto</t>
        </is>
      </c>
      <c r="C21" s="18">
        <f>950*(1+$N$5)</f>
        <v/>
      </c>
      <c r="D21" s="17">
        <f>C21*0.7</f>
        <v/>
      </c>
      <c r="E21" s="17">
        <f>C21*0.3</f>
        <v/>
      </c>
      <c r="F21" s="18">
        <f>1000*(1+$N$5)</f>
        <v/>
      </c>
      <c r="G21" s="17">
        <f>F21*0.5</f>
        <v/>
      </c>
      <c r="H21" s="17">
        <f>F21*0.3</f>
        <v/>
      </c>
      <c r="I21" s="18">
        <f>820*(1+$N$5)</f>
        <v/>
      </c>
      <c r="J21" s="30" t="inlineStr">
        <is>
          <t>n/a</t>
        </is>
      </c>
      <c r="K21" s="649" t="n"/>
      <c r="L21" s="28" t="n"/>
      <c r="M21" s="28" t="n"/>
      <c r="N21" s="28" t="n"/>
      <c r="O21" s="28" t="n"/>
      <c r="P21" s="28" t="n"/>
      <c r="Q21" s="28" t="n"/>
    </row>
    <row r="22">
      <c r="A22" s="28" t="n"/>
      <c r="B22" s="7" t="inlineStr">
        <is>
          <t>Casa Roja (2.5) - Rodríguez I</t>
        </is>
      </c>
      <c r="C22" s="17">
        <f>950*(1+$N$5)</f>
        <v/>
      </c>
      <c r="D22" s="18">
        <f>C22*0.7</f>
        <v/>
      </c>
      <c r="E22" s="17">
        <f>C22*0.3</f>
        <v/>
      </c>
      <c r="F22" s="17">
        <f>1000*(1+$N$5)</f>
        <v/>
      </c>
      <c r="G22" s="18">
        <f>F22*0.5</f>
        <v/>
      </c>
      <c r="H22" s="17">
        <f>F22*0.3</f>
        <v/>
      </c>
      <c r="I22" s="17">
        <f>820*(1+$N$5)</f>
        <v/>
      </c>
      <c r="J22" s="30" t="inlineStr">
        <is>
          <t>n/a</t>
        </is>
      </c>
      <c r="K22" s="649" t="n"/>
      <c r="L22" s="28" t="n"/>
      <c r="M22" s="28" t="n"/>
      <c r="N22" s="28" t="n"/>
      <c r="O22" s="28" t="n"/>
      <c r="P22" s="28" t="n"/>
      <c r="Q22" s="28" t="n"/>
    </row>
    <row r="23">
      <c r="A23" s="28" t="n"/>
      <c r="B23" s="7" t="inlineStr">
        <is>
          <t>Casa Roja (2.5) - Rodríguez II</t>
        </is>
      </c>
      <c r="C23" s="17">
        <f>950*(1+$N$5)</f>
        <v/>
      </c>
      <c r="D23" s="18">
        <f>C23*0.7</f>
        <v/>
      </c>
      <c r="E23" s="17">
        <f>C23*0.3</f>
        <v/>
      </c>
      <c r="F23" s="17">
        <f>1000*(1+$N$5)</f>
        <v/>
      </c>
      <c r="G23" s="18">
        <f>F23*0.5</f>
        <v/>
      </c>
      <c r="H23" s="17">
        <f>F23*0.3</f>
        <v/>
      </c>
      <c r="I23" s="17">
        <f>820*(1+$N$5)</f>
        <v/>
      </c>
      <c r="J23" s="30" t="inlineStr">
        <is>
          <t>n/a</t>
        </is>
      </c>
      <c r="K23" s="649" t="n"/>
      <c r="L23" s="28" t="n"/>
      <c r="M23" s="28" t="n"/>
      <c r="N23" s="28" t="n"/>
      <c r="O23" s="28" t="n"/>
      <c r="P23" s="28" t="n"/>
      <c r="Q23" s="28" t="n"/>
    </row>
    <row r="24">
      <c r="A24" s="28" t="n"/>
      <c r="B24" s="7" t="inlineStr">
        <is>
          <t>2.6</t>
        </is>
      </c>
      <c r="C24" s="17">
        <f>950*(1+$N$5)</f>
        <v/>
      </c>
      <c r="D24" s="17">
        <f>C24*0.7</f>
        <v/>
      </c>
      <c r="E24" s="18">
        <f>C24*0.3</f>
        <v/>
      </c>
      <c r="F24" s="17">
        <f>1000*(1+$N$5)</f>
        <v/>
      </c>
      <c r="G24" s="17">
        <f>F24*0.5</f>
        <v/>
      </c>
      <c r="H24" s="18">
        <f>F24*0.3</f>
        <v/>
      </c>
      <c r="I24" s="17">
        <f>820*(1+$N$5)</f>
        <v/>
      </c>
      <c r="J24" s="30" t="inlineStr">
        <is>
          <t>n/a</t>
        </is>
      </c>
      <c r="K24" s="649" t="n"/>
      <c r="L24" s="28" t="n"/>
      <c r="M24" s="28" t="n"/>
      <c r="N24" s="28" t="n"/>
      <c r="O24" s="28" t="n"/>
      <c r="P24" s="28" t="n"/>
      <c r="Q24" s="28" t="n"/>
    </row>
    <row r="25">
      <c r="A25" s="28" t="n"/>
      <c r="B25" s="7" t="inlineStr">
        <is>
          <t xml:space="preserve">AE3000 (2.7) - Proyecto 1 </t>
        </is>
      </c>
      <c r="C25" s="18">
        <f>950*(1+$N$5)</f>
        <v/>
      </c>
      <c r="D25" s="17">
        <f>C25*0.7</f>
        <v/>
      </c>
      <c r="E25" s="17">
        <f>C25*0.3</f>
        <v/>
      </c>
      <c r="F25" s="18">
        <f>1000*(1+$N$5)</f>
        <v/>
      </c>
      <c r="G25" s="17">
        <f>F25*0.5</f>
        <v/>
      </c>
      <c r="H25" s="17">
        <f>F25*0.3</f>
        <v/>
      </c>
      <c r="I25" s="18">
        <f>820*(1+$N$5)</f>
        <v/>
      </c>
      <c r="J25" s="30" t="inlineStr">
        <is>
          <t>n/a</t>
        </is>
      </c>
      <c r="K25" s="649" t="n"/>
      <c r="L25" s="28" t="n"/>
      <c r="M25" s="28" t="n"/>
      <c r="N25" s="28" t="n"/>
      <c r="O25" s="28" t="n"/>
      <c r="P25" s="28" t="n"/>
      <c r="Q25" s="28" t="n"/>
    </row>
    <row r="26">
      <c r="A26" s="28" t="n"/>
      <c r="B26" s="7" t="inlineStr">
        <is>
          <t>AE3000 (2.7)  - Proyecto 2</t>
        </is>
      </c>
      <c r="C26" s="18">
        <f>C25*0.65</f>
        <v/>
      </c>
      <c r="D26" s="17">
        <f>C26*0.7</f>
        <v/>
      </c>
      <c r="E26" s="17">
        <f>C26*0.3</f>
        <v/>
      </c>
      <c r="F26" s="18">
        <f>F25*0.85</f>
        <v/>
      </c>
      <c r="G26" s="17">
        <f>F26*0.5</f>
        <v/>
      </c>
      <c r="H26" s="17">
        <f>F26*0.3</f>
        <v/>
      </c>
      <c r="I26" s="18">
        <f>I25*0.75</f>
        <v/>
      </c>
      <c r="J26" s="30" t="inlineStr">
        <is>
          <t>n/a</t>
        </is>
      </c>
      <c r="K26" s="649" t="n"/>
      <c r="L26" s="28" t="n"/>
      <c r="M26" s="28" t="n"/>
      <c r="N26" s="28" t="n"/>
      <c r="O26" s="28" t="n"/>
      <c r="P26" s="28" t="n"/>
      <c r="Q26" s="28" t="n"/>
    </row>
    <row r="27">
      <c r="A27" s="28" t="n"/>
      <c r="B27" s="7" t="inlineStr">
        <is>
          <t>AE3000 (2.7)  - Proyecto 3</t>
        </is>
      </c>
      <c r="C27" s="18">
        <f>+C25*0.45</f>
        <v/>
      </c>
      <c r="D27" s="17">
        <f>C27*0.7</f>
        <v/>
      </c>
      <c r="E27" s="17">
        <f>C27*0.3</f>
        <v/>
      </c>
      <c r="F27" s="18">
        <f>+F25*0.65</f>
        <v/>
      </c>
      <c r="G27" s="17">
        <f>F27*0.5</f>
        <v/>
      </c>
      <c r="H27" s="17">
        <f>F27*0.3</f>
        <v/>
      </c>
      <c r="I27" s="18">
        <f>+I25*0.75</f>
        <v/>
      </c>
      <c r="J27" s="30" t="inlineStr">
        <is>
          <t>n/a</t>
        </is>
      </c>
      <c r="K27" s="649" t="n"/>
      <c r="L27" s="28" t="n"/>
      <c r="M27" s="28" t="n"/>
      <c r="N27" s="28" t="n"/>
      <c r="O27" s="28" t="n"/>
      <c r="P27" s="28" t="n"/>
      <c r="Q27" s="28" t="n"/>
    </row>
    <row r="28">
      <c r="A28" s="28" t="n"/>
      <c r="B28" s="7" t="inlineStr">
        <is>
          <t>AE3000 (2.7)  - Proyecto 4</t>
        </is>
      </c>
      <c r="C28" s="18">
        <f>+C25*0.25</f>
        <v/>
      </c>
      <c r="D28" s="17">
        <f>C28*0.7</f>
        <v/>
      </c>
      <c r="E28" s="17">
        <f>C28*0.3</f>
        <v/>
      </c>
      <c r="F28" s="18">
        <f>+F25*0.45</f>
        <v/>
      </c>
      <c r="G28" s="17">
        <f>F28*0.5</f>
        <v/>
      </c>
      <c r="H28" s="17">
        <f>F28*0.3</f>
        <v/>
      </c>
      <c r="I28" s="18">
        <f>+I25*0.75</f>
        <v/>
      </c>
      <c r="J28" s="30" t="inlineStr">
        <is>
          <t>n/a</t>
        </is>
      </c>
      <c r="K28" s="649" t="n"/>
      <c r="L28" s="28" t="n"/>
      <c r="M28" s="28" t="n"/>
      <c r="N28" s="28" t="n"/>
      <c r="O28" s="28" t="n"/>
      <c r="P28" s="28" t="n"/>
      <c r="Q28" s="28" t="n"/>
    </row>
    <row r="29">
      <c r="A29" s="28" t="n"/>
      <c r="B29" s="7" t="inlineStr">
        <is>
          <t>AE3000 (2.7)  - Proyecto 5</t>
        </is>
      </c>
      <c r="C29" s="18">
        <f>+C25*0.15</f>
        <v/>
      </c>
      <c r="D29" s="17">
        <f>C29*0.7</f>
        <v/>
      </c>
      <c r="E29" s="17">
        <f>C29*0.3</f>
        <v/>
      </c>
      <c r="F29" s="18">
        <f>+F25*0.3</f>
        <v/>
      </c>
      <c r="G29" s="17">
        <f>F29*0.5</f>
        <v/>
      </c>
      <c r="H29" s="17">
        <f>F29*0.3</f>
        <v/>
      </c>
      <c r="I29" s="18">
        <f>+I25*0.75</f>
        <v/>
      </c>
      <c r="J29" s="30" t="inlineStr">
        <is>
          <t>n/a</t>
        </is>
      </c>
      <c r="K29" s="649" t="n"/>
      <c r="L29" s="28" t="n"/>
      <c r="M29" s="28" t="n"/>
      <c r="N29" s="28" t="n"/>
      <c r="O29" s="28" t="n"/>
      <c r="P29" s="28" t="n"/>
      <c r="Q29" s="28" t="n"/>
    </row>
    <row r="30">
      <c r="A30" s="28" t="n"/>
      <c r="B30" s="7" t="inlineStr">
        <is>
          <t>AE3000 (2.7)  - Proyecto 6</t>
        </is>
      </c>
      <c r="C30" s="17">
        <f>+C25*0.05</f>
        <v/>
      </c>
      <c r="D30" s="18">
        <f>C30*0.7</f>
        <v/>
      </c>
      <c r="E30" s="17">
        <f>C30*0.3</f>
        <v/>
      </c>
      <c r="F30" s="17">
        <f>+F25*0.15</f>
        <v/>
      </c>
      <c r="G30" s="18">
        <f>F30*0.5</f>
        <v/>
      </c>
      <c r="H30" s="17">
        <f>F30*0.3</f>
        <v/>
      </c>
      <c r="I30" s="18">
        <f>+I25*0.75</f>
        <v/>
      </c>
      <c r="J30" s="30" t="inlineStr">
        <is>
          <t>n/a</t>
        </is>
      </c>
      <c r="K30" s="649" t="n"/>
      <c r="L30" s="28" t="n"/>
      <c r="M30" s="28" t="n"/>
      <c r="N30" s="28" t="n"/>
      <c r="O30" s="28" t="n"/>
      <c r="P30" s="28" t="n"/>
      <c r="Q30" s="28" t="n"/>
    </row>
    <row r="31">
      <c r="A31" s="28" t="n"/>
      <c r="B31" s="7" t="inlineStr">
        <is>
          <t>2.8</t>
        </is>
      </c>
      <c r="C31" s="17">
        <f>950*(1+$N$5)</f>
        <v/>
      </c>
      <c r="D31" s="17">
        <f>C31*0.7</f>
        <v/>
      </c>
      <c r="E31" s="18">
        <f>C31*0.3</f>
        <v/>
      </c>
      <c r="F31" s="17">
        <f>1000*(1+$N$5)</f>
        <v/>
      </c>
      <c r="G31" s="17">
        <f>F31*0.5</f>
        <v/>
      </c>
      <c r="H31" s="18">
        <f>F31*0.3</f>
        <v/>
      </c>
      <c r="I31" s="17">
        <f>820*(1+$N$5)</f>
        <v/>
      </c>
      <c r="J31" s="30" t="inlineStr">
        <is>
          <t>n/a</t>
        </is>
      </c>
      <c r="K31" s="649" t="n"/>
      <c r="L31" s="28" t="n"/>
      <c r="M31" s="41">
        <f>1400/5991.8</f>
        <v/>
      </c>
      <c r="N31" s="29">
        <f>$O$32*M31</f>
        <v/>
      </c>
      <c r="O31" s="28" t="n"/>
      <c r="P31" s="28" t="n"/>
      <c r="Q31" s="28" t="n"/>
    </row>
    <row r="32">
      <c r="A32" s="28" t="n"/>
      <c r="B32" s="7" t="inlineStr">
        <is>
          <t>2.9</t>
        </is>
      </c>
      <c r="C32" s="17">
        <f>950*(1+$N$5)</f>
        <v/>
      </c>
      <c r="D32" s="17">
        <f>C32*0.7</f>
        <v/>
      </c>
      <c r="E32" s="18">
        <f>C32*0.3</f>
        <v/>
      </c>
      <c r="F32" s="17">
        <f>1000*(1+$N$5)</f>
        <v/>
      </c>
      <c r="G32" s="17">
        <f>F32*0.5</f>
        <v/>
      </c>
      <c r="H32" s="18">
        <f>F32*0.3</f>
        <v/>
      </c>
      <c r="I32" s="17">
        <f>820*(1+$N$5)</f>
        <v/>
      </c>
      <c r="J32" s="30" t="inlineStr">
        <is>
          <t>n/a</t>
        </is>
      </c>
      <c r="K32" s="649" t="n"/>
      <c r="L32" s="28" t="n"/>
      <c r="M32" s="41">
        <f>1000/5991.8</f>
        <v/>
      </c>
      <c r="N32" s="29">
        <f>$O$32*M32</f>
        <v/>
      </c>
      <c r="O32" s="29">
        <f>SUM(I32:I36,I37)</f>
        <v/>
      </c>
      <c r="P32" s="28" t="n"/>
      <c r="Q32" s="28" t="n"/>
    </row>
    <row r="33">
      <c r="A33" s="28" t="n"/>
      <c r="B33" s="42" t="inlineStr">
        <is>
          <t>2.10 no fras desde 10/2011</t>
        </is>
      </c>
      <c r="C33" s="43">
        <f>950*(1+$N$5)</f>
        <v/>
      </c>
      <c r="D33" s="43">
        <f>C33*0.7</f>
        <v/>
      </c>
      <c r="E33" s="44">
        <f>C33*0.3</f>
        <v/>
      </c>
      <c r="F33" s="43">
        <f>1000*(1+$N$5)</f>
        <v/>
      </c>
      <c r="G33" s="43">
        <f>F33*0.5</f>
        <v/>
      </c>
      <c r="H33" s="44">
        <f>F33*0.3</f>
        <v/>
      </c>
      <c r="I33" s="43">
        <f>820*(1+$N$5)</f>
        <v/>
      </c>
      <c r="J33" s="45" t="inlineStr">
        <is>
          <t>n/a</t>
        </is>
      </c>
      <c r="K33" s="649" t="n"/>
      <c r="L33" s="28" t="n"/>
      <c r="M33" s="41">
        <f>690/5991.8</f>
        <v/>
      </c>
      <c r="N33" s="29">
        <f>$O$32*M33</f>
        <v/>
      </c>
      <c r="O33" s="28" t="n"/>
      <c r="P33" s="28" t="n"/>
      <c r="Q33" s="28" t="n"/>
    </row>
    <row r="34">
      <c r="A34" s="28" t="n"/>
      <c r="B34" s="28" t="n"/>
      <c r="C34" s="28" t="n"/>
      <c r="D34" s="28" t="n"/>
      <c r="E34" s="28" t="n"/>
      <c r="F34" s="28" t="n"/>
      <c r="G34" s="28" t="n"/>
      <c r="H34" s="28" t="n"/>
      <c r="I34" s="28" t="n"/>
      <c r="J34" s="28" t="n"/>
      <c r="K34" s="28" t="n"/>
      <c r="L34" s="28" t="n"/>
      <c r="M34" s="41">
        <f>570/5991.8</f>
        <v/>
      </c>
      <c r="N34" s="29">
        <f>$O$32*M34</f>
        <v/>
      </c>
      <c r="O34" s="28" t="n"/>
      <c r="P34" s="28" t="n"/>
      <c r="Q34" s="28" t="n"/>
    </row>
    <row r="35">
      <c r="A35" s="28" t="n"/>
      <c r="B35" s="31" t="inlineStr">
        <is>
          <t>Importes en negrita = Tarifas aplicadas actualmente</t>
        </is>
      </c>
      <c r="C35" s="28" t="n"/>
      <c r="D35" s="28" t="n"/>
      <c r="E35" s="28" t="n"/>
      <c r="F35" s="28" t="n"/>
      <c r="G35" s="28" t="n"/>
      <c r="H35" s="28" t="n"/>
      <c r="I35" s="28" t="n"/>
      <c r="J35" s="28" t="n"/>
      <c r="K35" s="28" t="n"/>
      <c r="L35" s="28" t="n"/>
      <c r="M35" s="41">
        <f>800/5991.8</f>
        <v/>
      </c>
      <c r="N35" s="29">
        <f>$O$32*M35</f>
        <v/>
      </c>
      <c r="O35" s="28" t="n"/>
      <c r="P35" s="28" t="n"/>
      <c r="Q35" s="28" t="n"/>
    </row>
    <row r="36">
      <c r="A36" s="28" t="n"/>
      <c r="B36" s="28" t="n"/>
      <c r="C36" s="28" t="n"/>
      <c r="D36" s="28" t="n"/>
      <c r="E36" s="28" t="n"/>
      <c r="F36" s="28" t="n"/>
      <c r="G36" s="28" t="n"/>
      <c r="H36" s="28" t="n"/>
      <c r="I36" s="28" t="n"/>
      <c r="J36" s="28" t="n"/>
      <c r="K36" s="28" t="n"/>
      <c r="L36" s="28" t="n"/>
      <c r="M36" s="41">
        <f>1531.8/5991.8</f>
        <v/>
      </c>
      <c r="N36" s="29">
        <f>$O$32*M36</f>
        <v/>
      </c>
      <c r="O36" s="28" t="n"/>
      <c r="P36" s="28" t="n"/>
      <c r="Q36" s="28" t="n"/>
    </row>
    <row r="37">
      <c r="A37" s="28" t="n"/>
      <c r="B37" s="28" t="n"/>
      <c r="C37" s="28" t="n"/>
      <c r="D37" s="28" t="n"/>
      <c r="E37" s="28" t="n"/>
      <c r="F37" s="28" t="n"/>
      <c r="G37" s="28" t="n"/>
      <c r="H37" s="28" t="n"/>
      <c r="I37" s="28" t="n"/>
      <c r="J37" s="28" t="n"/>
      <c r="K37" s="28" t="n"/>
      <c r="L37" s="28" t="n"/>
      <c r="M37" s="28" t="n"/>
      <c r="N37" s="28" t="n"/>
      <c r="O37" s="28" t="n"/>
      <c r="P37" s="28" t="n"/>
      <c r="Q37" s="28" t="n"/>
    </row>
    <row r="38">
      <c r="A38" s="28" t="n"/>
      <c r="B38" s="28" t="n"/>
      <c r="C38" s="28" t="n"/>
      <c r="D38" s="28" t="n"/>
      <c r="E38" s="28" t="n"/>
      <c r="F38" s="28" t="n"/>
      <c r="G38" s="28" t="n"/>
      <c r="H38" s="28" t="n"/>
      <c r="I38" s="28" t="n"/>
      <c r="J38" s="28" t="n"/>
      <c r="K38" s="28" t="n"/>
      <c r="L38" s="28" t="n"/>
      <c r="M38" s="28" t="n"/>
      <c r="N38" s="28" t="n"/>
      <c r="O38" s="28" t="n"/>
      <c r="P38" s="28" t="n"/>
      <c r="Q38" s="28" t="n"/>
    </row>
    <row r="39">
      <c r="A39" s="28" t="n"/>
      <c r="B39" s="28" t="n"/>
      <c r="C39" s="28" t="n"/>
      <c r="D39" s="28" t="n"/>
      <c r="E39" s="28" t="n"/>
      <c r="F39" s="28" t="n"/>
      <c r="G39" s="28" t="n"/>
      <c r="H39" s="28" t="n"/>
      <c r="I39" s="28" t="n"/>
      <c r="J39" s="28" t="n"/>
      <c r="K39" s="28" t="n"/>
      <c r="L39" s="28" t="n"/>
      <c r="M39" s="28" t="n"/>
      <c r="N39" s="28" t="n"/>
      <c r="O39" s="28" t="n"/>
      <c r="P39" s="28" t="n"/>
      <c r="Q39" s="28" t="n"/>
    </row>
    <row r="40">
      <c r="A40" s="28" t="n"/>
      <c r="B40" s="28" t="n"/>
      <c r="C40" s="28" t="n"/>
      <c r="D40" s="28" t="n"/>
      <c r="E40" s="28" t="n"/>
      <c r="F40" s="28" t="n"/>
      <c r="G40" s="28" t="n"/>
      <c r="H40" s="28" t="n"/>
      <c r="I40" s="28" t="n"/>
      <c r="J40" s="28" t="n"/>
      <c r="K40" s="28" t="n"/>
      <c r="L40" s="28" t="n"/>
      <c r="M40" s="41">
        <f>1400/5991.8</f>
        <v/>
      </c>
      <c r="N40" s="29">
        <f>$O$41*M40</f>
        <v/>
      </c>
      <c r="O40" s="28" t="n"/>
      <c r="P40" s="28" t="n"/>
      <c r="Q40" s="28" t="n"/>
    </row>
    <row r="41">
      <c r="A41" s="28" t="n"/>
      <c r="B41" s="28" t="n"/>
      <c r="C41" s="28" t="n"/>
      <c r="D41" s="28" t="n"/>
      <c r="E41" s="28" t="n"/>
      <c r="F41" s="28" t="n"/>
      <c r="G41" s="28" t="n"/>
      <c r="H41" s="28" t="n"/>
      <c r="I41" s="28" t="n"/>
      <c r="J41" s="28" t="n"/>
      <c r="K41" s="28" t="n"/>
      <c r="L41" s="28" t="n"/>
      <c r="M41" s="41">
        <f>1000/5991.8</f>
        <v/>
      </c>
      <c r="N41" s="29">
        <f>$O$41*M41</f>
        <v/>
      </c>
      <c r="O41" s="29" t="n">
        <v>2472.89</v>
      </c>
      <c r="P41" s="28" t="n"/>
      <c r="Q41" s="28" t="n"/>
    </row>
    <row r="42">
      <c r="A42" s="28" t="n"/>
      <c r="B42" s="28" t="n"/>
      <c r="C42" s="28" t="n"/>
      <c r="D42" s="28" t="n"/>
      <c r="E42" s="28" t="n"/>
      <c r="F42" s="28" t="n"/>
      <c r="G42" s="28" t="n"/>
      <c r="H42" s="28" t="n"/>
      <c r="I42" s="28" t="n"/>
      <c r="J42" s="28" t="n"/>
      <c r="K42" s="28" t="n"/>
      <c r="L42" s="28" t="n"/>
      <c r="M42" s="41">
        <f>690/5991.8</f>
        <v/>
      </c>
      <c r="N42" s="29">
        <f>$O$41*M42</f>
        <v/>
      </c>
      <c r="O42" s="28" t="n"/>
      <c r="P42" s="28" t="n"/>
      <c r="Q42" s="28" t="n"/>
    </row>
    <row r="43">
      <c r="A43" s="28" t="n"/>
      <c r="B43" s="28" t="n"/>
      <c r="C43" s="28" t="n"/>
      <c r="D43" s="28" t="n"/>
      <c r="E43" s="28" t="n"/>
      <c r="F43" s="28" t="n"/>
      <c r="G43" s="28" t="n"/>
      <c r="H43" s="28" t="n"/>
      <c r="I43" s="28" t="n"/>
      <c r="J43" s="28" t="n"/>
      <c r="K43" s="28" t="n"/>
      <c r="L43" s="28" t="n"/>
      <c r="M43" s="41">
        <f>570/5991.8</f>
        <v/>
      </c>
      <c r="N43" s="29">
        <f>$O$41*M43</f>
        <v/>
      </c>
      <c r="O43" s="28" t="n"/>
      <c r="P43" s="28" t="n"/>
      <c r="Q43" s="28" t="n"/>
    </row>
    <row r="44">
      <c r="A44" s="28" t="n"/>
      <c r="B44" s="28" t="n"/>
      <c r="C44" s="28" t="n"/>
      <c r="D44" s="28" t="n"/>
      <c r="E44" s="28" t="n"/>
      <c r="F44" s="28" t="n"/>
      <c r="G44" s="28" t="n"/>
      <c r="H44" s="28" t="n"/>
      <c r="I44" s="28" t="n"/>
      <c r="J44" s="28" t="n"/>
      <c r="K44" s="28" t="n"/>
      <c r="L44" s="28" t="n"/>
      <c r="M44" s="41">
        <f>800/5991.8</f>
        <v/>
      </c>
      <c r="N44" s="29">
        <f>$O$41*M44</f>
        <v/>
      </c>
      <c r="O44" s="28" t="n"/>
      <c r="P44" s="28" t="n"/>
      <c r="Q44" s="28" t="n"/>
    </row>
    <row r="45">
      <c r="A45" s="28" t="n"/>
      <c r="B45" s="28" t="n"/>
      <c r="C45" s="28" t="n"/>
      <c r="D45" s="28" t="n"/>
      <c r="E45" s="28" t="n"/>
      <c r="F45" s="28" t="n"/>
      <c r="G45" s="28" t="n"/>
      <c r="H45" s="28" t="n"/>
      <c r="I45" s="28" t="n"/>
      <c r="J45" s="28" t="n"/>
      <c r="K45" s="28" t="n"/>
      <c r="L45" s="28" t="n"/>
      <c r="M45" s="41">
        <f>1531.8/5991.8</f>
        <v/>
      </c>
      <c r="N45" s="29">
        <f>$O$41*M45</f>
        <v/>
      </c>
      <c r="O45" s="28" t="n"/>
      <c r="P45" s="28" t="n"/>
      <c r="Q45" s="28" t="n"/>
    </row>
    <row r="46">
      <c r="A46" s="28" t="n"/>
      <c r="B46" s="28" t="n"/>
      <c r="C46" s="28" t="n"/>
      <c r="D46" s="28" t="n"/>
      <c r="E46" s="28" t="n"/>
      <c r="F46" s="28" t="n"/>
      <c r="G46" s="28" t="n"/>
      <c r="H46" s="28" t="n"/>
      <c r="I46" s="28" t="n"/>
      <c r="J46" s="28" t="n"/>
      <c r="K46" s="28" t="n"/>
      <c r="L46" s="28" t="n"/>
      <c r="M46" s="28" t="n"/>
      <c r="N46" s="28" t="n"/>
      <c r="O46" s="28" t="n"/>
      <c r="P46" s="28" t="n"/>
      <c r="Q46" s="28" t="n"/>
    </row>
    <row r="47">
      <c r="A47" s="28" t="n"/>
      <c r="B47" s="28" t="n"/>
      <c r="C47" s="28" t="n"/>
      <c r="D47" s="28" t="n"/>
      <c r="E47" s="28" t="n"/>
      <c r="F47" s="28" t="n"/>
      <c r="G47" s="28" t="n"/>
      <c r="H47" s="28" t="n"/>
      <c r="I47" s="28" t="n"/>
      <c r="J47" s="28" t="n"/>
      <c r="K47" s="28" t="n"/>
      <c r="L47" s="28" t="n"/>
      <c r="M47" s="28" t="n"/>
      <c r="N47" s="28" t="n"/>
      <c r="O47" s="28" t="n"/>
      <c r="P47" s="28" t="n"/>
      <c r="Q47" s="28" t="n"/>
    </row>
    <row r="48">
      <c r="A48" s="28" t="n"/>
      <c r="B48" s="28" t="n"/>
      <c r="C48" s="28" t="n"/>
      <c r="D48" s="28" t="n"/>
      <c r="E48" s="28" t="n"/>
      <c r="F48" s="28" t="n"/>
      <c r="G48" s="28" t="n"/>
      <c r="H48" s="28" t="n"/>
      <c r="I48" s="28" t="n"/>
      <c r="J48" s="28" t="n"/>
      <c r="K48" s="28" t="n"/>
      <c r="L48" s="28" t="n"/>
      <c r="M48" s="41">
        <f>1400/5991.8</f>
        <v/>
      </c>
      <c r="N48" s="29">
        <f>$O$49*M48</f>
        <v/>
      </c>
      <c r="O48" s="28" t="n"/>
      <c r="P48" s="28" t="n"/>
      <c r="Q48" s="28" t="n"/>
    </row>
    <row r="49">
      <c r="A49" s="28" t="n"/>
      <c r="B49" s="28" t="n"/>
      <c r="C49" s="28" t="n"/>
      <c r="D49" s="28" t="n"/>
      <c r="E49" s="28" t="n"/>
      <c r="F49" s="28" t="n"/>
      <c r="G49" s="28" t="n"/>
      <c r="H49" s="28" t="n"/>
      <c r="I49" s="28" t="n"/>
      <c r="J49" s="28" t="n"/>
      <c r="K49" s="28" t="n"/>
      <c r="L49" s="28" t="n"/>
      <c r="M49" s="41">
        <f>1000/5991.8</f>
        <v/>
      </c>
      <c r="N49" s="29">
        <f>$O$49*M49</f>
        <v/>
      </c>
      <c r="O49" s="29">
        <f>SUM(F32:F37)</f>
        <v/>
      </c>
      <c r="P49" s="28" t="n"/>
      <c r="Q49" s="28" t="n"/>
    </row>
    <row r="50">
      <c r="A50" s="28" t="n"/>
      <c r="B50" s="28" t="n"/>
      <c r="C50" s="28" t="n"/>
      <c r="D50" s="28" t="n"/>
      <c r="E50" s="28" t="n"/>
      <c r="F50" s="28" t="n"/>
      <c r="G50" s="28" t="n"/>
      <c r="H50" s="28" t="n"/>
      <c r="I50" s="28" t="n"/>
      <c r="J50" s="28" t="n"/>
      <c r="K50" s="28" t="n"/>
      <c r="L50" s="28" t="n"/>
      <c r="M50" s="41">
        <f>690/5991.8</f>
        <v/>
      </c>
      <c r="N50" s="29">
        <f>$O$49*M50</f>
        <v/>
      </c>
      <c r="O50" s="28" t="n"/>
      <c r="P50" s="28" t="n"/>
      <c r="Q50" s="28" t="n"/>
    </row>
    <row r="51">
      <c r="A51" s="28" t="n"/>
      <c r="B51" s="28" t="n"/>
      <c r="C51" s="28" t="n"/>
      <c r="D51" s="28" t="n"/>
      <c r="E51" s="28" t="n"/>
      <c r="F51" s="28" t="n"/>
      <c r="G51" s="28" t="n"/>
      <c r="H51" s="28" t="n"/>
      <c r="I51" s="28" t="n"/>
      <c r="J51" s="28" t="n"/>
      <c r="K51" s="28" t="n"/>
      <c r="L51" s="28" t="n"/>
      <c r="M51" s="41">
        <f>570/5991.8</f>
        <v/>
      </c>
      <c r="N51" s="29">
        <f>$O$49*M51</f>
        <v/>
      </c>
      <c r="O51" s="28" t="n"/>
      <c r="P51" s="28" t="n"/>
      <c r="Q51" s="28" t="n"/>
    </row>
    <row r="52">
      <c r="A52" s="28" t="n"/>
      <c r="B52" s="28" t="n"/>
      <c r="C52" s="28" t="n"/>
      <c r="D52" s="28" t="n"/>
      <c r="E52" s="28" t="n"/>
      <c r="F52" s="28" t="n"/>
      <c r="G52" s="28" t="n"/>
      <c r="H52" s="28" t="n"/>
      <c r="I52" s="28" t="n"/>
      <c r="J52" s="28" t="n"/>
      <c r="K52" s="28" t="n"/>
      <c r="L52" s="28" t="n"/>
      <c r="M52" s="41">
        <f>800/5991.8</f>
        <v/>
      </c>
      <c r="N52" s="29">
        <f>$O$49*M52</f>
        <v/>
      </c>
      <c r="O52" s="28" t="n"/>
      <c r="P52" s="28" t="n"/>
      <c r="Q52" s="28" t="n"/>
    </row>
    <row r="53">
      <c r="A53" s="28" t="n"/>
      <c r="B53" s="28" t="n"/>
      <c r="C53" s="28" t="n"/>
      <c r="D53" s="28" t="n"/>
      <c r="E53" s="28" t="n"/>
      <c r="F53" s="28" t="n"/>
      <c r="G53" s="28" t="n"/>
      <c r="H53" s="28" t="n"/>
      <c r="I53" s="28" t="n"/>
      <c r="J53" s="28" t="n"/>
      <c r="K53" s="28" t="n"/>
      <c r="L53" s="28" t="n"/>
      <c r="M53" s="41">
        <f>1531.8/5991.8</f>
        <v/>
      </c>
      <c r="N53" s="29">
        <f>$O$49*M53</f>
        <v/>
      </c>
      <c r="O53" s="28" t="n"/>
      <c r="P53" s="28" t="n"/>
      <c r="Q53" s="28" t="n"/>
    </row>
    <row r="54">
      <c r="A54" s="28" t="n"/>
      <c r="B54" s="28" t="n"/>
      <c r="C54" s="28" t="n"/>
      <c r="D54" s="28" t="n"/>
      <c r="E54" s="28" t="n"/>
      <c r="F54" s="28" t="n"/>
      <c r="G54" s="28" t="n"/>
      <c r="H54" s="28" t="n"/>
      <c r="I54" s="28" t="n"/>
      <c r="J54" s="28" t="n"/>
      <c r="K54" s="28" t="n"/>
      <c r="L54" s="28" t="n"/>
      <c r="M54" s="28" t="n"/>
      <c r="N54" s="28" t="n"/>
      <c r="O54" s="28" t="n"/>
      <c r="P54" s="28" t="n"/>
      <c r="Q54" s="28" t="n"/>
    </row>
    <row r="55">
      <c r="A55" s="28" t="n"/>
      <c r="B55" s="28" t="n"/>
      <c r="C55" s="28" t="n"/>
      <c r="D55" s="28" t="n"/>
      <c r="E55" s="28" t="n"/>
      <c r="F55" s="28" t="n"/>
      <c r="G55" s="28" t="n"/>
      <c r="H55" s="28" t="n"/>
      <c r="I55" s="28" t="n"/>
      <c r="J55" s="28" t="n"/>
      <c r="K55" s="28" t="n"/>
      <c r="L55" s="28" t="n"/>
      <c r="M55" s="28" t="n"/>
      <c r="N55" s="28" t="n"/>
      <c r="O55" s="28" t="n"/>
      <c r="P55" s="28" t="n"/>
      <c r="Q55" s="28" t="n"/>
    </row>
    <row r="56">
      <c r="A56" s="28" t="n"/>
      <c r="B56" s="28" t="n"/>
      <c r="C56" s="28" t="n"/>
      <c r="D56" s="28" t="n"/>
      <c r="E56" s="28" t="n"/>
      <c r="F56" s="28" t="n"/>
      <c r="G56" s="28" t="n"/>
      <c r="H56" s="28" t="n"/>
      <c r="I56" s="28" t="n"/>
      <c r="J56" s="28" t="n"/>
      <c r="K56" s="28" t="n"/>
      <c r="L56" s="28" t="n"/>
      <c r="M56" s="28" t="n"/>
      <c r="N56" s="28" t="n"/>
      <c r="O56" s="28" t="n"/>
      <c r="P56" s="28" t="n"/>
      <c r="Q56" s="28" t="n"/>
    </row>
    <row r="57">
      <c r="A57" s="28" t="n"/>
      <c r="B57" s="28" t="n"/>
      <c r="C57" s="28" t="n"/>
      <c r="D57" s="28" t="n"/>
      <c r="E57" s="28" t="n"/>
      <c r="F57" s="28" t="n"/>
      <c r="G57" s="28" t="n"/>
      <c r="H57" s="28" t="n"/>
      <c r="I57" s="28" t="n"/>
      <c r="J57" s="28" t="n"/>
      <c r="K57" s="28" t="n"/>
      <c r="L57" s="28" t="n"/>
      <c r="M57" s="28" t="n"/>
      <c r="N57" s="28" t="n"/>
      <c r="O57" s="28" t="n"/>
      <c r="P57" s="28" t="n"/>
      <c r="Q57" s="28" t="n"/>
    </row>
    <row r="58">
      <c r="A58" s="28" t="n"/>
      <c r="B58" s="28" t="n"/>
      <c r="C58" s="28" t="n"/>
      <c r="D58" s="28" t="n"/>
      <c r="E58" s="28" t="n"/>
      <c r="F58" s="28" t="n"/>
      <c r="G58" s="28" t="n"/>
      <c r="H58" s="28" t="n"/>
      <c r="I58" s="28" t="n"/>
      <c r="J58" s="28" t="n"/>
      <c r="K58" s="28" t="n"/>
      <c r="L58" s="28" t="n"/>
      <c r="M58" s="28" t="n"/>
      <c r="N58" s="28" t="n"/>
      <c r="O58" s="28" t="n"/>
      <c r="P58" s="28" t="n"/>
      <c r="Q58" s="28" t="n"/>
    </row>
    <row r="59">
      <c r="A59" s="28" t="n"/>
      <c r="B59" s="28" t="n"/>
      <c r="C59" s="28" t="n"/>
      <c r="D59" s="28" t="n"/>
      <c r="E59" s="28" t="n"/>
      <c r="F59" s="28" t="n"/>
      <c r="G59" s="28" t="n"/>
      <c r="H59" s="28" t="n"/>
      <c r="I59" s="28" t="n"/>
      <c r="J59" s="28" t="n"/>
      <c r="K59" s="28" t="n"/>
      <c r="L59" s="28" t="n"/>
      <c r="M59" s="28" t="n"/>
      <c r="N59" s="28" t="n"/>
      <c r="O59" s="28" t="n"/>
      <c r="P59" s="28" t="n"/>
      <c r="Q59" s="28" t="n"/>
    </row>
    <row r="60">
      <c r="A60" s="28" t="n"/>
      <c r="B60" s="28" t="n"/>
      <c r="C60" s="28" t="n"/>
      <c r="D60" s="28" t="n"/>
      <c r="E60" s="28" t="n"/>
      <c r="F60" s="28" t="n"/>
      <c r="G60" s="28" t="n"/>
      <c r="H60" s="28" t="n"/>
      <c r="I60" s="28" t="n"/>
      <c r="J60" s="28" t="n"/>
      <c r="K60" s="28" t="n"/>
      <c r="L60" s="28" t="n"/>
      <c r="M60" s="28" t="n"/>
      <c r="N60" s="28" t="n"/>
      <c r="O60" s="28" t="n"/>
      <c r="P60" s="28" t="n"/>
      <c r="Q60" s="28" t="n"/>
    </row>
    <row r="61">
      <c r="A61" s="28" t="n"/>
      <c r="B61" s="28" t="n"/>
      <c r="C61" s="28" t="n"/>
      <c r="D61" s="28" t="n"/>
      <c r="E61" s="28" t="n"/>
      <c r="F61" s="28" t="n"/>
      <c r="G61" s="28" t="n"/>
      <c r="H61" s="28" t="n"/>
      <c r="I61" s="28" t="n"/>
      <c r="J61" s="28" t="n"/>
      <c r="K61" s="28" t="n"/>
      <c r="L61" s="28" t="n"/>
      <c r="M61" s="28" t="n"/>
      <c r="N61" s="28" t="n"/>
      <c r="O61" s="28" t="n"/>
      <c r="P61" s="28" t="n"/>
      <c r="Q61" s="28" t="n"/>
    </row>
    <row r="62">
      <c r="A62" s="28" t="n"/>
      <c r="B62" s="28" t="n"/>
      <c r="C62" s="28" t="n"/>
      <c r="D62" s="28" t="n"/>
      <c r="E62" s="28" t="n"/>
      <c r="F62" s="28" t="n"/>
      <c r="G62" s="28" t="n"/>
      <c r="H62" s="28" t="n"/>
      <c r="I62" s="28" t="n"/>
      <c r="J62" s="28" t="n"/>
      <c r="K62" s="28" t="n"/>
      <c r="L62" s="28" t="n"/>
      <c r="M62" s="28" t="n"/>
      <c r="N62" s="28" t="n"/>
      <c r="O62" s="28" t="n"/>
      <c r="P62" s="28" t="n"/>
      <c r="Q62" s="28" t="n"/>
    </row>
    <row r="63">
      <c r="A63" s="28" t="n"/>
      <c r="B63" s="28" t="n"/>
      <c r="C63" s="28" t="n"/>
      <c r="D63" s="28" t="n"/>
      <c r="E63" s="28" t="n"/>
      <c r="F63" s="28" t="n"/>
      <c r="G63" s="28" t="n"/>
      <c r="H63" s="28" t="n"/>
      <c r="I63" s="28" t="n"/>
      <c r="J63" s="28" t="n"/>
      <c r="K63" s="28" t="n"/>
      <c r="L63" s="28" t="n"/>
      <c r="M63" s="28" t="n"/>
      <c r="N63" s="28" t="n"/>
      <c r="O63" s="28" t="n"/>
      <c r="P63" s="28" t="n"/>
      <c r="Q63" s="28" t="n"/>
    </row>
    <row r="64">
      <c r="A64" s="28" t="n"/>
      <c r="B64" s="28" t="n"/>
      <c r="C64" s="28" t="n"/>
      <c r="D64" s="28" t="n"/>
      <c r="E64" s="28" t="n"/>
      <c r="F64" s="28" t="n"/>
      <c r="G64" s="28" t="n"/>
      <c r="H64" s="28" t="n"/>
      <c r="I64" s="28" t="n"/>
      <c r="J64" s="28" t="n"/>
      <c r="K64" s="28" t="n"/>
      <c r="L64" s="28" t="n"/>
      <c r="M64" s="28" t="n"/>
      <c r="N64" s="28" t="n"/>
      <c r="O64" s="28" t="n"/>
      <c r="P64" s="28" t="n"/>
      <c r="Q64" s="28" t="n"/>
    </row>
    <row r="65">
      <c r="A65" s="28" t="n"/>
      <c r="B65" s="28" t="n"/>
      <c r="C65" s="28" t="n"/>
      <c r="D65" s="28" t="n"/>
      <c r="E65" s="28" t="n"/>
      <c r="F65" s="28" t="n"/>
      <c r="G65" s="28" t="n"/>
      <c r="H65" s="28" t="n"/>
      <c r="I65" s="28" t="n"/>
      <c r="J65" s="28" t="n"/>
      <c r="K65" s="28" t="n"/>
      <c r="L65" s="28" t="n"/>
      <c r="M65" s="28" t="n"/>
      <c r="N65" s="28" t="n"/>
      <c r="O65" s="28" t="n"/>
      <c r="P65" s="28" t="n"/>
      <c r="Q65" s="28" t="n"/>
    </row>
    <row r="66">
      <c r="A66" s="28" t="n"/>
      <c r="B66" s="28" t="n"/>
      <c r="C66" s="28" t="n"/>
      <c r="D66" s="28" t="n"/>
      <c r="E66" s="28" t="n"/>
      <c r="F66" s="28" t="n"/>
      <c r="G66" s="28" t="n"/>
      <c r="H66" s="28" t="n"/>
      <c r="I66" s="28" t="n"/>
      <c r="J66" s="28" t="n"/>
      <c r="K66" s="28" t="n"/>
      <c r="L66" s="28" t="n"/>
      <c r="M66" s="28" t="n"/>
      <c r="N66" s="28" t="n"/>
      <c r="O66" s="28" t="n"/>
      <c r="P66" s="28" t="n"/>
      <c r="Q66" s="28" t="n"/>
    </row>
    <row r="67">
      <c r="A67" s="28" t="n"/>
      <c r="B67" s="28" t="n"/>
      <c r="C67" s="28" t="n"/>
      <c r="D67" s="28" t="n"/>
      <c r="E67" s="28" t="n"/>
      <c r="F67" s="28" t="n"/>
      <c r="G67" s="28" t="n"/>
      <c r="H67" s="28" t="n"/>
      <c r="I67" s="28" t="n"/>
      <c r="J67" s="28" t="n"/>
      <c r="K67" s="28" t="n"/>
      <c r="L67" s="28" t="n"/>
      <c r="M67" s="28" t="n"/>
      <c r="N67" s="28" t="n"/>
      <c r="O67" s="28" t="n"/>
      <c r="P67" s="28" t="n"/>
      <c r="Q67" s="28" t="n"/>
    </row>
    <row r="68">
      <c r="A68" s="28" t="n"/>
      <c r="B68" s="28" t="n"/>
      <c r="C68" s="28" t="n"/>
      <c r="D68" s="28" t="n"/>
      <c r="E68" s="28" t="n"/>
      <c r="F68" s="28" t="n"/>
      <c r="G68" s="28" t="n"/>
      <c r="H68" s="28" t="n"/>
      <c r="I68" s="28" t="n"/>
      <c r="J68" s="28" t="n"/>
      <c r="K68" s="28" t="n"/>
      <c r="L68" s="28" t="n"/>
      <c r="M68" s="28" t="n"/>
      <c r="N68" s="28" t="n"/>
      <c r="O68" s="28" t="n"/>
      <c r="P68" s="28" t="n"/>
      <c r="Q68" s="28" t="n"/>
    </row>
    <row r="69">
      <c r="A69" s="28" t="n"/>
      <c r="B69" s="28" t="n"/>
      <c r="C69" s="28" t="n"/>
      <c r="D69" s="28" t="n"/>
      <c r="E69" s="28" t="n"/>
      <c r="F69" s="28" t="n"/>
      <c r="G69" s="28" t="n"/>
      <c r="H69" s="28" t="n"/>
      <c r="I69" s="28" t="n"/>
      <c r="J69" s="28" t="n"/>
      <c r="K69" s="28" t="n"/>
      <c r="L69" s="28" t="n"/>
      <c r="M69" s="28" t="n"/>
      <c r="N69" s="28" t="n"/>
      <c r="O69" s="28" t="n"/>
      <c r="P69" s="28" t="n"/>
      <c r="Q69" s="28" t="n"/>
    </row>
    <row r="70">
      <c r="A70" s="28" t="n"/>
      <c r="B70" s="28" t="n"/>
      <c r="C70" s="28" t="n"/>
      <c r="D70" s="28" t="n"/>
      <c r="E70" s="28" t="n"/>
      <c r="F70" s="28" t="n"/>
      <c r="G70" s="28" t="n"/>
      <c r="H70" s="28" t="n"/>
      <c r="I70" s="28" t="n"/>
      <c r="J70" s="28" t="n"/>
      <c r="K70" s="28" t="n"/>
      <c r="L70" s="28" t="n"/>
      <c r="M70" s="28" t="n"/>
      <c r="N70" s="28" t="n"/>
      <c r="O70" s="28" t="n"/>
      <c r="P70" s="28" t="n"/>
      <c r="Q70" s="28" t="n"/>
    </row>
    <row r="71">
      <c r="A71" s="28" t="n"/>
      <c r="B71" s="28" t="n"/>
      <c r="C71" s="28" t="n"/>
      <c r="D71" s="28" t="n"/>
      <c r="E71" s="28" t="n"/>
      <c r="F71" s="28" t="n"/>
      <c r="G71" s="28" t="n"/>
      <c r="H71" s="28" t="n"/>
      <c r="I71" s="28" t="n"/>
      <c r="J71" s="28" t="n"/>
      <c r="K71" s="28" t="n"/>
      <c r="L71" s="28" t="n"/>
      <c r="M71" s="28" t="n"/>
      <c r="N71" s="28" t="n"/>
      <c r="O71" s="28" t="n"/>
      <c r="P71" s="28" t="n"/>
      <c r="Q71" s="28" t="n"/>
    </row>
    <row r="72">
      <c r="A72" s="28" t="n"/>
      <c r="B72" s="28" t="n"/>
      <c r="C72" s="28" t="n"/>
      <c r="D72" s="28" t="n"/>
      <c r="E72" s="28" t="n"/>
      <c r="F72" s="28" t="n"/>
      <c r="G72" s="28" t="n"/>
      <c r="H72" s="28" t="n"/>
      <c r="I72" s="28" t="n"/>
      <c r="J72" s="28" t="n"/>
      <c r="K72" s="28" t="n"/>
      <c r="L72" s="28" t="n"/>
      <c r="M72" s="28" t="n"/>
      <c r="N72" s="28" t="n"/>
      <c r="O72" s="28" t="n"/>
      <c r="P72" s="28" t="n"/>
      <c r="Q72" s="28" t="n"/>
    </row>
    <row r="73">
      <c r="A73" s="28" t="n"/>
      <c r="B73" s="28" t="n"/>
      <c r="C73" s="28" t="n"/>
      <c r="D73" s="28" t="n"/>
      <c r="E73" s="28" t="n"/>
      <c r="F73" s="28" t="n"/>
      <c r="G73" s="28" t="n"/>
      <c r="H73" s="28" t="n"/>
      <c r="I73" s="28" t="n"/>
      <c r="J73" s="28" t="n"/>
      <c r="K73" s="28" t="n"/>
      <c r="L73" s="28" t="n"/>
      <c r="M73" s="28" t="n"/>
      <c r="N73" s="28" t="n"/>
      <c r="O73" s="28" t="n"/>
      <c r="P73" s="28" t="n"/>
      <c r="Q73" s="28" t="n"/>
    </row>
    <row r="74">
      <c r="A74" s="28" t="n"/>
      <c r="B74" s="28" t="n"/>
      <c r="C74" s="28" t="n"/>
      <c r="D74" s="28" t="n"/>
      <c r="E74" s="28" t="n"/>
      <c r="F74" s="28" t="n"/>
      <c r="G74" s="28" t="n"/>
      <c r="H74" s="28" t="n"/>
      <c r="I74" s="28" t="n"/>
      <c r="J74" s="28" t="n"/>
      <c r="K74" s="28" t="n"/>
      <c r="L74" s="28" t="n"/>
      <c r="M74" s="28" t="n"/>
      <c r="N74" s="28" t="n"/>
      <c r="O74" s="28" t="n"/>
      <c r="P74" s="28" t="n"/>
      <c r="Q74" s="28" t="n"/>
    </row>
    <row r="75">
      <c r="A75" s="28" t="n"/>
      <c r="B75" s="28" t="n"/>
      <c r="C75" s="28" t="n"/>
      <c r="D75" s="28" t="n"/>
      <c r="E75" s="28" t="n"/>
      <c r="F75" s="28" t="n"/>
      <c r="G75" s="28" t="n"/>
      <c r="H75" s="28" t="n"/>
      <c r="I75" s="28" t="n"/>
      <c r="J75" s="28" t="n"/>
      <c r="K75" s="28" t="n"/>
      <c r="L75" s="28" t="n"/>
      <c r="M75" s="28" t="n"/>
      <c r="N75" s="28" t="n"/>
      <c r="O75" s="28" t="n"/>
      <c r="P75" s="28" t="n"/>
      <c r="Q75" s="28" t="n"/>
    </row>
    <row r="76">
      <c r="A76" s="28" t="n"/>
      <c r="B76" s="28" t="n"/>
      <c r="C76" s="28" t="n"/>
      <c r="D76" s="28" t="n"/>
      <c r="E76" s="28" t="n"/>
      <c r="F76" s="28" t="n"/>
      <c r="G76" s="28" t="n"/>
      <c r="H76" s="28" t="n"/>
      <c r="I76" s="28" t="n"/>
      <c r="J76" s="28" t="n"/>
      <c r="K76" s="28" t="n"/>
      <c r="L76" s="28" t="n"/>
      <c r="M76" s="28" t="n"/>
      <c r="N76" s="28" t="n"/>
      <c r="O76" s="28" t="n"/>
      <c r="P76" s="28" t="n"/>
      <c r="Q76" s="28" t="n"/>
    </row>
    <row r="77">
      <c r="A77" s="28" t="n"/>
      <c r="B77" s="28" t="n"/>
      <c r="C77" s="28" t="n"/>
      <c r="D77" s="28" t="n"/>
      <c r="E77" s="28" t="n"/>
      <c r="F77" s="28" t="n"/>
      <c r="G77" s="28" t="n"/>
      <c r="H77" s="28" t="n"/>
      <c r="I77" s="28" t="n"/>
      <c r="J77" s="28" t="n"/>
      <c r="K77" s="28" t="n"/>
      <c r="L77" s="28" t="n"/>
      <c r="M77" s="28" t="n"/>
      <c r="N77" s="28" t="n"/>
      <c r="O77" s="28" t="n"/>
      <c r="P77" s="28" t="n"/>
      <c r="Q77" s="28" t="n"/>
    </row>
    <row r="78">
      <c r="A78" s="28" t="n"/>
      <c r="B78" s="28" t="n"/>
      <c r="C78" s="28" t="n"/>
      <c r="D78" s="28" t="n"/>
      <c r="E78" s="28" t="n"/>
      <c r="F78" s="28" t="n"/>
      <c r="G78" s="28" t="n"/>
      <c r="H78" s="28" t="n"/>
      <c r="I78" s="28" t="n"/>
      <c r="J78" s="28" t="n"/>
      <c r="K78" s="28" t="n"/>
      <c r="L78" s="28" t="n"/>
      <c r="M78" s="28" t="n"/>
      <c r="N78" s="28" t="n"/>
      <c r="O78" s="28" t="n"/>
      <c r="P78" s="28" t="n"/>
      <c r="Q78" s="28" t="n"/>
    </row>
    <row r="79">
      <c r="A79" s="28" t="n"/>
      <c r="B79" s="28" t="n"/>
      <c r="C79" s="28" t="n"/>
      <c r="D79" s="28" t="n"/>
      <c r="E79" s="28" t="n"/>
      <c r="F79" s="28" t="n"/>
      <c r="G79" s="28" t="n"/>
      <c r="H79" s="28" t="n"/>
      <c r="I79" s="28" t="n"/>
      <c r="J79" s="28" t="n"/>
      <c r="K79" s="28" t="n"/>
      <c r="L79" s="28" t="n"/>
      <c r="M79" s="28" t="n"/>
      <c r="N79" s="28" t="n"/>
      <c r="O79" s="28" t="n"/>
      <c r="P79" s="28" t="n"/>
      <c r="Q79" s="28" t="n"/>
    </row>
    <row r="80">
      <c r="A80" s="28" t="n"/>
      <c r="B80" s="28" t="n"/>
      <c r="C80" s="28" t="n"/>
      <c r="D80" s="28" t="n"/>
      <c r="E80" s="28" t="n"/>
      <c r="F80" s="28" t="n"/>
      <c r="G80" s="28" t="n"/>
      <c r="H80" s="28" t="n"/>
      <c r="I80" s="28" t="n"/>
      <c r="J80" s="28" t="n"/>
      <c r="K80" s="28" t="n"/>
      <c r="L80" s="28" t="n"/>
      <c r="M80" s="28" t="n"/>
      <c r="N80" s="28" t="n"/>
      <c r="O80" s="28" t="n"/>
      <c r="P80" s="28" t="n"/>
      <c r="Q80" s="28" t="n"/>
    </row>
    <row r="81">
      <c r="A81" s="28" t="n"/>
      <c r="B81" s="28" t="n"/>
      <c r="C81" s="28" t="n"/>
      <c r="D81" s="28" t="n"/>
      <c r="E81" s="28" t="n"/>
      <c r="F81" s="28" t="n"/>
      <c r="G81" s="28" t="n"/>
      <c r="H81" s="28" t="n"/>
      <c r="I81" s="28" t="n"/>
      <c r="J81" s="28" t="n"/>
      <c r="K81" s="28" t="n"/>
      <c r="L81" s="28" t="n"/>
      <c r="M81" s="28" t="n"/>
      <c r="N81" s="28" t="n"/>
      <c r="O81" s="28" t="n"/>
      <c r="P81" s="28" t="n"/>
      <c r="Q81" s="28" t="n"/>
    </row>
    <row r="82">
      <c r="A82" s="28" t="n"/>
      <c r="B82" s="28" t="n"/>
      <c r="C82" s="28" t="n"/>
      <c r="D82" s="28" t="n"/>
      <c r="E82" s="28" t="n"/>
      <c r="F82" s="28" t="n"/>
      <c r="G82" s="28" t="n"/>
      <c r="H82" s="28" t="n"/>
      <c r="I82" s="28" t="n"/>
      <c r="J82" s="28" t="n"/>
      <c r="K82" s="28" t="n"/>
      <c r="L82" s="28" t="n"/>
      <c r="M82" s="28" t="n"/>
      <c r="N82" s="28" t="n"/>
      <c r="O82" s="28" t="n"/>
      <c r="P82" s="28" t="n"/>
      <c r="Q82" s="28" t="n"/>
    </row>
    <row r="83">
      <c r="A83" s="28" t="n"/>
      <c r="B83" s="28" t="n"/>
      <c r="C83" s="28" t="n"/>
      <c r="D83" s="28" t="n"/>
      <c r="E83" s="28" t="n"/>
      <c r="F83" s="28" t="n"/>
      <c r="G83" s="28" t="n"/>
      <c r="H83" s="28" t="n"/>
      <c r="I83" s="28" t="n"/>
      <c r="J83" s="28" t="n"/>
      <c r="K83" s="28" t="n"/>
      <c r="L83" s="28" t="n"/>
      <c r="M83" s="28" t="n"/>
      <c r="N83" s="28" t="n"/>
      <c r="O83" s="28" t="n"/>
      <c r="P83" s="28" t="n"/>
      <c r="Q83" s="28" t="n"/>
    </row>
    <row r="84">
      <c r="A84" s="28" t="n"/>
      <c r="B84" s="28" t="n"/>
      <c r="C84" s="28" t="n"/>
      <c r="D84" s="28" t="n"/>
      <c r="E84" s="28" t="n"/>
      <c r="F84" s="28" t="n"/>
      <c r="G84" s="28" t="n"/>
      <c r="H84" s="28" t="n"/>
      <c r="I84" s="28" t="n"/>
      <c r="J84" s="28" t="n"/>
      <c r="K84" s="28" t="n"/>
      <c r="L84" s="28" t="n"/>
      <c r="M84" s="28" t="n"/>
      <c r="N84" s="28" t="n"/>
      <c r="O84" s="28" t="n"/>
      <c r="P84" s="28" t="n"/>
      <c r="Q84" s="28" t="n"/>
    </row>
    <row r="85">
      <c r="A85" s="28" t="n"/>
      <c r="B85" s="28" t="n"/>
      <c r="C85" s="28" t="n"/>
      <c r="D85" s="28" t="n"/>
      <c r="E85" s="28" t="n"/>
      <c r="F85" s="28" t="n"/>
      <c r="G85" s="28" t="n"/>
      <c r="H85" s="28" t="n"/>
      <c r="I85" s="28" t="n"/>
      <c r="J85" s="28" t="n"/>
      <c r="K85" s="28" t="n"/>
      <c r="L85" s="28" t="n"/>
      <c r="M85" s="28" t="n"/>
      <c r="N85" s="28" t="n"/>
      <c r="O85" s="28" t="n"/>
      <c r="P85" s="28" t="n"/>
      <c r="Q85" s="28" t="n"/>
    </row>
    <row r="86">
      <c r="A86" s="28" t="n"/>
      <c r="B86" s="28" t="n"/>
      <c r="C86" s="28" t="n"/>
      <c r="D86" s="28" t="n"/>
      <c r="E86" s="28" t="n"/>
      <c r="F86" s="28" t="n"/>
      <c r="G86" s="28" t="n"/>
      <c r="H86" s="28" t="n"/>
      <c r="I86" s="28" t="n"/>
      <c r="J86" s="28" t="n"/>
      <c r="K86" s="28" t="n"/>
      <c r="L86" s="28" t="n"/>
      <c r="M86" s="28" t="n"/>
      <c r="N86" s="28" t="n"/>
      <c r="O86" s="28" t="n"/>
      <c r="P86" s="28" t="n"/>
      <c r="Q86" s="28" t="n"/>
    </row>
    <row r="87">
      <c r="A87" s="28" t="n"/>
      <c r="B87" s="28" t="n"/>
      <c r="C87" s="28" t="n"/>
      <c r="D87" s="28" t="n"/>
      <c r="E87" s="28" t="n"/>
      <c r="F87" s="28" t="n"/>
      <c r="G87" s="28" t="n"/>
      <c r="H87" s="28" t="n"/>
      <c r="I87" s="28" t="n"/>
      <c r="J87" s="28" t="n"/>
      <c r="K87" s="28" t="n"/>
      <c r="L87" s="28" t="n"/>
      <c r="M87" s="28" t="n"/>
      <c r="N87" s="28" t="n"/>
      <c r="O87" s="28" t="n"/>
      <c r="P87" s="28" t="n"/>
      <c r="Q87" s="28" t="n"/>
    </row>
    <row r="88">
      <c r="A88" s="28" t="n"/>
      <c r="B88" s="28" t="n"/>
      <c r="C88" s="28" t="n"/>
      <c r="D88" s="28" t="n"/>
      <c r="E88" s="28" t="n"/>
      <c r="F88" s="28" t="n"/>
      <c r="G88" s="28" t="n"/>
      <c r="H88" s="28" t="n"/>
      <c r="I88" s="28" t="n"/>
      <c r="J88" s="28" t="n"/>
      <c r="K88" s="28" t="n"/>
      <c r="L88" s="28" t="n"/>
      <c r="M88" s="28" t="n"/>
      <c r="N88" s="28" t="n"/>
      <c r="O88" s="28" t="n"/>
      <c r="P88" s="28" t="n"/>
      <c r="Q88" s="28" t="n"/>
    </row>
    <row r="89">
      <c r="A89" s="28" t="n"/>
      <c r="B89" s="28" t="n"/>
      <c r="C89" s="28" t="n"/>
      <c r="D89" s="28" t="n"/>
      <c r="E89" s="28" t="n"/>
      <c r="F89" s="28" t="n"/>
      <c r="G89" s="28" t="n"/>
      <c r="H89" s="28" t="n"/>
      <c r="I89" s="28" t="n"/>
      <c r="J89" s="28" t="n"/>
      <c r="K89" s="28" t="n"/>
      <c r="L89" s="28" t="n"/>
      <c r="M89" s="28" t="n"/>
      <c r="N89" s="28" t="n"/>
      <c r="O89" s="28" t="n"/>
      <c r="P89" s="28" t="n"/>
      <c r="Q89" s="28" t="n"/>
    </row>
    <row r="90">
      <c r="A90" s="28" t="n"/>
      <c r="B90" s="28" t="n"/>
      <c r="C90" s="28" t="n"/>
      <c r="D90" s="28" t="n"/>
      <c r="E90" s="28" t="n"/>
      <c r="F90" s="28" t="n"/>
      <c r="G90" s="28" t="n"/>
      <c r="H90" s="28" t="n"/>
      <c r="I90" s="28" t="n"/>
      <c r="J90" s="28" t="n"/>
      <c r="K90" s="28" t="n"/>
      <c r="L90" s="28" t="n"/>
      <c r="M90" s="28" t="n"/>
      <c r="N90" s="28" t="n"/>
      <c r="O90" s="28" t="n"/>
      <c r="P90" s="28" t="n"/>
      <c r="Q90" s="28" t="n"/>
    </row>
    <row r="91">
      <c r="A91" s="28" t="n"/>
      <c r="B91" s="28" t="n"/>
      <c r="C91" s="28" t="n"/>
      <c r="D91" s="28" t="n"/>
      <c r="E91" s="28" t="n"/>
      <c r="F91" s="28" t="n"/>
      <c r="G91" s="28" t="n"/>
      <c r="H91" s="28" t="n"/>
      <c r="I91" s="28" t="n"/>
      <c r="J91" s="28" t="n"/>
      <c r="K91" s="28" t="n"/>
      <c r="L91" s="28" t="n"/>
      <c r="M91" s="28" t="n"/>
      <c r="N91" s="28" t="n"/>
      <c r="O91" s="28" t="n"/>
      <c r="P91" s="28" t="n"/>
      <c r="Q91" s="28" t="n"/>
    </row>
    <row r="92">
      <c r="A92" s="28" t="n"/>
      <c r="B92" s="28" t="n"/>
      <c r="C92" s="28" t="n"/>
      <c r="D92" s="28" t="n"/>
      <c r="E92" s="28" t="n"/>
      <c r="F92" s="28" t="n"/>
      <c r="G92" s="28" t="n"/>
      <c r="H92" s="28" t="n"/>
      <c r="I92" s="28" t="n"/>
      <c r="J92" s="28" t="n"/>
      <c r="K92" s="28" t="n"/>
      <c r="L92" s="28" t="n"/>
      <c r="M92" s="28" t="n"/>
      <c r="N92" s="28" t="n"/>
      <c r="O92" s="28" t="n"/>
      <c r="P92" s="28" t="n"/>
      <c r="Q92" s="28" t="n"/>
    </row>
    <row r="93">
      <c r="A93" s="28" t="n"/>
      <c r="B93" s="28" t="n"/>
      <c r="C93" s="28" t="n"/>
      <c r="D93" s="28" t="n"/>
      <c r="E93" s="28" t="n"/>
      <c r="F93" s="28" t="n"/>
      <c r="G93" s="28" t="n"/>
      <c r="H93" s="28" t="n"/>
      <c r="I93" s="28" t="n"/>
      <c r="J93" s="28" t="n"/>
      <c r="K93" s="28" t="n"/>
      <c r="L93" s="28" t="n"/>
      <c r="M93" s="28" t="n"/>
      <c r="N93" s="28" t="n"/>
      <c r="O93" s="28" t="n"/>
      <c r="P93" s="28" t="n"/>
      <c r="Q93" s="28" t="n"/>
    </row>
    <row r="94">
      <c r="A94" s="28" t="n"/>
      <c r="B94" s="28" t="n"/>
      <c r="C94" s="28" t="n"/>
      <c r="D94" s="28" t="n"/>
      <c r="E94" s="28" t="n"/>
      <c r="F94" s="28" t="n"/>
      <c r="G94" s="28" t="n"/>
      <c r="H94" s="28" t="n"/>
      <c r="I94" s="28" t="n"/>
      <c r="J94" s="28" t="n"/>
      <c r="K94" s="28" t="n"/>
      <c r="L94" s="28" t="n"/>
      <c r="M94" s="28" t="n"/>
      <c r="N94" s="28" t="n"/>
      <c r="O94" s="28" t="n"/>
      <c r="P94" s="28" t="n"/>
      <c r="Q94" s="28" t="n"/>
    </row>
    <row r="95">
      <c r="A95" s="28" t="n"/>
      <c r="B95" s="28" t="n"/>
      <c r="C95" s="28" t="n"/>
      <c r="D95" s="28" t="n"/>
      <c r="E95" s="28" t="n"/>
      <c r="F95" s="28" t="n"/>
      <c r="G95" s="28" t="n"/>
      <c r="H95" s="28" t="n"/>
      <c r="I95" s="28" t="n"/>
      <c r="J95" s="28" t="n"/>
      <c r="K95" s="28" t="n"/>
      <c r="L95" s="28" t="n"/>
      <c r="M95" s="28" t="n"/>
      <c r="N95" s="28" t="n"/>
      <c r="O95" s="28" t="n"/>
      <c r="P95" s="28" t="n"/>
      <c r="Q95" s="28" t="n"/>
    </row>
    <row r="96">
      <c r="A96" s="28" t="n"/>
      <c r="B96" s="28" t="n"/>
      <c r="C96" s="28" t="n"/>
      <c r="D96" s="28" t="n"/>
      <c r="E96" s="28" t="n"/>
      <c r="F96" s="28" t="n"/>
      <c r="G96" s="28" t="n"/>
      <c r="H96" s="28" t="n"/>
      <c r="I96" s="28" t="n"/>
      <c r="J96" s="28" t="n"/>
      <c r="K96" s="28" t="n"/>
      <c r="L96" s="28" t="n"/>
      <c r="M96" s="28" t="n"/>
      <c r="N96" s="28" t="n"/>
      <c r="O96" s="28" t="n"/>
      <c r="P96" s="28" t="n"/>
      <c r="Q96" s="28" t="n"/>
    </row>
    <row r="97">
      <c r="A97" s="28" t="n"/>
      <c r="B97" s="28" t="n"/>
      <c r="C97" s="28" t="n"/>
      <c r="D97" s="28" t="n"/>
      <c r="E97" s="28" t="n"/>
      <c r="F97" s="28" t="n"/>
      <c r="G97" s="28" t="n"/>
      <c r="H97" s="28" t="n"/>
      <c r="I97" s="28" t="n"/>
      <c r="J97" s="28" t="n"/>
      <c r="K97" s="28" t="n"/>
      <c r="L97" s="28" t="n"/>
      <c r="M97" s="28" t="n"/>
      <c r="N97" s="28" t="n"/>
      <c r="O97" s="28" t="n"/>
      <c r="P97" s="28" t="n"/>
      <c r="Q97" s="28" t="n"/>
    </row>
    <row r="98">
      <c r="A98" s="28" t="n"/>
      <c r="B98" s="28" t="n"/>
      <c r="C98" s="28" t="n"/>
      <c r="D98" s="28" t="n"/>
      <c r="E98" s="28" t="n"/>
      <c r="F98" s="28" t="n"/>
      <c r="G98" s="28" t="n"/>
      <c r="H98" s="28" t="n"/>
      <c r="I98" s="28" t="n"/>
      <c r="J98" s="28" t="n"/>
      <c r="K98" s="28" t="n"/>
      <c r="L98" s="28" t="n"/>
      <c r="M98" s="28" t="n"/>
      <c r="N98" s="28" t="n"/>
      <c r="O98" s="28" t="n"/>
      <c r="P98" s="28" t="n"/>
      <c r="Q98" s="28" t="n"/>
    </row>
    <row r="99">
      <c r="A99" s="28" t="n"/>
      <c r="B99" s="28" t="n"/>
      <c r="C99" s="28" t="n"/>
      <c r="D99" s="28" t="n"/>
      <c r="E99" s="28" t="n"/>
      <c r="F99" s="28" t="n"/>
      <c r="G99" s="28" t="n"/>
      <c r="H99" s="28" t="n"/>
      <c r="I99" s="28" t="n"/>
      <c r="J99" s="28" t="n"/>
      <c r="K99" s="28" t="n"/>
      <c r="L99" s="28" t="n"/>
      <c r="M99" s="28" t="n"/>
      <c r="N99" s="28" t="n"/>
      <c r="O99" s="28" t="n"/>
      <c r="P99" s="28" t="n"/>
      <c r="Q99" s="28" t="n"/>
    </row>
    <row r="100">
      <c r="A100" s="28" t="n"/>
      <c r="B100" s="28" t="n"/>
      <c r="C100" s="28" t="n"/>
      <c r="D100" s="28" t="n"/>
      <c r="E100" s="28" t="n"/>
      <c r="F100" s="28" t="n"/>
      <c r="G100" s="28" t="n"/>
      <c r="H100" s="28" t="n"/>
      <c r="I100" s="28" t="n"/>
      <c r="J100" s="28" t="n"/>
      <c r="K100" s="28" t="n"/>
      <c r="L100" s="28" t="n"/>
      <c r="M100" s="28" t="n"/>
      <c r="N100" s="28" t="n"/>
      <c r="O100" s="28" t="n"/>
      <c r="P100" s="28" t="n"/>
      <c r="Q100" s="28" t="n"/>
    </row>
    <row r="101">
      <c r="A101" s="28" t="n"/>
      <c r="B101" s="28" t="n"/>
      <c r="C101" s="28" t="n"/>
      <c r="D101" s="28" t="n"/>
      <c r="E101" s="28" t="n"/>
      <c r="F101" s="28" t="n"/>
      <c r="G101" s="28" t="n"/>
      <c r="H101" s="28" t="n"/>
      <c r="I101" s="28" t="n"/>
      <c r="J101" s="28" t="n"/>
      <c r="K101" s="28" t="n"/>
      <c r="L101" s="28" t="n"/>
      <c r="M101" s="28" t="n"/>
      <c r="N101" s="28" t="n"/>
      <c r="O101" s="28" t="n"/>
      <c r="P101" s="28" t="n"/>
      <c r="Q101" s="28" t="n"/>
    </row>
    <row r="102">
      <c r="A102" s="28" t="n"/>
      <c r="B102" s="28" t="n"/>
      <c r="C102" s="28" t="n"/>
      <c r="D102" s="28" t="n"/>
      <c r="E102" s="28" t="n"/>
      <c r="F102" s="28" t="n"/>
      <c r="G102" s="28" t="n"/>
      <c r="H102" s="28" t="n"/>
      <c r="I102" s="28" t="n"/>
      <c r="J102" s="28" t="n"/>
      <c r="K102" s="28" t="n"/>
      <c r="L102" s="28" t="n"/>
      <c r="M102" s="28" t="n"/>
      <c r="N102" s="28" t="n"/>
      <c r="O102" s="28" t="n"/>
      <c r="P102" s="28" t="n"/>
      <c r="Q102" s="28" t="n"/>
    </row>
    <row r="103">
      <c r="A103" s="28" t="n"/>
      <c r="B103" s="28" t="n"/>
      <c r="C103" s="28" t="n"/>
      <c r="D103" s="28" t="n"/>
      <c r="E103" s="28" t="n"/>
      <c r="F103" s="28" t="n"/>
      <c r="G103" s="28" t="n"/>
      <c r="H103" s="28" t="n"/>
      <c r="I103" s="28" t="n"/>
      <c r="J103" s="28" t="n"/>
      <c r="K103" s="28" t="n"/>
      <c r="L103" s="28" t="n"/>
      <c r="M103" s="28" t="n"/>
      <c r="N103" s="28" t="n"/>
      <c r="O103" s="28" t="n"/>
      <c r="P103" s="28" t="n"/>
      <c r="Q103" s="28" t="n"/>
    </row>
    <row r="104">
      <c r="A104" s="28" t="n"/>
      <c r="B104" s="28" t="n"/>
      <c r="C104" s="28" t="n"/>
      <c r="D104" s="28" t="n"/>
      <c r="E104" s="28" t="n"/>
      <c r="F104" s="28" t="n"/>
      <c r="G104" s="28" t="n"/>
      <c r="H104" s="28" t="n"/>
      <c r="I104" s="28" t="n"/>
      <c r="J104" s="28" t="n"/>
      <c r="K104" s="28" t="n"/>
      <c r="L104" s="28" t="n"/>
      <c r="M104" s="28" t="n"/>
      <c r="N104" s="28" t="n"/>
      <c r="O104" s="28" t="n"/>
      <c r="P104" s="28" t="n"/>
      <c r="Q104" s="28" t="n"/>
    </row>
    <row r="105">
      <c r="A105" s="28" t="n"/>
      <c r="B105" s="28" t="n"/>
      <c r="C105" s="28" t="n"/>
      <c r="D105" s="28" t="n"/>
      <c r="E105" s="28" t="n"/>
      <c r="F105" s="28" t="n"/>
      <c r="G105" s="28" t="n"/>
      <c r="H105" s="28" t="n"/>
      <c r="I105" s="28" t="n"/>
      <c r="J105" s="28" t="n"/>
      <c r="K105" s="28" t="n"/>
      <c r="L105" s="28" t="n"/>
      <c r="M105" s="28" t="n"/>
      <c r="N105" s="28" t="n"/>
      <c r="O105" s="28" t="n"/>
      <c r="P105" s="28" t="n"/>
      <c r="Q105" s="28" t="n"/>
    </row>
    <row r="106">
      <c r="A106" s="28" t="n"/>
      <c r="B106" s="28" t="n"/>
      <c r="C106" s="28" t="n"/>
      <c r="D106" s="28" t="n"/>
      <c r="E106" s="28" t="n"/>
      <c r="F106" s="28" t="n"/>
      <c r="G106" s="28" t="n"/>
      <c r="H106" s="28" t="n"/>
      <c r="I106" s="28" t="n"/>
      <c r="J106" s="28" t="n"/>
      <c r="K106" s="28" t="n"/>
      <c r="L106" s="28" t="n"/>
      <c r="M106" s="28" t="n"/>
      <c r="N106" s="28" t="n"/>
      <c r="O106" s="28" t="n"/>
      <c r="P106" s="28" t="n"/>
      <c r="Q106" s="28" t="n"/>
    </row>
    <row r="107">
      <c r="A107" s="28" t="n"/>
      <c r="B107" s="28" t="n"/>
      <c r="C107" s="28" t="n"/>
      <c r="D107" s="28" t="n"/>
      <c r="E107" s="28" t="n"/>
      <c r="F107" s="28" t="n"/>
      <c r="G107" s="28" t="n"/>
      <c r="H107" s="28" t="n"/>
      <c r="I107" s="28" t="n"/>
      <c r="J107" s="28" t="n"/>
      <c r="K107" s="28" t="n"/>
      <c r="L107" s="28" t="n"/>
      <c r="M107" s="28" t="n"/>
      <c r="N107" s="28" t="n"/>
      <c r="O107" s="28" t="n"/>
      <c r="P107" s="28" t="n"/>
      <c r="Q107" s="28" t="n"/>
    </row>
    <row r="108">
      <c r="A108" s="28" t="n"/>
      <c r="B108" s="28" t="n"/>
      <c r="C108" s="28" t="n"/>
      <c r="D108" s="28" t="n"/>
      <c r="E108" s="28" t="n"/>
      <c r="F108" s="28" t="n"/>
      <c r="G108" s="28" t="n"/>
      <c r="H108" s="28" t="n"/>
      <c r="I108" s="28" t="n"/>
      <c r="J108" s="28" t="n"/>
      <c r="K108" s="28" t="n"/>
      <c r="L108" s="28" t="n"/>
      <c r="M108" s="28" t="n"/>
      <c r="N108" s="28" t="n"/>
      <c r="O108" s="28" t="n"/>
      <c r="P108" s="28" t="n"/>
      <c r="Q108" s="28" t="n"/>
    </row>
    <row r="109">
      <c r="A109" s="28" t="n"/>
      <c r="B109" s="28" t="n"/>
      <c r="C109" s="28" t="n"/>
      <c r="D109" s="28" t="n"/>
      <c r="E109" s="28" t="n"/>
      <c r="F109" s="28" t="n"/>
      <c r="G109" s="28" t="n"/>
      <c r="H109" s="28" t="n"/>
      <c r="I109" s="28" t="n"/>
      <c r="J109" s="28" t="n"/>
      <c r="K109" s="28" t="n"/>
      <c r="L109" s="28" t="n"/>
      <c r="M109" s="28" t="n"/>
      <c r="N109" s="28" t="n"/>
      <c r="O109" s="28" t="n"/>
      <c r="P109" s="28" t="n"/>
      <c r="Q109" s="28" t="n"/>
    </row>
    <row r="110">
      <c r="A110" s="28" t="n"/>
      <c r="B110" s="28" t="n"/>
      <c r="C110" s="28" t="n"/>
      <c r="D110" s="28" t="n"/>
      <c r="E110" s="28" t="n"/>
      <c r="F110" s="28" t="n"/>
      <c r="G110" s="28" t="n"/>
      <c r="H110" s="28" t="n"/>
      <c r="I110" s="28" t="n"/>
      <c r="J110" s="28" t="n"/>
      <c r="K110" s="28" t="n"/>
      <c r="L110" s="28" t="n"/>
      <c r="M110" s="28" t="n"/>
      <c r="N110" s="28" t="n"/>
      <c r="O110" s="28" t="n"/>
      <c r="P110" s="28" t="n"/>
      <c r="Q110" s="28" t="n"/>
    </row>
    <row r="111">
      <c r="A111" s="28" t="n"/>
      <c r="B111" s="28" t="n"/>
      <c r="C111" s="28" t="n"/>
      <c r="D111" s="28" t="n"/>
      <c r="E111" s="28" t="n"/>
      <c r="F111" s="28" t="n"/>
      <c r="G111" s="28" t="n"/>
      <c r="H111" s="28" t="n"/>
      <c r="I111" s="28" t="n"/>
      <c r="J111" s="28" t="n"/>
      <c r="K111" s="28" t="n"/>
      <c r="L111" s="28" t="n"/>
      <c r="M111" s="28" t="n"/>
      <c r="N111" s="28" t="n"/>
      <c r="O111" s="28" t="n"/>
      <c r="P111" s="28" t="n"/>
      <c r="Q111" s="28" t="n"/>
    </row>
    <row r="112">
      <c r="A112" s="28" t="n"/>
      <c r="B112" s="28" t="n"/>
      <c r="C112" s="28" t="n"/>
      <c r="D112" s="28" t="n"/>
      <c r="E112" s="28" t="n"/>
      <c r="F112" s="28" t="n"/>
      <c r="G112" s="28" t="n"/>
      <c r="H112" s="28" t="n"/>
      <c r="I112" s="28" t="n"/>
      <c r="J112" s="28" t="n"/>
      <c r="K112" s="28" t="n"/>
      <c r="L112" s="28" t="n"/>
      <c r="M112" s="28" t="n"/>
      <c r="N112" s="28" t="n"/>
      <c r="O112" s="28" t="n"/>
      <c r="P112" s="28" t="n"/>
      <c r="Q112" s="28" t="n"/>
    </row>
    <row r="113">
      <c r="A113" s="28" t="n"/>
      <c r="B113" s="28" t="n"/>
      <c r="C113" s="28" t="n"/>
      <c r="D113" s="28" t="n"/>
      <c r="E113" s="28" t="n"/>
      <c r="F113" s="28" t="n"/>
      <c r="G113" s="28" t="n"/>
      <c r="H113" s="28" t="n"/>
      <c r="I113" s="28" t="n"/>
      <c r="J113" s="28" t="n"/>
      <c r="K113" s="28" t="n"/>
      <c r="L113" s="28" t="n"/>
      <c r="M113" s="28" t="n"/>
      <c r="N113" s="28" t="n"/>
      <c r="O113" s="28" t="n"/>
      <c r="P113" s="28" t="n"/>
      <c r="Q113" s="28" t="n"/>
    </row>
    <row r="114">
      <c r="A114" s="28" t="n"/>
      <c r="B114" s="28" t="n"/>
      <c r="C114" s="28" t="n"/>
      <c r="D114" s="28" t="n"/>
      <c r="E114" s="28" t="n"/>
      <c r="F114" s="28" t="n"/>
      <c r="G114" s="28" t="n"/>
      <c r="H114" s="28" t="n"/>
      <c r="I114" s="28" t="n"/>
      <c r="J114" s="28" t="n"/>
      <c r="K114" s="28" t="n"/>
      <c r="L114" s="28" t="n"/>
      <c r="M114" s="28" t="n"/>
      <c r="N114" s="28" t="n"/>
      <c r="O114" s="28" t="n"/>
      <c r="P114" s="28" t="n"/>
      <c r="Q114" s="28" t="n"/>
    </row>
    <row r="115">
      <c r="A115" s="28" t="n"/>
      <c r="B115" s="28" t="n"/>
      <c r="C115" s="28" t="n"/>
      <c r="D115" s="28" t="n"/>
      <c r="E115" s="28" t="n"/>
      <c r="F115" s="28" t="n"/>
      <c r="G115" s="28" t="n"/>
      <c r="H115" s="28" t="n"/>
      <c r="I115" s="28" t="n"/>
      <c r="J115" s="28" t="n"/>
      <c r="K115" s="28" t="n"/>
      <c r="L115" s="28" t="n"/>
      <c r="M115" s="28" t="n"/>
      <c r="N115" s="28" t="n"/>
      <c r="O115" s="28" t="n"/>
      <c r="P115" s="28" t="n"/>
      <c r="Q115" s="28" t="n"/>
    </row>
    <row r="116">
      <c r="A116" s="28" t="n"/>
      <c r="B116" s="28" t="n"/>
      <c r="C116" s="28" t="n"/>
      <c r="D116" s="28" t="n"/>
      <c r="E116" s="28" t="n"/>
      <c r="F116" s="28" t="n"/>
      <c r="G116" s="28" t="n"/>
      <c r="H116" s="28" t="n"/>
      <c r="I116" s="28" t="n"/>
      <c r="J116" s="28" t="n"/>
      <c r="K116" s="28" t="n"/>
      <c r="L116" s="28" t="n"/>
      <c r="M116" s="28" t="n"/>
      <c r="N116" s="28" t="n"/>
      <c r="O116" s="28" t="n"/>
      <c r="P116" s="28" t="n"/>
      <c r="Q116" s="28" t="n"/>
    </row>
    <row r="117">
      <c r="A117" s="28" t="n"/>
      <c r="B117" s="28" t="n"/>
      <c r="C117" s="28" t="n"/>
      <c r="D117" s="28" t="n"/>
      <c r="E117" s="28" t="n"/>
      <c r="F117" s="28" t="n"/>
      <c r="G117" s="28" t="n"/>
      <c r="H117" s="28" t="n"/>
      <c r="I117" s="28" t="n"/>
      <c r="J117" s="28" t="n"/>
      <c r="K117" s="28" t="n"/>
      <c r="L117" s="28" t="n"/>
      <c r="M117" s="28" t="n"/>
      <c r="N117" s="28" t="n"/>
      <c r="O117" s="28" t="n"/>
      <c r="P117" s="28" t="n"/>
      <c r="Q117" s="28" t="n"/>
    </row>
    <row r="118">
      <c r="A118" s="28" t="n"/>
      <c r="B118" s="28" t="n"/>
      <c r="C118" s="28" t="n"/>
      <c r="D118" s="28" t="n"/>
      <c r="E118" s="28" t="n"/>
      <c r="F118" s="28" t="n"/>
      <c r="G118" s="28" t="n"/>
      <c r="H118" s="28" t="n"/>
      <c r="I118" s="28" t="n"/>
      <c r="J118" s="28" t="n"/>
      <c r="K118" s="28" t="n"/>
      <c r="L118" s="28" t="n"/>
      <c r="M118" s="28" t="n"/>
      <c r="N118" s="28" t="n"/>
      <c r="O118" s="28" t="n"/>
      <c r="P118" s="28" t="n"/>
      <c r="Q118" s="28" t="n"/>
    </row>
    <row r="119">
      <c r="A119" s="28" t="n"/>
      <c r="B119" s="28" t="n"/>
      <c r="C119" s="28" t="n"/>
      <c r="D119" s="28" t="n"/>
      <c r="E119" s="28" t="n"/>
      <c r="F119" s="28" t="n"/>
      <c r="G119" s="28" t="n"/>
      <c r="H119" s="28" t="n"/>
      <c r="I119" s="28" t="n"/>
      <c r="J119" s="28" t="n"/>
      <c r="K119" s="28" t="n"/>
      <c r="L119" s="28" t="n"/>
      <c r="M119" s="28" t="n"/>
      <c r="N119" s="28" t="n"/>
      <c r="O119" s="28" t="n"/>
      <c r="P119" s="28" t="n"/>
      <c r="Q119" s="28" t="n"/>
    </row>
    <row r="120">
      <c r="A120" s="28" t="n"/>
      <c r="B120" s="28" t="n"/>
      <c r="C120" s="28" t="n"/>
      <c r="D120" s="28" t="n"/>
      <c r="E120" s="28" t="n"/>
      <c r="F120" s="28" t="n"/>
      <c r="G120" s="28" t="n"/>
      <c r="H120" s="28" t="n"/>
      <c r="I120" s="28" t="n"/>
      <c r="J120" s="28" t="n"/>
      <c r="K120" s="28" t="n"/>
      <c r="L120" s="28" t="n"/>
      <c r="M120" s="28" t="n"/>
      <c r="N120" s="28" t="n"/>
      <c r="O120" s="28" t="n"/>
      <c r="P120" s="28" t="n"/>
      <c r="Q120" s="28" t="n"/>
    </row>
    <row r="121">
      <c r="A121" s="28" t="n"/>
      <c r="B121" s="28" t="n"/>
      <c r="C121" s="28" t="n"/>
      <c r="D121" s="28" t="n"/>
      <c r="E121" s="28" t="n"/>
      <c r="F121" s="28" t="n"/>
      <c r="G121" s="28" t="n"/>
      <c r="H121" s="28" t="n"/>
      <c r="I121" s="28" t="n"/>
      <c r="J121" s="28" t="n"/>
      <c r="K121" s="28" t="n"/>
      <c r="L121" s="28" t="n"/>
      <c r="M121" s="28" t="n"/>
      <c r="N121" s="28" t="n"/>
      <c r="O121" s="28" t="n"/>
      <c r="P121" s="28" t="n"/>
      <c r="Q121" s="28" t="n"/>
    </row>
    <row r="122">
      <c r="A122" s="28" t="n"/>
      <c r="B122" s="28" t="n"/>
      <c r="C122" s="28" t="n"/>
      <c r="D122" s="28" t="n"/>
      <c r="E122" s="28" t="n"/>
      <c r="F122" s="28" t="n"/>
      <c r="G122" s="28" t="n"/>
      <c r="H122" s="28" t="n"/>
      <c r="I122" s="28" t="n"/>
      <c r="J122" s="28" t="n"/>
      <c r="K122" s="28" t="n"/>
      <c r="L122" s="28" t="n"/>
      <c r="M122" s="28" t="n"/>
      <c r="N122" s="28" t="n"/>
      <c r="O122" s="28" t="n"/>
      <c r="P122" s="28" t="n"/>
      <c r="Q122" s="28" t="n"/>
    </row>
    <row r="123">
      <c r="A123" s="28" t="n"/>
      <c r="B123" s="28" t="n"/>
      <c r="C123" s="28" t="n"/>
      <c r="D123" s="28" t="n"/>
      <c r="E123" s="28" t="n"/>
      <c r="F123" s="28" t="n"/>
      <c r="G123" s="28" t="n"/>
      <c r="H123" s="28" t="n"/>
      <c r="I123" s="28" t="n"/>
      <c r="J123" s="28" t="n"/>
      <c r="K123" s="28" t="n"/>
      <c r="L123" s="28" t="n"/>
      <c r="M123" s="28" t="n"/>
      <c r="N123" s="28" t="n"/>
      <c r="O123" s="28" t="n"/>
      <c r="P123" s="28" t="n"/>
      <c r="Q123" s="28" t="n"/>
    </row>
    <row r="124">
      <c r="A124" s="28" t="n"/>
      <c r="B124" s="28" t="n"/>
      <c r="C124" s="28" t="n"/>
      <c r="D124" s="28" t="n"/>
      <c r="E124" s="28" t="n"/>
      <c r="F124" s="28" t="n"/>
      <c r="G124" s="28" t="n"/>
      <c r="H124" s="28" t="n"/>
      <c r="I124" s="28" t="n"/>
      <c r="J124" s="28" t="n"/>
      <c r="K124" s="28" t="n"/>
      <c r="L124" s="28" t="n"/>
      <c r="M124" s="28" t="n"/>
      <c r="N124" s="28" t="n"/>
      <c r="O124" s="28" t="n"/>
      <c r="P124" s="28" t="n"/>
      <c r="Q124" s="28" t="n"/>
    </row>
    <row r="125">
      <c r="A125" s="28" t="n"/>
      <c r="B125" s="28" t="n"/>
      <c r="C125" s="28" t="n"/>
      <c r="D125" s="28" t="n"/>
      <c r="E125" s="28" t="n"/>
      <c r="F125" s="28" t="n"/>
      <c r="G125" s="28" t="n"/>
      <c r="H125" s="28" t="n"/>
      <c r="I125" s="28" t="n"/>
      <c r="J125" s="28" t="n"/>
      <c r="K125" s="28" t="n"/>
      <c r="L125" s="28" t="n"/>
      <c r="M125" s="28" t="n"/>
      <c r="N125" s="28" t="n"/>
      <c r="O125" s="28" t="n"/>
      <c r="P125" s="28" t="n"/>
      <c r="Q125" s="28" t="n"/>
    </row>
    <row r="126">
      <c r="A126" s="28" t="n"/>
      <c r="B126" s="28" t="n"/>
      <c r="C126" s="28" t="n"/>
      <c r="D126" s="28" t="n"/>
      <c r="E126" s="28" t="n"/>
      <c r="F126" s="28" t="n"/>
      <c r="G126" s="28" t="n"/>
      <c r="H126" s="28" t="n"/>
      <c r="I126" s="28" t="n"/>
      <c r="J126" s="28" t="n"/>
      <c r="K126" s="28" t="n"/>
      <c r="L126" s="28" t="n"/>
      <c r="M126" s="28" t="n"/>
      <c r="N126" s="28" t="n"/>
      <c r="O126" s="28" t="n"/>
      <c r="P126" s="28" t="n"/>
      <c r="Q126" s="28" t="n"/>
    </row>
    <row r="127">
      <c r="A127" s="28" t="n"/>
      <c r="B127" s="28" t="n"/>
      <c r="C127" s="28" t="n"/>
      <c r="D127" s="28" t="n"/>
      <c r="E127" s="28" t="n"/>
      <c r="F127" s="28" t="n"/>
      <c r="G127" s="28" t="n"/>
      <c r="H127" s="28" t="n"/>
      <c r="I127" s="28" t="n"/>
      <c r="J127" s="28" t="n"/>
      <c r="K127" s="28" t="n"/>
      <c r="L127" s="28" t="n"/>
      <c r="M127" s="28" t="n"/>
      <c r="N127" s="28" t="n"/>
      <c r="O127" s="28" t="n"/>
      <c r="P127" s="28" t="n"/>
      <c r="Q127" s="28" t="n"/>
    </row>
    <row r="128">
      <c r="A128" s="28" t="n"/>
      <c r="B128" s="28" t="n"/>
      <c r="C128" s="28" t="n"/>
      <c r="D128" s="28" t="n"/>
      <c r="E128" s="28" t="n"/>
      <c r="F128" s="28" t="n"/>
      <c r="G128" s="28" t="n"/>
      <c r="H128" s="28" t="n"/>
      <c r="I128" s="28" t="n"/>
      <c r="J128" s="28" t="n"/>
      <c r="K128" s="28" t="n"/>
      <c r="L128" s="28" t="n"/>
      <c r="M128" s="28" t="n"/>
      <c r="N128" s="28" t="n"/>
      <c r="O128" s="28" t="n"/>
      <c r="P128" s="28" t="n"/>
      <c r="Q128" s="28" t="n"/>
    </row>
    <row r="129">
      <c r="A129" s="28" t="n"/>
      <c r="B129" s="28" t="n"/>
      <c r="C129" s="28" t="n"/>
      <c r="D129" s="28" t="n"/>
      <c r="E129" s="28" t="n"/>
      <c r="F129" s="28" t="n"/>
      <c r="G129" s="28" t="n"/>
      <c r="H129" s="28" t="n"/>
      <c r="I129" s="28" t="n"/>
      <c r="J129" s="28" t="n"/>
      <c r="K129" s="28" t="n"/>
      <c r="L129" s="28" t="n"/>
      <c r="M129" s="28" t="n"/>
      <c r="N129" s="28" t="n"/>
      <c r="O129" s="28" t="n"/>
      <c r="P129" s="28" t="n"/>
      <c r="Q129" s="28" t="n"/>
    </row>
    <row r="130">
      <c r="A130" s="28" t="n"/>
      <c r="B130" s="28" t="n"/>
      <c r="C130" s="28" t="n"/>
      <c r="D130" s="28" t="n"/>
      <c r="E130" s="28" t="n"/>
      <c r="F130" s="28" t="n"/>
      <c r="G130" s="28" t="n"/>
      <c r="H130" s="28" t="n"/>
      <c r="I130" s="28" t="n"/>
      <c r="J130" s="28" t="n"/>
      <c r="K130" s="28" t="n"/>
      <c r="L130" s="28" t="n"/>
      <c r="M130" s="28" t="n"/>
      <c r="N130" s="28" t="n"/>
      <c r="O130" s="28" t="n"/>
      <c r="P130" s="28" t="n"/>
      <c r="Q130" s="28" t="n"/>
    </row>
    <row r="131">
      <c r="A131" s="28" t="n"/>
      <c r="B131" s="28" t="n"/>
      <c r="C131" s="28" t="n"/>
      <c r="D131" s="28" t="n"/>
      <c r="E131" s="28" t="n"/>
      <c r="F131" s="28" t="n"/>
      <c r="G131" s="28" t="n"/>
      <c r="H131" s="28" t="n"/>
      <c r="I131" s="28" t="n"/>
      <c r="J131" s="28" t="n"/>
      <c r="K131" s="28" t="n"/>
      <c r="L131" s="28" t="n"/>
      <c r="M131" s="28" t="n"/>
      <c r="N131" s="28" t="n"/>
      <c r="O131" s="28" t="n"/>
      <c r="P131" s="28" t="n"/>
      <c r="Q131" s="28" t="n"/>
    </row>
    <row r="132">
      <c r="A132" s="28" t="n"/>
      <c r="B132" s="28" t="n"/>
      <c r="C132" s="28" t="n"/>
      <c r="D132" s="28" t="n"/>
      <c r="E132" s="28" t="n"/>
      <c r="F132" s="28" t="n"/>
      <c r="G132" s="28" t="n"/>
      <c r="H132" s="28" t="n"/>
      <c r="I132" s="28" t="n"/>
      <c r="J132" s="28" t="n"/>
      <c r="K132" s="28" t="n"/>
      <c r="L132" s="28" t="n"/>
      <c r="M132" s="28" t="n"/>
      <c r="N132" s="28" t="n"/>
      <c r="O132" s="28" t="n"/>
      <c r="P132" s="28" t="n"/>
      <c r="Q132" s="28" t="n"/>
    </row>
    <row r="133">
      <c r="A133" s="28" t="n"/>
      <c r="B133" s="28" t="n"/>
      <c r="C133" s="28" t="n"/>
      <c r="D133" s="28" t="n"/>
      <c r="E133" s="28" t="n"/>
      <c r="F133" s="28" t="n"/>
      <c r="G133" s="28" t="n"/>
      <c r="H133" s="28" t="n"/>
      <c r="I133" s="28" t="n"/>
      <c r="J133" s="28" t="n"/>
      <c r="K133" s="28" t="n"/>
      <c r="L133" s="28" t="n"/>
      <c r="M133" s="28" t="n"/>
      <c r="N133" s="28" t="n"/>
      <c r="O133" s="28" t="n"/>
      <c r="P133" s="28" t="n"/>
      <c r="Q133" s="28" t="n"/>
    </row>
    <row r="134">
      <c r="A134" s="28" t="n"/>
      <c r="B134" s="28" t="n"/>
      <c r="C134" s="28" t="n"/>
      <c r="D134" s="28" t="n"/>
      <c r="E134" s="28" t="n"/>
      <c r="F134" s="28" t="n"/>
      <c r="G134" s="28" t="n"/>
      <c r="H134" s="28" t="n"/>
      <c r="I134" s="28" t="n"/>
      <c r="J134" s="28" t="n"/>
      <c r="K134" s="28" t="n"/>
      <c r="L134" s="28" t="n"/>
      <c r="M134" s="28" t="n"/>
      <c r="N134" s="28" t="n"/>
      <c r="O134" s="28" t="n"/>
      <c r="P134" s="28" t="n"/>
      <c r="Q134" s="28" t="n"/>
    </row>
    <row r="135">
      <c r="A135" s="28" t="n"/>
      <c r="B135" s="28" t="n"/>
      <c r="C135" s="28" t="n"/>
      <c r="D135" s="28" t="n"/>
      <c r="E135" s="28" t="n"/>
      <c r="F135" s="28" t="n"/>
      <c r="G135" s="28" t="n"/>
      <c r="H135" s="28" t="n"/>
      <c r="I135" s="28" t="n"/>
      <c r="J135" s="28" t="n"/>
      <c r="K135" s="28" t="n"/>
      <c r="L135" s="28" t="n"/>
      <c r="M135" s="28" t="n"/>
      <c r="N135" s="28" t="n"/>
      <c r="O135" s="28" t="n"/>
      <c r="P135" s="28" t="n"/>
      <c r="Q135" s="28" t="n"/>
    </row>
    <row r="136">
      <c r="A136" s="28" t="n"/>
      <c r="B136" s="28" t="n"/>
      <c r="C136" s="28" t="n"/>
      <c r="D136" s="28" t="n"/>
      <c r="E136" s="28" t="n"/>
      <c r="F136" s="28" t="n"/>
      <c r="G136" s="28" t="n"/>
      <c r="H136" s="28" t="n"/>
      <c r="I136" s="28" t="n"/>
      <c r="J136" s="28" t="n"/>
      <c r="K136" s="28" t="n"/>
      <c r="L136" s="28" t="n"/>
      <c r="M136" s="28" t="n"/>
      <c r="N136" s="28" t="n"/>
      <c r="O136" s="28" t="n"/>
      <c r="P136" s="28" t="n"/>
      <c r="Q136" s="28" t="n"/>
    </row>
    <row r="137">
      <c r="A137" s="28" t="n"/>
      <c r="B137" s="28" t="n"/>
      <c r="C137" s="28" t="n"/>
      <c r="D137" s="28" t="n"/>
      <c r="E137" s="28" t="n"/>
      <c r="F137" s="28" t="n"/>
      <c r="G137" s="28" t="n"/>
      <c r="H137" s="28" t="n"/>
      <c r="I137" s="28" t="n"/>
      <c r="J137" s="28" t="n"/>
      <c r="K137" s="28" t="n"/>
      <c r="L137" s="28" t="n"/>
      <c r="M137" s="28" t="n"/>
      <c r="N137" s="28" t="n"/>
      <c r="O137" s="28" t="n"/>
      <c r="P137" s="28" t="n"/>
      <c r="Q137" s="28" t="n"/>
    </row>
    <row r="138">
      <c r="A138" s="28" t="n"/>
      <c r="B138" s="28" t="n"/>
      <c r="C138" s="28" t="n"/>
      <c r="D138" s="28" t="n"/>
      <c r="E138" s="28" t="n"/>
      <c r="F138" s="28" t="n"/>
      <c r="G138" s="28" t="n"/>
      <c r="H138" s="28" t="n"/>
      <c r="I138" s="28" t="n"/>
      <c r="J138" s="28" t="n"/>
      <c r="K138" s="28" t="n"/>
      <c r="L138" s="28" t="n"/>
      <c r="M138" s="28" t="n"/>
      <c r="N138" s="28" t="n"/>
      <c r="O138" s="28" t="n"/>
      <c r="P138" s="28" t="n"/>
      <c r="Q138" s="28" t="n"/>
    </row>
    <row r="139">
      <c r="A139" s="28" t="n"/>
      <c r="B139" s="28" t="n"/>
      <c r="C139" s="28" t="n"/>
      <c r="D139" s="28" t="n"/>
      <c r="E139" s="28" t="n"/>
      <c r="F139" s="28" t="n"/>
      <c r="G139" s="28" t="n"/>
      <c r="H139" s="28" t="n"/>
      <c r="I139" s="28" t="n"/>
      <c r="J139" s="28" t="n"/>
      <c r="K139" s="28" t="n"/>
      <c r="L139" s="28" t="n"/>
      <c r="M139" s="28" t="n"/>
      <c r="N139" s="28" t="n"/>
      <c r="O139" s="28" t="n"/>
      <c r="P139" s="28" t="n"/>
      <c r="Q139" s="28" t="n"/>
    </row>
    <row r="140">
      <c r="A140" s="28" t="n"/>
      <c r="B140" s="28" t="n"/>
      <c r="C140" s="28" t="n"/>
      <c r="D140" s="28" t="n"/>
      <c r="E140" s="28" t="n"/>
      <c r="F140" s="28" t="n"/>
      <c r="G140" s="28" t="n"/>
      <c r="H140" s="28" t="n"/>
      <c r="I140" s="28" t="n"/>
      <c r="J140" s="28" t="n"/>
      <c r="K140" s="28" t="n"/>
      <c r="L140" s="28" t="n"/>
      <c r="M140" s="28" t="n"/>
      <c r="N140" s="28" t="n"/>
      <c r="O140" s="28" t="n"/>
      <c r="P140" s="28" t="n"/>
      <c r="Q140" s="28" t="n"/>
    </row>
    <row r="141">
      <c r="A141" s="28" t="n"/>
      <c r="B141" s="28" t="n"/>
      <c r="C141" s="28" t="n"/>
      <c r="D141" s="28" t="n"/>
      <c r="E141" s="28" t="n"/>
      <c r="F141" s="28" t="n"/>
      <c r="G141" s="28" t="n"/>
      <c r="H141" s="28" t="n"/>
      <c r="I141" s="28" t="n"/>
      <c r="J141" s="28" t="n"/>
      <c r="K141" s="28" t="n"/>
      <c r="L141" s="28" t="n"/>
      <c r="M141" s="28" t="n"/>
      <c r="N141" s="28" t="n"/>
      <c r="O141" s="28" t="n"/>
      <c r="P141" s="28" t="n"/>
      <c r="Q141" s="28" t="n"/>
    </row>
    <row r="142">
      <c r="A142" s="28" t="n"/>
      <c r="B142" s="28" t="n"/>
      <c r="C142" s="28" t="n"/>
      <c r="D142" s="28" t="n"/>
      <c r="E142" s="28" t="n"/>
      <c r="F142" s="28" t="n"/>
      <c r="G142" s="28" t="n"/>
      <c r="H142" s="28" t="n"/>
      <c r="I142" s="28" t="n"/>
      <c r="J142" s="28" t="n"/>
      <c r="K142" s="28" t="n"/>
      <c r="L142" s="28" t="n"/>
      <c r="M142" s="28" t="n"/>
      <c r="N142" s="28" t="n"/>
      <c r="O142" s="28" t="n"/>
      <c r="P142" s="28" t="n"/>
      <c r="Q142" s="28" t="n"/>
    </row>
    <row r="143">
      <c r="A143" s="28" t="n"/>
      <c r="B143" s="28" t="n"/>
      <c r="C143" s="28" t="n"/>
      <c r="D143" s="28" t="n"/>
      <c r="E143" s="28" t="n"/>
      <c r="F143" s="28" t="n"/>
      <c r="G143" s="28" t="n"/>
      <c r="H143" s="28" t="n"/>
      <c r="I143" s="28" t="n"/>
      <c r="J143" s="28" t="n"/>
      <c r="K143" s="28" t="n"/>
      <c r="L143" s="28" t="n"/>
      <c r="M143" s="28" t="n"/>
      <c r="N143" s="28" t="n"/>
      <c r="O143" s="28" t="n"/>
      <c r="P143" s="28" t="n"/>
      <c r="Q143" s="28" t="n"/>
    </row>
    <row r="144">
      <c r="A144" s="28" t="n"/>
      <c r="B144" s="28" t="n"/>
      <c r="C144" s="28" t="n"/>
      <c r="D144" s="28" t="n"/>
      <c r="E144" s="28" t="n"/>
      <c r="F144" s="28" t="n"/>
      <c r="G144" s="28" t="n"/>
      <c r="H144" s="28" t="n"/>
      <c r="I144" s="28" t="n"/>
      <c r="J144" s="28" t="n"/>
      <c r="K144" s="28" t="n"/>
      <c r="L144" s="28" t="n"/>
      <c r="M144" s="28" t="n"/>
      <c r="N144" s="28" t="n"/>
      <c r="O144" s="28" t="n"/>
      <c r="P144" s="28" t="n"/>
      <c r="Q144" s="28" t="n"/>
    </row>
    <row r="145">
      <c r="A145" s="28" t="n"/>
      <c r="B145" s="28" t="n"/>
      <c r="C145" s="28" t="n"/>
      <c r="D145" s="28" t="n"/>
      <c r="E145" s="28" t="n"/>
      <c r="F145" s="28" t="n"/>
      <c r="G145" s="28" t="n"/>
      <c r="H145" s="28" t="n"/>
      <c r="I145" s="28" t="n"/>
      <c r="J145" s="28" t="n"/>
      <c r="K145" s="28" t="n"/>
      <c r="L145" s="28" t="n"/>
      <c r="M145" s="28" t="n"/>
      <c r="N145" s="28" t="n"/>
      <c r="O145" s="28" t="n"/>
      <c r="P145" s="28" t="n"/>
      <c r="Q145" s="28" t="n"/>
    </row>
    <row r="146">
      <c r="A146" s="28" t="n"/>
      <c r="B146" s="28" t="n"/>
      <c r="C146" s="28" t="n"/>
      <c r="D146" s="28" t="n"/>
      <c r="E146" s="28" t="n"/>
      <c r="F146" s="28" t="n"/>
      <c r="G146" s="28" t="n"/>
      <c r="H146" s="28" t="n"/>
      <c r="I146" s="28" t="n"/>
      <c r="J146" s="28" t="n"/>
      <c r="K146" s="28" t="n"/>
      <c r="L146" s="28" t="n"/>
      <c r="M146" s="28" t="n"/>
      <c r="N146" s="28" t="n"/>
      <c r="O146" s="28" t="n"/>
      <c r="P146" s="28" t="n"/>
      <c r="Q146" s="28" t="n"/>
    </row>
    <row r="147">
      <c r="A147" s="28" t="n"/>
      <c r="B147" s="28" t="n"/>
      <c r="C147" s="28" t="n"/>
      <c r="D147" s="28" t="n"/>
      <c r="E147" s="28" t="n"/>
      <c r="F147" s="28" t="n"/>
      <c r="G147" s="28" t="n"/>
      <c r="H147" s="28" t="n"/>
      <c r="I147" s="28" t="n"/>
      <c r="J147" s="28" t="n"/>
      <c r="K147" s="28" t="n"/>
      <c r="L147" s="28" t="n"/>
      <c r="M147" s="28" t="n"/>
      <c r="N147" s="28" t="n"/>
      <c r="O147" s="28" t="n"/>
      <c r="P147" s="28" t="n"/>
      <c r="Q147" s="28" t="n"/>
    </row>
    <row r="148">
      <c r="A148" s="28" t="n"/>
      <c r="B148" s="28" t="n"/>
      <c r="C148" s="28" t="n"/>
      <c r="D148" s="28" t="n"/>
      <c r="E148" s="28" t="n"/>
      <c r="F148" s="28" t="n"/>
      <c r="G148" s="28" t="n"/>
      <c r="H148" s="28" t="n"/>
      <c r="I148" s="28" t="n"/>
      <c r="J148" s="28" t="n"/>
      <c r="K148" s="28" t="n"/>
      <c r="L148" s="28" t="n"/>
      <c r="M148" s="28" t="n"/>
      <c r="N148" s="28" t="n"/>
      <c r="O148" s="28" t="n"/>
      <c r="P148" s="28" t="n"/>
      <c r="Q148" s="28" t="n"/>
    </row>
    <row r="149">
      <c r="A149" s="28" t="n"/>
      <c r="B149" s="28" t="n"/>
      <c r="C149" s="28" t="n"/>
      <c r="D149" s="28" t="n"/>
      <c r="E149" s="28" t="n"/>
      <c r="F149" s="28" t="n"/>
      <c r="G149" s="28" t="n"/>
      <c r="H149" s="28" t="n"/>
      <c r="I149" s="28" t="n"/>
      <c r="J149" s="28" t="n"/>
      <c r="K149" s="28" t="n"/>
      <c r="L149" s="28" t="n"/>
      <c r="M149" s="28" t="n"/>
      <c r="N149" s="28" t="n"/>
      <c r="O149" s="28" t="n"/>
      <c r="P149" s="28" t="n"/>
      <c r="Q149" s="28" t="n"/>
    </row>
    <row r="150">
      <c r="A150" s="28" t="n"/>
      <c r="B150" s="28" t="n"/>
      <c r="C150" s="28" t="n"/>
      <c r="D150" s="28" t="n"/>
      <c r="E150" s="28" t="n"/>
      <c r="F150" s="28" t="n"/>
      <c r="G150" s="28" t="n"/>
      <c r="H150" s="28" t="n"/>
      <c r="I150" s="28" t="n"/>
      <c r="J150" s="28" t="n"/>
      <c r="K150" s="28" t="n"/>
      <c r="L150" s="28" t="n"/>
      <c r="M150" s="28" t="n"/>
      <c r="N150" s="28" t="n"/>
      <c r="O150" s="28" t="n"/>
      <c r="P150" s="28" t="n"/>
      <c r="Q150" s="28" t="n"/>
    </row>
    <row r="151">
      <c r="A151" s="28" t="n"/>
      <c r="B151" s="28" t="n"/>
      <c r="C151" s="28" t="n"/>
      <c r="D151" s="28" t="n"/>
      <c r="E151" s="28" t="n"/>
      <c r="F151" s="28" t="n"/>
      <c r="G151" s="28" t="n"/>
      <c r="H151" s="28" t="n"/>
      <c r="I151" s="28" t="n"/>
      <c r="J151" s="28" t="n"/>
      <c r="K151" s="28" t="n"/>
      <c r="L151" s="28" t="n"/>
      <c r="M151" s="28" t="n"/>
      <c r="N151" s="28" t="n"/>
      <c r="O151" s="28" t="n"/>
      <c r="P151" s="28" t="n"/>
      <c r="Q151" s="28" t="n"/>
    </row>
    <row r="152">
      <c r="A152" s="28" t="n"/>
      <c r="B152" s="28" t="n"/>
      <c r="C152" s="28" t="n"/>
      <c r="D152" s="28" t="n"/>
      <c r="E152" s="28" t="n"/>
      <c r="F152" s="28" t="n"/>
      <c r="G152" s="28" t="n"/>
      <c r="H152" s="28" t="n"/>
      <c r="I152" s="28" t="n"/>
      <c r="J152" s="28" t="n"/>
      <c r="K152" s="28" t="n"/>
      <c r="L152" s="28" t="n"/>
      <c r="M152" s="28" t="n"/>
      <c r="N152" s="28" t="n"/>
      <c r="O152" s="28" t="n"/>
      <c r="P152" s="28" t="n"/>
      <c r="Q152" s="28" t="n"/>
    </row>
    <row r="153">
      <c r="A153" s="28" t="n"/>
      <c r="B153" s="28" t="n"/>
      <c r="C153" s="28" t="n"/>
      <c r="D153" s="28" t="n"/>
      <c r="E153" s="28" t="n"/>
      <c r="F153" s="28" t="n"/>
      <c r="G153" s="28" t="n"/>
      <c r="H153" s="28" t="n"/>
      <c r="I153" s="28" t="n"/>
      <c r="J153" s="28" t="n"/>
      <c r="K153" s="28" t="n"/>
      <c r="L153" s="28" t="n"/>
      <c r="M153" s="28" t="n"/>
      <c r="N153" s="28" t="n"/>
      <c r="O153" s="28" t="n"/>
      <c r="P153" s="28" t="n"/>
      <c r="Q153" s="28" t="n"/>
    </row>
    <row r="154">
      <c r="A154" s="28" t="n"/>
      <c r="B154" s="28" t="n"/>
      <c r="C154" s="28" t="n"/>
      <c r="D154" s="28" t="n"/>
      <c r="E154" s="28" t="n"/>
      <c r="F154" s="28" t="n"/>
      <c r="G154" s="28" t="n"/>
      <c r="H154" s="28" t="n"/>
      <c r="I154" s="28" t="n"/>
      <c r="J154" s="28" t="n"/>
      <c r="K154" s="28" t="n"/>
      <c r="L154" s="28" t="n"/>
      <c r="M154" s="28" t="n"/>
      <c r="N154" s="28" t="n"/>
      <c r="O154" s="28" t="n"/>
      <c r="P154" s="28" t="n"/>
      <c r="Q154" s="28" t="n"/>
    </row>
    <row r="155">
      <c r="A155" s="28" t="n"/>
      <c r="B155" s="28" t="n"/>
      <c r="C155" s="28" t="n"/>
      <c r="D155" s="28" t="n"/>
      <c r="E155" s="28" t="n"/>
      <c r="F155" s="28" t="n"/>
      <c r="G155" s="28" t="n"/>
      <c r="H155" s="28" t="n"/>
      <c r="I155" s="28" t="n"/>
      <c r="J155" s="28" t="n"/>
      <c r="K155" s="28" t="n"/>
      <c r="L155" s="28" t="n"/>
      <c r="M155" s="28" t="n"/>
      <c r="N155" s="28" t="n"/>
      <c r="O155" s="28" t="n"/>
      <c r="P155" s="28" t="n"/>
      <c r="Q155" s="28" t="n"/>
    </row>
    <row r="156">
      <c r="A156" s="28" t="n"/>
      <c r="B156" s="28" t="n"/>
      <c r="C156" s="28" t="n"/>
      <c r="D156" s="28" t="n"/>
      <c r="E156" s="28" t="n"/>
      <c r="F156" s="28" t="n"/>
      <c r="G156" s="28" t="n"/>
      <c r="H156" s="28" t="n"/>
      <c r="I156" s="28" t="n"/>
      <c r="J156" s="28" t="n"/>
      <c r="K156" s="28" t="n"/>
      <c r="L156" s="28" t="n"/>
      <c r="M156" s="28" t="n"/>
      <c r="N156" s="28" t="n"/>
      <c r="O156" s="28" t="n"/>
      <c r="P156" s="28" t="n"/>
      <c r="Q156" s="28" t="n"/>
    </row>
    <row r="157">
      <c r="A157" s="28" t="n"/>
      <c r="B157" s="28" t="n"/>
      <c r="C157" s="28" t="n"/>
      <c r="D157" s="28" t="n"/>
      <c r="E157" s="28" t="n"/>
      <c r="F157" s="28" t="n"/>
      <c r="G157" s="28" t="n"/>
      <c r="H157" s="28" t="n"/>
      <c r="I157" s="28" t="n"/>
      <c r="J157" s="28" t="n"/>
      <c r="K157" s="28" t="n"/>
      <c r="L157" s="28" t="n"/>
      <c r="M157" s="28" t="n"/>
      <c r="N157" s="28" t="n"/>
      <c r="O157" s="28" t="n"/>
      <c r="P157" s="28" t="n"/>
      <c r="Q157" s="28" t="n"/>
    </row>
    <row r="158">
      <c r="A158" s="28" t="n"/>
      <c r="B158" s="28" t="n"/>
      <c r="C158" s="28" t="n"/>
      <c r="D158" s="28" t="n"/>
      <c r="E158" s="28" t="n"/>
      <c r="F158" s="28" t="n"/>
      <c r="G158" s="28" t="n"/>
      <c r="H158" s="28" t="n"/>
      <c r="I158" s="28" t="n"/>
      <c r="J158" s="28" t="n"/>
      <c r="K158" s="28" t="n"/>
      <c r="L158" s="28" t="n"/>
      <c r="M158" s="28" t="n"/>
      <c r="N158" s="28" t="n"/>
      <c r="O158" s="28" t="n"/>
      <c r="P158" s="28" t="n"/>
      <c r="Q158" s="28" t="n"/>
    </row>
    <row r="159">
      <c r="A159" s="28" t="n"/>
      <c r="B159" s="28" t="n"/>
      <c r="C159" s="28" t="n"/>
      <c r="D159" s="28" t="n"/>
      <c r="E159" s="28" t="n"/>
      <c r="F159" s="28" t="n"/>
      <c r="G159" s="28" t="n"/>
      <c r="H159" s="28" t="n"/>
      <c r="I159" s="28" t="n"/>
      <c r="J159" s="28" t="n"/>
      <c r="K159" s="28" t="n"/>
      <c r="L159" s="28" t="n"/>
      <c r="M159" s="28" t="n"/>
      <c r="N159" s="28" t="n"/>
      <c r="O159" s="28" t="n"/>
      <c r="P159" s="28" t="n"/>
      <c r="Q159" s="28" t="n"/>
    </row>
    <row r="160">
      <c r="A160" s="28" t="n"/>
      <c r="B160" s="28" t="n"/>
      <c r="C160" s="28" t="n"/>
      <c r="D160" s="28" t="n"/>
      <c r="E160" s="28" t="n"/>
      <c r="F160" s="28" t="n"/>
      <c r="G160" s="28" t="n"/>
      <c r="H160" s="28" t="n"/>
      <c r="I160" s="28" t="n"/>
      <c r="J160" s="28" t="n"/>
      <c r="K160" s="28" t="n"/>
      <c r="L160" s="28" t="n"/>
      <c r="M160" s="28" t="n"/>
      <c r="N160" s="28" t="n"/>
      <c r="O160" s="28" t="n"/>
      <c r="P160" s="28" t="n"/>
      <c r="Q160" s="28" t="n"/>
    </row>
    <row r="161">
      <c r="A161" s="28" t="n"/>
      <c r="B161" s="28" t="n"/>
      <c r="C161" s="28" t="n"/>
      <c r="D161" s="28" t="n"/>
      <c r="E161" s="28" t="n"/>
      <c r="F161" s="28" t="n"/>
      <c r="G161" s="28" t="n"/>
      <c r="H161" s="28" t="n"/>
      <c r="I161" s="28" t="n"/>
      <c r="J161" s="28" t="n"/>
      <c r="K161" s="28" t="n"/>
      <c r="L161" s="28" t="n"/>
      <c r="M161" s="28" t="n"/>
      <c r="N161" s="28" t="n"/>
      <c r="O161" s="28" t="n"/>
      <c r="P161" s="28" t="n"/>
      <c r="Q161" s="28" t="n"/>
    </row>
    <row r="162">
      <c r="A162" s="28" t="n"/>
      <c r="B162" s="28" t="n"/>
      <c r="C162" s="28" t="n"/>
      <c r="D162" s="28" t="n"/>
      <c r="E162" s="28" t="n"/>
      <c r="F162" s="28" t="n"/>
      <c r="G162" s="28" t="n"/>
      <c r="H162" s="28" t="n"/>
      <c r="I162" s="28" t="n"/>
      <c r="J162" s="28" t="n"/>
      <c r="K162" s="28" t="n"/>
      <c r="L162" s="28" t="n"/>
      <c r="M162" s="28" t="n"/>
      <c r="N162" s="28" t="n"/>
      <c r="O162" s="28" t="n"/>
      <c r="P162" s="28" t="n"/>
      <c r="Q162" s="28" t="n"/>
    </row>
    <row r="163">
      <c r="A163" s="28" t="n"/>
      <c r="B163" s="28" t="n"/>
      <c r="C163" s="28" t="n"/>
      <c r="D163" s="28" t="n"/>
      <c r="E163" s="28" t="n"/>
      <c r="F163" s="28" t="n"/>
      <c r="G163" s="28" t="n"/>
      <c r="H163" s="28" t="n"/>
      <c r="I163" s="28" t="n"/>
      <c r="J163" s="28" t="n"/>
      <c r="K163" s="28" t="n"/>
      <c r="L163" s="28" t="n"/>
      <c r="M163" s="28" t="n"/>
      <c r="N163" s="28" t="n"/>
      <c r="O163" s="28" t="n"/>
      <c r="P163" s="28" t="n"/>
      <c r="Q163" s="28" t="n"/>
    </row>
    <row r="164">
      <c r="A164" s="28" t="n"/>
      <c r="B164" s="28" t="n"/>
      <c r="C164" s="28" t="n"/>
      <c r="D164" s="28" t="n"/>
      <c r="E164" s="28" t="n"/>
      <c r="F164" s="28" t="n"/>
      <c r="G164" s="28" t="n"/>
      <c r="H164" s="28" t="n"/>
      <c r="I164" s="28" t="n"/>
      <c r="J164" s="28" t="n"/>
      <c r="K164" s="28" t="n"/>
      <c r="L164" s="28" t="n"/>
      <c r="M164" s="28" t="n"/>
      <c r="N164" s="28" t="n"/>
      <c r="O164" s="28" t="n"/>
      <c r="P164" s="28" t="n"/>
      <c r="Q164" s="28" t="n"/>
    </row>
    <row r="165">
      <c r="A165" s="28" t="n"/>
      <c r="B165" s="28" t="n"/>
      <c r="C165" s="28" t="n"/>
      <c r="D165" s="28" t="n"/>
      <c r="E165" s="28" t="n"/>
      <c r="F165" s="28" t="n"/>
      <c r="G165" s="28" t="n"/>
      <c r="H165" s="28" t="n"/>
      <c r="I165" s="28" t="n"/>
      <c r="J165" s="28" t="n"/>
      <c r="K165" s="28" t="n"/>
      <c r="L165" s="28" t="n"/>
      <c r="M165" s="28" t="n"/>
      <c r="N165" s="28" t="n"/>
      <c r="O165" s="28" t="n"/>
      <c r="P165" s="28" t="n"/>
      <c r="Q165" s="28" t="n"/>
    </row>
    <row r="166">
      <c r="A166" s="28" t="n"/>
      <c r="B166" s="28" t="n"/>
      <c r="C166" s="28" t="n"/>
      <c r="D166" s="28" t="n"/>
      <c r="E166" s="28" t="n"/>
      <c r="F166" s="28" t="n"/>
      <c r="G166" s="28" t="n"/>
      <c r="H166" s="28" t="n"/>
      <c r="I166" s="28" t="n"/>
      <c r="J166" s="28" t="n"/>
      <c r="K166" s="28" t="n"/>
      <c r="L166" s="28" t="n"/>
      <c r="M166" s="28" t="n"/>
      <c r="N166" s="28" t="n"/>
      <c r="O166" s="28" t="n"/>
      <c r="P166" s="28" t="n"/>
      <c r="Q166" s="28" t="n"/>
    </row>
    <row r="167">
      <c r="A167" s="28" t="n"/>
      <c r="B167" s="28" t="n"/>
      <c r="C167" s="28" t="n"/>
      <c r="D167" s="28" t="n"/>
      <c r="E167" s="28" t="n"/>
      <c r="F167" s="28" t="n"/>
      <c r="G167" s="28" t="n"/>
      <c r="H167" s="28" t="n"/>
      <c r="I167" s="28" t="n"/>
      <c r="J167" s="28" t="n"/>
      <c r="K167" s="28" t="n"/>
      <c r="L167" s="28" t="n"/>
      <c r="M167" s="28" t="n"/>
      <c r="N167" s="28" t="n"/>
      <c r="O167" s="28" t="n"/>
      <c r="P167" s="28" t="n"/>
      <c r="Q167" s="28" t="n"/>
    </row>
    <row r="168">
      <c r="A168" s="28" t="n"/>
      <c r="B168" s="28" t="n"/>
      <c r="C168" s="28" t="n"/>
      <c r="D168" s="28" t="n"/>
      <c r="E168" s="28" t="n"/>
      <c r="F168" s="28" t="n"/>
      <c r="G168" s="28" t="n"/>
      <c r="H168" s="28" t="n"/>
      <c r="I168" s="28" t="n"/>
      <c r="J168" s="28" t="n"/>
      <c r="K168" s="28" t="n"/>
      <c r="L168" s="28" t="n"/>
      <c r="M168" s="28" t="n"/>
      <c r="N168" s="28" t="n"/>
      <c r="O168" s="28" t="n"/>
      <c r="P168" s="28" t="n"/>
      <c r="Q168" s="28" t="n"/>
    </row>
    <row r="169">
      <c r="A169" s="28" t="n"/>
      <c r="B169" s="28" t="n"/>
      <c r="C169" s="28" t="n"/>
      <c r="D169" s="28" t="n"/>
      <c r="E169" s="28" t="n"/>
      <c r="F169" s="28" t="n"/>
      <c r="G169" s="28" t="n"/>
      <c r="H169" s="28" t="n"/>
      <c r="I169" s="28" t="n"/>
      <c r="J169" s="28" t="n"/>
      <c r="K169" s="28" t="n"/>
      <c r="L169" s="28" t="n"/>
      <c r="M169" s="28" t="n"/>
      <c r="N169" s="28" t="n"/>
      <c r="O169" s="28" t="n"/>
      <c r="P169" s="28" t="n"/>
      <c r="Q169" s="28" t="n"/>
    </row>
    <row r="170">
      <c r="A170" s="28" t="n"/>
      <c r="B170" s="28" t="n"/>
      <c r="C170" s="28" t="n"/>
      <c r="D170" s="28" t="n"/>
      <c r="E170" s="28" t="n"/>
      <c r="F170" s="28" t="n"/>
      <c r="G170" s="28" t="n"/>
      <c r="H170" s="28" t="n"/>
      <c r="I170" s="28" t="n"/>
      <c r="J170" s="28" t="n"/>
      <c r="K170" s="28" t="n"/>
      <c r="L170" s="28" t="n"/>
      <c r="M170" s="28" t="n"/>
      <c r="N170" s="28" t="n"/>
      <c r="O170" s="28" t="n"/>
      <c r="P170" s="28" t="n"/>
      <c r="Q170" s="28" t="n"/>
    </row>
    <row r="171">
      <c r="A171" s="28" t="n"/>
      <c r="B171" s="28" t="n"/>
      <c r="C171" s="28" t="n"/>
      <c r="D171" s="28" t="n"/>
      <c r="E171" s="28" t="n"/>
      <c r="F171" s="28" t="n"/>
      <c r="G171" s="28" t="n"/>
      <c r="H171" s="28" t="n"/>
      <c r="I171" s="28" t="n"/>
      <c r="J171" s="28" t="n"/>
      <c r="K171" s="28" t="n"/>
      <c r="L171" s="28" t="n"/>
      <c r="M171" s="28" t="n"/>
      <c r="N171" s="28" t="n"/>
      <c r="O171" s="28" t="n"/>
      <c r="P171" s="28" t="n"/>
      <c r="Q171" s="28" t="n"/>
    </row>
    <row r="172">
      <c r="A172" s="28" t="n"/>
      <c r="B172" s="28" t="n"/>
      <c r="C172" s="28" t="n"/>
      <c r="D172" s="28" t="n"/>
      <c r="E172" s="28" t="n"/>
      <c r="F172" s="28" t="n"/>
      <c r="G172" s="28" t="n"/>
      <c r="H172" s="28" t="n"/>
      <c r="I172" s="28" t="n"/>
      <c r="J172" s="28" t="n"/>
      <c r="K172" s="28" t="n"/>
      <c r="L172" s="28" t="n"/>
      <c r="M172" s="28" t="n"/>
      <c r="N172" s="28" t="n"/>
      <c r="O172" s="28" t="n"/>
      <c r="P172" s="28" t="n"/>
      <c r="Q172" s="28" t="n"/>
    </row>
    <row r="173">
      <c r="A173" s="28" t="n"/>
      <c r="B173" s="28" t="n"/>
      <c r="C173" s="28" t="n"/>
      <c r="D173" s="28" t="n"/>
      <c r="E173" s="28" t="n"/>
      <c r="F173" s="28" t="n"/>
      <c r="G173" s="28" t="n"/>
      <c r="H173" s="28" t="n"/>
      <c r="I173" s="28" t="n"/>
      <c r="J173" s="28" t="n"/>
      <c r="K173" s="28" t="n"/>
      <c r="L173" s="28" t="n"/>
      <c r="M173" s="28" t="n"/>
      <c r="N173" s="28" t="n"/>
      <c r="O173" s="28" t="n"/>
      <c r="P173" s="28" t="n"/>
      <c r="Q173" s="28" t="n"/>
    </row>
    <row r="174">
      <c r="A174" s="28" t="n"/>
      <c r="B174" s="28" t="n"/>
      <c r="C174" s="28" t="n"/>
      <c r="D174" s="28" t="n"/>
      <c r="E174" s="28" t="n"/>
      <c r="F174" s="28" t="n"/>
      <c r="G174" s="28" t="n"/>
      <c r="H174" s="28" t="n"/>
      <c r="I174" s="28" t="n"/>
      <c r="J174" s="28" t="n"/>
      <c r="K174" s="28" t="n"/>
      <c r="L174" s="28" t="n"/>
      <c r="M174" s="28" t="n"/>
      <c r="N174" s="28" t="n"/>
      <c r="O174" s="28" t="n"/>
      <c r="P174" s="28" t="n"/>
      <c r="Q174" s="28" t="n"/>
    </row>
    <row r="175">
      <c r="A175" s="28" t="n"/>
      <c r="B175" s="28" t="n"/>
      <c r="C175" s="28" t="n"/>
      <c r="D175" s="28" t="n"/>
      <c r="E175" s="28" t="n"/>
      <c r="F175" s="28" t="n"/>
      <c r="G175" s="28" t="n"/>
      <c r="H175" s="28" t="n"/>
      <c r="I175" s="28" t="n"/>
      <c r="J175" s="28" t="n"/>
      <c r="K175" s="28" t="n"/>
      <c r="L175" s="28" t="n"/>
      <c r="M175" s="28" t="n"/>
      <c r="N175" s="28" t="n"/>
      <c r="O175" s="28" t="n"/>
      <c r="P175" s="28" t="n"/>
      <c r="Q175" s="28" t="n"/>
    </row>
    <row r="176">
      <c r="A176" s="28" t="n"/>
      <c r="B176" s="28" t="n"/>
      <c r="C176" s="28" t="n"/>
      <c r="D176" s="28" t="n"/>
      <c r="E176" s="28" t="n"/>
      <c r="F176" s="28" t="n"/>
      <c r="G176" s="28" t="n"/>
      <c r="H176" s="28" t="n"/>
      <c r="I176" s="28" t="n"/>
      <c r="J176" s="28" t="n"/>
      <c r="K176" s="28" t="n"/>
      <c r="L176" s="28" t="n"/>
      <c r="M176" s="28" t="n"/>
      <c r="N176" s="28" t="n"/>
      <c r="O176" s="28" t="n"/>
      <c r="P176" s="28" t="n"/>
      <c r="Q176" s="28" t="n"/>
    </row>
    <row r="177">
      <c r="A177" s="28" t="n"/>
      <c r="B177" s="28" t="n"/>
      <c r="C177" s="28" t="n"/>
      <c r="D177" s="28" t="n"/>
      <c r="E177" s="28" t="n"/>
      <c r="F177" s="28" t="n"/>
      <c r="G177" s="28" t="n"/>
      <c r="H177" s="28" t="n"/>
      <c r="I177" s="28" t="n"/>
      <c r="J177" s="28" t="n"/>
      <c r="K177" s="28" t="n"/>
      <c r="L177" s="28" t="n"/>
      <c r="M177" s="28" t="n"/>
      <c r="N177" s="28" t="n"/>
      <c r="O177" s="28" t="n"/>
      <c r="P177" s="28" t="n"/>
      <c r="Q177" s="28" t="n"/>
    </row>
    <row r="178">
      <c r="A178" s="28" t="n"/>
      <c r="B178" s="28" t="n"/>
      <c r="C178" s="28" t="n"/>
      <c r="D178" s="28" t="n"/>
      <c r="E178" s="28" t="n"/>
      <c r="F178" s="28" t="n"/>
      <c r="G178" s="28" t="n"/>
      <c r="H178" s="28" t="n"/>
      <c r="I178" s="28" t="n"/>
      <c r="J178" s="28" t="n"/>
      <c r="K178" s="28" t="n"/>
      <c r="L178" s="28" t="n"/>
      <c r="M178" s="28" t="n"/>
      <c r="N178" s="28" t="n"/>
      <c r="O178" s="28" t="n"/>
      <c r="P178" s="28" t="n"/>
      <c r="Q178" s="28" t="n"/>
    </row>
    <row r="179">
      <c r="A179" s="28" t="n"/>
      <c r="B179" s="28" t="n"/>
      <c r="C179" s="28" t="n"/>
      <c r="D179" s="28" t="n"/>
      <c r="E179" s="28" t="n"/>
      <c r="F179" s="28" t="n"/>
      <c r="G179" s="28" t="n"/>
      <c r="H179" s="28" t="n"/>
      <c r="I179" s="28" t="n"/>
      <c r="J179" s="28" t="n"/>
      <c r="K179" s="28" t="n"/>
      <c r="L179" s="28" t="n"/>
      <c r="M179" s="28" t="n"/>
      <c r="N179" s="28" t="n"/>
      <c r="O179" s="28" t="n"/>
      <c r="P179" s="28" t="n"/>
      <c r="Q179" s="28" t="n"/>
    </row>
    <row r="180">
      <c r="A180" s="28" t="n"/>
      <c r="B180" s="28" t="n"/>
      <c r="C180" s="28" t="n"/>
      <c r="D180" s="28" t="n"/>
      <c r="E180" s="28" t="n"/>
      <c r="F180" s="28" t="n"/>
      <c r="G180" s="28" t="n"/>
      <c r="H180" s="28" t="n"/>
      <c r="I180" s="28" t="n"/>
      <c r="J180" s="28" t="n"/>
      <c r="K180" s="28" t="n"/>
      <c r="L180" s="28" t="n"/>
      <c r="M180" s="28" t="n"/>
      <c r="N180" s="28" t="n"/>
      <c r="O180" s="28" t="n"/>
      <c r="P180" s="28" t="n"/>
      <c r="Q180" s="28" t="n"/>
    </row>
    <row r="181">
      <c r="A181" s="28" t="n"/>
      <c r="B181" s="28" t="n"/>
      <c r="C181" s="28" t="n"/>
      <c r="D181" s="28" t="n"/>
      <c r="E181" s="28" t="n"/>
      <c r="F181" s="28" t="n"/>
      <c r="G181" s="28" t="n"/>
      <c r="H181" s="28" t="n"/>
      <c r="I181" s="28" t="n"/>
      <c r="J181" s="28" t="n"/>
      <c r="K181" s="28" t="n"/>
      <c r="L181" s="28" t="n"/>
      <c r="M181" s="28" t="n"/>
      <c r="N181" s="28" t="n"/>
      <c r="O181" s="28" t="n"/>
      <c r="P181" s="28" t="n"/>
      <c r="Q181" s="28" t="n"/>
    </row>
    <row r="182">
      <c r="A182" s="28" t="n"/>
      <c r="B182" s="28" t="n"/>
      <c r="C182" s="28" t="n"/>
      <c r="D182" s="28" t="n"/>
      <c r="E182" s="28" t="n"/>
      <c r="F182" s="28" t="n"/>
      <c r="G182" s="28" t="n"/>
      <c r="H182" s="28" t="n"/>
      <c r="I182" s="28" t="n"/>
      <c r="J182" s="28" t="n"/>
      <c r="K182" s="28" t="n"/>
      <c r="L182" s="28" t="n"/>
      <c r="M182" s="28" t="n"/>
      <c r="N182" s="28" t="n"/>
      <c r="O182" s="28" t="n"/>
      <c r="P182" s="28" t="n"/>
      <c r="Q182" s="28" t="n"/>
    </row>
  </sheetData>
  <mergeCells count="15">
    <mergeCell ref="I12:J12"/>
    <mergeCell ref="C5:C8"/>
    <mergeCell ref="I4:J4"/>
    <mergeCell ref="C12:E12"/>
    <mergeCell ref="K13:K33"/>
    <mergeCell ref="C4:E4"/>
    <mergeCell ref="F4:H4"/>
    <mergeCell ref="F12:H12"/>
    <mergeCell ref="A5:A8"/>
    <mergeCell ref="K5:K10"/>
    <mergeCell ref="E5:E8"/>
    <mergeCell ref="H5:H8"/>
    <mergeCell ref="F5:F8"/>
    <mergeCell ref="D5:D8"/>
    <mergeCell ref="G5:G8"/>
  </mergeCells>
  <pageMargins left="0.7" right="0.7" top="0.75" bottom="0.75" header="0.3" footer="0.3"/>
  <pageSetup orientation="landscape" paperSize="9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Hoja7">
    <outlinePr summaryBelow="1" summaryRight="1"/>
    <pageSetUpPr/>
  </sheetPr>
  <dimension ref="A1:M34"/>
  <sheetViews>
    <sheetView workbookViewId="0">
      <pane xSplit="1" ySplit="1" topLeftCell="C2" activePane="bottomRight" state="frozen"/>
      <selection activeCell="B34" sqref="B34"/>
      <selection pane="topRight" activeCell="B34" sqref="B34"/>
      <selection pane="bottomLeft" activeCell="B34" sqref="B34"/>
      <selection pane="bottomRight" activeCell="B34" sqref="B34"/>
    </sheetView>
  </sheetViews>
  <sheetFormatPr baseColWidth="10" defaultColWidth="11.3828125" defaultRowHeight="14.6"/>
  <cols>
    <col width="20.3828125" bestFit="1" customWidth="1" style="700" min="1" max="1"/>
    <col width="37.53515625" bestFit="1" customWidth="1" style="700" min="2" max="2"/>
    <col width="14.15234375" bestFit="1" customWidth="1" style="700" min="3" max="3"/>
    <col width="12.3828125" bestFit="1" customWidth="1" style="700" min="4" max="4"/>
    <col width="13.3828125" customWidth="1" style="700" min="6" max="6"/>
    <col width="14.15234375" bestFit="1" customWidth="1" style="700" min="9" max="9"/>
  </cols>
  <sheetData>
    <row r="1" ht="15" customHeight="1" s="700">
      <c r="A1" s="697" t="inlineStr">
        <is>
          <t>PROYECTO</t>
        </is>
      </c>
      <c r="B1" s="644" t="n"/>
      <c r="C1" s="704" t="inlineStr">
        <is>
          <t>SPV</t>
        </is>
      </c>
      <c r="D1" s="651" t="n"/>
      <c r="E1" s="644" t="n"/>
      <c r="F1" s="698" t="inlineStr">
        <is>
          <t>ACC</t>
        </is>
      </c>
      <c r="G1" s="651" t="n"/>
      <c r="H1" s="644" t="n"/>
      <c r="I1" s="707" t="inlineStr">
        <is>
          <t>O&amp;M</t>
        </is>
      </c>
      <c r="J1" s="644" t="n"/>
    </row>
    <row r="2">
      <c r="A2" s="7" t="n"/>
      <c r="B2" s="7" t="n"/>
      <c r="C2" s="8" t="inlineStr">
        <is>
          <t>Importe TOTAL</t>
        </is>
      </c>
      <c r="D2" s="9" t="inlineStr">
        <is>
          <t>70% del total</t>
        </is>
      </c>
      <c r="E2" s="9" t="inlineStr">
        <is>
          <t>30% del total</t>
        </is>
      </c>
      <c r="F2" s="8" t="inlineStr">
        <is>
          <t>Importe TOTAL</t>
        </is>
      </c>
      <c r="G2" s="9" t="inlineStr">
        <is>
          <t>50% del total</t>
        </is>
      </c>
      <c r="H2" s="9" t="inlineStr">
        <is>
          <t>30% del total</t>
        </is>
      </c>
      <c r="I2" s="8" t="inlineStr">
        <is>
          <t>Importe TOTAL</t>
        </is>
      </c>
      <c r="J2" s="10" t="inlineStr">
        <is>
          <t>15% Bonus</t>
        </is>
      </c>
      <c r="K2" s="705" t="inlineStr">
        <is>
          <t>Gastos generales: 3,5 % del honorario global</t>
        </is>
      </c>
    </row>
    <row r="3">
      <c r="A3" s="11" t="inlineStr">
        <is>
          <t>FONDO I</t>
        </is>
      </c>
      <c r="B3" s="7" t="n"/>
      <c r="C3" s="12" t="n"/>
      <c r="D3" s="13" t="n"/>
      <c r="E3" s="13" t="n"/>
      <c r="F3" s="12" t="n"/>
      <c r="G3" s="13" t="n"/>
      <c r="H3" s="13" t="n"/>
      <c r="I3" s="12" t="n"/>
      <c r="J3" s="12" t="n"/>
    </row>
    <row r="4">
      <c r="A4" s="7" t="inlineStr">
        <is>
          <t>Valverde</t>
        </is>
      </c>
      <c r="B4" s="7" t="n"/>
      <c r="C4" s="702" t="n">
        <v>3750</v>
      </c>
      <c r="D4" s="703">
        <f>C4*0.7</f>
        <v/>
      </c>
      <c r="E4" s="703">
        <f>C4*0.3</f>
        <v/>
      </c>
      <c r="F4" s="702" t="n">
        <v>3400</v>
      </c>
      <c r="G4" s="703">
        <f>F4*0.5</f>
        <v/>
      </c>
      <c r="H4" s="703">
        <f>F4*0.3</f>
        <v/>
      </c>
      <c r="I4" s="14">
        <f>820*0.4</f>
        <v/>
      </c>
      <c r="J4" s="12" t="inlineStr">
        <is>
          <t>x</t>
        </is>
      </c>
    </row>
    <row r="5">
      <c r="A5" s="7" t="inlineStr">
        <is>
          <t>Castuera</t>
        </is>
      </c>
      <c r="B5" s="7" t="n"/>
      <c r="C5" s="646" t="n"/>
      <c r="D5" s="646" t="n"/>
      <c r="E5" s="646" t="n"/>
      <c r="F5" s="646" t="n"/>
      <c r="G5" s="646" t="n"/>
      <c r="H5" s="646" t="n"/>
      <c r="I5" s="14">
        <f>820*0.4</f>
        <v/>
      </c>
      <c r="J5" s="12" t="inlineStr">
        <is>
          <t>x</t>
        </is>
      </c>
    </row>
    <row r="6">
      <c r="A6" s="7" t="inlineStr">
        <is>
          <t>Paiporta</t>
        </is>
      </c>
      <c r="B6" s="7" t="n"/>
      <c r="C6" s="646" t="n"/>
      <c r="D6" s="646" t="n"/>
      <c r="E6" s="646" t="n"/>
      <c r="F6" s="646" t="n"/>
      <c r="G6" s="646" t="n"/>
      <c r="H6" s="646" t="n"/>
      <c r="I6" s="14">
        <f>820*0.4</f>
        <v/>
      </c>
      <c r="J6" s="12" t="inlineStr">
        <is>
          <t>x</t>
        </is>
      </c>
      <c r="M6">
        <f>F4/45*3</f>
        <v/>
      </c>
    </row>
    <row r="7">
      <c r="A7" s="7" t="inlineStr">
        <is>
          <t>Bonaire</t>
        </is>
      </c>
      <c r="B7" s="7" t="n"/>
      <c r="C7" s="647" t="n"/>
      <c r="D7" s="647" t="n"/>
      <c r="E7" s="647" t="n"/>
      <c r="F7" s="647" t="n"/>
      <c r="G7" s="647" t="n"/>
      <c r="H7" s="647" t="n"/>
      <c r="I7" s="14">
        <f>820*0.4</f>
        <v/>
      </c>
      <c r="J7" s="12" t="inlineStr">
        <is>
          <t>x</t>
        </is>
      </c>
    </row>
    <row r="8">
      <c r="A8" s="7" t="inlineStr">
        <is>
          <t>Coreses</t>
        </is>
      </c>
      <c r="B8" s="7" t="n"/>
      <c r="C8" s="14" t="n"/>
      <c r="D8" s="14" t="n"/>
      <c r="E8" s="14" t="n"/>
      <c r="F8" s="14" t="n"/>
      <c r="G8" s="14" t="n"/>
      <c r="H8" s="14" t="n"/>
      <c r="I8" s="14" t="n">
        <v>820</v>
      </c>
      <c r="J8" s="7" t="n"/>
    </row>
    <row r="9">
      <c r="A9" s="7" t="n"/>
      <c r="B9" s="7" t="inlineStr">
        <is>
          <t>Locaba Solar S.L.</t>
        </is>
      </c>
      <c r="C9" s="15" t="n">
        <v>980</v>
      </c>
      <c r="D9" s="17">
        <f>C9*0.7</f>
        <v/>
      </c>
      <c r="E9" s="17">
        <f>C9*0.3</f>
        <v/>
      </c>
      <c r="F9" s="15" t="n">
        <v>980</v>
      </c>
      <c r="G9" s="17">
        <f>F9*0.5</f>
        <v/>
      </c>
      <c r="H9" s="17">
        <f>F9*0.3</f>
        <v/>
      </c>
      <c r="I9" s="14" t="n"/>
      <c r="J9" s="7" t="n"/>
    </row>
    <row r="10" customFormat="1" s="706">
      <c r="A10" s="22" t="n"/>
      <c r="B10" s="22" t="inlineStr">
        <is>
          <t>WOC Ftv. E. Proyecto Coreses, S.L.</t>
        </is>
      </c>
      <c r="C10" s="703" t="n">
        <v>475</v>
      </c>
      <c r="D10" s="703">
        <f>C10*0.7</f>
        <v/>
      </c>
      <c r="E10" s="703">
        <f>C10*0.3</f>
        <v/>
      </c>
      <c r="F10" s="703" t="n">
        <v>475</v>
      </c>
      <c r="G10" s="703">
        <f>F10*0.5</f>
        <v/>
      </c>
      <c r="H10" s="703">
        <f>F10*0.3</f>
        <v/>
      </c>
      <c r="I10" s="23" t="n"/>
      <c r="J10" s="22" t="n"/>
    </row>
    <row r="11" customFormat="1" s="706">
      <c r="A11" s="22" t="n"/>
      <c r="B11" s="22" t="inlineStr">
        <is>
          <t>WOC Ftv. E. Proyecto Coreses, S.L.,S.Com</t>
        </is>
      </c>
      <c r="C11" s="647" t="n"/>
      <c r="D11" s="647" t="n"/>
      <c r="E11" s="647" t="n"/>
      <c r="F11" s="647" t="n"/>
      <c r="G11" s="647" t="n"/>
      <c r="H11" s="647" t="n"/>
      <c r="I11" s="23" t="n"/>
      <c r="J11" s="22" t="n"/>
    </row>
    <row r="12">
      <c r="A12" s="7" t="inlineStr">
        <is>
          <t>Ejea de los Caballeros</t>
        </is>
      </c>
      <c r="B12" s="7" t="n"/>
      <c r="C12" s="17" t="n">
        <v>950</v>
      </c>
      <c r="D12" s="17">
        <f>C12*0.7</f>
        <v/>
      </c>
      <c r="E12" s="18">
        <f>C12*0.3</f>
        <v/>
      </c>
      <c r="F12" s="17" t="n">
        <v>1000</v>
      </c>
      <c r="G12" s="17">
        <f>F12*0.5</f>
        <v/>
      </c>
      <c r="H12" s="18">
        <f>F12*0.3</f>
        <v/>
      </c>
      <c r="I12" s="14" t="n">
        <v>820</v>
      </c>
      <c r="J12" s="7" t="n"/>
    </row>
    <row r="13">
      <c r="A13" s="16" t="inlineStr">
        <is>
          <t>Más =/&lt; 5 MW</t>
        </is>
      </c>
      <c r="B13" s="16" t="n"/>
      <c r="C13" s="17" t="n">
        <v>950</v>
      </c>
      <c r="D13" s="17">
        <f>C13*0.7</f>
        <v/>
      </c>
      <c r="E13" s="17">
        <f>C13*0.3</f>
        <v/>
      </c>
      <c r="F13" s="17" t="n">
        <v>1000</v>
      </c>
      <c r="G13" s="17">
        <f>F13*0.5</f>
        <v/>
      </c>
      <c r="H13" s="17">
        <f>F13*0.3</f>
        <v/>
      </c>
      <c r="I13" s="17" t="inlineStr">
        <is>
          <t>??</t>
        </is>
      </c>
      <c r="J13" s="16" t="n"/>
    </row>
    <row r="14">
      <c r="A14" s="16" t="inlineStr">
        <is>
          <t>Más &gt; 5 MW</t>
        </is>
      </c>
      <c r="B14" s="16" t="n"/>
      <c r="C14" s="17" t="n">
        <v>1200</v>
      </c>
      <c r="D14" s="17">
        <f>C14*0.7</f>
        <v/>
      </c>
      <c r="E14" s="17">
        <f>C14*0.3</f>
        <v/>
      </c>
      <c r="F14" s="17" t="n">
        <v>1300</v>
      </c>
      <c r="G14" s="17">
        <f>F14*0.5</f>
        <v/>
      </c>
      <c r="H14" s="17">
        <f>F14*0.3</f>
        <v/>
      </c>
      <c r="I14" s="17" t="inlineStr">
        <is>
          <t>??</t>
        </is>
      </c>
      <c r="J14" s="16" t="n"/>
    </row>
    <row r="15">
      <c r="A15" s="7" t="n"/>
      <c r="B15" s="7" t="n"/>
      <c r="C15" s="14" t="n"/>
      <c r="D15" s="14" t="n"/>
      <c r="E15" s="14" t="n"/>
      <c r="F15" s="14" t="n"/>
      <c r="G15" s="14" t="n"/>
      <c r="H15" s="14" t="n"/>
      <c r="I15" s="14" t="n"/>
      <c r="J15" s="7" t="n"/>
    </row>
    <row r="16" ht="15" customHeight="1" s="700">
      <c r="A16" s="11" t="inlineStr">
        <is>
          <t>FONDO II</t>
        </is>
      </c>
      <c r="B16" s="7" t="n"/>
      <c r="C16" s="14" t="n"/>
      <c r="D16" s="14" t="n"/>
      <c r="E16" s="14" t="n"/>
      <c r="F16" s="14" t="n"/>
      <c r="G16" s="14" t="n"/>
      <c r="H16" s="14" t="n"/>
      <c r="I16" s="14" t="n"/>
      <c r="J16" s="7" t="n"/>
    </row>
    <row r="17">
      <c r="A17" s="16" t="inlineStr">
        <is>
          <t>Todas 2.1 - 2.10</t>
        </is>
      </c>
      <c r="B17" s="16" t="n"/>
      <c r="C17" s="17" t="n">
        <v>950</v>
      </c>
      <c r="D17" s="17">
        <f>C17*0.7</f>
        <v/>
      </c>
      <c r="E17" s="17">
        <f>C17*0.3</f>
        <v/>
      </c>
      <c r="F17" s="17" t="n">
        <v>1000</v>
      </c>
      <c r="G17" s="17">
        <f>F17*0.5</f>
        <v/>
      </c>
      <c r="H17" s="17">
        <f>F17*0.3</f>
        <v/>
      </c>
      <c r="I17" s="17" t="n">
        <v>820</v>
      </c>
      <c r="J17" s="7" t="n"/>
      <c r="K17" s="696" t="inlineStr">
        <is>
          <t>Gastos generales: 3,5 % del honorario global</t>
        </is>
      </c>
    </row>
    <row r="18">
      <c r="A18" s="7" t="inlineStr">
        <is>
          <t>Villamartín</t>
        </is>
      </c>
      <c r="B18" s="7" t="n"/>
      <c r="C18" s="18" t="n">
        <v>1200</v>
      </c>
      <c r="D18" s="17">
        <f>C18*0.7</f>
        <v/>
      </c>
      <c r="E18" s="17">
        <f>C18*0.3</f>
        <v/>
      </c>
      <c r="F18" s="18" t="n">
        <v>1400</v>
      </c>
      <c r="G18" s="17">
        <f>F18*0.5</f>
        <v/>
      </c>
      <c r="H18" s="17">
        <f>F18*0.3</f>
        <v/>
      </c>
      <c r="I18" s="18" t="n">
        <v>820</v>
      </c>
      <c r="J18" s="7" t="n"/>
      <c r="K18" s="649" t="n"/>
    </row>
    <row r="19">
      <c r="A19" s="7" t="inlineStr">
        <is>
          <t>Sollana (2.1)</t>
        </is>
      </c>
      <c r="B19" s="7" t="n"/>
      <c r="C19" s="18" t="n">
        <v>950</v>
      </c>
      <c r="D19" s="17">
        <f>C19*0.7</f>
        <v/>
      </c>
      <c r="E19" s="17">
        <f>C19*0.3</f>
        <v/>
      </c>
      <c r="F19" s="18" t="n">
        <v>1000</v>
      </c>
      <c r="G19" s="17">
        <f>F19*0.5</f>
        <v/>
      </c>
      <c r="H19" s="17">
        <f>F19*0.3</f>
        <v/>
      </c>
      <c r="I19" s="18" t="n">
        <v>820</v>
      </c>
      <c r="J19" s="7" t="n"/>
      <c r="K19" s="649" t="n"/>
    </row>
    <row r="20">
      <c r="A20" s="7" t="inlineStr">
        <is>
          <t>Bailadero (2.2)</t>
        </is>
      </c>
      <c r="B20" s="7" t="n"/>
      <c r="C20" s="17" t="n">
        <v>950</v>
      </c>
      <c r="D20" s="18">
        <f>C20*0.7</f>
        <v/>
      </c>
      <c r="E20" s="17">
        <f>C20*0.3</f>
        <v/>
      </c>
      <c r="F20" s="17" t="n">
        <v>1000</v>
      </c>
      <c r="G20" s="18">
        <f>F20*0.5</f>
        <v/>
      </c>
      <c r="H20" s="17">
        <f>F20*0.3</f>
        <v/>
      </c>
      <c r="I20" s="17" t="n">
        <v>820</v>
      </c>
      <c r="J20" s="7" t="n"/>
      <c r="K20" s="649" t="n"/>
    </row>
    <row r="21">
      <c r="A21" s="7" t="inlineStr">
        <is>
          <t>Artá (2.3)</t>
        </is>
      </c>
      <c r="B21" s="7" t="n"/>
      <c r="C21" s="18" t="n">
        <v>950</v>
      </c>
      <c r="D21" s="17">
        <f>C21*0.7</f>
        <v/>
      </c>
      <c r="E21" s="17">
        <f>C21*0.3</f>
        <v/>
      </c>
      <c r="F21" s="18" t="n">
        <v>1000</v>
      </c>
      <c r="G21" s="17">
        <f>F21*0.5</f>
        <v/>
      </c>
      <c r="H21" s="17">
        <f>F21*0.3</f>
        <v/>
      </c>
      <c r="I21" s="18" t="n">
        <v>820</v>
      </c>
      <c r="J21" s="7" t="n"/>
      <c r="K21" s="649" t="n"/>
    </row>
    <row r="22">
      <c r="A22" s="7" t="inlineStr">
        <is>
          <t>2.4</t>
        </is>
      </c>
      <c r="B22" s="7" t="n"/>
      <c r="C22" s="17" t="n">
        <v>950</v>
      </c>
      <c r="D22" s="17">
        <f>C22*0.7</f>
        <v/>
      </c>
      <c r="E22" s="18">
        <f>C22*0.3</f>
        <v/>
      </c>
      <c r="F22" s="17" t="n">
        <v>1000</v>
      </c>
      <c r="G22" s="17">
        <f>F22*0.5</f>
        <v/>
      </c>
      <c r="H22" s="18">
        <f>F22*0.3</f>
        <v/>
      </c>
      <c r="I22" s="17" t="n">
        <v>820</v>
      </c>
      <c r="J22" s="7" t="n"/>
      <c r="K22" s="649" t="n"/>
    </row>
    <row r="23">
      <c r="A23" s="7" t="inlineStr">
        <is>
          <t xml:space="preserve">Casa Roja (2.5) </t>
        </is>
      </c>
      <c r="B23" s="7" t="n"/>
      <c r="C23" s="17" t="n">
        <v>950</v>
      </c>
      <c r="D23" s="18">
        <f>C23*0.7</f>
        <v/>
      </c>
      <c r="E23" s="17">
        <f>C23*0.3</f>
        <v/>
      </c>
      <c r="F23" s="17" t="n">
        <v>1000</v>
      </c>
      <c r="G23" s="18">
        <f>F23*0.5</f>
        <v/>
      </c>
      <c r="H23" s="17">
        <f>F23*0.3</f>
        <v/>
      </c>
      <c r="I23" s="17" t="n">
        <v>820</v>
      </c>
      <c r="J23" s="7" t="n"/>
      <c r="K23" s="649" t="n"/>
    </row>
    <row r="24">
      <c r="A24" s="7" t="inlineStr">
        <is>
          <t>2.6</t>
        </is>
      </c>
      <c r="B24" s="7" t="n"/>
      <c r="C24" s="17" t="n">
        <v>950</v>
      </c>
      <c r="D24" s="17">
        <f>C24*0.7</f>
        <v/>
      </c>
      <c r="E24" s="18">
        <f>C24*0.3</f>
        <v/>
      </c>
      <c r="F24" s="17" t="n">
        <v>1000</v>
      </c>
      <c r="G24" s="17">
        <f>F24*0.5</f>
        <v/>
      </c>
      <c r="H24" s="18">
        <f>F24*0.3</f>
        <v/>
      </c>
      <c r="I24" s="17" t="n">
        <v>820</v>
      </c>
      <c r="J24" s="7" t="n"/>
      <c r="K24" s="649" t="n"/>
    </row>
    <row r="25">
      <c r="A25" s="7" t="inlineStr">
        <is>
          <t xml:space="preserve">AE3000 (2.7) </t>
        </is>
      </c>
      <c r="B25" s="7" t="n"/>
      <c r="C25" s="18" t="n">
        <v>950</v>
      </c>
      <c r="D25" s="17">
        <f>C25*0.7</f>
        <v/>
      </c>
      <c r="E25" s="17">
        <f>C25*0.3</f>
        <v/>
      </c>
      <c r="F25" s="18" t="n">
        <v>1000</v>
      </c>
      <c r="G25" s="17">
        <f>F25*0.5</f>
        <v/>
      </c>
      <c r="H25" s="17">
        <f>F25*0.3</f>
        <v/>
      </c>
      <c r="I25" s="17" t="n">
        <v>820</v>
      </c>
      <c r="J25" s="7" t="n"/>
      <c r="K25" s="649" t="n"/>
    </row>
    <row r="26">
      <c r="A26" s="7" t="inlineStr">
        <is>
          <t>2.8</t>
        </is>
      </c>
      <c r="B26" s="7" t="n"/>
      <c r="C26" s="17" t="n">
        <v>950</v>
      </c>
      <c r="D26" s="17">
        <f>C26*0.7</f>
        <v/>
      </c>
      <c r="E26" s="18">
        <f>C26*0.3</f>
        <v/>
      </c>
      <c r="F26" s="17" t="n">
        <v>1000</v>
      </c>
      <c r="G26" s="17">
        <f>F26*0.5</f>
        <v/>
      </c>
      <c r="H26" s="18">
        <f>F26*0.3</f>
        <v/>
      </c>
      <c r="I26" s="17" t="n">
        <v>820</v>
      </c>
      <c r="J26" s="7" t="n"/>
      <c r="K26" s="649" t="n"/>
    </row>
    <row r="27">
      <c r="A27" s="7" t="inlineStr">
        <is>
          <t>2.9</t>
        </is>
      </c>
      <c r="B27" s="7" t="n"/>
      <c r="C27" s="17" t="n">
        <v>950</v>
      </c>
      <c r="D27" s="17">
        <f>C27*0.7</f>
        <v/>
      </c>
      <c r="E27" s="18">
        <f>C27*0.3</f>
        <v/>
      </c>
      <c r="F27" s="17" t="n">
        <v>1000</v>
      </c>
      <c r="G27" s="17">
        <f>F27*0.5</f>
        <v/>
      </c>
      <c r="H27" s="18">
        <f>F27*0.3</f>
        <v/>
      </c>
      <c r="I27" s="17" t="n">
        <v>820</v>
      </c>
      <c r="J27" s="7" t="n"/>
      <c r="K27" s="649" t="n"/>
    </row>
    <row r="28">
      <c r="A28" s="7" t="inlineStr">
        <is>
          <t>2.10</t>
        </is>
      </c>
      <c r="B28" s="7" t="n"/>
      <c r="C28" s="17" t="n">
        <v>950</v>
      </c>
      <c r="D28" s="17">
        <f>C28*0.7</f>
        <v/>
      </c>
      <c r="E28" s="18">
        <f>C28*0.3</f>
        <v/>
      </c>
      <c r="F28" s="17" t="n">
        <v>1000</v>
      </c>
      <c r="G28" s="17">
        <f>F28*0.5</f>
        <v/>
      </c>
      <c r="H28" s="18">
        <f>F28*0.3</f>
        <v/>
      </c>
      <c r="I28" s="17" t="n">
        <v>820</v>
      </c>
      <c r="J28" s="7" t="n"/>
      <c r="K28" s="649" t="n"/>
    </row>
    <row r="29">
      <c r="A29" s="16" t="inlineStr">
        <is>
          <t>Más =/&lt; 5 MW</t>
        </is>
      </c>
      <c r="B29" s="16" t="n"/>
      <c r="C29" s="17" t="n">
        <v>950</v>
      </c>
      <c r="D29" s="17">
        <f>C29*0.7</f>
        <v/>
      </c>
      <c r="E29" s="17">
        <f>C29*0.3</f>
        <v/>
      </c>
      <c r="F29" s="17" t="n">
        <v>1000</v>
      </c>
      <c r="G29" s="17">
        <f>F29*0.5</f>
        <v/>
      </c>
      <c r="H29" s="17">
        <f>F29*0.3</f>
        <v/>
      </c>
      <c r="I29" s="17" t="n">
        <v>820</v>
      </c>
      <c r="J29" s="16" t="n"/>
      <c r="K29" s="649" t="n"/>
    </row>
    <row r="30">
      <c r="A30" s="16" t="inlineStr">
        <is>
          <t>Más &gt; 5 MW</t>
        </is>
      </c>
      <c r="B30" s="16" t="n"/>
      <c r="C30" s="17" t="n">
        <v>1200</v>
      </c>
      <c r="D30" s="17">
        <f>C30*0.7</f>
        <v/>
      </c>
      <c r="E30" s="17">
        <f>C30*0.3</f>
        <v/>
      </c>
      <c r="F30" s="17" t="n">
        <v>1300</v>
      </c>
      <c r="G30" s="17">
        <f>F30*0.5</f>
        <v/>
      </c>
      <c r="H30" s="17">
        <f>F30*0.3</f>
        <v/>
      </c>
      <c r="I30" s="17" t="n">
        <v>820</v>
      </c>
      <c r="J30" s="16" t="n"/>
      <c r="K30" s="649" t="n"/>
    </row>
    <row r="31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</row>
    <row r="32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</row>
    <row r="33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</row>
    <row r="34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</row>
  </sheetData>
  <mergeCells count="18">
    <mergeCell ref="C4:C7"/>
    <mergeCell ref="I1:J1"/>
    <mergeCell ref="F4:F7"/>
    <mergeCell ref="D4:D7"/>
    <mergeCell ref="E4:E7"/>
    <mergeCell ref="H4:H7"/>
    <mergeCell ref="C1:E1"/>
    <mergeCell ref="D10:D11"/>
    <mergeCell ref="F10:F11"/>
    <mergeCell ref="K17:K30"/>
    <mergeCell ref="F1:H1"/>
    <mergeCell ref="G4:G7"/>
    <mergeCell ref="K2:K14"/>
    <mergeCell ref="A1:B1"/>
    <mergeCell ref="C10:C11"/>
    <mergeCell ref="E10:E11"/>
    <mergeCell ref="H10:H11"/>
    <mergeCell ref="G10:G11"/>
  </mergeCell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Hoja10">
    <outlinePr summaryBelow="1" summaryRight="1"/>
    <pageSetUpPr/>
  </sheetPr>
  <dimension ref="A1:P182"/>
  <sheetViews>
    <sheetView topLeftCell="A4" workbookViewId="0">
      <selection activeCell="C25" sqref="C25"/>
    </sheetView>
  </sheetViews>
  <sheetFormatPr baseColWidth="10" defaultColWidth="11.3828125" defaultRowHeight="14.15"/>
  <cols>
    <col width="4.53515625" customWidth="1" style="655" min="1" max="1"/>
    <col width="27.15234375" customWidth="1" style="655" min="2" max="2"/>
    <col width="13.15234375" customWidth="1" style="655" min="3" max="3"/>
    <col width="12.15234375" bestFit="1" customWidth="1" style="655" min="4" max="4"/>
    <col width="11" bestFit="1" customWidth="1" style="655" min="5" max="5"/>
    <col width="12.53515625" bestFit="1" customWidth="1" style="655" min="6" max="6"/>
    <col width="12.15234375" bestFit="1" customWidth="1" style="655" min="7" max="7"/>
    <col width="11" bestFit="1" customWidth="1" style="655" min="8" max="8"/>
    <col width="15" customWidth="1" style="655" min="9" max="9"/>
    <col width="9.3828125" customWidth="1" style="655" min="10" max="11"/>
    <col width="16.3828125" bestFit="1" customWidth="1" style="655" min="12" max="12"/>
    <col width="11.3828125" customWidth="1" style="655" min="13" max="13"/>
    <col width="19.3828125" bestFit="1" customWidth="1" style="655" min="14" max="14"/>
    <col width="11.3828125" customWidth="1" style="655" min="15" max="25"/>
    <col width="11.3828125" customWidth="1" style="655" min="26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</row>
    <row r="3" ht="69" customHeight="1" s="700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L3" s="46" t="n"/>
      <c r="M3" s="46" t="n"/>
      <c r="N3" s="46" t="n"/>
      <c r="O3" s="46" t="n"/>
      <c r="P3" s="46" t="n"/>
    </row>
    <row r="4" ht="18" customHeight="1" s="700">
      <c r="A4" s="46" t="n"/>
      <c r="B4" s="51" t="inlineStr">
        <is>
          <t>FONDO I</t>
        </is>
      </c>
      <c r="C4" s="650" t="inlineStr">
        <is>
          <t>SPV</t>
        </is>
      </c>
      <c r="D4" s="651" t="n"/>
      <c r="E4" s="644" t="n"/>
      <c r="F4" s="652" t="inlineStr">
        <is>
          <t>ACC</t>
        </is>
      </c>
      <c r="G4" s="651" t="n"/>
      <c r="H4" s="644" t="n"/>
      <c r="I4" s="643" t="inlineStr">
        <is>
          <t>O&amp;M</t>
        </is>
      </c>
      <c r="J4" s="644" t="n"/>
      <c r="K4" s="46" t="n"/>
      <c r="L4" s="46" t="n"/>
      <c r="M4" s="52">
        <f>1*(1+O4)*(1+O5)*(1+O6)</f>
        <v/>
      </c>
      <c r="N4" s="46" t="inlineStr">
        <is>
          <t>Revisión 2009-2010</t>
        </is>
      </c>
      <c r="O4" s="53" t="n">
        <v>0.0208</v>
      </c>
      <c r="P4" s="46" t="n"/>
    </row>
    <row r="5" ht="15" customHeight="1" s="700">
      <c r="A5" s="654" t="inlineStr">
        <is>
          <t>Renova</t>
        </is>
      </c>
      <c r="B5" s="54" t="inlineStr">
        <is>
          <t>Valverde</t>
        </is>
      </c>
      <c r="C5" s="645">
        <f>3750*0.4*(1+$M$5)</f>
        <v/>
      </c>
      <c r="D5" s="653">
        <f>C5*0.7</f>
        <v/>
      </c>
      <c r="E5" s="653">
        <f>C5*0.3*(1+$M$5)</f>
        <v/>
      </c>
      <c r="F5" s="645">
        <f>3400*0.75*(1+$M$5)</f>
        <v/>
      </c>
      <c r="G5" s="653">
        <f>F5*0.5</f>
        <v/>
      </c>
      <c r="H5" s="653">
        <f>F5*0.3</f>
        <v/>
      </c>
      <c r="I5" s="55">
        <f>820*0.4*(1+$M$5)</f>
        <v/>
      </c>
      <c r="J5" s="56" t="inlineStr">
        <is>
          <t>n/a</t>
        </is>
      </c>
      <c r="K5" s="648" t="inlineStr">
        <is>
          <t>Gastos generales: 3,5 % del honorario global</t>
        </is>
      </c>
      <c r="L5" s="75" t="inlineStr">
        <is>
          <t>Revisión 2013</t>
        </is>
      </c>
      <c r="M5" s="57">
        <f>M4-1</f>
        <v/>
      </c>
      <c r="N5" s="46" t="inlineStr">
        <is>
          <t>Revisión 2010-2011</t>
        </is>
      </c>
      <c r="O5" s="53" t="n">
        <v>0.029</v>
      </c>
      <c r="P5" s="46" t="n"/>
    </row>
    <row r="6" ht="15" customHeight="1" s="700">
      <c r="B6" s="54" t="inlineStr">
        <is>
          <t>Castuera</t>
        </is>
      </c>
      <c r="C6" s="646" t="n"/>
      <c r="D6" s="646" t="n"/>
      <c r="E6" s="646" t="n"/>
      <c r="F6" s="646" t="n"/>
      <c r="G6" s="646" t="n"/>
      <c r="H6" s="646" t="n"/>
      <c r="I6" s="58">
        <f>820*0.4*(1+$M$5)</f>
        <v/>
      </c>
      <c r="J6" s="59" t="inlineStr">
        <is>
          <t>n/a</t>
        </is>
      </c>
      <c r="K6" s="649" t="n"/>
      <c r="L6" s="46" t="n"/>
      <c r="M6" s="46" t="n"/>
      <c r="N6" s="73" t="inlineStr">
        <is>
          <t>Revisión 2011-2012</t>
        </is>
      </c>
      <c r="O6" s="74" t="n"/>
      <c r="P6" s="73" t="inlineStr">
        <is>
          <t>Nuevo Index</t>
        </is>
      </c>
    </row>
    <row r="7" ht="15" customHeight="1" s="700">
      <c r="B7" s="54" t="inlineStr">
        <is>
          <t>Paiporta</t>
        </is>
      </c>
      <c r="C7" s="646" t="n"/>
      <c r="D7" s="646" t="n"/>
      <c r="E7" s="646" t="n"/>
      <c r="F7" s="646" t="n"/>
      <c r="G7" s="646" t="n"/>
      <c r="H7" s="646" t="n"/>
      <c r="I7" s="58">
        <f>820*0.4*(1+$M$5)</f>
        <v/>
      </c>
      <c r="J7" s="59" t="inlineStr">
        <is>
          <t>n/a</t>
        </is>
      </c>
      <c r="K7" s="649" t="n"/>
      <c r="L7" s="60" t="n"/>
      <c r="M7" s="77">
        <f>1*(1+O4)*(1+O5)*(1+O7)</f>
        <v/>
      </c>
      <c r="N7" s="76" t="inlineStr">
        <is>
          <t>AE3000 - 2011/2012</t>
        </is>
      </c>
      <c r="O7" s="53" t="n"/>
      <c r="P7" s="46" t="n"/>
    </row>
    <row r="8" ht="15" customHeight="1" s="700">
      <c r="B8" s="54" t="inlineStr">
        <is>
          <t>Bonaire</t>
        </is>
      </c>
      <c r="C8" s="647" t="n"/>
      <c r="D8" s="647" t="n"/>
      <c r="E8" s="647" t="n"/>
      <c r="F8" s="647" t="n"/>
      <c r="G8" s="647" t="n"/>
      <c r="H8" s="647" t="n"/>
      <c r="I8" s="58">
        <f>820*0.4*(1+$M$5)</f>
        <v/>
      </c>
      <c r="J8" s="59" t="inlineStr">
        <is>
          <t>n/a</t>
        </is>
      </c>
      <c r="K8" s="649" t="n"/>
      <c r="L8" s="76" t="inlineStr">
        <is>
          <t>Revisión AE3000</t>
        </is>
      </c>
      <c r="M8" s="78">
        <f>M7-1</f>
        <v/>
      </c>
      <c r="N8" s="46" t="n"/>
      <c r="O8" s="46" t="n"/>
      <c r="P8" s="46" t="n"/>
    </row>
    <row r="9" ht="15" customHeight="1" s="700">
      <c r="A9" s="46" t="n"/>
      <c r="B9" s="54" t="inlineStr">
        <is>
          <t>Coreses</t>
        </is>
      </c>
      <c r="C9" s="58">
        <f>980*(1+$M$5)</f>
        <v/>
      </c>
      <c r="D9" s="61">
        <f>C9*0.7</f>
        <v/>
      </c>
      <c r="E9" s="61">
        <f>C9*0.3</f>
        <v/>
      </c>
      <c r="F9" s="58">
        <f>980*(1+$M$5)</f>
        <v/>
      </c>
      <c r="G9" s="61">
        <f>F9*0.5</f>
        <v/>
      </c>
      <c r="H9" s="61">
        <f>G9*0.3</f>
        <v/>
      </c>
      <c r="I9" s="58">
        <f>820*(1+$M$5)</f>
        <v/>
      </c>
      <c r="J9" s="59" t="inlineStr">
        <is>
          <t>n/a</t>
        </is>
      </c>
      <c r="K9" s="649" t="n"/>
      <c r="L9" s="46" t="n"/>
      <c r="M9" s="46" t="n"/>
      <c r="N9" s="46" t="n"/>
      <c r="O9" s="46" t="n"/>
      <c r="P9" s="46" t="n"/>
    </row>
    <row r="10" ht="15" customHeight="1" s="700">
      <c r="A10" s="46" t="n"/>
      <c r="B10" s="54" t="inlineStr">
        <is>
          <t>Ejea de los Caballeros (1.2)</t>
        </is>
      </c>
      <c r="C10" s="61">
        <f>950*0.4*(1+$M$5)</f>
        <v/>
      </c>
      <c r="D10" s="61">
        <f>C10*0.7</f>
        <v/>
      </c>
      <c r="E10" s="58">
        <f>C10*0.3</f>
        <v/>
      </c>
      <c r="F10" s="61">
        <f>1000*0.75*(1+$M$5)</f>
        <v/>
      </c>
      <c r="G10" s="61">
        <f>F10*0.5</f>
        <v/>
      </c>
      <c r="H10" s="58">
        <f>F10*0.3</f>
        <v/>
      </c>
      <c r="I10" s="62">
        <f>820*(1+$M$5)</f>
        <v/>
      </c>
      <c r="J10" s="59" t="inlineStr">
        <is>
          <t>n/a</t>
        </is>
      </c>
      <c r="K10" s="649" t="n"/>
      <c r="L10" s="46" t="n"/>
      <c r="M10" s="46" t="n"/>
      <c r="N10" s="46" t="n"/>
      <c r="O10" s="46" t="n"/>
      <c r="P10" s="46" t="n"/>
    </row>
    <row r="11">
      <c r="A11" s="46" t="n"/>
      <c r="B11" s="46" t="n"/>
      <c r="C11" s="60" t="n"/>
      <c r="D11" s="60" t="n"/>
      <c r="E11" s="60" t="n"/>
      <c r="F11" s="60" t="n"/>
      <c r="G11" s="60" t="n"/>
      <c r="H11" s="60" t="n"/>
      <c r="I11" s="60" t="n"/>
      <c r="J11" s="46" t="n"/>
      <c r="K11" s="46" t="n"/>
      <c r="L11" s="46" t="n"/>
      <c r="M11" s="46" t="n"/>
      <c r="N11" s="46" t="n"/>
      <c r="O11" s="46" t="n"/>
      <c r="P11" s="46" t="n"/>
    </row>
    <row r="12" ht="18" customHeight="1" s="700">
      <c r="A12" s="46" t="n"/>
      <c r="B12" s="63" t="inlineStr">
        <is>
          <t>FONDO II</t>
        </is>
      </c>
      <c r="C12" s="650" t="inlineStr">
        <is>
          <t>SPV</t>
        </is>
      </c>
      <c r="D12" s="651" t="n"/>
      <c r="E12" s="644" t="n"/>
      <c r="F12" s="652" t="inlineStr">
        <is>
          <t>ACC</t>
        </is>
      </c>
      <c r="G12" s="651" t="n"/>
      <c r="H12" s="644" t="n"/>
      <c r="I12" s="643" t="inlineStr">
        <is>
          <t>O&amp;M</t>
        </is>
      </c>
      <c r="J12" s="644" t="n"/>
      <c r="K12" s="46" t="n"/>
      <c r="L12" s="46" t="n"/>
      <c r="M12" s="46" t="n"/>
      <c r="N12" s="46" t="n"/>
      <c r="O12" s="46" t="n"/>
      <c r="P12" s="46" t="n"/>
    </row>
    <row r="13">
      <c r="A13" s="46" t="n"/>
      <c r="B13" s="64" t="inlineStr">
        <is>
          <t>Todas 2.1 - 2.10</t>
        </is>
      </c>
      <c r="C13" s="61">
        <f>950*(1+$M$5)</f>
        <v/>
      </c>
      <c r="D13" s="61">
        <f>C13*0.7</f>
        <v/>
      </c>
      <c r="E13" s="61">
        <f>C13*0.3</f>
        <v/>
      </c>
      <c r="F13" s="61">
        <f>1000*(1+$M$5)</f>
        <v/>
      </c>
      <c r="G13" s="61">
        <f>F13*0.5</f>
        <v/>
      </c>
      <c r="H13" s="61">
        <f>F13*0.3</f>
        <v/>
      </c>
      <c r="I13" s="61">
        <f>820*(1+$M$5)</f>
        <v/>
      </c>
      <c r="J13" s="59" t="inlineStr">
        <is>
          <t>n/a</t>
        </is>
      </c>
      <c r="K13" s="648" t="inlineStr">
        <is>
          <t>Gastos generales: 3,5 % del honorario global</t>
        </is>
      </c>
      <c r="L13" s="46" t="n"/>
      <c r="M13" s="46" t="n"/>
      <c r="N13" s="46" t="n"/>
      <c r="O13" s="46" t="n"/>
      <c r="P13" s="46" t="n"/>
    </row>
    <row r="14" ht="15" customHeight="1" s="700">
      <c r="A14" s="46" t="n"/>
      <c r="B14" s="54" t="inlineStr">
        <is>
          <t>Villamartín</t>
        </is>
      </c>
      <c r="C14" s="58">
        <f>1200*(1+$M$5)</f>
        <v/>
      </c>
      <c r="D14" s="61">
        <f>C14*0.7</f>
        <v/>
      </c>
      <c r="E14" s="61">
        <f>C14*0.3</f>
        <v/>
      </c>
      <c r="F14" s="58">
        <f>1400*(1+$M$5)</f>
        <v/>
      </c>
      <c r="G14" s="61">
        <f>F14*0.5</f>
        <v/>
      </c>
      <c r="H14" s="61">
        <f>F14*0.3</f>
        <v/>
      </c>
      <c r="I14" s="58">
        <f>820*(1+$M$5)</f>
        <v/>
      </c>
      <c r="J14" s="59" t="inlineStr">
        <is>
          <t>n/a</t>
        </is>
      </c>
      <c r="K14" s="649" t="n"/>
      <c r="L14" s="46" t="n"/>
      <c r="M14" s="46" t="n"/>
      <c r="N14" s="46" t="n"/>
      <c r="O14" s="46" t="n"/>
      <c r="P14" s="46" t="n"/>
    </row>
    <row r="15" ht="15" customHeight="1" s="700">
      <c r="A15" s="46" t="n"/>
      <c r="B15" s="54" t="inlineStr">
        <is>
          <t>Sollana (2.1)</t>
        </is>
      </c>
      <c r="C15" s="58">
        <f>950*(1+$M$5)</f>
        <v/>
      </c>
      <c r="D15" s="61">
        <f>C15*0.7</f>
        <v/>
      </c>
      <c r="E15" s="61">
        <f>C15*0.3</f>
        <v/>
      </c>
      <c r="F15" s="58">
        <f>1000*(1+$M$5)</f>
        <v/>
      </c>
      <c r="G15" s="61">
        <f>F15*0.5</f>
        <v/>
      </c>
      <c r="H15" s="61">
        <f>F15*0.3</f>
        <v/>
      </c>
      <c r="I15" s="58">
        <f>820*(1+$M$5)</f>
        <v/>
      </c>
      <c r="J15" s="59" t="inlineStr">
        <is>
          <t>n/a</t>
        </is>
      </c>
      <c r="K15" s="649" t="n"/>
      <c r="L15" s="46" t="n"/>
      <c r="M15" s="46" t="n"/>
      <c r="N15" s="46" t="n"/>
      <c r="O15" s="46" t="n"/>
      <c r="P15" s="46" t="n"/>
    </row>
    <row r="16" ht="15" customHeight="1" s="700">
      <c r="A16" s="46" t="n"/>
      <c r="B16" s="54" t="inlineStr">
        <is>
          <t>Bailadero (2.2)</t>
        </is>
      </c>
      <c r="C16" s="61">
        <f>950*(1+$M$5)</f>
        <v/>
      </c>
      <c r="D16" s="61">
        <f>C16*0.7</f>
        <v/>
      </c>
      <c r="E16" s="61">
        <f>C16*0.3</f>
        <v/>
      </c>
      <c r="F16" s="61">
        <f>1000*(1+$M$5)</f>
        <v/>
      </c>
      <c r="G16" s="61">
        <f>F16*0.5</f>
        <v/>
      </c>
      <c r="H16" s="61">
        <f>F16*0.3</f>
        <v/>
      </c>
      <c r="I16" s="61">
        <f>820*(1+$M$5)</f>
        <v/>
      </c>
      <c r="J16" s="59" t="inlineStr">
        <is>
          <t>n/a</t>
        </is>
      </c>
      <c r="K16" s="649" t="n"/>
      <c r="L16" s="46" t="n"/>
      <c r="M16" s="46" t="n"/>
      <c r="N16" s="46" t="n"/>
      <c r="O16" s="46" t="n"/>
      <c r="P16" s="46" t="n"/>
    </row>
    <row r="17" ht="15" customHeight="1" s="700">
      <c r="A17" s="46" t="n"/>
      <c r="B17" s="54" t="inlineStr">
        <is>
          <t>Artá (2.3)</t>
        </is>
      </c>
      <c r="C17" s="58">
        <f>950*(1+$M$5)</f>
        <v/>
      </c>
      <c r="D17" s="61">
        <f>C17*0.7</f>
        <v/>
      </c>
      <c r="E17" s="61">
        <f>C17*0.3</f>
        <v/>
      </c>
      <c r="F17" s="58">
        <f>1000*(1+$M$5)</f>
        <v/>
      </c>
      <c r="G17" s="61">
        <f>F17*0.5</f>
        <v/>
      </c>
      <c r="H17" s="61">
        <f>F17*0.3</f>
        <v/>
      </c>
      <c r="I17" s="58">
        <f>820*(1+$M$5)</f>
        <v/>
      </c>
      <c r="J17" s="59" t="inlineStr">
        <is>
          <t>n/a</t>
        </is>
      </c>
      <c r="K17" s="649" t="n"/>
      <c r="L17" s="46" t="n"/>
      <c r="M17" s="46" t="n"/>
      <c r="N17" s="46" t="n"/>
      <c r="O17" s="46" t="n"/>
      <c r="P17" s="46" t="n"/>
    </row>
    <row r="18">
      <c r="A18" s="46" t="n"/>
      <c r="B18" s="54" t="inlineStr">
        <is>
          <t>2.4</t>
        </is>
      </c>
      <c r="C18" s="61">
        <f>950*(1+$M$5)</f>
        <v/>
      </c>
      <c r="D18" s="61">
        <f>C18*0.7</f>
        <v/>
      </c>
      <c r="E18" s="61">
        <f>C18*0.3</f>
        <v/>
      </c>
      <c r="F18" s="61">
        <f>1000*(1+$M$5)</f>
        <v/>
      </c>
      <c r="G18" s="61">
        <f>F18*0.5</f>
        <v/>
      </c>
      <c r="H18" s="61">
        <f>F18*0.3</f>
        <v/>
      </c>
      <c r="I18" s="61">
        <f>820*(1+$M$5)</f>
        <v/>
      </c>
      <c r="J18" s="59" t="inlineStr">
        <is>
          <t>n/a</t>
        </is>
      </c>
      <c r="K18" s="649" t="n"/>
      <c r="L18" s="46" t="n"/>
      <c r="M18" s="46" t="n"/>
      <c r="N18" s="46" t="n"/>
      <c r="O18" s="46" t="n"/>
      <c r="P18" s="46" t="n"/>
    </row>
    <row r="19" ht="15" customHeight="1" s="700">
      <c r="A19" s="46" t="n"/>
      <c r="B19" s="54" t="inlineStr">
        <is>
          <t>Casa Roja (2.5) - Lo Illán</t>
        </is>
      </c>
      <c r="C19" s="58">
        <f>104000*(1+$M$5)/12/3*2/11</f>
        <v/>
      </c>
      <c r="D19" s="61" t="n"/>
      <c r="E19" s="61" t="n"/>
      <c r="F19" s="58">
        <f>104000*(1+$M$5)/12/3*2/11</f>
        <v/>
      </c>
      <c r="G19" s="61" t="n"/>
      <c r="H19" s="61" t="n"/>
      <c r="I19" s="58">
        <f>104000*(1+$M$5)/12/3*2/11</f>
        <v/>
      </c>
      <c r="J19" s="59" t="inlineStr">
        <is>
          <t>n/a</t>
        </is>
      </c>
      <c r="K19" s="649" t="n"/>
      <c r="L19" s="46" t="n"/>
      <c r="M19" s="46" t="n"/>
      <c r="N19" s="46" t="n"/>
      <c r="O19" s="46" t="n"/>
      <c r="P19" s="46" t="n"/>
    </row>
    <row r="20" ht="15" customHeight="1" s="700">
      <c r="A20" s="46" t="n"/>
      <c r="B20" s="54" t="inlineStr">
        <is>
          <t>Casa Roja (2.5) - Contreras</t>
        </is>
      </c>
      <c r="C20" s="58">
        <f>104000*(1+$M$5)/12/3*3/11</f>
        <v/>
      </c>
      <c r="D20" s="61" t="n"/>
      <c r="E20" s="61" t="n"/>
      <c r="F20" s="58">
        <f>104000*(1+$M$5)/12/3*3/11</f>
        <v/>
      </c>
      <c r="G20" s="61" t="n"/>
      <c r="H20" s="61" t="n"/>
      <c r="I20" s="58">
        <f>104000*(1+$M$5)/12/3*3/11</f>
        <v/>
      </c>
      <c r="J20" s="59" t="inlineStr">
        <is>
          <t>n/a</t>
        </is>
      </c>
      <c r="K20" s="649" t="n"/>
      <c r="L20" s="46" t="n"/>
      <c r="M20" s="46" t="n"/>
      <c r="N20" s="46" t="n"/>
      <c r="O20" s="46" t="n"/>
      <c r="P20" s="46" t="n"/>
    </row>
    <row r="21" ht="15" customHeight="1" s="700">
      <c r="A21" s="46" t="n"/>
      <c r="B21" s="54" t="inlineStr">
        <is>
          <t>Casa Roja (2.5) - Turbinto</t>
        </is>
      </c>
      <c r="C21" s="58">
        <f>104000*(1+$M$5)/12/3*2/11</f>
        <v/>
      </c>
      <c r="D21" s="61" t="n"/>
      <c r="E21" s="61" t="n"/>
      <c r="F21" s="58">
        <f>104000*(1+$M$5)/12/3*2/11</f>
        <v/>
      </c>
      <c r="G21" s="61" t="n"/>
      <c r="H21" s="61" t="n"/>
      <c r="I21" s="58">
        <f>104000*(1+$M$5)/12/3*2/11</f>
        <v/>
      </c>
      <c r="J21" s="59" t="inlineStr">
        <is>
          <t>n/a</t>
        </is>
      </c>
      <c r="K21" s="649" t="n"/>
      <c r="L21" s="46" t="n"/>
      <c r="M21" s="46" t="n"/>
      <c r="N21" s="46" t="n"/>
      <c r="O21" s="46" t="n"/>
      <c r="P21" s="46" t="n"/>
    </row>
    <row r="22" ht="15" customHeight="1" s="700">
      <c r="A22" s="46" t="n"/>
      <c r="B22" s="54" t="inlineStr">
        <is>
          <t>Casa Roja (2.5) - Rodríguez I</t>
        </is>
      </c>
      <c r="C22" s="58">
        <f>104000*(1+$M$5)/12/3*1.5/11</f>
        <v/>
      </c>
      <c r="D22" s="58" t="n"/>
      <c r="E22" s="61" t="n"/>
      <c r="F22" s="58">
        <f>104000*(1+$M$5)/12/3*1.5/11</f>
        <v/>
      </c>
      <c r="G22" s="58" t="n"/>
      <c r="H22" s="61" t="n"/>
      <c r="I22" s="58">
        <f>104000*(1+$M$5)/12/3*1.5/11</f>
        <v/>
      </c>
      <c r="J22" s="59" t="n"/>
      <c r="K22" s="649" t="n"/>
      <c r="L22" s="46" t="n"/>
      <c r="M22" s="46" t="n"/>
      <c r="N22" s="46" t="n"/>
      <c r="O22" s="46" t="n"/>
      <c r="P22" s="46" t="n"/>
    </row>
    <row r="23" ht="15" customHeight="1" s="700">
      <c r="A23" s="46" t="n"/>
      <c r="B23" s="54" t="inlineStr">
        <is>
          <t>Casa Roja (2.5) - Rodríguez II</t>
        </is>
      </c>
      <c r="C23" s="58">
        <f>104000*(1+$M$5)/12/3*2.5/11</f>
        <v/>
      </c>
      <c r="D23" s="58" t="n"/>
      <c r="E23" s="61" t="n"/>
      <c r="F23" s="58">
        <f>104000*(1+$M$5)/12/3*2.5/11</f>
        <v/>
      </c>
      <c r="G23" s="58" t="n"/>
      <c r="H23" s="61" t="n"/>
      <c r="I23" s="58">
        <f>104000*(1+$M$5)/12/3*2.5/11</f>
        <v/>
      </c>
      <c r="J23" s="59" t="n"/>
      <c r="K23" s="649" t="n"/>
      <c r="L23" s="46" t="n"/>
      <c r="M23" s="46" t="n"/>
      <c r="N23" s="46" t="n"/>
      <c r="O23" s="46" t="n"/>
      <c r="P23" s="46" t="n"/>
    </row>
    <row r="24">
      <c r="A24" s="46" t="n"/>
      <c r="B24" s="54" t="inlineStr">
        <is>
          <t>2.6</t>
        </is>
      </c>
      <c r="C24" s="61">
        <f>950*(1+$M$5)</f>
        <v/>
      </c>
      <c r="D24" s="61">
        <f>C24*0.7</f>
        <v/>
      </c>
      <c r="E24" s="61">
        <f>C24*0.3</f>
        <v/>
      </c>
      <c r="F24" s="61">
        <f>1000*(1+$M$5)</f>
        <v/>
      </c>
      <c r="G24" s="61">
        <f>F24*0.5</f>
        <v/>
      </c>
      <c r="H24" s="61">
        <f>F24*0.3</f>
        <v/>
      </c>
      <c r="I24" s="61">
        <f>820*(1+$M$5)</f>
        <v/>
      </c>
      <c r="J24" s="59" t="inlineStr">
        <is>
          <t>n/a</t>
        </is>
      </c>
      <c r="K24" s="649" t="n"/>
      <c r="L24" s="46" t="n"/>
      <c r="M24" s="46" t="n"/>
      <c r="N24" s="46" t="n"/>
      <c r="O24" s="46" t="n"/>
      <c r="P24" s="46" t="n"/>
    </row>
    <row r="25" ht="15" customHeight="1" s="700">
      <c r="A25" s="46" t="n"/>
      <c r="B25" s="54" t="inlineStr">
        <is>
          <t xml:space="preserve">AE3000 (2.7) - Proyecto 1 </t>
        </is>
      </c>
      <c r="C25" s="65">
        <f>18000/12*(1+$M$8)</f>
        <v/>
      </c>
      <c r="D25" s="61">
        <f>C25*0.7</f>
        <v/>
      </c>
      <c r="E25" s="61">
        <f>C25*0.3</f>
        <v/>
      </c>
      <c r="F25" s="65">
        <f>11400/12*(1+$M$8)</f>
        <v/>
      </c>
      <c r="G25" s="61">
        <f>F25*0.5</f>
        <v/>
      </c>
      <c r="H25" s="61">
        <f>F25*0.3</f>
        <v/>
      </c>
      <c r="I25" s="65">
        <f>14760/12*(1+$M$8)</f>
        <v/>
      </c>
      <c r="J25" s="59" t="inlineStr">
        <is>
          <t>n/a</t>
        </is>
      </c>
      <c r="K25" s="649" t="n"/>
      <c r="L25" s="46">
        <f>C25*12</f>
        <v/>
      </c>
      <c r="M25" s="46">
        <f>F25*12</f>
        <v/>
      </c>
      <c r="N25" s="46">
        <f>I25*12</f>
        <v/>
      </c>
      <c r="O25" s="46" t="n"/>
      <c r="P25" s="46" t="n"/>
    </row>
    <row r="26" ht="15" customHeight="1" s="700">
      <c r="A26" s="46" t="n"/>
      <c r="B26" s="54" t="inlineStr">
        <is>
          <t>AE3000 (2.7)  - Proyecto 2</t>
        </is>
      </c>
      <c r="C26" s="66" t="n"/>
      <c r="D26" s="61">
        <f>C26*0.7</f>
        <v/>
      </c>
      <c r="E26" s="61">
        <f>C26*0.3</f>
        <v/>
      </c>
      <c r="F26" s="66" t="n"/>
      <c r="G26" s="61">
        <f>F26*0.5</f>
        <v/>
      </c>
      <c r="H26" s="61">
        <f>F26*0.3</f>
        <v/>
      </c>
      <c r="I26" s="66" t="n"/>
      <c r="J26" s="59" t="inlineStr">
        <is>
          <t>n/a</t>
        </is>
      </c>
      <c r="K26" s="649" t="n"/>
      <c r="L26" s="46" t="n"/>
      <c r="M26" s="46" t="n"/>
      <c r="N26" s="46" t="n"/>
      <c r="O26" s="46" t="n"/>
      <c r="P26" s="46" t="n"/>
    </row>
    <row r="27" ht="15" customHeight="1" s="700">
      <c r="A27" s="46" t="n"/>
      <c r="B27" s="54" t="inlineStr">
        <is>
          <t>AE3000 (2.7)  - Proyecto 3</t>
        </is>
      </c>
      <c r="C27" s="66" t="n"/>
      <c r="D27" s="61">
        <f>C27*0.7</f>
        <v/>
      </c>
      <c r="E27" s="61">
        <f>C27*0.3</f>
        <v/>
      </c>
      <c r="F27" s="66" t="n"/>
      <c r="G27" s="61">
        <f>F27*0.5</f>
        <v/>
      </c>
      <c r="H27" s="61">
        <f>F27*0.3</f>
        <v/>
      </c>
      <c r="I27" s="66" t="n"/>
      <c r="J27" s="59" t="inlineStr">
        <is>
          <t>n/a</t>
        </is>
      </c>
      <c r="K27" s="649" t="n"/>
      <c r="L27" s="46" t="n"/>
      <c r="M27" s="46" t="n"/>
      <c r="N27" s="46" t="n"/>
      <c r="O27" s="46" t="n"/>
      <c r="P27" s="46" t="n"/>
    </row>
    <row r="28" ht="15" customHeight="1" s="700">
      <c r="A28" s="46" t="n"/>
      <c r="B28" s="54" t="inlineStr">
        <is>
          <t>AE3000 (2.7)  - Proyecto 4</t>
        </is>
      </c>
      <c r="C28" s="66" t="n"/>
      <c r="D28" s="61">
        <f>C28*0.7</f>
        <v/>
      </c>
      <c r="E28" s="61">
        <f>C28*0.3</f>
        <v/>
      </c>
      <c r="F28" s="66" t="n"/>
      <c r="G28" s="61">
        <f>F28*0.5</f>
        <v/>
      </c>
      <c r="H28" s="61">
        <f>F28*0.3</f>
        <v/>
      </c>
      <c r="I28" s="66" t="n"/>
      <c r="J28" s="59" t="inlineStr">
        <is>
          <t>n/a</t>
        </is>
      </c>
      <c r="K28" s="649" t="n"/>
      <c r="L28" s="46" t="n"/>
      <c r="M28" s="46" t="n"/>
      <c r="N28" s="46" t="n"/>
      <c r="O28" s="46" t="n"/>
      <c r="P28" s="46" t="n"/>
    </row>
    <row r="29" ht="15" customHeight="1" s="700">
      <c r="A29" s="46" t="n"/>
      <c r="B29" s="54" t="inlineStr">
        <is>
          <t>AE3000 (2.7)  - Proyecto 5</t>
        </is>
      </c>
      <c r="C29" s="66" t="n"/>
      <c r="D29" s="61">
        <f>C29*0.7</f>
        <v/>
      </c>
      <c r="E29" s="61">
        <f>C29*0.3</f>
        <v/>
      </c>
      <c r="F29" s="66" t="n"/>
      <c r="G29" s="61">
        <f>F29*0.5</f>
        <v/>
      </c>
      <c r="H29" s="61">
        <f>F29*0.3</f>
        <v/>
      </c>
      <c r="I29" s="66" t="n"/>
      <c r="J29" s="59" t="inlineStr">
        <is>
          <t>n/a</t>
        </is>
      </c>
      <c r="K29" s="649" t="n"/>
      <c r="L29" s="46" t="n"/>
      <c r="M29" s="46" t="n"/>
      <c r="N29" s="46" t="n"/>
      <c r="O29" s="46" t="n"/>
      <c r="P29" s="46" t="n"/>
    </row>
    <row r="30" ht="15" customHeight="1" s="700">
      <c r="A30" s="46" t="n"/>
      <c r="B30" s="54" t="inlineStr">
        <is>
          <t>AE3000 (2.7)  - Proyecto 6</t>
        </is>
      </c>
      <c r="C30" s="67" t="n"/>
      <c r="D30" s="61">
        <f>C30*0.7</f>
        <v/>
      </c>
      <c r="E30" s="61">
        <f>C30*0.3</f>
        <v/>
      </c>
      <c r="F30" s="67" t="n"/>
      <c r="G30" s="61">
        <f>F30*0.5</f>
        <v/>
      </c>
      <c r="H30" s="61">
        <f>F30*0.3</f>
        <v/>
      </c>
      <c r="I30" s="67" t="n"/>
      <c r="J30" s="59" t="inlineStr">
        <is>
          <t>n/a</t>
        </is>
      </c>
      <c r="K30" s="649" t="n"/>
      <c r="L30" s="46" t="n"/>
      <c r="M30" s="46" t="n"/>
      <c r="N30" s="46" t="n"/>
      <c r="O30" s="46" t="n"/>
      <c r="P30" s="46" t="n"/>
    </row>
    <row r="31">
      <c r="A31" s="46" t="n"/>
      <c r="B31" s="54" t="inlineStr">
        <is>
          <t>2.8</t>
        </is>
      </c>
      <c r="C31" s="61">
        <f>950*(1+$M$5)</f>
        <v/>
      </c>
      <c r="D31" s="61">
        <f>C31*0.7</f>
        <v/>
      </c>
      <c r="E31" s="61">
        <f>C31*0.3</f>
        <v/>
      </c>
      <c r="F31" s="61">
        <f>1000*(1+$M$5)</f>
        <v/>
      </c>
      <c r="G31" s="61">
        <f>F31*0.5</f>
        <v/>
      </c>
      <c r="H31" s="61">
        <f>F31*0.3</f>
        <v/>
      </c>
      <c r="I31" s="61">
        <f>820*(1+$M$5)</f>
        <v/>
      </c>
      <c r="J31" s="59" t="inlineStr">
        <is>
          <t>n/a</t>
        </is>
      </c>
      <c r="K31" s="649" t="n"/>
      <c r="L31" s="46" t="n"/>
      <c r="M31" s="46" t="n"/>
    </row>
    <row r="32">
      <c r="A32" s="46" t="n"/>
      <c r="B32" s="54" t="inlineStr">
        <is>
          <t>2.9</t>
        </is>
      </c>
      <c r="C32" s="61">
        <f>950*(1+$M$5)</f>
        <v/>
      </c>
      <c r="D32" s="61">
        <f>C32*0.7</f>
        <v/>
      </c>
      <c r="E32" s="61">
        <f>C32*0.3</f>
        <v/>
      </c>
      <c r="F32" s="61">
        <f>1000*(1+$M$5)</f>
        <v/>
      </c>
      <c r="G32" s="61">
        <f>F32*0.5</f>
        <v/>
      </c>
      <c r="H32" s="61">
        <f>F32*0.3</f>
        <v/>
      </c>
      <c r="I32" s="61">
        <f>820*(1+$M$5)</f>
        <v/>
      </c>
      <c r="J32" s="59" t="inlineStr">
        <is>
          <t>n/a</t>
        </is>
      </c>
      <c r="K32" s="649" t="n"/>
      <c r="L32" s="46" t="n"/>
      <c r="M32" s="46" t="n"/>
    </row>
    <row r="33">
      <c r="A33" s="46" t="n"/>
      <c r="B33" s="68" t="inlineStr">
        <is>
          <t>2.10 no fras desde 10/2011</t>
        </is>
      </c>
      <c r="C33" s="69">
        <f>950*(1+$M$5)</f>
        <v/>
      </c>
      <c r="D33" s="69">
        <f>C33*0.7</f>
        <v/>
      </c>
      <c r="E33" s="70">
        <f>C33*0.3</f>
        <v/>
      </c>
      <c r="F33" s="69">
        <f>1000*(1+$M$5)</f>
        <v/>
      </c>
      <c r="G33" s="69">
        <f>F33*0.5</f>
        <v/>
      </c>
      <c r="H33" s="70">
        <f>F33*0.3</f>
        <v/>
      </c>
      <c r="I33" s="69">
        <f>820*(1+$M$5)</f>
        <v/>
      </c>
      <c r="J33" s="71" t="inlineStr">
        <is>
          <t>n/a</t>
        </is>
      </c>
      <c r="K33" s="649" t="n"/>
      <c r="L33" s="46" t="n"/>
      <c r="M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</row>
    <row r="35" ht="15" customHeight="1" s="700">
      <c r="A35" s="46" t="n"/>
      <c r="B35" s="72" t="inlineStr">
        <is>
          <t>Importes en negrita = Tarifas aplicadas actualmente</t>
        </is>
      </c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  <c r="K37" s="46" t="n"/>
      <c r="L37" s="46" t="n"/>
      <c r="M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  <c r="K39" s="46" t="n"/>
      <c r="L39" s="46" t="n"/>
      <c r="M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  <c r="K40" s="46" t="n"/>
      <c r="L40" s="46" t="n"/>
      <c r="M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  <c r="K41" s="46" t="n"/>
      <c r="L41" s="46" t="n"/>
      <c r="M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  <c r="K42" s="46" t="n"/>
      <c r="L42" s="46" t="n"/>
      <c r="M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  <c r="K43" s="46" t="n"/>
      <c r="L43" s="46" t="n"/>
      <c r="M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  <c r="K47" s="46" t="n"/>
      <c r="L47" s="46" t="n"/>
      <c r="M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  <c r="K48" s="46" t="n"/>
      <c r="L48" s="46" t="n"/>
      <c r="M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</row>
    <row r="168">
      <c r="A168" s="46" t="n"/>
      <c r="B168" s="46" t="n"/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6" t="n"/>
    </row>
    <row r="169">
      <c r="A169" s="46" t="n"/>
      <c r="B169" s="46" t="n"/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6" t="n"/>
    </row>
    <row r="170">
      <c r="A170" s="46" t="n"/>
      <c r="B170" s="46" t="n"/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6" t="n"/>
    </row>
    <row r="171">
      <c r="A171" s="46" t="n"/>
      <c r="B171" s="46" t="n"/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6" t="n"/>
    </row>
    <row r="172">
      <c r="A172" s="46" t="n"/>
      <c r="B172" s="46" t="n"/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6" t="n"/>
    </row>
    <row r="173">
      <c r="A173" s="46" t="n"/>
      <c r="B173" s="46" t="n"/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6" t="n"/>
    </row>
    <row r="174">
      <c r="A174" s="46" t="n"/>
      <c r="B174" s="46" t="n"/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6" t="n"/>
    </row>
    <row r="175">
      <c r="A175" s="46" t="n"/>
      <c r="B175" s="46" t="n"/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6" t="n"/>
    </row>
    <row r="176">
      <c r="A176" s="46" t="n"/>
      <c r="B176" s="46" t="n"/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6" t="n"/>
    </row>
    <row r="177">
      <c r="A177" s="46" t="n"/>
      <c r="B177" s="46" t="n"/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6" t="n"/>
    </row>
    <row r="178">
      <c r="A178" s="46" t="n"/>
      <c r="B178" s="46" t="n"/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6" t="n"/>
    </row>
    <row r="179">
      <c r="A179" s="46" t="n"/>
      <c r="B179" s="46" t="n"/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6" t="n"/>
    </row>
    <row r="180">
      <c r="A180" s="46" t="n"/>
      <c r="B180" s="46" t="n"/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6" t="n"/>
    </row>
    <row r="181">
      <c r="A181" s="46" t="n"/>
      <c r="B181" s="46" t="n"/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6" t="n"/>
    </row>
    <row r="182">
      <c r="A182" s="46" t="n"/>
      <c r="B182" s="46" t="n"/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6" t="n"/>
    </row>
  </sheetData>
  <mergeCells count="15">
    <mergeCell ref="I12:J12"/>
    <mergeCell ref="C5:C8"/>
    <mergeCell ref="I4:J4"/>
    <mergeCell ref="K13:K33"/>
    <mergeCell ref="F5:F8"/>
    <mergeCell ref="C4:E4"/>
    <mergeCell ref="F4:H4"/>
    <mergeCell ref="F12:H12"/>
    <mergeCell ref="A5:A8"/>
    <mergeCell ref="K5:K10"/>
    <mergeCell ref="E5:E8"/>
    <mergeCell ref="H5:H8"/>
    <mergeCell ref="C12:E12"/>
    <mergeCell ref="D5:D8"/>
    <mergeCell ref="G5:G8"/>
  </mergeCell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Javier Valladares</dc:creator>
  <dcterms:created xmlns:dcterms="http://purl.org/dc/terms/" xmlns:xsi="http://www.w3.org/2001/XMLSchema-instance" xsi:type="dcterms:W3CDTF">2010-03-05T18:25:35Z</dcterms:created>
  <dcterms:modified xmlns:dcterms="http://purl.org/dc/terms/" xmlns:xsi="http://www.w3.org/2001/XMLSchema-instance" xsi:type="dcterms:W3CDTF">2025-11-11T16:16:23Z</dcterms:modified>
  <cp:lastModifiedBy>Javier Fernández (aBalados)</cp:lastModifiedBy>
  <cp:lastPrinted>2022-06-06T09:26:02Z</cp:lastPrinted>
</cp:coreProperties>
</file>